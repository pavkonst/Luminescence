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gma\OneDrive\Υπολογιστής\Dosimetry\Deconovolution\Decay\"/>
    </mc:Choice>
  </mc:AlternateContent>
  <xr:revisionPtr revIDLastSave="0" documentId="13_ncr:1_{B8AD98FD-DF5C-4DF8-AF61-B9FA78ECE685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sheet 1" sheetId="2" r:id="rId1"/>
  </sheets>
  <functionGroups builtInGroupCount="19"/>
  <definedNames>
    <definedName name="solver_adj" localSheetId="0" hidden="1">'sheet 1'!$C$22:$D$23,'sheet 1'!$D$21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'sheet 1'!$C$23:$G$23</definedName>
    <definedName name="solver_lhs10" localSheetId="0" hidden="1">'sheet 1'!$G$22</definedName>
    <definedName name="solver_lhs11" localSheetId="0" hidden="1">'sheet 1'!$F$22</definedName>
    <definedName name="solver_lhs12" localSheetId="0" hidden="1">'sheet 1'!$G$23</definedName>
    <definedName name="solver_lhs13" localSheetId="0" hidden="1">'sheet 1'!$E$21</definedName>
    <definedName name="solver_lhs14" localSheetId="0" hidden="1">'sheet 1'!$G$23</definedName>
    <definedName name="solver_lhs15" localSheetId="0" hidden="1">'sheet 1'!$F$23</definedName>
    <definedName name="solver_lhs16" localSheetId="0" hidden="1">'sheet 1'!$F$21</definedName>
    <definedName name="solver_lhs17" localSheetId="0" hidden="1">'sheet 1'!$G$21</definedName>
    <definedName name="solver_lhs18" localSheetId="0" hidden="1">'sheet 1'!$G$21</definedName>
    <definedName name="solver_lhs19" localSheetId="0" hidden="1">'sheet 1'!$G$21</definedName>
    <definedName name="solver_lhs2" localSheetId="0" hidden="1">'sheet 1'!$D$23</definedName>
    <definedName name="solver_lhs20" localSheetId="0" hidden="1">'sheet 1'!$G$21</definedName>
    <definedName name="solver_lhs3" localSheetId="0" hidden="1">'sheet 1'!$C$21</definedName>
    <definedName name="solver_lhs4" localSheetId="0" hidden="1">'sheet 1'!$D$23</definedName>
    <definedName name="solver_lhs5" localSheetId="0" hidden="1">'sheet 1'!$E$22</definedName>
    <definedName name="solver_lhs6" localSheetId="0" hidden="1">'sheet 1'!$E$23</definedName>
    <definedName name="solver_lhs7" localSheetId="0" hidden="1">'sheet 1'!$D$21</definedName>
    <definedName name="solver_lhs8" localSheetId="0" hidden="1">'sheet 1'!$F$23</definedName>
    <definedName name="solver_lhs9" localSheetId="0" hidden="1">'sheet 1'!$E$23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'sheet 1'!$C$33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1</definedName>
    <definedName name="solver_rel20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3</definedName>
    <definedName name="solver_rhs1" localSheetId="0" hidden="1">0.000000001</definedName>
    <definedName name="solver_rhs10" localSheetId="0" hidden="1">0</definedName>
    <definedName name="solver_rhs11" localSheetId="0" hidden="1">0</definedName>
    <definedName name="solver_rhs12" localSheetId="0" hidden="1">0.9</definedName>
    <definedName name="solver_rhs13" localSheetId="0" hidden="1">0</definedName>
    <definedName name="solver_rhs14" localSheetId="0" hidden="1">0.00001</definedName>
    <definedName name="solver_rhs15" localSheetId="0" hidden="1">0.00001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0.9</definedName>
    <definedName name="solver_rhs20" localSheetId="0" hidden="1">0</definedName>
    <definedName name="solver_rhs3" localSheetId="0" hidden="1">0</definedName>
    <definedName name="solver_rhs4" localSheetId="0" hidden="1">0.00001</definedName>
    <definedName name="solver_rhs5" localSheetId="0" hidden="1">0</definedName>
    <definedName name="solver_rhs6" localSheetId="0" hidden="1">0.9</definedName>
    <definedName name="solver_rhs7" localSheetId="0" hidden="1">0</definedName>
    <definedName name="solver_rhs8" localSheetId="0" hidden="1">0.9</definedName>
    <definedName name="solver_rhs9" localSheetId="0" hidden="1">0.00001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9" i="2" l="1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E121" i="2"/>
  <c r="F121" i="2"/>
  <c r="G121" i="2"/>
  <c r="H121" i="2"/>
  <c r="E122" i="2"/>
  <c r="F122" i="2"/>
  <c r="G122" i="2"/>
  <c r="H122" i="2"/>
  <c r="E123" i="2"/>
  <c r="F123" i="2"/>
  <c r="G123" i="2"/>
  <c r="H123" i="2"/>
  <c r="E124" i="2"/>
  <c r="F124" i="2"/>
  <c r="G124" i="2"/>
  <c r="H124" i="2"/>
  <c r="E125" i="2"/>
  <c r="F125" i="2"/>
  <c r="G125" i="2"/>
  <c r="H125" i="2"/>
  <c r="E126" i="2"/>
  <c r="F126" i="2"/>
  <c r="G126" i="2"/>
  <c r="H126" i="2"/>
  <c r="E127" i="2"/>
  <c r="F127" i="2"/>
  <c r="G127" i="2"/>
  <c r="H127" i="2"/>
  <c r="E128" i="2"/>
  <c r="F128" i="2"/>
  <c r="G128" i="2"/>
  <c r="H128" i="2"/>
  <c r="E129" i="2"/>
  <c r="F129" i="2"/>
  <c r="G129" i="2"/>
  <c r="H129" i="2"/>
  <c r="E130" i="2"/>
  <c r="F130" i="2"/>
  <c r="G130" i="2"/>
  <c r="H130" i="2"/>
  <c r="E131" i="2"/>
  <c r="F131" i="2"/>
  <c r="G131" i="2"/>
  <c r="H131" i="2"/>
  <c r="E132" i="2"/>
  <c r="F132" i="2"/>
  <c r="G132" i="2"/>
  <c r="H132" i="2"/>
  <c r="E133" i="2"/>
  <c r="F133" i="2"/>
  <c r="G133" i="2"/>
  <c r="H133" i="2"/>
  <c r="E134" i="2"/>
  <c r="F134" i="2"/>
  <c r="G134" i="2"/>
  <c r="H134" i="2"/>
  <c r="E135" i="2"/>
  <c r="F135" i="2"/>
  <c r="G135" i="2"/>
  <c r="H135" i="2"/>
  <c r="E136" i="2"/>
  <c r="F136" i="2"/>
  <c r="G136" i="2"/>
  <c r="H136" i="2"/>
  <c r="E137" i="2"/>
  <c r="F137" i="2"/>
  <c r="G137" i="2"/>
  <c r="H137" i="2"/>
  <c r="E138" i="2"/>
  <c r="F138" i="2"/>
  <c r="G138" i="2"/>
  <c r="H138" i="2"/>
  <c r="E139" i="2"/>
  <c r="F139" i="2"/>
  <c r="G139" i="2"/>
  <c r="H139" i="2"/>
  <c r="E140" i="2"/>
  <c r="F140" i="2"/>
  <c r="G140" i="2"/>
  <c r="H140" i="2"/>
  <c r="E141" i="2"/>
  <c r="F141" i="2"/>
  <c r="G141" i="2"/>
  <c r="H141" i="2"/>
  <c r="E142" i="2"/>
  <c r="F142" i="2"/>
  <c r="G142" i="2"/>
  <c r="H142" i="2"/>
  <c r="E143" i="2"/>
  <c r="F143" i="2"/>
  <c r="G143" i="2"/>
  <c r="H143" i="2"/>
  <c r="E144" i="2"/>
  <c r="F144" i="2"/>
  <c r="G144" i="2"/>
  <c r="H144" i="2"/>
  <c r="E145" i="2"/>
  <c r="F145" i="2"/>
  <c r="G145" i="2"/>
  <c r="H145" i="2"/>
  <c r="E146" i="2"/>
  <c r="F146" i="2"/>
  <c r="G146" i="2"/>
  <c r="H146" i="2"/>
  <c r="E147" i="2"/>
  <c r="F147" i="2"/>
  <c r="G147" i="2"/>
  <c r="H147" i="2"/>
  <c r="E148" i="2"/>
  <c r="F148" i="2"/>
  <c r="G148" i="2"/>
  <c r="H148" i="2"/>
  <c r="E149" i="2"/>
  <c r="F149" i="2"/>
  <c r="G149" i="2"/>
  <c r="H149" i="2"/>
  <c r="E150" i="2"/>
  <c r="F150" i="2"/>
  <c r="G150" i="2"/>
  <c r="H150" i="2"/>
  <c r="E151" i="2"/>
  <c r="F151" i="2"/>
  <c r="G151" i="2"/>
  <c r="H151" i="2"/>
  <c r="E152" i="2"/>
  <c r="F152" i="2"/>
  <c r="G152" i="2"/>
  <c r="H152" i="2"/>
  <c r="E153" i="2"/>
  <c r="F153" i="2"/>
  <c r="G153" i="2"/>
  <c r="H153" i="2"/>
  <c r="E154" i="2"/>
  <c r="F154" i="2"/>
  <c r="G154" i="2"/>
  <c r="H154" i="2"/>
  <c r="E155" i="2"/>
  <c r="F155" i="2"/>
  <c r="G155" i="2"/>
  <c r="H155" i="2"/>
  <c r="E156" i="2"/>
  <c r="F156" i="2"/>
  <c r="G156" i="2"/>
  <c r="H156" i="2"/>
  <c r="E157" i="2"/>
  <c r="F157" i="2"/>
  <c r="G157" i="2"/>
  <c r="H157" i="2"/>
  <c r="E158" i="2"/>
  <c r="F158" i="2"/>
  <c r="G158" i="2"/>
  <c r="H158" i="2"/>
  <c r="E159" i="2"/>
  <c r="F159" i="2"/>
  <c r="G159" i="2"/>
  <c r="H159" i="2"/>
  <c r="E160" i="2"/>
  <c r="F160" i="2"/>
  <c r="G160" i="2"/>
  <c r="H160" i="2"/>
  <c r="E161" i="2"/>
  <c r="F161" i="2"/>
  <c r="G161" i="2"/>
  <c r="H161" i="2"/>
  <c r="E162" i="2"/>
  <c r="F162" i="2"/>
  <c r="G162" i="2"/>
  <c r="H162" i="2"/>
  <c r="E163" i="2"/>
  <c r="F163" i="2"/>
  <c r="G163" i="2"/>
  <c r="H163" i="2"/>
  <c r="E164" i="2"/>
  <c r="F164" i="2"/>
  <c r="G164" i="2"/>
  <c r="H164" i="2"/>
  <c r="E165" i="2"/>
  <c r="F165" i="2"/>
  <c r="G165" i="2"/>
  <c r="H165" i="2"/>
  <c r="E166" i="2"/>
  <c r="F166" i="2"/>
  <c r="G166" i="2"/>
  <c r="H166" i="2"/>
  <c r="E167" i="2"/>
  <c r="F167" i="2"/>
  <c r="G167" i="2"/>
  <c r="H167" i="2"/>
  <c r="E168" i="2"/>
  <c r="F168" i="2"/>
  <c r="G168" i="2"/>
  <c r="H168" i="2"/>
  <c r="E169" i="2"/>
  <c r="F169" i="2"/>
  <c r="G169" i="2"/>
  <c r="H169" i="2"/>
  <c r="E170" i="2"/>
  <c r="F170" i="2"/>
  <c r="G170" i="2"/>
  <c r="H170" i="2"/>
  <c r="E171" i="2"/>
  <c r="F171" i="2"/>
  <c r="G171" i="2"/>
  <c r="H171" i="2"/>
  <c r="E172" i="2"/>
  <c r="F172" i="2"/>
  <c r="G172" i="2"/>
  <c r="H172" i="2"/>
  <c r="E173" i="2"/>
  <c r="F173" i="2"/>
  <c r="G173" i="2"/>
  <c r="H173" i="2"/>
  <c r="E174" i="2"/>
  <c r="F174" i="2"/>
  <c r="G174" i="2"/>
  <c r="H174" i="2"/>
  <c r="E175" i="2"/>
  <c r="F175" i="2"/>
  <c r="G175" i="2"/>
  <c r="H175" i="2"/>
  <c r="E176" i="2"/>
  <c r="F176" i="2"/>
  <c r="G176" i="2"/>
  <c r="H176" i="2"/>
  <c r="E177" i="2"/>
  <c r="F177" i="2"/>
  <c r="G177" i="2"/>
  <c r="H177" i="2"/>
  <c r="E178" i="2"/>
  <c r="F178" i="2"/>
  <c r="G178" i="2"/>
  <c r="H178" i="2"/>
  <c r="E179" i="2"/>
  <c r="F179" i="2"/>
  <c r="G179" i="2"/>
  <c r="H179" i="2"/>
  <c r="E180" i="2"/>
  <c r="F180" i="2"/>
  <c r="G180" i="2"/>
  <c r="H180" i="2"/>
  <c r="E181" i="2"/>
  <c r="F181" i="2"/>
  <c r="G181" i="2"/>
  <c r="H181" i="2"/>
  <c r="E182" i="2"/>
  <c r="F182" i="2"/>
  <c r="G182" i="2"/>
  <c r="H182" i="2"/>
  <c r="E183" i="2"/>
  <c r="F183" i="2"/>
  <c r="G183" i="2"/>
  <c r="H183" i="2"/>
  <c r="E184" i="2"/>
  <c r="F184" i="2"/>
  <c r="G184" i="2"/>
  <c r="H184" i="2"/>
  <c r="E185" i="2"/>
  <c r="F185" i="2"/>
  <c r="G185" i="2"/>
  <c r="H185" i="2"/>
  <c r="E186" i="2"/>
  <c r="F186" i="2"/>
  <c r="G186" i="2"/>
  <c r="H186" i="2"/>
  <c r="E187" i="2"/>
  <c r="F187" i="2"/>
  <c r="G187" i="2"/>
  <c r="H187" i="2"/>
  <c r="E188" i="2"/>
  <c r="F188" i="2"/>
  <c r="G188" i="2"/>
  <c r="H188" i="2"/>
  <c r="E189" i="2"/>
  <c r="F189" i="2"/>
  <c r="G189" i="2"/>
  <c r="H189" i="2"/>
  <c r="E190" i="2"/>
  <c r="F190" i="2"/>
  <c r="G190" i="2"/>
  <c r="H190" i="2"/>
  <c r="E191" i="2"/>
  <c r="F191" i="2"/>
  <c r="G191" i="2"/>
  <c r="H191" i="2"/>
  <c r="E192" i="2"/>
  <c r="F192" i="2"/>
  <c r="G192" i="2"/>
  <c r="H192" i="2"/>
  <c r="E193" i="2"/>
  <c r="F193" i="2"/>
  <c r="G193" i="2"/>
  <c r="H193" i="2"/>
  <c r="E194" i="2"/>
  <c r="F194" i="2"/>
  <c r="G194" i="2"/>
  <c r="H194" i="2"/>
  <c r="E195" i="2"/>
  <c r="F195" i="2"/>
  <c r="G195" i="2"/>
  <c r="H195" i="2"/>
  <c r="E196" i="2"/>
  <c r="F196" i="2"/>
  <c r="G196" i="2"/>
  <c r="H196" i="2"/>
  <c r="E197" i="2"/>
  <c r="F197" i="2"/>
  <c r="G197" i="2"/>
  <c r="H197" i="2"/>
  <c r="E198" i="2"/>
  <c r="F198" i="2"/>
  <c r="G198" i="2"/>
  <c r="H198" i="2"/>
  <c r="E199" i="2"/>
  <c r="F199" i="2"/>
  <c r="G199" i="2"/>
  <c r="H199" i="2"/>
  <c r="E200" i="2"/>
  <c r="F200" i="2"/>
  <c r="G200" i="2"/>
  <c r="H200" i="2"/>
  <c r="E201" i="2"/>
  <c r="F201" i="2"/>
  <c r="G201" i="2"/>
  <c r="H201" i="2"/>
  <c r="E202" i="2"/>
  <c r="F202" i="2"/>
  <c r="G202" i="2"/>
  <c r="H202" i="2"/>
  <c r="E203" i="2"/>
  <c r="F203" i="2"/>
  <c r="G203" i="2"/>
  <c r="H203" i="2"/>
  <c r="E204" i="2"/>
  <c r="F204" i="2"/>
  <c r="G204" i="2"/>
  <c r="H204" i="2"/>
  <c r="E205" i="2"/>
  <c r="F205" i="2"/>
  <c r="G205" i="2"/>
  <c r="H205" i="2"/>
  <c r="E206" i="2"/>
  <c r="F206" i="2"/>
  <c r="G206" i="2"/>
  <c r="H206" i="2"/>
  <c r="E207" i="2"/>
  <c r="F207" i="2"/>
  <c r="G207" i="2"/>
  <c r="H207" i="2"/>
  <c r="E208" i="2"/>
  <c r="F208" i="2"/>
  <c r="G208" i="2"/>
  <c r="H208" i="2"/>
  <c r="E209" i="2"/>
  <c r="F209" i="2"/>
  <c r="G209" i="2"/>
  <c r="H209" i="2"/>
  <c r="E210" i="2"/>
  <c r="F210" i="2"/>
  <c r="G210" i="2"/>
  <c r="H210" i="2"/>
  <c r="E211" i="2"/>
  <c r="F211" i="2"/>
  <c r="G211" i="2"/>
  <c r="H211" i="2"/>
  <c r="E212" i="2"/>
  <c r="F212" i="2"/>
  <c r="G212" i="2"/>
  <c r="H212" i="2"/>
  <c r="E213" i="2"/>
  <c r="F213" i="2"/>
  <c r="G213" i="2"/>
  <c r="H213" i="2"/>
  <c r="E214" i="2"/>
  <c r="F214" i="2"/>
  <c r="G214" i="2"/>
  <c r="H214" i="2"/>
  <c r="E215" i="2"/>
  <c r="F215" i="2"/>
  <c r="G215" i="2"/>
  <c r="H215" i="2"/>
  <c r="E216" i="2"/>
  <c r="F216" i="2"/>
  <c r="G216" i="2"/>
  <c r="H216" i="2"/>
  <c r="E217" i="2"/>
  <c r="F217" i="2"/>
  <c r="G217" i="2"/>
  <c r="H217" i="2"/>
  <c r="E218" i="2"/>
  <c r="F218" i="2"/>
  <c r="G218" i="2"/>
  <c r="H218" i="2"/>
  <c r="E219" i="2"/>
  <c r="F219" i="2"/>
  <c r="G219" i="2"/>
  <c r="H219" i="2"/>
  <c r="E220" i="2"/>
  <c r="F220" i="2"/>
  <c r="G220" i="2"/>
  <c r="H220" i="2"/>
  <c r="E221" i="2"/>
  <c r="F221" i="2"/>
  <c r="G221" i="2"/>
  <c r="H221" i="2"/>
  <c r="E222" i="2"/>
  <c r="F222" i="2"/>
  <c r="G222" i="2"/>
  <c r="H222" i="2"/>
  <c r="E223" i="2"/>
  <c r="F223" i="2"/>
  <c r="G223" i="2"/>
  <c r="H223" i="2"/>
  <c r="E224" i="2"/>
  <c r="F224" i="2"/>
  <c r="G224" i="2"/>
  <c r="H224" i="2"/>
  <c r="E225" i="2"/>
  <c r="F225" i="2"/>
  <c r="G225" i="2"/>
  <c r="H225" i="2"/>
  <c r="E226" i="2"/>
  <c r="F226" i="2"/>
  <c r="G226" i="2"/>
  <c r="H226" i="2"/>
  <c r="E227" i="2"/>
  <c r="F227" i="2"/>
  <c r="G227" i="2"/>
  <c r="H227" i="2"/>
  <c r="E228" i="2"/>
  <c r="F228" i="2"/>
  <c r="G228" i="2"/>
  <c r="H228" i="2"/>
  <c r="E229" i="2"/>
  <c r="F229" i="2"/>
  <c r="G229" i="2"/>
  <c r="H229" i="2"/>
  <c r="E230" i="2"/>
  <c r="F230" i="2"/>
  <c r="G230" i="2"/>
  <c r="H230" i="2"/>
  <c r="E231" i="2"/>
  <c r="F231" i="2"/>
  <c r="G231" i="2"/>
  <c r="H231" i="2"/>
  <c r="E232" i="2"/>
  <c r="F232" i="2"/>
  <c r="G232" i="2"/>
  <c r="H232" i="2"/>
  <c r="E233" i="2"/>
  <c r="F233" i="2"/>
  <c r="G233" i="2"/>
  <c r="H233" i="2"/>
  <c r="E234" i="2"/>
  <c r="F234" i="2"/>
  <c r="G234" i="2"/>
  <c r="H234" i="2"/>
  <c r="E235" i="2"/>
  <c r="F235" i="2"/>
  <c r="G235" i="2"/>
  <c r="H235" i="2"/>
  <c r="E236" i="2"/>
  <c r="F236" i="2"/>
  <c r="G236" i="2"/>
  <c r="H236" i="2"/>
  <c r="E237" i="2"/>
  <c r="F237" i="2"/>
  <c r="G237" i="2"/>
  <c r="H237" i="2"/>
  <c r="E238" i="2"/>
  <c r="F238" i="2"/>
  <c r="G238" i="2"/>
  <c r="H238" i="2"/>
  <c r="E239" i="2"/>
  <c r="F239" i="2"/>
  <c r="G239" i="2"/>
  <c r="H239" i="2"/>
  <c r="E240" i="2"/>
  <c r="F240" i="2"/>
  <c r="G240" i="2"/>
  <c r="H240" i="2"/>
  <c r="E241" i="2"/>
  <c r="F241" i="2"/>
  <c r="G241" i="2"/>
  <c r="H241" i="2"/>
  <c r="E242" i="2"/>
  <c r="F242" i="2"/>
  <c r="G242" i="2"/>
  <c r="H242" i="2"/>
  <c r="E243" i="2"/>
  <c r="F243" i="2"/>
  <c r="G243" i="2"/>
  <c r="H243" i="2"/>
  <c r="E244" i="2"/>
  <c r="F244" i="2"/>
  <c r="G244" i="2"/>
  <c r="H244" i="2"/>
  <c r="E245" i="2"/>
  <c r="F245" i="2"/>
  <c r="G245" i="2"/>
  <c r="H245" i="2"/>
  <c r="E246" i="2"/>
  <c r="F246" i="2"/>
  <c r="G246" i="2"/>
  <c r="H246" i="2"/>
  <c r="E247" i="2"/>
  <c r="F247" i="2"/>
  <c r="G247" i="2"/>
  <c r="H247" i="2"/>
  <c r="E248" i="2"/>
  <c r="F248" i="2"/>
  <c r="G248" i="2"/>
  <c r="H248" i="2"/>
  <c r="E249" i="2"/>
  <c r="F249" i="2"/>
  <c r="G249" i="2"/>
  <c r="H249" i="2"/>
  <c r="E250" i="2"/>
  <c r="F250" i="2"/>
  <c r="G250" i="2"/>
  <c r="H250" i="2"/>
  <c r="E251" i="2"/>
  <c r="F251" i="2"/>
  <c r="G251" i="2"/>
  <c r="H251" i="2"/>
  <c r="E252" i="2"/>
  <c r="F252" i="2"/>
  <c r="G252" i="2"/>
  <c r="H252" i="2"/>
  <c r="E253" i="2"/>
  <c r="F253" i="2"/>
  <c r="G253" i="2"/>
  <c r="H253" i="2"/>
  <c r="E254" i="2"/>
  <c r="F254" i="2"/>
  <c r="G254" i="2"/>
  <c r="H254" i="2"/>
  <c r="E255" i="2"/>
  <c r="F255" i="2"/>
  <c r="G255" i="2"/>
  <c r="H255" i="2"/>
  <c r="E256" i="2"/>
  <c r="F256" i="2"/>
  <c r="G256" i="2"/>
  <c r="H256" i="2"/>
  <c r="E257" i="2"/>
  <c r="F257" i="2"/>
  <c r="G257" i="2"/>
  <c r="H257" i="2"/>
  <c r="E258" i="2"/>
  <c r="F258" i="2"/>
  <c r="G258" i="2"/>
  <c r="H258" i="2"/>
  <c r="E259" i="2"/>
  <c r="F259" i="2"/>
  <c r="G259" i="2"/>
  <c r="H259" i="2"/>
  <c r="E260" i="2"/>
  <c r="F260" i="2"/>
  <c r="G260" i="2"/>
  <c r="H260" i="2"/>
  <c r="E261" i="2"/>
  <c r="F261" i="2"/>
  <c r="G261" i="2"/>
  <c r="H261" i="2"/>
  <c r="E262" i="2"/>
  <c r="F262" i="2"/>
  <c r="G262" i="2"/>
  <c r="H262" i="2"/>
  <c r="E263" i="2"/>
  <c r="F263" i="2"/>
  <c r="G263" i="2"/>
  <c r="H263" i="2"/>
  <c r="E264" i="2"/>
  <c r="F264" i="2"/>
  <c r="G264" i="2"/>
  <c r="H264" i="2"/>
  <c r="E265" i="2"/>
  <c r="F265" i="2"/>
  <c r="G265" i="2"/>
  <c r="H265" i="2"/>
  <c r="E266" i="2"/>
  <c r="F266" i="2"/>
  <c r="G266" i="2"/>
  <c r="H266" i="2"/>
  <c r="E267" i="2"/>
  <c r="F267" i="2"/>
  <c r="G267" i="2"/>
  <c r="H267" i="2"/>
  <c r="E268" i="2"/>
  <c r="F268" i="2"/>
  <c r="G268" i="2"/>
  <c r="H268" i="2"/>
  <c r="E269" i="2"/>
  <c r="F269" i="2"/>
  <c r="G269" i="2"/>
  <c r="H269" i="2"/>
  <c r="E270" i="2"/>
  <c r="F270" i="2"/>
  <c r="G270" i="2"/>
  <c r="H270" i="2"/>
  <c r="E271" i="2"/>
  <c r="F271" i="2"/>
  <c r="G271" i="2"/>
  <c r="H271" i="2"/>
  <c r="E272" i="2"/>
  <c r="F272" i="2"/>
  <c r="G272" i="2"/>
  <c r="H272" i="2"/>
  <c r="E273" i="2"/>
  <c r="F273" i="2"/>
  <c r="G273" i="2"/>
  <c r="H273" i="2"/>
  <c r="E274" i="2"/>
  <c r="F274" i="2"/>
  <c r="G274" i="2"/>
  <c r="H274" i="2"/>
  <c r="E275" i="2"/>
  <c r="F275" i="2"/>
  <c r="G275" i="2"/>
  <c r="H275" i="2"/>
  <c r="E276" i="2"/>
  <c r="F276" i="2"/>
  <c r="G276" i="2"/>
  <c r="H276" i="2"/>
  <c r="E277" i="2"/>
  <c r="F277" i="2"/>
  <c r="G277" i="2"/>
  <c r="H277" i="2"/>
  <c r="E278" i="2"/>
  <c r="F278" i="2"/>
  <c r="G278" i="2"/>
  <c r="H278" i="2"/>
  <c r="E279" i="2"/>
  <c r="F279" i="2"/>
  <c r="G279" i="2"/>
  <c r="H279" i="2"/>
  <c r="E280" i="2"/>
  <c r="F280" i="2"/>
  <c r="G280" i="2"/>
  <c r="H280" i="2"/>
  <c r="E281" i="2"/>
  <c r="F281" i="2"/>
  <c r="G281" i="2"/>
  <c r="H281" i="2"/>
  <c r="E282" i="2"/>
  <c r="F282" i="2"/>
  <c r="G282" i="2"/>
  <c r="H282" i="2"/>
  <c r="E283" i="2"/>
  <c r="F283" i="2"/>
  <c r="G283" i="2"/>
  <c r="H283" i="2"/>
  <c r="E284" i="2"/>
  <c r="F284" i="2"/>
  <c r="G284" i="2"/>
  <c r="H284" i="2"/>
  <c r="E285" i="2"/>
  <c r="F285" i="2"/>
  <c r="G285" i="2"/>
  <c r="H285" i="2"/>
  <c r="E286" i="2"/>
  <c r="F286" i="2"/>
  <c r="G286" i="2"/>
  <c r="H286" i="2"/>
  <c r="E287" i="2"/>
  <c r="F287" i="2"/>
  <c r="G287" i="2"/>
  <c r="H287" i="2"/>
  <c r="E288" i="2"/>
  <c r="F288" i="2"/>
  <c r="G288" i="2"/>
  <c r="H288" i="2"/>
  <c r="E289" i="2"/>
  <c r="F289" i="2"/>
  <c r="G289" i="2"/>
  <c r="H289" i="2"/>
  <c r="E290" i="2"/>
  <c r="F290" i="2"/>
  <c r="G290" i="2"/>
  <c r="H290" i="2"/>
  <c r="E291" i="2"/>
  <c r="F291" i="2"/>
  <c r="G291" i="2"/>
  <c r="H291" i="2"/>
  <c r="E292" i="2"/>
  <c r="F292" i="2"/>
  <c r="G292" i="2"/>
  <c r="H292" i="2"/>
  <c r="E293" i="2"/>
  <c r="F293" i="2"/>
  <c r="G293" i="2"/>
  <c r="H293" i="2"/>
  <c r="E294" i="2"/>
  <c r="F294" i="2"/>
  <c r="G294" i="2"/>
  <c r="H294" i="2"/>
  <c r="E295" i="2"/>
  <c r="F295" i="2"/>
  <c r="G295" i="2"/>
  <c r="H295" i="2"/>
  <c r="E296" i="2"/>
  <c r="F296" i="2"/>
  <c r="G296" i="2"/>
  <c r="H296" i="2"/>
  <c r="E297" i="2"/>
  <c r="F297" i="2"/>
  <c r="G297" i="2"/>
  <c r="H297" i="2"/>
  <c r="E298" i="2"/>
  <c r="F298" i="2"/>
  <c r="G298" i="2"/>
  <c r="H298" i="2"/>
  <c r="E299" i="2"/>
  <c r="F299" i="2"/>
  <c r="G299" i="2"/>
  <c r="H299" i="2"/>
  <c r="E300" i="2"/>
  <c r="F300" i="2"/>
  <c r="G300" i="2"/>
  <c r="H300" i="2"/>
  <c r="E301" i="2"/>
  <c r="F301" i="2"/>
  <c r="G301" i="2"/>
  <c r="H301" i="2"/>
  <c r="E302" i="2"/>
  <c r="F302" i="2"/>
  <c r="G302" i="2"/>
  <c r="H302" i="2"/>
  <c r="E303" i="2"/>
  <c r="F303" i="2"/>
  <c r="G303" i="2"/>
  <c r="H303" i="2"/>
  <c r="E304" i="2"/>
  <c r="F304" i="2"/>
  <c r="G304" i="2"/>
  <c r="H304" i="2"/>
  <c r="E305" i="2"/>
  <c r="F305" i="2"/>
  <c r="G305" i="2"/>
  <c r="H305" i="2"/>
  <c r="E306" i="2"/>
  <c r="F306" i="2"/>
  <c r="G306" i="2"/>
  <c r="H306" i="2"/>
  <c r="E307" i="2"/>
  <c r="F307" i="2"/>
  <c r="G307" i="2"/>
  <c r="H307" i="2"/>
  <c r="E308" i="2"/>
  <c r="F308" i="2"/>
  <c r="G308" i="2"/>
  <c r="H308" i="2"/>
  <c r="E309" i="2"/>
  <c r="F309" i="2"/>
  <c r="G309" i="2"/>
  <c r="H309" i="2"/>
  <c r="E310" i="2"/>
  <c r="F310" i="2"/>
  <c r="G310" i="2"/>
  <c r="H310" i="2"/>
  <c r="E311" i="2"/>
  <c r="F311" i="2"/>
  <c r="G311" i="2"/>
  <c r="H311" i="2"/>
  <c r="E312" i="2"/>
  <c r="F312" i="2"/>
  <c r="G312" i="2"/>
  <c r="H312" i="2"/>
  <c r="E313" i="2"/>
  <c r="F313" i="2"/>
  <c r="G313" i="2"/>
  <c r="H313" i="2"/>
  <c r="E314" i="2"/>
  <c r="F314" i="2"/>
  <c r="G314" i="2"/>
  <c r="H314" i="2"/>
  <c r="E315" i="2"/>
  <c r="F315" i="2"/>
  <c r="G315" i="2"/>
  <c r="H315" i="2"/>
  <c r="E316" i="2"/>
  <c r="F316" i="2"/>
  <c r="G316" i="2"/>
  <c r="H316" i="2"/>
  <c r="E317" i="2"/>
  <c r="F317" i="2"/>
  <c r="G317" i="2"/>
  <c r="H317" i="2"/>
  <c r="E318" i="2"/>
  <c r="F318" i="2"/>
  <c r="G318" i="2"/>
  <c r="H318" i="2"/>
  <c r="E319" i="2"/>
  <c r="F319" i="2"/>
  <c r="G319" i="2"/>
  <c r="H319" i="2"/>
  <c r="E320" i="2"/>
  <c r="F320" i="2"/>
  <c r="G320" i="2"/>
  <c r="H320" i="2"/>
  <c r="E321" i="2"/>
  <c r="F321" i="2"/>
  <c r="G321" i="2"/>
  <c r="H321" i="2"/>
  <c r="E322" i="2"/>
  <c r="F322" i="2"/>
  <c r="G322" i="2"/>
  <c r="H322" i="2"/>
  <c r="E323" i="2"/>
  <c r="F323" i="2"/>
  <c r="G323" i="2"/>
  <c r="H323" i="2"/>
  <c r="E324" i="2"/>
  <c r="F324" i="2"/>
  <c r="G324" i="2"/>
  <c r="H324" i="2"/>
  <c r="E325" i="2"/>
  <c r="F325" i="2"/>
  <c r="G325" i="2"/>
  <c r="H325" i="2"/>
  <c r="E326" i="2"/>
  <c r="F326" i="2"/>
  <c r="G326" i="2"/>
  <c r="H326" i="2"/>
  <c r="E327" i="2"/>
  <c r="F327" i="2"/>
  <c r="G327" i="2"/>
  <c r="H327" i="2"/>
  <c r="E328" i="2"/>
  <c r="F328" i="2"/>
  <c r="G328" i="2"/>
  <c r="H328" i="2"/>
  <c r="E329" i="2"/>
  <c r="F329" i="2"/>
  <c r="G329" i="2"/>
  <c r="H329" i="2"/>
  <c r="E330" i="2"/>
  <c r="F330" i="2"/>
  <c r="G330" i="2"/>
  <c r="H330" i="2"/>
  <c r="E331" i="2"/>
  <c r="F331" i="2"/>
  <c r="G331" i="2"/>
  <c r="H331" i="2"/>
  <c r="E332" i="2"/>
  <c r="F332" i="2"/>
  <c r="G332" i="2"/>
  <c r="H332" i="2"/>
  <c r="E333" i="2"/>
  <c r="F333" i="2"/>
  <c r="G333" i="2"/>
  <c r="H333" i="2"/>
  <c r="E334" i="2"/>
  <c r="F334" i="2"/>
  <c r="G334" i="2"/>
  <c r="H334" i="2"/>
  <c r="E335" i="2"/>
  <c r="F335" i="2"/>
  <c r="G335" i="2"/>
  <c r="H335" i="2"/>
  <c r="E336" i="2"/>
  <c r="F336" i="2"/>
  <c r="G336" i="2"/>
  <c r="H336" i="2"/>
  <c r="E337" i="2"/>
  <c r="F337" i="2"/>
  <c r="G337" i="2"/>
  <c r="H337" i="2"/>
  <c r="E338" i="2"/>
  <c r="F338" i="2"/>
  <c r="G338" i="2"/>
  <c r="H338" i="2"/>
  <c r="E339" i="2"/>
  <c r="F339" i="2"/>
  <c r="G339" i="2"/>
  <c r="H339" i="2"/>
  <c r="E340" i="2"/>
  <c r="F340" i="2"/>
  <c r="G340" i="2"/>
  <c r="H340" i="2"/>
  <c r="E341" i="2"/>
  <c r="F341" i="2"/>
  <c r="G341" i="2"/>
  <c r="H341" i="2"/>
  <c r="E342" i="2"/>
  <c r="F342" i="2"/>
  <c r="G342" i="2"/>
  <c r="H342" i="2"/>
  <c r="E343" i="2"/>
  <c r="F343" i="2"/>
  <c r="G343" i="2"/>
  <c r="H343" i="2"/>
  <c r="E344" i="2"/>
  <c r="F344" i="2"/>
  <c r="G344" i="2"/>
  <c r="H344" i="2"/>
  <c r="E345" i="2"/>
  <c r="F345" i="2"/>
  <c r="G345" i="2"/>
  <c r="H345" i="2"/>
  <c r="E346" i="2"/>
  <c r="F346" i="2"/>
  <c r="G346" i="2"/>
  <c r="H346" i="2"/>
  <c r="E347" i="2"/>
  <c r="F347" i="2"/>
  <c r="G347" i="2"/>
  <c r="H347" i="2"/>
  <c r="E348" i="2"/>
  <c r="F348" i="2"/>
  <c r="G348" i="2"/>
  <c r="H348" i="2"/>
  <c r="E349" i="2"/>
  <c r="F349" i="2"/>
  <c r="G349" i="2"/>
  <c r="H349" i="2"/>
  <c r="E350" i="2"/>
  <c r="F350" i="2"/>
  <c r="G350" i="2"/>
  <c r="H350" i="2"/>
  <c r="E351" i="2"/>
  <c r="F351" i="2"/>
  <c r="G351" i="2"/>
  <c r="H351" i="2"/>
  <c r="E352" i="2"/>
  <c r="F352" i="2"/>
  <c r="G352" i="2"/>
  <c r="H352" i="2"/>
  <c r="E353" i="2"/>
  <c r="F353" i="2"/>
  <c r="G353" i="2"/>
  <c r="H353" i="2"/>
  <c r="E354" i="2"/>
  <c r="F354" i="2"/>
  <c r="G354" i="2"/>
  <c r="H354" i="2"/>
  <c r="E355" i="2"/>
  <c r="F355" i="2"/>
  <c r="G355" i="2"/>
  <c r="H355" i="2"/>
  <c r="E356" i="2"/>
  <c r="F356" i="2"/>
  <c r="G356" i="2"/>
  <c r="H356" i="2"/>
  <c r="E357" i="2"/>
  <c r="F357" i="2"/>
  <c r="G357" i="2"/>
  <c r="H357" i="2"/>
  <c r="E358" i="2"/>
  <c r="F358" i="2"/>
  <c r="G358" i="2"/>
  <c r="H358" i="2"/>
  <c r="E359" i="2"/>
  <c r="F359" i="2"/>
  <c r="G359" i="2"/>
  <c r="H359" i="2"/>
  <c r="E360" i="2"/>
  <c r="F360" i="2"/>
  <c r="G360" i="2"/>
  <c r="H360" i="2"/>
  <c r="E361" i="2"/>
  <c r="F361" i="2"/>
  <c r="G361" i="2"/>
  <c r="H361" i="2"/>
  <c r="E362" i="2"/>
  <c r="F362" i="2"/>
  <c r="G362" i="2"/>
  <c r="H362" i="2"/>
  <c r="E363" i="2"/>
  <c r="F363" i="2"/>
  <c r="G363" i="2"/>
  <c r="H363" i="2"/>
  <c r="E364" i="2"/>
  <c r="F364" i="2"/>
  <c r="G364" i="2"/>
  <c r="H364" i="2"/>
  <c r="E365" i="2"/>
  <c r="F365" i="2"/>
  <c r="G365" i="2"/>
  <c r="H365" i="2"/>
  <c r="E366" i="2"/>
  <c r="F366" i="2"/>
  <c r="G366" i="2"/>
  <c r="H366" i="2"/>
  <c r="E367" i="2"/>
  <c r="F367" i="2"/>
  <c r="G367" i="2"/>
  <c r="H367" i="2"/>
  <c r="E368" i="2"/>
  <c r="F368" i="2"/>
  <c r="G368" i="2"/>
  <c r="H368" i="2"/>
  <c r="E369" i="2"/>
  <c r="F369" i="2"/>
  <c r="G369" i="2"/>
  <c r="H369" i="2"/>
  <c r="E370" i="2"/>
  <c r="F370" i="2"/>
  <c r="G370" i="2"/>
  <c r="H370" i="2"/>
  <c r="E371" i="2"/>
  <c r="F371" i="2"/>
  <c r="G371" i="2"/>
  <c r="H371" i="2"/>
  <c r="E372" i="2"/>
  <c r="F372" i="2"/>
  <c r="G372" i="2"/>
  <c r="H372" i="2"/>
  <c r="E373" i="2"/>
  <c r="F373" i="2"/>
  <c r="G373" i="2"/>
  <c r="H373" i="2"/>
  <c r="E374" i="2"/>
  <c r="F374" i="2"/>
  <c r="G374" i="2"/>
  <c r="H374" i="2"/>
  <c r="E375" i="2"/>
  <c r="F375" i="2"/>
  <c r="G375" i="2"/>
  <c r="H375" i="2"/>
  <c r="E376" i="2"/>
  <c r="F376" i="2"/>
  <c r="G376" i="2"/>
  <c r="H376" i="2"/>
  <c r="E377" i="2"/>
  <c r="F377" i="2"/>
  <c r="G377" i="2"/>
  <c r="H377" i="2"/>
  <c r="E378" i="2"/>
  <c r="F378" i="2"/>
  <c r="G378" i="2"/>
  <c r="H378" i="2"/>
  <c r="E379" i="2"/>
  <c r="F379" i="2"/>
  <c r="G379" i="2"/>
  <c r="H379" i="2"/>
  <c r="E380" i="2"/>
  <c r="F380" i="2"/>
  <c r="G380" i="2"/>
  <c r="H380" i="2"/>
  <c r="E381" i="2"/>
  <c r="F381" i="2"/>
  <c r="G381" i="2"/>
  <c r="H381" i="2"/>
  <c r="E382" i="2"/>
  <c r="F382" i="2"/>
  <c r="G382" i="2"/>
  <c r="H382" i="2"/>
  <c r="E383" i="2"/>
  <c r="F383" i="2"/>
  <c r="G383" i="2"/>
  <c r="H383" i="2"/>
  <c r="E384" i="2"/>
  <c r="F384" i="2"/>
  <c r="G384" i="2"/>
  <c r="H384" i="2"/>
  <c r="E385" i="2"/>
  <c r="F385" i="2"/>
  <c r="G385" i="2"/>
  <c r="H385" i="2"/>
  <c r="E386" i="2"/>
  <c r="F386" i="2"/>
  <c r="G386" i="2"/>
  <c r="H386" i="2"/>
  <c r="E387" i="2"/>
  <c r="F387" i="2"/>
  <c r="G387" i="2"/>
  <c r="H387" i="2"/>
  <c r="E388" i="2"/>
  <c r="F388" i="2"/>
  <c r="G388" i="2"/>
  <c r="H388" i="2"/>
  <c r="E389" i="2"/>
  <c r="F389" i="2"/>
  <c r="G389" i="2"/>
  <c r="H389" i="2"/>
  <c r="E390" i="2"/>
  <c r="F390" i="2"/>
  <c r="G390" i="2"/>
  <c r="H390" i="2"/>
  <c r="E391" i="2"/>
  <c r="F391" i="2"/>
  <c r="G391" i="2"/>
  <c r="H391" i="2"/>
  <c r="E392" i="2"/>
  <c r="F392" i="2"/>
  <c r="G392" i="2"/>
  <c r="H392" i="2"/>
  <c r="E393" i="2"/>
  <c r="F393" i="2"/>
  <c r="G393" i="2"/>
  <c r="H393" i="2"/>
  <c r="E394" i="2"/>
  <c r="F394" i="2"/>
  <c r="G394" i="2"/>
  <c r="H394" i="2"/>
  <c r="E395" i="2"/>
  <c r="F395" i="2"/>
  <c r="G395" i="2"/>
  <c r="H395" i="2"/>
  <c r="E396" i="2"/>
  <c r="F396" i="2"/>
  <c r="G396" i="2"/>
  <c r="H396" i="2"/>
  <c r="E397" i="2"/>
  <c r="F397" i="2"/>
  <c r="G397" i="2"/>
  <c r="H397" i="2"/>
  <c r="E398" i="2"/>
  <c r="F398" i="2"/>
  <c r="G398" i="2"/>
  <c r="H398" i="2"/>
  <c r="E399" i="2"/>
  <c r="F399" i="2"/>
  <c r="G399" i="2"/>
  <c r="H399" i="2"/>
  <c r="E400" i="2"/>
  <c r="F400" i="2"/>
  <c r="G400" i="2"/>
  <c r="H400" i="2"/>
  <c r="E401" i="2"/>
  <c r="F401" i="2"/>
  <c r="G401" i="2"/>
  <c r="H401" i="2"/>
  <c r="E402" i="2"/>
  <c r="F402" i="2"/>
  <c r="G402" i="2"/>
  <c r="H402" i="2"/>
  <c r="E403" i="2"/>
  <c r="F403" i="2"/>
  <c r="G403" i="2"/>
  <c r="H403" i="2"/>
  <c r="E404" i="2"/>
  <c r="F404" i="2"/>
  <c r="G404" i="2"/>
  <c r="H404" i="2"/>
  <c r="E405" i="2"/>
  <c r="F405" i="2"/>
  <c r="G405" i="2"/>
  <c r="H405" i="2"/>
  <c r="E406" i="2"/>
  <c r="F406" i="2"/>
  <c r="G406" i="2"/>
  <c r="H406" i="2"/>
  <c r="E407" i="2"/>
  <c r="F407" i="2"/>
  <c r="G407" i="2"/>
  <c r="H407" i="2"/>
  <c r="E408" i="2"/>
  <c r="F408" i="2"/>
  <c r="G408" i="2"/>
  <c r="H408" i="2"/>
  <c r="E409" i="2"/>
  <c r="F409" i="2"/>
  <c r="G409" i="2"/>
  <c r="H409" i="2"/>
  <c r="E410" i="2"/>
  <c r="F410" i="2"/>
  <c r="G410" i="2"/>
  <c r="H410" i="2"/>
  <c r="E411" i="2"/>
  <c r="F411" i="2"/>
  <c r="G411" i="2"/>
  <c r="H411" i="2"/>
  <c r="E412" i="2"/>
  <c r="F412" i="2"/>
  <c r="G412" i="2"/>
  <c r="H412" i="2"/>
  <c r="E413" i="2"/>
  <c r="F413" i="2"/>
  <c r="G413" i="2"/>
  <c r="H413" i="2"/>
  <c r="E414" i="2"/>
  <c r="F414" i="2"/>
  <c r="G414" i="2"/>
  <c r="H414" i="2"/>
  <c r="E415" i="2"/>
  <c r="F415" i="2"/>
  <c r="G415" i="2"/>
  <c r="H415" i="2"/>
  <c r="E416" i="2"/>
  <c r="F416" i="2"/>
  <c r="G416" i="2"/>
  <c r="H416" i="2"/>
  <c r="E417" i="2"/>
  <c r="F417" i="2"/>
  <c r="G417" i="2"/>
  <c r="H417" i="2"/>
  <c r="E418" i="2"/>
  <c r="F418" i="2"/>
  <c r="G418" i="2"/>
  <c r="H418" i="2"/>
  <c r="E419" i="2"/>
  <c r="F419" i="2"/>
  <c r="G419" i="2"/>
  <c r="H419" i="2"/>
  <c r="E420" i="2"/>
  <c r="F420" i="2"/>
  <c r="G420" i="2"/>
  <c r="H420" i="2"/>
  <c r="E421" i="2"/>
  <c r="F421" i="2"/>
  <c r="G421" i="2"/>
  <c r="H421" i="2"/>
  <c r="E422" i="2"/>
  <c r="F422" i="2"/>
  <c r="G422" i="2"/>
  <c r="H422" i="2"/>
  <c r="E423" i="2"/>
  <c r="F423" i="2"/>
  <c r="G423" i="2"/>
  <c r="H423" i="2"/>
  <c r="E424" i="2"/>
  <c r="F424" i="2"/>
  <c r="G424" i="2"/>
  <c r="H424" i="2"/>
  <c r="E425" i="2"/>
  <c r="F425" i="2"/>
  <c r="G425" i="2"/>
  <c r="H425" i="2"/>
  <c r="E426" i="2"/>
  <c r="F426" i="2"/>
  <c r="G426" i="2"/>
  <c r="H426" i="2"/>
  <c r="E427" i="2"/>
  <c r="F427" i="2"/>
  <c r="G427" i="2"/>
  <c r="H427" i="2"/>
  <c r="E428" i="2"/>
  <c r="F428" i="2"/>
  <c r="G428" i="2"/>
  <c r="H428" i="2"/>
  <c r="E429" i="2"/>
  <c r="F429" i="2"/>
  <c r="G429" i="2"/>
  <c r="H429" i="2"/>
  <c r="E430" i="2"/>
  <c r="F430" i="2"/>
  <c r="G430" i="2"/>
  <c r="H430" i="2"/>
  <c r="E431" i="2"/>
  <c r="F431" i="2"/>
  <c r="G431" i="2"/>
  <c r="H431" i="2"/>
  <c r="E432" i="2"/>
  <c r="F432" i="2"/>
  <c r="G432" i="2"/>
  <c r="H432" i="2"/>
  <c r="E433" i="2"/>
  <c r="F433" i="2"/>
  <c r="G433" i="2"/>
  <c r="H433" i="2"/>
  <c r="E434" i="2"/>
  <c r="F434" i="2"/>
  <c r="G434" i="2"/>
  <c r="H434" i="2"/>
  <c r="E435" i="2"/>
  <c r="F435" i="2"/>
  <c r="G435" i="2"/>
  <c r="H435" i="2"/>
  <c r="E436" i="2"/>
  <c r="F436" i="2"/>
  <c r="G436" i="2"/>
  <c r="H436" i="2"/>
  <c r="E437" i="2"/>
  <c r="F437" i="2"/>
  <c r="G437" i="2"/>
  <c r="H437" i="2"/>
  <c r="E438" i="2"/>
  <c r="F438" i="2"/>
  <c r="G438" i="2"/>
  <c r="H438" i="2"/>
  <c r="E439" i="2"/>
  <c r="F439" i="2"/>
  <c r="G439" i="2"/>
  <c r="H439" i="2"/>
  <c r="E440" i="2"/>
  <c r="F440" i="2"/>
  <c r="G440" i="2"/>
  <c r="H440" i="2"/>
  <c r="E441" i="2"/>
  <c r="F441" i="2"/>
  <c r="G441" i="2"/>
  <c r="H441" i="2"/>
  <c r="E442" i="2"/>
  <c r="F442" i="2"/>
  <c r="G442" i="2"/>
  <c r="H442" i="2"/>
  <c r="E443" i="2"/>
  <c r="F443" i="2"/>
  <c r="G443" i="2"/>
  <c r="H443" i="2"/>
  <c r="E444" i="2"/>
  <c r="F444" i="2"/>
  <c r="G444" i="2"/>
  <c r="H444" i="2"/>
  <c r="E445" i="2"/>
  <c r="F445" i="2"/>
  <c r="G445" i="2"/>
  <c r="H445" i="2"/>
  <c r="E446" i="2"/>
  <c r="F446" i="2"/>
  <c r="G446" i="2"/>
  <c r="H446" i="2"/>
  <c r="E447" i="2"/>
  <c r="F447" i="2"/>
  <c r="G447" i="2"/>
  <c r="H447" i="2"/>
  <c r="E448" i="2"/>
  <c r="F448" i="2"/>
  <c r="G448" i="2"/>
  <c r="H448" i="2"/>
  <c r="E449" i="2"/>
  <c r="F449" i="2"/>
  <c r="G449" i="2"/>
  <c r="H449" i="2"/>
  <c r="E450" i="2"/>
  <c r="F450" i="2"/>
  <c r="G450" i="2"/>
  <c r="H450" i="2"/>
  <c r="E451" i="2"/>
  <c r="F451" i="2"/>
  <c r="G451" i="2"/>
  <c r="H451" i="2"/>
  <c r="E452" i="2"/>
  <c r="F452" i="2"/>
  <c r="G452" i="2"/>
  <c r="H452" i="2"/>
  <c r="E453" i="2"/>
  <c r="F453" i="2"/>
  <c r="G453" i="2"/>
  <c r="H453" i="2"/>
  <c r="E454" i="2"/>
  <c r="F454" i="2"/>
  <c r="G454" i="2"/>
  <c r="H454" i="2"/>
  <c r="E455" i="2"/>
  <c r="F455" i="2"/>
  <c r="G455" i="2"/>
  <c r="H455" i="2"/>
  <c r="E456" i="2"/>
  <c r="F456" i="2"/>
  <c r="G456" i="2"/>
  <c r="H456" i="2"/>
  <c r="E457" i="2"/>
  <c r="F457" i="2"/>
  <c r="G457" i="2"/>
  <c r="H457" i="2"/>
  <c r="E458" i="2"/>
  <c r="F458" i="2"/>
  <c r="G458" i="2"/>
  <c r="H458" i="2"/>
  <c r="E459" i="2"/>
  <c r="F459" i="2"/>
  <c r="G459" i="2"/>
  <c r="H459" i="2"/>
  <c r="E460" i="2"/>
  <c r="F460" i="2"/>
  <c r="G460" i="2"/>
  <c r="H460" i="2"/>
  <c r="E461" i="2"/>
  <c r="F461" i="2"/>
  <c r="G461" i="2"/>
  <c r="H461" i="2"/>
  <c r="E462" i="2"/>
  <c r="F462" i="2"/>
  <c r="G462" i="2"/>
  <c r="H462" i="2"/>
  <c r="E463" i="2"/>
  <c r="F463" i="2"/>
  <c r="G463" i="2"/>
  <c r="H463" i="2"/>
  <c r="E464" i="2"/>
  <c r="F464" i="2"/>
  <c r="G464" i="2"/>
  <c r="H464" i="2"/>
  <c r="E465" i="2"/>
  <c r="F465" i="2"/>
  <c r="G465" i="2"/>
  <c r="H465" i="2"/>
  <c r="E466" i="2"/>
  <c r="F466" i="2"/>
  <c r="G466" i="2"/>
  <c r="H466" i="2"/>
  <c r="E467" i="2"/>
  <c r="F467" i="2"/>
  <c r="G467" i="2"/>
  <c r="H467" i="2"/>
  <c r="E468" i="2"/>
  <c r="F468" i="2"/>
  <c r="G468" i="2"/>
  <c r="H468" i="2"/>
  <c r="E469" i="2"/>
  <c r="F469" i="2"/>
  <c r="G469" i="2"/>
  <c r="H469" i="2"/>
  <c r="E470" i="2"/>
  <c r="F470" i="2"/>
  <c r="G470" i="2"/>
  <c r="H470" i="2"/>
  <c r="E471" i="2"/>
  <c r="F471" i="2"/>
  <c r="G471" i="2"/>
  <c r="H471" i="2"/>
  <c r="E472" i="2"/>
  <c r="F472" i="2"/>
  <c r="G472" i="2"/>
  <c r="H472" i="2"/>
  <c r="E473" i="2"/>
  <c r="F473" i="2"/>
  <c r="G473" i="2"/>
  <c r="H473" i="2"/>
  <c r="E474" i="2"/>
  <c r="F474" i="2"/>
  <c r="G474" i="2"/>
  <c r="H474" i="2"/>
  <c r="E475" i="2"/>
  <c r="F475" i="2"/>
  <c r="G475" i="2"/>
  <c r="H475" i="2"/>
  <c r="E476" i="2"/>
  <c r="F476" i="2"/>
  <c r="G476" i="2"/>
  <c r="H476" i="2"/>
  <c r="E477" i="2"/>
  <c r="F477" i="2"/>
  <c r="G477" i="2"/>
  <c r="H477" i="2"/>
  <c r="E478" i="2"/>
  <c r="F478" i="2"/>
  <c r="G478" i="2"/>
  <c r="H478" i="2"/>
  <c r="E479" i="2"/>
  <c r="F479" i="2"/>
  <c r="G479" i="2"/>
  <c r="H479" i="2"/>
  <c r="E480" i="2"/>
  <c r="F480" i="2"/>
  <c r="G480" i="2"/>
  <c r="H480" i="2"/>
  <c r="E481" i="2"/>
  <c r="F481" i="2"/>
  <c r="G481" i="2"/>
  <c r="H481" i="2"/>
  <c r="E482" i="2"/>
  <c r="F482" i="2"/>
  <c r="G482" i="2"/>
  <c r="H482" i="2"/>
  <c r="E483" i="2"/>
  <c r="F483" i="2"/>
  <c r="G483" i="2"/>
  <c r="H483" i="2"/>
  <c r="E484" i="2"/>
  <c r="F484" i="2"/>
  <c r="G484" i="2"/>
  <c r="H484" i="2"/>
  <c r="E485" i="2"/>
  <c r="F485" i="2"/>
  <c r="G485" i="2"/>
  <c r="H485" i="2"/>
  <c r="E486" i="2"/>
  <c r="F486" i="2"/>
  <c r="G486" i="2"/>
  <c r="H486" i="2"/>
  <c r="E487" i="2"/>
  <c r="F487" i="2"/>
  <c r="G487" i="2"/>
  <c r="H487" i="2"/>
  <c r="E488" i="2"/>
  <c r="F488" i="2"/>
  <c r="G488" i="2"/>
  <c r="H488" i="2"/>
  <c r="E489" i="2"/>
  <c r="F489" i="2"/>
  <c r="G489" i="2"/>
  <c r="H489" i="2"/>
  <c r="E490" i="2"/>
  <c r="F490" i="2"/>
  <c r="G490" i="2"/>
  <c r="H490" i="2"/>
  <c r="E491" i="2"/>
  <c r="F491" i="2"/>
  <c r="G491" i="2"/>
  <c r="H491" i="2"/>
  <c r="E492" i="2"/>
  <c r="F492" i="2"/>
  <c r="G492" i="2"/>
  <c r="H492" i="2"/>
  <c r="E493" i="2"/>
  <c r="F493" i="2"/>
  <c r="G493" i="2"/>
  <c r="H493" i="2"/>
  <c r="E494" i="2"/>
  <c r="F494" i="2"/>
  <c r="G494" i="2"/>
  <c r="H494" i="2"/>
  <c r="E495" i="2"/>
  <c r="F495" i="2"/>
  <c r="G495" i="2"/>
  <c r="H495" i="2"/>
  <c r="E496" i="2"/>
  <c r="F496" i="2"/>
  <c r="G496" i="2"/>
  <c r="H496" i="2"/>
  <c r="E497" i="2"/>
  <c r="F497" i="2"/>
  <c r="G497" i="2"/>
  <c r="H497" i="2"/>
  <c r="E498" i="2"/>
  <c r="F498" i="2"/>
  <c r="G498" i="2"/>
  <c r="H498" i="2"/>
  <c r="E499" i="2"/>
  <c r="F499" i="2"/>
  <c r="G499" i="2"/>
  <c r="H499" i="2"/>
  <c r="E500" i="2"/>
  <c r="F500" i="2"/>
  <c r="G500" i="2"/>
  <c r="H500" i="2"/>
  <c r="E501" i="2"/>
  <c r="F501" i="2"/>
  <c r="G501" i="2"/>
  <c r="H501" i="2"/>
  <c r="E502" i="2"/>
  <c r="F502" i="2"/>
  <c r="G502" i="2"/>
  <c r="H502" i="2"/>
  <c r="E503" i="2"/>
  <c r="F503" i="2"/>
  <c r="G503" i="2"/>
  <c r="H503" i="2"/>
  <c r="E504" i="2"/>
  <c r="F504" i="2"/>
  <c r="G504" i="2"/>
  <c r="H504" i="2"/>
  <c r="E505" i="2"/>
  <c r="F505" i="2"/>
  <c r="G505" i="2"/>
  <c r="H505" i="2"/>
  <c r="E506" i="2"/>
  <c r="F506" i="2"/>
  <c r="G506" i="2"/>
  <c r="H506" i="2"/>
  <c r="E507" i="2"/>
  <c r="F507" i="2"/>
  <c r="G507" i="2"/>
  <c r="H507" i="2"/>
  <c r="E508" i="2"/>
  <c r="F508" i="2"/>
  <c r="G508" i="2"/>
  <c r="H508" i="2"/>
  <c r="E509" i="2"/>
  <c r="F509" i="2"/>
  <c r="G509" i="2"/>
  <c r="H509" i="2"/>
  <c r="E510" i="2"/>
  <c r="F510" i="2"/>
  <c r="G510" i="2"/>
  <c r="H510" i="2"/>
  <c r="E511" i="2"/>
  <c r="F511" i="2"/>
  <c r="G511" i="2"/>
  <c r="H511" i="2"/>
  <c r="E512" i="2"/>
  <c r="F512" i="2"/>
  <c r="G512" i="2"/>
  <c r="H512" i="2"/>
  <c r="E513" i="2"/>
  <c r="F513" i="2"/>
  <c r="G513" i="2"/>
  <c r="H513" i="2"/>
  <c r="E514" i="2"/>
  <c r="F514" i="2"/>
  <c r="G514" i="2"/>
  <c r="H514" i="2"/>
  <c r="E515" i="2"/>
  <c r="F515" i="2"/>
  <c r="G515" i="2"/>
  <c r="H515" i="2"/>
  <c r="E516" i="2"/>
  <c r="F516" i="2"/>
  <c r="G516" i="2"/>
  <c r="H516" i="2"/>
  <c r="E517" i="2"/>
  <c r="F517" i="2"/>
  <c r="G517" i="2"/>
  <c r="H517" i="2"/>
  <c r="E518" i="2"/>
  <c r="F518" i="2"/>
  <c r="G518" i="2"/>
  <c r="H518" i="2"/>
  <c r="E519" i="2"/>
  <c r="F519" i="2"/>
  <c r="G519" i="2"/>
  <c r="H519" i="2"/>
  <c r="E520" i="2"/>
  <c r="F520" i="2"/>
  <c r="G520" i="2"/>
  <c r="H520" i="2"/>
  <c r="E521" i="2"/>
  <c r="F521" i="2"/>
  <c r="G521" i="2"/>
  <c r="H521" i="2"/>
  <c r="E522" i="2"/>
  <c r="F522" i="2"/>
  <c r="G522" i="2"/>
  <c r="H522" i="2"/>
  <c r="E523" i="2"/>
  <c r="F523" i="2"/>
  <c r="G523" i="2"/>
  <c r="H523" i="2"/>
  <c r="E524" i="2"/>
  <c r="F524" i="2"/>
  <c r="G524" i="2"/>
  <c r="H524" i="2"/>
  <c r="E525" i="2"/>
  <c r="F525" i="2"/>
  <c r="G525" i="2"/>
  <c r="H525" i="2"/>
  <c r="E526" i="2"/>
  <c r="F526" i="2"/>
  <c r="G526" i="2"/>
  <c r="H526" i="2"/>
  <c r="E527" i="2"/>
  <c r="F527" i="2"/>
  <c r="G527" i="2"/>
  <c r="H527" i="2"/>
  <c r="E528" i="2"/>
  <c r="F528" i="2"/>
  <c r="G528" i="2"/>
  <c r="H528" i="2"/>
  <c r="E529" i="2"/>
  <c r="F529" i="2"/>
  <c r="G529" i="2"/>
  <c r="H529" i="2"/>
  <c r="E530" i="2"/>
  <c r="F530" i="2"/>
  <c r="G530" i="2"/>
  <c r="H530" i="2"/>
  <c r="E531" i="2"/>
  <c r="F531" i="2"/>
  <c r="G531" i="2"/>
  <c r="H531" i="2"/>
  <c r="E532" i="2"/>
  <c r="F532" i="2"/>
  <c r="G532" i="2"/>
  <c r="H532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39" i="2"/>
  <c r="M531" i="2"/>
  <c r="N530" i="2"/>
  <c r="M522" i="2"/>
  <c r="K530" i="2"/>
  <c r="M526" i="2"/>
  <c r="M525" i="2"/>
  <c r="L523" i="2"/>
  <c r="N532" i="2"/>
  <c r="L527" i="2"/>
  <c r="L521" i="2"/>
  <c r="N523" i="2"/>
  <c r="K523" i="2"/>
  <c r="M523" i="2"/>
  <c r="N528" i="2"/>
  <c r="N531" i="2"/>
  <c r="K531" i="2"/>
  <c r="L528" i="2"/>
  <c r="M527" i="2"/>
  <c r="L525" i="2"/>
  <c r="L531" i="2"/>
  <c r="L532" i="2"/>
  <c r="N527" i="2"/>
  <c r="K529" i="2"/>
  <c r="K522" i="2"/>
  <c r="K532" i="2"/>
  <c r="M528" i="2"/>
  <c r="M524" i="2"/>
  <c r="L524" i="2"/>
  <c r="M521" i="2"/>
  <c r="K527" i="2"/>
  <c r="M532" i="2"/>
  <c r="L526" i="2"/>
  <c r="N521" i="2"/>
  <c r="N522" i="2"/>
  <c r="K525" i="2"/>
  <c r="N525" i="2"/>
  <c r="L530" i="2"/>
  <c r="L522" i="2"/>
  <c r="L529" i="2"/>
  <c r="K521" i="2"/>
  <c r="K524" i="2"/>
  <c r="M529" i="2"/>
  <c r="N524" i="2"/>
  <c r="M530" i="2"/>
  <c r="K526" i="2"/>
  <c r="N529" i="2"/>
  <c r="N526" i="2"/>
  <c r="K528" i="2"/>
  <c r="J528" i="2"/>
  <c r="J529" i="2"/>
  <c r="J522" i="2"/>
  <c r="J524" i="2"/>
  <c r="J527" i="2"/>
  <c r="J532" i="2"/>
  <c r="J530" i="2"/>
  <c r="J521" i="2"/>
  <c r="J525" i="2"/>
  <c r="J526" i="2"/>
  <c r="J523" i="2"/>
  <c r="J531" i="2"/>
  <c r="T526" i="2" l="1"/>
  <c r="T529" i="2"/>
  <c r="S530" i="2"/>
  <c r="T524" i="2"/>
  <c r="S529" i="2"/>
  <c r="T525" i="2"/>
  <c r="T522" i="2"/>
  <c r="T521" i="2"/>
  <c r="S532" i="2"/>
  <c r="S521" i="2"/>
  <c r="S524" i="2"/>
  <c r="S528" i="2"/>
  <c r="T527" i="2"/>
  <c r="S527" i="2"/>
  <c r="T531" i="2"/>
  <c r="T528" i="2"/>
  <c r="S523" i="2"/>
  <c r="T523" i="2"/>
  <c r="T532" i="2"/>
  <c r="S525" i="2"/>
  <c r="S526" i="2"/>
  <c r="S522" i="2"/>
  <c r="T530" i="2"/>
  <c r="S531" i="2"/>
  <c r="Q528" i="2"/>
  <c r="Q526" i="2"/>
  <c r="Q524" i="2"/>
  <c r="Q521" i="2"/>
  <c r="Q525" i="2"/>
  <c r="Q527" i="2"/>
  <c r="Q532" i="2"/>
  <c r="Q522" i="2"/>
  <c r="Q529" i="2"/>
  <c r="Q531" i="2"/>
  <c r="Q523" i="2"/>
  <c r="Q530" i="2"/>
  <c r="P531" i="2"/>
  <c r="P523" i="2"/>
  <c r="P526" i="2"/>
  <c r="P525" i="2"/>
  <c r="P521" i="2"/>
  <c r="P530" i="2"/>
  <c r="P532" i="2"/>
  <c r="P527" i="2"/>
  <c r="P524" i="2"/>
  <c r="P522" i="2"/>
  <c r="P529" i="2"/>
  <c r="P528" i="2"/>
  <c r="R529" i="2"/>
  <c r="R522" i="2"/>
  <c r="R530" i="2"/>
  <c r="R526" i="2"/>
  <c r="R524" i="2"/>
  <c r="R532" i="2"/>
  <c r="R531" i="2"/>
  <c r="R525" i="2"/>
  <c r="R528" i="2"/>
  <c r="R521" i="2"/>
  <c r="R527" i="2"/>
  <c r="R523" i="2"/>
  <c r="V521" i="2" l="1"/>
  <c r="X521" i="2" s="1"/>
  <c r="V530" i="2"/>
  <c r="X530" i="2" s="1"/>
  <c r="V529" i="2"/>
  <c r="X529" i="2" s="1"/>
  <c r="V523" i="2"/>
  <c r="X523" i="2" s="1"/>
  <c r="V527" i="2"/>
  <c r="X527" i="2" s="1"/>
  <c r="V525" i="2"/>
  <c r="V524" i="2"/>
  <c r="X524" i="2" s="1"/>
  <c r="V528" i="2"/>
  <c r="X528" i="2" s="1"/>
  <c r="V526" i="2"/>
  <c r="X526" i="2" s="1"/>
  <c r="V522" i="2"/>
  <c r="X522" i="2" s="1"/>
  <c r="V531" i="2"/>
  <c r="X531" i="2" s="1"/>
  <c r="V532" i="2"/>
  <c r="X532" i="2" s="1"/>
  <c r="X525" i="2"/>
  <c r="Y525" i="2"/>
  <c r="N114" i="2"/>
  <c r="M114" i="2"/>
  <c r="K114" i="2"/>
  <c r="L114" i="2"/>
  <c r="J114" i="2"/>
  <c r="Y524" i="2" l="1"/>
  <c r="Y521" i="2"/>
  <c r="Y527" i="2"/>
  <c r="Y530" i="2"/>
  <c r="S114" i="2"/>
  <c r="T114" i="2"/>
  <c r="Y523" i="2"/>
  <c r="Y529" i="2"/>
  <c r="Q114" i="2"/>
  <c r="Y526" i="2"/>
  <c r="Y531" i="2"/>
  <c r="Y532" i="2"/>
  <c r="Y522" i="2"/>
  <c r="Y528" i="2"/>
  <c r="P114" i="2"/>
  <c r="R114" i="2"/>
  <c r="D26" i="2"/>
  <c r="E26" i="2"/>
  <c r="F26" i="2"/>
  <c r="G26" i="2"/>
  <c r="C26" i="2"/>
  <c r="M115" i="2"/>
  <c r="N115" i="2"/>
  <c r="L115" i="2"/>
  <c r="K115" i="2"/>
  <c r="J115" i="2"/>
  <c r="T115" i="2" l="1"/>
  <c r="S115" i="2"/>
  <c r="Q115" i="2"/>
  <c r="P115" i="2"/>
  <c r="R115" i="2"/>
  <c r="V114" i="2"/>
  <c r="D25" i="2"/>
  <c r="E25" i="2"/>
  <c r="F25" i="2"/>
  <c r="G25" i="2"/>
  <c r="C25" i="2"/>
  <c r="L93" i="2"/>
  <c r="N56" i="2"/>
  <c r="L111" i="2"/>
  <c r="M95" i="2"/>
  <c r="N76" i="2"/>
  <c r="K80" i="2"/>
  <c r="L54" i="2"/>
  <c r="M65" i="2"/>
  <c r="K90" i="2"/>
  <c r="N79" i="2"/>
  <c r="M69" i="2"/>
  <c r="K52" i="2"/>
  <c r="K77" i="2"/>
  <c r="L80" i="2"/>
  <c r="K81" i="2"/>
  <c r="K106" i="2"/>
  <c r="L56" i="2"/>
  <c r="K103" i="2"/>
  <c r="L98" i="2"/>
  <c r="N72" i="2"/>
  <c r="L116" i="2"/>
  <c r="M81" i="2"/>
  <c r="N98" i="2"/>
  <c r="N48" i="2"/>
  <c r="M74" i="2"/>
  <c r="M57" i="2"/>
  <c r="K92" i="2"/>
  <c r="K94" i="2"/>
  <c r="L97" i="2"/>
  <c r="M67" i="2"/>
  <c r="M45" i="2"/>
  <c r="K109" i="2"/>
  <c r="M94" i="2"/>
  <c r="L63" i="2"/>
  <c r="M41" i="2"/>
  <c r="N57" i="2"/>
  <c r="N88" i="2"/>
  <c r="K42" i="2"/>
  <c r="K48" i="2"/>
  <c r="N100" i="2"/>
  <c r="K97" i="2"/>
  <c r="N116" i="2"/>
  <c r="L50" i="2"/>
  <c r="K65" i="2"/>
  <c r="M102" i="2"/>
  <c r="N90" i="2"/>
  <c r="M71" i="2"/>
  <c r="M100" i="2"/>
  <c r="N75" i="2"/>
  <c r="K74" i="2"/>
  <c r="L100" i="2"/>
  <c r="L52" i="2"/>
  <c r="M83" i="2"/>
  <c r="N112" i="2"/>
  <c r="M84" i="2"/>
  <c r="K112" i="2"/>
  <c r="N51" i="2"/>
  <c r="N86" i="2"/>
  <c r="M75" i="2"/>
  <c r="L64" i="2"/>
  <c r="N60" i="2"/>
  <c r="M50" i="2"/>
  <c r="N95" i="2"/>
  <c r="L83" i="2"/>
  <c r="K79" i="2"/>
  <c r="M70" i="2"/>
  <c r="M105" i="2"/>
  <c r="K67" i="2"/>
  <c r="N44" i="2"/>
  <c r="L112" i="2"/>
  <c r="M97" i="2"/>
  <c r="N66" i="2"/>
  <c r="K107" i="2"/>
  <c r="N83" i="2"/>
  <c r="L92" i="2"/>
  <c r="M44" i="2"/>
  <c r="L71" i="2"/>
  <c r="M46" i="2"/>
  <c r="K91" i="2"/>
  <c r="L67" i="2"/>
  <c r="N69" i="2"/>
  <c r="K61" i="2"/>
  <c r="L94" i="2"/>
  <c r="M66" i="2"/>
  <c r="M73" i="2"/>
  <c r="L65" i="2"/>
  <c r="M96" i="2"/>
  <c r="M78" i="2"/>
  <c r="M55" i="2"/>
  <c r="L48" i="2"/>
  <c r="K46" i="2"/>
  <c r="L107" i="2"/>
  <c r="L49" i="2"/>
  <c r="K68" i="2"/>
  <c r="M106" i="2"/>
  <c r="N111" i="2"/>
  <c r="K73" i="2"/>
  <c r="N92" i="2"/>
  <c r="K93" i="2"/>
  <c r="M61" i="2"/>
  <c r="K70" i="2"/>
  <c r="L106" i="2"/>
  <c r="M51" i="2"/>
  <c r="L41" i="2"/>
  <c r="K50" i="2"/>
  <c r="M63" i="2"/>
  <c r="N107" i="2"/>
  <c r="L72" i="2"/>
  <c r="L53" i="2"/>
  <c r="N40" i="2"/>
  <c r="K99" i="2"/>
  <c r="N73" i="2"/>
  <c r="N108" i="2"/>
  <c r="N81" i="2"/>
  <c r="L102" i="2"/>
  <c r="M82" i="2"/>
  <c r="N47" i="2"/>
  <c r="M107" i="2"/>
  <c r="L91" i="2"/>
  <c r="L90" i="2"/>
  <c r="M91" i="2"/>
  <c r="L57" i="2"/>
  <c r="M48" i="2"/>
  <c r="N104" i="2"/>
  <c r="M98" i="2"/>
  <c r="M92" i="2"/>
  <c r="K75" i="2"/>
  <c r="K102" i="2"/>
  <c r="N42" i="2"/>
  <c r="K54" i="2"/>
  <c r="N39" i="2"/>
  <c r="L61" i="2"/>
  <c r="N58" i="2"/>
  <c r="N70" i="2"/>
  <c r="L55" i="2"/>
  <c r="L78" i="2"/>
  <c r="M110" i="2"/>
  <c r="L82" i="2"/>
  <c r="K83" i="2"/>
  <c r="N85" i="2"/>
  <c r="L40" i="2"/>
  <c r="M109" i="2"/>
  <c r="N113" i="2"/>
  <c r="N59" i="2"/>
  <c r="N105" i="2"/>
  <c r="M89" i="2"/>
  <c r="M52" i="2"/>
  <c r="L96" i="2"/>
  <c r="M76" i="2"/>
  <c r="N46" i="2"/>
  <c r="K72" i="2"/>
  <c r="N96" i="2"/>
  <c r="N61" i="2"/>
  <c r="M77" i="2"/>
  <c r="L51" i="2"/>
  <c r="N110" i="2"/>
  <c r="K89" i="2"/>
  <c r="L44" i="2"/>
  <c r="N93" i="2"/>
  <c r="L47" i="2"/>
  <c r="K44" i="2"/>
  <c r="M64" i="2"/>
  <c r="K78" i="2"/>
  <c r="N49" i="2"/>
  <c r="M104" i="2"/>
  <c r="N55" i="2"/>
  <c r="M68" i="2"/>
  <c r="L103" i="2"/>
  <c r="M113" i="2"/>
  <c r="N102" i="2"/>
  <c r="L77" i="2"/>
  <c r="M112" i="2"/>
  <c r="K40" i="2"/>
  <c r="K113" i="2"/>
  <c r="N80" i="2"/>
  <c r="N43" i="2"/>
  <c r="N65" i="2"/>
  <c r="M40" i="2"/>
  <c r="L84" i="2"/>
  <c r="K111" i="2"/>
  <c r="N106" i="2"/>
  <c r="K62" i="2"/>
  <c r="K55" i="2"/>
  <c r="N67" i="2"/>
  <c r="K105" i="2"/>
  <c r="K82" i="2"/>
  <c r="L46" i="2"/>
  <c r="K60" i="2"/>
  <c r="N52" i="2"/>
  <c r="M111" i="2"/>
  <c r="L109" i="2"/>
  <c r="L88" i="2"/>
  <c r="M101" i="2"/>
  <c r="L66" i="2"/>
  <c r="N68" i="2"/>
  <c r="L105" i="2"/>
  <c r="M93" i="2"/>
  <c r="N74" i="2"/>
  <c r="K95" i="2"/>
  <c r="L108" i="2"/>
  <c r="N64" i="2"/>
  <c r="N101" i="2"/>
  <c r="K63" i="2"/>
  <c r="K101" i="2"/>
  <c r="K58" i="2"/>
  <c r="M85" i="2"/>
  <c r="M42" i="2"/>
  <c r="M72" i="2"/>
  <c r="L86" i="2"/>
  <c r="N77" i="2"/>
  <c r="K108" i="2"/>
  <c r="K43" i="2"/>
  <c r="L110" i="2"/>
  <c r="K116" i="2"/>
  <c r="L59" i="2"/>
  <c r="N89" i="2"/>
  <c r="K76" i="2"/>
  <c r="L45" i="2"/>
  <c r="N87" i="2"/>
  <c r="N45" i="2"/>
  <c r="L39" i="2"/>
  <c r="N54" i="2"/>
  <c r="L60" i="2"/>
  <c r="M49" i="2"/>
  <c r="M54" i="2"/>
  <c r="N53" i="2"/>
  <c r="M60" i="2"/>
  <c r="N103" i="2"/>
  <c r="M59" i="2"/>
  <c r="M99" i="2"/>
  <c r="K51" i="2"/>
  <c r="K57" i="2"/>
  <c r="L113" i="2"/>
  <c r="K86" i="2"/>
  <c r="M86" i="2"/>
  <c r="L68" i="2"/>
  <c r="K110" i="2"/>
  <c r="M47" i="2"/>
  <c r="N50" i="2"/>
  <c r="L75" i="2"/>
  <c r="L70" i="2"/>
  <c r="L85" i="2"/>
  <c r="N94" i="2"/>
  <c r="L99" i="2"/>
  <c r="M90" i="2"/>
  <c r="N82" i="2"/>
  <c r="M87" i="2"/>
  <c r="M43" i="2"/>
  <c r="K96" i="2"/>
  <c r="K69" i="2"/>
  <c r="N97" i="2"/>
  <c r="L42" i="2"/>
  <c r="L58" i="2"/>
  <c r="K56" i="2"/>
  <c r="K53" i="2"/>
  <c r="N91" i="2"/>
  <c r="K98" i="2"/>
  <c r="L81" i="2"/>
  <c r="N84" i="2"/>
  <c r="K84" i="2"/>
  <c r="K47" i="2"/>
  <c r="N62" i="2"/>
  <c r="L95" i="2"/>
  <c r="K87" i="2"/>
  <c r="M108" i="2"/>
  <c r="M88" i="2"/>
  <c r="L87" i="2"/>
  <c r="M79" i="2"/>
  <c r="M53" i="2"/>
  <c r="K64" i="2"/>
  <c r="K59" i="2"/>
  <c r="M62" i="2"/>
  <c r="K100" i="2"/>
  <c r="K45" i="2"/>
  <c r="N99" i="2"/>
  <c r="M39" i="2"/>
  <c r="L101" i="2"/>
  <c r="K88" i="2"/>
  <c r="L76" i="2"/>
  <c r="N63" i="2"/>
  <c r="K41" i="2"/>
  <c r="L79" i="2"/>
  <c r="L104" i="2"/>
  <c r="K66" i="2"/>
  <c r="K39" i="2"/>
  <c r="N71" i="2"/>
  <c r="M116" i="2"/>
  <c r="K49" i="2"/>
  <c r="M58" i="2"/>
  <c r="L43" i="2"/>
  <c r="N109" i="2"/>
  <c r="L73" i="2"/>
  <c r="M80" i="2"/>
  <c r="L74" i="2"/>
  <c r="L62" i="2"/>
  <c r="L69" i="2"/>
  <c r="N41" i="2"/>
  <c r="K104" i="2"/>
  <c r="L89" i="2"/>
  <c r="K71" i="2"/>
  <c r="N78" i="2"/>
  <c r="M56" i="2"/>
  <c r="K85" i="2"/>
  <c r="M103" i="2"/>
  <c r="J86" i="2"/>
  <c r="J74" i="2"/>
  <c r="J103" i="2"/>
  <c r="J52" i="2"/>
  <c r="J98" i="2"/>
  <c r="J78" i="2"/>
  <c r="J94" i="2"/>
  <c r="J50" i="2"/>
  <c r="J90" i="2"/>
  <c r="J109" i="2"/>
  <c r="J93" i="2"/>
  <c r="J75" i="2"/>
  <c r="J61" i="2"/>
  <c r="J41" i="2"/>
  <c r="J57" i="2"/>
  <c r="J69" i="2"/>
  <c r="J101" i="2"/>
  <c r="J77" i="2"/>
  <c r="J95" i="2"/>
  <c r="J83" i="2"/>
  <c r="J111" i="2"/>
  <c r="J59" i="2"/>
  <c r="J81" i="2"/>
  <c r="J105" i="2"/>
  <c r="J43" i="2"/>
  <c r="J47" i="2"/>
  <c r="J67" i="2"/>
  <c r="J112" i="2"/>
  <c r="J64" i="2"/>
  <c r="J82" i="2"/>
  <c r="J108" i="2"/>
  <c r="J53" i="2"/>
  <c r="J58" i="2"/>
  <c r="J107" i="2"/>
  <c r="J44" i="2"/>
  <c r="J97" i="2"/>
  <c r="J73" i="2"/>
  <c r="J80" i="2"/>
  <c r="J65" i="2"/>
  <c r="J40" i="2"/>
  <c r="J62" i="2"/>
  <c r="J54" i="2"/>
  <c r="J55" i="2"/>
  <c r="J76" i="2"/>
  <c r="J96" i="2"/>
  <c r="J84" i="2"/>
  <c r="J71" i="2"/>
  <c r="J106" i="2"/>
  <c r="J42" i="2"/>
  <c r="J91" i="2"/>
  <c r="J66" i="2"/>
  <c r="J110" i="2"/>
  <c r="J99" i="2"/>
  <c r="J85" i="2"/>
  <c r="J104" i="2"/>
  <c r="J72" i="2"/>
  <c r="J92" i="2"/>
  <c r="J89" i="2"/>
  <c r="J63" i="2"/>
  <c r="J70" i="2"/>
  <c r="J113" i="2"/>
  <c r="J116" i="2"/>
  <c r="J68" i="2"/>
  <c r="J56" i="2"/>
  <c r="J102" i="2"/>
  <c r="J88" i="2"/>
  <c r="J79" i="2"/>
  <c r="J100" i="2"/>
  <c r="J60" i="2"/>
  <c r="J51" i="2"/>
  <c r="J87" i="2"/>
  <c r="J39" i="2"/>
  <c r="S103" i="2" l="1"/>
  <c r="S56" i="2"/>
  <c r="T78" i="2"/>
  <c r="T41" i="2"/>
  <c r="S80" i="2"/>
  <c r="T109" i="2"/>
  <c r="S58" i="2"/>
  <c r="S116" i="2"/>
  <c r="T71" i="2"/>
  <c r="T63" i="2"/>
  <c r="S39" i="2"/>
  <c r="T99" i="2"/>
  <c r="S62" i="2"/>
  <c r="S53" i="2"/>
  <c r="S79" i="2"/>
  <c r="S88" i="2"/>
  <c r="S108" i="2"/>
  <c r="T62" i="2"/>
  <c r="T84" i="2"/>
  <c r="T91" i="2"/>
  <c r="T97" i="2"/>
  <c r="S43" i="2"/>
  <c r="S87" i="2"/>
  <c r="T82" i="2"/>
  <c r="S90" i="2"/>
  <c r="T94" i="2"/>
  <c r="T50" i="2"/>
  <c r="S47" i="2"/>
  <c r="S86" i="2"/>
  <c r="S99" i="2"/>
  <c r="S59" i="2"/>
  <c r="T103" i="2"/>
  <c r="S60" i="2"/>
  <c r="T53" i="2"/>
  <c r="S54" i="2"/>
  <c r="S49" i="2"/>
  <c r="T54" i="2"/>
  <c r="T45" i="2"/>
  <c r="T87" i="2"/>
  <c r="T89" i="2"/>
  <c r="T77" i="2"/>
  <c r="S72" i="2"/>
  <c r="S42" i="2"/>
  <c r="S85" i="2"/>
  <c r="T101" i="2"/>
  <c r="T64" i="2"/>
  <c r="T74" i="2"/>
  <c r="S93" i="2"/>
  <c r="T68" i="2"/>
  <c r="S101" i="2"/>
  <c r="S111" i="2"/>
  <c r="T52" i="2"/>
  <c r="T67" i="2"/>
  <c r="T106" i="2"/>
  <c r="S40" i="2"/>
  <c r="T65" i="2"/>
  <c r="T43" i="2"/>
  <c r="T80" i="2"/>
  <c r="S112" i="2"/>
  <c r="T102" i="2"/>
  <c r="S113" i="2"/>
  <c r="S68" i="2"/>
  <c r="T55" i="2"/>
  <c r="S104" i="2"/>
  <c r="T49" i="2"/>
  <c r="S64" i="2"/>
  <c r="T93" i="2"/>
  <c r="T110" i="2"/>
  <c r="S77" i="2"/>
  <c r="T61" i="2"/>
  <c r="T96" i="2"/>
  <c r="T46" i="2"/>
  <c r="S76" i="2"/>
  <c r="S52" i="2"/>
  <c r="S89" i="2"/>
  <c r="T105" i="2"/>
  <c r="T59" i="2"/>
  <c r="T113" i="2"/>
  <c r="S109" i="2"/>
  <c r="T85" i="2"/>
  <c r="S110" i="2"/>
  <c r="T70" i="2"/>
  <c r="T58" i="2"/>
  <c r="T39" i="2"/>
  <c r="T42" i="2"/>
  <c r="S92" i="2"/>
  <c r="S98" i="2"/>
  <c r="T104" i="2"/>
  <c r="S48" i="2"/>
  <c r="S91" i="2"/>
  <c r="S107" i="2"/>
  <c r="T47" i="2"/>
  <c r="S82" i="2"/>
  <c r="T81" i="2"/>
  <c r="T108" i="2"/>
  <c r="T73" i="2"/>
  <c r="T40" i="2"/>
  <c r="T107" i="2"/>
  <c r="S63" i="2"/>
  <c r="S51" i="2"/>
  <c r="S61" i="2"/>
  <c r="T92" i="2"/>
  <c r="T111" i="2"/>
  <c r="S106" i="2"/>
  <c r="S55" i="2"/>
  <c r="S78" i="2"/>
  <c r="S96" i="2"/>
  <c r="S73" i="2"/>
  <c r="S66" i="2"/>
  <c r="T69" i="2"/>
  <c r="S46" i="2"/>
  <c r="S44" i="2"/>
  <c r="T83" i="2"/>
  <c r="T66" i="2"/>
  <c r="S97" i="2"/>
  <c r="T44" i="2"/>
  <c r="S105" i="2"/>
  <c r="S70" i="2"/>
  <c r="T95" i="2"/>
  <c r="S50" i="2"/>
  <c r="T60" i="2"/>
  <c r="S75" i="2"/>
  <c r="T86" i="2"/>
  <c r="T51" i="2"/>
  <c r="S84" i="2"/>
  <c r="T112" i="2"/>
  <c r="S83" i="2"/>
  <c r="T75" i="2"/>
  <c r="S100" i="2"/>
  <c r="S71" i="2"/>
  <c r="T90" i="2"/>
  <c r="S102" i="2"/>
  <c r="T116" i="2"/>
  <c r="T100" i="2"/>
  <c r="T88" i="2"/>
  <c r="T57" i="2"/>
  <c r="S41" i="2"/>
  <c r="S94" i="2"/>
  <c r="S45" i="2"/>
  <c r="S67" i="2"/>
  <c r="S57" i="2"/>
  <c r="S74" i="2"/>
  <c r="T48" i="2"/>
  <c r="T98" i="2"/>
  <c r="S81" i="2"/>
  <c r="T72" i="2"/>
  <c r="S69" i="2"/>
  <c r="T79" i="2"/>
  <c r="S65" i="2"/>
  <c r="T76" i="2"/>
  <c r="S95" i="2"/>
  <c r="T56" i="2"/>
  <c r="Q85" i="2"/>
  <c r="Q71" i="2"/>
  <c r="Q104" i="2"/>
  <c r="Q49" i="2"/>
  <c r="Q39" i="2"/>
  <c r="Q66" i="2"/>
  <c r="Q41" i="2"/>
  <c r="Q88" i="2"/>
  <c r="Q45" i="2"/>
  <c r="Q100" i="2"/>
  <c r="Q59" i="2"/>
  <c r="Q64" i="2"/>
  <c r="Q87" i="2"/>
  <c r="Q47" i="2"/>
  <c r="Q84" i="2"/>
  <c r="Q98" i="2"/>
  <c r="Q53" i="2"/>
  <c r="Q56" i="2"/>
  <c r="Q69" i="2"/>
  <c r="Q96" i="2"/>
  <c r="Q110" i="2"/>
  <c r="Q86" i="2"/>
  <c r="Q57" i="2"/>
  <c r="Q51" i="2"/>
  <c r="Q76" i="2"/>
  <c r="Q116" i="2"/>
  <c r="Q43" i="2"/>
  <c r="Q108" i="2"/>
  <c r="Q58" i="2"/>
  <c r="Q101" i="2"/>
  <c r="Q63" i="2"/>
  <c r="Q95" i="2"/>
  <c r="Q60" i="2"/>
  <c r="Q82" i="2"/>
  <c r="Q105" i="2"/>
  <c r="Q55" i="2"/>
  <c r="Q62" i="2"/>
  <c r="Q111" i="2"/>
  <c r="Q113" i="2"/>
  <c r="Q40" i="2"/>
  <c r="Q78" i="2"/>
  <c r="Q44" i="2"/>
  <c r="Q89" i="2"/>
  <c r="Q72" i="2"/>
  <c r="Q83" i="2"/>
  <c r="Q54" i="2"/>
  <c r="Q102" i="2"/>
  <c r="Q75" i="2"/>
  <c r="Q99" i="2"/>
  <c r="Q50" i="2"/>
  <c r="Q70" i="2"/>
  <c r="Q93" i="2"/>
  <c r="Q73" i="2"/>
  <c r="Q68" i="2"/>
  <c r="Q46" i="2"/>
  <c r="Q61" i="2"/>
  <c r="Q91" i="2"/>
  <c r="Q107" i="2"/>
  <c r="Q67" i="2"/>
  <c r="Q79" i="2"/>
  <c r="Q112" i="2"/>
  <c r="Q74" i="2"/>
  <c r="Q65" i="2"/>
  <c r="Q97" i="2"/>
  <c r="Q48" i="2"/>
  <c r="Q42" i="2"/>
  <c r="Q109" i="2"/>
  <c r="Q94" i="2"/>
  <c r="Q92" i="2"/>
  <c r="Q103" i="2"/>
  <c r="Q106" i="2"/>
  <c r="Q81" i="2"/>
  <c r="Q77" i="2"/>
  <c r="Q52" i="2"/>
  <c r="Q90" i="2"/>
  <c r="Q80" i="2"/>
  <c r="P87" i="2"/>
  <c r="P51" i="2"/>
  <c r="P60" i="2"/>
  <c r="P100" i="2"/>
  <c r="P79" i="2"/>
  <c r="P88" i="2"/>
  <c r="P102" i="2"/>
  <c r="P56" i="2"/>
  <c r="P68" i="2"/>
  <c r="P116" i="2"/>
  <c r="P113" i="2"/>
  <c r="P70" i="2"/>
  <c r="P63" i="2"/>
  <c r="P89" i="2"/>
  <c r="P92" i="2"/>
  <c r="P72" i="2"/>
  <c r="P104" i="2"/>
  <c r="P85" i="2"/>
  <c r="P99" i="2"/>
  <c r="P110" i="2"/>
  <c r="P66" i="2"/>
  <c r="P91" i="2"/>
  <c r="P42" i="2"/>
  <c r="P106" i="2"/>
  <c r="P71" i="2"/>
  <c r="P84" i="2"/>
  <c r="P96" i="2"/>
  <c r="P76" i="2"/>
  <c r="P55" i="2"/>
  <c r="P54" i="2"/>
  <c r="P62" i="2"/>
  <c r="P40" i="2"/>
  <c r="P65" i="2"/>
  <c r="P80" i="2"/>
  <c r="P73" i="2"/>
  <c r="P97" i="2"/>
  <c r="P44" i="2"/>
  <c r="P107" i="2"/>
  <c r="P58" i="2"/>
  <c r="P53" i="2"/>
  <c r="P108" i="2"/>
  <c r="P82" i="2"/>
  <c r="P64" i="2"/>
  <c r="P112" i="2"/>
  <c r="P67" i="2"/>
  <c r="P47" i="2"/>
  <c r="P43" i="2"/>
  <c r="P105" i="2"/>
  <c r="P81" i="2"/>
  <c r="P59" i="2"/>
  <c r="P111" i="2"/>
  <c r="P83" i="2"/>
  <c r="P95" i="2"/>
  <c r="P77" i="2"/>
  <c r="P101" i="2"/>
  <c r="P69" i="2"/>
  <c r="P57" i="2"/>
  <c r="P41" i="2"/>
  <c r="P61" i="2"/>
  <c r="P75" i="2"/>
  <c r="P93" i="2"/>
  <c r="P109" i="2"/>
  <c r="P90" i="2"/>
  <c r="P50" i="2"/>
  <c r="P94" i="2"/>
  <c r="P78" i="2"/>
  <c r="P98" i="2"/>
  <c r="P52" i="2"/>
  <c r="P103" i="2"/>
  <c r="P74" i="2"/>
  <c r="P86" i="2"/>
  <c r="R89" i="2"/>
  <c r="R69" i="2"/>
  <c r="R62" i="2"/>
  <c r="R74" i="2"/>
  <c r="R73" i="2"/>
  <c r="R43" i="2"/>
  <c r="R104" i="2"/>
  <c r="R79" i="2"/>
  <c r="R76" i="2"/>
  <c r="R101" i="2"/>
  <c r="R87" i="2"/>
  <c r="R95" i="2"/>
  <c r="R81" i="2"/>
  <c r="R58" i="2"/>
  <c r="R42" i="2"/>
  <c r="R99" i="2"/>
  <c r="R85" i="2"/>
  <c r="R70" i="2"/>
  <c r="R75" i="2"/>
  <c r="R68" i="2"/>
  <c r="R113" i="2"/>
  <c r="R60" i="2"/>
  <c r="R39" i="2"/>
  <c r="R45" i="2"/>
  <c r="R59" i="2"/>
  <c r="R110" i="2"/>
  <c r="R86" i="2"/>
  <c r="R108" i="2"/>
  <c r="R105" i="2"/>
  <c r="R66" i="2"/>
  <c r="R88" i="2"/>
  <c r="R109" i="2"/>
  <c r="R46" i="2"/>
  <c r="R84" i="2"/>
  <c r="R77" i="2"/>
  <c r="R103" i="2"/>
  <c r="R47" i="2"/>
  <c r="R44" i="2"/>
  <c r="R51" i="2"/>
  <c r="R96" i="2"/>
  <c r="R40" i="2"/>
  <c r="R82" i="2"/>
  <c r="R78" i="2"/>
  <c r="R55" i="2"/>
  <c r="R61" i="2"/>
  <c r="R57" i="2"/>
  <c r="R90" i="2"/>
  <c r="R91" i="2"/>
  <c r="R102" i="2"/>
  <c r="R53" i="2"/>
  <c r="R72" i="2"/>
  <c r="R41" i="2"/>
  <c r="R106" i="2"/>
  <c r="R49" i="2"/>
  <c r="R107" i="2"/>
  <c r="R48" i="2"/>
  <c r="R65" i="2"/>
  <c r="R94" i="2"/>
  <c r="R67" i="2"/>
  <c r="R71" i="2"/>
  <c r="R92" i="2"/>
  <c r="R112" i="2"/>
  <c r="R83" i="2"/>
  <c r="R64" i="2"/>
  <c r="R52" i="2"/>
  <c r="R100" i="2"/>
  <c r="R50" i="2"/>
  <c r="R63" i="2"/>
  <c r="R97" i="2"/>
  <c r="R116" i="2"/>
  <c r="R98" i="2"/>
  <c r="R56" i="2"/>
  <c r="R80" i="2"/>
  <c r="R54" i="2"/>
  <c r="R111" i="2"/>
  <c r="R93" i="2"/>
  <c r="P39" i="2"/>
  <c r="V115" i="2"/>
  <c r="X114" i="2"/>
  <c r="Y114" i="2"/>
  <c r="N117" i="2"/>
  <c r="K117" i="2"/>
  <c r="M117" i="2"/>
  <c r="L117" i="2"/>
  <c r="J117" i="2"/>
  <c r="S117" i="2" l="1"/>
  <c r="T117" i="2"/>
  <c r="Q117" i="2"/>
  <c r="P117" i="2"/>
  <c r="R117" i="2"/>
  <c r="V116" i="2"/>
  <c r="X115" i="2"/>
  <c r="Y115" i="2"/>
  <c r="V64" i="2"/>
  <c r="Y64" i="2" s="1"/>
  <c r="V98" i="2"/>
  <c r="X98" i="2" s="1"/>
  <c r="V106" i="2"/>
  <c r="Y106" i="2" s="1"/>
  <c r="V88" i="2"/>
  <c r="Y88" i="2" s="1"/>
  <c r="V67" i="2"/>
  <c r="Y67" i="2" s="1"/>
  <c r="V61" i="2"/>
  <c r="X61" i="2" s="1"/>
  <c r="V76" i="2"/>
  <c r="Y76" i="2" s="1"/>
  <c r="V54" i="2"/>
  <c r="X54" i="2" s="1"/>
  <c r="V60" i="2"/>
  <c r="Y60" i="2" s="1"/>
  <c r="V86" i="2"/>
  <c r="V73" i="2"/>
  <c r="V43" i="2"/>
  <c r="V99" i="2"/>
  <c r="V71" i="2"/>
  <c r="V62" i="2"/>
  <c r="V102" i="2"/>
  <c r="V82" i="2"/>
  <c r="V96" i="2"/>
  <c r="V66" i="2"/>
  <c r="V104" i="2"/>
  <c r="V51" i="2"/>
  <c r="V68" i="2"/>
  <c r="V63" i="2"/>
  <c r="V72" i="2"/>
  <c r="V47" i="2"/>
  <c r="V107" i="2"/>
  <c r="V50" i="2"/>
  <c r="V97" i="2"/>
  <c r="V44" i="2"/>
  <c r="V111" i="2"/>
  <c r="V90" i="2"/>
  <c r="V40" i="2"/>
  <c r="V80" i="2"/>
  <c r="V112" i="2"/>
  <c r="V113" i="2"/>
  <c r="V70" i="2"/>
  <c r="V101" i="2"/>
  <c r="V57" i="2"/>
  <c r="V94" i="2"/>
  <c r="V91" i="2"/>
  <c r="V89" i="2"/>
  <c r="V103" i="2"/>
  <c r="V92" i="2"/>
  <c r="V84" i="2"/>
  <c r="V105" i="2"/>
  <c r="V55" i="2"/>
  <c r="V69" i="2"/>
  <c r="V52" i="2"/>
  <c r="V39" i="2"/>
  <c r="V81" i="2"/>
  <c r="V100" i="2"/>
  <c r="V59" i="2"/>
  <c r="V58" i="2"/>
  <c r="V109" i="2"/>
  <c r="V87" i="2"/>
  <c r="V95" i="2"/>
  <c r="V79" i="2"/>
  <c r="V77" i="2"/>
  <c r="V78" i="2"/>
  <c r="V108" i="2"/>
  <c r="V83" i="2"/>
  <c r="V93" i="2"/>
  <c r="V42" i="2"/>
  <c r="V53" i="2"/>
  <c r="V56" i="2"/>
  <c r="V41" i="2"/>
  <c r="V65" i="2"/>
  <c r="V85" i="2"/>
  <c r="V75" i="2"/>
  <c r="V110" i="2"/>
  <c r="V74" i="2"/>
  <c r="N118" i="2"/>
  <c r="M118" i="2"/>
  <c r="L118" i="2"/>
  <c r="K118" i="2"/>
  <c r="J45" i="2"/>
  <c r="J118" i="2"/>
  <c r="S118" i="2" l="1"/>
  <c r="T118" i="2"/>
  <c r="Q118" i="2"/>
  <c r="P118" i="2"/>
  <c r="P45" i="2"/>
  <c r="R118" i="2"/>
  <c r="X116" i="2"/>
  <c r="Y116" i="2"/>
  <c r="V117" i="2"/>
  <c r="X64" i="2"/>
  <c r="Y98" i="2"/>
  <c r="X60" i="2"/>
  <c r="X88" i="2"/>
  <c r="X76" i="2"/>
  <c r="Y54" i="2"/>
  <c r="Y61" i="2"/>
  <c r="X106" i="2"/>
  <c r="X67" i="2"/>
  <c r="X52" i="2"/>
  <c r="Y52" i="2"/>
  <c r="X94" i="2"/>
  <c r="Y94" i="2"/>
  <c r="X70" i="2"/>
  <c r="Y70" i="2"/>
  <c r="Y80" i="2"/>
  <c r="X80" i="2"/>
  <c r="Y66" i="2"/>
  <c r="X66" i="2"/>
  <c r="Y102" i="2"/>
  <c r="X102" i="2"/>
  <c r="X83" i="2"/>
  <c r="Y83" i="2"/>
  <c r="Y78" i="2"/>
  <c r="X78" i="2"/>
  <c r="Y105" i="2"/>
  <c r="X105" i="2"/>
  <c r="Y90" i="2"/>
  <c r="X90" i="2"/>
  <c r="Y111" i="2"/>
  <c r="X111" i="2"/>
  <c r="X44" i="2"/>
  <c r="Y44" i="2"/>
  <c r="Y43" i="2"/>
  <c r="X43" i="2"/>
  <c r="Y100" i="2"/>
  <c r="X100" i="2"/>
  <c r="Y81" i="2"/>
  <c r="X81" i="2"/>
  <c r="Y89" i="2"/>
  <c r="X89" i="2"/>
  <c r="Y72" i="2"/>
  <c r="X72" i="2"/>
  <c r="X68" i="2"/>
  <c r="Y68" i="2"/>
  <c r="Y82" i="2"/>
  <c r="X82" i="2"/>
  <c r="X73" i="2"/>
  <c r="Y73" i="2"/>
  <c r="Y75" i="2"/>
  <c r="X75" i="2"/>
  <c r="Y41" i="2"/>
  <c r="X41" i="2"/>
  <c r="X53" i="2"/>
  <c r="Y53" i="2"/>
  <c r="X93" i="2"/>
  <c r="Y93" i="2"/>
  <c r="Y84" i="2"/>
  <c r="X84" i="2"/>
  <c r="X112" i="2"/>
  <c r="Y112" i="2"/>
  <c r="Y86" i="2"/>
  <c r="X86" i="2"/>
  <c r="X56" i="2"/>
  <c r="Y56" i="2"/>
  <c r="Y113" i="2"/>
  <c r="X113" i="2"/>
  <c r="Y50" i="2"/>
  <c r="X50" i="2"/>
  <c r="Y96" i="2"/>
  <c r="X96" i="2"/>
  <c r="Y42" i="2"/>
  <c r="X42" i="2"/>
  <c r="X39" i="2"/>
  <c r="Y39" i="2"/>
  <c r="Y101" i="2"/>
  <c r="X101" i="2"/>
  <c r="Y107" i="2"/>
  <c r="X107" i="2"/>
  <c r="Y99" i="2"/>
  <c r="X99" i="2"/>
  <c r="Y65" i="2"/>
  <c r="X65" i="2"/>
  <c r="Y59" i="2"/>
  <c r="X59" i="2"/>
  <c r="X40" i="2"/>
  <c r="Y40" i="2"/>
  <c r="Y110" i="2"/>
  <c r="X110" i="2"/>
  <c r="Y77" i="2"/>
  <c r="X77" i="2"/>
  <c r="Y95" i="2"/>
  <c r="X95" i="2"/>
  <c r="Y92" i="2"/>
  <c r="X92" i="2"/>
  <c r="Y91" i="2"/>
  <c r="X91" i="2"/>
  <c r="Y51" i="2"/>
  <c r="X51" i="2"/>
  <c r="X71" i="2"/>
  <c r="Y71" i="2"/>
  <c r="X87" i="2"/>
  <c r="Y87" i="2"/>
  <c r="X104" i="2"/>
  <c r="Y104" i="2"/>
  <c r="X79" i="2"/>
  <c r="Y79" i="2"/>
  <c r="Y109" i="2"/>
  <c r="X109" i="2"/>
  <c r="X58" i="2"/>
  <c r="Y58" i="2"/>
  <c r="Y69" i="2"/>
  <c r="X69" i="2"/>
  <c r="Y74" i="2"/>
  <c r="X74" i="2"/>
  <c r="Y85" i="2"/>
  <c r="X85" i="2"/>
  <c r="X108" i="2"/>
  <c r="Y108" i="2"/>
  <c r="Y55" i="2"/>
  <c r="X55" i="2"/>
  <c r="Y103" i="2"/>
  <c r="X103" i="2"/>
  <c r="X57" i="2"/>
  <c r="Y57" i="2"/>
  <c r="Y97" i="2"/>
  <c r="X97" i="2"/>
  <c r="X47" i="2"/>
  <c r="Y47" i="2"/>
  <c r="Y63" i="2"/>
  <c r="X63" i="2"/>
  <c r="X62" i="2"/>
  <c r="Y62" i="2"/>
  <c r="M119" i="2"/>
  <c r="L119" i="2"/>
  <c r="N119" i="2"/>
  <c r="K119" i="2"/>
  <c r="J46" i="2"/>
  <c r="J119" i="2"/>
  <c r="T119" i="2" l="1"/>
  <c r="S119" i="2"/>
  <c r="Q119" i="2"/>
  <c r="P119" i="2"/>
  <c r="P46" i="2"/>
  <c r="V46" i="2" s="1"/>
  <c r="R119" i="2"/>
  <c r="X117" i="2"/>
  <c r="Y117" i="2"/>
  <c r="V118" i="2"/>
  <c r="V45" i="2"/>
  <c r="N120" i="2"/>
  <c r="K120" i="2"/>
  <c r="M120" i="2"/>
  <c r="L120" i="2"/>
  <c r="J120" i="2"/>
  <c r="J48" i="2"/>
  <c r="S120" i="2" l="1"/>
  <c r="T120" i="2"/>
  <c r="Q120" i="2"/>
  <c r="P48" i="2"/>
  <c r="P120" i="2"/>
  <c r="R120" i="2"/>
  <c r="V119" i="2"/>
  <c r="Y119" i="2" s="1"/>
  <c r="X118" i="2"/>
  <c r="Y118" i="2"/>
  <c r="X45" i="2"/>
  <c r="Y45" i="2"/>
  <c r="X46" i="2"/>
  <c r="Y46" i="2"/>
  <c r="K121" i="2"/>
  <c r="M121" i="2"/>
  <c r="L121" i="2"/>
  <c r="N121" i="2"/>
  <c r="J49" i="2"/>
  <c r="J121" i="2"/>
  <c r="T121" i="2" l="1"/>
  <c r="S121" i="2"/>
  <c r="Q121" i="2"/>
  <c r="P121" i="2"/>
  <c r="P49" i="2"/>
  <c r="R121" i="2"/>
  <c r="X119" i="2"/>
  <c r="V120" i="2"/>
  <c r="V49" i="2"/>
  <c r="V48" i="2"/>
  <c r="Y48" i="2" s="1"/>
  <c r="M122" i="2"/>
  <c r="N122" i="2"/>
  <c r="L122" i="2"/>
  <c r="K122" i="2"/>
  <c r="J122" i="2"/>
  <c r="T122" i="2" l="1"/>
  <c r="S122" i="2"/>
  <c r="Q122" i="2"/>
  <c r="P122" i="2"/>
  <c r="R122" i="2"/>
  <c r="X120" i="2"/>
  <c r="Y120" i="2"/>
  <c r="V121" i="2"/>
  <c r="X48" i="2"/>
  <c r="Y49" i="2"/>
  <c r="X49" i="2"/>
  <c r="N123" i="2"/>
  <c r="M123" i="2"/>
  <c r="K123" i="2"/>
  <c r="L123" i="2"/>
  <c r="J123" i="2"/>
  <c r="S123" i="2" l="1"/>
  <c r="T123" i="2"/>
  <c r="Q123" i="2"/>
  <c r="P123" i="2"/>
  <c r="R123" i="2"/>
  <c r="V122" i="2"/>
  <c r="Y121" i="2"/>
  <c r="X121" i="2"/>
  <c r="L124" i="2"/>
  <c r="N124" i="2"/>
  <c r="M124" i="2"/>
  <c r="K124" i="2"/>
  <c r="J124" i="2"/>
  <c r="S124" i="2" l="1"/>
  <c r="T124" i="2"/>
  <c r="Q124" i="2"/>
  <c r="P124" i="2"/>
  <c r="R124" i="2"/>
  <c r="X122" i="2"/>
  <c r="Y122" i="2"/>
  <c r="V123" i="2"/>
  <c r="K125" i="2"/>
  <c r="M125" i="2"/>
  <c r="N125" i="2"/>
  <c r="L125" i="2"/>
  <c r="J125" i="2"/>
  <c r="T125" i="2" l="1"/>
  <c r="S125" i="2"/>
  <c r="Q125" i="2"/>
  <c r="P125" i="2"/>
  <c r="R125" i="2"/>
  <c r="X123" i="2"/>
  <c r="Y123" i="2"/>
  <c r="V124" i="2"/>
  <c r="L126" i="2"/>
  <c r="K126" i="2"/>
  <c r="M126" i="2"/>
  <c r="N126" i="2"/>
  <c r="J126" i="2"/>
  <c r="T126" i="2" l="1"/>
  <c r="S126" i="2"/>
  <c r="Q126" i="2"/>
  <c r="P126" i="2"/>
  <c r="R126" i="2"/>
  <c r="V125" i="2"/>
  <c r="X124" i="2"/>
  <c r="Y124" i="2"/>
  <c r="K127" i="2"/>
  <c r="M127" i="2"/>
  <c r="L127" i="2"/>
  <c r="N127" i="2"/>
  <c r="J127" i="2"/>
  <c r="T127" i="2" l="1"/>
  <c r="S127" i="2"/>
  <c r="Q127" i="2"/>
  <c r="P127" i="2"/>
  <c r="R127" i="2"/>
  <c r="V126" i="2"/>
  <c r="X126" i="2" s="1"/>
  <c r="X125" i="2"/>
  <c r="Y125" i="2"/>
  <c r="L128" i="2"/>
  <c r="K128" i="2"/>
  <c r="M128" i="2"/>
  <c r="N128" i="2"/>
  <c r="J128" i="2"/>
  <c r="T128" i="2" l="1"/>
  <c r="S128" i="2"/>
  <c r="Q128" i="2"/>
  <c r="P128" i="2"/>
  <c r="R128" i="2"/>
  <c r="Y126" i="2"/>
  <c r="V127" i="2"/>
  <c r="M129" i="2"/>
  <c r="L129" i="2"/>
  <c r="K129" i="2"/>
  <c r="N129" i="2"/>
  <c r="J129" i="2"/>
  <c r="T129" i="2" l="1"/>
  <c r="S129" i="2"/>
  <c r="Q129" i="2"/>
  <c r="P129" i="2"/>
  <c r="R129" i="2"/>
  <c r="V128" i="2"/>
  <c r="Y127" i="2"/>
  <c r="X127" i="2"/>
  <c r="L130" i="2"/>
  <c r="M130" i="2"/>
  <c r="K130" i="2"/>
  <c r="N130" i="2"/>
  <c r="J130" i="2"/>
  <c r="T130" i="2" l="1"/>
  <c r="S130" i="2"/>
  <c r="Q130" i="2"/>
  <c r="P130" i="2"/>
  <c r="R130" i="2"/>
  <c r="X128" i="2"/>
  <c r="Y128" i="2"/>
  <c r="V129" i="2"/>
  <c r="N131" i="2"/>
  <c r="K131" i="2"/>
  <c r="L131" i="2"/>
  <c r="M131" i="2"/>
  <c r="J131" i="2"/>
  <c r="S131" i="2" l="1"/>
  <c r="T131" i="2"/>
  <c r="Q131" i="2"/>
  <c r="P131" i="2"/>
  <c r="R131" i="2"/>
  <c r="Y129" i="2"/>
  <c r="X129" i="2"/>
  <c r="V130" i="2"/>
  <c r="K132" i="2"/>
  <c r="N132" i="2"/>
  <c r="L132" i="2"/>
  <c r="M132" i="2"/>
  <c r="J132" i="2"/>
  <c r="S132" i="2" l="1"/>
  <c r="T132" i="2"/>
  <c r="Q132" i="2"/>
  <c r="P132" i="2"/>
  <c r="R132" i="2"/>
  <c r="X130" i="2"/>
  <c r="Y130" i="2"/>
  <c r="V131" i="2"/>
  <c r="K133" i="2"/>
  <c r="N133" i="2"/>
  <c r="M133" i="2"/>
  <c r="L133" i="2"/>
  <c r="J133" i="2"/>
  <c r="S133" i="2" l="1"/>
  <c r="T133" i="2"/>
  <c r="Q133" i="2"/>
  <c r="P133" i="2"/>
  <c r="R133" i="2"/>
  <c r="X131" i="2"/>
  <c r="Y131" i="2"/>
  <c r="V132" i="2"/>
  <c r="K134" i="2"/>
  <c r="N134" i="2"/>
  <c r="L134" i="2"/>
  <c r="M134" i="2"/>
  <c r="J134" i="2"/>
  <c r="S134" i="2" l="1"/>
  <c r="T134" i="2"/>
  <c r="Q134" i="2"/>
  <c r="P134" i="2"/>
  <c r="R134" i="2"/>
  <c r="V133" i="2"/>
  <c r="X133" i="2" s="1"/>
  <c r="X132" i="2"/>
  <c r="Y132" i="2"/>
  <c r="N135" i="2"/>
  <c r="M135" i="2"/>
  <c r="K135" i="2"/>
  <c r="L135" i="2"/>
  <c r="J135" i="2"/>
  <c r="S135" i="2" l="1"/>
  <c r="T135" i="2"/>
  <c r="Q135" i="2"/>
  <c r="P135" i="2"/>
  <c r="R135" i="2"/>
  <c r="Y133" i="2"/>
  <c r="V134" i="2"/>
  <c r="Y134" i="2" s="1"/>
  <c r="N136" i="2"/>
  <c r="L136" i="2"/>
  <c r="K136" i="2"/>
  <c r="M136" i="2"/>
  <c r="J136" i="2"/>
  <c r="S136" i="2" l="1"/>
  <c r="T136" i="2"/>
  <c r="Q136" i="2"/>
  <c r="P136" i="2"/>
  <c r="R136" i="2"/>
  <c r="X134" i="2"/>
  <c r="V135" i="2"/>
  <c r="Y135" i="2" s="1"/>
  <c r="M137" i="2"/>
  <c r="N137" i="2"/>
  <c r="L137" i="2"/>
  <c r="K137" i="2"/>
  <c r="J137" i="2"/>
  <c r="T137" i="2" l="1"/>
  <c r="S137" i="2"/>
  <c r="Q137" i="2"/>
  <c r="P137" i="2"/>
  <c r="R137" i="2"/>
  <c r="V136" i="2"/>
  <c r="Y136" i="2" s="1"/>
  <c r="X135" i="2"/>
  <c r="N138" i="2"/>
  <c r="M138" i="2"/>
  <c r="L138" i="2"/>
  <c r="K138" i="2"/>
  <c r="J138" i="2"/>
  <c r="S138" i="2" l="1"/>
  <c r="T138" i="2"/>
  <c r="Q138" i="2"/>
  <c r="P138" i="2"/>
  <c r="R138" i="2"/>
  <c r="X136" i="2"/>
  <c r="V137" i="2"/>
  <c r="N139" i="2"/>
  <c r="K139" i="2"/>
  <c r="L139" i="2"/>
  <c r="M139" i="2"/>
  <c r="J139" i="2"/>
  <c r="S139" i="2" l="1"/>
  <c r="T139" i="2"/>
  <c r="Q139" i="2"/>
  <c r="P139" i="2"/>
  <c r="R139" i="2"/>
  <c r="Y137" i="2"/>
  <c r="X137" i="2"/>
  <c r="V138" i="2"/>
  <c r="K140" i="2"/>
  <c r="L140" i="2"/>
  <c r="N140" i="2"/>
  <c r="M140" i="2"/>
  <c r="J140" i="2"/>
  <c r="S140" i="2" l="1"/>
  <c r="T140" i="2"/>
  <c r="Q140" i="2"/>
  <c r="P140" i="2"/>
  <c r="R140" i="2"/>
  <c r="Y138" i="2"/>
  <c r="X138" i="2"/>
  <c r="C32" i="2" s="1"/>
  <c r="V139" i="2"/>
  <c r="K141" i="2"/>
  <c r="L141" i="2"/>
  <c r="N141" i="2"/>
  <c r="M141" i="2"/>
  <c r="J141" i="2"/>
  <c r="S141" i="2" l="1"/>
  <c r="T141" i="2"/>
  <c r="Q141" i="2"/>
  <c r="P141" i="2"/>
  <c r="R141" i="2"/>
  <c r="V140" i="2"/>
  <c r="X140" i="2" s="1"/>
  <c r="X139" i="2"/>
  <c r="Y139" i="2"/>
  <c r="M142" i="2"/>
  <c r="L142" i="2"/>
  <c r="K142" i="2"/>
  <c r="N142" i="2"/>
  <c r="J142" i="2"/>
  <c r="T142" i="2" l="1"/>
  <c r="S142" i="2"/>
  <c r="Q142" i="2"/>
  <c r="P142" i="2"/>
  <c r="R142" i="2"/>
  <c r="Y140" i="2"/>
  <c r="V141" i="2"/>
  <c r="Y141" i="2" s="1"/>
  <c r="M143" i="2"/>
  <c r="N143" i="2"/>
  <c r="K143" i="2"/>
  <c r="L143" i="2"/>
  <c r="J143" i="2"/>
  <c r="T143" i="2" l="1"/>
  <c r="S143" i="2"/>
  <c r="Q143" i="2"/>
  <c r="P143" i="2"/>
  <c r="R143" i="2"/>
  <c r="X141" i="2"/>
  <c r="V142" i="2"/>
  <c r="K144" i="2"/>
  <c r="N144" i="2"/>
  <c r="L144" i="2"/>
  <c r="M144" i="2"/>
  <c r="J144" i="2"/>
  <c r="S144" i="2" l="1"/>
  <c r="T144" i="2"/>
  <c r="Q144" i="2"/>
  <c r="P144" i="2"/>
  <c r="R144" i="2"/>
  <c r="X142" i="2"/>
  <c r="Y142" i="2"/>
  <c r="V143" i="2"/>
  <c r="L145" i="2"/>
  <c r="N145" i="2"/>
  <c r="M145" i="2"/>
  <c r="K145" i="2"/>
  <c r="J145" i="2"/>
  <c r="S145" i="2" l="1"/>
  <c r="T145" i="2"/>
  <c r="Q145" i="2"/>
  <c r="P145" i="2"/>
  <c r="R145" i="2"/>
  <c r="Y143" i="2"/>
  <c r="X143" i="2"/>
  <c r="V144" i="2"/>
  <c r="N146" i="2"/>
  <c r="L146" i="2"/>
  <c r="M146" i="2"/>
  <c r="K146" i="2"/>
  <c r="J146" i="2"/>
  <c r="S146" i="2" l="1"/>
  <c r="T146" i="2"/>
  <c r="Q146" i="2"/>
  <c r="P146" i="2"/>
  <c r="R146" i="2"/>
  <c r="V145" i="2"/>
  <c r="X144" i="2"/>
  <c r="Y144" i="2"/>
  <c r="K147" i="2"/>
  <c r="L147" i="2"/>
  <c r="M147" i="2"/>
  <c r="N147" i="2"/>
  <c r="J147" i="2"/>
  <c r="T147" i="2" l="1"/>
  <c r="S147" i="2"/>
  <c r="Q147" i="2"/>
  <c r="P147" i="2"/>
  <c r="R147" i="2"/>
  <c r="Y145" i="2"/>
  <c r="X145" i="2"/>
  <c r="V146" i="2"/>
  <c r="N148" i="2"/>
  <c r="K148" i="2"/>
  <c r="M148" i="2"/>
  <c r="L148" i="2"/>
  <c r="J148" i="2"/>
  <c r="S148" i="2" l="1"/>
  <c r="T148" i="2"/>
  <c r="Q148" i="2"/>
  <c r="P148" i="2"/>
  <c r="R148" i="2"/>
  <c r="X146" i="2"/>
  <c r="Y146" i="2"/>
  <c r="V147" i="2"/>
  <c r="N149" i="2"/>
  <c r="L149" i="2"/>
  <c r="K149" i="2"/>
  <c r="M149" i="2"/>
  <c r="J149" i="2"/>
  <c r="S149" i="2" l="1"/>
  <c r="T149" i="2"/>
  <c r="Q149" i="2"/>
  <c r="P149" i="2"/>
  <c r="R149" i="2"/>
  <c r="X147" i="2"/>
  <c r="Y147" i="2"/>
  <c r="V148" i="2"/>
  <c r="K150" i="2"/>
  <c r="N150" i="2"/>
  <c r="M150" i="2"/>
  <c r="L150" i="2"/>
  <c r="J150" i="2"/>
  <c r="S150" i="2" l="1"/>
  <c r="T150" i="2"/>
  <c r="Q150" i="2"/>
  <c r="P150" i="2"/>
  <c r="R150" i="2"/>
  <c r="Y148" i="2"/>
  <c r="X148" i="2"/>
  <c r="V149" i="2"/>
  <c r="K151" i="2"/>
  <c r="L151" i="2"/>
  <c r="M151" i="2"/>
  <c r="N151" i="2"/>
  <c r="J151" i="2"/>
  <c r="T151" i="2" l="1"/>
  <c r="S151" i="2"/>
  <c r="Q151" i="2"/>
  <c r="P151" i="2"/>
  <c r="R151" i="2"/>
  <c r="V150" i="2"/>
  <c r="X150" i="2" s="1"/>
  <c r="X149" i="2"/>
  <c r="Y149" i="2"/>
  <c r="K152" i="2"/>
  <c r="M152" i="2"/>
  <c r="N152" i="2"/>
  <c r="L152" i="2"/>
  <c r="J152" i="2"/>
  <c r="T152" i="2" l="1"/>
  <c r="S152" i="2"/>
  <c r="Q152" i="2"/>
  <c r="P152" i="2"/>
  <c r="R152" i="2"/>
  <c r="Y150" i="2"/>
  <c r="V151" i="2"/>
  <c r="L153" i="2"/>
  <c r="N153" i="2"/>
  <c r="M153" i="2"/>
  <c r="K153" i="2"/>
  <c r="J153" i="2"/>
  <c r="S153" i="2" l="1"/>
  <c r="T153" i="2"/>
  <c r="Q153" i="2"/>
  <c r="P153" i="2"/>
  <c r="R153" i="2"/>
  <c r="Y151" i="2"/>
  <c r="X151" i="2"/>
  <c r="V152" i="2"/>
  <c r="K154" i="2"/>
  <c r="N154" i="2"/>
  <c r="L154" i="2"/>
  <c r="M154" i="2"/>
  <c r="J154" i="2"/>
  <c r="S154" i="2" l="1"/>
  <c r="T154" i="2"/>
  <c r="Q154" i="2"/>
  <c r="P154" i="2"/>
  <c r="R154" i="2"/>
  <c r="X152" i="2"/>
  <c r="Y152" i="2"/>
  <c r="V153" i="2"/>
  <c r="L155" i="2"/>
  <c r="K155" i="2"/>
  <c r="M155" i="2"/>
  <c r="N155" i="2"/>
  <c r="J155" i="2"/>
  <c r="T155" i="2" l="1"/>
  <c r="S155" i="2"/>
  <c r="Q155" i="2"/>
  <c r="P155" i="2"/>
  <c r="R155" i="2"/>
  <c r="Y153" i="2"/>
  <c r="X153" i="2"/>
  <c r="V154" i="2"/>
  <c r="L156" i="2"/>
  <c r="M156" i="2"/>
  <c r="N156" i="2"/>
  <c r="K156" i="2"/>
  <c r="J156" i="2"/>
  <c r="T156" i="2" l="1"/>
  <c r="S156" i="2"/>
  <c r="Q156" i="2"/>
  <c r="P156" i="2"/>
  <c r="R156" i="2"/>
  <c r="V155" i="2"/>
  <c r="X154" i="2"/>
  <c r="Y154" i="2"/>
  <c r="M157" i="2"/>
  <c r="L157" i="2"/>
  <c r="N157" i="2"/>
  <c r="K157" i="2"/>
  <c r="J157" i="2"/>
  <c r="T157" i="2" l="1"/>
  <c r="S157" i="2"/>
  <c r="Q157" i="2"/>
  <c r="P157" i="2"/>
  <c r="R157" i="2"/>
  <c r="V156" i="2"/>
  <c r="X156" i="2" s="1"/>
  <c r="Y155" i="2"/>
  <c r="X155" i="2"/>
  <c r="K158" i="2"/>
  <c r="N158" i="2"/>
  <c r="M158" i="2"/>
  <c r="L158" i="2"/>
  <c r="J158" i="2"/>
  <c r="S158" i="2" l="1"/>
  <c r="T158" i="2"/>
  <c r="Q158" i="2"/>
  <c r="P158" i="2"/>
  <c r="R158" i="2"/>
  <c r="Y156" i="2"/>
  <c r="V157" i="2"/>
  <c r="M159" i="2"/>
  <c r="L159" i="2"/>
  <c r="K159" i="2"/>
  <c r="N159" i="2"/>
  <c r="J159" i="2"/>
  <c r="T159" i="2" l="1"/>
  <c r="S159" i="2"/>
  <c r="Q159" i="2"/>
  <c r="P159" i="2"/>
  <c r="R159" i="2"/>
  <c r="V158" i="2"/>
  <c r="Y158" i="2" s="1"/>
  <c r="X157" i="2"/>
  <c r="Y157" i="2"/>
  <c r="M160" i="2"/>
  <c r="N160" i="2"/>
  <c r="K160" i="2"/>
  <c r="L160" i="2"/>
  <c r="J160" i="2"/>
  <c r="T160" i="2" l="1"/>
  <c r="S160" i="2"/>
  <c r="Q160" i="2"/>
  <c r="P160" i="2"/>
  <c r="R160" i="2"/>
  <c r="X158" i="2"/>
  <c r="V159" i="2"/>
  <c r="M161" i="2"/>
  <c r="N161" i="2"/>
  <c r="L161" i="2"/>
  <c r="K161" i="2"/>
  <c r="J161" i="2"/>
  <c r="T161" i="2" l="1"/>
  <c r="S161" i="2"/>
  <c r="Q161" i="2"/>
  <c r="P161" i="2"/>
  <c r="R161" i="2"/>
  <c r="V160" i="2"/>
  <c r="Y160" i="2" s="1"/>
  <c r="Y159" i="2"/>
  <c r="X159" i="2"/>
  <c r="K162" i="2"/>
  <c r="L162" i="2"/>
  <c r="M162" i="2"/>
  <c r="N162" i="2"/>
  <c r="J162" i="2"/>
  <c r="T162" i="2" l="1"/>
  <c r="S162" i="2"/>
  <c r="Q162" i="2"/>
  <c r="P162" i="2"/>
  <c r="R162" i="2"/>
  <c r="X160" i="2"/>
  <c r="V161" i="2"/>
  <c r="M163" i="2"/>
  <c r="K163" i="2"/>
  <c r="N163" i="2"/>
  <c r="L163" i="2"/>
  <c r="J163" i="2"/>
  <c r="T163" i="2" l="1"/>
  <c r="S163" i="2"/>
  <c r="Q163" i="2"/>
  <c r="P163" i="2"/>
  <c r="R163" i="2"/>
  <c r="V162" i="2"/>
  <c r="Y162" i="2" s="1"/>
  <c r="Y161" i="2"/>
  <c r="X161" i="2"/>
  <c r="N164" i="2"/>
  <c r="L164" i="2"/>
  <c r="K164" i="2"/>
  <c r="M164" i="2"/>
  <c r="J164" i="2"/>
  <c r="S164" i="2" l="1"/>
  <c r="T164" i="2"/>
  <c r="Q164" i="2"/>
  <c r="P164" i="2"/>
  <c r="R164" i="2"/>
  <c r="X162" i="2"/>
  <c r="V163" i="2"/>
  <c r="M165" i="2"/>
  <c r="L165" i="2"/>
  <c r="K165" i="2"/>
  <c r="N165" i="2"/>
  <c r="J165" i="2"/>
  <c r="T165" i="2" l="1"/>
  <c r="S165" i="2"/>
  <c r="Q165" i="2"/>
  <c r="P165" i="2"/>
  <c r="R165" i="2"/>
  <c r="Y163" i="2"/>
  <c r="X163" i="2"/>
  <c r="V164" i="2"/>
  <c r="M166" i="2"/>
  <c r="N166" i="2"/>
  <c r="K166" i="2"/>
  <c r="L166" i="2"/>
  <c r="J166" i="2"/>
  <c r="T166" i="2" l="1"/>
  <c r="S166" i="2"/>
  <c r="Q166" i="2"/>
  <c r="P166" i="2"/>
  <c r="R166" i="2"/>
  <c r="X164" i="2"/>
  <c r="Y164" i="2"/>
  <c r="V165" i="2"/>
  <c r="M167" i="2"/>
  <c r="N167" i="2"/>
  <c r="K167" i="2"/>
  <c r="L167" i="2"/>
  <c r="J167" i="2"/>
  <c r="T167" i="2" l="1"/>
  <c r="S167" i="2"/>
  <c r="Q167" i="2"/>
  <c r="P167" i="2"/>
  <c r="R167" i="2"/>
  <c r="V166" i="2"/>
  <c r="X166" i="2" s="1"/>
  <c r="Y165" i="2"/>
  <c r="X165" i="2"/>
  <c r="K168" i="2"/>
  <c r="L168" i="2"/>
  <c r="N168" i="2"/>
  <c r="M168" i="2"/>
  <c r="J168" i="2"/>
  <c r="S168" i="2" l="1"/>
  <c r="T168" i="2"/>
  <c r="Q168" i="2"/>
  <c r="P168" i="2"/>
  <c r="R168" i="2"/>
  <c r="Y166" i="2"/>
  <c r="V167" i="2"/>
  <c r="N169" i="2"/>
  <c r="M169" i="2"/>
  <c r="L169" i="2"/>
  <c r="K169" i="2"/>
  <c r="J169" i="2"/>
  <c r="S169" i="2" l="1"/>
  <c r="T169" i="2"/>
  <c r="Q169" i="2"/>
  <c r="P169" i="2"/>
  <c r="R169" i="2"/>
  <c r="V168" i="2"/>
  <c r="Y167" i="2"/>
  <c r="X167" i="2"/>
  <c r="L170" i="2"/>
  <c r="N170" i="2"/>
  <c r="M170" i="2"/>
  <c r="K170" i="2"/>
  <c r="J170" i="2"/>
  <c r="S170" i="2" l="1"/>
  <c r="T170" i="2"/>
  <c r="Q170" i="2"/>
  <c r="P170" i="2"/>
  <c r="R170" i="2"/>
  <c r="X168" i="2"/>
  <c r="Y168" i="2"/>
  <c r="V169" i="2"/>
  <c r="N171" i="2"/>
  <c r="M171" i="2"/>
  <c r="L171" i="2"/>
  <c r="K171" i="2"/>
  <c r="J171" i="2"/>
  <c r="S171" i="2" l="1"/>
  <c r="T171" i="2"/>
  <c r="Q171" i="2"/>
  <c r="P171" i="2"/>
  <c r="R171" i="2"/>
  <c r="Y169" i="2"/>
  <c r="X169" i="2"/>
  <c r="V170" i="2"/>
  <c r="N172" i="2"/>
  <c r="K172" i="2"/>
  <c r="M172" i="2"/>
  <c r="L172" i="2"/>
  <c r="J172" i="2"/>
  <c r="S172" i="2" l="1"/>
  <c r="T172" i="2"/>
  <c r="Q172" i="2"/>
  <c r="P172" i="2"/>
  <c r="R172" i="2"/>
  <c r="X170" i="2"/>
  <c r="Y170" i="2"/>
  <c r="V171" i="2"/>
  <c r="M173" i="2"/>
  <c r="K173" i="2"/>
  <c r="L173" i="2"/>
  <c r="N173" i="2"/>
  <c r="J173" i="2"/>
  <c r="T173" i="2" l="1"/>
  <c r="S173" i="2"/>
  <c r="Q173" i="2"/>
  <c r="P173" i="2"/>
  <c r="R173" i="2"/>
  <c r="V172" i="2"/>
  <c r="X171" i="2"/>
  <c r="Y171" i="2"/>
  <c r="L174" i="2"/>
  <c r="M174" i="2"/>
  <c r="K174" i="2"/>
  <c r="N174" i="2"/>
  <c r="J174" i="2"/>
  <c r="T174" i="2" l="1"/>
  <c r="S174" i="2"/>
  <c r="Q174" i="2"/>
  <c r="P174" i="2"/>
  <c r="R174" i="2"/>
  <c r="Y172" i="2"/>
  <c r="X172" i="2"/>
  <c r="V173" i="2"/>
  <c r="M175" i="2"/>
  <c r="L175" i="2"/>
  <c r="N175" i="2"/>
  <c r="K175" i="2"/>
  <c r="J175" i="2"/>
  <c r="T175" i="2" l="1"/>
  <c r="S175" i="2"/>
  <c r="Q175" i="2"/>
  <c r="P175" i="2"/>
  <c r="R175" i="2"/>
  <c r="X173" i="2"/>
  <c r="Y173" i="2"/>
  <c r="V174" i="2"/>
  <c r="K176" i="2"/>
  <c r="L176" i="2"/>
  <c r="M176" i="2"/>
  <c r="N176" i="2"/>
  <c r="J176" i="2"/>
  <c r="T176" i="2" l="1"/>
  <c r="S176" i="2"/>
  <c r="Q176" i="2"/>
  <c r="P176" i="2"/>
  <c r="R176" i="2"/>
  <c r="X174" i="2"/>
  <c r="Y174" i="2"/>
  <c r="V175" i="2"/>
  <c r="M177" i="2"/>
  <c r="L177" i="2"/>
  <c r="K177" i="2"/>
  <c r="N177" i="2"/>
  <c r="J177" i="2"/>
  <c r="T177" i="2" l="1"/>
  <c r="S177" i="2"/>
  <c r="Q177" i="2"/>
  <c r="P177" i="2"/>
  <c r="R177" i="2"/>
  <c r="V176" i="2"/>
  <c r="Y176" i="2" s="1"/>
  <c r="X175" i="2"/>
  <c r="Y175" i="2"/>
  <c r="N178" i="2"/>
  <c r="L178" i="2"/>
  <c r="K178" i="2"/>
  <c r="M178" i="2"/>
  <c r="J178" i="2"/>
  <c r="S178" i="2" l="1"/>
  <c r="T178" i="2"/>
  <c r="Q178" i="2"/>
  <c r="P178" i="2"/>
  <c r="R178" i="2"/>
  <c r="X176" i="2"/>
  <c r="V177" i="2"/>
  <c r="M179" i="2"/>
  <c r="L179" i="2"/>
  <c r="K179" i="2"/>
  <c r="N179" i="2"/>
  <c r="J179" i="2"/>
  <c r="T179" i="2" l="1"/>
  <c r="S179" i="2"/>
  <c r="Q179" i="2"/>
  <c r="P179" i="2"/>
  <c r="R179" i="2"/>
  <c r="V178" i="2"/>
  <c r="Y178" i="2" s="1"/>
  <c r="X177" i="2"/>
  <c r="Y177" i="2"/>
  <c r="N180" i="2"/>
  <c r="K180" i="2"/>
  <c r="M180" i="2"/>
  <c r="L180" i="2"/>
  <c r="J180" i="2"/>
  <c r="S180" i="2" l="1"/>
  <c r="T180" i="2"/>
  <c r="Q180" i="2"/>
  <c r="P180" i="2"/>
  <c r="R180" i="2"/>
  <c r="X178" i="2"/>
  <c r="V179" i="2"/>
  <c r="N181" i="2"/>
  <c r="L181" i="2"/>
  <c r="M181" i="2"/>
  <c r="K181" i="2"/>
  <c r="J181" i="2"/>
  <c r="S181" i="2" l="1"/>
  <c r="T181" i="2"/>
  <c r="Q181" i="2"/>
  <c r="P181" i="2"/>
  <c r="R181" i="2"/>
  <c r="Y179" i="2"/>
  <c r="X179" i="2"/>
  <c r="V180" i="2"/>
  <c r="N182" i="2"/>
  <c r="M182" i="2"/>
  <c r="L182" i="2"/>
  <c r="K182" i="2"/>
  <c r="J182" i="2"/>
  <c r="S182" i="2" l="1"/>
  <c r="T182" i="2"/>
  <c r="Q182" i="2"/>
  <c r="P182" i="2"/>
  <c r="R182" i="2"/>
  <c r="Y180" i="2"/>
  <c r="X180" i="2"/>
  <c r="V181" i="2"/>
  <c r="N183" i="2"/>
  <c r="K183" i="2"/>
  <c r="M183" i="2"/>
  <c r="L183" i="2"/>
  <c r="J183" i="2"/>
  <c r="S183" i="2" l="1"/>
  <c r="T183" i="2"/>
  <c r="Q183" i="2"/>
  <c r="P183" i="2"/>
  <c r="R183" i="2"/>
  <c r="X181" i="2"/>
  <c r="Y181" i="2"/>
  <c r="V182" i="2"/>
  <c r="N184" i="2"/>
  <c r="L184" i="2"/>
  <c r="M184" i="2"/>
  <c r="K184" i="2"/>
  <c r="J184" i="2"/>
  <c r="S184" i="2" l="1"/>
  <c r="T184" i="2"/>
  <c r="Q184" i="2"/>
  <c r="P184" i="2"/>
  <c r="R184" i="2"/>
  <c r="V183" i="2"/>
  <c r="X183" i="2" s="1"/>
  <c r="X182" i="2"/>
  <c r="Y182" i="2"/>
  <c r="N185" i="2"/>
  <c r="K185" i="2"/>
  <c r="M185" i="2"/>
  <c r="L185" i="2"/>
  <c r="J185" i="2"/>
  <c r="S185" i="2" l="1"/>
  <c r="T185" i="2"/>
  <c r="Q185" i="2"/>
  <c r="P185" i="2"/>
  <c r="R185" i="2"/>
  <c r="V184" i="2"/>
  <c r="Y184" i="2" s="1"/>
  <c r="Y183" i="2"/>
  <c r="L186" i="2"/>
  <c r="N186" i="2"/>
  <c r="K186" i="2"/>
  <c r="M186" i="2"/>
  <c r="J186" i="2"/>
  <c r="S186" i="2" l="1"/>
  <c r="T186" i="2"/>
  <c r="Q186" i="2"/>
  <c r="P186" i="2"/>
  <c r="R186" i="2"/>
  <c r="X184" i="2"/>
  <c r="V185" i="2"/>
  <c r="N187" i="2"/>
  <c r="L187" i="2"/>
  <c r="M187" i="2"/>
  <c r="K187" i="2"/>
  <c r="J187" i="2"/>
  <c r="S187" i="2" l="1"/>
  <c r="T187" i="2"/>
  <c r="Q187" i="2"/>
  <c r="P187" i="2"/>
  <c r="R187" i="2"/>
  <c r="X185" i="2"/>
  <c r="Y185" i="2"/>
  <c r="V186" i="2"/>
  <c r="L188" i="2"/>
  <c r="K188" i="2"/>
  <c r="M188" i="2"/>
  <c r="N188" i="2"/>
  <c r="J188" i="2"/>
  <c r="T188" i="2" l="1"/>
  <c r="S188" i="2"/>
  <c r="Q188" i="2"/>
  <c r="P188" i="2"/>
  <c r="R188" i="2"/>
  <c r="X186" i="2"/>
  <c r="Y186" i="2"/>
  <c r="V187" i="2"/>
  <c r="K189" i="2"/>
  <c r="M189" i="2"/>
  <c r="L189" i="2"/>
  <c r="N189" i="2"/>
  <c r="J189" i="2"/>
  <c r="T189" i="2" l="1"/>
  <c r="S189" i="2"/>
  <c r="Q189" i="2"/>
  <c r="P189" i="2"/>
  <c r="R189" i="2"/>
  <c r="Y187" i="2"/>
  <c r="X187" i="2"/>
  <c r="V188" i="2"/>
  <c r="K190" i="2"/>
  <c r="M190" i="2"/>
  <c r="N190" i="2"/>
  <c r="L190" i="2"/>
  <c r="J190" i="2"/>
  <c r="T190" i="2" l="1"/>
  <c r="S190" i="2"/>
  <c r="Q190" i="2"/>
  <c r="P190" i="2"/>
  <c r="R190" i="2"/>
  <c r="V189" i="2"/>
  <c r="Y189" i="2" s="1"/>
  <c r="Y188" i="2"/>
  <c r="X188" i="2"/>
  <c r="L191" i="2"/>
  <c r="M191" i="2"/>
  <c r="K191" i="2"/>
  <c r="N191" i="2"/>
  <c r="J191" i="2"/>
  <c r="T191" i="2" l="1"/>
  <c r="S191" i="2"/>
  <c r="Q191" i="2"/>
  <c r="P191" i="2"/>
  <c r="R191" i="2"/>
  <c r="X189" i="2"/>
  <c r="V190" i="2"/>
  <c r="Y190" i="2" s="1"/>
  <c r="N192" i="2"/>
  <c r="K192" i="2"/>
  <c r="L192" i="2"/>
  <c r="M192" i="2"/>
  <c r="J192" i="2"/>
  <c r="S192" i="2" l="1"/>
  <c r="T192" i="2"/>
  <c r="Q192" i="2"/>
  <c r="P192" i="2"/>
  <c r="R192" i="2"/>
  <c r="X190" i="2"/>
  <c r="V191" i="2"/>
  <c r="K193" i="2"/>
  <c r="N193" i="2"/>
  <c r="M193" i="2"/>
  <c r="L193" i="2"/>
  <c r="J193" i="2"/>
  <c r="S193" i="2" l="1"/>
  <c r="T193" i="2"/>
  <c r="Q193" i="2"/>
  <c r="P193" i="2"/>
  <c r="R193" i="2"/>
  <c r="V192" i="2"/>
  <c r="X191" i="2"/>
  <c r="Y191" i="2"/>
  <c r="N194" i="2"/>
  <c r="K194" i="2"/>
  <c r="M194" i="2"/>
  <c r="L194" i="2"/>
  <c r="J194" i="2"/>
  <c r="S194" i="2" l="1"/>
  <c r="T194" i="2"/>
  <c r="Q194" i="2"/>
  <c r="P194" i="2"/>
  <c r="R194" i="2"/>
  <c r="V193" i="2"/>
  <c r="Y192" i="2"/>
  <c r="X192" i="2"/>
  <c r="K195" i="2"/>
  <c r="L195" i="2"/>
  <c r="M195" i="2"/>
  <c r="N195" i="2"/>
  <c r="J195" i="2"/>
  <c r="T195" i="2" l="1"/>
  <c r="S195" i="2"/>
  <c r="Q195" i="2"/>
  <c r="P195" i="2"/>
  <c r="R195" i="2"/>
  <c r="V194" i="2"/>
  <c r="Y194" i="2" s="1"/>
  <c r="X193" i="2"/>
  <c r="Y193" i="2"/>
  <c r="L196" i="2"/>
  <c r="K196" i="2"/>
  <c r="N196" i="2"/>
  <c r="M196" i="2"/>
  <c r="J196" i="2"/>
  <c r="S196" i="2" l="1"/>
  <c r="T196" i="2"/>
  <c r="Q196" i="2"/>
  <c r="P196" i="2"/>
  <c r="R196" i="2"/>
  <c r="V195" i="2"/>
  <c r="Y195" i="2" s="1"/>
  <c r="X194" i="2"/>
  <c r="M197" i="2"/>
  <c r="L197" i="2"/>
  <c r="K197" i="2"/>
  <c r="N197" i="2"/>
  <c r="J197" i="2"/>
  <c r="T197" i="2" l="1"/>
  <c r="S197" i="2"/>
  <c r="Q197" i="2"/>
  <c r="P197" i="2"/>
  <c r="R197" i="2"/>
  <c r="X195" i="2"/>
  <c r="V196" i="2"/>
  <c r="N198" i="2"/>
  <c r="M198" i="2"/>
  <c r="L198" i="2"/>
  <c r="K198" i="2"/>
  <c r="J198" i="2"/>
  <c r="S198" i="2" l="1"/>
  <c r="T198" i="2"/>
  <c r="Q198" i="2"/>
  <c r="P198" i="2"/>
  <c r="R198" i="2"/>
  <c r="V197" i="2"/>
  <c r="X197" i="2" s="1"/>
  <c r="Y196" i="2"/>
  <c r="X196" i="2"/>
  <c r="K199" i="2"/>
  <c r="L199" i="2"/>
  <c r="N199" i="2"/>
  <c r="M199" i="2"/>
  <c r="J199" i="2"/>
  <c r="S199" i="2" l="1"/>
  <c r="T199" i="2"/>
  <c r="Q199" i="2"/>
  <c r="P199" i="2"/>
  <c r="R199" i="2"/>
  <c r="Y197" i="2"/>
  <c r="V198" i="2"/>
  <c r="X198" i="2" s="1"/>
  <c r="M200" i="2"/>
  <c r="K200" i="2"/>
  <c r="L200" i="2"/>
  <c r="N200" i="2"/>
  <c r="J200" i="2"/>
  <c r="T200" i="2" l="1"/>
  <c r="S200" i="2"/>
  <c r="Q200" i="2"/>
  <c r="P200" i="2"/>
  <c r="R200" i="2"/>
  <c r="Y198" i="2"/>
  <c r="V199" i="2"/>
  <c r="M201" i="2"/>
  <c r="N201" i="2"/>
  <c r="L201" i="2"/>
  <c r="K201" i="2"/>
  <c r="J201" i="2"/>
  <c r="T201" i="2" l="1"/>
  <c r="S201" i="2"/>
  <c r="Q201" i="2"/>
  <c r="P201" i="2"/>
  <c r="R201" i="2"/>
  <c r="V200" i="2"/>
  <c r="Y200" i="2" s="1"/>
  <c r="X199" i="2"/>
  <c r="Y199" i="2"/>
  <c r="L202" i="2"/>
  <c r="M202" i="2"/>
  <c r="N202" i="2"/>
  <c r="K202" i="2"/>
  <c r="J202" i="2"/>
  <c r="T202" i="2" l="1"/>
  <c r="S202" i="2"/>
  <c r="Q202" i="2"/>
  <c r="P202" i="2"/>
  <c r="R202" i="2"/>
  <c r="X200" i="2"/>
  <c r="V201" i="2"/>
  <c r="M203" i="2"/>
  <c r="N203" i="2"/>
  <c r="L203" i="2"/>
  <c r="K203" i="2"/>
  <c r="J203" i="2"/>
  <c r="T203" i="2" l="1"/>
  <c r="S203" i="2"/>
  <c r="Q203" i="2"/>
  <c r="P203" i="2"/>
  <c r="R203" i="2"/>
  <c r="Y201" i="2"/>
  <c r="X201" i="2"/>
  <c r="V202" i="2"/>
  <c r="M204" i="2"/>
  <c r="L204" i="2"/>
  <c r="N204" i="2"/>
  <c r="K204" i="2"/>
  <c r="J204" i="2"/>
  <c r="T204" i="2" l="1"/>
  <c r="S204" i="2"/>
  <c r="Q204" i="2"/>
  <c r="P204" i="2"/>
  <c r="R204" i="2"/>
  <c r="X202" i="2"/>
  <c r="Y202" i="2"/>
  <c r="V203" i="2"/>
  <c r="N205" i="2"/>
  <c r="L205" i="2"/>
  <c r="K205" i="2"/>
  <c r="M205" i="2"/>
  <c r="J205" i="2"/>
  <c r="S205" i="2" l="1"/>
  <c r="T205" i="2"/>
  <c r="Q205" i="2"/>
  <c r="P205" i="2"/>
  <c r="R205" i="2"/>
  <c r="Y203" i="2"/>
  <c r="X203" i="2"/>
  <c r="V204" i="2"/>
  <c r="M206" i="2"/>
  <c r="K206" i="2"/>
  <c r="N206" i="2"/>
  <c r="L206" i="2"/>
  <c r="J206" i="2"/>
  <c r="T206" i="2" l="1"/>
  <c r="S206" i="2"/>
  <c r="Q206" i="2"/>
  <c r="P206" i="2"/>
  <c r="R206" i="2"/>
  <c r="V205" i="2"/>
  <c r="X205" i="2" s="1"/>
  <c r="Y204" i="2"/>
  <c r="X204" i="2"/>
  <c r="M207" i="2"/>
  <c r="L207" i="2"/>
  <c r="K207" i="2"/>
  <c r="N207" i="2"/>
  <c r="J207" i="2"/>
  <c r="T207" i="2" l="1"/>
  <c r="S207" i="2"/>
  <c r="Q207" i="2"/>
  <c r="P207" i="2"/>
  <c r="R207" i="2"/>
  <c r="Y205" i="2"/>
  <c r="V206" i="2"/>
  <c r="M208" i="2"/>
  <c r="L208" i="2"/>
  <c r="K208" i="2"/>
  <c r="N208" i="2"/>
  <c r="J208" i="2"/>
  <c r="T208" i="2" l="1"/>
  <c r="S208" i="2"/>
  <c r="Q208" i="2"/>
  <c r="P208" i="2"/>
  <c r="R208" i="2"/>
  <c r="X206" i="2"/>
  <c r="Y206" i="2"/>
  <c r="V207" i="2"/>
  <c r="L209" i="2"/>
  <c r="M209" i="2"/>
  <c r="K209" i="2"/>
  <c r="N209" i="2"/>
  <c r="J209" i="2"/>
  <c r="T209" i="2" l="1"/>
  <c r="S209" i="2"/>
  <c r="Q209" i="2"/>
  <c r="P209" i="2"/>
  <c r="R209" i="2"/>
  <c r="X207" i="2"/>
  <c r="Y207" i="2"/>
  <c r="V208" i="2"/>
  <c r="K210" i="2"/>
  <c r="M210" i="2"/>
  <c r="L210" i="2"/>
  <c r="N210" i="2"/>
  <c r="J210" i="2"/>
  <c r="T210" i="2" l="1"/>
  <c r="S210" i="2"/>
  <c r="Q210" i="2"/>
  <c r="P210" i="2"/>
  <c r="R210" i="2"/>
  <c r="Y208" i="2"/>
  <c r="X208" i="2"/>
  <c r="V209" i="2"/>
  <c r="L211" i="2"/>
  <c r="K211" i="2"/>
  <c r="N211" i="2"/>
  <c r="M211" i="2"/>
  <c r="J211" i="2"/>
  <c r="S211" i="2" l="1"/>
  <c r="T211" i="2"/>
  <c r="Q211" i="2"/>
  <c r="P211" i="2"/>
  <c r="R211" i="2"/>
  <c r="X209" i="2"/>
  <c r="Y209" i="2"/>
  <c r="V210" i="2"/>
  <c r="K212" i="2"/>
  <c r="L212" i="2"/>
  <c r="M212" i="2"/>
  <c r="N212" i="2"/>
  <c r="J212" i="2"/>
  <c r="T212" i="2" l="1"/>
  <c r="S212" i="2"/>
  <c r="Q212" i="2"/>
  <c r="P212" i="2"/>
  <c r="R212" i="2"/>
  <c r="V211" i="2"/>
  <c r="X211" i="2" s="1"/>
  <c r="X210" i="2"/>
  <c r="Y210" i="2"/>
  <c r="M213" i="2"/>
  <c r="L213" i="2"/>
  <c r="N213" i="2"/>
  <c r="K213" i="2"/>
  <c r="J213" i="2"/>
  <c r="T213" i="2" l="1"/>
  <c r="S213" i="2"/>
  <c r="Q213" i="2"/>
  <c r="P213" i="2"/>
  <c r="R213" i="2"/>
  <c r="Y211" i="2"/>
  <c r="V212" i="2"/>
  <c r="N214" i="2"/>
  <c r="L214" i="2"/>
  <c r="K214" i="2"/>
  <c r="M214" i="2"/>
  <c r="J214" i="2"/>
  <c r="S214" i="2" l="1"/>
  <c r="T214" i="2"/>
  <c r="Q214" i="2"/>
  <c r="P214" i="2"/>
  <c r="R214" i="2"/>
  <c r="V213" i="2"/>
  <c r="Y213" i="2" s="1"/>
  <c r="X212" i="2"/>
  <c r="Y212" i="2"/>
  <c r="M215" i="2"/>
  <c r="K215" i="2"/>
  <c r="N215" i="2"/>
  <c r="L215" i="2"/>
  <c r="J215" i="2"/>
  <c r="T215" i="2" l="1"/>
  <c r="S215" i="2"/>
  <c r="Q215" i="2"/>
  <c r="P215" i="2"/>
  <c r="R215" i="2"/>
  <c r="X213" i="2"/>
  <c r="V214" i="2"/>
  <c r="M216" i="2"/>
  <c r="K216" i="2"/>
  <c r="L216" i="2"/>
  <c r="N216" i="2"/>
  <c r="J216" i="2"/>
  <c r="T216" i="2" l="1"/>
  <c r="S216" i="2"/>
  <c r="Q216" i="2"/>
  <c r="P216" i="2"/>
  <c r="R216" i="2"/>
  <c r="V215" i="2"/>
  <c r="Y215" i="2" s="1"/>
  <c r="X214" i="2"/>
  <c r="Y214" i="2"/>
  <c r="L217" i="2"/>
  <c r="N217" i="2"/>
  <c r="K217" i="2"/>
  <c r="M217" i="2"/>
  <c r="J217" i="2"/>
  <c r="S217" i="2" l="1"/>
  <c r="T217" i="2"/>
  <c r="Q217" i="2"/>
  <c r="P217" i="2"/>
  <c r="R217" i="2"/>
  <c r="X215" i="2"/>
  <c r="V216" i="2"/>
  <c r="L218" i="2"/>
  <c r="N218" i="2"/>
  <c r="K218" i="2"/>
  <c r="M218" i="2"/>
  <c r="J218" i="2"/>
  <c r="S218" i="2" l="1"/>
  <c r="T218" i="2"/>
  <c r="Q218" i="2"/>
  <c r="P218" i="2"/>
  <c r="R218" i="2"/>
  <c r="X216" i="2"/>
  <c r="Y216" i="2"/>
  <c r="V217" i="2"/>
  <c r="N219" i="2"/>
  <c r="K219" i="2"/>
  <c r="M219" i="2"/>
  <c r="L219" i="2"/>
  <c r="J219" i="2"/>
  <c r="S219" i="2" l="1"/>
  <c r="T219" i="2"/>
  <c r="Q219" i="2"/>
  <c r="P219" i="2"/>
  <c r="R219" i="2"/>
  <c r="V218" i="2"/>
  <c r="X218" i="2" s="1"/>
  <c r="X217" i="2"/>
  <c r="Y217" i="2"/>
  <c r="L220" i="2"/>
  <c r="K220" i="2"/>
  <c r="N220" i="2"/>
  <c r="M220" i="2"/>
  <c r="J220" i="2"/>
  <c r="S220" i="2" l="1"/>
  <c r="T220" i="2"/>
  <c r="Q220" i="2"/>
  <c r="P220" i="2"/>
  <c r="R220" i="2"/>
  <c r="Y218" i="2"/>
  <c r="V219" i="2"/>
  <c r="N221" i="2"/>
  <c r="L221" i="2"/>
  <c r="M221" i="2"/>
  <c r="K221" i="2"/>
  <c r="J221" i="2"/>
  <c r="S221" i="2" l="1"/>
  <c r="T221" i="2"/>
  <c r="Q221" i="2"/>
  <c r="P221" i="2"/>
  <c r="R221" i="2"/>
  <c r="V220" i="2"/>
  <c r="X219" i="2"/>
  <c r="Y219" i="2"/>
  <c r="L222" i="2"/>
  <c r="K222" i="2"/>
  <c r="M222" i="2"/>
  <c r="N222" i="2"/>
  <c r="J222" i="2"/>
  <c r="T222" i="2" l="1"/>
  <c r="S222" i="2"/>
  <c r="Q222" i="2"/>
  <c r="P222" i="2"/>
  <c r="R222" i="2"/>
  <c r="Y220" i="2"/>
  <c r="X220" i="2"/>
  <c r="V221" i="2"/>
  <c r="K223" i="2"/>
  <c r="N223" i="2"/>
  <c r="M223" i="2"/>
  <c r="L223" i="2"/>
  <c r="J223" i="2"/>
  <c r="S223" i="2" l="1"/>
  <c r="T223" i="2"/>
  <c r="Q223" i="2"/>
  <c r="P223" i="2"/>
  <c r="R223" i="2"/>
  <c r="V222" i="2"/>
  <c r="X222" i="2" s="1"/>
  <c r="X221" i="2"/>
  <c r="Y221" i="2"/>
  <c r="M224" i="2"/>
  <c r="K224" i="2"/>
  <c r="N224" i="2"/>
  <c r="L224" i="2"/>
  <c r="J224" i="2"/>
  <c r="T224" i="2" l="1"/>
  <c r="S224" i="2"/>
  <c r="Q224" i="2"/>
  <c r="P224" i="2"/>
  <c r="R224" i="2"/>
  <c r="Y222" i="2"/>
  <c r="V223" i="2"/>
  <c r="N225" i="2"/>
  <c r="L225" i="2"/>
  <c r="M225" i="2"/>
  <c r="K225" i="2"/>
  <c r="J225" i="2"/>
  <c r="S225" i="2" l="1"/>
  <c r="T225" i="2"/>
  <c r="Q225" i="2"/>
  <c r="P225" i="2"/>
  <c r="R225" i="2"/>
  <c r="V224" i="2"/>
  <c r="X224" i="2" s="1"/>
  <c r="Y223" i="2"/>
  <c r="X223" i="2"/>
  <c r="M226" i="2"/>
  <c r="K226" i="2"/>
  <c r="N226" i="2"/>
  <c r="L226" i="2"/>
  <c r="J226" i="2"/>
  <c r="T226" i="2" l="1"/>
  <c r="S226" i="2"/>
  <c r="Q226" i="2"/>
  <c r="P226" i="2"/>
  <c r="R226" i="2"/>
  <c r="Y224" i="2"/>
  <c r="V225" i="2"/>
  <c r="N227" i="2"/>
  <c r="L227" i="2"/>
  <c r="M227" i="2"/>
  <c r="K227" i="2"/>
  <c r="J227" i="2"/>
  <c r="S227" i="2" l="1"/>
  <c r="T227" i="2"/>
  <c r="Q227" i="2"/>
  <c r="P227" i="2"/>
  <c r="R227" i="2"/>
  <c r="V226" i="2"/>
  <c r="Y225" i="2"/>
  <c r="X225" i="2"/>
  <c r="N228" i="2"/>
  <c r="L228" i="2"/>
  <c r="K228" i="2"/>
  <c r="M228" i="2"/>
  <c r="J228" i="2"/>
  <c r="S228" i="2" l="1"/>
  <c r="T228" i="2"/>
  <c r="Q228" i="2"/>
  <c r="P228" i="2"/>
  <c r="R228" i="2"/>
  <c r="X226" i="2"/>
  <c r="Y226" i="2"/>
  <c r="V227" i="2"/>
  <c r="L229" i="2"/>
  <c r="N229" i="2"/>
  <c r="K229" i="2"/>
  <c r="M229" i="2"/>
  <c r="J229" i="2"/>
  <c r="S229" i="2" l="1"/>
  <c r="T229" i="2"/>
  <c r="Q229" i="2"/>
  <c r="P229" i="2"/>
  <c r="R229" i="2"/>
  <c r="X227" i="2"/>
  <c r="Y227" i="2"/>
  <c r="V228" i="2"/>
  <c r="K230" i="2"/>
  <c r="M230" i="2"/>
  <c r="N230" i="2"/>
  <c r="L230" i="2"/>
  <c r="J230" i="2"/>
  <c r="T230" i="2" l="1"/>
  <c r="S230" i="2"/>
  <c r="Q230" i="2"/>
  <c r="P230" i="2"/>
  <c r="R230" i="2"/>
  <c r="Y228" i="2"/>
  <c r="X228" i="2"/>
  <c r="V229" i="2"/>
  <c r="L231" i="2"/>
  <c r="N231" i="2"/>
  <c r="K231" i="2"/>
  <c r="M231" i="2"/>
  <c r="J231" i="2"/>
  <c r="S231" i="2" l="1"/>
  <c r="T231" i="2"/>
  <c r="Q231" i="2"/>
  <c r="P231" i="2"/>
  <c r="R231" i="2"/>
  <c r="V230" i="2"/>
  <c r="X229" i="2"/>
  <c r="Y229" i="2"/>
  <c r="K232" i="2"/>
  <c r="L232" i="2"/>
  <c r="M232" i="2"/>
  <c r="N232" i="2"/>
  <c r="J232" i="2"/>
  <c r="T232" i="2" l="1"/>
  <c r="S232" i="2"/>
  <c r="Q232" i="2"/>
  <c r="P232" i="2"/>
  <c r="R232" i="2"/>
  <c r="X230" i="2"/>
  <c r="Y230" i="2"/>
  <c r="V231" i="2"/>
  <c r="L233" i="2"/>
  <c r="K233" i="2"/>
  <c r="N233" i="2"/>
  <c r="M233" i="2"/>
  <c r="J233" i="2"/>
  <c r="S233" i="2" l="1"/>
  <c r="T233" i="2"/>
  <c r="Q233" i="2"/>
  <c r="P233" i="2"/>
  <c r="R233" i="2"/>
  <c r="Y231" i="2"/>
  <c r="X231" i="2"/>
  <c r="V232" i="2"/>
  <c r="M234" i="2"/>
  <c r="K234" i="2"/>
  <c r="L234" i="2"/>
  <c r="N234" i="2"/>
  <c r="J234" i="2"/>
  <c r="T234" i="2" l="1"/>
  <c r="S234" i="2"/>
  <c r="Q234" i="2"/>
  <c r="P234" i="2"/>
  <c r="R234" i="2"/>
  <c r="V233" i="2"/>
  <c r="Y232" i="2"/>
  <c r="X232" i="2"/>
  <c r="N235" i="2"/>
  <c r="K235" i="2"/>
  <c r="M235" i="2"/>
  <c r="L235" i="2"/>
  <c r="J235" i="2"/>
  <c r="S235" i="2" l="1"/>
  <c r="T235" i="2"/>
  <c r="Q235" i="2"/>
  <c r="P235" i="2"/>
  <c r="R235" i="2"/>
  <c r="Y233" i="2"/>
  <c r="X233" i="2"/>
  <c r="V234" i="2"/>
  <c r="K236" i="2"/>
  <c r="N236" i="2"/>
  <c r="M236" i="2"/>
  <c r="L236" i="2"/>
  <c r="J236" i="2"/>
  <c r="S236" i="2" l="1"/>
  <c r="T236" i="2"/>
  <c r="Q236" i="2"/>
  <c r="P236" i="2"/>
  <c r="R236" i="2"/>
  <c r="X234" i="2"/>
  <c r="Y234" i="2"/>
  <c r="V235" i="2"/>
  <c r="N237" i="2"/>
  <c r="L237" i="2"/>
  <c r="K237" i="2"/>
  <c r="M237" i="2"/>
  <c r="J237" i="2"/>
  <c r="S237" i="2" l="1"/>
  <c r="T237" i="2"/>
  <c r="Q237" i="2"/>
  <c r="P237" i="2"/>
  <c r="R237" i="2"/>
  <c r="X235" i="2"/>
  <c r="Y235" i="2"/>
  <c r="V236" i="2"/>
  <c r="L238" i="2"/>
  <c r="K238" i="2"/>
  <c r="N238" i="2"/>
  <c r="M238" i="2"/>
  <c r="J238" i="2"/>
  <c r="S238" i="2" l="1"/>
  <c r="T238" i="2"/>
  <c r="Q238" i="2"/>
  <c r="P238" i="2"/>
  <c r="R238" i="2"/>
  <c r="Y236" i="2"/>
  <c r="X236" i="2"/>
  <c r="V237" i="2"/>
  <c r="M239" i="2"/>
  <c r="L239" i="2"/>
  <c r="N239" i="2"/>
  <c r="K239" i="2"/>
  <c r="J239" i="2"/>
  <c r="T239" i="2" l="1"/>
  <c r="S239" i="2"/>
  <c r="Q239" i="2"/>
  <c r="P239" i="2"/>
  <c r="R239" i="2"/>
  <c r="V238" i="2"/>
  <c r="X238" i="2" s="1"/>
  <c r="X237" i="2"/>
  <c r="Y237" i="2"/>
  <c r="K240" i="2"/>
  <c r="N240" i="2"/>
  <c r="L240" i="2"/>
  <c r="M240" i="2"/>
  <c r="J240" i="2"/>
  <c r="S240" i="2" l="1"/>
  <c r="T240" i="2"/>
  <c r="Q240" i="2"/>
  <c r="P240" i="2"/>
  <c r="R240" i="2"/>
  <c r="Y238" i="2"/>
  <c r="V239" i="2"/>
  <c r="M241" i="2"/>
  <c r="L241" i="2"/>
  <c r="N241" i="2"/>
  <c r="K241" i="2"/>
  <c r="J241" i="2"/>
  <c r="T241" i="2" l="1"/>
  <c r="S241" i="2"/>
  <c r="Q241" i="2"/>
  <c r="P241" i="2"/>
  <c r="R241" i="2"/>
  <c r="Y239" i="2"/>
  <c r="X239" i="2"/>
  <c r="V240" i="2"/>
  <c r="L242" i="2"/>
  <c r="K242" i="2"/>
  <c r="N242" i="2"/>
  <c r="M242" i="2"/>
  <c r="J242" i="2"/>
  <c r="S242" i="2" l="1"/>
  <c r="T242" i="2"/>
  <c r="Q242" i="2"/>
  <c r="P242" i="2"/>
  <c r="R242" i="2"/>
  <c r="X240" i="2"/>
  <c r="Y240" i="2"/>
  <c r="V241" i="2"/>
  <c r="K243" i="2"/>
  <c r="N243" i="2"/>
  <c r="M243" i="2"/>
  <c r="L243" i="2"/>
  <c r="J243" i="2"/>
  <c r="S243" i="2" l="1"/>
  <c r="T243" i="2"/>
  <c r="Q243" i="2"/>
  <c r="P243" i="2"/>
  <c r="R243" i="2"/>
  <c r="X241" i="2"/>
  <c r="Y241" i="2"/>
  <c r="V242" i="2"/>
  <c r="M244" i="2"/>
  <c r="L244" i="2"/>
  <c r="K244" i="2"/>
  <c r="N244" i="2"/>
  <c r="J244" i="2"/>
  <c r="T244" i="2" l="1"/>
  <c r="S244" i="2"/>
  <c r="Q244" i="2"/>
  <c r="P244" i="2"/>
  <c r="R244" i="2"/>
  <c r="X242" i="2"/>
  <c r="Y242" i="2"/>
  <c r="V243" i="2"/>
  <c r="L245" i="2"/>
  <c r="N245" i="2"/>
  <c r="K245" i="2"/>
  <c r="M245" i="2"/>
  <c r="J245" i="2"/>
  <c r="S245" i="2" l="1"/>
  <c r="T245" i="2"/>
  <c r="Q245" i="2"/>
  <c r="P245" i="2"/>
  <c r="R245" i="2"/>
  <c r="X243" i="2"/>
  <c r="Y243" i="2"/>
  <c r="V244" i="2"/>
  <c r="N246" i="2"/>
  <c r="L246" i="2"/>
  <c r="K246" i="2"/>
  <c r="M246" i="2"/>
  <c r="J246" i="2"/>
  <c r="S246" i="2" l="1"/>
  <c r="T246" i="2"/>
  <c r="Q246" i="2"/>
  <c r="P246" i="2"/>
  <c r="R246" i="2"/>
  <c r="V245" i="2"/>
  <c r="X244" i="2"/>
  <c r="Y244" i="2"/>
  <c r="K247" i="2"/>
  <c r="M247" i="2"/>
  <c r="N247" i="2"/>
  <c r="L247" i="2"/>
  <c r="J247" i="2"/>
  <c r="T247" i="2" l="1"/>
  <c r="S247" i="2"/>
  <c r="Q247" i="2"/>
  <c r="P247" i="2"/>
  <c r="R247" i="2"/>
  <c r="V246" i="2"/>
  <c r="X246" i="2" s="1"/>
  <c r="Y245" i="2"/>
  <c r="X245" i="2"/>
  <c r="N248" i="2"/>
  <c r="L248" i="2"/>
  <c r="M248" i="2"/>
  <c r="K248" i="2"/>
  <c r="J248" i="2"/>
  <c r="S248" i="2" l="1"/>
  <c r="T248" i="2"/>
  <c r="Q248" i="2"/>
  <c r="P248" i="2"/>
  <c r="R248" i="2"/>
  <c r="Y246" i="2"/>
  <c r="V247" i="2"/>
  <c r="N249" i="2"/>
  <c r="M249" i="2"/>
  <c r="K249" i="2"/>
  <c r="L249" i="2"/>
  <c r="J249" i="2"/>
  <c r="S249" i="2" l="1"/>
  <c r="T249" i="2"/>
  <c r="Q249" i="2"/>
  <c r="P249" i="2"/>
  <c r="R249" i="2"/>
  <c r="Y247" i="2"/>
  <c r="X247" i="2"/>
  <c r="V248" i="2"/>
  <c r="N250" i="2"/>
  <c r="K250" i="2"/>
  <c r="L250" i="2"/>
  <c r="M250" i="2"/>
  <c r="J250" i="2"/>
  <c r="S250" i="2" l="1"/>
  <c r="T250" i="2"/>
  <c r="Q250" i="2"/>
  <c r="P250" i="2"/>
  <c r="R250" i="2"/>
  <c r="Y248" i="2"/>
  <c r="X248" i="2"/>
  <c r="V249" i="2"/>
  <c r="L251" i="2"/>
  <c r="K251" i="2"/>
  <c r="M251" i="2"/>
  <c r="N251" i="2"/>
  <c r="J251" i="2"/>
  <c r="T251" i="2" l="1"/>
  <c r="S251" i="2"/>
  <c r="Q251" i="2"/>
  <c r="P251" i="2"/>
  <c r="R251" i="2"/>
  <c r="V250" i="2"/>
  <c r="Y250" i="2" s="1"/>
  <c r="X249" i="2"/>
  <c r="Y249" i="2"/>
  <c r="N252" i="2"/>
  <c r="M252" i="2"/>
  <c r="K252" i="2"/>
  <c r="L252" i="2"/>
  <c r="J252" i="2"/>
  <c r="S252" i="2" l="1"/>
  <c r="T252" i="2"/>
  <c r="Q252" i="2"/>
  <c r="P252" i="2"/>
  <c r="R252" i="2"/>
  <c r="X250" i="2"/>
  <c r="V251" i="2"/>
  <c r="M253" i="2"/>
  <c r="L253" i="2"/>
  <c r="K253" i="2"/>
  <c r="N253" i="2"/>
  <c r="J253" i="2"/>
  <c r="T253" i="2" l="1"/>
  <c r="S253" i="2"/>
  <c r="Q253" i="2"/>
  <c r="P253" i="2"/>
  <c r="R253" i="2"/>
  <c r="Y251" i="2"/>
  <c r="X251" i="2"/>
  <c r="V252" i="2"/>
  <c r="L254" i="2"/>
  <c r="K254" i="2"/>
  <c r="N254" i="2"/>
  <c r="M254" i="2"/>
  <c r="J254" i="2"/>
  <c r="S254" i="2" l="1"/>
  <c r="T254" i="2"/>
  <c r="Q254" i="2"/>
  <c r="P254" i="2"/>
  <c r="R254" i="2"/>
  <c r="V253" i="2"/>
  <c r="X252" i="2"/>
  <c r="Y252" i="2"/>
  <c r="K255" i="2"/>
  <c r="M255" i="2"/>
  <c r="L255" i="2"/>
  <c r="N255" i="2"/>
  <c r="J255" i="2"/>
  <c r="T255" i="2" l="1"/>
  <c r="S255" i="2"/>
  <c r="Q255" i="2"/>
  <c r="P255" i="2"/>
  <c r="R255" i="2"/>
  <c r="X253" i="2"/>
  <c r="Y253" i="2"/>
  <c r="V254" i="2"/>
  <c r="N256" i="2"/>
  <c r="M256" i="2"/>
  <c r="K256" i="2"/>
  <c r="L256" i="2"/>
  <c r="J256" i="2"/>
  <c r="S256" i="2" l="1"/>
  <c r="T256" i="2"/>
  <c r="Q256" i="2"/>
  <c r="P256" i="2"/>
  <c r="R256" i="2"/>
  <c r="V255" i="2"/>
  <c r="Y255" i="2" s="1"/>
  <c r="Y254" i="2"/>
  <c r="X254" i="2"/>
  <c r="N257" i="2"/>
  <c r="L257" i="2"/>
  <c r="M257" i="2"/>
  <c r="K257" i="2"/>
  <c r="J257" i="2"/>
  <c r="S257" i="2" l="1"/>
  <c r="T257" i="2"/>
  <c r="Q257" i="2"/>
  <c r="P257" i="2"/>
  <c r="R257" i="2"/>
  <c r="X255" i="2"/>
  <c r="V256" i="2"/>
  <c r="X256" i="2" s="1"/>
  <c r="M258" i="2"/>
  <c r="L258" i="2"/>
  <c r="K258" i="2"/>
  <c r="N258" i="2"/>
  <c r="J258" i="2"/>
  <c r="T258" i="2" l="1"/>
  <c r="S258" i="2"/>
  <c r="Q258" i="2"/>
  <c r="P258" i="2"/>
  <c r="R258" i="2"/>
  <c r="Y256" i="2"/>
  <c r="V257" i="2"/>
  <c r="Y257" i="2" s="1"/>
  <c r="L259" i="2"/>
  <c r="N259" i="2"/>
  <c r="K259" i="2"/>
  <c r="M259" i="2"/>
  <c r="J259" i="2"/>
  <c r="S259" i="2" l="1"/>
  <c r="T259" i="2"/>
  <c r="Q259" i="2"/>
  <c r="P259" i="2"/>
  <c r="R259" i="2"/>
  <c r="X257" i="2"/>
  <c r="V258" i="2"/>
  <c r="M260" i="2"/>
  <c r="L260" i="2"/>
  <c r="K260" i="2"/>
  <c r="N260" i="2"/>
  <c r="J260" i="2"/>
  <c r="T260" i="2" l="1"/>
  <c r="S260" i="2"/>
  <c r="Q260" i="2"/>
  <c r="P260" i="2"/>
  <c r="R260" i="2"/>
  <c r="V259" i="2"/>
  <c r="X259" i="2" s="1"/>
  <c r="X258" i="2"/>
  <c r="Y258" i="2"/>
  <c r="K261" i="2"/>
  <c r="L261" i="2"/>
  <c r="N261" i="2"/>
  <c r="M261" i="2"/>
  <c r="J261" i="2"/>
  <c r="S261" i="2" l="1"/>
  <c r="T261" i="2"/>
  <c r="Q261" i="2"/>
  <c r="P261" i="2"/>
  <c r="R261" i="2"/>
  <c r="Y259" i="2"/>
  <c r="V260" i="2"/>
  <c r="N262" i="2"/>
  <c r="K262" i="2"/>
  <c r="M262" i="2"/>
  <c r="L262" i="2"/>
  <c r="J262" i="2"/>
  <c r="S262" i="2" l="1"/>
  <c r="T262" i="2"/>
  <c r="Q262" i="2"/>
  <c r="P262" i="2"/>
  <c r="R262" i="2"/>
  <c r="V261" i="2"/>
  <c r="Y261" i="2" s="1"/>
  <c r="X260" i="2"/>
  <c r="Y260" i="2"/>
  <c r="K263" i="2"/>
  <c r="M263" i="2"/>
  <c r="L263" i="2"/>
  <c r="N263" i="2"/>
  <c r="J263" i="2"/>
  <c r="T263" i="2" l="1"/>
  <c r="S263" i="2"/>
  <c r="Q263" i="2"/>
  <c r="P263" i="2"/>
  <c r="R263" i="2"/>
  <c r="X261" i="2"/>
  <c r="V262" i="2"/>
  <c r="M264" i="2"/>
  <c r="K264" i="2"/>
  <c r="N264" i="2"/>
  <c r="L264" i="2"/>
  <c r="J264" i="2"/>
  <c r="T264" i="2" l="1"/>
  <c r="S264" i="2"/>
  <c r="Q264" i="2"/>
  <c r="P264" i="2"/>
  <c r="R264" i="2"/>
  <c r="V263" i="2"/>
  <c r="X262" i="2"/>
  <c r="Y262" i="2"/>
  <c r="K265" i="2"/>
  <c r="L265" i="2"/>
  <c r="N265" i="2"/>
  <c r="M265" i="2"/>
  <c r="J265" i="2"/>
  <c r="S265" i="2" l="1"/>
  <c r="T265" i="2"/>
  <c r="Q265" i="2"/>
  <c r="P265" i="2"/>
  <c r="R265" i="2"/>
  <c r="X263" i="2"/>
  <c r="Y263" i="2"/>
  <c r="V264" i="2"/>
  <c r="N266" i="2"/>
  <c r="K266" i="2"/>
  <c r="L266" i="2"/>
  <c r="M266" i="2"/>
  <c r="J266" i="2"/>
  <c r="S266" i="2" l="1"/>
  <c r="T266" i="2"/>
  <c r="Q266" i="2"/>
  <c r="P266" i="2"/>
  <c r="R266" i="2"/>
  <c r="X264" i="2"/>
  <c r="Y264" i="2"/>
  <c r="V265" i="2"/>
  <c r="N267" i="2"/>
  <c r="K267" i="2"/>
  <c r="L267" i="2"/>
  <c r="M267" i="2"/>
  <c r="J267" i="2"/>
  <c r="S267" i="2" l="1"/>
  <c r="T267" i="2"/>
  <c r="Q267" i="2"/>
  <c r="P267" i="2"/>
  <c r="R267" i="2"/>
  <c r="V266" i="2"/>
  <c r="Y265" i="2"/>
  <c r="X265" i="2"/>
  <c r="L268" i="2"/>
  <c r="M268" i="2"/>
  <c r="N268" i="2"/>
  <c r="K268" i="2"/>
  <c r="J268" i="2"/>
  <c r="T268" i="2" l="1"/>
  <c r="S268" i="2"/>
  <c r="Q268" i="2"/>
  <c r="P268" i="2"/>
  <c r="R268" i="2"/>
  <c r="V267" i="2"/>
  <c r="Y267" i="2" s="1"/>
  <c r="X266" i="2"/>
  <c r="Y266" i="2"/>
  <c r="N269" i="2"/>
  <c r="M269" i="2"/>
  <c r="L269" i="2"/>
  <c r="K269" i="2"/>
  <c r="J269" i="2"/>
  <c r="S269" i="2" l="1"/>
  <c r="T269" i="2"/>
  <c r="Q269" i="2"/>
  <c r="P269" i="2"/>
  <c r="R269" i="2"/>
  <c r="X267" i="2"/>
  <c r="V268" i="2"/>
  <c r="K270" i="2"/>
  <c r="L270" i="2"/>
  <c r="N270" i="2"/>
  <c r="M270" i="2"/>
  <c r="J270" i="2"/>
  <c r="S270" i="2" l="1"/>
  <c r="T270" i="2"/>
  <c r="Q270" i="2"/>
  <c r="P270" i="2"/>
  <c r="R270" i="2"/>
  <c r="X268" i="2"/>
  <c r="Y268" i="2"/>
  <c r="V269" i="2"/>
  <c r="N271" i="2"/>
  <c r="K271" i="2"/>
  <c r="M271" i="2"/>
  <c r="L271" i="2"/>
  <c r="J271" i="2"/>
  <c r="S271" i="2" l="1"/>
  <c r="T271" i="2"/>
  <c r="Q271" i="2"/>
  <c r="P271" i="2"/>
  <c r="R271" i="2"/>
  <c r="Y269" i="2"/>
  <c r="X269" i="2"/>
  <c r="V270" i="2"/>
  <c r="K272" i="2"/>
  <c r="L272" i="2"/>
  <c r="N272" i="2"/>
  <c r="M272" i="2"/>
  <c r="J272" i="2"/>
  <c r="S272" i="2" l="1"/>
  <c r="T272" i="2"/>
  <c r="Q272" i="2"/>
  <c r="P272" i="2"/>
  <c r="R272" i="2"/>
  <c r="V271" i="2"/>
  <c r="Y271" i="2" s="1"/>
  <c r="Y270" i="2"/>
  <c r="X270" i="2"/>
  <c r="N273" i="2"/>
  <c r="K273" i="2"/>
  <c r="L273" i="2"/>
  <c r="M273" i="2"/>
  <c r="J273" i="2"/>
  <c r="S273" i="2" l="1"/>
  <c r="T273" i="2"/>
  <c r="Q273" i="2"/>
  <c r="P273" i="2"/>
  <c r="R273" i="2"/>
  <c r="X271" i="2"/>
  <c r="V272" i="2"/>
  <c r="N274" i="2"/>
  <c r="L274" i="2"/>
  <c r="M274" i="2"/>
  <c r="K274" i="2"/>
  <c r="J274" i="2"/>
  <c r="S274" i="2" l="1"/>
  <c r="T274" i="2"/>
  <c r="Q274" i="2"/>
  <c r="P274" i="2"/>
  <c r="R274" i="2"/>
  <c r="Y272" i="2"/>
  <c r="X272" i="2"/>
  <c r="V273" i="2"/>
  <c r="L275" i="2"/>
  <c r="M275" i="2"/>
  <c r="N275" i="2"/>
  <c r="K275" i="2"/>
  <c r="J275" i="2"/>
  <c r="T275" i="2" l="1"/>
  <c r="S275" i="2"/>
  <c r="Q275" i="2"/>
  <c r="P275" i="2"/>
  <c r="R275" i="2"/>
  <c r="Y273" i="2"/>
  <c r="X273" i="2"/>
  <c r="V274" i="2"/>
  <c r="L276" i="2"/>
  <c r="M276" i="2"/>
  <c r="N276" i="2"/>
  <c r="K276" i="2"/>
  <c r="J276" i="2"/>
  <c r="T276" i="2" l="1"/>
  <c r="S276" i="2"/>
  <c r="Q276" i="2"/>
  <c r="P276" i="2"/>
  <c r="R276" i="2"/>
  <c r="Y274" i="2"/>
  <c r="X274" i="2"/>
  <c r="V275" i="2"/>
  <c r="K277" i="2"/>
  <c r="L277" i="2"/>
  <c r="N277" i="2"/>
  <c r="M277" i="2"/>
  <c r="J277" i="2"/>
  <c r="S277" i="2" l="1"/>
  <c r="T277" i="2"/>
  <c r="Q277" i="2"/>
  <c r="P277" i="2"/>
  <c r="R277" i="2"/>
  <c r="V276" i="2"/>
  <c r="Y276" i="2" s="1"/>
  <c r="Y275" i="2"/>
  <c r="X275" i="2"/>
  <c r="K278" i="2"/>
  <c r="M278" i="2"/>
  <c r="N278" i="2"/>
  <c r="L278" i="2"/>
  <c r="J278" i="2"/>
  <c r="T278" i="2" l="1"/>
  <c r="S278" i="2"/>
  <c r="Q278" i="2"/>
  <c r="P278" i="2"/>
  <c r="R278" i="2"/>
  <c r="X276" i="2"/>
  <c r="V277" i="2"/>
  <c r="L279" i="2"/>
  <c r="N279" i="2"/>
  <c r="M279" i="2"/>
  <c r="K279" i="2"/>
  <c r="J279" i="2"/>
  <c r="S279" i="2" l="1"/>
  <c r="T279" i="2"/>
  <c r="Q279" i="2"/>
  <c r="P279" i="2"/>
  <c r="R279" i="2"/>
  <c r="V278" i="2"/>
  <c r="Y278" i="2" s="1"/>
  <c r="Y277" i="2"/>
  <c r="X277" i="2"/>
  <c r="M280" i="2"/>
  <c r="K280" i="2"/>
  <c r="L280" i="2"/>
  <c r="N280" i="2"/>
  <c r="J280" i="2"/>
  <c r="T280" i="2" l="1"/>
  <c r="S280" i="2"/>
  <c r="Q280" i="2"/>
  <c r="P280" i="2"/>
  <c r="R280" i="2"/>
  <c r="X278" i="2"/>
  <c r="V279" i="2"/>
  <c r="N281" i="2"/>
  <c r="L281" i="2"/>
  <c r="M281" i="2"/>
  <c r="K281" i="2"/>
  <c r="J281" i="2"/>
  <c r="S281" i="2" l="1"/>
  <c r="T281" i="2"/>
  <c r="Q281" i="2"/>
  <c r="P281" i="2"/>
  <c r="R281" i="2"/>
  <c r="X279" i="2"/>
  <c r="Y279" i="2"/>
  <c r="V280" i="2"/>
  <c r="N282" i="2"/>
  <c r="M282" i="2"/>
  <c r="K282" i="2"/>
  <c r="L282" i="2"/>
  <c r="J282" i="2"/>
  <c r="S282" i="2" l="1"/>
  <c r="T282" i="2"/>
  <c r="Q282" i="2"/>
  <c r="P282" i="2"/>
  <c r="R282" i="2"/>
  <c r="V281" i="2"/>
  <c r="Y281" i="2" s="1"/>
  <c r="X280" i="2"/>
  <c r="Y280" i="2"/>
  <c r="N283" i="2"/>
  <c r="K283" i="2"/>
  <c r="L283" i="2"/>
  <c r="M283" i="2"/>
  <c r="J283" i="2"/>
  <c r="S283" i="2" l="1"/>
  <c r="T283" i="2"/>
  <c r="Q283" i="2"/>
  <c r="P283" i="2"/>
  <c r="R283" i="2"/>
  <c r="X281" i="2"/>
  <c r="V282" i="2"/>
  <c r="K284" i="2"/>
  <c r="N284" i="2"/>
  <c r="M284" i="2"/>
  <c r="L284" i="2"/>
  <c r="J284" i="2"/>
  <c r="S284" i="2" l="1"/>
  <c r="T284" i="2"/>
  <c r="Q284" i="2"/>
  <c r="P284" i="2"/>
  <c r="R284" i="2"/>
  <c r="V283" i="2"/>
  <c r="Y283" i="2" s="1"/>
  <c r="X282" i="2"/>
  <c r="Y282" i="2"/>
  <c r="K285" i="2"/>
  <c r="N285" i="2"/>
  <c r="M285" i="2"/>
  <c r="L285" i="2"/>
  <c r="J285" i="2"/>
  <c r="S285" i="2" l="1"/>
  <c r="T285" i="2"/>
  <c r="Q285" i="2"/>
  <c r="P285" i="2"/>
  <c r="R285" i="2"/>
  <c r="X283" i="2"/>
  <c r="V284" i="2"/>
  <c r="L286" i="2"/>
  <c r="N286" i="2"/>
  <c r="M286" i="2"/>
  <c r="K286" i="2"/>
  <c r="J286" i="2"/>
  <c r="S286" i="2" l="1"/>
  <c r="T286" i="2"/>
  <c r="Q286" i="2"/>
  <c r="P286" i="2"/>
  <c r="R286" i="2"/>
  <c r="V285" i="2"/>
  <c r="X285" i="2" s="1"/>
  <c r="X284" i="2"/>
  <c r="Y284" i="2"/>
  <c r="K287" i="2"/>
  <c r="N287" i="2"/>
  <c r="L287" i="2"/>
  <c r="M287" i="2"/>
  <c r="J287" i="2"/>
  <c r="S287" i="2" l="1"/>
  <c r="T287" i="2"/>
  <c r="Q287" i="2"/>
  <c r="P287" i="2"/>
  <c r="R287" i="2"/>
  <c r="V286" i="2"/>
  <c r="Y286" i="2" s="1"/>
  <c r="Y285" i="2"/>
  <c r="N288" i="2"/>
  <c r="K288" i="2"/>
  <c r="L288" i="2"/>
  <c r="M288" i="2"/>
  <c r="J288" i="2"/>
  <c r="S288" i="2" l="1"/>
  <c r="T288" i="2"/>
  <c r="Q288" i="2"/>
  <c r="P288" i="2"/>
  <c r="R288" i="2"/>
  <c r="X286" i="2"/>
  <c r="V287" i="2"/>
  <c r="L289" i="2"/>
  <c r="K289" i="2"/>
  <c r="M289" i="2"/>
  <c r="N289" i="2"/>
  <c r="J289" i="2"/>
  <c r="T289" i="2" l="1"/>
  <c r="S289" i="2"/>
  <c r="Q289" i="2"/>
  <c r="P289" i="2"/>
  <c r="R289" i="2"/>
  <c r="V288" i="2"/>
  <c r="Y288" i="2" s="1"/>
  <c r="Y287" i="2"/>
  <c r="X287" i="2"/>
  <c r="N290" i="2"/>
  <c r="M290" i="2"/>
  <c r="K290" i="2"/>
  <c r="L290" i="2"/>
  <c r="J290" i="2"/>
  <c r="S290" i="2" l="1"/>
  <c r="T290" i="2"/>
  <c r="Q290" i="2"/>
  <c r="P290" i="2"/>
  <c r="R290" i="2"/>
  <c r="X288" i="2"/>
  <c r="V289" i="2"/>
  <c r="M291" i="2"/>
  <c r="N291" i="2"/>
  <c r="L291" i="2"/>
  <c r="K291" i="2"/>
  <c r="J291" i="2"/>
  <c r="T291" i="2" l="1"/>
  <c r="S291" i="2"/>
  <c r="Q291" i="2"/>
  <c r="P291" i="2"/>
  <c r="R291" i="2"/>
  <c r="Y289" i="2"/>
  <c r="X289" i="2"/>
  <c r="V290" i="2"/>
  <c r="M292" i="2"/>
  <c r="L292" i="2"/>
  <c r="N292" i="2"/>
  <c r="K292" i="2"/>
  <c r="J292" i="2"/>
  <c r="T292" i="2" l="1"/>
  <c r="S292" i="2"/>
  <c r="Q292" i="2"/>
  <c r="P292" i="2"/>
  <c r="R292" i="2"/>
  <c r="V291" i="2"/>
  <c r="X291" i="2" s="1"/>
  <c r="Y290" i="2"/>
  <c r="X290" i="2"/>
  <c r="L293" i="2"/>
  <c r="N293" i="2"/>
  <c r="K293" i="2"/>
  <c r="M293" i="2"/>
  <c r="J293" i="2"/>
  <c r="S293" i="2" l="1"/>
  <c r="T293" i="2"/>
  <c r="Q293" i="2"/>
  <c r="P293" i="2"/>
  <c r="R293" i="2"/>
  <c r="Y291" i="2"/>
  <c r="V292" i="2"/>
  <c r="X292" i="2" s="1"/>
  <c r="M294" i="2"/>
  <c r="L294" i="2"/>
  <c r="K294" i="2"/>
  <c r="N294" i="2"/>
  <c r="J294" i="2"/>
  <c r="T294" i="2" l="1"/>
  <c r="S294" i="2"/>
  <c r="Q294" i="2"/>
  <c r="P294" i="2"/>
  <c r="R294" i="2"/>
  <c r="Y292" i="2"/>
  <c r="V293" i="2"/>
  <c r="L295" i="2"/>
  <c r="K295" i="2"/>
  <c r="M295" i="2"/>
  <c r="N295" i="2"/>
  <c r="J295" i="2"/>
  <c r="T295" i="2" l="1"/>
  <c r="S295" i="2"/>
  <c r="Q295" i="2"/>
  <c r="P295" i="2"/>
  <c r="R295" i="2"/>
  <c r="Y293" i="2"/>
  <c r="X293" i="2"/>
  <c r="V294" i="2"/>
  <c r="L296" i="2"/>
  <c r="K296" i="2"/>
  <c r="M296" i="2"/>
  <c r="N296" i="2"/>
  <c r="J296" i="2"/>
  <c r="T296" i="2" l="1"/>
  <c r="S296" i="2"/>
  <c r="Q296" i="2"/>
  <c r="P296" i="2"/>
  <c r="R296" i="2"/>
  <c r="X294" i="2"/>
  <c r="Y294" i="2"/>
  <c r="V295" i="2"/>
  <c r="L297" i="2"/>
  <c r="K297" i="2"/>
  <c r="M297" i="2"/>
  <c r="N297" i="2"/>
  <c r="J297" i="2"/>
  <c r="T297" i="2" l="1"/>
  <c r="S297" i="2"/>
  <c r="Q297" i="2"/>
  <c r="P297" i="2"/>
  <c r="R297" i="2"/>
  <c r="V296" i="2"/>
  <c r="X295" i="2"/>
  <c r="Y295" i="2"/>
  <c r="K298" i="2"/>
  <c r="M298" i="2"/>
  <c r="L298" i="2"/>
  <c r="N298" i="2"/>
  <c r="J298" i="2"/>
  <c r="T298" i="2" l="1"/>
  <c r="S298" i="2"/>
  <c r="Q298" i="2"/>
  <c r="P298" i="2"/>
  <c r="R298" i="2"/>
  <c r="X296" i="2"/>
  <c r="Y296" i="2"/>
  <c r="V297" i="2"/>
  <c r="N299" i="2"/>
  <c r="M299" i="2"/>
  <c r="K299" i="2"/>
  <c r="L299" i="2"/>
  <c r="J299" i="2"/>
  <c r="S299" i="2" l="1"/>
  <c r="T299" i="2"/>
  <c r="Q299" i="2"/>
  <c r="P299" i="2"/>
  <c r="R299" i="2"/>
  <c r="V298" i="2"/>
  <c r="X298" i="2" s="1"/>
  <c r="Y297" i="2"/>
  <c r="X297" i="2"/>
  <c r="N300" i="2"/>
  <c r="L300" i="2"/>
  <c r="K300" i="2"/>
  <c r="M300" i="2"/>
  <c r="J300" i="2"/>
  <c r="S300" i="2" l="1"/>
  <c r="T300" i="2"/>
  <c r="Q300" i="2"/>
  <c r="P300" i="2"/>
  <c r="R300" i="2"/>
  <c r="V299" i="2"/>
  <c r="X299" i="2" s="1"/>
  <c r="Y298" i="2"/>
  <c r="N301" i="2"/>
  <c r="M301" i="2"/>
  <c r="K301" i="2"/>
  <c r="L301" i="2"/>
  <c r="J301" i="2"/>
  <c r="S301" i="2" l="1"/>
  <c r="T301" i="2"/>
  <c r="Q301" i="2"/>
  <c r="P301" i="2"/>
  <c r="R301" i="2"/>
  <c r="Y299" i="2"/>
  <c r="V300" i="2"/>
  <c r="N302" i="2"/>
  <c r="K302" i="2"/>
  <c r="M302" i="2"/>
  <c r="L302" i="2"/>
  <c r="J302" i="2"/>
  <c r="S302" i="2" l="1"/>
  <c r="T302" i="2"/>
  <c r="Q302" i="2"/>
  <c r="P302" i="2"/>
  <c r="R302" i="2"/>
  <c r="V301" i="2"/>
  <c r="Y301" i="2" s="1"/>
  <c r="Y300" i="2"/>
  <c r="X300" i="2"/>
  <c r="K303" i="2"/>
  <c r="M303" i="2"/>
  <c r="L303" i="2"/>
  <c r="N303" i="2"/>
  <c r="J303" i="2"/>
  <c r="T303" i="2" l="1"/>
  <c r="S303" i="2"/>
  <c r="Q303" i="2"/>
  <c r="P303" i="2"/>
  <c r="R303" i="2"/>
  <c r="X301" i="2"/>
  <c r="V302" i="2"/>
  <c r="N304" i="2"/>
  <c r="M304" i="2"/>
  <c r="L304" i="2"/>
  <c r="K304" i="2"/>
  <c r="J304" i="2"/>
  <c r="S304" i="2" l="1"/>
  <c r="T304" i="2"/>
  <c r="Q304" i="2"/>
  <c r="P304" i="2"/>
  <c r="R304" i="2"/>
  <c r="V303" i="2"/>
  <c r="X303" i="2" s="1"/>
  <c r="X302" i="2"/>
  <c r="Y302" i="2"/>
  <c r="K305" i="2"/>
  <c r="N305" i="2"/>
  <c r="M305" i="2"/>
  <c r="L305" i="2"/>
  <c r="J305" i="2"/>
  <c r="S305" i="2" l="1"/>
  <c r="T305" i="2"/>
  <c r="Q305" i="2"/>
  <c r="P305" i="2"/>
  <c r="R305" i="2"/>
  <c r="Y303" i="2"/>
  <c r="V304" i="2"/>
  <c r="M306" i="2"/>
  <c r="N306" i="2"/>
  <c r="K306" i="2"/>
  <c r="L306" i="2"/>
  <c r="J306" i="2"/>
  <c r="T306" i="2" l="1"/>
  <c r="S306" i="2"/>
  <c r="Q306" i="2"/>
  <c r="P306" i="2"/>
  <c r="R306" i="2"/>
  <c r="V305" i="2"/>
  <c r="Y305" i="2" s="1"/>
  <c r="X304" i="2"/>
  <c r="Y304" i="2"/>
  <c r="L307" i="2"/>
  <c r="M307" i="2"/>
  <c r="K307" i="2"/>
  <c r="N307" i="2"/>
  <c r="J307" i="2"/>
  <c r="T307" i="2" l="1"/>
  <c r="S307" i="2"/>
  <c r="Q307" i="2"/>
  <c r="P307" i="2"/>
  <c r="R307" i="2"/>
  <c r="X305" i="2"/>
  <c r="V306" i="2"/>
  <c r="X306" i="2" s="1"/>
  <c r="L308" i="2"/>
  <c r="N308" i="2"/>
  <c r="M308" i="2"/>
  <c r="K308" i="2"/>
  <c r="J308" i="2"/>
  <c r="S308" i="2" l="1"/>
  <c r="T308" i="2"/>
  <c r="Q308" i="2"/>
  <c r="P308" i="2"/>
  <c r="R308" i="2"/>
  <c r="Y306" i="2"/>
  <c r="V307" i="2"/>
  <c r="M309" i="2"/>
  <c r="K309" i="2"/>
  <c r="N309" i="2"/>
  <c r="L309" i="2"/>
  <c r="J309" i="2"/>
  <c r="T309" i="2" l="1"/>
  <c r="S309" i="2"/>
  <c r="Q309" i="2"/>
  <c r="P309" i="2"/>
  <c r="R309" i="2"/>
  <c r="X307" i="2"/>
  <c r="Y307" i="2"/>
  <c r="V308" i="2"/>
  <c r="M310" i="2"/>
  <c r="K310" i="2"/>
  <c r="N310" i="2"/>
  <c r="L310" i="2"/>
  <c r="J310" i="2"/>
  <c r="T310" i="2" l="1"/>
  <c r="S310" i="2"/>
  <c r="Q310" i="2"/>
  <c r="P310" i="2"/>
  <c r="R310" i="2"/>
  <c r="Y308" i="2"/>
  <c r="X308" i="2"/>
  <c r="V309" i="2"/>
  <c r="K311" i="2"/>
  <c r="N311" i="2"/>
  <c r="M311" i="2"/>
  <c r="L311" i="2"/>
  <c r="J311" i="2"/>
  <c r="S311" i="2" l="1"/>
  <c r="T311" i="2"/>
  <c r="Q311" i="2"/>
  <c r="P311" i="2"/>
  <c r="R311" i="2"/>
  <c r="V310" i="2"/>
  <c r="X310" i="2" s="1"/>
  <c r="Y309" i="2"/>
  <c r="X309" i="2"/>
  <c r="L312" i="2"/>
  <c r="M312" i="2"/>
  <c r="N312" i="2"/>
  <c r="K312" i="2"/>
  <c r="J312" i="2"/>
  <c r="T312" i="2" l="1"/>
  <c r="S312" i="2"/>
  <c r="Q312" i="2"/>
  <c r="P312" i="2"/>
  <c r="R312" i="2"/>
  <c r="Y310" i="2"/>
  <c r="V311" i="2"/>
  <c r="N313" i="2"/>
  <c r="L313" i="2"/>
  <c r="K313" i="2"/>
  <c r="M313" i="2"/>
  <c r="J313" i="2"/>
  <c r="S313" i="2" l="1"/>
  <c r="T313" i="2"/>
  <c r="Q313" i="2"/>
  <c r="P313" i="2"/>
  <c r="R313" i="2"/>
  <c r="V312" i="2"/>
  <c r="X312" i="2" s="1"/>
  <c r="X311" i="2"/>
  <c r="Y311" i="2"/>
  <c r="K314" i="2"/>
  <c r="M314" i="2"/>
  <c r="L314" i="2"/>
  <c r="N314" i="2"/>
  <c r="J314" i="2"/>
  <c r="T314" i="2" l="1"/>
  <c r="S314" i="2"/>
  <c r="Q314" i="2"/>
  <c r="P314" i="2"/>
  <c r="R314" i="2"/>
  <c r="Y312" i="2"/>
  <c r="V313" i="2"/>
  <c r="X313" i="2" s="1"/>
  <c r="N315" i="2"/>
  <c r="L315" i="2"/>
  <c r="K315" i="2"/>
  <c r="M315" i="2"/>
  <c r="J315" i="2"/>
  <c r="S315" i="2" l="1"/>
  <c r="T315" i="2"/>
  <c r="Q315" i="2"/>
  <c r="P315" i="2"/>
  <c r="R315" i="2"/>
  <c r="Y313" i="2"/>
  <c r="V314" i="2"/>
  <c r="N316" i="2"/>
  <c r="L316" i="2"/>
  <c r="K316" i="2"/>
  <c r="M316" i="2"/>
  <c r="J316" i="2"/>
  <c r="S316" i="2" l="1"/>
  <c r="T316" i="2"/>
  <c r="Q316" i="2"/>
  <c r="P316" i="2"/>
  <c r="R316" i="2"/>
  <c r="V315" i="2"/>
  <c r="Y315" i="2" s="1"/>
  <c r="X314" i="2"/>
  <c r="Y314" i="2"/>
  <c r="M317" i="2"/>
  <c r="N317" i="2"/>
  <c r="L317" i="2"/>
  <c r="K317" i="2"/>
  <c r="J317" i="2"/>
  <c r="T317" i="2" l="1"/>
  <c r="S317" i="2"/>
  <c r="Q317" i="2"/>
  <c r="P317" i="2"/>
  <c r="R317" i="2"/>
  <c r="X315" i="2"/>
  <c r="V316" i="2"/>
  <c r="K318" i="2"/>
  <c r="N318" i="2"/>
  <c r="L318" i="2"/>
  <c r="M318" i="2"/>
  <c r="J318" i="2"/>
  <c r="S318" i="2" l="1"/>
  <c r="T318" i="2"/>
  <c r="Q318" i="2"/>
  <c r="P318" i="2"/>
  <c r="R318" i="2"/>
  <c r="V317" i="2"/>
  <c r="Y316" i="2"/>
  <c r="X316" i="2"/>
  <c r="K319" i="2"/>
  <c r="L319" i="2"/>
  <c r="N319" i="2"/>
  <c r="M319" i="2"/>
  <c r="J319" i="2"/>
  <c r="S319" i="2" l="1"/>
  <c r="T319" i="2"/>
  <c r="Q319" i="2"/>
  <c r="P319" i="2"/>
  <c r="R319" i="2"/>
  <c r="V318" i="2"/>
  <c r="X318" i="2" s="1"/>
  <c r="Y317" i="2"/>
  <c r="X317" i="2"/>
  <c r="K320" i="2"/>
  <c r="N320" i="2"/>
  <c r="L320" i="2"/>
  <c r="M320" i="2"/>
  <c r="J320" i="2"/>
  <c r="S320" i="2" l="1"/>
  <c r="T320" i="2"/>
  <c r="Q320" i="2"/>
  <c r="P320" i="2"/>
  <c r="R320" i="2"/>
  <c r="Y318" i="2"/>
  <c r="V319" i="2"/>
  <c r="L321" i="2"/>
  <c r="N321" i="2"/>
  <c r="K321" i="2"/>
  <c r="M321" i="2"/>
  <c r="J321" i="2"/>
  <c r="S321" i="2" l="1"/>
  <c r="T321" i="2"/>
  <c r="Q321" i="2"/>
  <c r="P321" i="2"/>
  <c r="R321" i="2"/>
  <c r="V320" i="2"/>
  <c r="X320" i="2" s="1"/>
  <c r="X319" i="2"/>
  <c r="Y319" i="2"/>
  <c r="K322" i="2"/>
  <c r="N322" i="2"/>
  <c r="M322" i="2"/>
  <c r="L322" i="2"/>
  <c r="J322" i="2"/>
  <c r="S322" i="2" l="1"/>
  <c r="T322" i="2"/>
  <c r="Q322" i="2"/>
  <c r="P322" i="2"/>
  <c r="R322" i="2"/>
  <c r="Y320" i="2"/>
  <c r="V321" i="2"/>
  <c r="K323" i="2"/>
  <c r="M323" i="2"/>
  <c r="N323" i="2"/>
  <c r="L323" i="2"/>
  <c r="J323" i="2"/>
  <c r="T323" i="2" l="1"/>
  <c r="S323" i="2"/>
  <c r="Q323" i="2"/>
  <c r="P323" i="2"/>
  <c r="R323" i="2"/>
  <c r="Y321" i="2"/>
  <c r="X321" i="2"/>
  <c r="V322" i="2"/>
  <c r="M324" i="2"/>
  <c r="L324" i="2"/>
  <c r="K324" i="2"/>
  <c r="N324" i="2"/>
  <c r="J324" i="2"/>
  <c r="T324" i="2" l="1"/>
  <c r="S324" i="2"/>
  <c r="Q324" i="2"/>
  <c r="P324" i="2"/>
  <c r="R324" i="2"/>
  <c r="X322" i="2"/>
  <c r="Y322" i="2"/>
  <c r="V323" i="2"/>
  <c r="M325" i="2"/>
  <c r="N325" i="2"/>
  <c r="L325" i="2"/>
  <c r="K325" i="2"/>
  <c r="J325" i="2"/>
  <c r="T325" i="2" l="1"/>
  <c r="S325" i="2"/>
  <c r="Q325" i="2"/>
  <c r="P325" i="2"/>
  <c r="R325" i="2"/>
  <c r="Y323" i="2"/>
  <c r="X323" i="2"/>
  <c r="V324" i="2"/>
  <c r="L326" i="2"/>
  <c r="K326" i="2"/>
  <c r="N326" i="2"/>
  <c r="M326" i="2"/>
  <c r="J326" i="2"/>
  <c r="S326" i="2" l="1"/>
  <c r="T326" i="2"/>
  <c r="Q326" i="2"/>
  <c r="P326" i="2"/>
  <c r="R326" i="2"/>
  <c r="Y324" i="2"/>
  <c r="X324" i="2"/>
  <c r="V325" i="2"/>
  <c r="K327" i="2"/>
  <c r="M327" i="2"/>
  <c r="N327" i="2"/>
  <c r="L327" i="2"/>
  <c r="J327" i="2"/>
  <c r="T327" i="2" l="1"/>
  <c r="S327" i="2"/>
  <c r="Q327" i="2"/>
  <c r="P327" i="2"/>
  <c r="R327" i="2"/>
  <c r="V326" i="2"/>
  <c r="Y326" i="2" s="1"/>
  <c r="Y325" i="2"/>
  <c r="X325" i="2"/>
  <c r="K328" i="2"/>
  <c r="L328" i="2"/>
  <c r="M328" i="2"/>
  <c r="N328" i="2"/>
  <c r="J328" i="2"/>
  <c r="T328" i="2" l="1"/>
  <c r="S328" i="2"/>
  <c r="Q328" i="2"/>
  <c r="P328" i="2"/>
  <c r="R328" i="2"/>
  <c r="X326" i="2"/>
  <c r="V327" i="2"/>
  <c r="X327" i="2" s="1"/>
  <c r="L329" i="2"/>
  <c r="N329" i="2"/>
  <c r="M329" i="2"/>
  <c r="K329" i="2"/>
  <c r="J329" i="2"/>
  <c r="S329" i="2" l="1"/>
  <c r="T329" i="2"/>
  <c r="Q329" i="2"/>
  <c r="P329" i="2"/>
  <c r="R329" i="2"/>
  <c r="Y327" i="2"/>
  <c r="V328" i="2"/>
  <c r="X328" i="2" s="1"/>
  <c r="K330" i="2"/>
  <c r="M330" i="2"/>
  <c r="L330" i="2"/>
  <c r="N330" i="2"/>
  <c r="J330" i="2"/>
  <c r="T330" i="2" l="1"/>
  <c r="S330" i="2"/>
  <c r="Q330" i="2"/>
  <c r="P330" i="2"/>
  <c r="R330" i="2"/>
  <c r="Y328" i="2"/>
  <c r="V329" i="2"/>
  <c r="X329" i="2" s="1"/>
  <c r="N331" i="2"/>
  <c r="M331" i="2"/>
  <c r="L331" i="2"/>
  <c r="K331" i="2"/>
  <c r="J331" i="2"/>
  <c r="S331" i="2" l="1"/>
  <c r="T331" i="2"/>
  <c r="Q331" i="2"/>
  <c r="P331" i="2"/>
  <c r="R331" i="2"/>
  <c r="Y329" i="2"/>
  <c r="V330" i="2"/>
  <c r="M332" i="2"/>
  <c r="K332" i="2"/>
  <c r="L332" i="2"/>
  <c r="N332" i="2"/>
  <c r="J332" i="2"/>
  <c r="T332" i="2" l="1"/>
  <c r="S332" i="2"/>
  <c r="Q332" i="2"/>
  <c r="P332" i="2"/>
  <c r="R332" i="2"/>
  <c r="V331" i="2"/>
  <c r="X331" i="2" s="1"/>
  <c r="X330" i="2"/>
  <c r="Y330" i="2"/>
  <c r="M333" i="2"/>
  <c r="L333" i="2"/>
  <c r="N333" i="2"/>
  <c r="K333" i="2"/>
  <c r="J333" i="2"/>
  <c r="T333" i="2" l="1"/>
  <c r="S333" i="2"/>
  <c r="Q333" i="2"/>
  <c r="P333" i="2"/>
  <c r="R333" i="2"/>
  <c r="Y331" i="2"/>
  <c r="V332" i="2"/>
  <c r="N334" i="2"/>
  <c r="K334" i="2"/>
  <c r="L334" i="2"/>
  <c r="M334" i="2"/>
  <c r="J334" i="2"/>
  <c r="S334" i="2" l="1"/>
  <c r="T334" i="2"/>
  <c r="Q334" i="2"/>
  <c r="P334" i="2"/>
  <c r="R334" i="2"/>
  <c r="X332" i="2"/>
  <c r="Y332" i="2"/>
  <c r="V333" i="2"/>
  <c r="K335" i="2"/>
  <c r="N335" i="2"/>
  <c r="L335" i="2"/>
  <c r="M335" i="2"/>
  <c r="J335" i="2"/>
  <c r="S335" i="2" l="1"/>
  <c r="T335" i="2"/>
  <c r="Q335" i="2"/>
  <c r="P335" i="2"/>
  <c r="R335" i="2"/>
  <c r="X333" i="2"/>
  <c r="Y333" i="2"/>
  <c r="V334" i="2"/>
  <c r="L336" i="2"/>
  <c r="N336" i="2"/>
  <c r="M336" i="2"/>
  <c r="K336" i="2"/>
  <c r="J336" i="2"/>
  <c r="S336" i="2" l="1"/>
  <c r="T336" i="2"/>
  <c r="Q336" i="2"/>
  <c r="P336" i="2"/>
  <c r="R336" i="2"/>
  <c r="Y334" i="2"/>
  <c r="X334" i="2"/>
  <c r="V335" i="2"/>
  <c r="K337" i="2"/>
  <c r="N337" i="2"/>
  <c r="M337" i="2"/>
  <c r="L337" i="2"/>
  <c r="J337" i="2"/>
  <c r="S337" i="2" l="1"/>
  <c r="T337" i="2"/>
  <c r="Q337" i="2"/>
  <c r="P337" i="2"/>
  <c r="R337" i="2"/>
  <c r="V336" i="2"/>
  <c r="Y335" i="2"/>
  <c r="X335" i="2"/>
  <c r="K338" i="2"/>
  <c r="N338" i="2"/>
  <c r="L338" i="2"/>
  <c r="M338" i="2"/>
  <c r="J338" i="2"/>
  <c r="S338" i="2" l="1"/>
  <c r="T338" i="2"/>
  <c r="Q338" i="2"/>
  <c r="P338" i="2"/>
  <c r="R338" i="2"/>
  <c r="X336" i="2"/>
  <c r="Y336" i="2"/>
  <c r="V337" i="2"/>
  <c r="M339" i="2"/>
  <c r="N339" i="2"/>
  <c r="L339" i="2"/>
  <c r="K339" i="2"/>
  <c r="J339" i="2"/>
  <c r="T339" i="2" l="1"/>
  <c r="S339" i="2"/>
  <c r="Q339" i="2"/>
  <c r="P339" i="2"/>
  <c r="R339" i="2"/>
  <c r="V338" i="2"/>
  <c r="X337" i="2"/>
  <c r="Y337" i="2"/>
  <c r="L340" i="2"/>
  <c r="K340" i="2"/>
  <c r="N340" i="2"/>
  <c r="M340" i="2"/>
  <c r="J340" i="2"/>
  <c r="S340" i="2" l="1"/>
  <c r="T340" i="2"/>
  <c r="Q340" i="2"/>
  <c r="P340" i="2"/>
  <c r="R340" i="2"/>
  <c r="V339" i="2"/>
  <c r="Y339" i="2" s="1"/>
  <c r="X338" i="2"/>
  <c r="Y338" i="2"/>
  <c r="N341" i="2"/>
  <c r="K341" i="2"/>
  <c r="M341" i="2"/>
  <c r="L341" i="2"/>
  <c r="J341" i="2"/>
  <c r="S341" i="2" l="1"/>
  <c r="T341" i="2"/>
  <c r="Q341" i="2"/>
  <c r="P341" i="2"/>
  <c r="R341" i="2"/>
  <c r="X339" i="2"/>
  <c r="V340" i="2"/>
  <c r="N342" i="2"/>
  <c r="M342" i="2"/>
  <c r="L342" i="2"/>
  <c r="K342" i="2"/>
  <c r="J342" i="2"/>
  <c r="S342" i="2" l="1"/>
  <c r="T342" i="2"/>
  <c r="Q342" i="2"/>
  <c r="P342" i="2"/>
  <c r="R342" i="2"/>
  <c r="X340" i="2"/>
  <c r="Y340" i="2"/>
  <c r="V341" i="2"/>
  <c r="N343" i="2"/>
  <c r="L343" i="2"/>
  <c r="K343" i="2"/>
  <c r="M343" i="2"/>
  <c r="J343" i="2"/>
  <c r="S343" i="2" l="1"/>
  <c r="T343" i="2"/>
  <c r="Q343" i="2"/>
  <c r="P343" i="2"/>
  <c r="R343" i="2"/>
  <c r="V342" i="2"/>
  <c r="X342" i="2" s="1"/>
  <c r="X341" i="2"/>
  <c r="Y341" i="2"/>
  <c r="K344" i="2"/>
  <c r="L344" i="2"/>
  <c r="N344" i="2"/>
  <c r="M344" i="2"/>
  <c r="J344" i="2"/>
  <c r="S344" i="2" l="1"/>
  <c r="T344" i="2"/>
  <c r="Q344" i="2"/>
  <c r="P344" i="2"/>
  <c r="R344" i="2"/>
  <c r="Y342" i="2"/>
  <c r="V343" i="2"/>
  <c r="L345" i="2"/>
  <c r="M345" i="2"/>
  <c r="N345" i="2"/>
  <c r="K345" i="2"/>
  <c r="J345" i="2"/>
  <c r="T345" i="2" l="1"/>
  <c r="S345" i="2"/>
  <c r="Q345" i="2"/>
  <c r="P345" i="2"/>
  <c r="R345" i="2"/>
  <c r="Y343" i="2"/>
  <c r="X343" i="2"/>
  <c r="V344" i="2"/>
  <c r="M346" i="2"/>
  <c r="L346" i="2"/>
  <c r="N346" i="2"/>
  <c r="K346" i="2"/>
  <c r="J346" i="2"/>
  <c r="T346" i="2" l="1"/>
  <c r="S346" i="2"/>
  <c r="Q346" i="2"/>
  <c r="P346" i="2"/>
  <c r="R346" i="2"/>
  <c r="X344" i="2"/>
  <c r="Y344" i="2"/>
  <c r="V345" i="2"/>
  <c r="N347" i="2"/>
  <c r="K347" i="2"/>
  <c r="L347" i="2"/>
  <c r="M347" i="2"/>
  <c r="J347" i="2"/>
  <c r="S347" i="2" l="1"/>
  <c r="T347" i="2"/>
  <c r="Q347" i="2"/>
  <c r="P347" i="2"/>
  <c r="R347" i="2"/>
  <c r="V346" i="2"/>
  <c r="X346" i="2" s="1"/>
  <c r="X345" i="2"/>
  <c r="Y345" i="2"/>
  <c r="K348" i="2"/>
  <c r="L348" i="2"/>
  <c r="N348" i="2"/>
  <c r="M348" i="2"/>
  <c r="J348" i="2"/>
  <c r="S348" i="2" l="1"/>
  <c r="T348" i="2"/>
  <c r="Q348" i="2"/>
  <c r="P348" i="2"/>
  <c r="R348" i="2"/>
  <c r="Y346" i="2"/>
  <c r="V347" i="2"/>
  <c r="L349" i="2"/>
  <c r="M349" i="2"/>
  <c r="K349" i="2"/>
  <c r="N349" i="2"/>
  <c r="J349" i="2"/>
  <c r="T349" i="2" l="1"/>
  <c r="S349" i="2"/>
  <c r="Q349" i="2"/>
  <c r="P349" i="2"/>
  <c r="R349" i="2"/>
  <c r="X347" i="2"/>
  <c r="Y347" i="2"/>
  <c r="V348" i="2"/>
  <c r="N350" i="2"/>
  <c r="K350" i="2"/>
  <c r="L350" i="2"/>
  <c r="M350" i="2"/>
  <c r="J350" i="2"/>
  <c r="S350" i="2" l="1"/>
  <c r="T350" i="2"/>
  <c r="Q350" i="2"/>
  <c r="P350" i="2"/>
  <c r="R350" i="2"/>
  <c r="V349" i="2"/>
  <c r="X349" i="2" s="1"/>
  <c r="Y348" i="2"/>
  <c r="X348" i="2"/>
  <c r="L351" i="2"/>
  <c r="N351" i="2"/>
  <c r="K351" i="2"/>
  <c r="M351" i="2"/>
  <c r="J351" i="2"/>
  <c r="S351" i="2" l="1"/>
  <c r="T351" i="2"/>
  <c r="Q351" i="2"/>
  <c r="P351" i="2"/>
  <c r="R351" i="2"/>
  <c r="Y349" i="2"/>
  <c r="V350" i="2"/>
  <c r="L352" i="2"/>
  <c r="M352" i="2"/>
  <c r="N352" i="2"/>
  <c r="K352" i="2"/>
  <c r="J352" i="2"/>
  <c r="T352" i="2" l="1"/>
  <c r="S352" i="2"/>
  <c r="Q352" i="2"/>
  <c r="P352" i="2"/>
  <c r="R352" i="2"/>
  <c r="Y350" i="2"/>
  <c r="X350" i="2"/>
  <c r="V351" i="2"/>
  <c r="K353" i="2"/>
  <c r="M353" i="2"/>
  <c r="L353" i="2"/>
  <c r="N353" i="2"/>
  <c r="J353" i="2"/>
  <c r="T353" i="2" l="1"/>
  <c r="S353" i="2"/>
  <c r="Q353" i="2"/>
  <c r="P353" i="2"/>
  <c r="R353" i="2"/>
  <c r="V352" i="2"/>
  <c r="X352" i="2" s="1"/>
  <c r="Y351" i="2"/>
  <c r="X351" i="2"/>
  <c r="K354" i="2"/>
  <c r="N354" i="2"/>
  <c r="M354" i="2"/>
  <c r="L354" i="2"/>
  <c r="J354" i="2"/>
  <c r="S354" i="2" l="1"/>
  <c r="T354" i="2"/>
  <c r="Q354" i="2"/>
  <c r="P354" i="2"/>
  <c r="R354" i="2"/>
  <c r="Y352" i="2"/>
  <c r="V353" i="2"/>
  <c r="M355" i="2"/>
  <c r="N355" i="2"/>
  <c r="K355" i="2"/>
  <c r="L355" i="2"/>
  <c r="J355" i="2"/>
  <c r="T355" i="2" l="1"/>
  <c r="S355" i="2"/>
  <c r="Q355" i="2"/>
  <c r="P355" i="2"/>
  <c r="R355" i="2"/>
  <c r="V354" i="2"/>
  <c r="X354" i="2" s="1"/>
  <c r="Y353" i="2"/>
  <c r="X353" i="2"/>
  <c r="L356" i="2"/>
  <c r="N356" i="2"/>
  <c r="M356" i="2"/>
  <c r="K356" i="2"/>
  <c r="J356" i="2"/>
  <c r="S356" i="2" l="1"/>
  <c r="T356" i="2"/>
  <c r="Q356" i="2"/>
  <c r="P356" i="2"/>
  <c r="R356" i="2"/>
  <c r="Y354" i="2"/>
  <c r="V355" i="2"/>
  <c r="M357" i="2"/>
  <c r="L357" i="2"/>
  <c r="N357" i="2"/>
  <c r="K357" i="2"/>
  <c r="J357" i="2"/>
  <c r="T357" i="2" l="1"/>
  <c r="S357" i="2"/>
  <c r="Q357" i="2"/>
  <c r="P357" i="2"/>
  <c r="R357" i="2"/>
  <c r="X355" i="2"/>
  <c r="Y355" i="2"/>
  <c r="V356" i="2"/>
  <c r="K358" i="2"/>
  <c r="M358" i="2"/>
  <c r="N358" i="2"/>
  <c r="L358" i="2"/>
  <c r="J358" i="2"/>
  <c r="T358" i="2" l="1"/>
  <c r="S358" i="2"/>
  <c r="Q358" i="2"/>
  <c r="P358" i="2"/>
  <c r="R358" i="2"/>
  <c r="X356" i="2"/>
  <c r="Y356" i="2"/>
  <c r="V357" i="2"/>
  <c r="K359" i="2"/>
  <c r="M359" i="2"/>
  <c r="L359" i="2"/>
  <c r="N359" i="2"/>
  <c r="J359" i="2"/>
  <c r="T359" i="2" l="1"/>
  <c r="S359" i="2"/>
  <c r="Q359" i="2"/>
  <c r="P359" i="2"/>
  <c r="R359" i="2"/>
  <c r="X357" i="2"/>
  <c r="Y357" i="2"/>
  <c r="V358" i="2"/>
  <c r="M360" i="2"/>
  <c r="L360" i="2"/>
  <c r="K360" i="2"/>
  <c r="N360" i="2"/>
  <c r="J360" i="2"/>
  <c r="T360" i="2" l="1"/>
  <c r="S360" i="2"/>
  <c r="Q360" i="2"/>
  <c r="P360" i="2"/>
  <c r="R360" i="2"/>
  <c r="Y358" i="2"/>
  <c r="X358" i="2"/>
  <c r="V359" i="2"/>
  <c r="L361" i="2"/>
  <c r="M361" i="2"/>
  <c r="N361" i="2"/>
  <c r="K361" i="2"/>
  <c r="J361" i="2"/>
  <c r="T361" i="2" l="1"/>
  <c r="S361" i="2"/>
  <c r="Q361" i="2"/>
  <c r="P361" i="2"/>
  <c r="R361" i="2"/>
  <c r="V360" i="2"/>
  <c r="Y359" i="2"/>
  <c r="X359" i="2"/>
  <c r="L362" i="2"/>
  <c r="M362" i="2"/>
  <c r="K362" i="2"/>
  <c r="N362" i="2"/>
  <c r="J362" i="2"/>
  <c r="T362" i="2" l="1"/>
  <c r="S362" i="2"/>
  <c r="Q362" i="2"/>
  <c r="P362" i="2"/>
  <c r="R362" i="2"/>
  <c r="X360" i="2"/>
  <c r="Y360" i="2"/>
  <c r="V361" i="2"/>
  <c r="K363" i="2"/>
  <c r="N363" i="2"/>
  <c r="L363" i="2"/>
  <c r="M363" i="2"/>
  <c r="J363" i="2"/>
  <c r="S363" i="2" l="1"/>
  <c r="T363" i="2"/>
  <c r="Q363" i="2"/>
  <c r="P363" i="2"/>
  <c r="R363" i="2"/>
  <c r="V362" i="2"/>
  <c r="Y362" i="2" s="1"/>
  <c r="X361" i="2"/>
  <c r="Y361" i="2"/>
  <c r="L364" i="2"/>
  <c r="M364" i="2"/>
  <c r="K364" i="2"/>
  <c r="N364" i="2"/>
  <c r="J364" i="2"/>
  <c r="T364" i="2" l="1"/>
  <c r="S364" i="2"/>
  <c r="Q364" i="2"/>
  <c r="P364" i="2"/>
  <c r="R364" i="2"/>
  <c r="X362" i="2"/>
  <c r="V363" i="2"/>
  <c r="N365" i="2"/>
  <c r="M365" i="2"/>
  <c r="L365" i="2"/>
  <c r="K365" i="2"/>
  <c r="J365" i="2"/>
  <c r="S365" i="2" l="1"/>
  <c r="T365" i="2"/>
  <c r="Q365" i="2"/>
  <c r="P365" i="2"/>
  <c r="R365" i="2"/>
  <c r="V364" i="2"/>
  <c r="X363" i="2"/>
  <c r="Y363" i="2"/>
  <c r="L366" i="2"/>
  <c r="M366" i="2"/>
  <c r="N366" i="2"/>
  <c r="K366" i="2"/>
  <c r="J366" i="2"/>
  <c r="T366" i="2" l="1"/>
  <c r="S366" i="2"/>
  <c r="Q366" i="2"/>
  <c r="P366" i="2"/>
  <c r="R366" i="2"/>
  <c r="X364" i="2"/>
  <c r="Y364" i="2"/>
  <c r="V365" i="2"/>
  <c r="K367" i="2"/>
  <c r="N367" i="2"/>
  <c r="L367" i="2"/>
  <c r="M367" i="2"/>
  <c r="J367" i="2"/>
  <c r="S367" i="2" l="1"/>
  <c r="T367" i="2"/>
  <c r="Q367" i="2"/>
  <c r="P367" i="2"/>
  <c r="R367" i="2"/>
  <c r="X365" i="2"/>
  <c r="Y365" i="2"/>
  <c r="V366" i="2"/>
  <c r="N368" i="2"/>
  <c r="L368" i="2"/>
  <c r="K368" i="2"/>
  <c r="M368" i="2"/>
  <c r="J368" i="2"/>
  <c r="S368" i="2" l="1"/>
  <c r="T368" i="2"/>
  <c r="Q368" i="2"/>
  <c r="P368" i="2"/>
  <c r="R368" i="2"/>
  <c r="Y366" i="2"/>
  <c r="X366" i="2"/>
  <c r="V367" i="2"/>
  <c r="L369" i="2"/>
  <c r="K369" i="2"/>
  <c r="N369" i="2"/>
  <c r="M369" i="2"/>
  <c r="J369" i="2"/>
  <c r="S369" i="2" l="1"/>
  <c r="T369" i="2"/>
  <c r="Q369" i="2"/>
  <c r="P369" i="2"/>
  <c r="R369" i="2"/>
  <c r="V368" i="2"/>
  <c r="Y368" i="2" s="1"/>
  <c r="Y367" i="2"/>
  <c r="X367" i="2"/>
  <c r="K370" i="2"/>
  <c r="N370" i="2"/>
  <c r="M370" i="2"/>
  <c r="L370" i="2"/>
  <c r="J370" i="2"/>
  <c r="S370" i="2" l="1"/>
  <c r="T370" i="2"/>
  <c r="Q370" i="2"/>
  <c r="P370" i="2"/>
  <c r="R370" i="2"/>
  <c r="X368" i="2"/>
  <c r="V369" i="2"/>
  <c r="N371" i="2"/>
  <c r="M371" i="2"/>
  <c r="L371" i="2"/>
  <c r="K371" i="2"/>
  <c r="J371" i="2"/>
  <c r="S371" i="2" l="1"/>
  <c r="T371" i="2"/>
  <c r="Q371" i="2"/>
  <c r="P371" i="2"/>
  <c r="R371" i="2"/>
  <c r="V370" i="2"/>
  <c r="X370" i="2" s="1"/>
  <c r="X369" i="2"/>
  <c r="Y369" i="2"/>
  <c r="N372" i="2"/>
  <c r="K372" i="2"/>
  <c r="L372" i="2"/>
  <c r="M372" i="2"/>
  <c r="J372" i="2"/>
  <c r="S372" i="2" l="1"/>
  <c r="T372" i="2"/>
  <c r="Q372" i="2"/>
  <c r="P372" i="2"/>
  <c r="R372" i="2"/>
  <c r="Y370" i="2"/>
  <c r="V371" i="2"/>
  <c r="N373" i="2"/>
  <c r="M373" i="2"/>
  <c r="K373" i="2"/>
  <c r="L373" i="2"/>
  <c r="J373" i="2"/>
  <c r="S373" i="2" l="1"/>
  <c r="T373" i="2"/>
  <c r="Q373" i="2"/>
  <c r="P373" i="2"/>
  <c r="R373" i="2"/>
  <c r="V372" i="2"/>
  <c r="X372" i="2" s="1"/>
  <c r="X371" i="2"/>
  <c r="Y371" i="2"/>
  <c r="L374" i="2"/>
  <c r="N374" i="2"/>
  <c r="K374" i="2"/>
  <c r="M374" i="2"/>
  <c r="J374" i="2"/>
  <c r="S374" i="2" l="1"/>
  <c r="T374" i="2"/>
  <c r="Q374" i="2"/>
  <c r="P374" i="2"/>
  <c r="R374" i="2"/>
  <c r="Y372" i="2"/>
  <c r="V373" i="2"/>
  <c r="L375" i="2"/>
  <c r="M375" i="2"/>
  <c r="K375" i="2"/>
  <c r="N375" i="2"/>
  <c r="J375" i="2"/>
  <c r="T375" i="2" l="1"/>
  <c r="S375" i="2"/>
  <c r="Q375" i="2"/>
  <c r="P375" i="2"/>
  <c r="R375" i="2"/>
  <c r="X373" i="2"/>
  <c r="Y373" i="2"/>
  <c r="V374" i="2"/>
  <c r="M376" i="2"/>
  <c r="N376" i="2"/>
  <c r="K376" i="2"/>
  <c r="L376" i="2"/>
  <c r="J376" i="2"/>
  <c r="T376" i="2" l="1"/>
  <c r="S376" i="2"/>
  <c r="Q376" i="2"/>
  <c r="P376" i="2"/>
  <c r="R376" i="2"/>
  <c r="X374" i="2"/>
  <c r="Y374" i="2"/>
  <c r="V375" i="2"/>
  <c r="M377" i="2"/>
  <c r="L377" i="2"/>
  <c r="N377" i="2"/>
  <c r="K377" i="2"/>
  <c r="J377" i="2"/>
  <c r="T377" i="2" l="1"/>
  <c r="S377" i="2"/>
  <c r="Q377" i="2"/>
  <c r="P377" i="2"/>
  <c r="R377" i="2"/>
  <c r="X375" i="2"/>
  <c r="Y375" i="2"/>
  <c r="V376" i="2"/>
  <c r="K378" i="2"/>
  <c r="N378" i="2"/>
  <c r="M378" i="2"/>
  <c r="L378" i="2"/>
  <c r="J378" i="2"/>
  <c r="S378" i="2" l="1"/>
  <c r="T378" i="2"/>
  <c r="Q378" i="2"/>
  <c r="P378" i="2"/>
  <c r="R378" i="2"/>
  <c r="V377" i="2"/>
  <c r="Y376" i="2"/>
  <c r="X376" i="2"/>
  <c r="N379" i="2"/>
  <c r="K379" i="2"/>
  <c r="M379" i="2"/>
  <c r="L379" i="2"/>
  <c r="J379" i="2"/>
  <c r="S379" i="2" l="1"/>
  <c r="T379" i="2"/>
  <c r="Q379" i="2"/>
  <c r="P379" i="2"/>
  <c r="R379" i="2"/>
  <c r="V378" i="2"/>
  <c r="X378" i="2" s="1"/>
  <c r="Y377" i="2"/>
  <c r="X377" i="2"/>
  <c r="K380" i="2"/>
  <c r="N380" i="2"/>
  <c r="L380" i="2"/>
  <c r="M380" i="2"/>
  <c r="J380" i="2"/>
  <c r="S380" i="2" l="1"/>
  <c r="T380" i="2"/>
  <c r="Q380" i="2"/>
  <c r="P380" i="2"/>
  <c r="R380" i="2"/>
  <c r="Y378" i="2"/>
  <c r="V379" i="2"/>
  <c r="M381" i="2"/>
  <c r="L381" i="2"/>
  <c r="N381" i="2"/>
  <c r="K381" i="2"/>
  <c r="J381" i="2"/>
  <c r="T381" i="2" l="1"/>
  <c r="S381" i="2"/>
  <c r="Q381" i="2"/>
  <c r="P381" i="2"/>
  <c r="R381" i="2"/>
  <c r="V380" i="2"/>
  <c r="X380" i="2" s="1"/>
  <c r="X379" i="2"/>
  <c r="Y379" i="2"/>
  <c r="M382" i="2"/>
  <c r="N382" i="2"/>
  <c r="K382" i="2"/>
  <c r="L382" i="2"/>
  <c r="J382" i="2"/>
  <c r="T382" i="2" l="1"/>
  <c r="S382" i="2"/>
  <c r="Q382" i="2"/>
  <c r="P382" i="2"/>
  <c r="R382" i="2"/>
  <c r="Y380" i="2"/>
  <c r="V381" i="2"/>
  <c r="Y381" i="2" s="1"/>
  <c r="K383" i="2"/>
  <c r="L383" i="2"/>
  <c r="N383" i="2"/>
  <c r="M383" i="2"/>
  <c r="J383" i="2"/>
  <c r="S383" i="2" l="1"/>
  <c r="T383" i="2"/>
  <c r="Q383" i="2"/>
  <c r="P383" i="2"/>
  <c r="R383" i="2"/>
  <c r="X381" i="2"/>
  <c r="V382" i="2"/>
  <c r="N384" i="2"/>
  <c r="K384" i="2"/>
  <c r="M384" i="2"/>
  <c r="L384" i="2"/>
  <c r="J384" i="2"/>
  <c r="S384" i="2" l="1"/>
  <c r="T384" i="2"/>
  <c r="Q384" i="2"/>
  <c r="P384" i="2"/>
  <c r="R384" i="2"/>
  <c r="V383" i="2"/>
  <c r="X382" i="2"/>
  <c r="Y382" i="2"/>
  <c r="M385" i="2"/>
  <c r="L385" i="2"/>
  <c r="N385" i="2"/>
  <c r="K385" i="2"/>
  <c r="J385" i="2"/>
  <c r="T385" i="2" l="1"/>
  <c r="S385" i="2"/>
  <c r="Q385" i="2"/>
  <c r="P385" i="2"/>
  <c r="R385" i="2"/>
  <c r="V384" i="2"/>
  <c r="Y384" i="2" s="1"/>
  <c r="X383" i="2"/>
  <c r="Y383" i="2"/>
  <c r="K386" i="2"/>
  <c r="N386" i="2"/>
  <c r="L386" i="2"/>
  <c r="M386" i="2"/>
  <c r="J386" i="2"/>
  <c r="S386" i="2" l="1"/>
  <c r="T386" i="2"/>
  <c r="Q386" i="2"/>
  <c r="P386" i="2"/>
  <c r="R386" i="2"/>
  <c r="X384" i="2"/>
  <c r="V385" i="2"/>
  <c r="L387" i="2"/>
  <c r="M387" i="2"/>
  <c r="N387" i="2"/>
  <c r="K387" i="2"/>
  <c r="J387" i="2"/>
  <c r="T387" i="2" l="1"/>
  <c r="S387" i="2"/>
  <c r="Q387" i="2"/>
  <c r="P387" i="2"/>
  <c r="R387" i="2"/>
  <c r="Y385" i="2"/>
  <c r="X385" i="2"/>
  <c r="V386" i="2"/>
  <c r="M388" i="2"/>
  <c r="N388" i="2"/>
  <c r="L388" i="2"/>
  <c r="K388" i="2"/>
  <c r="J388" i="2"/>
  <c r="T388" i="2" l="1"/>
  <c r="S388" i="2"/>
  <c r="Q388" i="2"/>
  <c r="P388" i="2"/>
  <c r="R388" i="2"/>
  <c r="X386" i="2"/>
  <c r="Y386" i="2"/>
  <c r="V387" i="2"/>
  <c r="L389" i="2"/>
  <c r="N389" i="2"/>
  <c r="M389" i="2"/>
  <c r="K389" i="2"/>
  <c r="J389" i="2"/>
  <c r="S389" i="2" l="1"/>
  <c r="T389" i="2"/>
  <c r="Q389" i="2"/>
  <c r="P389" i="2"/>
  <c r="R389" i="2"/>
  <c r="Y387" i="2"/>
  <c r="X387" i="2"/>
  <c r="V388" i="2"/>
  <c r="K390" i="2"/>
  <c r="L390" i="2"/>
  <c r="M390" i="2"/>
  <c r="N390" i="2"/>
  <c r="J390" i="2"/>
  <c r="T390" i="2" l="1"/>
  <c r="S390" i="2"/>
  <c r="Q390" i="2"/>
  <c r="P390" i="2"/>
  <c r="R390" i="2"/>
  <c r="X388" i="2"/>
  <c r="Y388" i="2"/>
  <c r="V389" i="2"/>
  <c r="M391" i="2"/>
  <c r="K391" i="2"/>
  <c r="N391" i="2"/>
  <c r="L391" i="2"/>
  <c r="J391" i="2"/>
  <c r="T391" i="2" l="1"/>
  <c r="S391" i="2"/>
  <c r="Q391" i="2"/>
  <c r="P391" i="2"/>
  <c r="R391" i="2"/>
  <c r="Y389" i="2"/>
  <c r="X389" i="2"/>
  <c r="V390" i="2"/>
  <c r="K392" i="2"/>
  <c r="N392" i="2"/>
  <c r="L392" i="2"/>
  <c r="M392" i="2"/>
  <c r="J392" i="2"/>
  <c r="S392" i="2" l="1"/>
  <c r="T392" i="2"/>
  <c r="Q392" i="2"/>
  <c r="P392" i="2"/>
  <c r="R392" i="2"/>
  <c r="V391" i="2"/>
  <c r="X390" i="2"/>
  <c r="Y390" i="2"/>
  <c r="K393" i="2"/>
  <c r="L393" i="2"/>
  <c r="M393" i="2"/>
  <c r="N393" i="2"/>
  <c r="J393" i="2"/>
  <c r="T393" i="2" l="1"/>
  <c r="S393" i="2"/>
  <c r="Q393" i="2"/>
  <c r="P393" i="2"/>
  <c r="R393" i="2"/>
  <c r="V392" i="2"/>
  <c r="X392" i="2" s="1"/>
  <c r="X391" i="2"/>
  <c r="Y391" i="2"/>
  <c r="N394" i="2"/>
  <c r="K394" i="2"/>
  <c r="L394" i="2"/>
  <c r="M394" i="2"/>
  <c r="J394" i="2"/>
  <c r="S394" i="2" l="1"/>
  <c r="T394" i="2"/>
  <c r="Q394" i="2"/>
  <c r="P394" i="2"/>
  <c r="R394" i="2"/>
  <c r="Y392" i="2"/>
  <c r="V393" i="2"/>
  <c r="L395" i="2"/>
  <c r="M395" i="2"/>
  <c r="N395" i="2"/>
  <c r="K395" i="2"/>
  <c r="J395" i="2"/>
  <c r="T395" i="2" l="1"/>
  <c r="S395" i="2"/>
  <c r="Q395" i="2"/>
  <c r="P395" i="2"/>
  <c r="R395" i="2"/>
  <c r="Y393" i="2"/>
  <c r="X393" i="2"/>
  <c r="V394" i="2"/>
  <c r="K396" i="2"/>
  <c r="M396" i="2"/>
  <c r="L396" i="2"/>
  <c r="N396" i="2"/>
  <c r="J396" i="2"/>
  <c r="T396" i="2" l="1"/>
  <c r="S396" i="2"/>
  <c r="Q396" i="2"/>
  <c r="P396" i="2"/>
  <c r="R396" i="2"/>
  <c r="V395" i="2"/>
  <c r="X395" i="2" s="1"/>
  <c r="X394" i="2"/>
  <c r="Y394" i="2"/>
  <c r="M397" i="2"/>
  <c r="N397" i="2"/>
  <c r="L397" i="2"/>
  <c r="K397" i="2"/>
  <c r="J397" i="2"/>
  <c r="T397" i="2" l="1"/>
  <c r="S397" i="2"/>
  <c r="Q397" i="2"/>
  <c r="P397" i="2"/>
  <c r="R397" i="2"/>
  <c r="Y395" i="2"/>
  <c r="V396" i="2"/>
  <c r="N398" i="2"/>
  <c r="M398" i="2"/>
  <c r="K398" i="2"/>
  <c r="L398" i="2"/>
  <c r="J398" i="2"/>
  <c r="S398" i="2" l="1"/>
  <c r="T398" i="2"/>
  <c r="Q398" i="2"/>
  <c r="P398" i="2"/>
  <c r="R398" i="2"/>
  <c r="X396" i="2"/>
  <c r="Y396" i="2"/>
  <c r="V397" i="2"/>
  <c r="K399" i="2"/>
  <c r="N399" i="2"/>
  <c r="L399" i="2"/>
  <c r="M399" i="2"/>
  <c r="J399" i="2"/>
  <c r="S399" i="2" l="1"/>
  <c r="T399" i="2"/>
  <c r="Q399" i="2"/>
  <c r="P399" i="2"/>
  <c r="R399" i="2"/>
  <c r="X397" i="2"/>
  <c r="Y397" i="2"/>
  <c r="V398" i="2"/>
  <c r="K400" i="2"/>
  <c r="M400" i="2"/>
  <c r="N400" i="2"/>
  <c r="L400" i="2"/>
  <c r="J400" i="2"/>
  <c r="T400" i="2" l="1"/>
  <c r="S400" i="2"/>
  <c r="Q400" i="2"/>
  <c r="P400" i="2"/>
  <c r="R400" i="2"/>
  <c r="V399" i="2"/>
  <c r="Y399" i="2" s="1"/>
  <c r="X398" i="2"/>
  <c r="Y398" i="2"/>
  <c r="K401" i="2"/>
  <c r="M401" i="2"/>
  <c r="L401" i="2"/>
  <c r="N401" i="2"/>
  <c r="J401" i="2"/>
  <c r="T401" i="2" l="1"/>
  <c r="S401" i="2"/>
  <c r="Q401" i="2"/>
  <c r="P401" i="2"/>
  <c r="R401" i="2"/>
  <c r="X399" i="2"/>
  <c r="V400" i="2"/>
  <c r="L402" i="2"/>
  <c r="N402" i="2"/>
  <c r="M402" i="2"/>
  <c r="K402" i="2"/>
  <c r="J402" i="2"/>
  <c r="S402" i="2" l="1"/>
  <c r="T402" i="2"/>
  <c r="Q402" i="2"/>
  <c r="P402" i="2"/>
  <c r="R402" i="2"/>
  <c r="Y400" i="2"/>
  <c r="X400" i="2"/>
  <c r="V401" i="2"/>
  <c r="M403" i="2"/>
  <c r="L403" i="2"/>
  <c r="K403" i="2"/>
  <c r="N403" i="2"/>
  <c r="J403" i="2"/>
  <c r="T403" i="2" l="1"/>
  <c r="S403" i="2"/>
  <c r="Q403" i="2"/>
  <c r="P403" i="2"/>
  <c r="R403" i="2"/>
  <c r="V402" i="2"/>
  <c r="X402" i="2" s="1"/>
  <c r="Y401" i="2"/>
  <c r="X401" i="2"/>
  <c r="N404" i="2"/>
  <c r="M404" i="2"/>
  <c r="L404" i="2"/>
  <c r="K404" i="2"/>
  <c r="J404" i="2"/>
  <c r="S404" i="2" l="1"/>
  <c r="T404" i="2"/>
  <c r="Q404" i="2"/>
  <c r="P404" i="2"/>
  <c r="R404" i="2"/>
  <c r="V403" i="2"/>
  <c r="X403" i="2" s="1"/>
  <c r="Y402" i="2"/>
  <c r="N405" i="2"/>
  <c r="M405" i="2"/>
  <c r="K405" i="2"/>
  <c r="L405" i="2"/>
  <c r="J405" i="2"/>
  <c r="S405" i="2" l="1"/>
  <c r="T405" i="2"/>
  <c r="Q405" i="2"/>
  <c r="P405" i="2"/>
  <c r="R405" i="2"/>
  <c r="V404" i="2"/>
  <c r="X404" i="2" s="1"/>
  <c r="Y403" i="2"/>
  <c r="K406" i="2"/>
  <c r="N406" i="2"/>
  <c r="M406" i="2"/>
  <c r="L406" i="2"/>
  <c r="J406" i="2"/>
  <c r="S406" i="2" l="1"/>
  <c r="T406" i="2"/>
  <c r="Q406" i="2"/>
  <c r="P406" i="2"/>
  <c r="R406" i="2"/>
  <c r="Y404" i="2"/>
  <c r="V405" i="2"/>
  <c r="L407" i="2"/>
  <c r="M407" i="2"/>
  <c r="K407" i="2"/>
  <c r="N407" i="2"/>
  <c r="J407" i="2"/>
  <c r="T407" i="2" l="1"/>
  <c r="S407" i="2"/>
  <c r="Q407" i="2"/>
  <c r="P407" i="2"/>
  <c r="R407" i="2"/>
  <c r="V406" i="2"/>
  <c r="X405" i="2"/>
  <c r="Y405" i="2"/>
  <c r="N408" i="2"/>
  <c r="K408" i="2"/>
  <c r="M408" i="2"/>
  <c r="L408" i="2"/>
  <c r="J408" i="2"/>
  <c r="S408" i="2" l="1"/>
  <c r="T408" i="2"/>
  <c r="Q408" i="2"/>
  <c r="P408" i="2"/>
  <c r="R408" i="2"/>
  <c r="V407" i="2"/>
  <c r="X407" i="2" s="1"/>
  <c r="X406" i="2"/>
  <c r="Y406" i="2"/>
  <c r="M409" i="2"/>
  <c r="N409" i="2"/>
  <c r="L409" i="2"/>
  <c r="K409" i="2"/>
  <c r="J409" i="2"/>
  <c r="T409" i="2" l="1"/>
  <c r="S409" i="2"/>
  <c r="Q409" i="2"/>
  <c r="P409" i="2"/>
  <c r="R409" i="2"/>
  <c r="Y407" i="2"/>
  <c r="V408" i="2"/>
  <c r="M410" i="2"/>
  <c r="N410" i="2"/>
  <c r="L410" i="2"/>
  <c r="K410" i="2"/>
  <c r="J410" i="2"/>
  <c r="T410" i="2" l="1"/>
  <c r="S410" i="2"/>
  <c r="Q410" i="2"/>
  <c r="P410" i="2"/>
  <c r="R410" i="2"/>
  <c r="Y408" i="2"/>
  <c r="X408" i="2"/>
  <c r="V409" i="2"/>
  <c r="N411" i="2"/>
  <c r="K411" i="2"/>
  <c r="M411" i="2"/>
  <c r="L411" i="2"/>
  <c r="J411" i="2"/>
  <c r="S411" i="2" l="1"/>
  <c r="T411" i="2"/>
  <c r="Q411" i="2"/>
  <c r="P411" i="2"/>
  <c r="R411" i="2"/>
  <c r="Y409" i="2"/>
  <c r="X409" i="2"/>
  <c r="V410" i="2"/>
  <c r="M412" i="2"/>
  <c r="N412" i="2"/>
  <c r="K412" i="2"/>
  <c r="L412" i="2"/>
  <c r="J412" i="2"/>
  <c r="T412" i="2" l="1"/>
  <c r="S412" i="2"/>
  <c r="Q412" i="2"/>
  <c r="P412" i="2"/>
  <c r="R412" i="2"/>
  <c r="V411" i="2"/>
  <c r="X411" i="2" s="1"/>
  <c r="X410" i="2"/>
  <c r="Y410" i="2"/>
  <c r="L413" i="2"/>
  <c r="N413" i="2"/>
  <c r="K413" i="2"/>
  <c r="M413" i="2"/>
  <c r="J413" i="2"/>
  <c r="S413" i="2" l="1"/>
  <c r="T413" i="2"/>
  <c r="Q413" i="2"/>
  <c r="P413" i="2"/>
  <c r="R413" i="2"/>
  <c r="Y411" i="2"/>
  <c r="V412" i="2"/>
  <c r="L414" i="2"/>
  <c r="K414" i="2"/>
  <c r="M414" i="2"/>
  <c r="N414" i="2"/>
  <c r="J414" i="2"/>
  <c r="T414" i="2" l="1"/>
  <c r="S414" i="2"/>
  <c r="Q414" i="2"/>
  <c r="P414" i="2"/>
  <c r="R414" i="2"/>
  <c r="X412" i="2"/>
  <c r="Y412" i="2"/>
  <c r="V413" i="2"/>
  <c r="K415" i="2"/>
  <c r="N415" i="2"/>
  <c r="M415" i="2"/>
  <c r="L415" i="2"/>
  <c r="J415" i="2"/>
  <c r="S415" i="2" l="1"/>
  <c r="T415" i="2"/>
  <c r="Q415" i="2"/>
  <c r="P415" i="2"/>
  <c r="R415" i="2"/>
  <c r="X413" i="2"/>
  <c r="Y413" i="2"/>
  <c r="V414" i="2"/>
  <c r="L416" i="2"/>
  <c r="M416" i="2"/>
  <c r="K416" i="2"/>
  <c r="N416" i="2"/>
  <c r="J416" i="2"/>
  <c r="T416" i="2" l="1"/>
  <c r="S416" i="2"/>
  <c r="Q416" i="2"/>
  <c r="P416" i="2"/>
  <c r="R416" i="2"/>
  <c r="X414" i="2"/>
  <c r="Y414" i="2"/>
  <c r="V415" i="2"/>
  <c r="N417" i="2"/>
  <c r="M417" i="2"/>
  <c r="L417" i="2"/>
  <c r="K417" i="2"/>
  <c r="J417" i="2"/>
  <c r="S417" i="2" l="1"/>
  <c r="T417" i="2"/>
  <c r="Q417" i="2"/>
  <c r="P417" i="2"/>
  <c r="R417" i="2"/>
  <c r="V416" i="2"/>
  <c r="X416" i="2" s="1"/>
  <c r="Y415" i="2"/>
  <c r="X415" i="2"/>
  <c r="K418" i="2"/>
  <c r="N418" i="2"/>
  <c r="M418" i="2"/>
  <c r="L418" i="2"/>
  <c r="J418" i="2"/>
  <c r="S418" i="2" l="1"/>
  <c r="T418" i="2"/>
  <c r="Q418" i="2"/>
  <c r="P418" i="2"/>
  <c r="R418" i="2"/>
  <c r="Y416" i="2"/>
  <c r="V417" i="2"/>
  <c r="N419" i="2"/>
  <c r="K419" i="2"/>
  <c r="L419" i="2"/>
  <c r="M419" i="2"/>
  <c r="J419" i="2"/>
  <c r="S419" i="2" l="1"/>
  <c r="T419" i="2"/>
  <c r="Q419" i="2"/>
  <c r="P419" i="2"/>
  <c r="R419" i="2"/>
  <c r="Y417" i="2"/>
  <c r="X417" i="2"/>
  <c r="V418" i="2"/>
  <c r="N420" i="2"/>
  <c r="M420" i="2"/>
  <c r="L420" i="2"/>
  <c r="K420" i="2"/>
  <c r="J420" i="2"/>
  <c r="S420" i="2" l="1"/>
  <c r="T420" i="2"/>
  <c r="Q420" i="2"/>
  <c r="P420" i="2"/>
  <c r="R420" i="2"/>
  <c r="V419" i="2"/>
  <c r="X419" i="2" s="1"/>
  <c r="Y418" i="2"/>
  <c r="X418" i="2"/>
  <c r="M421" i="2"/>
  <c r="L421" i="2"/>
  <c r="K421" i="2"/>
  <c r="N421" i="2"/>
  <c r="J421" i="2"/>
  <c r="T421" i="2" l="1"/>
  <c r="S421" i="2"/>
  <c r="Q421" i="2"/>
  <c r="P421" i="2"/>
  <c r="R421" i="2"/>
  <c r="Y419" i="2"/>
  <c r="V420" i="2"/>
  <c r="L422" i="2"/>
  <c r="N422" i="2"/>
  <c r="M422" i="2"/>
  <c r="K422" i="2"/>
  <c r="J422" i="2"/>
  <c r="S422" i="2" l="1"/>
  <c r="T422" i="2"/>
  <c r="Q422" i="2"/>
  <c r="P422" i="2"/>
  <c r="R422" i="2"/>
  <c r="X420" i="2"/>
  <c r="Y420" i="2"/>
  <c r="V421" i="2"/>
  <c r="L423" i="2"/>
  <c r="M423" i="2"/>
  <c r="N423" i="2"/>
  <c r="K423" i="2"/>
  <c r="J423" i="2"/>
  <c r="T423" i="2" l="1"/>
  <c r="S423" i="2"/>
  <c r="Q423" i="2"/>
  <c r="P423" i="2"/>
  <c r="R423" i="2"/>
  <c r="X421" i="2"/>
  <c r="Y421" i="2"/>
  <c r="V422" i="2"/>
  <c r="K424" i="2"/>
  <c r="L424" i="2"/>
  <c r="N424" i="2"/>
  <c r="M424" i="2"/>
  <c r="J424" i="2"/>
  <c r="S424" i="2" l="1"/>
  <c r="T424" i="2"/>
  <c r="Q424" i="2"/>
  <c r="P424" i="2"/>
  <c r="R424" i="2"/>
  <c r="Y422" i="2"/>
  <c r="X422" i="2"/>
  <c r="V423" i="2"/>
  <c r="K425" i="2"/>
  <c r="M425" i="2"/>
  <c r="N425" i="2"/>
  <c r="L425" i="2"/>
  <c r="J425" i="2"/>
  <c r="T425" i="2" l="1"/>
  <c r="S425" i="2"/>
  <c r="Q425" i="2"/>
  <c r="P425" i="2"/>
  <c r="R425" i="2"/>
  <c r="V424" i="2"/>
  <c r="X424" i="2" s="1"/>
  <c r="X423" i="2"/>
  <c r="Y423" i="2"/>
  <c r="K426" i="2"/>
  <c r="L426" i="2"/>
  <c r="M426" i="2"/>
  <c r="N426" i="2"/>
  <c r="J426" i="2"/>
  <c r="T426" i="2" l="1"/>
  <c r="S426" i="2"/>
  <c r="Q426" i="2"/>
  <c r="P426" i="2"/>
  <c r="R426" i="2"/>
  <c r="Y424" i="2"/>
  <c r="V425" i="2"/>
  <c r="M427" i="2"/>
  <c r="L427" i="2"/>
  <c r="K427" i="2"/>
  <c r="N427" i="2"/>
  <c r="J427" i="2"/>
  <c r="T427" i="2" l="1"/>
  <c r="S427" i="2"/>
  <c r="Q427" i="2"/>
  <c r="P427" i="2"/>
  <c r="R427" i="2"/>
  <c r="V426" i="2"/>
  <c r="X426" i="2" s="1"/>
  <c r="Y425" i="2"/>
  <c r="X425" i="2"/>
  <c r="M428" i="2"/>
  <c r="K428" i="2"/>
  <c r="L428" i="2"/>
  <c r="N428" i="2"/>
  <c r="J428" i="2"/>
  <c r="T428" i="2" l="1"/>
  <c r="S428" i="2"/>
  <c r="Q428" i="2"/>
  <c r="P428" i="2"/>
  <c r="R428" i="2"/>
  <c r="Y426" i="2"/>
  <c r="V427" i="2"/>
  <c r="K429" i="2"/>
  <c r="N429" i="2"/>
  <c r="L429" i="2"/>
  <c r="M429" i="2"/>
  <c r="J429" i="2"/>
  <c r="S429" i="2" l="1"/>
  <c r="T429" i="2"/>
  <c r="Q429" i="2"/>
  <c r="P429" i="2"/>
  <c r="R429" i="2"/>
  <c r="V428" i="2"/>
  <c r="X427" i="2"/>
  <c r="Y427" i="2"/>
  <c r="K430" i="2"/>
  <c r="L430" i="2"/>
  <c r="M430" i="2"/>
  <c r="N430" i="2"/>
  <c r="J430" i="2"/>
  <c r="T430" i="2" l="1"/>
  <c r="S430" i="2"/>
  <c r="Q430" i="2"/>
  <c r="P430" i="2"/>
  <c r="R430" i="2"/>
  <c r="V429" i="2"/>
  <c r="X429" i="2" s="1"/>
  <c r="X428" i="2"/>
  <c r="Y428" i="2"/>
  <c r="N431" i="2"/>
  <c r="K431" i="2"/>
  <c r="M431" i="2"/>
  <c r="L431" i="2"/>
  <c r="J431" i="2"/>
  <c r="S431" i="2" l="1"/>
  <c r="T431" i="2"/>
  <c r="Q431" i="2"/>
  <c r="P431" i="2"/>
  <c r="R431" i="2"/>
  <c r="Y429" i="2"/>
  <c r="V430" i="2"/>
  <c r="K432" i="2"/>
  <c r="L432" i="2"/>
  <c r="M432" i="2"/>
  <c r="N432" i="2"/>
  <c r="J432" i="2"/>
  <c r="T432" i="2" l="1"/>
  <c r="S432" i="2"/>
  <c r="Q432" i="2"/>
  <c r="P432" i="2"/>
  <c r="R432" i="2"/>
  <c r="X430" i="2"/>
  <c r="Y430" i="2"/>
  <c r="V431" i="2"/>
  <c r="K433" i="2"/>
  <c r="N433" i="2"/>
  <c r="L433" i="2"/>
  <c r="M433" i="2"/>
  <c r="J433" i="2"/>
  <c r="S433" i="2" l="1"/>
  <c r="T433" i="2"/>
  <c r="Q433" i="2"/>
  <c r="P433" i="2"/>
  <c r="R433" i="2"/>
  <c r="V432" i="2"/>
  <c r="X432" i="2" s="1"/>
  <c r="X431" i="2"/>
  <c r="Y431" i="2"/>
  <c r="K434" i="2"/>
  <c r="L434" i="2"/>
  <c r="N434" i="2"/>
  <c r="M434" i="2"/>
  <c r="J434" i="2"/>
  <c r="S434" i="2" l="1"/>
  <c r="T434" i="2"/>
  <c r="Q434" i="2"/>
  <c r="P434" i="2"/>
  <c r="R434" i="2"/>
  <c r="Y432" i="2"/>
  <c r="V433" i="2"/>
  <c r="N435" i="2"/>
  <c r="L435" i="2"/>
  <c r="M435" i="2"/>
  <c r="K435" i="2"/>
  <c r="J435" i="2"/>
  <c r="S435" i="2" l="1"/>
  <c r="T435" i="2"/>
  <c r="Q435" i="2"/>
  <c r="P435" i="2"/>
  <c r="R435" i="2"/>
  <c r="Y433" i="2"/>
  <c r="X433" i="2"/>
  <c r="V434" i="2"/>
  <c r="L436" i="2"/>
  <c r="M436" i="2"/>
  <c r="K436" i="2"/>
  <c r="N436" i="2"/>
  <c r="J436" i="2"/>
  <c r="T436" i="2" l="1"/>
  <c r="S436" i="2"/>
  <c r="Q436" i="2"/>
  <c r="P436" i="2"/>
  <c r="R436" i="2"/>
  <c r="V435" i="2"/>
  <c r="Y435" i="2" s="1"/>
  <c r="X434" i="2"/>
  <c r="Y434" i="2"/>
  <c r="L437" i="2"/>
  <c r="K437" i="2"/>
  <c r="M437" i="2"/>
  <c r="N437" i="2"/>
  <c r="J437" i="2"/>
  <c r="T437" i="2" l="1"/>
  <c r="S437" i="2"/>
  <c r="Q437" i="2"/>
  <c r="P437" i="2"/>
  <c r="R437" i="2"/>
  <c r="X435" i="2"/>
  <c r="V436" i="2"/>
  <c r="M438" i="2"/>
  <c r="N438" i="2"/>
  <c r="L438" i="2"/>
  <c r="K438" i="2"/>
  <c r="J438" i="2"/>
  <c r="T438" i="2" l="1"/>
  <c r="S438" i="2"/>
  <c r="Q438" i="2"/>
  <c r="P438" i="2"/>
  <c r="R438" i="2"/>
  <c r="V437" i="2"/>
  <c r="Y437" i="2" s="1"/>
  <c r="Y436" i="2"/>
  <c r="X436" i="2"/>
  <c r="M439" i="2"/>
  <c r="K439" i="2"/>
  <c r="N439" i="2"/>
  <c r="L439" i="2"/>
  <c r="J439" i="2"/>
  <c r="T439" i="2" l="1"/>
  <c r="S439" i="2"/>
  <c r="Q439" i="2"/>
  <c r="P439" i="2"/>
  <c r="R439" i="2"/>
  <c r="V438" i="2"/>
  <c r="X438" i="2" s="1"/>
  <c r="X437" i="2"/>
  <c r="N440" i="2"/>
  <c r="L440" i="2"/>
  <c r="K440" i="2"/>
  <c r="M440" i="2"/>
  <c r="J440" i="2"/>
  <c r="S440" i="2" l="1"/>
  <c r="T440" i="2"/>
  <c r="Q440" i="2"/>
  <c r="P440" i="2"/>
  <c r="R440" i="2"/>
  <c r="Y438" i="2"/>
  <c r="V439" i="2"/>
  <c r="N441" i="2"/>
  <c r="M441" i="2"/>
  <c r="L441" i="2"/>
  <c r="K441" i="2"/>
  <c r="J441" i="2"/>
  <c r="S441" i="2" l="1"/>
  <c r="T441" i="2"/>
  <c r="Q441" i="2"/>
  <c r="P441" i="2"/>
  <c r="R441" i="2"/>
  <c r="X439" i="2"/>
  <c r="Y439" i="2"/>
  <c r="V440" i="2"/>
  <c r="N442" i="2"/>
  <c r="K442" i="2"/>
  <c r="M442" i="2"/>
  <c r="L442" i="2"/>
  <c r="J442" i="2"/>
  <c r="S442" i="2" l="1"/>
  <c r="T442" i="2"/>
  <c r="Q442" i="2"/>
  <c r="P442" i="2"/>
  <c r="R442" i="2"/>
  <c r="X440" i="2"/>
  <c r="Y440" i="2"/>
  <c r="V441" i="2"/>
  <c r="M443" i="2"/>
  <c r="K443" i="2"/>
  <c r="N443" i="2"/>
  <c r="L443" i="2"/>
  <c r="J443" i="2"/>
  <c r="T443" i="2" l="1"/>
  <c r="S443" i="2"/>
  <c r="Q443" i="2"/>
  <c r="P443" i="2"/>
  <c r="R443" i="2"/>
  <c r="X441" i="2"/>
  <c r="Y441" i="2"/>
  <c r="V442" i="2"/>
  <c r="M444" i="2"/>
  <c r="N444" i="2"/>
  <c r="K444" i="2"/>
  <c r="L444" i="2"/>
  <c r="J444" i="2"/>
  <c r="T444" i="2" l="1"/>
  <c r="S444" i="2"/>
  <c r="Q444" i="2"/>
  <c r="P444" i="2"/>
  <c r="R444" i="2"/>
  <c r="V443" i="2"/>
  <c r="Y443" i="2" s="1"/>
  <c r="Y442" i="2"/>
  <c r="X442" i="2"/>
  <c r="M445" i="2"/>
  <c r="K445" i="2"/>
  <c r="L445" i="2"/>
  <c r="N445" i="2"/>
  <c r="J445" i="2"/>
  <c r="T445" i="2" l="1"/>
  <c r="S445" i="2"/>
  <c r="Q445" i="2"/>
  <c r="P445" i="2"/>
  <c r="R445" i="2"/>
  <c r="X443" i="2"/>
  <c r="V444" i="2"/>
  <c r="N446" i="2"/>
  <c r="L446" i="2"/>
  <c r="M446" i="2"/>
  <c r="K446" i="2"/>
  <c r="J446" i="2"/>
  <c r="S446" i="2" l="1"/>
  <c r="T446" i="2"/>
  <c r="Q446" i="2"/>
  <c r="P446" i="2"/>
  <c r="R446" i="2"/>
  <c r="V445" i="2"/>
  <c r="X445" i="2" s="1"/>
  <c r="Y444" i="2"/>
  <c r="X444" i="2"/>
  <c r="K447" i="2"/>
  <c r="N447" i="2"/>
  <c r="L447" i="2"/>
  <c r="M447" i="2"/>
  <c r="J447" i="2"/>
  <c r="S447" i="2" l="1"/>
  <c r="T447" i="2"/>
  <c r="Q447" i="2"/>
  <c r="P447" i="2"/>
  <c r="R447" i="2"/>
  <c r="V446" i="2"/>
  <c r="X446" i="2" s="1"/>
  <c r="Y445" i="2"/>
  <c r="L448" i="2"/>
  <c r="N448" i="2"/>
  <c r="K448" i="2"/>
  <c r="M448" i="2"/>
  <c r="J448" i="2"/>
  <c r="S448" i="2" l="1"/>
  <c r="T448" i="2"/>
  <c r="Q448" i="2"/>
  <c r="P448" i="2"/>
  <c r="R448" i="2"/>
  <c r="Y446" i="2"/>
  <c r="V447" i="2"/>
  <c r="X447" i="2" s="1"/>
  <c r="L449" i="2"/>
  <c r="N449" i="2"/>
  <c r="K449" i="2"/>
  <c r="M449" i="2"/>
  <c r="J449" i="2"/>
  <c r="S449" i="2" l="1"/>
  <c r="T449" i="2"/>
  <c r="Q449" i="2"/>
  <c r="P449" i="2"/>
  <c r="R449" i="2"/>
  <c r="V448" i="2"/>
  <c r="X448" i="2" s="1"/>
  <c r="Y447" i="2"/>
  <c r="M450" i="2"/>
  <c r="K450" i="2"/>
  <c r="N450" i="2"/>
  <c r="L450" i="2"/>
  <c r="J450" i="2"/>
  <c r="T450" i="2" l="1"/>
  <c r="S450" i="2"/>
  <c r="Q450" i="2"/>
  <c r="P450" i="2"/>
  <c r="R450" i="2"/>
  <c r="Y448" i="2"/>
  <c r="V449" i="2"/>
  <c r="M451" i="2"/>
  <c r="N451" i="2"/>
  <c r="L451" i="2"/>
  <c r="K451" i="2"/>
  <c r="J451" i="2"/>
  <c r="T451" i="2" l="1"/>
  <c r="S451" i="2"/>
  <c r="Q451" i="2"/>
  <c r="P451" i="2"/>
  <c r="R451" i="2"/>
  <c r="Y449" i="2"/>
  <c r="X449" i="2"/>
  <c r="V450" i="2"/>
  <c r="N452" i="2"/>
  <c r="K452" i="2"/>
  <c r="M452" i="2"/>
  <c r="L452" i="2"/>
  <c r="J452" i="2"/>
  <c r="S452" i="2" l="1"/>
  <c r="T452" i="2"/>
  <c r="Q452" i="2"/>
  <c r="P452" i="2"/>
  <c r="R452" i="2"/>
  <c r="V451" i="2"/>
  <c r="X451" i="2" s="1"/>
  <c r="Y450" i="2"/>
  <c r="X450" i="2"/>
  <c r="N453" i="2"/>
  <c r="L453" i="2"/>
  <c r="K453" i="2"/>
  <c r="M453" i="2"/>
  <c r="J453" i="2"/>
  <c r="S453" i="2" l="1"/>
  <c r="T453" i="2"/>
  <c r="Q453" i="2"/>
  <c r="P453" i="2"/>
  <c r="R453" i="2"/>
  <c r="Y451" i="2"/>
  <c r="V452" i="2"/>
  <c r="L454" i="2"/>
  <c r="N454" i="2"/>
  <c r="K454" i="2"/>
  <c r="M454" i="2"/>
  <c r="J454" i="2"/>
  <c r="S454" i="2" l="1"/>
  <c r="T454" i="2"/>
  <c r="Q454" i="2"/>
  <c r="P454" i="2"/>
  <c r="R454" i="2"/>
  <c r="V453" i="2"/>
  <c r="X453" i="2" s="1"/>
  <c r="X452" i="2"/>
  <c r="Y452" i="2"/>
  <c r="K455" i="2"/>
  <c r="M455" i="2"/>
  <c r="N455" i="2"/>
  <c r="L455" i="2"/>
  <c r="J455" i="2"/>
  <c r="T455" i="2" l="1"/>
  <c r="S455" i="2"/>
  <c r="Q455" i="2"/>
  <c r="P455" i="2"/>
  <c r="R455" i="2"/>
  <c r="V454" i="2"/>
  <c r="X454" i="2" s="1"/>
  <c r="Y453" i="2"/>
  <c r="K456" i="2"/>
  <c r="L456" i="2"/>
  <c r="M456" i="2"/>
  <c r="N456" i="2"/>
  <c r="J456" i="2"/>
  <c r="T456" i="2" l="1"/>
  <c r="S456" i="2"/>
  <c r="Q456" i="2"/>
  <c r="P456" i="2"/>
  <c r="R456" i="2"/>
  <c r="Y454" i="2"/>
  <c r="V455" i="2"/>
  <c r="Y455" i="2" s="1"/>
  <c r="K457" i="2"/>
  <c r="N457" i="2"/>
  <c r="M457" i="2"/>
  <c r="L457" i="2"/>
  <c r="J457" i="2"/>
  <c r="S457" i="2" l="1"/>
  <c r="T457" i="2"/>
  <c r="Q457" i="2"/>
  <c r="P457" i="2"/>
  <c r="R457" i="2"/>
  <c r="X455" i="2"/>
  <c r="V456" i="2"/>
  <c r="N458" i="2"/>
  <c r="L458" i="2"/>
  <c r="M458" i="2"/>
  <c r="K458" i="2"/>
  <c r="J458" i="2"/>
  <c r="S458" i="2" l="1"/>
  <c r="T458" i="2"/>
  <c r="Q458" i="2"/>
  <c r="P458" i="2"/>
  <c r="R458" i="2"/>
  <c r="X456" i="2"/>
  <c r="Y456" i="2"/>
  <c r="V457" i="2"/>
  <c r="K459" i="2"/>
  <c r="M459" i="2"/>
  <c r="N459" i="2"/>
  <c r="L459" i="2"/>
  <c r="J459" i="2"/>
  <c r="T459" i="2" l="1"/>
  <c r="S459" i="2"/>
  <c r="Q459" i="2"/>
  <c r="P459" i="2"/>
  <c r="R459" i="2"/>
  <c r="Y457" i="2"/>
  <c r="X457" i="2"/>
  <c r="V458" i="2"/>
  <c r="L460" i="2"/>
  <c r="K460" i="2"/>
  <c r="M460" i="2"/>
  <c r="N460" i="2"/>
  <c r="J460" i="2"/>
  <c r="T460" i="2" l="1"/>
  <c r="S460" i="2"/>
  <c r="Q460" i="2"/>
  <c r="P460" i="2"/>
  <c r="R460" i="2"/>
  <c r="V459" i="2"/>
  <c r="X459" i="2" s="1"/>
  <c r="Y458" i="2"/>
  <c r="X458" i="2"/>
  <c r="N461" i="2"/>
  <c r="K461" i="2"/>
  <c r="M461" i="2"/>
  <c r="L461" i="2"/>
  <c r="J461" i="2"/>
  <c r="S461" i="2" l="1"/>
  <c r="T461" i="2"/>
  <c r="Q461" i="2"/>
  <c r="P461" i="2"/>
  <c r="R461" i="2"/>
  <c r="Y459" i="2"/>
  <c r="V460" i="2"/>
  <c r="N462" i="2"/>
  <c r="M462" i="2"/>
  <c r="K462" i="2"/>
  <c r="L462" i="2"/>
  <c r="J462" i="2"/>
  <c r="S462" i="2" l="1"/>
  <c r="T462" i="2"/>
  <c r="Q462" i="2"/>
  <c r="P462" i="2"/>
  <c r="R462" i="2"/>
  <c r="X460" i="2"/>
  <c r="Y460" i="2"/>
  <c r="V461" i="2"/>
  <c r="K463" i="2"/>
  <c r="N463" i="2"/>
  <c r="L463" i="2"/>
  <c r="M463" i="2"/>
  <c r="J463" i="2"/>
  <c r="S463" i="2" l="1"/>
  <c r="T463" i="2"/>
  <c r="Q463" i="2"/>
  <c r="P463" i="2"/>
  <c r="R463" i="2"/>
  <c r="V462" i="2"/>
  <c r="X462" i="2" s="1"/>
  <c r="X461" i="2"/>
  <c r="Y461" i="2"/>
  <c r="K464" i="2"/>
  <c r="N464" i="2"/>
  <c r="M464" i="2"/>
  <c r="L464" i="2"/>
  <c r="J464" i="2"/>
  <c r="S464" i="2" l="1"/>
  <c r="T464" i="2"/>
  <c r="Q464" i="2"/>
  <c r="P464" i="2"/>
  <c r="R464" i="2"/>
  <c r="Y462" i="2"/>
  <c r="V463" i="2"/>
  <c r="M465" i="2"/>
  <c r="N465" i="2"/>
  <c r="K465" i="2"/>
  <c r="L465" i="2"/>
  <c r="J465" i="2"/>
  <c r="T465" i="2" l="1"/>
  <c r="S465" i="2"/>
  <c r="Q465" i="2"/>
  <c r="P465" i="2"/>
  <c r="R465" i="2"/>
  <c r="X463" i="2"/>
  <c r="Y463" i="2"/>
  <c r="V464" i="2"/>
  <c r="K466" i="2"/>
  <c r="M466" i="2"/>
  <c r="L466" i="2"/>
  <c r="N466" i="2"/>
  <c r="J466" i="2"/>
  <c r="T466" i="2" l="1"/>
  <c r="S466" i="2"/>
  <c r="Q466" i="2"/>
  <c r="P466" i="2"/>
  <c r="R466" i="2"/>
  <c r="V465" i="2"/>
  <c r="Y465" i="2" s="1"/>
  <c r="X464" i="2"/>
  <c r="Y464" i="2"/>
  <c r="K467" i="2"/>
  <c r="N467" i="2"/>
  <c r="M467" i="2"/>
  <c r="L467" i="2"/>
  <c r="J467" i="2"/>
  <c r="S467" i="2" l="1"/>
  <c r="T467" i="2"/>
  <c r="Q467" i="2"/>
  <c r="P467" i="2"/>
  <c r="R467" i="2"/>
  <c r="X465" i="2"/>
  <c r="V466" i="2"/>
  <c r="N468" i="2"/>
  <c r="M468" i="2"/>
  <c r="K468" i="2"/>
  <c r="L468" i="2"/>
  <c r="J468" i="2"/>
  <c r="S468" i="2" l="1"/>
  <c r="T468" i="2"/>
  <c r="Q468" i="2"/>
  <c r="P468" i="2"/>
  <c r="R468" i="2"/>
  <c r="Y466" i="2"/>
  <c r="X466" i="2"/>
  <c r="V467" i="2"/>
  <c r="N469" i="2"/>
  <c r="L469" i="2"/>
  <c r="K469" i="2"/>
  <c r="M469" i="2"/>
  <c r="J469" i="2"/>
  <c r="S469" i="2" l="1"/>
  <c r="T469" i="2"/>
  <c r="Q469" i="2"/>
  <c r="P469" i="2"/>
  <c r="R469" i="2"/>
  <c r="V468" i="2"/>
  <c r="X467" i="2"/>
  <c r="Y467" i="2"/>
  <c r="K470" i="2"/>
  <c r="N470" i="2"/>
  <c r="L470" i="2"/>
  <c r="M470" i="2"/>
  <c r="J470" i="2"/>
  <c r="S470" i="2" l="1"/>
  <c r="T470" i="2"/>
  <c r="Q470" i="2"/>
  <c r="P470" i="2"/>
  <c r="R470" i="2"/>
  <c r="V469" i="2"/>
  <c r="X469" i="2" s="1"/>
  <c r="X468" i="2"/>
  <c r="Y468" i="2"/>
  <c r="L471" i="2"/>
  <c r="N471" i="2"/>
  <c r="M471" i="2"/>
  <c r="K471" i="2"/>
  <c r="J471" i="2"/>
  <c r="S471" i="2" l="1"/>
  <c r="T471" i="2"/>
  <c r="Q471" i="2"/>
  <c r="P471" i="2"/>
  <c r="R471" i="2"/>
  <c r="Y469" i="2"/>
  <c r="V470" i="2"/>
  <c r="N472" i="2"/>
  <c r="L472" i="2"/>
  <c r="M472" i="2"/>
  <c r="K472" i="2"/>
  <c r="J472" i="2"/>
  <c r="S472" i="2" l="1"/>
  <c r="T472" i="2"/>
  <c r="Q472" i="2"/>
  <c r="P472" i="2"/>
  <c r="R472" i="2"/>
  <c r="X470" i="2"/>
  <c r="Y470" i="2"/>
  <c r="V471" i="2"/>
  <c r="K473" i="2"/>
  <c r="N473" i="2"/>
  <c r="M473" i="2"/>
  <c r="L473" i="2"/>
  <c r="J473" i="2"/>
  <c r="S473" i="2" l="1"/>
  <c r="T473" i="2"/>
  <c r="Q473" i="2"/>
  <c r="P473" i="2"/>
  <c r="R473" i="2"/>
  <c r="V472" i="2"/>
  <c r="X471" i="2"/>
  <c r="Y471" i="2"/>
  <c r="L474" i="2"/>
  <c r="M474" i="2"/>
  <c r="K474" i="2"/>
  <c r="N474" i="2"/>
  <c r="J474" i="2"/>
  <c r="T474" i="2" l="1"/>
  <c r="S474" i="2"/>
  <c r="Q474" i="2"/>
  <c r="P474" i="2"/>
  <c r="R474" i="2"/>
  <c r="X472" i="2"/>
  <c r="Y472" i="2"/>
  <c r="V473" i="2"/>
  <c r="N475" i="2"/>
  <c r="L475" i="2"/>
  <c r="M475" i="2"/>
  <c r="K475" i="2"/>
  <c r="J475" i="2"/>
  <c r="S475" i="2" l="1"/>
  <c r="T475" i="2"/>
  <c r="Q475" i="2"/>
  <c r="P475" i="2"/>
  <c r="R475" i="2"/>
  <c r="X473" i="2"/>
  <c r="Y473" i="2"/>
  <c r="V474" i="2"/>
  <c r="M476" i="2"/>
  <c r="K476" i="2"/>
  <c r="N476" i="2"/>
  <c r="L476" i="2"/>
  <c r="J476" i="2"/>
  <c r="T476" i="2" l="1"/>
  <c r="S476" i="2"/>
  <c r="Q476" i="2"/>
  <c r="P476" i="2"/>
  <c r="R476" i="2"/>
  <c r="V475" i="2"/>
  <c r="Y475" i="2" s="1"/>
  <c r="Y474" i="2"/>
  <c r="X474" i="2"/>
  <c r="N477" i="2"/>
  <c r="M477" i="2"/>
  <c r="K477" i="2"/>
  <c r="L477" i="2"/>
  <c r="J477" i="2"/>
  <c r="S477" i="2" l="1"/>
  <c r="T477" i="2"/>
  <c r="Q477" i="2"/>
  <c r="P477" i="2"/>
  <c r="R477" i="2"/>
  <c r="X475" i="2"/>
  <c r="V476" i="2"/>
  <c r="Y476" i="2" s="1"/>
  <c r="M478" i="2"/>
  <c r="K478" i="2"/>
  <c r="L478" i="2"/>
  <c r="N478" i="2"/>
  <c r="J478" i="2"/>
  <c r="T478" i="2" l="1"/>
  <c r="S478" i="2"/>
  <c r="Q478" i="2"/>
  <c r="P478" i="2"/>
  <c r="R478" i="2"/>
  <c r="X476" i="2"/>
  <c r="V477" i="2"/>
  <c r="N479" i="2"/>
  <c r="L479" i="2"/>
  <c r="M479" i="2"/>
  <c r="K479" i="2"/>
  <c r="J479" i="2"/>
  <c r="S479" i="2" l="1"/>
  <c r="T479" i="2"/>
  <c r="Q479" i="2"/>
  <c r="P479" i="2"/>
  <c r="R479" i="2"/>
  <c r="V478" i="2"/>
  <c r="X477" i="2"/>
  <c r="Y477" i="2"/>
  <c r="N480" i="2"/>
  <c r="K480" i="2"/>
  <c r="M480" i="2"/>
  <c r="L480" i="2"/>
  <c r="J480" i="2"/>
  <c r="S480" i="2" l="1"/>
  <c r="T480" i="2"/>
  <c r="Q480" i="2"/>
  <c r="P480" i="2"/>
  <c r="R480" i="2"/>
  <c r="V479" i="2"/>
  <c r="X479" i="2" s="1"/>
  <c r="X478" i="2"/>
  <c r="Y478" i="2"/>
  <c r="N481" i="2"/>
  <c r="L481" i="2"/>
  <c r="M481" i="2"/>
  <c r="K481" i="2"/>
  <c r="J481" i="2"/>
  <c r="S481" i="2" l="1"/>
  <c r="T481" i="2"/>
  <c r="Q481" i="2"/>
  <c r="P481" i="2"/>
  <c r="R481" i="2"/>
  <c r="Y479" i="2"/>
  <c r="V480" i="2"/>
  <c r="K482" i="2"/>
  <c r="M482" i="2"/>
  <c r="L482" i="2"/>
  <c r="N482" i="2"/>
  <c r="J482" i="2"/>
  <c r="T482" i="2" l="1"/>
  <c r="S482" i="2"/>
  <c r="Q482" i="2"/>
  <c r="P482" i="2"/>
  <c r="R482" i="2"/>
  <c r="X480" i="2"/>
  <c r="Y480" i="2"/>
  <c r="V481" i="2"/>
  <c r="K483" i="2"/>
  <c r="M483" i="2"/>
  <c r="N483" i="2"/>
  <c r="L483" i="2"/>
  <c r="J483" i="2"/>
  <c r="T483" i="2" l="1"/>
  <c r="S483" i="2"/>
  <c r="Q483" i="2"/>
  <c r="P483" i="2"/>
  <c r="R483" i="2"/>
  <c r="V482" i="2"/>
  <c r="X482" i="2" s="1"/>
  <c r="X481" i="2"/>
  <c r="Y481" i="2"/>
  <c r="N484" i="2"/>
  <c r="L484" i="2"/>
  <c r="K484" i="2"/>
  <c r="M484" i="2"/>
  <c r="J484" i="2"/>
  <c r="S484" i="2" l="1"/>
  <c r="T484" i="2"/>
  <c r="Q484" i="2"/>
  <c r="P484" i="2"/>
  <c r="R484" i="2"/>
  <c r="Y482" i="2"/>
  <c r="V483" i="2"/>
  <c r="N485" i="2"/>
  <c r="K485" i="2"/>
  <c r="L485" i="2"/>
  <c r="M485" i="2"/>
  <c r="J485" i="2"/>
  <c r="S485" i="2" l="1"/>
  <c r="T485" i="2"/>
  <c r="Q485" i="2"/>
  <c r="P485" i="2"/>
  <c r="R485" i="2"/>
  <c r="Y483" i="2"/>
  <c r="X483" i="2"/>
  <c r="V484" i="2"/>
  <c r="K486" i="2"/>
  <c r="M486" i="2"/>
  <c r="N486" i="2"/>
  <c r="L486" i="2"/>
  <c r="J486" i="2"/>
  <c r="T486" i="2" l="1"/>
  <c r="S486" i="2"/>
  <c r="Q486" i="2"/>
  <c r="P486" i="2"/>
  <c r="R486" i="2"/>
  <c r="V485" i="2"/>
  <c r="X485" i="2" s="1"/>
  <c r="X484" i="2"/>
  <c r="Y484" i="2"/>
  <c r="L487" i="2"/>
  <c r="N487" i="2"/>
  <c r="K487" i="2"/>
  <c r="M487" i="2"/>
  <c r="J487" i="2"/>
  <c r="S487" i="2" l="1"/>
  <c r="T487" i="2"/>
  <c r="Q487" i="2"/>
  <c r="P487" i="2"/>
  <c r="R487" i="2"/>
  <c r="Y485" i="2"/>
  <c r="V486" i="2"/>
  <c r="L488" i="2"/>
  <c r="K488" i="2"/>
  <c r="N488" i="2"/>
  <c r="M488" i="2"/>
  <c r="J488" i="2"/>
  <c r="S488" i="2" l="1"/>
  <c r="T488" i="2"/>
  <c r="Q488" i="2"/>
  <c r="P488" i="2"/>
  <c r="R488" i="2"/>
  <c r="X486" i="2"/>
  <c r="Y486" i="2"/>
  <c r="V487" i="2"/>
  <c r="M489" i="2"/>
  <c r="L489" i="2"/>
  <c r="K489" i="2"/>
  <c r="N489" i="2"/>
  <c r="J489" i="2"/>
  <c r="T489" i="2" l="1"/>
  <c r="S489" i="2"/>
  <c r="Q489" i="2"/>
  <c r="P489" i="2"/>
  <c r="R489" i="2"/>
  <c r="Y487" i="2"/>
  <c r="X487" i="2"/>
  <c r="V488" i="2"/>
  <c r="M490" i="2"/>
  <c r="N490" i="2"/>
  <c r="K490" i="2"/>
  <c r="L490" i="2"/>
  <c r="J490" i="2"/>
  <c r="T490" i="2" l="1"/>
  <c r="S490" i="2"/>
  <c r="Q490" i="2"/>
  <c r="P490" i="2"/>
  <c r="R490" i="2"/>
  <c r="X488" i="2"/>
  <c r="Y488" i="2"/>
  <c r="V489" i="2"/>
  <c r="K491" i="2"/>
  <c r="N491" i="2"/>
  <c r="L491" i="2"/>
  <c r="M491" i="2"/>
  <c r="J491" i="2"/>
  <c r="S491" i="2" l="1"/>
  <c r="T491" i="2"/>
  <c r="Q491" i="2"/>
  <c r="P491" i="2"/>
  <c r="R491" i="2"/>
  <c r="V490" i="2"/>
  <c r="X489" i="2"/>
  <c r="Y489" i="2"/>
  <c r="M492" i="2"/>
  <c r="N492" i="2"/>
  <c r="L492" i="2"/>
  <c r="K492" i="2"/>
  <c r="J492" i="2"/>
  <c r="T492" i="2" l="1"/>
  <c r="S492" i="2"/>
  <c r="Q492" i="2"/>
  <c r="P492" i="2"/>
  <c r="R492" i="2"/>
  <c r="Y490" i="2"/>
  <c r="X490" i="2"/>
  <c r="V491" i="2"/>
  <c r="N493" i="2"/>
  <c r="L493" i="2"/>
  <c r="M493" i="2"/>
  <c r="K493" i="2"/>
  <c r="J493" i="2"/>
  <c r="S493" i="2" l="1"/>
  <c r="T493" i="2"/>
  <c r="Q493" i="2"/>
  <c r="P493" i="2"/>
  <c r="R493" i="2"/>
  <c r="Y491" i="2"/>
  <c r="X491" i="2"/>
  <c r="V492" i="2"/>
  <c r="K494" i="2"/>
  <c r="L494" i="2"/>
  <c r="N494" i="2"/>
  <c r="M494" i="2"/>
  <c r="J494" i="2"/>
  <c r="S494" i="2" l="1"/>
  <c r="T494" i="2"/>
  <c r="Q494" i="2"/>
  <c r="P494" i="2"/>
  <c r="R494" i="2"/>
  <c r="X492" i="2"/>
  <c r="Y492" i="2"/>
  <c r="V493" i="2"/>
  <c r="K495" i="2"/>
  <c r="M495" i="2"/>
  <c r="N495" i="2"/>
  <c r="L495" i="2"/>
  <c r="J495" i="2"/>
  <c r="T495" i="2" l="1"/>
  <c r="S495" i="2"/>
  <c r="Q495" i="2"/>
  <c r="P495" i="2"/>
  <c r="R495" i="2"/>
  <c r="V494" i="2"/>
  <c r="Y494" i="2" s="1"/>
  <c r="X493" i="2"/>
  <c r="Y493" i="2"/>
  <c r="K496" i="2"/>
  <c r="M496" i="2"/>
  <c r="L496" i="2"/>
  <c r="N496" i="2"/>
  <c r="J496" i="2"/>
  <c r="T496" i="2" l="1"/>
  <c r="S496" i="2"/>
  <c r="Q496" i="2"/>
  <c r="P496" i="2"/>
  <c r="R496" i="2"/>
  <c r="X494" i="2"/>
  <c r="V495" i="2"/>
  <c r="N497" i="2"/>
  <c r="M497" i="2"/>
  <c r="K497" i="2"/>
  <c r="L497" i="2"/>
  <c r="J497" i="2"/>
  <c r="S497" i="2" l="1"/>
  <c r="T497" i="2"/>
  <c r="Q497" i="2"/>
  <c r="P497" i="2"/>
  <c r="R497" i="2"/>
  <c r="X495" i="2"/>
  <c r="Y495" i="2"/>
  <c r="V496" i="2"/>
  <c r="M498" i="2"/>
  <c r="N498" i="2"/>
  <c r="L498" i="2"/>
  <c r="K498" i="2"/>
  <c r="J498" i="2"/>
  <c r="T498" i="2" l="1"/>
  <c r="S498" i="2"/>
  <c r="Q498" i="2"/>
  <c r="P498" i="2"/>
  <c r="R498" i="2"/>
  <c r="X496" i="2"/>
  <c r="Y496" i="2"/>
  <c r="V497" i="2"/>
  <c r="N499" i="2"/>
  <c r="K499" i="2"/>
  <c r="M499" i="2"/>
  <c r="L499" i="2"/>
  <c r="J499" i="2"/>
  <c r="S499" i="2" l="1"/>
  <c r="T499" i="2"/>
  <c r="Q499" i="2"/>
  <c r="P499" i="2"/>
  <c r="R499" i="2"/>
  <c r="V498" i="2"/>
  <c r="Y498" i="2" s="1"/>
  <c r="X497" i="2"/>
  <c r="Y497" i="2"/>
  <c r="L500" i="2"/>
  <c r="M500" i="2"/>
  <c r="K500" i="2"/>
  <c r="N500" i="2"/>
  <c r="J500" i="2"/>
  <c r="T500" i="2" l="1"/>
  <c r="S500" i="2"/>
  <c r="Q500" i="2"/>
  <c r="P500" i="2"/>
  <c r="R500" i="2"/>
  <c r="X498" i="2"/>
  <c r="V499" i="2"/>
  <c r="K501" i="2"/>
  <c r="M501" i="2"/>
  <c r="N501" i="2"/>
  <c r="L501" i="2"/>
  <c r="J501" i="2"/>
  <c r="T501" i="2" l="1"/>
  <c r="S501" i="2"/>
  <c r="Q501" i="2"/>
  <c r="P501" i="2"/>
  <c r="R501" i="2"/>
  <c r="V500" i="2"/>
  <c r="Y499" i="2"/>
  <c r="X499" i="2"/>
  <c r="L502" i="2"/>
  <c r="K502" i="2"/>
  <c r="N502" i="2"/>
  <c r="M502" i="2"/>
  <c r="J502" i="2"/>
  <c r="S502" i="2" l="1"/>
  <c r="T502" i="2"/>
  <c r="Q502" i="2"/>
  <c r="P502" i="2"/>
  <c r="R502" i="2"/>
  <c r="Y500" i="2"/>
  <c r="X500" i="2"/>
  <c r="V501" i="2"/>
  <c r="N503" i="2"/>
  <c r="K503" i="2"/>
  <c r="M503" i="2"/>
  <c r="L503" i="2"/>
  <c r="J503" i="2"/>
  <c r="S503" i="2" l="1"/>
  <c r="T503" i="2"/>
  <c r="Q503" i="2"/>
  <c r="P503" i="2"/>
  <c r="R503" i="2"/>
  <c r="X501" i="2"/>
  <c r="Y501" i="2"/>
  <c r="V502" i="2"/>
  <c r="N504" i="2"/>
  <c r="M504" i="2"/>
  <c r="L504" i="2"/>
  <c r="K504" i="2"/>
  <c r="J504" i="2"/>
  <c r="S504" i="2" l="1"/>
  <c r="T504" i="2"/>
  <c r="Q504" i="2"/>
  <c r="P504" i="2"/>
  <c r="R504" i="2"/>
  <c r="V503" i="2"/>
  <c r="Y503" i="2" s="1"/>
  <c r="Y502" i="2"/>
  <c r="X502" i="2"/>
  <c r="L505" i="2"/>
  <c r="N505" i="2"/>
  <c r="K505" i="2"/>
  <c r="M505" i="2"/>
  <c r="J505" i="2"/>
  <c r="S505" i="2" l="1"/>
  <c r="T505" i="2"/>
  <c r="Q505" i="2"/>
  <c r="P505" i="2"/>
  <c r="R505" i="2"/>
  <c r="X503" i="2"/>
  <c r="V504" i="2"/>
  <c r="M506" i="2"/>
  <c r="L506" i="2"/>
  <c r="N506" i="2"/>
  <c r="K506" i="2"/>
  <c r="J506" i="2"/>
  <c r="T506" i="2" l="1"/>
  <c r="S506" i="2"/>
  <c r="Q506" i="2"/>
  <c r="P506" i="2"/>
  <c r="R506" i="2"/>
  <c r="X504" i="2"/>
  <c r="Y504" i="2"/>
  <c r="V505" i="2"/>
  <c r="L507" i="2"/>
  <c r="K507" i="2"/>
  <c r="N507" i="2"/>
  <c r="M507" i="2"/>
  <c r="J507" i="2"/>
  <c r="S507" i="2" l="1"/>
  <c r="T507" i="2"/>
  <c r="Q507" i="2"/>
  <c r="P507" i="2"/>
  <c r="R507" i="2"/>
  <c r="V506" i="2"/>
  <c r="X506" i="2" s="1"/>
  <c r="X505" i="2"/>
  <c r="Y505" i="2"/>
  <c r="M508" i="2"/>
  <c r="N508" i="2"/>
  <c r="K508" i="2"/>
  <c r="L508" i="2"/>
  <c r="J508" i="2"/>
  <c r="T508" i="2" l="1"/>
  <c r="S508" i="2"/>
  <c r="Q508" i="2"/>
  <c r="P508" i="2"/>
  <c r="R508" i="2"/>
  <c r="Y506" i="2"/>
  <c r="V507" i="2"/>
  <c r="M509" i="2"/>
  <c r="N509" i="2"/>
  <c r="K509" i="2"/>
  <c r="L509" i="2"/>
  <c r="J509" i="2"/>
  <c r="T509" i="2" l="1"/>
  <c r="S509" i="2"/>
  <c r="Q509" i="2"/>
  <c r="P509" i="2"/>
  <c r="R509" i="2"/>
  <c r="V508" i="2"/>
  <c r="Y507" i="2"/>
  <c r="X507" i="2"/>
  <c r="N510" i="2"/>
  <c r="L510" i="2"/>
  <c r="K510" i="2"/>
  <c r="M510" i="2"/>
  <c r="J510" i="2"/>
  <c r="S510" i="2" l="1"/>
  <c r="T510" i="2"/>
  <c r="Q510" i="2"/>
  <c r="P510" i="2"/>
  <c r="R510" i="2"/>
  <c r="X508" i="2"/>
  <c r="Y508" i="2"/>
  <c r="V509" i="2"/>
  <c r="M511" i="2"/>
  <c r="N511" i="2"/>
  <c r="K511" i="2"/>
  <c r="L511" i="2"/>
  <c r="J511" i="2"/>
  <c r="T511" i="2" l="1"/>
  <c r="S511" i="2"/>
  <c r="Q511" i="2"/>
  <c r="P511" i="2"/>
  <c r="R511" i="2"/>
  <c r="X509" i="2"/>
  <c r="Y509" i="2"/>
  <c r="V510" i="2"/>
  <c r="K512" i="2"/>
  <c r="N512" i="2"/>
  <c r="M512" i="2"/>
  <c r="L512" i="2"/>
  <c r="J512" i="2"/>
  <c r="S512" i="2" l="1"/>
  <c r="T512" i="2"/>
  <c r="Q512" i="2"/>
  <c r="P512" i="2"/>
  <c r="R512" i="2"/>
  <c r="V511" i="2"/>
  <c r="Y511" i="2" s="1"/>
  <c r="X510" i="2"/>
  <c r="Y510" i="2"/>
  <c r="N513" i="2"/>
  <c r="M513" i="2"/>
  <c r="K513" i="2"/>
  <c r="L513" i="2"/>
  <c r="J513" i="2"/>
  <c r="S513" i="2" l="1"/>
  <c r="T513" i="2"/>
  <c r="Q513" i="2"/>
  <c r="P513" i="2"/>
  <c r="R513" i="2"/>
  <c r="X511" i="2"/>
  <c r="V512" i="2"/>
  <c r="L514" i="2"/>
  <c r="K514" i="2"/>
  <c r="N514" i="2"/>
  <c r="M514" i="2"/>
  <c r="J514" i="2"/>
  <c r="S514" i="2" l="1"/>
  <c r="T514" i="2"/>
  <c r="Q514" i="2"/>
  <c r="P514" i="2"/>
  <c r="R514" i="2"/>
  <c r="Y512" i="2"/>
  <c r="X512" i="2"/>
  <c r="V513" i="2"/>
  <c r="M515" i="2"/>
  <c r="N515" i="2"/>
  <c r="K515" i="2"/>
  <c r="L515" i="2"/>
  <c r="J515" i="2"/>
  <c r="T515" i="2" l="1"/>
  <c r="S515" i="2"/>
  <c r="Q515" i="2"/>
  <c r="P515" i="2"/>
  <c r="R515" i="2"/>
  <c r="V514" i="2"/>
  <c r="X514" i="2" s="1"/>
  <c r="X513" i="2"/>
  <c r="Y513" i="2"/>
  <c r="K516" i="2"/>
  <c r="M516" i="2"/>
  <c r="N516" i="2"/>
  <c r="L516" i="2"/>
  <c r="J516" i="2"/>
  <c r="T516" i="2" l="1"/>
  <c r="S516" i="2"/>
  <c r="Q516" i="2"/>
  <c r="P516" i="2"/>
  <c r="R516" i="2"/>
  <c r="V515" i="2"/>
  <c r="Y515" i="2" s="1"/>
  <c r="Y514" i="2"/>
  <c r="K517" i="2"/>
  <c r="M517" i="2"/>
  <c r="L517" i="2"/>
  <c r="N517" i="2"/>
  <c r="J517" i="2"/>
  <c r="T517" i="2" l="1"/>
  <c r="S517" i="2"/>
  <c r="Q517" i="2"/>
  <c r="P517" i="2"/>
  <c r="R517" i="2"/>
  <c r="X515" i="2"/>
  <c r="V516" i="2"/>
  <c r="M518" i="2"/>
  <c r="L518" i="2"/>
  <c r="N518" i="2"/>
  <c r="K518" i="2"/>
  <c r="J518" i="2"/>
  <c r="T518" i="2" l="1"/>
  <c r="S518" i="2"/>
  <c r="Q518" i="2"/>
  <c r="P518" i="2"/>
  <c r="R518" i="2"/>
  <c r="V517" i="2"/>
  <c r="X516" i="2"/>
  <c r="Y516" i="2"/>
  <c r="L519" i="2"/>
  <c r="K519" i="2"/>
  <c r="M519" i="2"/>
  <c r="N519" i="2"/>
  <c r="J519" i="2"/>
  <c r="T519" i="2" l="1"/>
  <c r="S519" i="2"/>
  <c r="Q519" i="2"/>
  <c r="P519" i="2"/>
  <c r="R519" i="2"/>
  <c r="X517" i="2"/>
  <c r="Y517" i="2"/>
  <c r="V518" i="2"/>
  <c r="N520" i="2"/>
  <c r="M520" i="2"/>
  <c r="K520" i="2"/>
  <c r="L520" i="2"/>
  <c r="J520" i="2"/>
  <c r="S520" i="2" l="1"/>
  <c r="T520" i="2"/>
  <c r="Q520" i="2"/>
  <c r="P520" i="2"/>
  <c r="R520" i="2"/>
  <c r="X518" i="2"/>
  <c r="Y518" i="2"/>
  <c r="V519" i="2"/>
  <c r="V520" i="2" l="1"/>
  <c r="Y520" i="2" s="1"/>
  <c r="Y519" i="2"/>
  <c r="X519" i="2"/>
  <c r="X520" i="2" l="1"/>
  <c r="E29" i="2" l="1"/>
  <c r="F29" i="2"/>
  <c r="G29" i="2"/>
  <c r="D29" i="2"/>
  <c r="C29" i="2" l="1"/>
  <c r="C30" i="2" s="1"/>
  <c r="E30" i="2" l="1"/>
  <c r="F30" i="2"/>
  <c r="G30" i="2"/>
  <c r="D30" i="2"/>
  <c r="Z39" i="2"/>
  <c r="AA532" i="2" l="1"/>
  <c r="AA526" i="2"/>
  <c r="AA523" i="2"/>
  <c r="AA524" i="2"/>
  <c r="AA522" i="2"/>
  <c r="AA529" i="2"/>
  <c r="AA528" i="2"/>
  <c r="AA530" i="2"/>
  <c r="AA531" i="2"/>
  <c r="AA525" i="2"/>
  <c r="AA527" i="2"/>
  <c r="AA521" i="2"/>
  <c r="AA49" i="2"/>
  <c r="AA91" i="2"/>
  <c r="AA55" i="2"/>
  <c r="AA97" i="2"/>
  <c r="AA98" i="2"/>
  <c r="AA69" i="2"/>
  <c r="AA66" i="2"/>
  <c r="AA105" i="2"/>
  <c r="AA94" i="2"/>
  <c r="AA85" i="2"/>
  <c r="AA71" i="2"/>
  <c r="AA64" i="2"/>
  <c r="AA48" i="2"/>
  <c r="AA114" i="2"/>
  <c r="AA104" i="2"/>
  <c r="AA96" i="2"/>
  <c r="AA74" i="2"/>
  <c r="AA65" i="2"/>
  <c r="AA50" i="2"/>
  <c r="AA93" i="2"/>
  <c r="AA80" i="2"/>
  <c r="AA112" i="2"/>
  <c r="AA79" i="2"/>
  <c r="AA113" i="2"/>
  <c r="AA81" i="2"/>
  <c r="AA116" i="2"/>
  <c r="AA115" i="2"/>
  <c r="AA42" i="2"/>
  <c r="AA111" i="2"/>
  <c r="AA62" i="2"/>
  <c r="AA63" i="2"/>
  <c r="AA47" i="2"/>
  <c r="AA109" i="2"/>
  <c r="AA70" i="2"/>
  <c r="AA75" i="2"/>
  <c r="AA56" i="2"/>
  <c r="AA40" i="2"/>
  <c r="AA87" i="2"/>
  <c r="AA76" i="2"/>
  <c r="AA118" i="2"/>
  <c r="AA120" i="2"/>
  <c r="AA53" i="2"/>
  <c r="AA44" i="2"/>
  <c r="AA39" i="2"/>
  <c r="AA51" i="2"/>
  <c r="AA52" i="2"/>
  <c r="AA103" i="2"/>
  <c r="AA102" i="2"/>
  <c r="AA88" i="2"/>
  <c r="AA67" i="2"/>
  <c r="AA60" i="2"/>
  <c r="AA73" i="2"/>
  <c r="AA46" i="2"/>
  <c r="AA99" i="2"/>
  <c r="AA78" i="2"/>
  <c r="AA107" i="2"/>
  <c r="AA43" i="2"/>
  <c r="AA92" i="2"/>
  <c r="AA106" i="2"/>
  <c r="AA68" i="2"/>
  <c r="AA57" i="2"/>
  <c r="AA84" i="2"/>
  <c r="AA100" i="2"/>
  <c r="AA90" i="2"/>
  <c r="AA61" i="2"/>
  <c r="AA72" i="2"/>
  <c r="AA89" i="2"/>
  <c r="AA110" i="2"/>
  <c r="AA117" i="2"/>
  <c r="AA119" i="2"/>
  <c r="AA82" i="2"/>
  <c r="AA108" i="2"/>
  <c r="AA59" i="2"/>
  <c r="AA95" i="2"/>
  <c r="AA83" i="2"/>
  <c r="AA54" i="2"/>
  <c r="AA86" i="2"/>
  <c r="AA58" i="2"/>
  <c r="AA45" i="2"/>
  <c r="AA77" i="2"/>
  <c r="AA41" i="2"/>
  <c r="AA101" i="2"/>
  <c r="AA121" i="2"/>
  <c r="AA122" i="2"/>
  <c r="AA123" i="2"/>
  <c r="AA124" i="2"/>
  <c r="AA126" i="2"/>
  <c r="AA125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50" i="2"/>
  <c r="AA149" i="2"/>
  <c r="AA151" i="2"/>
  <c r="AA152" i="2"/>
  <c r="AA153" i="2"/>
  <c r="AA154" i="2"/>
  <c r="AA156" i="2"/>
  <c r="AA155" i="2"/>
  <c r="AA157" i="2"/>
  <c r="AA158" i="2"/>
  <c r="AA160" i="2"/>
  <c r="AA159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6" i="2"/>
  <c r="AA175" i="2"/>
  <c r="AA177" i="2"/>
  <c r="AA178" i="2"/>
  <c r="AA179" i="2"/>
  <c r="AA180" i="2"/>
  <c r="AA181" i="2"/>
  <c r="AA183" i="2"/>
  <c r="AA182" i="2"/>
  <c r="AA184" i="2"/>
  <c r="AA185" i="2"/>
  <c r="AA186" i="2"/>
  <c r="AA187" i="2"/>
  <c r="AA189" i="2"/>
  <c r="AA188" i="2"/>
  <c r="AA190" i="2"/>
  <c r="AA191" i="2"/>
  <c r="AA192" i="2"/>
  <c r="AA194" i="2"/>
  <c r="AA193" i="2"/>
  <c r="AA195" i="2"/>
  <c r="AA196" i="2"/>
  <c r="AA197" i="2"/>
  <c r="AA198" i="2"/>
  <c r="AA200" i="2"/>
  <c r="AA199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4" i="2"/>
  <c r="AA223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6" i="2"/>
  <c r="AA245" i="2"/>
  <c r="AA247" i="2"/>
  <c r="AA248" i="2"/>
  <c r="AA250" i="2"/>
  <c r="AA249" i="2"/>
  <c r="AA251" i="2"/>
  <c r="AA252" i="2"/>
  <c r="AA253" i="2"/>
  <c r="AA254" i="2"/>
  <c r="AA255" i="2"/>
  <c r="AA256" i="2"/>
  <c r="AA257" i="2"/>
  <c r="AA258" i="2"/>
  <c r="AA259" i="2"/>
  <c r="AA261" i="2"/>
  <c r="AA260" i="2"/>
  <c r="AA262" i="2"/>
  <c r="AA263" i="2"/>
  <c r="AA264" i="2"/>
  <c r="AA265" i="2"/>
  <c r="AA267" i="2"/>
  <c r="AA266" i="2"/>
  <c r="AA268" i="2"/>
  <c r="AA269" i="2"/>
  <c r="AA270" i="2"/>
  <c r="AA271" i="2"/>
  <c r="AA272" i="2"/>
  <c r="AA273" i="2"/>
  <c r="AA274" i="2"/>
  <c r="AA275" i="2"/>
  <c r="AA276" i="2"/>
  <c r="AA278" i="2"/>
  <c r="AA277" i="2"/>
  <c r="AA279" i="2"/>
  <c r="AA280" i="2"/>
  <c r="AA281" i="2"/>
  <c r="AA282" i="2"/>
  <c r="AA283" i="2"/>
  <c r="AA285" i="2"/>
  <c r="AA284" i="2"/>
  <c r="AA286" i="2"/>
  <c r="AA288" i="2"/>
  <c r="AA287" i="2"/>
  <c r="AA289" i="2"/>
  <c r="AA290" i="2"/>
  <c r="AA291" i="2"/>
  <c r="AA292" i="2"/>
  <c r="AA293" i="2"/>
  <c r="AA294" i="2"/>
  <c r="AA295" i="2"/>
  <c r="AA296" i="2"/>
  <c r="AA297" i="2"/>
  <c r="AA298" i="2"/>
  <c r="AA299" i="2"/>
  <c r="AA301" i="2"/>
  <c r="AA300" i="2"/>
  <c r="AA303" i="2"/>
  <c r="AA302" i="2"/>
  <c r="AA305" i="2"/>
  <c r="AA304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20" i="2"/>
  <c r="AA319" i="2"/>
  <c r="AA321" i="2"/>
  <c r="AA322" i="2"/>
  <c r="AA323" i="2"/>
  <c r="AA324" i="2"/>
  <c r="AA326" i="2"/>
  <c r="AA325" i="2"/>
  <c r="AA327" i="2"/>
  <c r="AA328" i="2"/>
  <c r="AA329" i="2"/>
  <c r="AA331" i="2"/>
  <c r="AA330" i="2"/>
  <c r="AA332" i="2"/>
  <c r="AA333" i="2"/>
  <c r="AA334" i="2"/>
  <c r="AA335" i="2"/>
  <c r="AA336" i="2"/>
  <c r="AA337" i="2"/>
  <c r="AA338" i="2"/>
  <c r="AA339" i="2"/>
  <c r="AA340" i="2"/>
  <c r="AA342" i="2"/>
  <c r="AA341" i="2"/>
  <c r="AA343" i="2"/>
  <c r="AA344" i="2"/>
  <c r="AA346" i="2"/>
  <c r="AA345" i="2"/>
  <c r="AA347" i="2"/>
  <c r="AA349" i="2"/>
  <c r="AA348" i="2"/>
  <c r="AA350" i="2"/>
  <c r="AA352" i="2"/>
  <c r="AA351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2" i="2"/>
  <c r="AA371" i="2"/>
  <c r="AA373" i="2"/>
  <c r="AA374" i="2"/>
  <c r="AA375" i="2"/>
  <c r="AA376" i="2"/>
  <c r="AA377" i="2"/>
  <c r="AA378" i="2"/>
  <c r="AA379" i="2"/>
  <c r="AA380" i="2"/>
  <c r="AA381" i="2"/>
  <c r="AA382" i="2"/>
  <c r="AA384" i="2"/>
  <c r="AA383" i="2"/>
  <c r="AA385" i="2"/>
  <c r="AA386" i="2"/>
  <c r="AA387" i="2"/>
  <c r="AA388" i="2"/>
  <c r="AA389" i="2"/>
  <c r="AA390" i="2"/>
  <c r="AA391" i="2"/>
  <c r="AA392" i="2"/>
  <c r="AA393" i="2"/>
  <c r="AA395" i="2"/>
  <c r="AA394" i="2"/>
  <c r="AA396" i="2"/>
  <c r="AA397" i="2"/>
  <c r="AA398" i="2"/>
  <c r="AA399" i="2"/>
  <c r="AA400" i="2"/>
  <c r="AA401" i="2"/>
  <c r="AA402" i="2"/>
  <c r="AA403" i="2"/>
  <c r="AA404" i="2"/>
  <c r="AA405" i="2"/>
  <c r="AA407" i="2"/>
  <c r="AA406" i="2"/>
  <c r="AA408" i="2"/>
  <c r="AA409" i="2"/>
  <c r="AA410" i="2"/>
  <c r="AA411" i="2"/>
  <c r="AA412" i="2"/>
  <c r="AA413" i="2"/>
  <c r="AA414" i="2"/>
  <c r="AA416" i="2"/>
  <c r="AA415" i="2"/>
  <c r="AA417" i="2"/>
  <c r="AA419" i="2"/>
  <c r="AA418" i="2"/>
  <c r="AA420" i="2"/>
  <c r="AA421" i="2"/>
  <c r="AA422" i="2"/>
  <c r="AA424" i="2"/>
  <c r="AA423" i="2"/>
  <c r="AA425" i="2"/>
  <c r="AA426" i="2"/>
  <c r="AA427" i="2"/>
  <c r="AA428" i="2"/>
  <c r="AA429" i="2"/>
  <c r="AA430" i="2"/>
  <c r="AA432" i="2"/>
  <c r="AA431" i="2"/>
  <c r="AA433" i="2"/>
  <c r="AA435" i="2"/>
  <c r="AA434" i="2"/>
  <c r="AA437" i="2"/>
  <c r="AA436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1" i="2"/>
  <c r="AA450" i="2"/>
  <c r="AA452" i="2"/>
  <c r="AA453" i="2"/>
  <c r="AA454" i="2"/>
  <c r="AA455" i="2"/>
  <c r="AA456" i="2"/>
  <c r="AA457" i="2"/>
  <c r="AA458" i="2"/>
  <c r="AA459" i="2"/>
  <c r="AA460" i="2"/>
  <c r="AA462" i="2"/>
  <c r="AA461" i="2"/>
  <c r="AA463" i="2"/>
  <c r="AA465" i="2"/>
  <c r="AA464" i="2"/>
  <c r="AA466" i="2"/>
  <c r="AA467" i="2"/>
  <c r="AA469" i="2"/>
  <c r="AA468" i="2"/>
  <c r="AA470" i="2"/>
  <c r="AA471" i="2"/>
  <c r="AA472" i="2"/>
  <c r="AA473" i="2"/>
  <c r="AA475" i="2"/>
  <c r="AA474" i="2"/>
  <c r="AA476" i="2"/>
  <c r="AA477" i="2"/>
  <c r="AA478" i="2"/>
  <c r="AA479" i="2"/>
  <c r="AA480" i="2"/>
  <c r="AA482" i="2"/>
  <c r="AA481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8" i="2"/>
  <c r="AA497" i="2"/>
  <c r="AA499" i="2"/>
  <c r="AA500" i="2"/>
  <c r="AA501" i="2"/>
  <c r="AA503" i="2"/>
  <c r="AA502" i="2"/>
  <c r="AA504" i="2"/>
  <c r="AA505" i="2"/>
  <c r="AA506" i="2"/>
  <c r="AA507" i="2"/>
  <c r="AA508" i="2"/>
  <c r="AA509" i="2"/>
  <c r="AA511" i="2"/>
  <c r="AA510" i="2"/>
  <c r="AA512" i="2"/>
  <c r="AA513" i="2"/>
  <c r="AA514" i="2"/>
  <c r="AA515" i="2"/>
  <c r="AA516" i="2"/>
  <c r="AA517" i="2"/>
  <c r="AA518" i="2"/>
  <c r="AA520" i="2"/>
  <c r="AA519" i="2"/>
  <c r="C33" i="2" l="1"/>
</calcChain>
</file>

<file path=xl/sharedStrings.xml><?xml version="1.0" encoding="utf-8"?>
<sst xmlns="http://schemas.openxmlformats.org/spreadsheetml/2006/main" count="35" uniqueCount="35">
  <si>
    <t>λ</t>
  </si>
  <si>
    <t>EXPERIMENTAL</t>
  </si>
  <si>
    <t>time (t)</t>
  </si>
  <si>
    <t>I(t)</t>
  </si>
  <si>
    <t>z1</t>
  </si>
  <si>
    <t>z2</t>
  </si>
  <si>
    <t>z3</t>
  </si>
  <si>
    <t>z4</t>
  </si>
  <si>
    <t>z5</t>
  </si>
  <si>
    <t>W(e^z1)</t>
  </si>
  <si>
    <t>W(e^z2)</t>
  </si>
  <si>
    <t>W(e^z3)</t>
  </si>
  <si>
    <t>W(e^z4)</t>
  </si>
  <si>
    <t>W(e^z5)</t>
  </si>
  <si>
    <t>SUMS</t>
  </si>
  <si>
    <t>Least squares</t>
  </si>
  <si>
    <t>FOM(%)</t>
  </si>
  <si>
    <t>I1</t>
  </si>
  <si>
    <t>I2</t>
  </si>
  <si>
    <t>I3</t>
  </si>
  <si>
    <t>I4</t>
  </si>
  <si>
    <t>I5</t>
  </si>
  <si>
    <t>Itot</t>
  </si>
  <si>
    <t>Theoretical</t>
  </si>
  <si>
    <t>Afit</t>
  </si>
  <si>
    <t>FOM</t>
  </si>
  <si>
    <t>(EXPER. - THEOR.)^2</t>
  </si>
  <si>
    <t>ABS(EXPER. - THEOR)</t>
  </si>
  <si>
    <t>factor</t>
  </si>
  <si>
    <t>Components</t>
  </si>
  <si>
    <t>τ</t>
  </si>
  <si>
    <t>Contribution %</t>
  </si>
  <si>
    <t>σ</t>
  </si>
  <si>
    <t>n0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</si>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</sst>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4"/>
      <name val="Times New Roman"/>
      <family val="1"/>
      <charset val="161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  <xf numFmtId="0" fontId="1" fillId="0" borderId="0"/>
  </cellStyleXfs>
  <cellXfs count="27">
    <xf numFmtId="0" fontId="0" fillId="0" borderId="0" xfId="0"/>
    <xf numFmtId="0" fontId="0" fillId="35" borderId="0" xfId="0" applyFill="1" applyAlignment="1">
      <alignment horizontal="center"/>
    </xf>
    <xf numFmtId="0" fontId="18" fillId="34" borderId="0" xfId="0" applyFont="1" applyFill="1" applyAlignment="1">
      <alignment horizontal="center"/>
    </xf>
    <xf numFmtId="0" fontId="0" fillId="38" borderId="0" xfId="0" applyFill="1"/>
    <xf numFmtId="0" fontId="16" fillId="37" borderId="0" xfId="0" applyFont="1" applyFill="1" applyAlignment="1">
      <alignment horizontal="center"/>
    </xf>
    <xf numFmtId="0" fontId="16" fillId="0" borderId="10" xfId="0" applyFont="1" applyFill="1" applyBorder="1" applyAlignment="1"/>
    <xf numFmtId="0" fontId="14" fillId="35" borderId="0" xfId="0" applyFont="1" applyFill="1" applyAlignment="1">
      <alignment horizontal="center"/>
    </xf>
    <xf numFmtId="0" fontId="16" fillId="34" borderId="10" xfId="0" applyFont="1" applyFill="1" applyBorder="1" applyAlignment="1"/>
    <xf numFmtId="0" fontId="0" fillId="35" borderId="0" xfId="0" applyFill="1"/>
    <xf numFmtId="0" fontId="0" fillId="0" borderId="0" xfId="0"/>
    <xf numFmtId="0" fontId="16" fillId="36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6" fillId="3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/>
    <xf numFmtId="0" fontId="16" fillId="33" borderId="0" xfId="0" applyFont="1" applyFill="1" applyAlignment="1">
      <alignment horizontal="center"/>
    </xf>
    <xf numFmtId="0" fontId="0" fillId="38" borderId="0" xfId="0" applyFill="1"/>
    <xf numFmtId="0" fontId="0" fillId="0" borderId="0" xfId="0"/>
    <xf numFmtId="0" fontId="0" fillId="0" borderId="0" xfId="0"/>
    <xf numFmtId="0" fontId="16" fillId="3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0" fontId="18" fillId="0" borderId="0" xfId="0" applyFont="1"/>
    <xf numFmtId="0" fontId="18" fillId="0" borderId="0" xfId="0" applyFont="1" applyAlignment="1">
      <alignment horizontal="center"/>
    </xf>
    <xf numFmtId="0" fontId="18" fillId="35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80AEE85D-C399-474A-951D-0EC5A3C06178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  <cellStyle name="Κανονικό 7" xfId="42" xr:uid="{6A6E8B7A-2BA3-4CC1-A3F3-B9E03E74A7D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CW</a:t>
            </a:r>
            <a:r>
              <a:rPr lang="en-US" baseline="0"/>
              <a:t> </a:t>
            </a:r>
            <a:r>
              <a:rPr lang="en-US"/>
              <a:t>OSL </a:t>
            </a:r>
            <a:endParaRPr lang="el-G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32370694675005"/>
          <c:y val="9.52333147100589E-2"/>
          <c:w val="0.7125089565761501"/>
          <c:h val="0.76682558804651824"/>
        </c:manualLayout>
      </c:layout>
      <c:scatterChart>
        <c:scatterStyle val="lineMarker"/>
        <c:varyColors val="0"/>
        <c:ser>
          <c:idx val="0"/>
          <c:order val="0"/>
          <c:tx>
            <c:v>Experimental</c:v>
          </c:tx>
          <c:spPr>
            <a:ln w="28575">
              <a:noFill/>
            </a:ln>
          </c:spPr>
          <c:marker>
            <c:symbol val="diamond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'sheet 1'!$B$39:$B$788</c:f>
              <c:numCache>
                <c:formatCode>General</c:formatCode>
                <c:ptCount val="750"/>
                <c:pt idx="0">
                  <c:v>0</c:v>
                </c:pt>
                <c:pt idx="1">
                  <c:v>0.20000000000000284</c:v>
                </c:pt>
                <c:pt idx="2">
                  <c:v>0.5</c:v>
                </c:pt>
                <c:pt idx="3">
                  <c:v>0.80000000000000426</c:v>
                </c:pt>
                <c:pt idx="4">
                  <c:v>1.1000000000000014</c:v>
                </c:pt>
                <c:pt idx="5">
                  <c:v>1.3999999999999986</c:v>
                </c:pt>
                <c:pt idx="6">
                  <c:v>1.7000000000000028</c:v>
                </c:pt>
                <c:pt idx="7">
                  <c:v>2</c:v>
                </c:pt>
                <c:pt idx="8">
                  <c:v>2.2000000000000028</c:v>
                </c:pt>
                <c:pt idx="9">
                  <c:v>2.5</c:v>
                </c:pt>
                <c:pt idx="10">
                  <c:v>2.8000000000000043</c:v>
                </c:pt>
                <c:pt idx="11">
                  <c:v>3.1000000000000014</c:v>
                </c:pt>
                <c:pt idx="12">
                  <c:v>3.3999999999999986</c:v>
                </c:pt>
                <c:pt idx="13">
                  <c:v>3.7000000000000028</c:v>
                </c:pt>
                <c:pt idx="14">
                  <c:v>4</c:v>
                </c:pt>
                <c:pt idx="15">
                  <c:v>4.2000000000000028</c:v>
                </c:pt>
                <c:pt idx="16">
                  <c:v>4.5</c:v>
                </c:pt>
                <c:pt idx="17">
                  <c:v>4.8000000000000043</c:v>
                </c:pt>
                <c:pt idx="18">
                  <c:v>5.1000000000000014</c:v>
                </c:pt>
                <c:pt idx="19">
                  <c:v>5.3999999999999986</c:v>
                </c:pt>
                <c:pt idx="20">
                  <c:v>5.6999999999999957</c:v>
                </c:pt>
                <c:pt idx="21">
                  <c:v>6.0000000000000071</c:v>
                </c:pt>
                <c:pt idx="22">
                  <c:v>6.1999999999999957</c:v>
                </c:pt>
                <c:pt idx="23">
                  <c:v>6.5000000000000071</c:v>
                </c:pt>
                <c:pt idx="24">
                  <c:v>6.8000000000000043</c:v>
                </c:pt>
                <c:pt idx="25">
                  <c:v>7.1000000000000014</c:v>
                </c:pt>
                <c:pt idx="26">
                  <c:v>7.3999999999999986</c:v>
                </c:pt>
                <c:pt idx="27">
                  <c:v>7.6999999999999957</c:v>
                </c:pt>
                <c:pt idx="28">
                  <c:v>8.0000000000000071</c:v>
                </c:pt>
                <c:pt idx="29">
                  <c:v>8.1999999999999957</c:v>
                </c:pt>
                <c:pt idx="30">
                  <c:v>8.5000000000000071</c:v>
                </c:pt>
                <c:pt idx="31">
                  <c:v>8.8000000000000043</c:v>
                </c:pt>
                <c:pt idx="32">
                  <c:v>9.1000000000000014</c:v>
                </c:pt>
                <c:pt idx="33">
                  <c:v>9.3999999999999986</c:v>
                </c:pt>
                <c:pt idx="34">
                  <c:v>9.6999999999999957</c:v>
                </c:pt>
                <c:pt idx="35">
                  <c:v>10.000000000000007</c:v>
                </c:pt>
                <c:pt idx="36">
                  <c:v>10.199999999999996</c:v>
                </c:pt>
                <c:pt idx="37">
                  <c:v>10.500000000000007</c:v>
                </c:pt>
                <c:pt idx="38">
                  <c:v>10.800000000000004</c:v>
                </c:pt>
                <c:pt idx="39">
                  <c:v>11.100000000000001</c:v>
                </c:pt>
                <c:pt idx="40">
                  <c:v>11.399999999999999</c:v>
                </c:pt>
                <c:pt idx="41">
                  <c:v>11.699999999999996</c:v>
                </c:pt>
                <c:pt idx="42">
                  <c:v>12.000000000000007</c:v>
                </c:pt>
                <c:pt idx="43">
                  <c:v>12.199999999999996</c:v>
                </c:pt>
                <c:pt idx="44">
                  <c:v>12.500000000000007</c:v>
                </c:pt>
                <c:pt idx="45">
                  <c:v>12.800000000000004</c:v>
                </c:pt>
                <c:pt idx="46">
                  <c:v>13.100000000000001</c:v>
                </c:pt>
                <c:pt idx="47">
                  <c:v>13.399999999999999</c:v>
                </c:pt>
                <c:pt idx="48">
                  <c:v>13.699999999999996</c:v>
                </c:pt>
                <c:pt idx="49">
                  <c:v>14.000000000000007</c:v>
                </c:pt>
                <c:pt idx="50">
                  <c:v>14.199999999999996</c:v>
                </c:pt>
                <c:pt idx="51">
                  <c:v>14.500000000000007</c:v>
                </c:pt>
                <c:pt idx="52">
                  <c:v>14.800000000000004</c:v>
                </c:pt>
                <c:pt idx="53">
                  <c:v>15.100000000000001</c:v>
                </c:pt>
                <c:pt idx="54">
                  <c:v>15.399999999999999</c:v>
                </c:pt>
                <c:pt idx="55">
                  <c:v>15.699999999999996</c:v>
                </c:pt>
                <c:pt idx="56">
                  <c:v>16.000000000000007</c:v>
                </c:pt>
                <c:pt idx="57">
                  <c:v>16.199999999999996</c:v>
                </c:pt>
                <c:pt idx="58">
                  <c:v>16.500000000000007</c:v>
                </c:pt>
                <c:pt idx="59">
                  <c:v>16.800000000000004</c:v>
                </c:pt>
                <c:pt idx="60">
                  <c:v>17.100000000000001</c:v>
                </c:pt>
                <c:pt idx="61">
                  <c:v>17.399999999999999</c:v>
                </c:pt>
                <c:pt idx="62">
                  <c:v>17.699999999999996</c:v>
                </c:pt>
                <c:pt idx="63">
                  <c:v>18.000000000000007</c:v>
                </c:pt>
                <c:pt idx="64">
                  <c:v>18.199999999999996</c:v>
                </c:pt>
                <c:pt idx="65">
                  <c:v>18.500000000000007</c:v>
                </c:pt>
                <c:pt idx="66">
                  <c:v>18.800000000000004</c:v>
                </c:pt>
                <c:pt idx="67">
                  <c:v>19.100000000000001</c:v>
                </c:pt>
                <c:pt idx="68">
                  <c:v>19.399999999999999</c:v>
                </c:pt>
                <c:pt idx="69">
                  <c:v>19.699999999999996</c:v>
                </c:pt>
                <c:pt idx="70">
                  <c:v>20.000000000000007</c:v>
                </c:pt>
                <c:pt idx="71">
                  <c:v>20.199999999999996</c:v>
                </c:pt>
                <c:pt idx="72">
                  <c:v>20.500000000000007</c:v>
                </c:pt>
                <c:pt idx="73">
                  <c:v>20.800000000000004</c:v>
                </c:pt>
                <c:pt idx="74">
                  <c:v>21.1</c:v>
                </c:pt>
                <c:pt idx="75">
                  <c:v>21.4</c:v>
                </c:pt>
                <c:pt idx="76">
                  <c:v>21.699999999999996</c:v>
                </c:pt>
                <c:pt idx="77">
                  <c:v>22.000000000000007</c:v>
                </c:pt>
                <c:pt idx="78">
                  <c:v>22.199999999999996</c:v>
                </c:pt>
                <c:pt idx="79">
                  <c:v>22.500000000000007</c:v>
                </c:pt>
                <c:pt idx="80">
                  <c:v>22.800000000000004</c:v>
                </c:pt>
                <c:pt idx="81">
                  <c:v>23.1</c:v>
                </c:pt>
                <c:pt idx="82">
                  <c:v>23.4</c:v>
                </c:pt>
                <c:pt idx="83">
                  <c:v>23.699999999999996</c:v>
                </c:pt>
                <c:pt idx="84">
                  <c:v>24.000000000000007</c:v>
                </c:pt>
                <c:pt idx="85">
                  <c:v>24.199999999999996</c:v>
                </c:pt>
                <c:pt idx="86">
                  <c:v>24.500000000000007</c:v>
                </c:pt>
                <c:pt idx="87">
                  <c:v>24.800000000000004</c:v>
                </c:pt>
                <c:pt idx="88">
                  <c:v>25.1</c:v>
                </c:pt>
                <c:pt idx="89">
                  <c:v>25.4</c:v>
                </c:pt>
                <c:pt idx="90">
                  <c:v>25.699999999999996</c:v>
                </c:pt>
                <c:pt idx="91">
                  <c:v>26.000000000000007</c:v>
                </c:pt>
                <c:pt idx="92">
                  <c:v>26.199999999999996</c:v>
                </c:pt>
                <c:pt idx="93">
                  <c:v>26.500000000000007</c:v>
                </c:pt>
                <c:pt idx="94">
                  <c:v>26.800000000000004</c:v>
                </c:pt>
                <c:pt idx="95">
                  <c:v>27.1</c:v>
                </c:pt>
                <c:pt idx="96">
                  <c:v>27.4</c:v>
                </c:pt>
                <c:pt idx="97">
                  <c:v>27.699999999999996</c:v>
                </c:pt>
                <c:pt idx="98">
                  <c:v>28.000000000000007</c:v>
                </c:pt>
                <c:pt idx="99">
                  <c:v>28.199999999999996</c:v>
                </c:pt>
                <c:pt idx="100">
                  <c:v>28.500000000000007</c:v>
                </c:pt>
                <c:pt idx="101">
                  <c:v>28.800000000000004</c:v>
                </c:pt>
                <c:pt idx="102">
                  <c:v>29.1</c:v>
                </c:pt>
                <c:pt idx="103">
                  <c:v>29.4</c:v>
                </c:pt>
                <c:pt idx="104">
                  <c:v>29.699999999999996</c:v>
                </c:pt>
                <c:pt idx="105">
                  <c:v>30.000000000000007</c:v>
                </c:pt>
                <c:pt idx="106">
                  <c:v>30.199999999999996</c:v>
                </c:pt>
                <c:pt idx="107">
                  <c:v>30.500000000000007</c:v>
                </c:pt>
                <c:pt idx="108">
                  <c:v>30.800000000000004</c:v>
                </c:pt>
                <c:pt idx="109">
                  <c:v>31.1</c:v>
                </c:pt>
                <c:pt idx="110">
                  <c:v>31.4</c:v>
                </c:pt>
                <c:pt idx="111">
                  <c:v>31.699999999999996</c:v>
                </c:pt>
                <c:pt idx="112">
                  <c:v>32.000000000000007</c:v>
                </c:pt>
                <c:pt idx="113">
                  <c:v>32.199999999999996</c:v>
                </c:pt>
                <c:pt idx="114">
                  <c:v>32.500000000000007</c:v>
                </c:pt>
                <c:pt idx="115">
                  <c:v>32.800000000000004</c:v>
                </c:pt>
                <c:pt idx="116">
                  <c:v>33.1</c:v>
                </c:pt>
                <c:pt idx="117">
                  <c:v>33.4</c:v>
                </c:pt>
                <c:pt idx="118">
                  <c:v>33.699999999999996</c:v>
                </c:pt>
                <c:pt idx="119">
                  <c:v>34.000000000000007</c:v>
                </c:pt>
                <c:pt idx="120">
                  <c:v>34.199999999999996</c:v>
                </c:pt>
                <c:pt idx="121">
                  <c:v>34.500000000000007</c:v>
                </c:pt>
                <c:pt idx="122">
                  <c:v>34.800000000000004</c:v>
                </c:pt>
                <c:pt idx="123">
                  <c:v>35.1</c:v>
                </c:pt>
                <c:pt idx="124">
                  <c:v>35.4</c:v>
                </c:pt>
                <c:pt idx="125">
                  <c:v>35.699999999999996</c:v>
                </c:pt>
                <c:pt idx="126">
                  <c:v>36.000000000000007</c:v>
                </c:pt>
                <c:pt idx="127">
                  <c:v>36.199999999999996</c:v>
                </c:pt>
                <c:pt idx="128">
                  <c:v>36.500000000000007</c:v>
                </c:pt>
                <c:pt idx="129">
                  <c:v>36.800000000000004</c:v>
                </c:pt>
                <c:pt idx="130">
                  <c:v>37.1</c:v>
                </c:pt>
                <c:pt idx="131">
                  <c:v>37.4</c:v>
                </c:pt>
                <c:pt idx="132">
                  <c:v>37.699999999999996</c:v>
                </c:pt>
                <c:pt idx="133">
                  <c:v>38.000000000000007</c:v>
                </c:pt>
                <c:pt idx="134">
                  <c:v>38.199999999999996</c:v>
                </c:pt>
                <c:pt idx="135">
                  <c:v>38.500000000000007</c:v>
                </c:pt>
                <c:pt idx="136">
                  <c:v>38.800000000000004</c:v>
                </c:pt>
                <c:pt idx="137">
                  <c:v>39.1</c:v>
                </c:pt>
                <c:pt idx="138">
                  <c:v>39.4</c:v>
                </c:pt>
                <c:pt idx="139">
                  <c:v>39.699999999999996</c:v>
                </c:pt>
                <c:pt idx="140">
                  <c:v>40.000000000000007</c:v>
                </c:pt>
                <c:pt idx="141">
                  <c:v>40.199999999999996</c:v>
                </c:pt>
                <c:pt idx="142">
                  <c:v>40.500000000000007</c:v>
                </c:pt>
                <c:pt idx="143">
                  <c:v>40.800000000000004</c:v>
                </c:pt>
                <c:pt idx="144">
                  <c:v>41.1</c:v>
                </c:pt>
                <c:pt idx="145">
                  <c:v>41.4</c:v>
                </c:pt>
                <c:pt idx="146">
                  <c:v>41.699999999999996</c:v>
                </c:pt>
                <c:pt idx="147">
                  <c:v>42.000000000000007</c:v>
                </c:pt>
                <c:pt idx="148">
                  <c:v>42.199999999999996</c:v>
                </c:pt>
                <c:pt idx="149">
                  <c:v>42.500000000000007</c:v>
                </c:pt>
                <c:pt idx="150">
                  <c:v>42.800000000000004</c:v>
                </c:pt>
                <c:pt idx="151">
                  <c:v>43.1</c:v>
                </c:pt>
                <c:pt idx="152">
                  <c:v>43.4</c:v>
                </c:pt>
                <c:pt idx="153">
                  <c:v>43.699999999999996</c:v>
                </c:pt>
                <c:pt idx="154">
                  <c:v>44.000000000000007</c:v>
                </c:pt>
                <c:pt idx="155">
                  <c:v>44.199999999999996</c:v>
                </c:pt>
                <c:pt idx="156">
                  <c:v>44.500000000000007</c:v>
                </c:pt>
                <c:pt idx="157">
                  <c:v>44.800000000000004</c:v>
                </c:pt>
                <c:pt idx="158">
                  <c:v>45.1</c:v>
                </c:pt>
                <c:pt idx="159">
                  <c:v>45.4</c:v>
                </c:pt>
                <c:pt idx="160">
                  <c:v>45.699999999999996</c:v>
                </c:pt>
                <c:pt idx="161">
                  <c:v>46.000000000000007</c:v>
                </c:pt>
                <c:pt idx="162">
                  <c:v>46.199999999999996</c:v>
                </c:pt>
                <c:pt idx="163">
                  <c:v>46.500000000000007</c:v>
                </c:pt>
                <c:pt idx="164">
                  <c:v>46.800000000000004</c:v>
                </c:pt>
                <c:pt idx="165">
                  <c:v>47.1</c:v>
                </c:pt>
                <c:pt idx="166">
                  <c:v>47.4</c:v>
                </c:pt>
                <c:pt idx="167">
                  <c:v>47.699999999999996</c:v>
                </c:pt>
                <c:pt idx="168">
                  <c:v>48.000000000000007</c:v>
                </c:pt>
                <c:pt idx="169">
                  <c:v>48.199999999999996</c:v>
                </c:pt>
                <c:pt idx="170">
                  <c:v>48.500000000000007</c:v>
                </c:pt>
                <c:pt idx="171">
                  <c:v>48.800000000000004</c:v>
                </c:pt>
                <c:pt idx="172">
                  <c:v>49.1</c:v>
                </c:pt>
                <c:pt idx="173">
                  <c:v>49.4</c:v>
                </c:pt>
                <c:pt idx="174">
                  <c:v>49.699999999999996</c:v>
                </c:pt>
                <c:pt idx="175">
                  <c:v>50.000000000000007</c:v>
                </c:pt>
                <c:pt idx="176">
                  <c:v>50.199999999999996</c:v>
                </c:pt>
                <c:pt idx="177">
                  <c:v>50.500000000000007</c:v>
                </c:pt>
                <c:pt idx="178">
                  <c:v>50.800000000000004</c:v>
                </c:pt>
                <c:pt idx="179">
                  <c:v>51.1</c:v>
                </c:pt>
                <c:pt idx="180">
                  <c:v>51.4</c:v>
                </c:pt>
                <c:pt idx="181">
                  <c:v>51.699999999999996</c:v>
                </c:pt>
                <c:pt idx="182">
                  <c:v>52.000000000000007</c:v>
                </c:pt>
                <c:pt idx="183">
                  <c:v>52.199999999999996</c:v>
                </c:pt>
                <c:pt idx="184">
                  <c:v>52.500000000000007</c:v>
                </c:pt>
                <c:pt idx="185">
                  <c:v>52.800000000000004</c:v>
                </c:pt>
                <c:pt idx="186">
                  <c:v>53.1</c:v>
                </c:pt>
                <c:pt idx="187">
                  <c:v>53.4</c:v>
                </c:pt>
                <c:pt idx="188">
                  <c:v>53.699999999999996</c:v>
                </c:pt>
                <c:pt idx="189">
                  <c:v>54.000000000000007</c:v>
                </c:pt>
                <c:pt idx="190">
                  <c:v>54.199999999999996</c:v>
                </c:pt>
                <c:pt idx="191">
                  <c:v>54.500000000000007</c:v>
                </c:pt>
                <c:pt idx="192">
                  <c:v>54.800000000000004</c:v>
                </c:pt>
                <c:pt idx="193">
                  <c:v>55.1</c:v>
                </c:pt>
                <c:pt idx="194">
                  <c:v>55.4</c:v>
                </c:pt>
                <c:pt idx="195">
                  <c:v>55.699999999999996</c:v>
                </c:pt>
                <c:pt idx="196">
                  <c:v>56.000000000000007</c:v>
                </c:pt>
                <c:pt idx="197">
                  <c:v>56.199999999999996</c:v>
                </c:pt>
                <c:pt idx="198">
                  <c:v>56.500000000000007</c:v>
                </c:pt>
                <c:pt idx="199">
                  <c:v>56.800000000000004</c:v>
                </c:pt>
                <c:pt idx="200">
                  <c:v>57.1</c:v>
                </c:pt>
                <c:pt idx="201">
                  <c:v>57.4</c:v>
                </c:pt>
                <c:pt idx="202">
                  <c:v>57.699999999999996</c:v>
                </c:pt>
                <c:pt idx="203">
                  <c:v>58.000000000000007</c:v>
                </c:pt>
                <c:pt idx="204">
                  <c:v>58.199999999999996</c:v>
                </c:pt>
                <c:pt idx="205">
                  <c:v>58.500000000000007</c:v>
                </c:pt>
                <c:pt idx="206">
                  <c:v>58.800000000000004</c:v>
                </c:pt>
                <c:pt idx="207">
                  <c:v>59.1</c:v>
                </c:pt>
                <c:pt idx="208">
                  <c:v>59.4</c:v>
                </c:pt>
                <c:pt idx="209">
                  <c:v>59.699999999999996</c:v>
                </c:pt>
                <c:pt idx="210">
                  <c:v>60.000000000000007</c:v>
                </c:pt>
                <c:pt idx="211">
                  <c:v>60.199999999999996</c:v>
                </c:pt>
                <c:pt idx="212">
                  <c:v>60.500000000000007</c:v>
                </c:pt>
                <c:pt idx="213">
                  <c:v>60.800000000000004</c:v>
                </c:pt>
                <c:pt idx="214">
                  <c:v>61.1</c:v>
                </c:pt>
                <c:pt idx="215">
                  <c:v>61.4</c:v>
                </c:pt>
                <c:pt idx="216">
                  <c:v>61.699999999999996</c:v>
                </c:pt>
                <c:pt idx="217">
                  <c:v>62.000000000000007</c:v>
                </c:pt>
                <c:pt idx="218">
                  <c:v>62.199999999999996</c:v>
                </c:pt>
                <c:pt idx="219">
                  <c:v>62.500000000000007</c:v>
                </c:pt>
                <c:pt idx="220">
                  <c:v>62.800000000000004</c:v>
                </c:pt>
                <c:pt idx="221">
                  <c:v>63.1</c:v>
                </c:pt>
                <c:pt idx="222">
                  <c:v>63.4</c:v>
                </c:pt>
                <c:pt idx="223">
                  <c:v>63.699999999999996</c:v>
                </c:pt>
                <c:pt idx="224">
                  <c:v>64</c:v>
                </c:pt>
                <c:pt idx="225">
                  <c:v>64.199999999999989</c:v>
                </c:pt>
                <c:pt idx="226">
                  <c:v>64.5</c:v>
                </c:pt>
                <c:pt idx="227">
                  <c:v>64.800000000000011</c:v>
                </c:pt>
                <c:pt idx="228">
                  <c:v>65.099999999999994</c:v>
                </c:pt>
                <c:pt idx="229">
                  <c:v>65.400000000000006</c:v>
                </c:pt>
                <c:pt idx="230">
                  <c:v>65.699999999999989</c:v>
                </c:pt>
                <c:pt idx="231">
                  <c:v>66</c:v>
                </c:pt>
                <c:pt idx="232">
                  <c:v>66.199999999999989</c:v>
                </c:pt>
                <c:pt idx="233">
                  <c:v>66.5</c:v>
                </c:pt>
                <c:pt idx="234">
                  <c:v>66.800000000000011</c:v>
                </c:pt>
                <c:pt idx="235">
                  <c:v>67.099999999999994</c:v>
                </c:pt>
                <c:pt idx="236">
                  <c:v>67.400000000000006</c:v>
                </c:pt>
                <c:pt idx="237">
                  <c:v>67.699999999999989</c:v>
                </c:pt>
                <c:pt idx="238">
                  <c:v>68</c:v>
                </c:pt>
                <c:pt idx="239">
                  <c:v>68.199999999999989</c:v>
                </c:pt>
                <c:pt idx="240">
                  <c:v>68.5</c:v>
                </c:pt>
                <c:pt idx="241">
                  <c:v>68.800000000000011</c:v>
                </c:pt>
                <c:pt idx="242">
                  <c:v>69.099999999999994</c:v>
                </c:pt>
                <c:pt idx="243">
                  <c:v>69.400000000000006</c:v>
                </c:pt>
                <c:pt idx="244">
                  <c:v>69.699999999999989</c:v>
                </c:pt>
                <c:pt idx="245">
                  <c:v>70</c:v>
                </c:pt>
                <c:pt idx="246">
                  <c:v>70.199999999999989</c:v>
                </c:pt>
                <c:pt idx="247">
                  <c:v>70.5</c:v>
                </c:pt>
                <c:pt idx="248">
                  <c:v>70.799999999999983</c:v>
                </c:pt>
                <c:pt idx="249">
                  <c:v>71.099999999999994</c:v>
                </c:pt>
                <c:pt idx="250">
                  <c:v>71.400000000000006</c:v>
                </c:pt>
                <c:pt idx="251">
                  <c:v>71.699999999999989</c:v>
                </c:pt>
                <c:pt idx="252">
                  <c:v>72</c:v>
                </c:pt>
                <c:pt idx="253">
                  <c:v>72.199999999999989</c:v>
                </c:pt>
                <c:pt idx="254">
                  <c:v>72.5</c:v>
                </c:pt>
                <c:pt idx="255">
                  <c:v>72.799999999999983</c:v>
                </c:pt>
                <c:pt idx="256">
                  <c:v>73.099999999999994</c:v>
                </c:pt>
                <c:pt idx="257">
                  <c:v>73.400000000000006</c:v>
                </c:pt>
                <c:pt idx="258">
                  <c:v>73.699999999999989</c:v>
                </c:pt>
                <c:pt idx="259">
                  <c:v>74</c:v>
                </c:pt>
                <c:pt idx="260">
                  <c:v>74.199999999999989</c:v>
                </c:pt>
                <c:pt idx="261">
                  <c:v>74.5</c:v>
                </c:pt>
                <c:pt idx="262">
                  <c:v>74.799999999999983</c:v>
                </c:pt>
                <c:pt idx="263">
                  <c:v>75.099999999999994</c:v>
                </c:pt>
                <c:pt idx="264">
                  <c:v>75.400000000000006</c:v>
                </c:pt>
                <c:pt idx="265">
                  <c:v>75.699999999999989</c:v>
                </c:pt>
                <c:pt idx="266">
                  <c:v>76</c:v>
                </c:pt>
                <c:pt idx="267">
                  <c:v>76.199999999999989</c:v>
                </c:pt>
                <c:pt idx="268">
                  <c:v>76.5</c:v>
                </c:pt>
                <c:pt idx="269">
                  <c:v>76.799999999999983</c:v>
                </c:pt>
                <c:pt idx="270">
                  <c:v>77.099999999999994</c:v>
                </c:pt>
                <c:pt idx="271">
                  <c:v>77.400000000000006</c:v>
                </c:pt>
                <c:pt idx="272">
                  <c:v>77.699999999999989</c:v>
                </c:pt>
                <c:pt idx="273">
                  <c:v>78</c:v>
                </c:pt>
                <c:pt idx="274">
                  <c:v>78.199999999999989</c:v>
                </c:pt>
                <c:pt idx="275">
                  <c:v>78.5</c:v>
                </c:pt>
                <c:pt idx="276">
                  <c:v>78.799999999999983</c:v>
                </c:pt>
                <c:pt idx="277">
                  <c:v>79.099999999999994</c:v>
                </c:pt>
                <c:pt idx="278">
                  <c:v>79.400000000000006</c:v>
                </c:pt>
                <c:pt idx="279">
                  <c:v>79.699999999999989</c:v>
                </c:pt>
                <c:pt idx="280">
                  <c:v>80</c:v>
                </c:pt>
                <c:pt idx="281">
                  <c:v>80.199999999999989</c:v>
                </c:pt>
                <c:pt idx="282">
                  <c:v>80.5</c:v>
                </c:pt>
                <c:pt idx="283">
                  <c:v>80.799999999999983</c:v>
                </c:pt>
                <c:pt idx="284">
                  <c:v>81.099999999999994</c:v>
                </c:pt>
                <c:pt idx="285">
                  <c:v>81.400000000000006</c:v>
                </c:pt>
                <c:pt idx="286">
                  <c:v>81.699999999999989</c:v>
                </c:pt>
                <c:pt idx="287">
                  <c:v>82</c:v>
                </c:pt>
                <c:pt idx="288">
                  <c:v>82.199999999999989</c:v>
                </c:pt>
                <c:pt idx="289">
                  <c:v>82.5</c:v>
                </c:pt>
                <c:pt idx="290">
                  <c:v>82.799999999999983</c:v>
                </c:pt>
                <c:pt idx="291">
                  <c:v>83.1</c:v>
                </c:pt>
                <c:pt idx="292">
                  <c:v>83.4</c:v>
                </c:pt>
                <c:pt idx="293">
                  <c:v>83.699999999999989</c:v>
                </c:pt>
                <c:pt idx="294">
                  <c:v>84</c:v>
                </c:pt>
                <c:pt idx="295">
                  <c:v>84.199999999999989</c:v>
                </c:pt>
                <c:pt idx="296">
                  <c:v>84.5</c:v>
                </c:pt>
                <c:pt idx="297">
                  <c:v>84.799999999999983</c:v>
                </c:pt>
                <c:pt idx="298">
                  <c:v>85.1</c:v>
                </c:pt>
                <c:pt idx="299">
                  <c:v>85.4</c:v>
                </c:pt>
                <c:pt idx="300">
                  <c:v>85.699999999999989</c:v>
                </c:pt>
                <c:pt idx="301">
                  <c:v>86</c:v>
                </c:pt>
                <c:pt idx="302">
                  <c:v>86.199999999999989</c:v>
                </c:pt>
                <c:pt idx="303">
                  <c:v>86.5</c:v>
                </c:pt>
                <c:pt idx="304">
                  <c:v>86.799999999999983</c:v>
                </c:pt>
                <c:pt idx="305">
                  <c:v>87.1</c:v>
                </c:pt>
                <c:pt idx="306">
                  <c:v>87.4</c:v>
                </c:pt>
                <c:pt idx="307">
                  <c:v>87.699999999999989</c:v>
                </c:pt>
                <c:pt idx="308">
                  <c:v>88</c:v>
                </c:pt>
                <c:pt idx="309">
                  <c:v>88.199999999999989</c:v>
                </c:pt>
                <c:pt idx="310">
                  <c:v>88.5</c:v>
                </c:pt>
                <c:pt idx="311">
                  <c:v>88.799999999999983</c:v>
                </c:pt>
                <c:pt idx="312">
                  <c:v>89.1</c:v>
                </c:pt>
                <c:pt idx="313">
                  <c:v>89.4</c:v>
                </c:pt>
                <c:pt idx="314">
                  <c:v>89.699999999999989</c:v>
                </c:pt>
                <c:pt idx="315">
                  <c:v>90</c:v>
                </c:pt>
                <c:pt idx="316">
                  <c:v>90.199999999999989</c:v>
                </c:pt>
                <c:pt idx="317">
                  <c:v>90.5</c:v>
                </c:pt>
                <c:pt idx="318">
                  <c:v>90.799999999999983</c:v>
                </c:pt>
                <c:pt idx="319">
                  <c:v>91.1</c:v>
                </c:pt>
                <c:pt idx="320">
                  <c:v>91.4</c:v>
                </c:pt>
                <c:pt idx="321">
                  <c:v>91.699999999999989</c:v>
                </c:pt>
                <c:pt idx="322">
                  <c:v>92</c:v>
                </c:pt>
                <c:pt idx="323">
                  <c:v>92.199999999999989</c:v>
                </c:pt>
                <c:pt idx="324">
                  <c:v>92.5</c:v>
                </c:pt>
                <c:pt idx="325">
                  <c:v>92.799999999999983</c:v>
                </c:pt>
                <c:pt idx="326">
                  <c:v>93.1</c:v>
                </c:pt>
                <c:pt idx="327">
                  <c:v>93.4</c:v>
                </c:pt>
                <c:pt idx="328">
                  <c:v>93.699999999999989</c:v>
                </c:pt>
                <c:pt idx="329">
                  <c:v>94</c:v>
                </c:pt>
                <c:pt idx="330">
                  <c:v>94.199999999999989</c:v>
                </c:pt>
                <c:pt idx="331">
                  <c:v>94.5</c:v>
                </c:pt>
                <c:pt idx="332">
                  <c:v>94.799999999999983</c:v>
                </c:pt>
                <c:pt idx="333">
                  <c:v>95.1</c:v>
                </c:pt>
                <c:pt idx="334">
                  <c:v>95.4</c:v>
                </c:pt>
                <c:pt idx="335">
                  <c:v>95.699999999999989</c:v>
                </c:pt>
                <c:pt idx="336">
                  <c:v>96</c:v>
                </c:pt>
                <c:pt idx="337">
                  <c:v>96.199999999999989</c:v>
                </c:pt>
                <c:pt idx="338">
                  <c:v>96.5</c:v>
                </c:pt>
                <c:pt idx="339">
                  <c:v>96.799999999999983</c:v>
                </c:pt>
                <c:pt idx="340">
                  <c:v>97.1</c:v>
                </c:pt>
                <c:pt idx="341">
                  <c:v>97.4</c:v>
                </c:pt>
                <c:pt idx="342">
                  <c:v>97.699999999999989</c:v>
                </c:pt>
                <c:pt idx="343">
                  <c:v>98</c:v>
                </c:pt>
                <c:pt idx="344">
                  <c:v>98.199999999999989</c:v>
                </c:pt>
                <c:pt idx="345">
                  <c:v>98.5</c:v>
                </c:pt>
                <c:pt idx="346">
                  <c:v>98.799999999999983</c:v>
                </c:pt>
                <c:pt idx="347">
                  <c:v>99.1</c:v>
                </c:pt>
                <c:pt idx="348">
                  <c:v>99.4</c:v>
                </c:pt>
                <c:pt idx="349">
                  <c:v>99.699999999999989</c:v>
                </c:pt>
                <c:pt idx="350">
                  <c:v>100</c:v>
                </c:pt>
                <c:pt idx="351">
                  <c:v>100.19999999999999</c:v>
                </c:pt>
                <c:pt idx="352">
                  <c:v>100.5</c:v>
                </c:pt>
                <c:pt idx="353">
                  <c:v>100.79999999999998</c:v>
                </c:pt>
                <c:pt idx="354">
                  <c:v>101.1</c:v>
                </c:pt>
                <c:pt idx="355">
                  <c:v>101.4</c:v>
                </c:pt>
                <c:pt idx="356">
                  <c:v>101.69999999999999</c:v>
                </c:pt>
                <c:pt idx="357">
                  <c:v>102</c:v>
                </c:pt>
                <c:pt idx="358">
                  <c:v>102.19999999999999</c:v>
                </c:pt>
                <c:pt idx="359">
                  <c:v>102.5</c:v>
                </c:pt>
                <c:pt idx="360">
                  <c:v>102.79999999999998</c:v>
                </c:pt>
                <c:pt idx="361">
                  <c:v>103.1</c:v>
                </c:pt>
                <c:pt idx="362">
                  <c:v>103.4</c:v>
                </c:pt>
                <c:pt idx="363">
                  <c:v>103.69999999999999</c:v>
                </c:pt>
                <c:pt idx="364">
                  <c:v>104</c:v>
                </c:pt>
                <c:pt idx="365">
                  <c:v>104.19999999999999</c:v>
                </c:pt>
                <c:pt idx="366">
                  <c:v>104.5</c:v>
                </c:pt>
                <c:pt idx="367">
                  <c:v>104.79999999999998</c:v>
                </c:pt>
                <c:pt idx="368">
                  <c:v>105.1</c:v>
                </c:pt>
                <c:pt idx="369">
                  <c:v>105.4</c:v>
                </c:pt>
                <c:pt idx="370">
                  <c:v>105.69999999999999</c:v>
                </c:pt>
                <c:pt idx="371">
                  <c:v>106</c:v>
                </c:pt>
                <c:pt idx="372">
                  <c:v>106.19999999999999</c:v>
                </c:pt>
                <c:pt idx="373">
                  <c:v>106.5</c:v>
                </c:pt>
                <c:pt idx="374">
                  <c:v>106.79999999999998</c:v>
                </c:pt>
                <c:pt idx="375">
                  <c:v>107.1</c:v>
                </c:pt>
                <c:pt idx="376">
                  <c:v>107.4</c:v>
                </c:pt>
                <c:pt idx="377">
                  <c:v>107.69999999999999</c:v>
                </c:pt>
                <c:pt idx="378">
                  <c:v>108</c:v>
                </c:pt>
                <c:pt idx="379">
                  <c:v>108.19999999999999</c:v>
                </c:pt>
                <c:pt idx="380">
                  <c:v>108.5</c:v>
                </c:pt>
                <c:pt idx="381">
                  <c:v>108.79999999999998</c:v>
                </c:pt>
                <c:pt idx="382">
                  <c:v>109.1</c:v>
                </c:pt>
                <c:pt idx="383">
                  <c:v>109.4</c:v>
                </c:pt>
                <c:pt idx="384">
                  <c:v>109.69999999999999</c:v>
                </c:pt>
                <c:pt idx="385">
                  <c:v>110</c:v>
                </c:pt>
                <c:pt idx="386">
                  <c:v>110.19999999999999</c:v>
                </c:pt>
                <c:pt idx="387">
                  <c:v>110.5</c:v>
                </c:pt>
                <c:pt idx="388">
                  <c:v>110.79999999999998</c:v>
                </c:pt>
                <c:pt idx="389">
                  <c:v>111.1</c:v>
                </c:pt>
                <c:pt idx="390">
                  <c:v>111.4</c:v>
                </c:pt>
                <c:pt idx="391">
                  <c:v>111.69999999999999</c:v>
                </c:pt>
                <c:pt idx="392">
                  <c:v>112</c:v>
                </c:pt>
                <c:pt idx="393">
                  <c:v>112.19999999999999</c:v>
                </c:pt>
                <c:pt idx="394">
                  <c:v>112.5</c:v>
                </c:pt>
                <c:pt idx="395">
                  <c:v>112.79999999999998</c:v>
                </c:pt>
                <c:pt idx="396">
                  <c:v>113.1</c:v>
                </c:pt>
                <c:pt idx="397">
                  <c:v>113.4</c:v>
                </c:pt>
                <c:pt idx="398">
                  <c:v>113.69999999999999</c:v>
                </c:pt>
                <c:pt idx="399">
                  <c:v>114</c:v>
                </c:pt>
                <c:pt idx="400">
                  <c:v>114.19999999999999</c:v>
                </c:pt>
                <c:pt idx="401">
                  <c:v>114.5</c:v>
                </c:pt>
                <c:pt idx="402">
                  <c:v>114.79999999999998</c:v>
                </c:pt>
                <c:pt idx="403">
                  <c:v>115.1</c:v>
                </c:pt>
                <c:pt idx="404">
                  <c:v>115.4</c:v>
                </c:pt>
                <c:pt idx="405">
                  <c:v>115.69999999999999</c:v>
                </c:pt>
                <c:pt idx="406">
                  <c:v>116</c:v>
                </c:pt>
                <c:pt idx="407">
                  <c:v>116.19999999999999</c:v>
                </c:pt>
                <c:pt idx="408">
                  <c:v>116.5</c:v>
                </c:pt>
                <c:pt idx="409">
                  <c:v>116.79999999999998</c:v>
                </c:pt>
                <c:pt idx="410">
                  <c:v>117.1</c:v>
                </c:pt>
                <c:pt idx="411">
                  <c:v>117.4</c:v>
                </c:pt>
                <c:pt idx="412">
                  <c:v>117.69999999999999</c:v>
                </c:pt>
                <c:pt idx="413">
                  <c:v>118</c:v>
                </c:pt>
                <c:pt idx="414">
                  <c:v>118.19999999999999</c:v>
                </c:pt>
                <c:pt idx="415">
                  <c:v>118.5</c:v>
                </c:pt>
                <c:pt idx="416">
                  <c:v>118.79999999999998</c:v>
                </c:pt>
                <c:pt idx="417">
                  <c:v>119.1</c:v>
                </c:pt>
                <c:pt idx="418">
                  <c:v>119.4</c:v>
                </c:pt>
                <c:pt idx="419">
                  <c:v>119.69999999999999</c:v>
                </c:pt>
                <c:pt idx="420">
                  <c:v>120</c:v>
                </c:pt>
                <c:pt idx="421">
                  <c:v>120.19999999999999</c:v>
                </c:pt>
                <c:pt idx="422">
                  <c:v>120.5</c:v>
                </c:pt>
                <c:pt idx="423">
                  <c:v>120.79999999999998</c:v>
                </c:pt>
                <c:pt idx="424">
                  <c:v>121.1</c:v>
                </c:pt>
                <c:pt idx="425">
                  <c:v>121.4</c:v>
                </c:pt>
                <c:pt idx="426">
                  <c:v>121.69999999999999</c:v>
                </c:pt>
                <c:pt idx="427">
                  <c:v>122</c:v>
                </c:pt>
                <c:pt idx="428">
                  <c:v>122.19999999999999</c:v>
                </c:pt>
                <c:pt idx="429">
                  <c:v>122.5</c:v>
                </c:pt>
                <c:pt idx="430">
                  <c:v>122.79999999999998</c:v>
                </c:pt>
                <c:pt idx="431">
                  <c:v>123.1</c:v>
                </c:pt>
                <c:pt idx="432">
                  <c:v>123.4</c:v>
                </c:pt>
                <c:pt idx="433">
                  <c:v>123.69999999999999</c:v>
                </c:pt>
                <c:pt idx="434">
                  <c:v>124</c:v>
                </c:pt>
                <c:pt idx="435">
                  <c:v>124.19999999999999</c:v>
                </c:pt>
                <c:pt idx="436">
                  <c:v>124.5</c:v>
                </c:pt>
                <c:pt idx="437">
                  <c:v>124.79999999999998</c:v>
                </c:pt>
                <c:pt idx="438">
                  <c:v>125.1</c:v>
                </c:pt>
                <c:pt idx="439">
                  <c:v>125.4</c:v>
                </c:pt>
                <c:pt idx="440">
                  <c:v>125.69999999999999</c:v>
                </c:pt>
                <c:pt idx="441">
                  <c:v>126</c:v>
                </c:pt>
                <c:pt idx="442">
                  <c:v>126.19999999999999</c:v>
                </c:pt>
                <c:pt idx="443">
                  <c:v>126.5</c:v>
                </c:pt>
                <c:pt idx="444">
                  <c:v>126.79999999999998</c:v>
                </c:pt>
                <c:pt idx="445">
                  <c:v>127.1</c:v>
                </c:pt>
                <c:pt idx="446">
                  <c:v>127.4</c:v>
                </c:pt>
                <c:pt idx="447">
                  <c:v>127.69999999999999</c:v>
                </c:pt>
                <c:pt idx="448">
                  <c:v>128</c:v>
                </c:pt>
                <c:pt idx="449">
                  <c:v>128.19999999999999</c:v>
                </c:pt>
                <c:pt idx="450">
                  <c:v>128.5</c:v>
                </c:pt>
                <c:pt idx="451">
                  <c:v>128.79999999999998</c:v>
                </c:pt>
                <c:pt idx="452">
                  <c:v>129.1</c:v>
                </c:pt>
                <c:pt idx="453">
                  <c:v>129.4</c:v>
                </c:pt>
                <c:pt idx="454">
                  <c:v>129.69999999999999</c:v>
                </c:pt>
                <c:pt idx="455">
                  <c:v>130</c:v>
                </c:pt>
                <c:pt idx="456">
                  <c:v>130.19999999999999</c:v>
                </c:pt>
                <c:pt idx="457">
                  <c:v>130.5</c:v>
                </c:pt>
                <c:pt idx="458">
                  <c:v>130.79999999999998</c:v>
                </c:pt>
                <c:pt idx="459">
                  <c:v>131.1</c:v>
                </c:pt>
                <c:pt idx="460">
                  <c:v>131.4</c:v>
                </c:pt>
                <c:pt idx="461">
                  <c:v>131.69999999999999</c:v>
                </c:pt>
                <c:pt idx="462">
                  <c:v>132</c:v>
                </c:pt>
                <c:pt idx="463">
                  <c:v>132.19999999999999</c:v>
                </c:pt>
                <c:pt idx="464">
                  <c:v>132.5</c:v>
                </c:pt>
                <c:pt idx="465">
                  <c:v>132.79999999999998</c:v>
                </c:pt>
                <c:pt idx="466">
                  <c:v>133.1</c:v>
                </c:pt>
                <c:pt idx="467">
                  <c:v>133.4</c:v>
                </c:pt>
                <c:pt idx="468">
                  <c:v>133.69999999999999</c:v>
                </c:pt>
                <c:pt idx="469">
                  <c:v>134</c:v>
                </c:pt>
                <c:pt idx="470">
                  <c:v>134.19999999999999</c:v>
                </c:pt>
                <c:pt idx="471">
                  <c:v>134.5</c:v>
                </c:pt>
                <c:pt idx="472">
                  <c:v>134.79999999999998</c:v>
                </c:pt>
                <c:pt idx="473">
                  <c:v>135.1</c:v>
                </c:pt>
                <c:pt idx="474">
                  <c:v>135.4</c:v>
                </c:pt>
                <c:pt idx="475">
                  <c:v>135.69999999999999</c:v>
                </c:pt>
                <c:pt idx="476">
                  <c:v>136</c:v>
                </c:pt>
                <c:pt idx="477">
                  <c:v>136.19999999999999</c:v>
                </c:pt>
                <c:pt idx="478">
                  <c:v>136.5</c:v>
                </c:pt>
                <c:pt idx="479">
                  <c:v>136.79999999999998</c:v>
                </c:pt>
                <c:pt idx="480">
                  <c:v>137.1</c:v>
                </c:pt>
                <c:pt idx="481">
                  <c:v>137.4</c:v>
                </c:pt>
                <c:pt idx="482">
                  <c:v>137.69999999999999</c:v>
                </c:pt>
                <c:pt idx="483">
                  <c:v>138</c:v>
                </c:pt>
                <c:pt idx="484">
                  <c:v>138.19999999999999</c:v>
                </c:pt>
                <c:pt idx="485">
                  <c:v>138.5</c:v>
                </c:pt>
                <c:pt idx="486">
                  <c:v>138.79999999999998</c:v>
                </c:pt>
                <c:pt idx="487">
                  <c:v>139.1</c:v>
                </c:pt>
                <c:pt idx="488">
                  <c:v>139.4</c:v>
                </c:pt>
                <c:pt idx="489">
                  <c:v>139.69999999999999</c:v>
                </c:pt>
                <c:pt idx="490">
                  <c:v>140</c:v>
                </c:pt>
                <c:pt idx="491">
                  <c:v>140.19999999999999</c:v>
                </c:pt>
                <c:pt idx="492">
                  <c:v>140.5</c:v>
                </c:pt>
                <c:pt idx="493">
                  <c:v>140.79999999999998</c:v>
                </c:pt>
              </c:numCache>
            </c:numRef>
          </c:xVal>
          <c:yVal>
            <c:numRef>
              <c:f>'sheet 1'!$C$39:$C$788</c:f>
              <c:numCache>
                <c:formatCode>General</c:formatCode>
                <c:ptCount val="750"/>
                <c:pt idx="0">
                  <c:v>1671</c:v>
                </c:pt>
                <c:pt idx="1">
                  <c:v>1584</c:v>
                </c:pt>
                <c:pt idx="2">
                  <c:v>1608</c:v>
                </c:pt>
                <c:pt idx="3">
                  <c:v>1574</c:v>
                </c:pt>
                <c:pt idx="4">
                  <c:v>1632</c:v>
                </c:pt>
                <c:pt idx="5">
                  <c:v>1542</c:v>
                </c:pt>
                <c:pt idx="6">
                  <c:v>1523</c:v>
                </c:pt>
                <c:pt idx="7">
                  <c:v>1607</c:v>
                </c:pt>
                <c:pt idx="8">
                  <c:v>1526</c:v>
                </c:pt>
                <c:pt idx="9">
                  <c:v>1514</c:v>
                </c:pt>
                <c:pt idx="10">
                  <c:v>1543</c:v>
                </c:pt>
                <c:pt idx="11">
                  <c:v>1565</c:v>
                </c:pt>
                <c:pt idx="12">
                  <c:v>1577</c:v>
                </c:pt>
                <c:pt idx="13">
                  <c:v>1455</c:v>
                </c:pt>
                <c:pt idx="14">
                  <c:v>1511</c:v>
                </c:pt>
                <c:pt idx="15">
                  <c:v>1430</c:v>
                </c:pt>
                <c:pt idx="16">
                  <c:v>1427</c:v>
                </c:pt>
                <c:pt idx="17">
                  <c:v>1475</c:v>
                </c:pt>
                <c:pt idx="18">
                  <c:v>1445</c:v>
                </c:pt>
                <c:pt idx="19">
                  <c:v>1462</c:v>
                </c:pt>
                <c:pt idx="20">
                  <c:v>1573</c:v>
                </c:pt>
                <c:pt idx="21">
                  <c:v>1489</c:v>
                </c:pt>
                <c:pt idx="22">
                  <c:v>1386</c:v>
                </c:pt>
                <c:pt idx="23">
                  <c:v>1471</c:v>
                </c:pt>
                <c:pt idx="24">
                  <c:v>1419</c:v>
                </c:pt>
                <c:pt idx="25">
                  <c:v>1400</c:v>
                </c:pt>
                <c:pt idx="26">
                  <c:v>1455</c:v>
                </c:pt>
                <c:pt idx="27">
                  <c:v>1381</c:v>
                </c:pt>
                <c:pt idx="28">
                  <c:v>1341</c:v>
                </c:pt>
                <c:pt idx="29">
                  <c:v>1388</c:v>
                </c:pt>
                <c:pt idx="30">
                  <c:v>1330</c:v>
                </c:pt>
                <c:pt idx="31">
                  <c:v>1355</c:v>
                </c:pt>
                <c:pt idx="32">
                  <c:v>1443</c:v>
                </c:pt>
                <c:pt idx="33">
                  <c:v>1398</c:v>
                </c:pt>
                <c:pt idx="34">
                  <c:v>1326</c:v>
                </c:pt>
                <c:pt idx="35">
                  <c:v>1355</c:v>
                </c:pt>
                <c:pt idx="36">
                  <c:v>1376</c:v>
                </c:pt>
                <c:pt idx="37">
                  <c:v>1345</c:v>
                </c:pt>
                <c:pt idx="38">
                  <c:v>1263</c:v>
                </c:pt>
                <c:pt idx="39">
                  <c:v>1308</c:v>
                </c:pt>
                <c:pt idx="40">
                  <c:v>1360</c:v>
                </c:pt>
                <c:pt idx="41">
                  <c:v>1314</c:v>
                </c:pt>
                <c:pt idx="42">
                  <c:v>1366</c:v>
                </c:pt>
                <c:pt idx="43">
                  <c:v>1268</c:v>
                </c:pt>
                <c:pt idx="44">
                  <c:v>1260</c:v>
                </c:pt>
                <c:pt idx="45">
                  <c:v>1284</c:v>
                </c:pt>
                <c:pt idx="46">
                  <c:v>1313</c:v>
                </c:pt>
                <c:pt idx="47">
                  <c:v>1246</c:v>
                </c:pt>
                <c:pt idx="48">
                  <c:v>1283</c:v>
                </c:pt>
                <c:pt idx="49">
                  <c:v>1239</c:v>
                </c:pt>
                <c:pt idx="50">
                  <c:v>1263</c:v>
                </c:pt>
                <c:pt idx="51">
                  <c:v>1282</c:v>
                </c:pt>
                <c:pt idx="52">
                  <c:v>1249</c:v>
                </c:pt>
                <c:pt idx="53">
                  <c:v>1269</c:v>
                </c:pt>
                <c:pt idx="54">
                  <c:v>1269</c:v>
                </c:pt>
                <c:pt idx="55">
                  <c:v>1246</c:v>
                </c:pt>
                <c:pt idx="56">
                  <c:v>1214</c:v>
                </c:pt>
                <c:pt idx="57">
                  <c:v>1279</c:v>
                </c:pt>
                <c:pt idx="58">
                  <c:v>1261</c:v>
                </c:pt>
                <c:pt idx="59">
                  <c:v>1215</c:v>
                </c:pt>
                <c:pt idx="60">
                  <c:v>1214</c:v>
                </c:pt>
                <c:pt idx="61">
                  <c:v>1214</c:v>
                </c:pt>
                <c:pt idx="62">
                  <c:v>1228</c:v>
                </c:pt>
                <c:pt idx="63">
                  <c:v>1203</c:v>
                </c:pt>
                <c:pt idx="64">
                  <c:v>1243</c:v>
                </c:pt>
                <c:pt idx="65">
                  <c:v>1200</c:v>
                </c:pt>
                <c:pt idx="66">
                  <c:v>1170</c:v>
                </c:pt>
                <c:pt idx="67">
                  <c:v>1219</c:v>
                </c:pt>
                <c:pt idx="68">
                  <c:v>1169</c:v>
                </c:pt>
                <c:pt idx="69">
                  <c:v>1205</c:v>
                </c:pt>
                <c:pt idx="70">
                  <c:v>1201</c:v>
                </c:pt>
                <c:pt idx="71">
                  <c:v>1157</c:v>
                </c:pt>
                <c:pt idx="72">
                  <c:v>1152</c:v>
                </c:pt>
                <c:pt idx="73">
                  <c:v>1116</c:v>
                </c:pt>
                <c:pt idx="74">
                  <c:v>1147</c:v>
                </c:pt>
                <c:pt idx="75">
                  <c:v>1156</c:v>
                </c:pt>
                <c:pt idx="76">
                  <c:v>1203</c:v>
                </c:pt>
                <c:pt idx="77">
                  <c:v>1105</c:v>
                </c:pt>
                <c:pt idx="78">
                  <c:v>1179</c:v>
                </c:pt>
                <c:pt idx="79">
                  <c:v>1168</c:v>
                </c:pt>
                <c:pt idx="80">
                  <c:v>1152</c:v>
                </c:pt>
                <c:pt idx="81">
                  <c:v>1115</c:v>
                </c:pt>
                <c:pt idx="82">
                  <c:v>1051</c:v>
                </c:pt>
                <c:pt idx="83">
                  <c:v>1098</c:v>
                </c:pt>
                <c:pt idx="84">
                  <c:v>1144</c:v>
                </c:pt>
                <c:pt idx="85">
                  <c:v>1122</c:v>
                </c:pt>
                <c:pt idx="86">
                  <c:v>1104</c:v>
                </c:pt>
                <c:pt idx="87">
                  <c:v>1106</c:v>
                </c:pt>
                <c:pt idx="88">
                  <c:v>1133</c:v>
                </c:pt>
                <c:pt idx="89">
                  <c:v>1096</c:v>
                </c:pt>
                <c:pt idx="90">
                  <c:v>1057</c:v>
                </c:pt>
                <c:pt idx="91">
                  <c:v>1095</c:v>
                </c:pt>
                <c:pt idx="92">
                  <c:v>1098</c:v>
                </c:pt>
                <c:pt idx="93">
                  <c:v>1056</c:v>
                </c:pt>
                <c:pt idx="94">
                  <c:v>1097</c:v>
                </c:pt>
                <c:pt idx="95">
                  <c:v>1083</c:v>
                </c:pt>
                <c:pt idx="96">
                  <c:v>983</c:v>
                </c:pt>
                <c:pt idx="97">
                  <c:v>1059</c:v>
                </c:pt>
                <c:pt idx="98">
                  <c:v>1023</c:v>
                </c:pt>
                <c:pt idx="99">
                  <c:v>1049</c:v>
                </c:pt>
                <c:pt idx="100">
                  <c:v>1082</c:v>
                </c:pt>
                <c:pt idx="101">
                  <c:v>1060</c:v>
                </c:pt>
                <c:pt idx="102">
                  <c:v>1068</c:v>
                </c:pt>
                <c:pt idx="103">
                  <c:v>1037</c:v>
                </c:pt>
                <c:pt idx="104">
                  <c:v>1018</c:v>
                </c:pt>
                <c:pt idx="105">
                  <c:v>1113</c:v>
                </c:pt>
                <c:pt idx="106">
                  <c:v>1030</c:v>
                </c:pt>
                <c:pt idx="107">
                  <c:v>1065</c:v>
                </c:pt>
                <c:pt idx="108">
                  <c:v>1052</c:v>
                </c:pt>
                <c:pt idx="109">
                  <c:v>1074</c:v>
                </c:pt>
                <c:pt idx="110">
                  <c:v>1040</c:v>
                </c:pt>
                <c:pt idx="111">
                  <c:v>989</c:v>
                </c:pt>
                <c:pt idx="112">
                  <c:v>974</c:v>
                </c:pt>
                <c:pt idx="113">
                  <c:v>990</c:v>
                </c:pt>
                <c:pt idx="114">
                  <c:v>974</c:v>
                </c:pt>
                <c:pt idx="115">
                  <c:v>991</c:v>
                </c:pt>
                <c:pt idx="116">
                  <c:v>989</c:v>
                </c:pt>
                <c:pt idx="117">
                  <c:v>1013</c:v>
                </c:pt>
                <c:pt idx="118">
                  <c:v>1010</c:v>
                </c:pt>
                <c:pt idx="119">
                  <c:v>1024</c:v>
                </c:pt>
                <c:pt idx="120">
                  <c:v>1046</c:v>
                </c:pt>
                <c:pt idx="121">
                  <c:v>956</c:v>
                </c:pt>
                <c:pt idx="122">
                  <c:v>934</c:v>
                </c:pt>
                <c:pt idx="123">
                  <c:v>986</c:v>
                </c:pt>
                <c:pt idx="124">
                  <c:v>921</c:v>
                </c:pt>
                <c:pt idx="125">
                  <c:v>1039</c:v>
                </c:pt>
                <c:pt idx="126">
                  <c:v>978</c:v>
                </c:pt>
                <c:pt idx="127">
                  <c:v>947</c:v>
                </c:pt>
                <c:pt idx="128">
                  <c:v>1035</c:v>
                </c:pt>
                <c:pt idx="129">
                  <c:v>1007</c:v>
                </c:pt>
                <c:pt idx="130">
                  <c:v>951</c:v>
                </c:pt>
                <c:pt idx="131">
                  <c:v>1039</c:v>
                </c:pt>
                <c:pt idx="132">
                  <c:v>990</c:v>
                </c:pt>
                <c:pt idx="133">
                  <c:v>938</c:v>
                </c:pt>
                <c:pt idx="134">
                  <c:v>1018</c:v>
                </c:pt>
                <c:pt idx="135">
                  <c:v>954</c:v>
                </c:pt>
                <c:pt idx="136">
                  <c:v>983</c:v>
                </c:pt>
                <c:pt idx="137">
                  <c:v>921</c:v>
                </c:pt>
                <c:pt idx="138">
                  <c:v>923</c:v>
                </c:pt>
                <c:pt idx="139">
                  <c:v>974</c:v>
                </c:pt>
                <c:pt idx="140">
                  <c:v>926</c:v>
                </c:pt>
                <c:pt idx="141">
                  <c:v>933</c:v>
                </c:pt>
                <c:pt idx="142">
                  <c:v>943</c:v>
                </c:pt>
                <c:pt idx="143">
                  <c:v>978</c:v>
                </c:pt>
                <c:pt idx="144">
                  <c:v>923</c:v>
                </c:pt>
                <c:pt idx="145">
                  <c:v>922</c:v>
                </c:pt>
                <c:pt idx="146">
                  <c:v>930</c:v>
                </c:pt>
                <c:pt idx="147">
                  <c:v>955</c:v>
                </c:pt>
                <c:pt idx="148">
                  <c:v>932</c:v>
                </c:pt>
                <c:pt idx="149">
                  <c:v>938</c:v>
                </c:pt>
                <c:pt idx="150">
                  <c:v>915</c:v>
                </c:pt>
                <c:pt idx="151">
                  <c:v>939</c:v>
                </c:pt>
                <c:pt idx="152">
                  <c:v>924</c:v>
                </c:pt>
                <c:pt idx="153">
                  <c:v>903</c:v>
                </c:pt>
                <c:pt idx="154">
                  <c:v>942</c:v>
                </c:pt>
                <c:pt idx="155">
                  <c:v>905</c:v>
                </c:pt>
                <c:pt idx="156">
                  <c:v>940</c:v>
                </c:pt>
                <c:pt idx="157">
                  <c:v>895</c:v>
                </c:pt>
                <c:pt idx="158">
                  <c:v>912</c:v>
                </c:pt>
                <c:pt idx="159">
                  <c:v>908</c:v>
                </c:pt>
                <c:pt idx="160">
                  <c:v>845</c:v>
                </c:pt>
                <c:pt idx="161">
                  <c:v>933</c:v>
                </c:pt>
                <c:pt idx="162">
                  <c:v>955</c:v>
                </c:pt>
                <c:pt idx="163">
                  <c:v>834</c:v>
                </c:pt>
                <c:pt idx="164">
                  <c:v>908</c:v>
                </c:pt>
                <c:pt idx="165">
                  <c:v>941</c:v>
                </c:pt>
                <c:pt idx="166">
                  <c:v>928</c:v>
                </c:pt>
                <c:pt idx="167">
                  <c:v>832</c:v>
                </c:pt>
                <c:pt idx="168">
                  <c:v>897</c:v>
                </c:pt>
                <c:pt idx="169">
                  <c:v>841</c:v>
                </c:pt>
                <c:pt idx="170">
                  <c:v>928</c:v>
                </c:pt>
                <c:pt idx="171">
                  <c:v>834</c:v>
                </c:pt>
                <c:pt idx="172">
                  <c:v>863</c:v>
                </c:pt>
                <c:pt idx="173">
                  <c:v>860</c:v>
                </c:pt>
                <c:pt idx="174">
                  <c:v>879</c:v>
                </c:pt>
                <c:pt idx="175">
                  <c:v>897</c:v>
                </c:pt>
                <c:pt idx="176">
                  <c:v>844</c:v>
                </c:pt>
                <c:pt idx="177">
                  <c:v>838</c:v>
                </c:pt>
                <c:pt idx="178">
                  <c:v>904</c:v>
                </c:pt>
                <c:pt idx="179">
                  <c:v>844</c:v>
                </c:pt>
                <c:pt idx="180">
                  <c:v>880</c:v>
                </c:pt>
                <c:pt idx="181">
                  <c:v>866</c:v>
                </c:pt>
                <c:pt idx="182">
                  <c:v>858</c:v>
                </c:pt>
                <c:pt idx="183">
                  <c:v>798</c:v>
                </c:pt>
                <c:pt idx="184">
                  <c:v>899</c:v>
                </c:pt>
                <c:pt idx="185">
                  <c:v>861</c:v>
                </c:pt>
                <c:pt idx="186">
                  <c:v>849</c:v>
                </c:pt>
                <c:pt idx="187">
                  <c:v>872</c:v>
                </c:pt>
                <c:pt idx="188">
                  <c:v>799</c:v>
                </c:pt>
                <c:pt idx="189">
                  <c:v>811</c:v>
                </c:pt>
                <c:pt idx="190">
                  <c:v>843</c:v>
                </c:pt>
                <c:pt idx="191">
                  <c:v>779</c:v>
                </c:pt>
                <c:pt idx="192">
                  <c:v>861</c:v>
                </c:pt>
                <c:pt idx="193">
                  <c:v>838</c:v>
                </c:pt>
                <c:pt idx="194">
                  <c:v>840</c:v>
                </c:pt>
                <c:pt idx="195">
                  <c:v>816</c:v>
                </c:pt>
                <c:pt idx="196">
                  <c:v>805</c:v>
                </c:pt>
                <c:pt idx="197">
                  <c:v>843</c:v>
                </c:pt>
                <c:pt idx="198">
                  <c:v>806</c:v>
                </c:pt>
                <c:pt idx="199">
                  <c:v>794</c:v>
                </c:pt>
                <c:pt idx="200">
                  <c:v>799</c:v>
                </c:pt>
                <c:pt idx="201">
                  <c:v>824</c:v>
                </c:pt>
                <c:pt idx="202">
                  <c:v>784</c:v>
                </c:pt>
                <c:pt idx="203">
                  <c:v>748</c:v>
                </c:pt>
                <c:pt idx="204">
                  <c:v>809</c:v>
                </c:pt>
                <c:pt idx="205">
                  <c:v>840</c:v>
                </c:pt>
                <c:pt idx="206">
                  <c:v>824</c:v>
                </c:pt>
                <c:pt idx="207">
                  <c:v>767</c:v>
                </c:pt>
                <c:pt idx="208">
                  <c:v>788</c:v>
                </c:pt>
                <c:pt idx="209">
                  <c:v>786</c:v>
                </c:pt>
                <c:pt idx="210">
                  <c:v>805</c:v>
                </c:pt>
                <c:pt idx="211">
                  <c:v>752</c:v>
                </c:pt>
                <c:pt idx="212">
                  <c:v>800</c:v>
                </c:pt>
                <c:pt idx="213">
                  <c:v>823</c:v>
                </c:pt>
                <c:pt idx="214">
                  <c:v>806</c:v>
                </c:pt>
                <c:pt idx="215">
                  <c:v>776</c:v>
                </c:pt>
                <c:pt idx="216">
                  <c:v>797</c:v>
                </c:pt>
                <c:pt idx="217">
                  <c:v>798</c:v>
                </c:pt>
                <c:pt idx="218">
                  <c:v>798</c:v>
                </c:pt>
                <c:pt idx="219">
                  <c:v>794</c:v>
                </c:pt>
                <c:pt idx="220">
                  <c:v>802</c:v>
                </c:pt>
                <c:pt idx="221">
                  <c:v>800</c:v>
                </c:pt>
                <c:pt idx="222">
                  <c:v>758</c:v>
                </c:pt>
                <c:pt idx="223">
                  <c:v>751</c:v>
                </c:pt>
                <c:pt idx="224">
                  <c:v>804</c:v>
                </c:pt>
                <c:pt idx="225">
                  <c:v>759</c:v>
                </c:pt>
                <c:pt idx="226">
                  <c:v>781</c:v>
                </c:pt>
                <c:pt idx="227">
                  <c:v>737</c:v>
                </c:pt>
                <c:pt idx="228">
                  <c:v>754</c:v>
                </c:pt>
                <c:pt idx="229">
                  <c:v>754</c:v>
                </c:pt>
                <c:pt idx="230">
                  <c:v>818</c:v>
                </c:pt>
                <c:pt idx="231">
                  <c:v>770</c:v>
                </c:pt>
                <c:pt idx="232">
                  <c:v>762</c:v>
                </c:pt>
                <c:pt idx="233">
                  <c:v>803</c:v>
                </c:pt>
                <c:pt idx="234">
                  <c:v>817</c:v>
                </c:pt>
                <c:pt idx="235">
                  <c:v>792</c:v>
                </c:pt>
                <c:pt idx="236">
                  <c:v>744</c:v>
                </c:pt>
                <c:pt idx="237">
                  <c:v>791</c:v>
                </c:pt>
                <c:pt idx="238">
                  <c:v>801</c:v>
                </c:pt>
                <c:pt idx="239">
                  <c:v>730</c:v>
                </c:pt>
                <c:pt idx="240">
                  <c:v>720</c:v>
                </c:pt>
                <c:pt idx="241">
                  <c:v>708</c:v>
                </c:pt>
                <c:pt idx="242">
                  <c:v>757</c:v>
                </c:pt>
                <c:pt idx="243">
                  <c:v>741</c:v>
                </c:pt>
                <c:pt idx="244">
                  <c:v>761</c:v>
                </c:pt>
                <c:pt idx="245">
                  <c:v>699</c:v>
                </c:pt>
                <c:pt idx="246">
                  <c:v>740</c:v>
                </c:pt>
                <c:pt idx="247">
                  <c:v>728</c:v>
                </c:pt>
                <c:pt idx="248">
                  <c:v>711</c:v>
                </c:pt>
                <c:pt idx="249">
                  <c:v>710</c:v>
                </c:pt>
                <c:pt idx="250">
                  <c:v>739</c:v>
                </c:pt>
                <c:pt idx="251">
                  <c:v>693</c:v>
                </c:pt>
                <c:pt idx="252">
                  <c:v>697</c:v>
                </c:pt>
                <c:pt idx="253">
                  <c:v>706</c:v>
                </c:pt>
                <c:pt idx="254">
                  <c:v>710</c:v>
                </c:pt>
                <c:pt idx="255">
                  <c:v>734</c:v>
                </c:pt>
                <c:pt idx="256">
                  <c:v>736</c:v>
                </c:pt>
                <c:pt idx="257">
                  <c:v>765</c:v>
                </c:pt>
                <c:pt idx="258">
                  <c:v>759</c:v>
                </c:pt>
                <c:pt idx="259">
                  <c:v>711</c:v>
                </c:pt>
                <c:pt idx="260">
                  <c:v>725</c:v>
                </c:pt>
                <c:pt idx="261">
                  <c:v>719</c:v>
                </c:pt>
                <c:pt idx="262">
                  <c:v>724</c:v>
                </c:pt>
                <c:pt idx="263">
                  <c:v>681</c:v>
                </c:pt>
                <c:pt idx="264">
                  <c:v>717</c:v>
                </c:pt>
                <c:pt idx="265">
                  <c:v>694</c:v>
                </c:pt>
                <c:pt idx="266">
                  <c:v>690</c:v>
                </c:pt>
                <c:pt idx="267">
                  <c:v>671</c:v>
                </c:pt>
                <c:pt idx="268">
                  <c:v>703</c:v>
                </c:pt>
                <c:pt idx="269">
                  <c:v>679</c:v>
                </c:pt>
                <c:pt idx="270">
                  <c:v>736</c:v>
                </c:pt>
                <c:pt idx="271">
                  <c:v>709</c:v>
                </c:pt>
                <c:pt idx="272">
                  <c:v>673</c:v>
                </c:pt>
                <c:pt idx="273">
                  <c:v>712</c:v>
                </c:pt>
                <c:pt idx="274">
                  <c:v>683</c:v>
                </c:pt>
                <c:pt idx="275">
                  <c:v>686</c:v>
                </c:pt>
                <c:pt idx="276">
                  <c:v>669</c:v>
                </c:pt>
                <c:pt idx="277">
                  <c:v>672</c:v>
                </c:pt>
                <c:pt idx="278">
                  <c:v>723</c:v>
                </c:pt>
                <c:pt idx="279">
                  <c:v>717</c:v>
                </c:pt>
                <c:pt idx="280">
                  <c:v>670</c:v>
                </c:pt>
                <c:pt idx="281">
                  <c:v>676</c:v>
                </c:pt>
                <c:pt idx="282">
                  <c:v>731</c:v>
                </c:pt>
                <c:pt idx="283">
                  <c:v>723</c:v>
                </c:pt>
                <c:pt idx="284">
                  <c:v>712</c:v>
                </c:pt>
                <c:pt idx="285">
                  <c:v>682</c:v>
                </c:pt>
                <c:pt idx="286">
                  <c:v>698</c:v>
                </c:pt>
                <c:pt idx="287">
                  <c:v>658</c:v>
                </c:pt>
                <c:pt idx="288">
                  <c:v>676</c:v>
                </c:pt>
                <c:pt idx="289">
                  <c:v>649</c:v>
                </c:pt>
                <c:pt idx="290">
                  <c:v>694</c:v>
                </c:pt>
                <c:pt idx="291">
                  <c:v>694</c:v>
                </c:pt>
                <c:pt idx="292">
                  <c:v>598</c:v>
                </c:pt>
                <c:pt idx="293">
                  <c:v>679</c:v>
                </c:pt>
                <c:pt idx="294">
                  <c:v>655</c:v>
                </c:pt>
                <c:pt idx="295">
                  <c:v>645</c:v>
                </c:pt>
                <c:pt idx="296">
                  <c:v>700</c:v>
                </c:pt>
                <c:pt idx="297">
                  <c:v>683</c:v>
                </c:pt>
                <c:pt idx="298">
                  <c:v>650</c:v>
                </c:pt>
                <c:pt idx="299">
                  <c:v>681</c:v>
                </c:pt>
                <c:pt idx="300">
                  <c:v>644</c:v>
                </c:pt>
                <c:pt idx="301">
                  <c:v>695</c:v>
                </c:pt>
                <c:pt idx="302">
                  <c:v>671</c:v>
                </c:pt>
                <c:pt idx="303">
                  <c:v>648</c:v>
                </c:pt>
                <c:pt idx="304">
                  <c:v>693</c:v>
                </c:pt>
                <c:pt idx="305">
                  <c:v>656</c:v>
                </c:pt>
                <c:pt idx="306">
                  <c:v>664</c:v>
                </c:pt>
                <c:pt idx="307">
                  <c:v>635</c:v>
                </c:pt>
                <c:pt idx="308">
                  <c:v>597</c:v>
                </c:pt>
                <c:pt idx="309">
                  <c:v>652</c:v>
                </c:pt>
                <c:pt idx="310">
                  <c:v>636</c:v>
                </c:pt>
                <c:pt idx="311">
                  <c:v>629</c:v>
                </c:pt>
                <c:pt idx="312">
                  <c:v>605</c:v>
                </c:pt>
                <c:pt idx="313">
                  <c:v>684</c:v>
                </c:pt>
                <c:pt idx="314">
                  <c:v>656</c:v>
                </c:pt>
                <c:pt idx="315">
                  <c:v>638</c:v>
                </c:pt>
                <c:pt idx="316">
                  <c:v>588</c:v>
                </c:pt>
                <c:pt idx="317">
                  <c:v>625</c:v>
                </c:pt>
                <c:pt idx="318">
                  <c:v>655</c:v>
                </c:pt>
                <c:pt idx="319">
                  <c:v>628</c:v>
                </c:pt>
                <c:pt idx="320">
                  <c:v>646</c:v>
                </c:pt>
                <c:pt idx="321">
                  <c:v>616</c:v>
                </c:pt>
                <c:pt idx="322">
                  <c:v>638</c:v>
                </c:pt>
                <c:pt idx="323">
                  <c:v>632</c:v>
                </c:pt>
                <c:pt idx="324">
                  <c:v>587</c:v>
                </c:pt>
                <c:pt idx="325">
                  <c:v>629</c:v>
                </c:pt>
                <c:pt idx="326">
                  <c:v>649</c:v>
                </c:pt>
                <c:pt idx="327">
                  <c:v>650</c:v>
                </c:pt>
                <c:pt idx="328">
                  <c:v>681</c:v>
                </c:pt>
                <c:pt idx="329">
                  <c:v>605</c:v>
                </c:pt>
                <c:pt idx="330">
                  <c:v>660</c:v>
                </c:pt>
                <c:pt idx="331">
                  <c:v>570</c:v>
                </c:pt>
                <c:pt idx="332">
                  <c:v>647</c:v>
                </c:pt>
                <c:pt idx="333">
                  <c:v>627</c:v>
                </c:pt>
                <c:pt idx="334">
                  <c:v>620</c:v>
                </c:pt>
                <c:pt idx="335">
                  <c:v>623</c:v>
                </c:pt>
                <c:pt idx="336">
                  <c:v>657</c:v>
                </c:pt>
                <c:pt idx="337">
                  <c:v>602</c:v>
                </c:pt>
                <c:pt idx="338">
                  <c:v>600</c:v>
                </c:pt>
                <c:pt idx="339">
                  <c:v>661</c:v>
                </c:pt>
                <c:pt idx="340">
                  <c:v>655</c:v>
                </c:pt>
                <c:pt idx="341">
                  <c:v>617</c:v>
                </c:pt>
                <c:pt idx="342">
                  <c:v>595</c:v>
                </c:pt>
                <c:pt idx="343">
                  <c:v>573</c:v>
                </c:pt>
                <c:pt idx="344">
                  <c:v>597</c:v>
                </c:pt>
                <c:pt idx="345">
                  <c:v>584</c:v>
                </c:pt>
                <c:pt idx="346">
                  <c:v>620</c:v>
                </c:pt>
                <c:pt idx="347">
                  <c:v>614</c:v>
                </c:pt>
                <c:pt idx="348">
                  <c:v>594</c:v>
                </c:pt>
                <c:pt idx="349">
                  <c:v>587</c:v>
                </c:pt>
                <c:pt idx="350">
                  <c:v>611</c:v>
                </c:pt>
                <c:pt idx="351">
                  <c:v>630</c:v>
                </c:pt>
                <c:pt idx="352">
                  <c:v>601</c:v>
                </c:pt>
                <c:pt idx="353">
                  <c:v>610</c:v>
                </c:pt>
                <c:pt idx="354">
                  <c:v>583</c:v>
                </c:pt>
                <c:pt idx="355">
                  <c:v>576</c:v>
                </c:pt>
                <c:pt idx="356">
                  <c:v>585</c:v>
                </c:pt>
                <c:pt idx="357">
                  <c:v>595</c:v>
                </c:pt>
                <c:pt idx="358">
                  <c:v>584</c:v>
                </c:pt>
                <c:pt idx="359">
                  <c:v>619</c:v>
                </c:pt>
                <c:pt idx="360">
                  <c:v>549</c:v>
                </c:pt>
                <c:pt idx="361">
                  <c:v>608</c:v>
                </c:pt>
                <c:pt idx="362">
                  <c:v>540</c:v>
                </c:pt>
                <c:pt idx="363">
                  <c:v>590</c:v>
                </c:pt>
                <c:pt idx="364">
                  <c:v>592</c:v>
                </c:pt>
                <c:pt idx="365">
                  <c:v>599</c:v>
                </c:pt>
                <c:pt idx="366">
                  <c:v>577</c:v>
                </c:pt>
                <c:pt idx="367">
                  <c:v>605</c:v>
                </c:pt>
                <c:pt idx="368">
                  <c:v>577</c:v>
                </c:pt>
                <c:pt idx="369">
                  <c:v>572</c:v>
                </c:pt>
                <c:pt idx="370">
                  <c:v>642</c:v>
                </c:pt>
                <c:pt idx="371">
                  <c:v>609</c:v>
                </c:pt>
                <c:pt idx="372">
                  <c:v>601</c:v>
                </c:pt>
                <c:pt idx="373">
                  <c:v>605</c:v>
                </c:pt>
                <c:pt idx="374">
                  <c:v>572</c:v>
                </c:pt>
                <c:pt idx="375">
                  <c:v>576</c:v>
                </c:pt>
                <c:pt idx="376">
                  <c:v>534</c:v>
                </c:pt>
                <c:pt idx="377">
                  <c:v>592</c:v>
                </c:pt>
                <c:pt idx="378">
                  <c:v>549</c:v>
                </c:pt>
                <c:pt idx="379">
                  <c:v>577</c:v>
                </c:pt>
                <c:pt idx="380">
                  <c:v>581</c:v>
                </c:pt>
                <c:pt idx="381">
                  <c:v>564</c:v>
                </c:pt>
                <c:pt idx="382">
                  <c:v>564</c:v>
                </c:pt>
                <c:pt idx="383">
                  <c:v>546</c:v>
                </c:pt>
                <c:pt idx="384">
                  <c:v>540</c:v>
                </c:pt>
                <c:pt idx="385">
                  <c:v>543</c:v>
                </c:pt>
                <c:pt idx="386">
                  <c:v>567</c:v>
                </c:pt>
                <c:pt idx="387">
                  <c:v>556</c:v>
                </c:pt>
                <c:pt idx="388">
                  <c:v>533</c:v>
                </c:pt>
                <c:pt idx="389">
                  <c:v>539</c:v>
                </c:pt>
                <c:pt idx="390">
                  <c:v>545</c:v>
                </c:pt>
                <c:pt idx="391">
                  <c:v>581</c:v>
                </c:pt>
                <c:pt idx="392">
                  <c:v>536</c:v>
                </c:pt>
                <c:pt idx="393">
                  <c:v>528</c:v>
                </c:pt>
                <c:pt idx="394">
                  <c:v>555</c:v>
                </c:pt>
                <c:pt idx="395">
                  <c:v>563</c:v>
                </c:pt>
                <c:pt idx="396">
                  <c:v>549</c:v>
                </c:pt>
                <c:pt idx="397">
                  <c:v>568</c:v>
                </c:pt>
                <c:pt idx="398">
                  <c:v>555</c:v>
                </c:pt>
                <c:pt idx="399">
                  <c:v>552</c:v>
                </c:pt>
                <c:pt idx="400">
                  <c:v>582</c:v>
                </c:pt>
                <c:pt idx="401">
                  <c:v>545</c:v>
                </c:pt>
                <c:pt idx="402">
                  <c:v>577</c:v>
                </c:pt>
                <c:pt idx="403">
                  <c:v>577</c:v>
                </c:pt>
                <c:pt idx="404">
                  <c:v>578</c:v>
                </c:pt>
                <c:pt idx="405">
                  <c:v>534</c:v>
                </c:pt>
                <c:pt idx="406">
                  <c:v>525</c:v>
                </c:pt>
                <c:pt idx="407">
                  <c:v>548</c:v>
                </c:pt>
                <c:pt idx="408">
                  <c:v>536</c:v>
                </c:pt>
                <c:pt idx="409">
                  <c:v>533</c:v>
                </c:pt>
                <c:pt idx="410">
                  <c:v>574</c:v>
                </c:pt>
                <c:pt idx="411">
                  <c:v>608</c:v>
                </c:pt>
                <c:pt idx="412">
                  <c:v>512</c:v>
                </c:pt>
                <c:pt idx="413">
                  <c:v>567</c:v>
                </c:pt>
                <c:pt idx="414">
                  <c:v>551</c:v>
                </c:pt>
                <c:pt idx="415">
                  <c:v>526</c:v>
                </c:pt>
                <c:pt idx="416">
                  <c:v>553</c:v>
                </c:pt>
                <c:pt idx="417">
                  <c:v>536</c:v>
                </c:pt>
                <c:pt idx="418">
                  <c:v>496</c:v>
                </c:pt>
                <c:pt idx="419">
                  <c:v>547</c:v>
                </c:pt>
                <c:pt idx="420">
                  <c:v>546</c:v>
                </c:pt>
                <c:pt idx="421">
                  <c:v>552</c:v>
                </c:pt>
                <c:pt idx="422">
                  <c:v>518</c:v>
                </c:pt>
                <c:pt idx="423">
                  <c:v>546</c:v>
                </c:pt>
                <c:pt idx="424">
                  <c:v>583</c:v>
                </c:pt>
                <c:pt idx="425">
                  <c:v>513</c:v>
                </c:pt>
                <c:pt idx="426">
                  <c:v>527</c:v>
                </c:pt>
                <c:pt idx="427">
                  <c:v>516</c:v>
                </c:pt>
                <c:pt idx="428">
                  <c:v>515</c:v>
                </c:pt>
                <c:pt idx="429">
                  <c:v>562</c:v>
                </c:pt>
                <c:pt idx="430">
                  <c:v>560</c:v>
                </c:pt>
                <c:pt idx="431">
                  <c:v>540</c:v>
                </c:pt>
                <c:pt idx="432">
                  <c:v>561</c:v>
                </c:pt>
                <c:pt idx="433">
                  <c:v>500</c:v>
                </c:pt>
                <c:pt idx="434">
                  <c:v>525</c:v>
                </c:pt>
                <c:pt idx="435">
                  <c:v>512</c:v>
                </c:pt>
                <c:pt idx="436">
                  <c:v>540</c:v>
                </c:pt>
                <c:pt idx="437">
                  <c:v>547</c:v>
                </c:pt>
                <c:pt idx="438">
                  <c:v>535</c:v>
                </c:pt>
                <c:pt idx="439">
                  <c:v>542</c:v>
                </c:pt>
                <c:pt idx="440">
                  <c:v>503</c:v>
                </c:pt>
                <c:pt idx="441">
                  <c:v>482</c:v>
                </c:pt>
                <c:pt idx="442">
                  <c:v>503</c:v>
                </c:pt>
                <c:pt idx="443">
                  <c:v>531</c:v>
                </c:pt>
                <c:pt idx="444">
                  <c:v>551</c:v>
                </c:pt>
                <c:pt idx="445">
                  <c:v>517</c:v>
                </c:pt>
                <c:pt idx="446">
                  <c:v>502</c:v>
                </c:pt>
                <c:pt idx="447">
                  <c:v>498</c:v>
                </c:pt>
                <c:pt idx="448">
                  <c:v>487</c:v>
                </c:pt>
                <c:pt idx="449">
                  <c:v>528</c:v>
                </c:pt>
                <c:pt idx="450">
                  <c:v>532</c:v>
                </c:pt>
                <c:pt idx="451">
                  <c:v>527</c:v>
                </c:pt>
                <c:pt idx="452">
                  <c:v>488</c:v>
                </c:pt>
                <c:pt idx="453">
                  <c:v>485</c:v>
                </c:pt>
                <c:pt idx="454">
                  <c:v>493</c:v>
                </c:pt>
                <c:pt idx="455">
                  <c:v>480</c:v>
                </c:pt>
                <c:pt idx="456">
                  <c:v>503</c:v>
                </c:pt>
                <c:pt idx="457">
                  <c:v>519</c:v>
                </c:pt>
                <c:pt idx="458">
                  <c:v>469</c:v>
                </c:pt>
                <c:pt idx="459">
                  <c:v>507</c:v>
                </c:pt>
                <c:pt idx="460">
                  <c:v>543</c:v>
                </c:pt>
                <c:pt idx="461">
                  <c:v>485</c:v>
                </c:pt>
                <c:pt idx="462">
                  <c:v>469</c:v>
                </c:pt>
                <c:pt idx="463">
                  <c:v>466</c:v>
                </c:pt>
                <c:pt idx="464">
                  <c:v>526</c:v>
                </c:pt>
                <c:pt idx="465">
                  <c:v>474</c:v>
                </c:pt>
                <c:pt idx="466">
                  <c:v>494</c:v>
                </c:pt>
                <c:pt idx="467">
                  <c:v>482</c:v>
                </c:pt>
                <c:pt idx="468">
                  <c:v>480</c:v>
                </c:pt>
                <c:pt idx="469">
                  <c:v>494</c:v>
                </c:pt>
                <c:pt idx="470">
                  <c:v>482</c:v>
                </c:pt>
                <c:pt idx="471">
                  <c:v>490</c:v>
                </c:pt>
                <c:pt idx="472">
                  <c:v>512</c:v>
                </c:pt>
                <c:pt idx="473">
                  <c:v>523</c:v>
                </c:pt>
                <c:pt idx="474">
                  <c:v>546</c:v>
                </c:pt>
                <c:pt idx="475">
                  <c:v>510</c:v>
                </c:pt>
                <c:pt idx="476">
                  <c:v>482</c:v>
                </c:pt>
                <c:pt idx="477">
                  <c:v>472</c:v>
                </c:pt>
                <c:pt idx="478">
                  <c:v>500</c:v>
                </c:pt>
                <c:pt idx="479">
                  <c:v>467</c:v>
                </c:pt>
                <c:pt idx="480">
                  <c:v>520</c:v>
                </c:pt>
                <c:pt idx="481">
                  <c:v>477</c:v>
                </c:pt>
                <c:pt idx="482">
                  <c:v>502</c:v>
                </c:pt>
                <c:pt idx="483">
                  <c:v>486</c:v>
                </c:pt>
                <c:pt idx="484">
                  <c:v>488</c:v>
                </c:pt>
                <c:pt idx="485">
                  <c:v>518</c:v>
                </c:pt>
                <c:pt idx="486">
                  <c:v>516</c:v>
                </c:pt>
                <c:pt idx="487">
                  <c:v>507</c:v>
                </c:pt>
                <c:pt idx="488">
                  <c:v>455</c:v>
                </c:pt>
                <c:pt idx="489">
                  <c:v>521</c:v>
                </c:pt>
                <c:pt idx="490">
                  <c:v>488</c:v>
                </c:pt>
                <c:pt idx="491">
                  <c:v>487</c:v>
                </c:pt>
                <c:pt idx="492">
                  <c:v>487</c:v>
                </c:pt>
                <c:pt idx="493">
                  <c:v>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1-4875-B88C-B488B95351CA}"/>
            </c:ext>
          </c:extLst>
        </c:ser>
        <c:ser>
          <c:idx val="1"/>
          <c:order val="1"/>
          <c:tx>
            <c:strRef>
              <c:f>'sheet 1'!$V$37</c:f>
              <c:strCache>
                <c:ptCount val="1"/>
                <c:pt idx="0">
                  <c:v>Theoretical</c:v>
                </c:pt>
              </c:strCache>
            </c:strRef>
          </c:tx>
          <c:spPr>
            <a:ln w="19050">
              <a:solidFill>
                <a:srgbClr val="C00000"/>
              </a:solidFill>
            </a:ln>
          </c:spPr>
          <c:marker>
            <c:symbol val="diamond"/>
            <c:size val="4"/>
          </c:marker>
          <c:xVal>
            <c:numRef>
              <c:f>'sheet 1'!$B$39:$B$840</c:f>
              <c:numCache>
                <c:formatCode>General</c:formatCode>
                <c:ptCount val="802"/>
                <c:pt idx="0">
                  <c:v>0</c:v>
                </c:pt>
                <c:pt idx="1">
                  <c:v>0.20000000000000284</c:v>
                </c:pt>
                <c:pt idx="2">
                  <c:v>0.5</c:v>
                </c:pt>
                <c:pt idx="3">
                  <c:v>0.80000000000000426</c:v>
                </c:pt>
                <c:pt idx="4">
                  <c:v>1.1000000000000014</c:v>
                </c:pt>
                <c:pt idx="5">
                  <c:v>1.3999999999999986</c:v>
                </c:pt>
                <c:pt idx="6">
                  <c:v>1.7000000000000028</c:v>
                </c:pt>
                <c:pt idx="7">
                  <c:v>2</c:v>
                </c:pt>
                <c:pt idx="8">
                  <c:v>2.2000000000000028</c:v>
                </c:pt>
                <c:pt idx="9">
                  <c:v>2.5</c:v>
                </c:pt>
                <c:pt idx="10">
                  <c:v>2.8000000000000043</c:v>
                </c:pt>
                <c:pt idx="11">
                  <c:v>3.1000000000000014</c:v>
                </c:pt>
                <c:pt idx="12">
                  <c:v>3.3999999999999986</c:v>
                </c:pt>
                <c:pt idx="13">
                  <c:v>3.7000000000000028</c:v>
                </c:pt>
                <c:pt idx="14">
                  <c:v>4</c:v>
                </c:pt>
                <c:pt idx="15">
                  <c:v>4.2000000000000028</c:v>
                </c:pt>
                <c:pt idx="16">
                  <c:v>4.5</c:v>
                </c:pt>
                <c:pt idx="17">
                  <c:v>4.8000000000000043</c:v>
                </c:pt>
                <c:pt idx="18">
                  <c:v>5.1000000000000014</c:v>
                </c:pt>
                <c:pt idx="19">
                  <c:v>5.3999999999999986</c:v>
                </c:pt>
                <c:pt idx="20">
                  <c:v>5.6999999999999957</c:v>
                </c:pt>
                <c:pt idx="21">
                  <c:v>6.0000000000000071</c:v>
                </c:pt>
                <c:pt idx="22">
                  <c:v>6.1999999999999957</c:v>
                </c:pt>
                <c:pt idx="23">
                  <c:v>6.5000000000000071</c:v>
                </c:pt>
                <c:pt idx="24">
                  <c:v>6.8000000000000043</c:v>
                </c:pt>
                <c:pt idx="25">
                  <c:v>7.1000000000000014</c:v>
                </c:pt>
                <c:pt idx="26">
                  <c:v>7.3999999999999986</c:v>
                </c:pt>
                <c:pt idx="27">
                  <c:v>7.6999999999999957</c:v>
                </c:pt>
                <c:pt idx="28">
                  <c:v>8.0000000000000071</c:v>
                </c:pt>
                <c:pt idx="29">
                  <c:v>8.1999999999999957</c:v>
                </c:pt>
                <c:pt idx="30">
                  <c:v>8.5000000000000071</c:v>
                </c:pt>
                <c:pt idx="31">
                  <c:v>8.8000000000000043</c:v>
                </c:pt>
                <c:pt idx="32">
                  <c:v>9.1000000000000014</c:v>
                </c:pt>
                <c:pt idx="33">
                  <c:v>9.3999999999999986</c:v>
                </c:pt>
                <c:pt idx="34">
                  <c:v>9.6999999999999957</c:v>
                </c:pt>
                <c:pt idx="35">
                  <c:v>10.000000000000007</c:v>
                </c:pt>
                <c:pt idx="36">
                  <c:v>10.199999999999996</c:v>
                </c:pt>
                <c:pt idx="37">
                  <c:v>10.500000000000007</c:v>
                </c:pt>
                <c:pt idx="38">
                  <c:v>10.800000000000004</c:v>
                </c:pt>
                <c:pt idx="39">
                  <c:v>11.100000000000001</c:v>
                </c:pt>
                <c:pt idx="40">
                  <c:v>11.399999999999999</c:v>
                </c:pt>
                <c:pt idx="41">
                  <c:v>11.699999999999996</c:v>
                </c:pt>
                <c:pt idx="42">
                  <c:v>12.000000000000007</c:v>
                </c:pt>
                <c:pt idx="43">
                  <c:v>12.199999999999996</c:v>
                </c:pt>
                <c:pt idx="44">
                  <c:v>12.500000000000007</c:v>
                </c:pt>
                <c:pt idx="45">
                  <c:v>12.800000000000004</c:v>
                </c:pt>
                <c:pt idx="46">
                  <c:v>13.100000000000001</c:v>
                </c:pt>
                <c:pt idx="47">
                  <c:v>13.399999999999999</c:v>
                </c:pt>
                <c:pt idx="48">
                  <c:v>13.699999999999996</c:v>
                </c:pt>
                <c:pt idx="49">
                  <c:v>14.000000000000007</c:v>
                </c:pt>
                <c:pt idx="50">
                  <c:v>14.199999999999996</c:v>
                </c:pt>
                <c:pt idx="51">
                  <c:v>14.500000000000007</c:v>
                </c:pt>
                <c:pt idx="52">
                  <c:v>14.800000000000004</c:v>
                </c:pt>
                <c:pt idx="53">
                  <c:v>15.100000000000001</c:v>
                </c:pt>
                <c:pt idx="54">
                  <c:v>15.399999999999999</c:v>
                </c:pt>
                <c:pt idx="55">
                  <c:v>15.699999999999996</c:v>
                </c:pt>
                <c:pt idx="56">
                  <c:v>16.000000000000007</c:v>
                </c:pt>
                <c:pt idx="57">
                  <c:v>16.199999999999996</c:v>
                </c:pt>
                <c:pt idx="58">
                  <c:v>16.500000000000007</c:v>
                </c:pt>
                <c:pt idx="59">
                  <c:v>16.800000000000004</c:v>
                </c:pt>
                <c:pt idx="60">
                  <c:v>17.100000000000001</c:v>
                </c:pt>
                <c:pt idx="61">
                  <c:v>17.399999999999999</c:v>
                </c:pt>
                <c:pt idx="62">
                  <c:v>17.699999999999996</c:v>
                </c:pt>
                <c:pt idx="63">
                  <c:v>18.000000000000007</c:v>
                </c:pt>
                <c:pt idx="64">
                  <c:v>18.199999999999996</c:v>
                </c:pt>
                <c:pt idx="65">
                  <c:v>18.500000000000007</c:v>
                </c:pt>
                <c:pt idx="66">
                  <c:v>18.800000000000004</c:v>
                </c:pt>
                <c:pt idx="67">
                  <c:v>19.100000000000001</c:v>
                </c:pt>
                <c:pt idx="68">
                  <c:v>19.399999999999999</c:v>
                </c:pt>
                <c:pt idx="69">
                  <c:v>19.699999999999996</c:v>
                </c:pt>
                <c:pt idx="70">
                  <c:v>20.000000000000007</c:v>
                </c:pt>
                <c:pt idx="71">
                  <c:v>20.199999999999996</c:v>
                </c:pt>
                <c:pt idx="72">
                  <c:v>20.500000000000007</c:v>
                </c:pt>
                <c:pt idx="73">
                  <c:v>20.800000000000004</c:v>
                </c:pt>
                <c:pt idx="74">
                  <c:v>21.1</c:v>
                </c:pt>
                <c:pt idx="75">
                  <c:v>21.4</c:v>
                </c:pt>
                <c:pt idx="76">
                  <c:v>21.699999999999996</c:v>
                </c:pt>
                <c:pt idx="77">
                  <c:v>22.000000000000007</c:v>
                </c:pt>
                <c:pt idx="78">
                  <c:v>22.199999999999996</c:v>
                </c:pt>
                <c:pt idx="79">
                  <c:v>22.500000000000007</c:v>
                </c:pt>
                <c:pt idx="80">
                  <c:v>22.800000000000004</c:v>
                </c:pt>
                <c:pt idx="81">
                  <c:v>23.1</c:v>
                </c:pt>
                <c:pt idx="82">
                  <c:v>23.4</c:v>
                </c:pt>
                <c:pt idx="83">
                  <c:v>23.699999999999996</c:v>
                </c:pt>
                <c:pt idx="84">
                  <c:v>24.000000000000007</c:v>
                </c:pt>
                <c:pt idx="85">
                  <c:v>24.199999999999996</c:v>
                </c:pt>
                <c:pt idx="86">
                  <c:v>24.500000000000007</c:v>
                </c:pt>
                <c:pt idx="87">
                  <c:v>24.800000000000004</c:v>
                </c:pt>
                <c:pt idx="88">
                  <c:v>25.1</c:v>
                </c:pt>
                <c:pt idx="89">
                  <c:v>25.4</c:v>
                </c:pt>
                <c:pt idx="90">
                  <c:v>25.699999999999996</c:v>
                </c:pt>
                <c:pt idx="91">
                  <c:v>26.000000000000007</c:v>
                </c:pt>
                <c:pt idx="92">
                  <c:v>26.199999999999996</c:v>
                </c:pt>
                <c:pt idx="93">
                  <c:v>26.500000000000007</c:v>
                </c:pt>
                <c:pt idx="94">
                  <c:v>26.800000000000004</c:v>
                </c:pt>
                <c:pt idx="95">
                  <c:v>27.1</c:v>
                </c:pt>
                <c:pt idx="96">
                  <c:v>27.4</c:v>
                </c:pt>
                <c:pt idx="97">
                  <c:v>27.699999999999996</c:v>
                </c:pt>
                <c:pt idx="98">
                  <c:v>28.000000000000007</c:v>
                </c:pt>
                <c:pt idx="99">
                  <c:v>28.199999999999996</c:v>
                </c:pt>
                <c:pt idx="100">
                  <c:v>28.500000000000007</c:v>
                </c:pt>
                <c:pt idx="101">
                  <c:v>28.800000000000004</c:v>
                </c:pt>
                <c:pt idx="102">
                  <c:v>29.1</c:v>
                </c:pt>
                <c:pt idx="103">
                  <c:v>29.4</c:v>
                </c:pt>
                <c:pt idx="104">
                  <c:v>29.699999999999996</c:v>
                </c:pt>
                <c:pt idx="105">
                  <c:v>30.000000000000007</c:v>
                </c:pt>
                <c:pt idx="106">
                  <c:v>30.199999999999996</c:v>
                </c:pt>
                <c:pt idx="107">
                  <c:v>30.500000000000007</c:v>
                </c:pt>
                <c:pt idx="108">
                  <c:v>30.800000000000004</c:v>
                </c:pt>
                <c:pt idx="109">
                  <c:v>31.1</c:v>
                </c:pt>
                <c:pt idx="110">
                  <c:v>31.4</c:v>
                </c:pt>
                <c:pt idx="111">
                  <c:v>31.699999999999996</c:v>
                </c:pt>
                <c:pt idx="112">
                  <c:v>32.000000000000007</c:v>
                </c:pt>
                <c:pt idx="113">
                  <c:v>32.199999999999996</c:v>
                </c:pt>
                <c:pt idx="114">
                  <c:v>32.500000000000007</c:v>
                </c:pt>
                <c:pt idx="115">
                  <c:v>32.800000000000004</c:v>
                </c:pt>
                <c:pt idx="116">
                  <c:v>33.1</c:v>
                </c:pt>
                <c:pt idx="117">
                  <c:v>33.4</c:v>
                </c:pt>
                <c:pt idx="118">
                  <c:v>33.699999999999996</c:v>
                </c:pt>
                <c:pt idx="119">
                  <c:v>34.000000000000007</c:v>
                </c:pt>
                <c:pt idx="120">
                  <c:v>34.199999999999996</c:v>
                </c:pt>
                <c:pt idx="121">
                  <c:v>34.500000000000007</c:v>
                </c:pt>
                <c:pt idx="122">
                  <c:v>34.800000000000004</c:v>
                </c:pt>
                <c:pt idx="123">
                  <c:v>35.1</c:v>
                </c:pt>
                <c:pt idx="124">
                  <c:v>35.4</c:v>
                </c:pt>
                <c:pt idx="125">
                  <c:v>35.699999999999996</c:v>
                </c:pt>
                <c:pt idx="126">
                  <c:v>36.000000000000007</c:v>
                </c:pt>
                <c:pt idx="127">
                  <c:v>36.199999999999996</c:v>
                </c:pt>
                <c:pt idx="128">
                  <c:v>36.500000000000007</c:v>
                </c:pt>
                <c:pt idx="129">
                  <c:v>36.800000000000004</c:v>
                </c:pt>
                <c:pt idx="130">
                  <c:v>37.1</c:v>
                </c:pt>
                <c:pt idx="131">
                  <c:v>37.4</c:v>
                </c:pt>
                <c:pt idx="132">
                  <c:v>37.699999999999996</c:v>
                </c:pt>
                <c:pt idx="133">
                  <c:v>38.000000000000007</c:v>
                </c:pt>
                <c:pt idx="134">
                  <c:v>38.199999999999996</c:v>
                </c:pt>
                <c:pt idx="135">
                  <c:v>38.500000000000007</c:v>
                </c:pt>
                <c:pt idx="136">
                  <c:v>38.800000000000004</c:v>
                </c:pt>
                <c:pt idx="137">
                  <c:v>39.1</c:v>
                </c:pt>
                <c:pt idx="138">
                  <c:v>39.4</c:v>
                </c:pt>
                <c:pt idx="139">
                  <c:v>39.699999999999996</c:v>
                </c:pt>
                <c:pt idx="140">
                  <c:v>40.000000000000007</c:v>
                </c:pt>
                <c:pt idx="141">
                  <c:v>40.199999999999996</c:v>
                </c:pt>
                <c:pt idx="142">
                  <c:v>40.500000000000007</c:v>
                </c:pt>
                <c:pt idx="143">
                  <c:v>40.800000000000004</c:v>
                </c:pt>
                <c:pt idx="144">
                  <c:v>41.1</c:v>
                </c:pt>
                <c:pt idx="145">
                  <c:v>41.4</c:v>
                </c:pt>
                <c:pt idx="146">
                  <c:v>41.699999999999996</c:v>
                </c:pt>
                <c:pt idx="147">
                  <c:v>42.000000000000007</c:v>
                </c:pt>
                <c:pt idx="148">
                  <c:v>42.199999999999996</c:v>
                </c:pt>
                <c:pt idx="149">
                  <c:v>42.500000000000007</c:v>
                </c:pt>
                <c:pt idx="150">
                  <c:v>42.800000000000004</c:v>
                </c:pt>
                <c:pt idx="151">
                  <c:v>43.1</c:v>
                </c:pt>
                <c:pt idx="152">
                  <c:v>43.4</c:v>
                </c:pt>
                <c:pt idx="153">
                  <c:v>43.699999999999996</c:v>
                </c:pt>
                <c:pt idx="154">
                  <c:v>44.000000000000007</c:v>
                </c:pt>
                <c:pt idx="155">
                  <c:v>44.199999999999996</c:v>
                </c:pt>
                <c:pt idx="156">
                  <c:v>44.500000000000007</c:v>
                </c:pt>
                <c:pt idx="157">
                  <c:v>44.800000000000004</c:v>
                </c:pt>
                <c:pt idx="158">
                  <c:v>45.1</c:v>
                </c:pt>
                <c:pt idx="159">
                  <c:v>45.4</c:v>
                </c:pt>
                <c:pt idx="160">
                  <c:v>45.699999999999996</c:v>
                </c:pt>
                <c:pt idx="161">
                  <c:v>46.000000000000007</c:v>
                </c:pt>
                <c:pt idx="162">
                  <c:v>46.199999999999996</c:v>
                </c:pt>
                <c:pt idx="163">
                  <c:v>46.500000000000007</c:v>
                </c:pt>
                <c:pt idx="164">
                  <c:v>46.800000000000004</c:v>
                </c:pt>
                <c:pt idx="165">
                  <c:v>47.1</c:v>
                </c:pt>
                <c:pt idx="166">
                  <c:v>47.4</c:v>
                </c:pt>
                <c:pt idx="167">
                  <c:v>47.699999999999996</c:v>
                </c:pt>
                <c:pt idx="168">
                  <c:v>48.000000000000007</c:v>
                </c:pt>
                <c:pt idx="169">
                  <c:v>48.199999999999996</c:v>
                </c:pt>
                <c:pt idx="170">
                  <c:v>48.500000000000007</c:v>
                </c:pt>
                <c:pt idx="171">
                  <c:v>48.800000000000004</c:v>
                </c:pt>
                <c:pt idx="172">
                  <c:v>49.1</c:v>
                </c:pt>
                <c:pt idx="173">
                  <c:v>49.4</c:v>
                </c:pt>
                <c:pt idx="174">
                  <c:v>49.699999999999996</c:v>
                </c:pt>
                <c:pt idx="175">
                  <c:v>50.000000000000007</c:v>
                </c:pt>
                <c:pt idx="176">
                  <c:v>50.199999999999996</c:v>
                </c:pt>
                <c:pt idx="177">
                  <c:v>50.500000000000007</c:v>
                </c:pt>
                <c:pt idx="178">
                  <c:v>50.800000000000004</c:v>
                </c:pt>
                <c:pt idx="179">
                  <c:v>51.1</c:v>
                </c:pt>
                <c:pt idx="180">
                  <c:v>51.4</c:v>
                </c:pt>
                <c:pt idx="181">
                  <c:v>51.699999999999996</c:v>
                </c:pt>
                <c:pt idx="182">
                  <c:v>52.000000000000007</c:v>
                </c:pt>
                <c:pt idx="183">
                  <c:v>52.199999999999996</c:v>
                </c:pt>
                <c:pt idx="184">
                  <c:v>52.500000000000007</c:v>
                </c:pt>
                <c:pt idx="185">
                  <c:v>52.800000000000004</c:v>
                </c:pt>
                <c:pt idx="186">
                  <c:v>53.1</c:v>
                </c:pt>
                <c:pt idx="187">
                  <c:v>53.4</c:v>
                </c:pt>
                <c:pt idx="188">
                  <c:v>53.699999999999996</c:v>
                </c:pt>
                <c:pt idx="189">
                  <c:v>54.000000000000007</c:v>
                </c:pt>
                <c:pt idx="190">
                  <c:v>54.199999999999996</c:v>
                </c:pt>
                <c:pt idx="191">
                  <c:v>54.500000000000007</c:v>
                </c:pt>
                <c:pt idx="192">
                  <c:v>54.800000000000004</c:v>
                </c:pt>
                <c:pt idx="193">
                  <c:v>55.1</c:v>
                </c:pt>
                <c:pt idx="194">
                  <c:v>55.4</c:v>
                </c:pt>
                <c:pt idx="195">
                  <c:v>55.699999999999996</c:v>
                </c:pt>
                <c:pt idx="196">
                  <c:v>56.000000000000007</c:v>
                </c:pt>
                <c:pt idx="197">
                  <c:v>56.199999999999996</c:v>
                </c:pt>
                <c:pt idx="198">
                  <c:v>56.500000000000007</c:v>
                </c:pt>
                <c:pt idx="199">
                  <c:v>56.800000000000004</c:v>
                </c:pt>
                <c:pt idx="200">
                  <c:v>57.1</c:v>
                </c:pt>
                <c:pt idx="201">
                  <c:v>57.4</c:v>
                </c:pt>
                <c:pt idx="202">
                  <c:v>57.699999999999996</c:v>
                </c:pt>
                <c:pt idx="203">
                  <c:v>58.000000000000007</c:v>
                </c:pt>
                <c:pt idx="204">
                  <c:v>58.199999999999996</c:v>
                </c:pt>
                <c:pt idx="205">
                  <c:v>58.500000000000007</c:v>
                </c:pt>
                <c:pt idx="206">
                  <c:v>58.800000000000004</c:v>
                </c:pt>
                <c:pt idx="207">
                  <c:v>59.1</c:v>
                </c:pt>
                <c:pt idx="208">
                  <c:v>59.4</c:v>
                </c:pt>
                <c:pt idx="209">
                  <c:v>59.699999999999996</c:v>
                </c:pt>
                <c:pt idx="210">
                  <c:v>60.000000000000007</c:v>
                </c:pt>
                <c:pt idx="211">
                  <c:v>60.199999999999996</c:v>
                </c:pt>
                <c:pt idx="212">
                  <c:v>60.500000000000007</c:v>
                </c:pt>
                <c:pt idx="213">
                  <c:v>60.800000000000004</c:v>
                </c:pt>
                <c:pt idx="214">
                  <c:v>61.1</c:v>
                </c:pt>
                <c:pt idx="215">
                  <c:v>61.4</c:v>
                </c:pt>
                <c:pt idx="216">
                  <c:v>61.699999999999996</c:v>
                </c:pt>
                <c:pt idx="217">
                  <c:v>62.000000000000007</c:v>
                </c:pt>
                <c:pt idx="218">
                  <c:v>62.199999999999996</c:v>
                </c:pt>
                <c:pt idx="219">
                  <c:v>62.500000000000007</c:v>
                </c:pt>
                <c:pt idx="220">
                  <c:v>62.800000000000004</c:v>
                </c:pt>
                <c:pt idx="221">
                  <c:v>63.1</c:v>
                </c:pt>
                <c:pt idx="222">
                  <c:v>63.4</c:v>
                </c:pt>
                <c:pt idx="223">
                  <c:v>63.699999999999996</c:v>
                </c:pt>
                <c:pt idx="224">
                  <c:v>64</c:v>
                </c:pt>
                <c:pt idx="225">
                  <c:v>64.199999999999989</c:v>
                </c:pt>
                <c:pt idx="226">
                  <c:v>64.5</c:v>
                </c:pt>
                <c:pt idx="227">
                  <c:v>64.800000000000011</c:v>
                </c:pt>
                <c:pt idx="228">
                  <c:v>65.099999999999994</c:v>
                </c:pt>
                <c:pt idx="229">
                  <c:v>65.400000000000006</c:v>
                </c:pt>
                <c:pt idx="230">
                  <c:v>65.699999999999989</c:v>
                </c:pt>
                <c:pt idx="231">
                  <c:v>66</c:v>
                </c:pt>
                <c:pt idx="232">
                  <c:v>66.199999999999989</c:v>
                </c:pt>
                <c:pt idx="233">
                  <c:v>66.5</c:v>
                </c:pt>
                <c:pt idx="234">
                  <c:v>66.800000000000011</c:v>
                </c:pt>
                <c:pt idx="235">
                  <c:v>67.099999999999994</c:v>
                </c:pt>
                <c:pt idx="236">
                  <c:v>67.400000000000006</c:v>
                </c:pt>
                <c:pt idx="237">
                  <c:v>67.699999999999989</c:v>
                </c:pt>
                <c:pt idx="238">
                  <c:v>68</c:v>
                </c:pt>
                <c:pt idx="239">
                  <c:v>68.199999999999989</c:v>
                </c:pt>
                <c:pt idx="240">
                  <c:v>68.5</c:v>
                </c:pt>
                <c:pt idx="241">
                  <c:v>68.800000000000011</c:v>
                </c:pt>
                <c:pt idx="242">
                  <c:v>69.099999999999994</c:v>
                </c:pt>
                <c:pt idx="243">
                  <c:v>69.400000000000006</c:v>
                </c:pt>
                <c:pt idx="244">
                  <c:v>69.699999999999989</c:v>
                </c:pt>
                <c:pt idx="245">
                  <c:v>70</c:v>
                </c:pt>
                <c:pt idx="246">
                  <c:v>70.199999999999989</c:v>
                </c:pt>
                <c:pt idx="247">
                  <c:v>70.5</c:v>
                </c:pt>
                <c:pt idx="248">
                  <c:v>70.799999999999983</c:v>
                </c:pt>
                <c:pt idx="249">
                  <c:v>71.099999999999994</c:v>
                </c:pt>
                <c:pt idx="250">
                  <c:v>71.400000000000006</c:v>
                </c:pt>
                <c:pt idx="251">
                  <c:v>71.699999999999989</c:v>
                </c:pt>
                <c:pt idx="252">
                  <c:v>72</c:v>
                </c:pt>
                <c:pt idx="253">
                  <c:v>72.199999999999989</c:v>
                </c:pt>
                <c:pt idx="254">
                  <c:v>72.5</c:v>
                </c:pt>
                <c:pt idx="255">
                  <c:v>72.799999999999983</c:v>
                </c:pt>
                <c:pt idx="256">
                  <c:v>73.099999999999994</c:v>
                </c:pt>
                <c:pt idx="257">
                  <c:v>73.400000000000006</c:v>
                </c:pt>
                <c:pt idx="258">
                  <c:v>73.699999999999989</c:v>
                </c:pt>
                <c:pt idx="259">
                  <c:v>74</c:v>
                </c:pt>
                <c:pt idx="260">
                  <c:v>74.199999999999989</c:v>
                </c:pt>
                <c:pt idx="261">
                  <c:v>74.5</c:v>
                </c:pt>
                <c:pt idx="262">
                  <c:v>74.799999999999983</c:v>
                </c:pt>
                <c:pt idx="263">
                  <c:v>75.099999999999994</c:v>
                </c:pt>
                <c:pt idx="264">
                  <c:v>75.400000000000006</c:v>
                </c:pt>
                <c:pt idx="265">
                  <c:v>75.699999999999989</c:v>
                </c:pt>
                <c:pt idx="266">
                  <c:v>76</c:v>
                </c:pt>
                <c:pt idx="267">
                  <c:v>76.199999999999989</c:v>
                </c:pt>
                <c:pt idx="268">
                  <c:v>76.5</c:v>
                </c:pt>
                <c:pt idx="269">
                  <c:v>76.799999999999983</c:v>
                </c:pt>
                <c:pt idx="270">
                  <c:v>77.099999999999994</c:v>
                </c:pt>
                <c:pt idx="271">
                  <c:v>77.400000000000006</c:v>
                </c:pt>
                <c:pt idx="272">
                  <c:v>77.699999999999989</c:v>
                </c:pt>
                <c:pt idx="273">
                  <c:v>78</c:v>
                </c:pt>
                <c:pt idx="274">
                  <c:v>78.199999999999989</c:v>
                </c:pt>
                <c:pt idx="275">
                  <c:v>78.5</c:v>
                </c:pt>
                <c:pt idx="276">
                  <c:v>78.799999999999983</c:v>
                </c:pt>
                <c:pt idx="277">
                  <c:v>79.099999999999994</c:v>
                </c:pt>
                <c:pt idx="278">
                  <c:v>79.400000000000006</c:v>
                </c:pt>
                <c:pt idx="279">
                  <c:v>79.699999999999989</c:v>
                </c:pt>
                <c:pt idx="280">
                  <c:v>80</c:v>
                </c:pt>
                <c:pt idx="281">
                  <c:v>80.199999999999989</c:v>
                </c:pt>
                <c:pt idx="282">
                  <c:v>80.5</c:v>
                </c:pt>
                <c:pt idx="283">
                  <c:v>80.799999999999983</c:v>
                </c:pt>
                <c:pt idx="284">
                  <c:v>81.099999999999994</c:v>
                </c:pt>
                <c:pt idx="285">
                  <c:v>81.400000000000006</c:v>
                </c:pt>
                <c:pt idx="286">
                  <c:v>81.699999999999989</c:v>
                </c:pt>
                <c:pt idx="287">
                  <c:v>82</c:v>
                </c:pt>
                <c:pt idx="288">
                  <c:v>82.199999999999989</c:v>
                </c:pt>
                <c:pt idx="289">
                  <c:v>82.5</c:v>
                </c:pt>
                <c:pt idx="290">
                  <c:v>82.799999999999983</c:v>
                </c:pt>
                <c:pt idx="291">
                  <c:v>83.1</c:v>
                </c:pt>
                <c:pt idx="292">
                  <c:v>83.4</c:v>
                </c:pt>
                <c:pt idx="293">
                  <c:v>83.699999999999989</c:v>
                </c:pt>
                <c:pt idx="294">
                  <c:v>84</c:v>
                </c:pt>
                <c:pt idx="295">
                  <c:v>84.199999999999989</c:v>
                </c:pt>
                <c:pt idx="296">
                  <c:v>84.5</c:v>
                </c:pt>
                <c:pt idx="297">
                  <c:v>84.799999999999983</c:v>
                </c:pt>
                <c:pt idx="298">
                  <c:v>85.1</c:v>
                </c:pt>
                <c:pt idx="299">
                  <c:v>85.4</c:v>
                </c:pt>
                <c:pt idx="300">
                  <c:v>85.699999999999989</c:v>
                </c:pt>
                <c:pt idx="301">
                  <c:v>86</c:v>
                </c:pt>
                <c:pt idx="302">
                  <c:v>86.199999999999989</c:v>
                </c:pt>
                <c:pt idx="303">
                  <c:v>86.5</c:v>
                </c:pt>
                <c:pt idx="304">
                  <c:v>86.799999999999983</c:v>
                </c:pt>
                <c:pt idx="305">
                  <c:v>87.1</c:v>
                </c:pt>
                <c:pt idx="306">
                  <c:v>87.4</c:v>
                </c:pt>
                <c:pt idx="307">
                  <c:v>87.699999999999989</c:v>
                </c:pt>
                <c:pt idx="308">
                  <c:v>88</c:v>
                </c:pt>
                <c:pt idx="309">
                  <c:v>88.199999999999989</c:v>
                </c:pt>
                <c:pt idx="310">
                  <c:v>88.5</c:v>
                </c:pt>
                <c:pt idx="311">
                  <c:v>88.799999999999983</c:v>
                </c:pt>
                <c:pt idx="312">
                  <c:v>89.1</c:v>
                </c:pt>
                <c:pt idx="313">
                  <c:v>89.4</c:v>
                </c:pt>
                <c:pt idx="314">
                  <c:v>89.699999999999989</c:v>
                </c:pt>
                <c:pt idx="315">
                  <c:v>90</c:v>
                </c:pt>
                <c:pt idx="316">
                  <c:v>90.199999999999989</c:v>
                </c:pt>
                <c:pt idx="317">
                  <c:v>90.5</c:v>
                </c:pt>
                <c:pt idx="318">
                  <c:v>90.799999999999983</c:v>
                </c:pt>
                <c:pt idx="319">
                  <c:v>91.1</c:v>
                </c:pt>
                <c:pt idx="320">
                  <c:v>91.4</c:v>
                </c:pt>
                <c:pt idx="321">
                  <c:v>91.699999999999989</c:v>
                </c:pt>
                <c:pt idx="322">
                  <c:v>92</c:v>
                </c:pt>
                <c:pt idx="323">
                  <c:v>92.199999999999989</c:v>
                </c:pt>
                <c:pt idx="324">
                  <c:v>92.5</c:v>
                </c:pt>
                <c:pt idx="325">
                  <c:v>92.799999999999983</c:v>
                </c:pt>
                <c:pt idx="326">
                  <c:v>93.1</c:v>
                </c:pt>
                <c:pt idx="327">
                  <c:v>93.4</c:v>
                </c:pt>
                <c:pt idx="328">
                  <c:v>93.699999999999989</c:v>
                </c:pt>
                <c:pt idx="329">
                  <c:v>94</c:v>
                </c:pt>
                <c:pt idx="330">
                  <c:v>94.199999999999989</c:v>
                </c:pt>
                <c:pt idx="331">
                  <c:v>94.5</c:v>
                </c:pt>
                <c:pt idx="332">
                  <c:v>94.799999999999983</c:v>
                </c:pt>
                <c:pt idx="333">
                  <c:v>95.1</c:v>
                </c:pt>
                <c:pt idx="334">
                  <c:v>95.4</c:v>
                </c:pt>
                <c:pt idx="335">
                  <c:v>95.699999999999989</c:v>
                </c:pt>
                <c:pt idx="336">
                  <c:v>96</c:v>
                </c:pt>
                <c:pt idx="337">
                  <c:v>96.199999999999989</c:v>
                </c:pt>
                <c:pt idx="338">
                  <c:v>96.5</c:v>
                </c:pt>
                <c:pt idx="339">
                  <c:v>96.799999999999983</c:v>
                </c:pt>
                <c:pt idx="340">
                  <c:v>97.1</c:v>
                </c:pt>
                <c:pt idx="341">
                  <c:v>97.4</c:v>
                </c:pt>
                <c:pt idx="342">
                  <c:v>97.699999999999989</c:v>
                </c:pt>
                <c:pt idx="343">
                  <c:v>98</c:v>
                </c:pt>
                <c:pt idx="344">
                  <c:v>98.199999999999989</c:v>
                </c:pt>
                <c:pt idx="345">
                  <c:v>98.5</c:v>
                </c:pt>
                <c:pt idx="346">
                  <c:v>98.799999999999983</c:v>
                </c:pt>
                <c:pt idx="347">
                  <c:v>99.1</c:v>
                </c:pt>
                <c:pt idx="348">
                  <c:v>99.4</c:v>
                </c:pt>
                <c:pt idx="349">
                  <c:v>99.699999999999989</c:v>
                </c:pt>
                <c:pt idx="350">
                  <c:v>100</c:v>
                </c:pt>
                <c:pt idx="351">
                  <c:v>100.19999999999999</c:v>
                </c:pt>
                <c:pt idx="352">
                  <c:v>100.5</c:v>
                </c:pt>
                <c:pt idx="353">
                  <c:v>100.79999999999998</c:v>
                </c:pt>
                <c:pt idx="354">
                  <c:v>101.1</c:v>
                </c:pt>
                <c:pt idx="355">
                  <c:v>101.4</c:v>
                </c:pt>
                <c:pt idx="356">
                  <c:v>101.69999999999999</c:v>
                </c:pt>
                <c:pt idx="357">
                  <c:v>102</c:v>
                </c:pt>
                <c:pt idx="358">
                  <c:v>102.19999999999999</c:v>
                </c:pt>
                <c:pt idx="359">
                  <c:v>102.5</c:v>
                </c:pt>
                <c:pt idx="360">
                  <c:v>102.79999999999998</c:v>
                </c:pt>
                <c:pt idx="361">
                  <c:v>103.1</c:v>
                </c:pt>
                <c:pt idx="362">
                  <c:v>103.4</c:v>
                </c:pt>
                <c:pt idx="363">
                  <c:v>103.69999999999999</c:v>
                </c:pt>
                <c:pt idx="364">
                  <c:v>104</c:v>
                </c:pt>
                <c:pt idx="365">
                  <c:v>104.19999999999999</c:v>
                </c:pt>
                <c:pt idx="366">
                  <c:v>104.5</c:v>
                </c:pt>
                <c:pt idx="367">
                  <c:v>104.79999999999998</c:v>
                </c:pt>
                <c:pt idx="368">
                  <c:v>105.1</c:v>
                </c:pt>
                <c:pt idx="369">
                  <c:v>105.4</c:v>
                </c:pt>
                <c:pt idx="370">
                  <c:v>105.69999999999999</c:v>
                </c:pt>
                <c:pt idx="371">
                  <c:v>106</c:v>
                </c:pt>
                <c:pt idx="372">
                  <c:v>106.19999999999999</c:v>
                </c:pt>
                <c:pt idx="373">
                  <c:v>106.5</c:v>
                </c:pt>
                <c:pt idx="374">
                  <c:v>106.79999999999998</c:v>
                </c:pt>
                <c:pt idx="375">
                  <c:v>107.1</c:v>
                </c:pt>
                <c:pt idx="376">
                  <c:v>107.4</c:v>
                </c:pt>
                <c:pt idx="377">
                  <c:v>107.69999999999999</c:v>
                </c:pt>
                <c:pt idx="378">
                  <c:v>108</c:v>
                </c:pt>
                <c:pt idx="379">
                  <c:v>108.19999999999999</c:v>
                </c:pt>
                <c:pt idx="380">
                  <c:v>108.5</c:v>
                </c:pt>
                <c:pt idx="381">
                  <c:v>108.79999999999998</c:v>
                </c:pt>
                <c:pt idx="382">
                  <c:v>109.1</c:v>
                </c:pt>
                <c:pt idx="383">
                  <c:v>109.4</c:v>
                </c:pt>
                <c:pt idx="384">
                  <c:v>109.69999999999999</c:v>
                </c:pt>
                <c:pt idx="385">
                  <c:v>110</c:v>
                </c:pt>
                <c:pt idx="386">
                  <c:v>110.19999999999999</c:v>
                </c:pt>
                <c:pt idx="387">
                  <c:v>110.5</c:v>
                </c:pt>
                <c:pt idx="388">
                  <c:v>110.79999999999998</c:v>
                </c:pt>
                <c:pt idx="389">
                  <c:v>111.1</c:v>
                </c:pt>
                <c:pt idx="390">
                  <c:v>111.4</c:v>
                </c:pt>
                <c:pt idx="391">
                  <c:v>111.69999999999999</c:v>
                </c:pt>
                <c:pt idx="392">
                  <c:v>112</c:v>
                </c:pt>
                <c:pt idx="393">
                  <c:v>112.19999999999999</c:v>
                </c:pt>
                <c:pt idx="394">
                  <c:v>112.5</c:v>
                </c:pt>
                <c:pt idx="395">
                  <c:v>112.79999999999998</c:v>
                </c:pt>
                <c:pt idx="396">
                  <c:v>113.1</c:v>
                </c:pt>
                <c:pt idx="397">
                  <c:v>113.4</c:v>
                </c:pt>
                <c:pt idx="398">
                  <c:v>113.69999999999999</c:v>
                </c:pt>
                <c:pt idx="399">
                  <c:v>114</c:v>
                </c:pt>
                <c:pt idx="400">
                  <c:v>114.19999999999999</c:v>
                </c:pt>
                <c:pt idx="401">
                  <c:v>114.5</c:v>
                </c:pt>
                <c:pt idx="402">
                  <c:v>114.79999999999998</c:v>
                </c:pt>
                <c:pt idx="403">
                  <c:v>115.1</c:v>
                </c:pt>
                <c:pt idx="404">
                  <c:v>115.4</c:v>
                </c:pt>
                <c:pt idx="405">
                  <c:v>115.69999999999999</c:v>
                </c:pt>
                <c:pt idx="406">
                  <c:v>116</c:v>
                </c:pt>
                <c:pt idx="407">
                  <c:v>116.19999999999999</c:v>
                </c:pt>
                <c:pt idx="408">
                  <c:v>116.5</c:v>
                </c:pt>
                <c:pt idx="409">
                  <c:v>116.79999999999998</c:v>
                </c:pt>
                <c:pt idx="410">
                  <c:v>117.1</c:v>
                </c:pt>
                <c:pt idx="411">
                  <c:v>117.4</c:v>
                </c:pt>
                <c:pt idx="412">
                  <c:v>117.69999999999999</c:v>
                </c:pt>
                <c:pt idx="413">
                  <c:v>118</c:v>
                </c:pt>
                <c:pt idx="414">
                  <c:v>118.19999999999999</c:v>
                </c:pt>
                <c:pt idx="415">
                  <c:v>118.5</c:v>
                </c:pt>
                <c:pt idx="416">
                  <c:v>118.79999999999998</c:v>
                </c:pt>
                <c:pt idx="417">
                  <c:v>119.1</c:v>
                </c:pt>
                <c:pt idx="418">
                  <c:v>119.4</c:v>
                </c:pt>
                <c:pt idx="419">
                  <c:v>119.69999999999999</c:v>
                </c:pt>
                <c:pt idx="420">
                  <c:v>120</c:v>
                </c:pt>
                <c:pt idx="421">
                  <c:v>120.19999999999999</c:v>
                </c:pt>
                <c:pt idx="422">
                  <c:v>120.5</c:v>
                </c:pt>
                <c:pt idx="423">
                  <c:v>120.79999999999998</c:v>
                </c:pt>
                <c:pt idx="424">
                  <c:v>121.1</c:v>
                </c:pt>
                <c:pt idx="425">
                  <c:v>121.4</c:v>
                </c:pt>
                <c:pt idx="426">
                  <c:v>121.69999999999999</c:v>
                </c:pt>
                <c:pt idx="427">
                  <c:v>122</c:v>
                </c:pt>
                <c:pt idx="428">
                  <c:v>122.19999999999999</c:v>
                </c:pt>
                <c:pt idx="429">
                  <c:v>122.5</c:v>
                </c:pt>
                <c:pt idx="430">
                  <c:v>122.79999999999998</c:v>
                </c:pt>
                <c:pt idx="431">
                  <c:v>123.1</c:v>
                </c:pt>
                <c:pt idx="432">
                  <c:v>123.4</c:v>
                </c:pt>
                <c:pt idx="433">
                  <c:v>123.69999999999999</c:v>
                </c:pt>
                <c:pt idx="434">
                  <c:v>124</c:v>
                </c:pt>
                <c:pt idx="435">
                  <c:v>124.19999999999999</c:v>
                </c:pt>
                <c:pt idx="436">
                  <c:v>124.5</c:v>
                </c:pt>
                <c:pt idx="437">
                  <c:v>124.79999999999998</c:v>
                </c:pt>
                <c:pt idx="438">
                  <c:v>125.1</c:v>
                </c:pt>
                <c:pt idx="439">
                  <c:v>125.4</c:v>
                </c:pt>
                <c:pt idx="440">
                  <c:v>125.69999999999999</c:v>
                </c:pt>
                <c:pt idx="441">
                  <c:v>126</c:v>
                </c:pt>
                <c:pt idx="442">
                  <c:v>126.19999999999999</c:v>
                </c:pt>
                <c:pt idx="443">
                  <c:v>126.5</c:v>
                </c:pt>
                <c:pt idx="444">
                  <c:v>126.79999999999998</c:v>
                </c:pt>
                <c:pt idx="445">
                  <c:v>127.1</c:v>
                </c:pt>
                <c:pt idx="446">
                  <c:v>127.4</c:v>
                </c:pt>
                <c:pt idx="447">
                  <c:v>127.69999999999999</c:v>
                </c:pt>
                <c:pt idx="448">
                  <c:v>128</c:v>
                </c:pt>
                <c:pt idx="449">
                  <c:v>128.19999999999999</c:v>
                </c:pt>
                <c:pt idx="450">
                  <c:v>128.5</c:v>
                </c:pt>
                <c:pt idx="451">
                  <c:v>128.79999999999998</c:v>
                </c:pt>
                <c:pt idx="452">
                  <c:v>129.1</c:v>
                </c:pt>
                <c:pt idx="453">
                  <c:v>129.4</c:v>
                </c:pt>
                <c:pt idx="454">
                  <c:v>129.69999999999999</c:v>
                </c:pt>
                <c:pt idx="455">
                  <c:v>130</c:v>
                </c:pt>
                <c:pt idx="456">
                  <c:v>130.19999999999999</c:v>
                </c:pt>
                <c:pt idx="457">
                  <c:v>130.5</c:v>
                </c:pt>
                <c:pt idx="458">
                  <c:v>130.79999999999998</c:v>
                </c:pt>
                <c:pt idx="459">
                  <c:v>131.1</c:v>
                </c:pt>
                <c:pt idx="460">
                  <c:v>131.4</c:v>
                </c:pt>
                <c:pt idx="461">
                  <c:v>131.69999999999999</c:v>
                </c:pt>
                <c:pt idx="462">
                  <c:v>132</c:v>
                </c:pt>
                <c:pt idx="463">
                  <c:v>132.19999999999999</c:v>
                </c:pt>
                <c:pt idx="464">
                  <c:v>132.5</c:v>
                </c:pt>
                <c:pt idx="465">
                  <c:v>132.79999999999998</c:v>
                </c:pt>
                <c:pt idx="466">
                  <c:v>133.1</c:v>
                </c:pt>
                <c:pt idx="467">
                  <c:v>133.4</c:v>
                </c:pt>
                <c:pt idx="468">
                  <c:v>133.69999999999999</c:v>
                </c:pt>
                <c:pt idx="469">
                  <c:v>134</c:v>
                </c:pt>
                <c:pt idx="470">
                  <c:v>134.19999999999999</c:v>
                </c:pt>
                <c:pt idx="471">
                  <c:v>134.5</c:v>
                </c:pt>
                <c:pt idx="472">
                  <c:v>134.79999999999998</c:v>
                </c:pt>
                <c:pt idx="473">
                  <c:v>135.1</c:v>
                </c:pt>
                <c:pt idx="474">
                  <c:v>135.4</c:v>
                </c:pt>
                <c:pt idx="475">
                  <c:v>135.69999999999999</c:v>
                </c:pt>
                <c:pt idx="476">
                  <c:v>136</c:v>
                </c:pt>
                <c:pt idx="477">
                  <c:v>136.19999999999999</c:v>
                </c:pt>
                <c:pt idx="478">
                  <c:v>136.5</c:v>
                </c:pt>
                <c:pt idx="479">
                  <c:v>136.79999999999998</c:v>
                </c:pt>
                <c:pt idx="480">
                  <c:v>137.1</c:v>
                </c:pt>
                <c:pt idx="481">
                  <c:v>137.4</c:v>
                </c:pt>
                <c:pt idx="482">
                  <c:v>137.69999999999999</c:v>
                </c:pt>
                <c:pt idx="483">
                  <c:v>138</c:v>
                </c:pt>
                <c:pt idx="484">
                  <c:v>138.19999999999999</c:v>
                </c:pt>
                <c:pt idx="485">
                  <c:v>138.5</c:v>
                </c:pt>
                <c:pt idx="486">
                  <c:v>138.79999999999998</c:v>
                </c:pt>
                <c:pt idx="487">
                  <c:v>139.1</c:v>
                </c:pt>
                <c:pt idx="488">
                  <c:v>139.4</c:v>
                </c:pt>
                <c:pt idx="489">
                  <c:v>139.69999999999999</c:v>
                </c:pt>
                <c:pt idx="490">
                  <c:v>140</c:v>
                </c:pt>
                <c:pt idx="491">
                  <c:v>140.19999999999999</c:v>
                </c:pt>
                <c:pt idx="492">
                  <c:v>140.5</c:v>
                </c:pt>
                <c:pt idx="493">
                  <c:v>140.79999999999998</c:v>
                </c:pt>
              </c:numCache>
            </c:numRef>
          </c:xVal>
          <c:yVal>
            <c:numRef>
              <c:f>'sheet 1'!$V$39:$V$840</c:f>
              <c:numCache>
                <c:formatCode>General</c:formatCode>
                <c:ptCount val="802"/>
                <c:pt idx="0">
                  <c:v>1597.3096067170561</c:v>
                </c:pt>
                <c:pt idx="1">
                  <c:v>1591.4160567803665</c:v>
                </c:pt>
                <c:pt idx="2">
                  <c:v>1582.6588059279077</c:v>
                </c:pt>
                <c:pt idx="3">
                  <c:v>1574.0000293615074</c:v>
                </c:pt>
                <c:pt idx="4">
                  <c:v>1565.4383783689475</c:v>
                </c:pt>
                <c:pt idx="5">
                  <c:v>1556.9725232775418</c:v>
                </c:pt>
                <c:pt idx="6">
                  <c:v>1548.6011531842787</c:v>
                </c:pt>
                <c:pt idx="7">
                  <c:v>1540.3229756897858</c:v>
                </c:pt>
                <c:pt idx="8">
                  <c:v>1534.8553344027609</c:v>
                </c:pt>
                <c:pt idx="9">
                  <c:v>1526.7296553349029</c:v>
                </c:pt>
                <c:pt idx="10">
                  <c:v>1518.6938109469186</c:v>
                </c:pt>
                <c:pt idx="11">
                  <c:v>1510.7465744703698</c:v>
                </c:pt>
                <c:pt idx="12">
                  <c:v>1502.8867364479534</c:v>
                </c:pt>
                <c:pt idx="13">
                  <c:v>1495.1131044881556</c:v>
                </c:pt>
                <c:pt idx="14">
                  <c:v>1487.4245030233792</c:v>
                </c:pt>
                <c:pt idx="15">
                  <c:v>1482.3454348651564</c:v>
                </c:pt>
                <c:pt idx="16">
                  <c:v>1474.7959834600679</c:v>
                </c:pt>
                <c:pt idx="17">
                  <c:v>1467.3285081506256</c:v>
                </c:pt>
                <c:pt idx="18">
                  <c:v>1459.9418930424379</c:v>
                </c:pt>
                <c:pt idx="19">
                  <c:v>1452.6350379808414</c:v>
                </c:pt>
                <c:pt idx="20">
                  <c:v>1445.4068583278361</c:v>
                </c:pt>
                <c:pt idx="21">
                  <c:v>1438.2562847421837</c:v>
                </c:pt>
                <c:pt idx="22">
                  <c:v>1433.5318289299889</c:v>
                </c:pt>
                <c:pt idx="23">
                  <c:v>1426.508263337159</c:v>
                </c:pt>
                <c:pt idx="24">
                  <c:v>1419.5595253802448</c:v>
                </c:pt>
                <c:pt idx="25">
                  <c:v>1412.684599974617</c:v>
                </c:pt>
                <c:pt idx="26">
                  <c:v>1405.8824863466946</c:v>
                </c:pt>
                <c:pt idx="27">
                  <c:v>1399.1521978311396</c:v>
                </c:pt>
                <c:pt idx="28">
                  <c:v>1392.4927616709306</c:v>
                </c:pt>
                <c:pt idx="29">
                  <c:v>1388.0920258225246</c:v>
                </c:pt>
                <c:pt idx="30">
                  <c:v>1381.5485523912369</c:v>
                </c:pt>
                <c:pt idx="31">
                  <c:v>1375.0734038026678</c:v>
                </c:pt>
                <c:pt idx="32">
                  <c:v>1368.6656566317859</c:v>
                </c:pt>
                <c:pt idx="33">
                  <c:v>1362.3244004656899</c:v>
                </c:pt>
                <c:pt idx="34">
                  <c:v>1356.0487377192262</c:v>
                </c:pt>
                <c:pt idx="35">
                  <c:v>1349.8377834532184</c:v>
                </c:pt>
                <c:pt idx="36">
                  <c:v>1345.7326650734319</c:v>
                </c:pt>
                <c:pt idx="37">
                  <c:v>1339.6276255236808</c:v>
                </c:pt>
                <c:pt idx="38">
                  <c:v>1333.584995086595</c:v>
                </c:pt>
                <c:pt idx="39">
                  <c:v>1327.6039336776594</c:v>
                </c:pt>
                <c:pt idx="40">
                  <c:v>1321.6836130435486</c:v>
                </c:pt>
                <c:pt idx="41">
                  <c:v>1315.8232165944924</c:v>
                </c:pt>
                <c:pt idx="42">
                  <c:v>1310.021939239014</c:v>
                </c:pt>
                <c:pt idx="43">
                  <c:v>1306.1868725029651</c:v>
                </c:pt>
                <c:pt idx="44">
                  <c:v>1300.4823685925903</c:v>
                </c:pt>
                <c:pt idx="45">
                  <c:v>1294.8348918473516</c:v>
                </c:pt>
                <c:pt idx="46">
                  <c:v>1289.2436779597638</c:v>
                </c:pt>
                <c:pt idx="47">
                  <c:v>1283.7079733798521</c:v>
                </c:pt>
                <c:pt idx="48">
                  <c:v>1278.2270351627415</c:v>
                </c:pt>
                <c:pt idx="49">
                  <c:v>1272.8001308184073</c:v>
                </c:pt>
                <c:pt idx="50">
                  <c:v>1269.2118563536051</c:v>
                </c:pt>
                <c:pt idx="51">
                  <c:v>1263.8734086356874</c:v>
                </c:pt>
                <c:pt idx="52">
                  <c:v>1258.5870914765637</c:v>
                </c:pt>
                <c:pt idx="53">
                  <c:v>1253.3522094692526</c:v>
                </c:pt>
                <c:pt idx="54">
                  <c:v>1248.1680769881204</c:v>
                </c:pt>
                <c:pt idx="55">
                  <c:v>1243.0340180503131</c:v>
                </c:pt>
                <c:pt idx="56">
                  <c:v>1237.9493661791548</c:v>
                </c:pt>
                <c:pt idx="57">
                  <c:v>1234.5867217573857</c:v>
                </c:pt>
                <c:pt idx="58">
                  <c:v>1229.5829593313308</c:v>
                </c:pt>
                <c:pt idx="59">
                  <c:v>1224.6268721572869</c:v>
                </c:pt>
                <c:pt idx="60">
                  <c:v>1219.7178274768105</c:v>
                </c:pt>
                <c:pt idx="61">
                  <c:v>1214.8552014252984</c:v>
                </c:pt>
                <c:pt idx="62">
                  <c:v>1210.0383789060186</c:v>
                </c:pt>
                <c:pt idx="63">
                  <c:v>1205.2667534658954</c:v>
                </c:pt>
                <c:pt idx="64">
                  <c:v>1202.1104837055652</c:v>
                </c:pt>
                <c:pt idx="65">
                  <c:v>1197.4128621465786</c:v>
                </c:pt>
                <c:pt idx="66">
                  <c:v>1192.7588617908132</c:v>
                </c:pt>
                <c:pt idx="67">
                  <c:v>1188.1479068442197</c:v>
                </c:pt>
                <c:pt idx="68">
                  <c:v>1183.5794295996993</c:v>
                </c:pt>
                <c:pt idx="69">
                  <c:v>1179.0528703225664</c:v>
                </c:pt>
                <c:pt idx="70">
                  <c:v>1174.5676771376168</c:v>
                </c:pt>
                <c:pt idx="71">
                  <c:v>1171.6002604897351</c:v>
                </c:pt>
                <c:pt idx="72">
                  <c:v>1167.1828053971069</c:v>
                </c:pt>
                <c:pt idx="73">
                  <c:v>1162.8052823120443</c:v>
                </c:pt>
                <c:pt idx="74">
                  <c:v>1158.4671672370089</c:v>
                </c:pt>
                <c:pt idx="75">
                  <c:v>1154.1679435277995</c:v>
                </c:pt>
                <c:pt idx="76">
                  <c:v>1149.9071017894182</c:v>
                </c:pt>
                <c:pt idx="77">
                  <c:v>1145.6841397733924</c:v>
                </c:pt>
                <c:pt idx="78">
                  <c:v>1142.8896312212328</c:v>
                </c:pt>
                <c:pt idx="79">
                  <c:v>1138.7287050583318</c:v>
                </c:pt>
                <c:pt idx="80">
                  <c:v>1134.6043534619982</c:v>
                </c:pt>
                <c:pt idx="81">
                  <c:v>1130.5160995326708</c:v>
                </c:pt>
                <c:pt idx="82">
                  <c:v>1126.4634730571406</c:v>
                </c:pt>
                <c:pt idx="83">
                  <c:v>1122.4460104138727</c:v>
                </c:pt>
                <c:pt idx="84">
                  <c:v>1118.4632544796555</c:v>
                </c:pt>
                <c:pt idx="85">
                  <c:v>1115.8271425247378</c:v>
                </c:pt>
                <c:pt idx="86">
                  <c:v>1111.9012326350064</c:v>
                </c:pt>
                <c:pt idx="87">
                  <c:v>1108.0088415330547</c:v>
                </c:pt>
                <c:pt idx="88">
                  <c:v>1104.1495351454869</c:v>
                </c:pt>
                <c:pt idx="89">
                  <c:v>1100.3228854788481</c:v>
                </c:pt>
                <c:pt idx="90">
                  <c:v>1096.5284705335459</c:v>
                </c:pt>
                <c:pt idx="91">
                  <c:v>1092.7658742189763</c:v>
                </c:pt>
                <c:pt idx="92">
                  <c:v>1090.274950855641</c:v>
                </c:pt>
                <c:pt idx="93">
                  <c:v>1086.5644767310309</c:v>
                </c:pt>
                <c:pt idx="94">
                  <c:v>1082.8847399181509</c:v>
                </c:pt>
                <c:pt idx="95">
                  <c:v>1079.2353452859165</c:v>
                </c:pt>
                <c:pt idx="96">
                  <c:v>1075.6159032318462</c:v>
                </c:pt>
                <c:pt idx="97">
                  <c:v>1072.0260296038005</c:v>
                </c:pt>
                <c:pt idx="98">
                  <c:v>1068.4653456228125</c:v>
                </c:pt>
                <c:pt idx="99">
                  <c:v>1066.1075881215434</c:v>
                </c:pt>
                <c:pt idx="100">
                  <c:v>1062.5947261745423</c:v>
                </c:pt>
                <c:pt idx="101">
                  <c:v>1059.1100694912038</c:v>
                </c:pt>
                <c:pt idx="102">
                  <c:v>1055.6532583516173</c:v>
                </c:pt>
                <c:pt idx="103">
                  <c:v>1052.223938063207</c:v>
                </c:pt>
                <c:pt idx="104">
                  <c:v>1048.8217588895764</c:v>
                </c:pt>
                <c:pt idx="105">
                  <c:v>1045.4463759803493</c:v>
                </c:pt>
                <c:pt idx="106">
                  <c:v>1043.2108394071474</c:v>
                </c:pt>
                <c:pt idx="107">
                  <c:v>1039.8793636563928</c:v>
                </c:pt>
                <c:pt idx="108">
                  <c:v>1036.5737879334606</c:v>
                </c:pt>
                <c:pt idx="109">
                  <c:v>1033.2937847191531</c:v>
                </c:pt>
                <c:pt idx="110">
                  <c:v>1030.0390310658586</c:v>
                </c:pt>
                <c:pt idx="111">
                  <c:v>1026.8092085328597</c:v>
                </c:pt>
                <c:pt idx="112">
                  <c:v>1023.6040031225433</c:v>
                </c:pt>
                <c:pt idx="113">
                  <c:v>1021.4807226190831</c:v>
                </c:pt>
                <c:pt idx="114">
                  <c:v>1018.3158598429471</c:v>
                </c:pt>
                <c:pt idx="115">
                  <c:v>1015.1747981090584</c:v>
                </c:pt>
                <c:pt idx="116">
                  <c:v>1012.0572391800133</c:v>
                </c:pt>
                <c:pt idx="117">
                  <c:v>1008.9628889756325</c:v>
                </c:pt>
                <c:pt idx="118">
                  <c:v>1005.8914575141421</c:v>
                </c:pt>
                <c:pt idx="119">
                  <c:v>1002.8426588541795</c:v>
                </c:pt>
                <c:pt idx="120">
                  <c:v>1000.8225607920416</c:v>
                </c:pt>
                <c:pt idx="121">
                  <c:v>997.81085883587002</c:v>
                </c:pt>
                <c:pt idx="122">
                  <c:v>994.82104649188432</c:v>
                </c:pt>
                <c:pt idx="123">
                  <c:v>991.8528521506139</c:v>
                </c:pt>
                <c:pt idx="124">
                  <c:v>988.90600798307628</c:v>
                </c:pt>
                <c:pt idx="125">
                  <c:v>985.98024988730049</c:v>
                </c:pt>
                <c:pt idx="126">
                  <c:v>983.07531743559366</c:v>
                </c:pt>
                <c:pt idx="127">
                  <c:v>981.15013863839863</c:v>
                </c:pt>
                <c:pt idx="128">
                  <c:v>978.27934668043065</c:v>
                </c:pt>
                <c:pt idx="129">
                  <c:v>975.42870346292557</c:v>
                </c:pt>
                <c:pt idx="130">
                  <c:v>972.59796159146254</c:v>
                </c:pt>
                <c:pt idx="131">
                  <c:v>969.78687710957956</c:v>
                </c:pt>
                <c:pt idx="132">
                  <c:v>966.99520945015342</c:v>
                </c:pt>
                <c:pt idx="133">
                  <c:v>964.22272138745222</c:v>
                </c:pt>
                <c:pt idx="134">
                  <c:v>962.38493568791341</c:v>
                </c:pt>
                <c:pt idx="135">
                  <c:v>959.64389537741636</c:v>
                </c:pt>
                <c:pt idx="136">
                  <c:v>956.92141804017001</c:v>
                </c:pt>
                <c:pt idx="137">
                  <c:v>954.21727830300063</c:v>
                </c:pt>
                <c:pt idx="138">
                  <c:v>951.53125391926392</c:v>
                </c:pt>
                <c:pt idx="139">
                  <c:v>948.8631257246393</c:v>
                </c:pt>
                <c:pt idx="140">
                  <c:v>946.2126775935352</c:v>
                </c:pt>
                <c:pt idx="141">
                  <c:v>944.45542905902039</c:v>
                </c:pt>
                <c:pt idx="142">
                  <c:v>941.83397553883458</c:v>
                </c:pt>
                <c:pt idx="143">
                  <c:v>939.22964027848366</c:v>
                </c:pt>
                <c:pt idx="144">
                  <c:v>936.64221793141348</c:v>
                </c:pt>
                <c:pt idx="145">
                  <c:v>934.07150599444856</c:v>
                </c:pt>
                <c:pt idx="146">
                  <c:v>931.5173047675861</c:v>
                </c:pt>
                <c:pt idx="147">
                  <c:v>928.97941731437163</c:v>
                </c:pt>
                <c:pt idx="148">
                  <c:v>927.29645953504917</c:v>
                </c:pt>
                <c:pt idx="149">
                  <c:v>924.78533145040421</c:v>
                </c:pt>
                <c:pt idx="150">
                  <c:v>922.29000519088083</c:v>
                </c:pt>
                <c:pt idx="151">
                  <c:v>919.81029362299512</c:v>
                </c:pt>
                <c:pt idx="152">
                  <c:v>917.34601219918954</c:v>
                </c:pt>
                <c:pt idx="153">
                  <c:v>914.89697892127538</c:v>
                </c:pt>
                <c:pt idx="154">
                  <c:v>912.46301430440519</c:v>
                </c:pt>
                <c:pt idx="155">
                  <c:v>910.84865519306902</c:v>
                </c:pt>
                <c:pt idx="156">
                  <c:v>908.4394128700859</c:v>
                </c:pt>
                <c:pt idx="157">
                  <c:v>906.04477260081364</c:v>
                </c:pt>
                <c:pt idx="158">
                  <c:v>903.66456381590729</c:v>
                </c:pt>
                <c:pt idx="159">
                  <c:v>901.29861829786375</c:v>
                </c:pt>
                <c:pt idx="160">
                  <c:v>898.9467701477804</c:v>
                </c:pt>
                <c:pt idx="161">
                  <c:v>896.60885575259874</c:v>
                </c:pt>
                <c:pt idx="162">
                  <c:v>895.05790735527523</c:v>
                </c:pt>
                <c:pt idx="163">
                  <c:v>892.74285840668676</c:v>
                </c:pt>
                <c:pt idx="164">
                  <c:v>890.44131784259514</c:v>
                </c:pt>
                <c:pt idx="165">
                  <c:v>888.15313015851996</c:v>
                </c:pt>
                <c:pt idx="166">
                  <c:v>885.87814198898172</c:v>
                </c:pt>
                <c:pt idx="167">
                  <c:v>883.61620207727435</c:v>
                </c:pt>
                <c:pt idx="168">
                  <c:v>881.36716124568443</c:v>
                </c:pt>
                <c:pt idx="169">
                  <c:v>879.87489410759781</c:v>
                </c:pt>
                <c:pt idx="170">
                  <c:v>877.64702579061463</c:v>
                </c:pt>
                <c:pt idx="171">
                  <c:v>875.43166868846936</c:v>
                </c:pt>
                <c:pt idx="172">
                  <c:v>873.22868099832237</c:v>
                </c:pt>
                <c:pt idx="173">
                  <c:v>871.037922862806</c:v>
                </c:pt>
                <c:pt idx="174">
                  <c:v>868.85925634253908</c:v>
                </c:pt>
                <c:pt idx="175">
                  <c:v>866.69254538904795</c:v>
                </c:pt>
                <c:pt idx="176">
                  <c:v>865.25464706184209</c:v>
                </c:pt>
                <c:pt idx="177">
                  <c:v>863.1075647743877</c:v>
                </c:pt>
                <c:pt idx="178">
                  <c:v>860.97208430034811</c:v>
                </c:pt>
                <c:pt idx="179">
                  <c:v>858.84807629898512</c:v>
                </c:pt>
                <c:pt idx="180">
                  <c:v>856.73541319905883</c:v>
                </c:pt>
                <c:pt idx="181">
                  <c:v>854.63396917383648</c:v>
                </c:pt>
                <c:pt idx="182">
                  <c:v>852.54362011646754</c:v>
                </c:pt>
                <c:pt idx="183">
                  <c:v>851.15615743020192</c:v>
                </c:pt>
                <c:pt idx="184">
                  <c:v>849.08402878742618</c:v>
                </c:pt>
                <c:pt idx="185">
                  <c:v>847.02267238566583</c:v>
                </c:pt>
                <c:pt idx="186">
                  <c:v>844.97197021917998</c:v>
                </c:pt>
                <c:pt idx="187">
                  <c:v>842.93180589171197</c:v>
                </c:pt>
                <c:pt idx="188">
                  <c:v>840.90206459376543</c:v>
                </c:pt>
                <c:pt idx="189">
                  <c:v>838.88263308021249</c:v>
                </c:pt>
                <c:pt idx="190">
                  <c:v>837.54201783780445</c:v>
                </c:pt>
                <c:pt idx="191">
                  <c:v>835.53952182148419</c:v>
                </c:pt>
                <c:pt idx="192">
                  <c:v>833.54704108366525</c:v>
                </c:pt>
                <c:pt idx="193">
                  <c:v>831.56446792870918</c:v>
                </c:pt>
                <c:pt idx="194">
                  <c:v>829.59169612495828</c:v>
                </c:pt>
                <c:pt idx="195">
                  <c:v>827.62862088407007</c:v>
                </c:pt>
                <c:pt idx="196">
                  <c:v>825.67513884065522</c:v>
                </c:pt>
                <c:pt idx="197">
                  <c:v>824.37809662354255</c:v>
                </c:pt>
                <c:pt idx="198">
                  <c:v>822.44037734304175</c:v>
                </c:pt>
                <c:pt idx="199">
                  <c:v>820.51198242385988</c:v>
                </c:pt>
                <c:pt idx="200">
                  <c:v>818.59281354848417</c:v>
                </c:pt>
                <c:pt idx="201">
                  <c:v>816.68277373106559</c:v>
                </c:pt>
                <c:pt idx="202">
                  <c:v>814.78176729862764</c:v>
                </c:pt>
                <c:pt idx="203">
                  <c:v>812.8896998725487</c:v>
                </c:pt>
                <c:pt idx="204">
                  <c:v>811.63324167461803</c:v>
                </c:pt>
                <c:pt idx="205">
                  <c:v>809.75586631999863</c:v>
                </c:pt>
                <c:pt idx="206">
                  <c:v>807.88718448535008</c:v>
                </c:pt>
                <c:pt idx="207">
                  <c:v>806.02710638377005</c:v>
                </c:pt>
                <c:pt idx="208">
                  <c:v>804.17554343969493</c:v>
                </c:pt>
                <c:pt idx="209">
                  <c:v>802.33240827180805</c:v>
                </c:pt>
                <c:pt idx="210">
                  <c:v>800.49761467620181</c:v>
                </c:pt>
                <c:pt idx="211">
                  <c:v>799.27901110875405</c:v>
                </c:pt>
                <c:pt idx="212">
                  <c:v>797.45793171477089</c:v>
                </c:pt>
                <c:pt idx="213">
                  <c:v>795.64496964667956</c:v>
                </c:pt>
                <c:pt idx="214">
                  <c:v>793.84004287745881</c:v>
                </c:pt>
                <c:pt idx="215">
                  <c:v>792.04307048199826</c:v>
                </c:pt>
                <c:pt idx="216">
                  <c:v>790.2539726215557</c:v>
                </c:pt>
                <c:pt idx="217">
                  <c:v>788.47267052844143</c:v>
                </c:pt>
                <c:pt idx="218">
                  <c:v>787.28942836238036</c:v>
                </c:pt>
                <c:pt idx="219">
                  <c:v>785.52094703678983</c:v>
                </c:pt>
                <c:pt idx="220">
                  <c:v>783.76005655346569</c:v>
                </c:pt>
                <c:pt idx="221">
                  <c:v>782.00668194433945</c:v>
                </c:pt>
                <c:pt idx="222">
                  <c:v>780.26074924373518</c:v>
                </c:pt>
                <c:pt idx="223">
                  <c:v>778.52218547423274</c:v>
                </c:pt>
                <c:pt idx="224">
                  <c:v>776.79091863273948</c:v>
                </c:pt>
                <c:pt idx="225">
                  <c:v>775.64075946547132</c:v>
                </c:pt>
                <c:pt idx="226">
                  <c:v>773.92149676668566</c:v>
                </c:pt>
                <c:pt idx="227">
                  <c:v>772.2093436472237</c:v>
                </c:pt>
                <c:pt idx="228">
                  <c:v>770.50423156050647</c:v>
                </c:pt>
                <c:pt idx="229">
                  <c:v>768.80609287182858</c:v>
                </c:pt>
                <c:pt idx="230">
                  <c:v>767.11486084551416</c:v>
                </c:pt>
                <c:pt idx="231">
                  <c:v>765.43046963224367</c:v>
                </c:pt>
                <c:pt idx="232">
                  <c:v>764.31131048619147</c:v>
                </c:pt>
                <c:pt idx="233">
                  <c:v>762.63817666406771</c:v>
                </c:pt>
                <c:pt idx="234">
                  <c:v>760.97171229568096</c:v>
                </c:pt>
                <c:pt idx="235">
                  <c:v>759.31185467616535</c:v>
                </c:pt>
                <c:pt idx="236">
                  <c:v>757.6585419302105</c:v>
                </c:pt>
                <c:pt idx="237">
                  <c:v>756.01171300037834</c:v>
                </c:pt>
                <c:pt idx="238">
                  <c:v>754.37130763558196</c:v>
                </c:pt>
                <c:pt idx="239">
                  <c:v>753.28124331287734</c:v>
                </c:pt>
                <c:pt idx="240">
                  <c:v>751.65141215264703</c:v>
                </c:pt>
                <c:pt idx="241">
                  <c:v>750.02784774413749</c:v>
                </c:pt>
                <c:pt idx="242">
                  <c:v>748.41049269689199</c:v>
                </c:pt>
                <c:pt idx="243">
                  <c:v>746.79929037513784</c:v>
                </c:pt>
                <c:pt idx="244">
                  <c:v>745.19418488716144</c:v>
                </c:pt>
                <c:pt idx="245">
                  <c:v>743.5951210748309</c:v>
                </c:pt>
                <c:pt idx="246">
                  <c:v>742.53240810886462</c:v>
                </c:pt>
                <c:pt idx="247">
                  <c:v>740.94329314206573</c:v>
                </c:pt>
                <c:pt idx="248">
                  <c:v>739.36007627081938</c:v>
                </c:pt>
                <c:pt idx="249">
                  <c:v>737.78270493948116</c:v>
                </c:pt>
                <c:pt idx="250">
                  <c:v>736.21112727900402</c:v>
                </c:pt>
                <c:pt idx="251">
                  <c:v>734.64529209726106</c:v>
                </c:pt>
                <c:pt idx="252">
                  <c:v>733.08514886952366</c:v>
                </c:pt>
                <c:pt idx="253">
                  <c:v>732.048190928689</c:v>
                </c:pt>
                <c:pt idx="254">
                  <c:v>730.49742379673228</c:v>
                </c:pt>
                <c:pt idx="255">
                  <c:v>728.95221707793144</c:v>
                </c:pt>
                <c:pt idx="256">
                  <c:v>727.41252261527347</c:v>
                </c:pt>
                <c:pt idx="257">
                  <c:v>725.87829287640466</c:v>
                </c:pt>
                <c:pt idx="258">
                  <c:v>724.34948094484025</c:v>
                </c:pt>
                <c:pt idx="259">
                  <c:v>722.82604051130045</c:v>
                </c:pt>
                <c:pt idx="260">
                  <c:v>721.81337512364485</c:v>
                </c:pt>
                <c:pt idx="261">
                  <c:v>720.29878589945145</c:v>
                </c:pt>
                <c:pt idx="262">
                  <c:v>718.78944758578689</c:v>
                </c:pt>
                <c:pt idx="263">
                  <c:v>717.28531602757027</c:v>
                </c:pt>
                <c:pt idx="264">
                  <c:v>715.78634763805917</c:v>
                </c:pt>
                <c:pt idx="265">
                  <c:v>714.29249939085423</c:v>
                </c:pt>
                <c:pt idx="266">
                  <c:v>712.80372881202175</c:v>
                </c:pt>
                <c:pt idx="267">
                  <c:v>711.81401529168875</c:v>
                </c:pt>
                <c:pt idx="268">
                  <c:v>710.3336145828838</c:v>
                </c:pt>
                <c:pt idx="269">
                  <c:v>708.85818092078875</c:v>
                </c:pt>
                <c:pt idx="270">
                  <c:v>707.38767379150556</c:v>
                </c:pt>
                <c:pt idx="271">
                  <c:v>705.92205319825825</c:v>
                </c:pt>
                <c:pt idx="272">
                  <c:v>704.46127965412506</c:v>
                </c:pt>
                <c:pt idx="273">
                  <c:v>703.00531417487559</c:v>
                </c:pt>
                <c:pt idx="274">
                  <c:v>702.03732264229245</c:v>
                </c:pt>
                <c:pt idx="275">
                  <c:v>700.58928531586139</c:v>
                </c:pt>
                <c:pt idx="276">
                  <c:v>699.14595450052184</c:v>
                </c:pt>
                <c:pt idx="277">
                  <c:v>697.70729299553625</c:v>
                </c:pt>
                <c:pt idx="278">
                  <c:v>696.27326407072462</c:v>
                </c:pt>
                <c:pt idx="279">
                  <c:v>694.84383145985805</c:v>
                </c:pt>
                <c:pt idx="280">
                  <c:v>693.41895935414766</c:v>
                </c:pt>
                <c:pt idx="281">
                  <c:v>692.47156075198188</c:v>
                </c:pt>
                <c:pt idx="282">
                  <c:v>691.05421113520731</c:v>
                </c:pt>
                <c:pt idx="283">
                  <c:v>689.64132872126993</c:v>
                </c:pt>
                <c:pt idx="284">
                  <c:v>688.23287932438302</c:v>
                </c:pt>
                <c:pt idx="285">
                  <c:v>686.82882918699033</c:v>
                </c:pt>
                <c:pt idx="286">
                  <c:v>685.42914497376205</c:v>
                </c:pt>
                <c:pt idx="287">
                  <c:v>684.03379376567739</c:v>
                </c:pt>
                <c:pt idx="288">
                  <c:v>683.10595078170752</c:v>
                </c:pt>
                <c:pt idx="289">
                  <c:v>681.71774920771759</c:v>
                </c:pt>
                <c:pt idx="290">
                  <c:v>680.3337948459465</c:v>
                </c:pt>
                <c:pt idx="291">
                  <c:v>678.95405625451394</c:v>
                </c:pt>
                <c:pt idx="292">
                  <c:v>677.57850238130447</c:v>
                </c:pt>
                <c:pt idx="293">
                  <c:v>676.2071025585135</c:v>
                </c:pt>
                <c:pt idx="294">
                  <c:v>674.83982649727022</c:v>
                </c:pt>
                <c:pt idx="295">
                  <c:v>673.93058531356598</c:v>
                </c:pt>
                <c:pt idx="296">
                  <c:v>672.57011589204751</c:v>
                </c:pt>
                <c:pt idx="297">
                  <c:v>671.21369127420405</c:v>
                </c:pt>
                <c:pt idx="298">
                  <c:v>669.86128251577895</c:v>
                </c:pt>
                <c:pt idx="299">
                  <c:v>668.5128610273365</c:v>
                </c:pt>
                <c:pt idx="300">
                  <c:v>667.16839856930721</c:v>
                </c:pt>
                <c:pt idx="301">
                  <c:v>665.82786724710638</c:v>
                </c:pt>
                <c:pt idx="302">
                  <c:v>664.93635004234272</c:v>
                </c:pt>
                <c:pt idx="303">
                  <c:v>663.60230954696556</c:v>
                </c:pt>
                <c:pt idx="304">
                  <c:v>662.27212745200995</c:v>
                </c:pt>
                <c:pt idx="305">
                  <c:v>660.94577708713757</c:v>
                </c:pt>
                <c:pt idx="306">
                  <c:v>659.6232321050951</c:v>
                </c:pt>
                <c:pt idx="307">
                  <c:v>658.3044664772234</c:v>
                </c:pt>
                <c:pt idx="308">
                  <c:v>656.98945448901304</c:v>
                </c:pt>
                <c:pt idx="309">
                  <c:v>656.11485262741098</c:v>
                </c:pt>
                <c:pt idx="310">
                  <c:v>654.8060404013786</c:v>
                </c:pt>
                <c:pt idx="311">
                  <c:v>653.50091474579347</c:v>
                </c:pt>
                <c:pt idx="312">
                  <c:v>652.19945106111561</c:v>
                </c:pt>
                <c:pt idx="313">
                  <c:v>650.90162504208524</c:v>
                </c:pt>
                <c:pt idx="314">
                  <c:v>649.60741267364131</c:v>
                </c:pt>
                <c:pt idx="315">
                  <c:v>648.31679022689843</c:v>
                </c:pt>
                <c:pt idx="316">
                  <c:v>647.4583580732442</c:v>
                </c:pt>
                <c:pt idx="317">
                  <c:v>646.17366686318758</c:v>
                </c:pt>
                <c:pt idx="318">
                  <c:v>644.89250366687588</c:v>
                </c:pt>
                <c:pt idx="319">
                  <c:v>643.61484577121792</c:v>
                </c:pt>
                <c:pt idx="320">
                  <c:v>642.34067073126175</c:v>
                </c:pt>
                <c:pt idx="321">
                  <c:v>641.06995636650038</c:v>
                </c:pt>
                <c:pt idx="322">
                  <c:v>639.80268075721074</c:v>
                </c:pt>
                <c:pt idx="323">
                  <c:v>638.95973006270026</c:v>
                </c:pt>
                <c:pt idx="324">
                  <c:v>637.6981376989678</c:v>
                </c:pt>
                <c:pt idx="325">
                  <c:v>636.43992688587718</c:v>
                </c:pt>
                <c:pt idx="326">
                  <c:v>635.18507662953618</c:v>
                </c:pt>
                <c:pt idx="327">
                  <c:v>633.93356618048904</c:v>
                </c:pt>
                <c:pt idx="328">
                  <c:v>632.68537503036043</c:v>
                </c:pt>
                <c:pt idx="329">
                  <c:v>631.44048290853777</c:v>
                </c:pt>
                <c:pt idx="330">
                  <c:v>630.61237771689764</c:v>
                </c:pt>
                <c:pt idx="331">
                  <c:v>629.37293956524536</c:v>
                </c:pt>
                <c:pt idx="332">
                  <c:v>628.13674752468069</c:v>
                </c:pt>
                <c:pt idx="333">
                  <c:v>626.90378216884631</c:v>
                </c:pt>
                <c:pt idx="334">
                  <c:v>625.67402429432343</c:v>
                </c:pt>
                <c:pt idx="335">
                  <c:v>624.44745491759181</c:v>
                </c:pt>
                <c:pt idx="336">
                  <c:v>623.22405527202272</c:v>
                </c:pt>
                <c:pt idx="337">
                  <c:v>622.410207299528</c:v>
                </c:pt>
                <c:pt idx="338">
                  <c:v>621.19204941535224</c:v>
                </c:pt>
                <c:pt idx="339">
                  <c:v>619.97701225601395</c:v>
                </c:pt>
                <c:pt idx="340">
                  <c:v>618.76507782518388</c:v>
                </c:pt>
                <c:pt idx="341">
                  <c:v>617.55622832999109</c:v>
                </c:pt>
                <c:pt idx="342">
                  <c:v>616.35044617826327</c:v>
                </c:pt>
                <c:pt idx="343">
                  <c:v>615.14771397580046</c:v>
                </c:pt>
                <c:pt idx="344">
                  <c:v>614.34757842250701</c:v>
                </c:pt>
                <c:pt idx="345">
                  <c:v>613.14989134427617</c:v>
                </c:pt>
                <c:pt idx="346">
                  <c:v>611.95520877839886</c:v>
                </c:pt>
                <c:pt idx="347">
                  <c:v>610.76351403394676</c:v>
                </c:pt>
                <c:pt idx="348">
                  <c:v>609.57479060578873</c:v>
                </c:pt>
                <c:pt idx="349">
                  <c:v>608.38902217209079</c:v>
                </c:pt>
                <c:pt idx="350">
                  <c:v>607.20619259184491</c:v>
                </c:pt>
                <c:pt idx="351">
                  <c:v>606.41926434467086</c:v>
                </c:pt>
                <c:pt idx="352">
                  <c:v>605.24129746806034</c:v>
                </c:pt>
                <c:pt idx="353">
                  <c:v>604.06622726790113</c:v>
                </c:pt>
                <c:pt idx="354">
                  <c:v>602.89403824570263</c:v>
                </c:pt>
                <c:pt idx="355">
                  <c:v>601.7247150727635</c:v>
                </c:pt>
                <c:pt idx="356">
                  <c:v>600.55824258790619</c:v>
                </c:pt>
                <c:pt idx="357">
                  <c:v>599.39460579523484</c:v>
                </c:pt>
                <c:pt idx="358">
                  <c:v>598.62041598650978</c:v>
                </c:pt>
                <c:pt idx="359">
                  <c:v>597.46147246522423</c:v>
                </c:pt>
                <c:pt idx="360">
                  <c:v>596.30532543847949</c:v>
                </c:pt>
                <c:pt idx="361">
                  <c:v>595.15196049781866</c:v>
                </c:pt>
                <c:pt idx="362">
                  <c:v>594.00136339005894</c:v>
                </c:pt>
                <c:pt idx="363">
                  <c:v>592.85352001523859</c:v>
                </c:pt>
                <c:pt idx="364">
                  <c:v>591.70841642458106</c:v>
                </c:pt>
                <c:pt idx="365">
                  <c:v>590.94652931243218</c:v>
                </c:pt>
                <c:pt idx="366">
                  <c:v>589.80596143575076</c:v>
                </c:pt>
                <c:pt idx="367">
                  <c:v>588.66809687054047</c:v>
                </c:pt>
                <c:pt idx="368">
                  <c:v>587.53292220550611</c:v>
                </c:pt>
                <c:pt idx="369">
                  <c:v>586.40042417145878</c:v>
                </c:pt>
                <c:pt idx="370">
                  <c:v>585.27058963945251</c:v>
                </c:pt>
                <c:pt idx="371">
                  <c:v>584.14340561893641</c:v>
                </c:pt>
                <c:pt idx="372">
                  <c:v>583.39341575843821</c:v>
                </c:pt>
                <c:pt idx="373">
                  <c:v>582.27062075934191</c:v>
                </c:pt>
                <c:pt idx="374">
                  <c:v>581.15044229316959</c:v>
                </c:pt>
                <c:pt idx="375">
                  <c:v>580.03286786150477</c:v>
                </c:pt>
                <c:pt idx="376">
                  <c:v>578.91788509608205</c:v>
                </c:pt>
                <c:pt idx="377">
                  <c:v>577.80548175709202</c:v>
                </c:pt>
                <c:pt idx="378">
                  <c:v>576.69564573150433</c:v>
                </c:pt>
                <c:pt idx="379">
                  <c:v>575.95717540795272</c:v>
                </c:pt>
                <c:pt idx="380">
                  <c:v>574.8515916593193</c:v>
                </c:pt>
                <c:pt idx="381">
                  <c:v>573.74854353002945</c:v>
                </c:pt>
                <c:pt idx="382">
                  <c:v>572.64801935798562</c:v>
                </c:pt>
                <c:pt idx="383">
                  <c:v>571.5500076003724</c:v>
                </c:pt>
                <c:pt idx="384">
                  <c:v>570.45449683211757</c:v>
                </c:pt>
                <c:pt idx="385">
                  <c:v>569.36147574436325</c:v>
                </c:pt>
                <c:pt idx="386">
                  <c:v>568.63417264238046</c:v>
                </c:pt>
                <c:pt idx="387">
                  <c:v>567.54527620223939</c:v>
                </c:pt>
                <c:pt idx="388">
                  <c:v>566.45883984247791</c:v>
                </c:pt>
                <c:pt idx="389">
                  <c:v>565.37485266768942</c:v>
                </c:pt>
                <c:pt idx="390">
                  <c:v>564.29330389185884</c:v>
                </c:pt>
                <c:pt idx="391">
                  <c:v>563.21418283696005</c:v>
                </c:pt>
                <c:pt idx="392">
                  <c:v>562.13747893156278</c:v>
                </c:pt>
                <c:pt idx="393">
                  <c:v>561.4210140160161</c:v>
                </c:pt>
                <c:pt idx="394">
                  <c:v>560.34831548625846</c:v>
                </c:pt>
                <c:pt idx="395">
                  <c:v>559.27800642633656</c:v>
                </c:pt>
                <c:pt idx="396">
                  <c:v>558.21007664412582</c:v>
                </c:pt>
                <c:pt idx="397">
                  <c:v>557.14451604787723</c:v>
                </c:pt>
                <c:pt idx="398">
                  <c:v>556.08131464493863</c:v>
                </c:pt>
                <c:pt idx="399">
                  <c:v>555.02046254048059</c:v>
                </c:pt>
                <c:pt idx="400">
                  <c:v>554.31452812742248</c:v>
                </c:pt>
                <c:pt idx="401">
                  <c:v>553.25756979368839</c:v>
                </c:pt>
                <c:pt idx="402">
                  <c:v>552.20293484106378</c:v>
                </c:pt>
                <c:pt idx="403">
                  <c:v>551.15061372287187</c:v>
                </c:pt>
                <c:pt idx="404">
                  <c:v>550.10059698458133</c:v>
                </c:pt>
                <c:pt idx="405">
                  <c:v>549.05287526263658</c:v>
                </c:pt>
                <c:pt idx="406">
                  <c:v>548.00743928329655</c:v>
                </c:pt>
                <c:pt idx="407">
                  <c:v>547.31174728128906</c:v>
                </c:pt>
                <c:pt idx="408">
                  <c:v>546.27010050498097</c:v>
                </c:pt>
                <c:pt idx="409">
                  <c:v>545.23071517177868</c:v>
                </c:pt>
                <c:pt idx="410">
                  <c:v>544.19358232762124</c:v>
                </c:pt>
                <c:pt idx="411">
                  <c:v>543.15869310306755</c:v>
                </c:pt>
                <c:pt idx="412">
                  <c:v>542.12603871222586</c:v>
                </c:pt>
                <c:pt idx="413">
                  <c:v>541.09561045168971</c:v>
                </c:pt>
                <c:pt idx="414">
                  <c:v>540.40989075598065</c:v>
                </c:pt>
                <c:pt idx="415">
                  <c:v>539.38315359246133</c:v>
                </c:pt>
                <c:pt idx="416">
                  <c:v>538.35861974554621</c:v>
                </c:pt>
                <c:pt idx="417">
                  <c:v>537.33628080545145</c:v>
                </c:pt>
                <c:pt idx="418">
                  <c:v>536.31612844012614</c:v>
                </c:pt>
                <c:pt idx="419">
                  <c:v>535.29815439426136</c:v>
                </c:pt>
                <c:pt idx="420">
                  <c:v>534.28235048832346</c:v>
                </c:pt>
                <c:pt idx="421">
                  <c:v>533.60634951228053</c:v>
                </c:pt>
                <c:pt idx="422">
                  <c:v>532.59414453226225</c:v>
                </c:pt>
                <c:pt idx="423">
                  <c:v>531.58408824329717</c:v>
                </c:pt>
                <c:pt idx="424">
                  <c:v>530.57617273559219</c:v>
                </c:pt>
                <c:pt idx="425">
                  <c:v>529.5703901707642</c:v>
                </c:pt>
                <c:pt idx="426">
                  <c:v>528.56673278094024</c:v>
                </c:pt>
                <c:pt idx="427">
                  <c:v>527.5651928678609</c:v>
                </c:pt>
                <c:pt idx="428">
                  <c:v>526.89867219797895</c:v>
                </c:pt>
                <c:pt idx="429">
                  <c:v>525.90064449187173</c:v>
                </c:pt>
                <c:pt idx="430">
                  <c:v>524.90471406752374</c:v>
                </c:pt>
                <c:pt idx="431">
                  <c:v>523.91087347450127</c:v>
                </c:pt>
                <c:pt idx="432">
                  <c:v>522.91911532798349</c:v>
                </c:pt>
                <c:pt idx="433">
                  <c:v>521.92943230792741</c:v>
                </c:pt>
                <c:pt idx="434">
                  <c:v>520.94181715825209</c:v>
                </c:pt>
                <c:pt idx="435">
                  <c:v>520.28455232071155</c:v>
                </c:pt>
                <c:pt idx="436">
                  <c:v>519.30036766822377</c:v>
                </c:pt>
                <c:pt idx="437">
                  <c:v>518.31823184316966</c:v>
                </c:pt>
                <c:pt idx="438">
                  <c:v>517.33813781716583</c:v>
                </c:pt>
                <c:pt idx="439">
                  <c:v>516.36007862211227</c:v>
                </c:pt>
                <c:pt idx="440">
                  <c:v>515.38404734942412</c:v>
                </c:pt>
                <c:pt idx="441">
                  <c:v>514.41003714928377</c:v>
                </c:pt>
                <c:pt idx="442">
                  <c:v>513.76181647760382</c:v>
                </c:pt>
                <c:pt idx="443">
                  <c:v>512.79115966716154</c:v>
                </c:pt>
                <c:pt idx="444">
                  <c:v>511.82250594477983</c:v>
                </c:pt>
                <c:pt idx="445">
                  <c:v>510.8558486698376</c:v>
                </c:pt>
                <c:pt idx="446">
                  <c:v>509.89118125709922</c:v>
                </c:pt>
                <c:pt idx="447">
                  <c:v>508.92849717600785</c:v>
                </c:pt>
                <c:pt idx="448">
                  <c:v>507.96778994999721</c:v>
                </c:pt>
                <c:pt idx="449">
                  <c:v>507.32841354466075</c:v>
                </c:pt>
                <c:pt idx="450">
                  <c:v>506.37098682923306</c:v>
                </c:pt>
                <c:pt idx="451">
                  <c:v>505.41551995683483</c:v>
                </c:pt>
                <c:pt idx="452">
                  <c:v>504.46200664308947</c:v>
                </c:pt>
                <c:pt idx="453">
                  <c:v>503.51044065450122</c:v>
                </c:pt>
                <c:pt idx="454">
                  <c:v>502.56081580780642</c:v>
                </c:pt>
                <c:pt idx="455">
                  <c:v>501.61312596933902</c:v>
                </c:pt>
                <c:pt idx="456">
                  <c:v>500.98240474148292</c:v>
                </c:pt>
                <c:pt idx="457">
                  <c:v>500.03792641909422</c:v>
                </c:pt>
                <c:pt idx="458">
                  <c:v>499.0953669862327</c:v>
                </c:pt>
                <c:pt idx="459">
                  <c:v>498.15472048578732</c:v>
                </c:pt>
                <c:pt idx="460">
                  <c:v>497.21598100738788</c:v>
                </c:pt>
                <c:pt idx="461">
                  <c:v>496.27914268680712</c:v>
                </c:pt>
                <c:pt idx="462">
                  <c:v>495.34419970538011</c:v>
                </c:pt>
                <c:pt idx="463">
                  <c:v>494.72195449759312</c:v>
                </c:pt>
                <c:pt idx="464">
                  <c:v>493.79015760631944</c:v>
                </c:pt>
                <c:pt idx="465">
                  <c:v>492.86024075615035</c:v>
                </c:pt>
                <c:pt idx="466">
                  <c:v>491.93219829060519</c:v>
                </c:pt>
                <c:pt idx="467">
                  <c:v>491.00602459613839</c:v>
                </c:pt>
                <c:pt idx="468">
                  <c:v>490.08171410159247</c:v>
                </c:pt>
                <c:pt idx="469">
                  <c:v>489.15926127766312</c:v>
                </c:pt>
                <c:pt idx="470">
                  <c:v>488.54532205581103</c:v>
                </c:pt>
                <c:pt idx="471">
                  <c:v>487.62595317423876</c:v>
                </c:pt>
                <c:pt idx="472">
                  <c:v>486.70842741908717</c:v>
                </c:pt>
                <c:pt idx="473">
                  <c:v>485.79273941003561</c:v>
                </c:pt>
                <c:pt idx="474">
                  <c:v>484.87888380620592</c:v>
                </c:pt>
                <c:pt idx="475">
                  <c:v>483.96685530565833</c:v>
                </c:pt>
                <c:pt idx="476">
                  <c:v>483.05664864490205</c:v>
                </c:pt>
                <c:pt idx="477">
                  <c:v>482.45085375556079</c:v>
                </c:pt>
                <c:pt idx="478">
                  <c:v>481.54367190070536</c:v>
                </c:pt>
                <c:pt idx="479">
                  <c:v>480.63829803396419</c:v>
                </c:pt>
                <c:pt idx="480">
                  <c:v>479.73472702871504</c:v>
                </c:pt>
                <c:pt idx="481">
                  <c:v>478.83295379457252</c:v>
                </c:pt>
                <c:pt idx="482">
                  <c:v>477.93297327692591</c:v>
                </c:pt>
                <c:pt idx="483">
                  <c:v>477.03478045648944</c:v>
                </c:pt>
                <c:pt idx="484">
                  <c:v>476.43697594512662</c:v>
                </c:pt>
                <c:pt idx="485">
                  <c:v>475.54175156061495</c:v>
                </c:pt>
                <c:pt idx="486">
                  <c:v>474.64830165789016</c:v>
                </c:pt>
                <c:pt idx="487">
                  <c:v>473.75662134342781</c:v>
                </c:pt>
                <c:pt idx="488">
                  <c:v>472.86670575700168</c:v>
                </c:pt>
                <c:pt idx="489">
                  <c:v>471.97855007126122</c:v>
                </c:pt>
                <c:pt idx="490">
                  <c:v>471.09214949131962</c:v>
                </c:pt>
                <c:pt idx="491">
                  <c:v>470.50218847681481</c:v>
                </c:pt>
                <c:pt idx="492">
                  <c:v>469.6187025047895</c:v>
                </c:pt>
                <c:pt idx="493">
                  <c:v>468.73695900783099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1-4875-B88C-B488B95351CA}"/>
            </c:ext>
          </c:extLst>
        </c:ser>
        <c:ser>
          <c:idx val="2"/>
          <c:order val="2"/>
          <c:tx>
            <c:strRef>
              <c:f>'sheet 1'!$P$38</c:f>
              <c:strCache>
                <c:ptCount val="1"/>
                <c:pt idx="0">
                  <c:v>I1</c:v>
                </c:pt>
              </c:strCache>
            </c:strRef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0.20000000000000284</c:v>
                </c:pt>
                <c:pt idx="2">
                  <c:v>0.5</c:v>
                </c:pt>
                <c:pt idx="3">
                  <c:v>0.80000000000000426</c:v>
                </c:pt>
                <c:pt idx="4">
                  <c:v>1.1000000000000014</c:v>
                </c:pt>
                <c:pt idx="5">
                  <c:v>1.3999999999999986</c:v>
                </c:pt>
                <c:pt idx="6">
                  <c:v>1.7000000000000028</c:v>
                </c:pt>
                <c:pt idx="7">
                  <c:v>2</c:v>
                </c:pt>
                <c:pt idx="8">
                  <c:v>2.2000000000000028</c:v>
                </c:pt>
                <c:pt idx="9">
                  <c:v>2.5</c:v>
                </c:pt>
                <c:pt idx="10">
                  <c:v>2.8000000000000043</c:v>
                </c:pt>
                <c:pt idx="11">
                  <c:v>3.1000000000000014</c:v>
                </c:pt>
                <c:pt idx="12">
                  <c:v>3.3999999999999986</c:v>
                </c:pt>
                <c:pt idx="13">
                  <c:v>3.7000000000000028</c:v>
                </c:pt>
                <c:pt idx="14">
                  <c:v>4</c:v>
                </c:pt>
                <c:pt idx="15">
                  <c:v>4.2000000000000028</c:v>
                </c:pt>
                <c:pt idx="16">
                  <c:v>4.5</c:v>
                </c:pt>
                <c:pt idx="17">
                  <c:v>4.8000000000000043</c:v>
                </c:pt>
                <c:pt idx="18">
                  <c:v>5.1000000000000014</c:v>
                </c:pt>
                <c:pt idx="19">
                  <c:v>5.3999999999999986</c:v>
                </c:pt>
                <c:pt idx="20">
                  <c:v>5.6999999999999957</c:v>
                </c:pt>
                <c:pt idx="21">
                  <c:v>6.0000000000000071</c:v>
                </c:pt>
                <c:pt idx="22">
                  <c:v>6.1999999999999957</c:v>
                </c:pt>
                <c:pt idx="23">
                  <c:v>6.5000000000000071</c:v>
                </c:pt>
                <c:pt idx="24">
                  <c:v>6.8000000000000043</c:v>
                </c:pt>
                <c:pt idx="25">
                  <c:v>7.1000000000000014</c:v>
                </c:pt>
                <c:pt idx="26">
                  <c:v>7.3999999999999986</c:v>
                </c:pt>
                <c:pt idx="27">
                  <c:v>7.6999999999999957</c:v>
                </c:pt>
                <c:pt idx="28">
                  <c:v>8.0000000000000071</c:v>
                </c:pt>
                <c:pt idx="29">
                  <c:v>8.1999999999999957</c:v>
                </c:pt>
                <c:pt idx="30">
                  <c:v>8.5000000000000071</c:v>
                </c:pt>
                <c:pt idx="31">
                  <c:v>8.8000000000000043</c:v>
                </c:pt>
                <c:pt idx="32">
                  <c:v>9.1000000000000014</c:v>
                </c:pt>
                <c:pt idx="33">
                  <c:v>9.3999999999999986</c:v>
                </c:pt>
                <c:pt idx="34">
                  <c:v>9.6999999999999957</c:v>
                </c:pt>
                <c:pt idx="35">
                  <c:v>10.000000000000007</c:v>
                </c:pt>
                <c:pt idx="36">
                  <c:v>10.199999999999996</c:v>
                </c:pt>
                <c:pt idx="37">
                  <c:v>10.500000000000007</c:v>
                </c:pt>
                <c:pt idx="38">
                  <c:v>10.800000000000004</c:v>
                </c:pt>
                <c:pt idx="39">
                  <c:v>11.100000000000001</c:v>
                </c:pt>
                <c:pt idx="40">
                  <c:v>11.399999999999999</c:v>
                </c:pt>
                <c:pt idx="41">
                  <c:v>11.699999999999996</c:v>
                </c:pt>
                <c:pt idx="42">
                  <c:v>12.000000000000007</c:v>
                </c:pt>
                <c:pt idx="43">
                  <c:v>12.199999999999996</c:v>
                </c:pt>
                <c:pt idx="44">
                  <c:v>12.500000000000007</c:v>
                </c:pt>
                <c:pt idx="45">
                  <c:v>12.800000000000004</c:v>
                </c:pt>
                <c:pt idx="46">
                  <c:v>13.100000000000001</c:v>
                </c:pt>
                <c:pt idx="47">
                  <c:v>13.399999999999999</c:v>
                </c:pt>
                <c:pt idx="48">
                  <c:v>13.699999999999996</c:v>
                </c:pt>
                <c:pt idx="49">
                  <c:v>14.000000000000007</c:v>
                </c:pt>
                <c:pt idx="50">
                  <c:v>14.199999999999996</c:v>
                </c:pt>
                <c:pt idx="51">
                  <c:v>14.500000000000007</c:v>
                </c:pt>
                <c:pt idx="52">
                  <c:v>14.800000000000004</c:v>
                </c:pt>
                <c:pt idx="53">
                  <c:v>15.100000000000001</c:v>
                </c:pt>
                <c:pt idx="54">
                  <c:v>15.399999999999999</c:v>
                </c:pt>
                <c:pt idx="55">
                  <c:v>15.699999999999996</c:v>
                </c:pt>
                <c:pt idx="56">
                  <c:v>16.000000000000007</c:v>
                </c:pt>
                <c:pt idx="57">
                  <c:v>16.199999999999996</c:v>
                </c:pt>
                <c:pt idx="58">
                  <c:v>16.500000000000007</c:v>
                </c:pt>
                <c:pt idx="59">
                  <c:v>16.800000000000004</c:v>
                </c:pt>
                <c:pt idx="60">
                  <c:v>17.100000000000001</c:v>
                </c:pt>
                <c:pt idx="61">
                  <c:v>17.399999999999999</c:v>
                </c:pt>
                <c:pt idx="62">
                  <c:v>17.699999999999996</c:v>
                </c:pt>
                <c:pt idx="63">
                  <c:v>18.000000000000007</c:v>
                </c:pt>
                <c:pt idx="64">
                  <c:v>18.199999999999996</c:v>
                </c:pt>
                <c:pt idx="65">
                  <c:v>18.500000000000007</c:v>
                </c:pt>
                <c:pt idx="66">
                  <c:v>18.800000000000004</c:v>
                </c:pt>
                <c:pt idx="67">
                  <c:v>19.100000000000001</c:v>
                </c:pt>
                <c:pt idx="68">
                  <c:v>19.399999999999999</c:v>
                </c:pt>
                <c:pt idx="69">
                  <c:v>19.699999999999996</c:v>
                </c:pt>
                <c:pt idx="70">
                  <c:v>20.000000000000007</c:v>
                </c:pt>
                <c:pt idx="71">
                  <c:v>20.199999999999996</c:v>
                </c:pt>
                <c:pt idx="72">
                  <c:v>20.500000000000007</c:v>
                </c:pt>
                <c:pt idx="73">
                  <c:v>20.800000000000004</c:v>
                </c:pt>
                <c:pt idx="74">
                  <c:v>21.1</c:v>
                </c:pt>
                <c:pt idx="75">
                  <c:v>21.4</c:v>
                </c:pt>
                <c:pt idx="76">
                  <c:v>21.699999999999996</c:v>
                </c:pt>
                <c:pt idx="77">
                  <c:v>22.000000000000007</c:v>
                </c:pt>
                <c:pt idx="78">
                  <c:v>22.199999999999996</c:v>
                </c:pt>
                <c:pt idx="79">
                  <c:v>22.500000000000007</c:v>
                </c:pt>
                <c:pt idx="80">
                  <c:v>22.800000000000004</c:v>
                </c:pt>
                <c:pt idx="81">
                  <c:v>23.1</c:v>
                </c:pt>
                <c:pt idx="82">
                  <c:v>23.4</c:v>
                </c:pt>
                <c:pt idx="83">
                  <c:v>23.699999999999996</c:v>
                </c:pt>
                <c:pt idx="84">
                  <c:v>24.000000000000007</c:v>
                </c:pt>
                <c:pt idx="85">
                  <c:v>24.199999999999996</c:v>
                </c:pt>
                <c:pt idx="86">
                  <c:v>24.500000000000007</c:v>
                </c:pt>
                <c:pt idx="87">
                  <c:v>24.800000000000004</c:v>
                </c:pt>
                <c:pt idx="88">
                  <c:v>25.1</c:v>
                </c:pt>
                <c:pt idx="89">
                  <c:v>25.4</c:v>
                </c:pt>
                <c:pt idx="90">
                  <c:v>25.699999999999996</c:v>
                </c:pt>
                <c:pt idx="91">
                  <c:v>26.000000000000007</c:v>
                </c:pt>
                <c:pt idx="92">
                  <c:v>26.199999999999996</c:v>
                </c:pt>
                <c:pt idx="93">
                  <c:v>26.500000000000007</c:v>
                </c:pt>
                <c:pt idx="94">
                  <c:v>26.800000000000004</c:v>
                </c:pt>
                <c:pt idx="95">
                  <c:v>27.1</c:v>
                </c:pt>
                <c:pt idx="96">
                  <c:v>27.4</c:v>
                </c:pt>
                <c:pt idx="97">
                  <c:v>27.699999999999996</c:v>
                </c:pt>
                <c:pt idx="98">
                  <c:v>28.000000000000007</c:v>
                </c:pt>
                <c:pt idx="99">
                  <c:v>28.199999999999996</c:v>
                </c:pt>
                <c:pt idx="100">
                  <c:v>28.500000000000007</c:v>
                </c:pt>
                <c:pt idx="101">
                  <c:v>28.800000000000004</c:v>
                </c:pt>
                <c:pt idx="102">
                  <c:v>29.1</c:v>
                </c:pt>
                <c:pt idx="103">
                  <c:v>29.4</c:v>
                </c:pt>
                <c:pt idx="104">
                  <c:v>29.699999999999996</c:v>
                </c:pt>
                <c:pt idx="105">
                  <c:v>30.000000000000007</c:v>
                </c:pt>
                <c:pt idx="106">
                  <c:v>30.199999999999996</c:v>
                </c:pt>
                <c:pt idx="107">
                  <c:v>30.500000000000007</c:v>
                </c:pt>
                <c:pt idx="108">
                  <c:v>30.800000000000004</c:v>
                </c:pt>
                <c:pt idx="109">
                  <c:v>31.1</c:v>
                </c:pt>
                <c:pt idx="110">
                  <c:v>31.4</c:v>
                </c:pt>
                <c:pt idx="111">
                  <c:v>31.699999999999996</c:v>
                </c:pt>
                <c:pt idx="112">
                  <c:v>32.000000000000007</c:v>
                </c:pt>
                <c:pt idx="113">
                  <c:v>32.199999999999996</c:v>
                </c:pt>
                <c:pt idx="114">
                  <c:v>32.500000000000007</c:v>
                </c:pt>
                <c:pt idx="115">
                  <c:v>32.800000000000004</c:v>
                </c:pt>
                <c:pt idx="116">
                  <c:v>33.1</c:v>
                </c:pt>
                <c:pt idx="117">
                  <c:v>33.4</c:v>
                </c:pt>
                <c:pt idx="118">
                  <c:v>33.699999999999996</c:v>
                </c:pt>
                <c:pt idx="119">
                  <c:v>34.000000000000007</c:v>
                </c:pt>
                <c:pt idx="120">
                  <c:v>34.199999999999996</c:v>
                </c:pt>
                <c:pt idx="121">
                  <c:v>34.500000000000007</c:v>
                </c:pt>
                <c:pt idx="122">
                  <c:v>34.800000000000004</c:v>
                </c:pt>
                <c:pt idx="123">
                  <c:v>35.1</c:v>
                </c:pt>
                <c:pt idx="124">
                  <c:v>35.4</c:v>
                </c:pt>
                <c:pt idx="125">
                  <c:v>35.699999999999996</c:v>
                </c:pt>
                <c:pt idx="126">
                  <c:v>36.000000000000007</c:v>
                </c:pt>
                <c:pt idx="127">
                  <c:v>36.199999999999996</c:v>
                </c:pt>
                <c:pt idx="128">
                  <c:v>36.500000000000007</c:v>
                </c:pt>
                <c:pt idx="129">
                  <c:v>36.800000000000004</c:v>
                </c:pt>
                <c:pt idx="130">
                  <c:v>37.1</c:v>
                </c:pt>
                <c:pt idx="131">
                  <c:v>37.4</c:v>
                </c:pt>
                <c:pt idx="132">
                  <c:v>37.699999999999996</c:v>
                </c:pt>
                <c:pt idx="133">
                  <c:v>38.000000000000007</c:v>
                </c:pt>
                <c:pt idx="134">
                  <c:v>38.199999999999996</c:v>
                </c:pt>
                <c:pt idx="135">
                  <c:v>38.500000000000007</c:v>
                </c:pt>
                <c:pt idx="136">
                  <c:v>38.800000000000004</c:v>
                </c:pt>
                <c:pt idx="137">
                  <c:v>39.1</c:v>
                </c:pt>
                <c:pt idx="138">
                  <c:v>39.4</c:v>
                </c:pt>
                <c:pt idx="139">
                  <c:v>39.699999999999996</c:v>
                </c:pt>
                <c:pt idx="140">
                  <c:v>40.000000000000007</c:v>
                </c:pt>
                <c:pt idx="141">
                  <c:v>40.199999999999996</c:v>
                </c:pt>
                <c:pt idx="142">
                  <c:v>40.500000000000007</c:v>
                </c:pt>
                <c:pt idx="143">
                  <c:v>40.800000000000004</c:v>
                </c:pt>
                <c:pt idx="144">
                  <c:v>41.1</c:v>
                </c:pt>
                <c:pt idx="145">
                  <c:v>41.4</c:v>
                </c:pt>
                <c:pt idx="146">
                  <c:v>41.699999999999996</c:v>
                </c:pt>
                <c:pt idx="147">
                  <c:v>42.000000000000007</c:v>
                </c:pt>
                <c:pt idx="148">
                  <c:v>42.199999999999996</c:v>
                </c:pt>
                <c:pt idx="149">
                  <c:v>42.500000000000007</c:v>
                </c:pt>
                <c:pt idx="150">
                  <c:v>42.800000000000004</c:v>
                </c:pt>
                <c:pt idx="151">
                  <c:v>43.1</c:v>
                </c:pt>
                <c:pt idx="152">
                  <c:v>43.4</c:v>
                </c:pt>
                <c:pt idx="153">
                  <c:v>43.699999999999996</c:v>
                </c:pt>
                <c:pt idx="154">
                  <c:v>44.000000000000007</c:v>
                </c:pt>
                <c:pt idx="155">
                  <c:v>44.199999999999996</c:v>
                </c:pt>
                <c:pt idx="156">
                  <c:v>44.500000000000007</c:v>
                </c:pt>
                <c:pt idx="157">
                  <c:v>44.800000000000004</c:v>
                </c:pt>
                <c:pt idx="158">
                  <c:v>45.1</c:v>
                </c:pt>
                <c:pt idx="159">
                  <c:v>45.4</c:v>
                </c:pt>
                <c:pt idx="160">
                  <c:v>45.699999999999996</c:v>
                </c:pt>
                <c:pt idx="161">
                  <c:v>46.000000000000007</c:v>
                </c:pt>
                <c:pt idx="162">
                  <c:v>46.199999999999996</c:v>
                </c:pt>
                <c:pt idx="163">
                  <c:v>46.500000000000007</c:v>
                </c:pt>
                <c:pt idx="164">
                  <c:v>46.800000000000004</c:v>
                </c:pt>
                <c:pt idx="165">
                  <c:v>47.1</c:v>
                </c:pt>
                <c:pt idx="166">
                  <c:v>47.4</c:v>
                </c:pt>
                <c:pt idx="167">
                  <c:v>47.699999999999996</c:v>
                </c:pt>
                <c:pt idx="168">
                  <c:v>48.000000000000007</c:v>
                </c:pt>
                <c:pt idx="169">
                  <c:v>48.199999999999996</c:v>
                </c:pt>
                <c:pt idx="170">
                  <c:v>48.500000000000007</c:v>
                </c:pt>
                <c:pt idx="171">
                  <c:v>48.800000000000004</c:v>
                </c:pt>
                <c:pt idx="172">
                  <c:v>49.1</c:v>
                </c:pt>
                <c:pt idx="173">
                  <c:v>49.4</c:v>
                </c:pt>
                <c:pt idx="174">
                  <c:v>49.699999999999996</c:v>
                </c:pt>
                <c:pt idx="175">
                  <c:v>50.000000000000007</c:v>
                </c:pt>
                <c:pt idx="176">
                  <c:v>50.199999999999996</c:v>
                </c:pt>
                <c:pt idx="177">
                  <c:v>50.500000000000007</c:v>
                </c:pt>
                <c:pt idx="178">
                  <c:v>50.800000000000004</c:v>
                </c:pt>
                <c:pt idx="179">
                  <c:v>51.1</c:v>
                </c:pt>
                <c:pt idx="180">
                  <c:v>51.4</c:v>
                </c:pt>
                <c:pt idx="181">
                  <c:v>51.699999999999996</c:v>
                </c:pt>
                <c:pt idx="182">
                  <c:v>52.000000000000007</c:v>
                </c:pt>
                <c:pt idx="183">
                  <c:v>52.199999999999996</c:v>
                </c:pt>
                <c:pt idx="184">
                  <c:v>52.500000000000007</c:v>
                </c:pt>
                <c:pt idx="185">
                  <c:v>52.800000000000004</c:v>
                </c:pt>
                <c:pt idx="186">
                  <c:v>53.1</c:v>
                </c:pt>
                <c:pt idx="187">
                  <c:v>53.4</c:v>
                </c:pt>
                <c:pt idx="188">
                  <c:v>53.699999999999996</c:v>
                </c:pt>
                <c:pt idx="189">
                  <c:v>54.000000000000007</c:v>
                </c:pt>
                <c:pt idx="190">
                  <c:v>54.199999999999996</c:v>
                </c:pt>
                <c:pt idx="191">
                  <c:v>54.500000000000007</c:v>
                </c:pt>
                <c:pt idx="192">
                  <c:v>54.800000000000004</c:v>
                </c:pt>
                <c:pt idx="193">
                  <c:v>55.1</c:v>
                </c:pt>
                <c:pt idx="194">
                  <c:v>55.4</c:v>
                </c:pt>
                <c:pt idx="195">
                  <c:v>55.699999999999996</c:v>
                </c:pt>
                <c:pt idx="196">
                  <c:v>56.000000000000007</c:v>
                </c:pt>
                <c:pt idx="197">
                  <c:v>56.199999999999996</c:v>
                </c:pt>
                <c:pt idx="198">
                  <c:v>56.500000000000007</c:v>
                </c:pt>
                <c:pt idx="199">
                  <c:v>56.800000000000004</c:v>
                </c:pt>
                <c:pt idx="200">
                  <c:v>57.1</c:v>
                </c:pt>
                <c:pt idx="201">
                  <c:v>57.4</c:v>
                </c:pt>
                <c:pt idx="202">
                  <c:v>57.699999999999996</c:v>
                </c:pt>
                <c:pt idx="203">
                  <c:v>58.000000000000007</c:v>
                </c:pt>
                <c:pt idx="204">
                  <c:v>58.199999999999996</c:v>
                </c:pt>
                <c:pt idx="205">
                  <c:v>58.500000000000007</c:v>
                </c:pt>
                <c:pt idx="206">
                  <c:v>58.800000000000004</c:v>
                </c:pt>
                <c:pt idx="207">
                  <c:v>59.1</c:v>
                </c:pt>
                <c:pt idx="208">
                  <c:v>59.4</c:v>
                </c:pt>
                <c:pt idx="209">
                  <c:v>59.699999999999996</c:v>
                </c:pt>
                <c:pt idx="210">
                  <c:v>60.000000000000007</c:v>
                </c:pt>
                <c:pt idx="211">
                  <c:v>60.199999999999996</c:v>
                </c:pt>
                <c:pt idx="212">
                  <c:v>60.500000000000007</c:v>
                </c:pt>
                <c:pt idx="213">
                  <c:v>60.800000000000004</c:v>
                </c:pt>
                <c:pt idx="214">
                  <c:v>61.1</c:v>
                </c:pt>
                <c:pt idx="215">
                  <c:v>61.4</c:v>
                </c:pt>
                <c:pt idx="216">
                  <c:v>61.699999999999996</c:v>
                </c:pt>
                <c:pt idx="217">
                  <c:v>62.000000000000007</c:v>
                </c:pt>
                <c:pt idx="218">
                  <c:v>62.199999999999996</c:v>
                </c:pt>
                <c:pt idx="219">
                  <c:v>62.500000000000007</c:v>
                </c:pt>
                <c:pt idx="220">
                  <c:v>62.800000000000004</c:v>
                </c:pt>
                <c:pt idx="221">
                  <c:v>63.1</c:v>
                </c:pt>
                <c:pt idx="222">
                  <c:v>63.4</c:v>
                </c:pt>
                <c:pt idx="223">
                  <c:v>63.699999999999996</c:v>
                </c:pt>
                <c:pt idx="224">
                  <c:v>64</c:v>
                </c:pt>
                <c:pt idx="225">
                  <c:v>64.199999999999989</c:v>
                </c:pt>
                <c:pt idx="226">
                  <c:v>64.5</c:v>
                </c:pt>
                <c:pt idx="227">
                  <c:v>64.800000000000011</c:v>
                </c:pt>
                <c:pt idx="228">
                  <c:v>65.099999999999994</c:v>
                </c:pt>
                <c:pt idx="229">
                  <c:v>65.400000000000006</c:v>
                </c:pt>
                <c:pt idx="230">
                  <c:v>65.699999999999989</c:v>
                </c:pt>
                <c:pt idx="231">
                  <c:v>66</c:v>
                </c:pt>
                <c:pt idx="232">
                  <c:v>66.199999999999989</c:v>
                </c:pt>
                <c:pt idx="233">
                  <c:v>66.5</c:v>
                </c:pt>
                <c:pt idx="234">
                  <c:v>66.800000000000011</c:v>
                </c:pt>
                <c:pt idx="235">
                  <c:v>67.099999999999994</c:v>
                </c:pt>
                <c:pt idx="236">
                  <c:v>67.400000000000006</c:v>
                </c:pt>
                <c:pt idx="237">
                  <c:v>67.699999999999989</c:v>
                </c:pt>
                <c:pt idx="238">
                  <c:v>68</c:v>
                </c:pt>
                <c:pt idx="239">
                  <c:v>68.199999999999989</c:v>
                </c:pt>
                <c:pt idx="240">
                  <c:v>68.5</c:v>
                </c:pt>
                <c:pt idx="241">
                  <c:v>68.800000000000011</c:v>
                </c:pt>
                <c:pt idx="242">
                  <c:v>69.099999999999994</c:v>
                </c:pt>
                <c:pt idx="243">
                  <c:v>69.400000000000006</c:v>
                </c:pt>
                <c:pt idx="244">
                  <c:v>69.699999999999989</c:v>
                </c:pt>
                <c:pt idx="245">
                  <c:v>70</c:v>
                </c:pt>
                <c:pt idx="246">
                  <c:v>70.199999999999989</c:v>
                </c:pt>
                <c:pt idx="247">
                  <c:v>70.5</c:v>
                </c:pt>
                <c:pt idx="248">
                  <c:v>70.799999999999983</c:v>
                </c:pt>
                <c:pt idx="249">
                  <c:v>71.099999999999994</c:v>
                </c:pt>
                <c:pt idx="250">
                  <c:v>71.400000000000006</c:v>
                </c:pt>
                <c:pt idx="251">
                  <c:v>71.699999999999989</c:v>
                </c:pt>
                <c:pt idx="252">
                  <c:v>72</c:v>
                </c:pt>
                <c:pt idx="253">
                  <c:v>72.199999999999989</c:v>
                </c:pt>
                <c:pt idx="254">
                  <c:v>72.5</c:v>
                </c:pt>
                <c:pt idx="255">
                  <c:v>72.799999999999983</c:v>
                </c:pt>
                <c:pt idx="256">
                  <c:v>73.099999999999994</c:v>
                </c:pt>
                <c:pt idx="257">
                  <c:v>73.400000000000006</c:v>
                </c:pt>
                <c:pt idx="258">
                  <c:v>73.699999999999989</c:v>
                </c:pt>
                <c:pt idx="259">
                  <c:v>74</c:v>
                </c:pt>
                <c:pt idx="260">
                  <c:v>74.199999999999989</c:v>
                </c:pt>
                <c:pt idx="261">
                  <c:v>74.5</c:v>
                </c:pt>
                <c:pt idx="262">
                  <c:v>74.799999999999983</c:v>
                </c:pt>
                <c:pt idx="263">
                  <c:v>75.099999999999994</c:v>
                </c:pt>
                <c:pt idx="264">
                  <c:v>75.400000000000006</c:v>
                </c:pt>
                <c:pt idx="265">
                  <c:v>75.699999999999989</c:v>
                </c:pt>
                <c:pt idx="266">
                  <c:v>76</c:v>
                </c:pt>
                <c:pt idx="267">
                  <c:v>76.199999999999989</c:v>
                </c:pt>
                <c:pt idx="268">
                  <c:v>76.5</c:v>
                </c:pt>
                <c:pt idx="269">
                  <c:v>76.799999999999983</c:v>
                </c:pt>
                <c:pt idx="270">
                  <c:v>77.099999999999994</c:v>
                </c:pt>
                <c:pt idx="271">
                  <c:v>77.400000000000006</c:v>
                </c:pt>
                <c:pt idx="272">
                  <c:v>77.699999999999989</c:v>
                </c:pt>
                <c:pt idx="273">
                  <c:v>78</c:v>
                </c:pt>
                <c:pt idx="274">
                  <c:v>78.199999999999989</c:v>
                </c:pt>
                <c:pt idx="275">
                  <c:v>78.5</c:v>
                </c:pt>
                <c:pt idx="276">
                  <c:v>78.799999999999983</c:v>
                </c:pt>
                <c:pt idx="277">
                  <c:v>79.099999999999994</c:v>
                </c:pt>
                <c:pt idx="278">
                  <c:v>79.400000000000006</c:v>
                </c:pt>
                <c:pt idx="279">
                  <c:v>79.699999999999989</c:v>
                </c:pt>
                <c:pt idx="280">
                  <c:v>80</c:v>
                </c:pt>
                <c:pt idx="281">
                  <c:v>80.199999999999989</c:v>
                </c:pt>
                <c:pt idx="282">
                  <c:v>80.5</c:v>
                </c:pt>
                <c:pt idx="283">
                  <c:v>80.799999999999983</c:v>
                </c:pt>
                <c:pt idx="284">
                  <c:v>81.099999999999994</c:v>
                </c:pt>
                <c:pt idx="285">
                  <c:v>81.400000000000006</c:v>
                </c:pt>
                <c:pt idx="286">
                  <c:v>81.699999999999989</c:v>
                </c:pt>
                <c:pt idx="287">
                  <c:v>82</c:v>
                </c:pt>
                <c:pt idx="288">
                  <c:v>82.199999999999989</c:v>
                </c:pt>
                <c:pt idx="289">
                  <c:v>82.5</c:v>
                </c:pt>
                <c:pt idx="290">
                  <c:v>82.799999999999983</c:v>
                </c:pt>
                <c:pt idx="291">
                  <c:v>83.1</c:v>
                </c:pt>
                <c:pt idx="292">
                  <c:v>83.4</c:v>
                </c:pt>
                <c:pt idx="293">
                  <c:v>83.699999999999989</c:v>
                </c:pt>
                <c:pt idx="294">
                  <c:v>84</c:v>
                </c:pt>
                <c:pt idx="295">
                  <c:v>84.199999999999989</c:v>
                </c:pt>
                <c:pt idx="296">
                  <c:v>84.5</c:v>
                </c:pt>
                <c:pt idx="297">
                  <c:v>84.799999999999983</c:v>
                </c:pt>
                <c:pt idx="298">
                  <c:v>85.1</c:v>
                </c:pt>
                <c:pt idx="299">
                  <c:v>85.4</c:v>
                </c:pt>
                <c:pt idx="300">
                  <c:v>85.699999999999989</c:v>
                </c:pt>
                <c:pt idx="301">
                  <c:v>86</c:v>
                </c:pt>
                <c:pt idx="302">
                  <c:v>86.199999999999989</c:v>
                </c:pt>
                <c:pt idx="303">
                  <c:v>86.5</c:v>
                </c:pt>
                <c:pt idx="304">
                  <c:v>86.799999999999983</c:v>
                </c:pt>
                <c:pt idx="305">
                  <c:v>87.1</c:v>
                </c:pt>
                <c:pt idx="306">
                  <c:v>87.4</c:v>
                </c:pt>
                <c:pt idx="307">
                  <c:v>87.699999999999989</c:v>
                </c:pt>
                <c:pt idx="308">
                  <c:v>88</c:v>
                </c:pt>
                <c:pt idx="309">
                  <c:v>88.199999999999989</c:v>
                </c:pt>
                <c:pt idx="310">
                  <c:v>88.5</c:v>
                </c:pt>
                <c:pt idx="311">
                  <c:v>88.799999999999983</c:v>
                </c:pt>
                <c:pt idx="312">
                  <c:v>89.1</c:v>
                </c:pt>
                <c:pt idx="313">
                  <c:v>89.4</c:v>
                </c:pt>
                <c:pt idx="314">
                  <c:v>89.699999999999989</c:v>
                </c:pt>
                <c:pt idx="315">
                  <c:v>90</c:v>
                </c:pt>
                <c:pt idx="316">
                  <c:v>90.199999999999989</c:v>
                </c:pt>
                <c:pt idx="317">
                  <c:v>90.5</c:v>
                </c:pt>
                <c:pt idx="318">
                  <c:v>90.799999999999983</c:v>
                </c:pt>
                <c:pt idx="319">
                  <c:v>91.1</c:v>
                </c:pt>
                <c:pt idx="320">
                  <c:v>91.4</c:v>
                </c:pt>
                <c:pt idx="321">
                  <c:v>91.699999999999989</c:v>
                </c:pt>
                <c:pt idx="322">
                  <c:v>92</c:v>
                </c:pt>
                <c:pt idx="323">
                  <c:v>92.199999999999989</c:v>
                </c:pt>
                <c:pt idx="324">
                  <c:v>92.5</c:v>
                </c:pt>
                <c:pt idx="325">
                  <c:v>92.799999999999983</c:v>
                </c:pt>
                <c:pt idx="326">
                  <c:v>93.1</c:v>
                </c:pt>
                <c:pt idx="327">
                  <c:v>93.4</c:v>
                </c:pt>
                <c:pt idx="328">
                  <c:v>93.699999999999989</c:v>
                </c:pt>
                <c:pt idx="329">
                  <c:v>94</c:v>
                </c:pt>
                <c:pt idx="330">
                  <c:v>94.199999999999989</c:v>
                </c:pt>
                <c:pt idx="331">
                  <c:v>94.5</c:v>
                </c:pt>
                <c:pt idx="332">
                  <c:v>94.799999999999983</c:v>
                </c:pt>
                <c:pt idx="333">
                  <c:v>95.1</c:v>
                </c:pt>
                <c:pt idx="334">
                  <c:v>95.4</c:v>
                </c:pt>
                <c:pt idx="335">
                  <c:v>95.699999999999989</c:v>
                </c:pt>
                <c:pt idx="336">
                  <c:v>96</c:v>
                </c:pt>
                <c:pt idx="337">
                  <c:v>96.199999999999989</c:v>
                </c:pt>
                <c:pt idx="338">
                  <c:v>96.5</c:v>
                </c:pt>
                <c:pt idx="339">
                  <c:v>96.799999999999983</c:v>
                </c:pt>
                <c:pt idx="340">
                  <c:v>97.1</c:v>
                </c:pt>
                <c:pt idx="341">
                  <c:v>97.4</c:v>
                </c:pt>
                <c:pt idx="342">
                  <c:v>97.699999999999989</c:v>
                </c:pt>
                <c:pt idx="343">
                  <c:v>98</c:v>
                </c:pt>
                <c:pt idx="344">
                  <c:v>98.199999999999989</c:v>
                </c:pt>
                <c:pt idx="345">
                  <c:v>98.5</c:v>
                </c:pt>
                <c:pt idx="346">
                  <c:v>98.799999999999983</c:v>
                </c:pt>
                <c:pt idx="347">
                  <c:v>99.1</c:v>
                </c:pt>
                <c:pt idx="348">
                  <c:v>99.4</c:v>
                </c:pt>
                <c:pt idx="349">
                  <c:v>99.699999999999989</c:v>
                </c:pt>
                <c:pt idx="350">
                  <c:v>100</c:v>
                </c:pt>
                <c:pt idx="351">
                  <c:v>100.19999999999999</c:v>
                </c:pt>
                <c:pt idx="352">
                  <c:v>100.5</c:v>
                </c:pt>
                <c:pt idx="353">
                  <c:v>100.79999999999998</c:v>
                </c:pt>
                <c:pt idx="354">
                  <c:v>101.1</c:v>
                </c:pt>
                <c:pt idx="355">
                  <c:v>101.4</c:v>
                </c:pt>
                <c:pt idx="356">
                  <c:v>101.69999999999999</c:v>
                </c:pt>
                <c:pt idx="357">
                  <c:v>102</c:v>
                </c:pt>
                <c:pt idx="358">
                  <c:v>102.19999999999999</c:v>
                </c:pt>
                <c:pt idx="359">
                  <c:v>102.5</c:v>
                </c:pt>
                <c:pt idx="360">
                  <c:v>102.79999999999998</c:v>
                </c:pt>
                <c:pt idx="361">
                  <c:v>103.1</c:v>
                </c:pt>
                <c:pt idx="362">
                  <c:v>103.4</c:v>
                </c:pt>
                <c:pt idx="363">
                  <c:v>103.69999999999999</c:v>
                </c:pt>
                <c:pt idx="364">
                  <c:v>104</c:v>
                </c:pt>
                <c:pt idx="365">
                  <c:v>104.19999999999999</c:v>
                </c:pt>
                <c:pt idx="366">
                  <c:v>104.5</c:v>
                </c:pt>
                <c:pt idx="367">
                  <c:v>104.79999999999998</c:v>
                </c:pt>
                <c:pt idx="368">
                  <c:v>105.1</c:v>
                </c:pt>
                <c:pt idx="369">
                  <c:v>105.4</c:v>
                </c:pt>
                <c:pt idx="370">
                  <c:v>105.69999999999999</c:v>
                </c:pt>
                <c:pt idx="371">
                  <c:v>106</c:v>
                </c:pt>
                <c:pt idx="372">
                  <c:v>106.19999999999999</c:v>
                </c:pt>
                <c:pt idx="373">
                  <c:v>106.5</c:v>
                </c:pt>
                <c:pt idx="374">
                  <c:v>106.79999999999998</c:v>
                </c:pt>
                <c:pt idx="375">
                  <c:v>107.1</c:v>
                </c:pt>
                <c:pt idx="376">
                  <c:v>107.4</c:v>
                </c:pt>
                <c:pt idx="377">
                  <c:v>107.69999999999999</c:v>
                </c:pt>
                <c:pt idx="378">
                  <c:v>108</c:v>
                </c:pt>
                <c:pt idx="379">
                  <c:v>108.19999999999999</c:v>
                </c:pt>
                <c:pt idx="380">
                  <c:v>108.5</c:v>
                </c:pt>
                <c:pt idx="381">
                  <c:v>108.79999999999998</c:v>
                </c:pt>
                <c:pt idx="382">
                  <c:v>109.1</c:v>
                </c:pt>
                <c:pt idx="383">
                  <c:v>109.4</c:v>
                </c:pt>
                <c:pt idx="384">
                  <c:v>109.69999999999999</c:v>
                </c:pt>
                <c:pt idx="385">
                  <c:v>110</c:v>
                </c:pt>
                <c:pt idx="386">
                  <c:v>110.19999999999999</c:v>
                </c:pt>
                <c:pt idx="387">
                  <c:v>110.5</c:v>
                </c:pt>
                <c:pt idx="388">
                  <c:v>110.79999999999998</c:v>
                </c:pt>
                <c:pt idx="389">
                  <c:v>111.1</c:v>
                </c:pt>
                <c:pt idx="390">
                  <c:v>111.4</c:v>
                </c:pt>
                <c:pt idx="391">
                  <c:v>111.69999999999999</c:v>
                </c:pt>
                <c:pt idx="392">
                  <c:v>112</c:v>
                </c:pt>
                <c:pt idx="393">
                  <c:v>112.19999999999999</c:v>
                </c:pt>
                <c:pt idx="394">
                  <c:v>112.5</c:v>
                </c:pt>
                <c:pt idx="395">
                  <c:v>112.79999999999998</c:v>
                </c:pt>
                <c:pt idx="396">
                  <c:v>113.1</c:v>
                </c:pt>
                <c:pt idx="397">
                  <c:v>113.4</c:v>
                </c:pt>
                <c:pt idx="398">
                  <c:v>113.69999999999999</c:v>
                </c:pt>
                <c:pt idx="399">
                  <c:v>114</c:v>
                </c:pt>
                <c:pt idx="400">
                  <c:v>114.19999999999999</c:v>
                </c:pt>
                <c:pt idx="401">
                  <c:v>114.5</c:v>
                </c:pt>
                <c:pt idx="402">
                  <c:v>114.79999999999998</c:v>
                </c:pt>
                <c:pt idx="403">
                  <c:v>115.1</c:v>
                </c:pt>
                <c:pt idx="404">
                  <c:v>115.4</c:v>
                </c:pt>
                <c:pt idx="405">
                  <c:v>115.69999999999999</c:v>
                </c:pt>
                <c:pt idx="406">
                  <c:v>116</c:v>
                </c:pt>
                <c:pt idx="407">
                  <c:v>116.19999999999999</c:v>
                </c:pt>
                <c:pt idx="408">
                  <c:v>116.5</c:v>
                </c:pt>
                <c:pt idx="409">
                  <c:v>116.79999999999998</c:v>
                </c:pt>
                <c:pt idx="410">
                  <c:v>117.1</c:v>
                </c:pt>
                <c:pt idx="411">
                  <c:v>117.4</c:v>
                </c:pt>
                <c:pt idx="412">
                  <c:v>117.69999999999999</c:v>
                </c:pt>
                <c:pt idx="413">
                  <c:v>118</c:v>
                </c:pt>
                <c:pt idx="414">
                  <c:v>118.19999999999999</c:v>
                </c:pt>
                <c:pt idx="415">
                  <c:v>118.5</c:v>
                </c:pt>
                <c:pt idx="416">
                  <c:v>118.79999999999998</c:v>
                </c:pt>
                <c:pt idx="417">
                  <c:v>119.1</c:v>
                </c:pt>
                <c:pt idx="418">
                  <c:v>119.4</c:v>
                </c:pt>
                <c:pt idx="419">
                  <c:v>119.69999999999999</c:v>
                </c:pt>
                <c:pt idx="420">
                  <c:v>120</c:v>
                </c:pt>
                <c:pt idx="421">
                  <c:v>120.19999999999999</c:v>
                </c:pt>
                <c:pt idx="422">
                  <c:v>120.5</c:v>
                </c:pt>
                <c:pt idx="423">
                  <c:v>120.79999999999998</c:v>
                </c:pt>
                <c:pt idx="424">
                  <c:v>121.1</c:v>
                </c:pt>
                <c:pt idx="425">
                  <c:v>121.4</c:v>
                </c:pt>
                <c:pt idx="426">
                  <c:v>121.69999999999999</c:v>
                </c:pt>
                <c:pt idx="427">
                  <c:v>122</c:v>
                </c:pt>
                <c:pt idx="428">
                  <c:v>122.19999999999999</c:v>
                </c:pt>
                <c:pt idx="429">
                  <c:v>122.5</c:v>
                </c:pt>
                <c:pt idx="430">
                  <c:v>122.79999999999998</c:v>
                </c:pt>
                <c:pt idx="431">
                  <c:v>123.1</c:v>
                </c:pt>
                <c:pt idx="432">
                  <c:v>123.4</c:v>
                </c:pt>
                <c:pt idx="433">
                  <c:v>123.69999999999999</c:v>
                </c:pt>
                <c:pt idx="434">
                  <c:v>124</c:v>
                </c:pt>
                <c:pt idx="435">
                  <c:v>124.19999999999999</c:v>
                </c:pt>
                <c:pt idx="436">
                  <c:v>124.5</c:v>
                </c:pt>
                <c:pt idx="437">
                  <c:v>124.79999999999998</c:v>
                </c:pt>
                <c:pt idx="438">
                  <c:v>125.1</c:v>
                </c:pt>
                <c:pt idx="439">
                  <c:v>125.4</c:v>
                </c:pt>
                <c:pt idx="440">
                  <c:v>125.69999999999999</c:v>
                </c:pt>
                <c:pt idx="441">
                  <c:v>126</c:v>
                </c:pt>
                <c:pt idx="442">
                  <c:v>126.19999999999999</c:v>
                </c:pt>
                <c:pt idx="443">
                  <c:v>126.5</c:v>
                </c:pt>
                <c:pt idx="444">
                  <c:v>126.79999999999998</c:v>
                </c:pt>
                <c:pt idx="445">
                  <c:v>127.1</c:v>
                </c:pt>
                <c:pt idx="446">
                  <c:v>127.4</c:v>
                </c:pt>
                <c:pt idx="447">
                  <c:v>127.69999999999999</c:v>
                </c:pt>
                <c:pt idx="448">
                  <c:v>128</c:v>
                </c:pt>
                <c:pt idx="449">
                  <c:v>128.19999999999999</c:v>
                </c:pt>
                <c:pt idx="450">
                  <c:v>128.5</c:v>
                </c:pt>
                <c:pt idx="451">
                  <c:v>128.79999999999998</c:v>
                </c:pt>
                <c:pt idx="452">
                  <c:v>129.1</c:v>
                </c:pt>
                <c:pt idx="453">
                  <c:v>129.4</c:v>
                </c:pt>
                <c:pt idx="454">
                  <c:v>129.69999999999999</c:v>
                </c:pt>
                <c:pt idx="455">
                  <c:v>130</c:v>
                </c:pt>
                <c:pt idx="456">
                  <c:v>130.19999999999999</c:v>
                </c:pt>
                <c:pt idx="457">
                  <c:v>130.5</c:v>
                </c:pt>
                <c:pt idx="458">
                  <c:v>130.79999999999998</c:v>
                </c:pt>
                <c:pt idx="459">
                  <c:v>131.1</c:v>
                </c:pt>
                <c:pt idx="460">
                  <c:v>131.4</c:v>
                </c:pt>
                <c:pt idx="461">
                  <c:v>131.69999999999999</c:v>
                </c:pt>
                <c:pt idx="462">
                  <c:v>132</c:v>
                </c:pt>
                <c:pt idx="463">
                  <c:v>132.19999999999999</c:v>
                </c:pt>
                <c:pt idx="464">
                  <c:v>132.5</c:v>
                </c:pt>
                <c:pt idx="465">
                  <c:v>132.79999999999998</c:v>
                </c:pt>
                <c:pt idx="466">
                  <c:v>133.1</c:v>
                </c:pt>
                <c:pt idx="467">
                  <c:v>133.4</c:v>
                </c:pt>
                <c:pt idx="468">
                  <c:v>133.69999999999999</c:v>
                </c:pt>
                <c:pt idx="469">
                  <c:v>134</c:v>
                </c:pt>
                <c:pt idx="470">
                  <c:v>134.19999999999999</c:v>
                </c:pt>
                <c:pt idx="471">
                  <c:v>134.5</c:v>
                </c:pt>
                <c:pt idx="472">
                  <c:v>134.79999999999998</c:v>
                </c:pt>
                <c:pt idx="473">
                  <c:v>135.1</c:v>
                </c:pt>
                <c:pt idx="474">
                  <c:v>135.4</c:v>
                </c:pt>
                <c:pt idx="475">
                  <c:v>135.69999999999999</c:v>
                </c:pt>
                <c:pt idx="476">
                  <c:v>136</c:v>
                </c:pt>
                <c:pt idx="477">
                  <c:v>136.19999999999999</c:v>
                </c:pt>
                <c:pt idx="478">
                  <c:v>136.5</c:v>
                </c:pt>
                <c:pt idx="479">
                  <c:v>136.79999999999998</c:v>
                </c:pt>
                <c:pt idx="480">
                  <c:v>137.1</c:v>
                </c:pt>
                <c:pt idx="481">
                  <c:v>137.4</c:v>
                </c:pt>
                <c:pt idx="482">
                  <c:v>137.69999999999999</c:v>
                </c:pt>
                <c:pt idx="483">
                  <c:v>138</c:v>
                </c:pt>
                <c:pt idx="484">
                  <c:v>138.19999999999999</c:v>
                </c:pt>
                <c:pt idx="485">
                  <c:v>138.5</c:v>
                </c:pt>
                <c:pt idx="486">
                  <c:v>138.79999999999998</c:v>
                </c:pt>
                <c:pt idx="487">
                  <c:v>139.1</c:v>
                </c:pt>
                <c:pt idx="488">
                  <c:v>139.4</c:v>
                </c:pt>
                <c:pt idx="489">
                  <c:v>139.69999999999999</c:v>
                </c:pt>
                <c:pt idx="490">
                  <c:v>140</c:v>
                </c:pt>
                <c:pt idx="491">
                  <c:v>140.19999999999999</c:v>
                </c:pt>
                <c:pt idx="492">
                  <c:v>140.5</c:v>
                </c:pt>
                <c:pt idx="493">
                  <c:v>140.79999999999998</c:v>
                </c:pt>
              </c:numCache>
            </c:numRef>
          </c:xVal>
          <c:yVal>
            <c:numRef>
              <c:f>'sheet 1'!$P$39:$P$841</c:f>
              <c:numCache>
                <c:formatCode>General</c:formatCode>
                <c:ptCount val="803"/>
                <c:pt idx="0">
                  <c:v>474.70673237515643</c:v>
                </c:pt>
                <c:pt idx="1">
                  <c:v>470.20762069606451</c:v>
                </c:pt>
                <c:pt idx="2">
                  <c:v>463.53878021885868</c:v>
                </c:pt>
                <c:pt idx="3">
                  <c:v>456.96452406589884</c:v>
                </c:pt>
                <c:pt idx="4">
                  <c:v>450.48351077056981</c:v>
                </c:pt>
                <c:pt idx="5">
                  <c:v>444.09441789230044</c:v>
                </c:pt>
                <c:pt idx="6">
                  <c:v>437.79594174672144</c:v>
                </c:pt>
                <c:pt idx="7">
                  <c:v>431.58679713965205</c:v>
                </c:pt>
                <c:pt idx="8">
                  <c:v>427.49636962947773</c:v>
                </c:pt>
                <c:pt idx="9">
                  <c:v>421.43330432371675</c:v>
                </c:pt>
                <c:pt idx="10">
                  <c:v>415.45623178588221</c:v>
                </c:pt>
                <c:pt idx="11">
                  <c:v>409.56393240363985</c:v>
                </c:pt>
                <c:pt idx="12">
                  <c:v>403.75520386246791</c:v>
                </c:pt>
                <c:pt idx="13">
                  <c:v>398.02886090032825</c:v>
                </c:pt>
                <c:pt idx="14">
                  <c:v>392.38373506581468</c:v>
                </c:pt>
                <c:pt idx="15">
                  <c:v>388.66486896516358</c:v>
                </c:pt>
                <c:pt idx="16">
                  <c:v>383.15255335579224</c:v>
                </c:pt>
                <c:pt idx="17">
                  <c:v>377.7184193864602</c:v>
                </c:pt>
                <c:pt idx="18">
                  <c:v>372.36135823048613</c:v>
                </c:pt>
                <c:pt idx="19">
                  <c:v>367.08027678775767</c:v>
                </c:pt>
                <c:pt idx="20">
                  <c:v>361.87409746168578</c:v>
                </c:pt>
                <c:pt idx="21">
                  <c:v>356.7417579393225</c:v>
                </c:pt>
                <c:pt idx="22">
                  <c:v>353.36070259879887</c:v>
                </c:pt>
                <c:pt idx="23">
                  <c:v>348.34910954607142</c:v>
                </c:pt>
                <c:pt idx="24">
                  <c:v>343.40859654379932</c:v>
                </c:pt>
                <c:pt idx="25">
                  <c:v>338.53815548776151</c:v>
                </c:pt>
                <c:pt idx="26">
                  <c:v>333.73679257178816</c:v>
                </c:pt>
                <c:pt idx="27">
                  <c:v>329.00352808497541</c:v>
                </c:pt>
                <c:pt idx="28">
                  <c:v>324.33739621177574</c:v>
                </c:pt>
                <c:pt idx="29">
                  <c:v>321.26346678689623</c:v>
                </c:pt>
                <c:pt idx="30">
                  <c:v>316.70711346346752</c:v>
                </c:pt>
                <c:pt idx="31">
                  <c:v>312.21538368849139</c:v>
                </c:pt>
                <c:pt idx="32">
                  <c:v>307.78736093112002</c:v>
                </c:pt>
                <c:pt idx="33">
                  <c:v>303.42214165980101</c:v>
                </c:pt>
                <c:pt idx="34">
                  <c:v>299.11883515791044</c:v>
                </c:pt>
                <c:pt idx="35">
                  <c:v>294.87656334200443</c:v>
                </c:pt>
                <c:pt idx="36">
                  <c:v>292.08186231179161</c:v>
                </c:pt>
                <c:pt idx="37">
                  <c:v>287.93939742165276</c:v>
                </c:pt>
                <c:pt idx="38">
                  <c:v>283.85568606930582</c:v>
                </c:pt>
                <c:pt idx="39">
                  <c:v>279.82989497926059</c:v>
                </c:pt>
                <c:pt idx="40">
                  <c:v>275.86120269454011</c:v>
                </c:pt>
                <c:pt idx="41">
                  <c:v>271.94879940906196</c:v>
                </c:pt>
                <c:pt idx="42">
                  <c:v>268.09188680239788</c:v>
                </c:pt>
                <c:pt idx="43">
                  <c:v>265.55105078426521</c:v>
                </c:pt>
                <c:pt idx="44">
                  <c:v>261.78487927730328</c:v>
                </c:pt>
                <c:pt idx="45">
                  <c:v>258.07212451525805</c:v>
                </c:pt>
                <c:pt idx="46">
                  <c:v>254.41202891556284</c:v>
                </c:pt>
                <c:pt idx="47">
                  <c:v>250.80384564064005</c:v>
                </c:pt>
                <c:pt idx="48">
                  <c:v>247.24683844550933</c:v>
                </c:pt>
                <c:pt idx="49">
                  <c:v>243.74028152755645</c:v>
                </c:pt>
                <c:pt idx="50">
                  <c:v>241.43025109068626</c:v>
                </c:pt>
                <c:pt idx="51">
                  <c:v>238.00619296691775</c:v>
                </c:pt>
                <c:pt idx="52">
                  <c:v>234.63069957861586</c:v>
                </c:pt>
                <c:pt idx="53">
                  <c:v>231.30308216064935</c:v>
                </c:pt>
                <c:pt idx="54">
                  <c:v>228.02266171686856</c:v>
                </c:pt>
                <c:pt idx="55">
                  <c:v>224.7887688815548</c:v>
                </c:pt>
                <c:pt idx="56">
                  <c:v>221.60074378283764</c:v>
                </c:pt>
                <c:pt idx="57">
                  <c:v>219.50055417095501</c:v>
                </c:pt>
                <c:pt idx="58">
                  <c:v>216.38753427787262</c:v>
                </c:pt>
                <c:pt idx="59">
                  <c:v>213.31866785949231</c:v>
                </c:pt>
                <c:pt idx="60">
                  <c:v>210.29332871717841</c:v>
                </c:pt>
                <c:pt idx="61">
                  <c:v>207.31089953392544</c:v>
                </c:pt>
                <c:pt idx="62">
                  <c:v>204.37077174839459</c:v>
                </c:pt>
                <c:pt idx="63">
                  <c:v>201.47234543073606</c:v>
                </c:pt>
                <c:pt idx="64">
                  <c:v>199.56293629495858</c:v>
                </c:pt>
                <c:pt idx="65">
                  <c:v>196.73270230269463</c:v>
                </c:pt>
                <c:pt idx="66">
                  <c:v>193.94261123828977</c:v>
                </c:pt>
                <c:pt idx="67">
                  <c:v>191.1920937864796</c:v>
                </c:pt>
                <c:pt idx="68">
                  <c:v>188.48058870688274</c:v>
                </c:pt>
                <c:pt idx="69">
                  <c:v>185.80754271948032</c:v>
                </c:pt>
                <c:pt idx="70">
                  <c:v>183.17241039171782</c:v>
                </c:pt>
                <c:pt idx="71">
                  <c:v>181.43645280666937</c:v>
                </c:pt>
                <c:pt idx="72">
                  <c:v>178.86331880140136</c:v>
                </c:pt>
                <c:pt idx="73">
                  <c:v>176.3266814929398</c:v>
                </c:pt>
                <c:pt idx="74">
                  <c:v>173.82602328250283</c:v>
                </c:pt>
                <c:pt idx="75">
                  <c:v>171.3608339127282</c:v>
                </c:pt>
                <c:pt idx="76">
                  <c:v>168.93061036355428</c:v>
                </c:pt>
                <c:pt idx="77">
                  <c:v>166.53485674957767</c:v>
                </c:pt>
                <c:pt idx="78">
                  <c:v>164.95659594280798</c:v>
                </c:pt>
                <c:pt idx="79">
                  <c:v>162.61720931132581</c:v>
                </c:pt>
                <c:pt idx="80">
                  <c:v>160.31100436954355</c:v>
                </c:pt>
                <c:pt idx="81">
                  <c:v>158.03751053761803</c:v>
                </c:pt>
                <c:pt idx="82">
                  <c:v>155.79626391028671</c:v>
                </c:pt>
                <c:pt idx="83">
                  <c:v>153.58680716220658</c:v>
                </c:pt>
                <c:pt idx="84">
                  <c:v>151.40868945463583</c:v>
                </c:pt>
                <c:pt idx="85">
                  <c:v>149.97380182199072</c:v>
                </c:pt>
                <c:pt idx="86">
                  <c:v>147.8469313117063</c:v>
                </c:pt>
                <c:pt idx="87">
                  <c:v>145.75022862207089</c:v>
                </c:pt>
                <c:pt idx="88">
                  <c:v>143.68326592134383</c:v>
                </c:pt>
                <c:pt idx="89">
                  <c:v>141.64562144609963</c:v>
                </c:pt>
                <c:pt idx="90">
                  <c:v>139.63687941516531</c:v>
                </c:pt>
                <c:pt idx="91">
                  <c:v>137.65662994477879</c:v>
                </c:pt>
                <c:pt idx="92">
                  <c:v>136.35209305400298</c:v>
                </c:pt>
                <c:pt idx="93">
                  <c:v>134.41843608485863</c:v>
                </c:pt>
                <c:pt idx="94">
                  <c:v>132.51220685237004</c:v>
                </c:pt>
                <c:pt idx="95">
                  <c:v>130.63301639000969</c:v>
                </c:pt>
                <c:pt idx="96">
                  <c:v>128.78048124837014</c:v>
                </c:pt>
                <c:pt idx="97">
                  <c:v>126.95422341691931</c:v>
                </c:pt>
                <c:pt idx="98">
                  <c:v>125.15387024686493</c:v>
                </c:pt>
                <c:pt idx="99">
                  <c:v>123.96784464959327</c:v>
                </c:pt>
                <c:pt idx="100">
                  <c:v>122.20985212902575</c:v>
                </c:pt>
                <c:pt idx="101">
                  <c:v>120.47679617781651</c:v>
                </c:pt>
                <c:pt idx="102">
                  <c:v>118.76832316446624</c:v>
                </c:pt>
                <c:pt idx="103">
                  <c:v>117.08408447346849</c:v>
                </c:pt>
                <c:pt idx="104">
                  <c:v>115.42373643417224</c:v>
                </c:pt>
                <c:pt idx="105">
                  <c:v>113.7869402506532</c:v>
                </c:pt>
                <c:pt idx="106">
                  <c:v>112.70866203009992</c:v>
                </c:pt>
                <c:pt idx="107">
                  <c:v>111.11037908105844</c:v>
                </c:pt>
                <c:pt idx="108">
                  <c:v>109.53476784133559</c:v>
                </c:pt>
                <c:pt idx="109">
                  <c:v>107.98150680493872</c:v>
                </c:pt>
                <c:pt idx="110">
                  <c:v>106.4502790262602</c:v>
                </c:pt>
                <c:pt idx="111">
                  <c:v>104.94077205540201</c:v>
                </c:pt>
                <c:pt idx="112">
                  <c:v>103.45267787441664</c:v>
                </c:pt>
                <c:pt idx="113">
                  <c:v>102.4723609534949</c:v>
                </c:pt>
                <c:pt idx="114">
                  <c:v>101.0192821099097</c:v>
                </c:pt>
                <c:pt idx="115">
                  <c:v>99.586815867135613</c:v>
                </c:pt>
                <c:pt idx="116">
                  <c:v>98.174669926697007</c:v>
                </c:pt>
                <c:pt idx="117">
                  <c:v>96.78255613627978</c:v>
                </c:pt>
                <c:pt idx="118">
                  <c:v>95.410190430930257</c:v>
                </c:pt>
                <c:pt idx="119">
                  <c:v>94.057292775087774</c:v>
                </c:pt>
                <c:pt idx="120">
                  <c:v>93.166040098262329</c:v>
                </c:pt>
                <c:pt idx="121">
                  <c:v>91.8449776536483</c:v>
                </c:pt>
                <c:pt idx="122">
                  <c:v>90.542655764278663</c:v>
                </c:pt>
                <c:pt idx="123">
                  <c:v>89.258808686251783</c:v>
                </c:pt>
                <c:pt idx="124">
                  <c:v>87.993174445228036</c:v>
                </c:pt>
                <c:pt idx="125">
                  <c:v>86.745494782969729</c:v>
                </c:pt>
                <c:pt idx="126">
                  <c:v>85.515515104638482</c:v>
                </c:pt>
                <c:pt idx="127">
                  <c:v>84.705237887336637</c:v>
                </c:pt>
                <c:pt idx="128">
                  <c:v>83.504202201565121</c:v>
                </c:pt>
                <c:pt idx="129">
                  <c:v>82.320205097322386</c:v>
                </c:pt>
                <c:pt idx="130">
                  <c:v>81.153004973302998</c:v>
                </c:pt>
                <c:pt idx="131">
                  <c:v>80.002363655369706</c:v>
                </c:pt>
                <c:pt idx="132">
                  <c:v>78.868046347948891</c:v>
                </c:pt>
                <c:pt idx="133">
                  <c:v>77.749821586114791</c:v>
                </c:pt>
                <c:pt idx="134">
                  <c:v>77.013165898723472</c:v>
                </c:pt>
                <c:pt idx="135">
                  <c:v>75.921256576508853</c:v>
                </c:pt>
                <c:pt idx="136">
                  <c:v>74.844838486138642</c:v>
                </c:pt>
                <c:pt idx="137">
                  <c:v>73.783691975996462</c:v>
                </c:pt>
                <c:pt idx="138">
                  <c:v>72.737600510338154</c:v>
                </c:pt>
                <c:pt idx="139">
                  <c:v>71.706350625101237</c:v>
                </c:pt>
                <c:pt idx="140">
                  <c:v>70.689731884340958</c:v>
                </c:pt>
                <c:pt idx="141">
                  <c:v>70.02001190437467</c:v>
                </c:pt>
                <c:pt idx="142">
                  <c:v>69.027318857667154</c:v>
                </c:pt>
                <c:pt idx="143">
                  <c:v>68.048710272372688</c:v>
                </c:pt>
                <c:pt idx="144">
                  <c:v>67.083986452821634</c:v>
                </c:pt>
                <c:pt idx="145">
                  <c:v>66.132950536191842</c:v>
                </c:pt>
                <c:pt idx="146">
                  <c:v>65.195408452331478</c:v>
                </c:pt>
                <c:pt idx="147">
                  <c:v>64.271168884151336</c:v>
                </c:pt>
                <c:pt idx="148">
                  <c:v>63.66230621067799</c:v>
                </c:pt>
                <c:pt idx="149">
                  <c:v>62.759819706840297</c:v>
                </c:pt>
                <c:pt idx="150">
                  <c:v>61.870138704004646</c:v>
                </c:pt>
                <c:pt idx="151">
                  <c:v>60.993081649770367</c:v>
                </c:pt>
                <c:pt idx="152">
                  <c:v>60.128469567261931</c:v>
                </c:pt>
                <c:pt idx="153">
                  <c:v>59.276126018600188</c:v>
                </c:pt>
                <c:pt idx="154">
                  <c:v>58.435877068891379</c:v>
                </c:pt>
                <c:pt idx="155">
                  <c:v>57.882345548312841</c:v>
                </c:pt>
                <c:pt idx="156">
                  <c:v>57.061874427493642</c:v>
                </c:pt>
                <c:pt idx="157">
                  <c:v>56.253046047675596</c:v>
                </c:pt>
                <c:pt idx="158">
                  <c:v>55.455695351657653</c:v>
                </c:pt>
                <c:pt idx="159">
                  <c:v>54.669659623807803</c:v>
                </c:pt>
                <c:pt idx="160">
                  <c:v>53.894778456850908</c:v>
                </c:pt>
                <c:pt idx="161">
                  <c:v>53.130893719127592</c:v>
                </c:pt>
                <c:pt idx="162">
                  <c:v>52.627669281422108</c:v>
                </c:pt>
                <c:pt idx="163">
                  <c:v>51.881766600668087</c:v>
                </c:pt>
                <c:pt idx="164">
                  <c:v>51.146449545936768</c:v>
                </c:pt>
                <c:pt idx="165">
                  <c:v>50.421568056803544</c:v>
                </c:pt>
                <c:pt idx="166">
                  <c:v>49.706974201698564</c:v>
                </c:pt>
                <c:pt idx="167">
                  <c:v>49.002522147709946</c:v>
                </c:pt>
                <c:pt idx="168">
                  <c:v>48.308068130814817</c:v>
                </c:pt>
                <c:pt idx="169">
                  <c:v>47.850583180816386</c:v>
                </c:pt>
                <c:pt idx="170">
                  <c:v>47.172478609859937</c:v>
                </c:pt>
                <c:pt idx="171">
                  <c:v>46.503998597973386</c:v>
                </c:pt>
                <c:pt idx="172">
                  <c:v>45.845006719126808</c:v>
                </c:pt>
                <c:pt idx="173">
                  <c:v>45.195368482741443</c:v>
                </c:pt>
                <c:pt idx="174">
                  <c:v>44.554951306233981</c:v>
                </c:pt>
                <c:pt idx="175">
                  <c:v>43.923624487949937</c:v>
                </c:pt>
                <c:pt idx="176">
                  <c:v>43.507726437580295</c:v>
                </c:pt>
                <c:pt idx="177">
                  <c:v>42.891264792518683</c:v>
                </c:pt>
                <c:pt idx="178">
                  <c:v>42.283553961860584</c:v>
                </c:pt>
                <c:pt idx="179">
                  <c:v>41.684469915260934</c:v>
                </c:pt>
                <c:pt idx="180">
                  <c:v>41.093890381977104</c:v>
                </c:pt>
                <c:pt idx="181">
                  <c:v>40.511694825904982</c:v>
                </c:pt>
                <c:pt idx="182">
                  <c:v>39.93776442096874</c:v>
                </c:pt>
                <c:pt idx="183">
                  <c:v>39.559677985927131</c:v>
                </c:pt>
                <c:pt idx="184">
                  <c:v>38.999263342726501</c:v>
                </c:pt>
                <c:pt idx="185">
                  <c:v>38.446805157844686</c:v>
                </c:pt>
                <c:pt idx="186">
                  <c:v>37.902190670337653</c:v>
                </c:pt>
                <c:pt idx="187">
                  <c:v>37.365308718973253</c:v>
                </c:pt>
                <c:pt idx="188">
                  <c:v>36.836049719532497</c:v>
                </c:pt>
                <c:pt idx="189">
                  <c:v>36.314305642432402</c:v>
                </c:pt>
                <c:pt idx="190">
                  <c:v>35.970598561029703</c:v>
                </c:pt>
                <c:pt idx="191">
                  <c:v>35.461143441454936</c:v>
                </c:pt>
                <c:pt idx="192">
                  <c:v>34.958922598997304</c:v>
                </c:pt>
                <c:pt idx="193">
                  <c:v>34.46383351803069</c:v>
                </c:pt>
                <c:pt idx="194">
                  <c:v>33.975775137257202</c:v>
                </c:pt>
                <c:pt idx="195">
                  <c:v>33.494647829067475</c:v>
                </c:pt>
                <c:pt idx="196">
                  <c:v>33.020353379193452</c:v>
                </c:pt>
                <c:pt idx="197">
                  <c:v>32.707905242104566</c:v>
                </c:pt>
                <c:pt idx="198">
                  <c:v>32.244784410757624</c:v>
                </c:pt>
                <c:pt idx="199">
                  <c:v>31.788241291030328</c:v>
                </c:pt>
                <c:pt idx="200">
                  <c:v>31.338182681436574</c:v>
                </c:pt>
                <c:pt idx="201">
                  <c:v>30.894516702621935</c:v>
                </c:pt>
                <c:pt idx="202">
                  <c:v>30.457152778595976</c:v>
                </c:pt>
                <c:pt idx="203">
                  <c:v>30.026001618230278</c:v>
                </c:pt>
                <c:pt idx="204">
                  <c:v>29.74197552621462</c:v>
                </c:pt>
                <c:pt idx="205">
                  <c:v>29.320983979279752</c:v>
                </c:pt>
                <c:pt idx="206">
                  <c:v>28.905973229979168</c:v>
                </c:pt>
                <c:pt idx="207">
                  <c:v>28.496858544243342</c:v>
                </c:pt>
                <c:pt idx="208">
                  <c:v>28.09355638992588</c:v>
                </c:pt>
                <c:pt idx="209">
                  <c:v>27.695984419737403</c:v>
                </c:pt>
                <c:pt idx="210">
                  <c:v>27.30406145442101</c:v>
                </c:pt>
                <c:pt idx="211">
                  <c:v>27.045878246787343</c:v>
                </c:pt>
                <c:pt idx="212">
                  <c:v>26.663193011217871</c:v>
                </c:pt>
                <c:pt idx="213">
                  <c:v>26.285945887486889</c:v>
                </c:pt>
                <c:pt idx="214">
                  <c:v>25.914059838991726</c:v>
                </c:pt>
                <c:pt idx="215">
                  <c:v>25.547458921741981</c:v>
                </c:pt>
                <c:pt idx="216">
                  <c:v>25.18606826884027</c:v>
                </c:pt>
                <c:pt idx="217">
                  <c:v>24.829814075182632</c:v>
                </c:pt>
                <c:pt idx="218">
                  <c:v>24.595128895184551</c:v>
                </c:pt>
                <c:pt idx="219">
                  <c:v>24.247274291770999</c:v>
                </c:pt>
                <c:pt idx="220">
                  <c:v>23.904364410949849</c:v>
                </c:pt>
                <c:pt idx="221">
                  <c:v>23.56632921342851</c:v>
                </c:pt>
                <c:pt idx="222">
                  <c:v>23.23309965312281</c:v>
                </c:pt>
                <c:pt idx="223">
                  <c:v>22.90460766304404</c:v>
                </c:pt>
                <c:pt idx="224">
                  <c:v>22.580786141385797</c:v>
                </c:pt>
                <c:pt idx="225">
                  <c:v>22.367467126044655</c:v>
                </c:pt>
                <c:pt idx="226">
                  <c:v>22.051283181396659</c:v>
                </c:pt>
                <c:pt idx="227">
                  <c:v>21.739595381989066</c:v>
                </c:pt>
                <c:pt idx="228">
                  <c:v>21.432340049132637</c:v>
                </c:pt>
                <c:pt idx="229">
                  <c:v>21.129454406949556</c:v>
                </c:pt>
                <c:pt idx="230">
                  <c:v>20.830876569539495</c:v>
                </c:pt>
                <c:pt idx="231">
                  <c:v>20.536545528326656</c:v>
                </c:pt>
                <c:pt idx="232">
                  <c:v>20.342654429582328</c:v>
                </c:pt>
                <c:pt idx="233">
                  <c:v>20.055268150824617</c:v>
                </c:pt>
                <c:pt idx="234">
                  <c:v>19.771970173567521</c:v>
                </c:pt>
                <c:pt idx="235">
                  <c:v>19.492702600706341</c:v>
                </c:pt>
                <c:pt idx="236">
                  <c:v>19.217408355740677</c:v>
                </c:pt>
                <c:pt idx="237">
                  <c:v>18.946031171103041</c:v>
                </c:pt>
                <c:pt idx="238">
                  <c:v>18.67851557665221</c:v>
                </c:pt>
                <c:pt idx="239">
                  <c:v>18.502290138416054</c:v>
                </c:pt>
                <c:pt idx="240">
                  <c:v>18.241089390601672</c:v>
                </c:pt>
                <c:pt idx="241">
                  <c:v>17.983606125365704</c:v>
                </c:pt>
                <c:pt idx="242">
                  <c:v>17.72978770062484</c:v>
                </c:pt>
                <c:pt idx="243">
                  <c:v>17.479582220140284</c:v>
                </c:pt>
                <c:pt idx="244">
                  <c:v>17.232938522903734</c:v>
                </c:pt>
                <c:pt idx="245">
                  <c:v>16.989806172673312</c:v>
                </c:pt>
                <c:pt idx="246">
                  <c:v>16.82964410445873</c:v>
                </c:pt>
                <c:pt idx="247">
                  <c:v>16.592253854576004</c:v>
                </c:pt>
                <c:pt idx="248">
                  <c:v>16.3582439203668</c:v>
                </c:pt>
                <c:pt idx="249">
                  <c:v>16.12756643591111</c:v>
                </c:pt>
                <c:pt idx="250">
                  <c:v>15.900174213147524</c:v>
                </c:pt>
                <c:pt idx="251">
                  <c:v>15.676020732220955</c:v>
                </c:pt>
                <c:pt idx="252">
                  <c:v>15.455060131966915</c:v>
                </c:pt>
                <c:pt idx="253">
                  <c:v>15.309504534444363</c:v>
                </c:pt>
                <c:pt idx="254">
                  <c:v>15.093765247646193</c:v>
                </c:pt>
                <c:pt idx="255">
                  <c:v>14.881099694426318</c:v>
                </c:pt>
                <c:pt idx="256">
                  <c:v>14.671464349564387</c:v>
                </c:pt>
                <c:pt idx="257">
                  <c:v>14.464816303875129</c:v>
                </c:pt>
                <c:pt idx="258">
                  <c:v>14.261113255431365</c:v>
                </c:pt>
                <c:pt idx="259">
                  <c:v>14.060313500911269</c:v>
                </c:pt>
                <c:pt idx="260">
                  <c:v>13.928039612100479</c:v>
                </c:pt>
                <c:pt idx="261">
                  <c:v>13.73198760560161</c:v>
                </c:pt>
                <c:pt idx="262">
                  <c:v>13.538730546195291</c:v>
                </c:pt>
                <c:pt idx="263">
                  <c:v>13.348228853380537</c:v>
                </c:pt>
                <c:pt idx="264">
                  <c:v>13.160443506476145</c:v>
                </c:pt>
                <c:pt idx="265">
                  <c:v>12.975336036640277</c:v>
                </c:pt>
                <c:pt idx="266">
                  <c:v>12.792868519003342</c:v>
                </c:pt>
                <c:pt idx="267">
                  <c:v>12.6726716619886</c:v>
                </c:pt>
                <c:pt idx="268">
                  <c:v>12.494521240122301</c:v>
                </c:pt>
                <c:pt idx="269">
                  <c:v>12.318912238257274</c:v>
                </c:pt>
                <c:pt idx="270">
                  <c:v>12.145808660568184</c:v>
                </c:pt>
                <c:pt idx="271">
                  <c:v>11.975175019939545</c:v>
                </c:pt>
                <c:pt idx="272">
                  <c:v>11.806976330710759</c:v>
                </c:pt>
                <c:pt idx="273">
                  <c:v>11.641178101524217</c:v>
                </c:pt>
                <c:pt idx="274">
                  <c:v>11.531962725653957</c:v>
                </c:pt>
                <c:pt idx="275">
                  <c:v>11.370089935997138</c:v>
                </c:pt>
                <c:pt idx="276">
                  <c:v>11.210527992722774</c:v>
                </c:pt>
                <c:pt idx="277">
                  <c:v>11.053244157357629</c:v>
                </c:pt>
                <c:pt idx="278">
                  <c:v>10.898206153677872</c:v>
                </c:pt>
                <c:pt idx="279">
                  <c:v>10.745382161114938</c:v>
                </c:pt>
                <c:pt idx="280">
                  <c:v>10.594740808255244</c:v>
                </c:pt>
                <c:pt idx="281">
                  <c:v>10.495510525850841</c:v>
                </c:pt>
                <c:pt idx="282">
                  <c:v>10.348438391239576</c:v>
                </c:pt>
                <c:pt idx="283">
                  <c:v>10.203467386657481</c:v>
                </c:pt>
                <c:pt idx="284">
                  <c:v>10.060567733463017</c:v>
                </c:pt>
                <c:pt idx="285">
                  <c:v>9.9197100730396013</c:v>
                </c:pt>
                <c:pt idx="286">
                  <c:v>9.7808654608036072</c:v>
                </c:pt>
                <c:pt idx="287">
                  <c:v>9.6440053602979123</c:v>
                </c:pt>
                <c:pt idx="288">
                  <c:v>9.5538538900203296</c:v>
                </c:pt>
                <c:pt idx="289">
                  <c:v>9.4202389847950112</c:v>
                </c:pt>
                <c:pt idx="290">
                  <c:v>9.2885344453542604</c:v>
                </c:pt>
                <c:pt idx="291">
                  <c:v>9.1587131825245294</c:v>
                </c:pt>
                <c:pt idx="292">
                  <c:v>9.0307484887934155</c:v>
                </c:pt>
                <c:pt idx="293">
                  <c:v>8.9046140328665153</c:v>
                </c:pt>
                <c:pt idx="294">
                  <c:v>8.7802838543023665</c:v>
                </c:pt>
                <c:pt idx="295">
                  <c:v>8.698386790574359</c:v>
                </c:pt>
                <c:pt idx="296">
                  <c:v>8.5770070416088782</c:v>
                </c:pt>
                <c:pt idx="297">
                  <c:v>8.4573641152458592</c:v>
                </c:pt>
                <c:pt idx="298">
                  <c:v>8.3394333661696241</c:v>
                </c:pt>
                <c:pt idx="299">
                  <c:v>8.2231904958813775</c:v>
                </c:pt>
                <c:pt idx="300">
                  <c:v>8.1086115477565368</c:v>
                </c:pt>
                <c:pt idx="301">
                  <c:v>7.995672902173256</c:v>
                </c:pt>
                <c:pt idx="302">
                  <c:v>7.9212802374859264</c:v>
                </c:pt>
                <c:pt idx="303">
                  <c:v>7.8110238415548423</c:v>
                </c:pt>
                <c:pt idx="304">
                  <c:v>7.702346373781582</c:v>
                </c:pt>
                <c:pt idx="305">
                  <c:v>7.5952254096667655</c:v>
                </c:pt>
                <c:pt idx="306">
                  <c:v>7.4896388398928213</c:v>
                </c:pt>
                <c:pt idx="307">
                  <c:v>7.3855648658376323</c:v>
                </c:pt>
                <c:pt idx="308">
                  <c:v>7.2829819951530705</c:v>
                </c:pt>
                <c:pt idx="309">
                  <c:v>7.2154113287530111</c:v>
                </c:pt>
                <c:pt idx="310">
                  <c:v>7.1152666876538593</c:v>
                </c:pt>
                <c:pt idx="311">
                  <c:v>7.0165573013983868</c:v>
                </c:pt>
                <c:pt idx="312">
                  <c:v>6.9192627638401536</c:v>
                </c:pt>
                <c:pt idx="313">
                  <c:v>6.8233629553054387</c:v>
                </c:pt>
                <c:pt idx="314">
                  <c:v>6.7288380385229072</c:v>
                </c:pt>
                <c:pt idx="315">
                  <c:v>6.6356684546124054</c:v>
                </c:pt>
                <c:pt idx="316">
                  <c:v>6.5742988270218445</c:v>
                </c:pt>
                <c:pt idx="317">
                  <c:v>6.4833454106765602</c:v>
                </c:pt>
                <c:pt idx="318">
                  <c:v>6.393696501334273</c:v>
                </c:pt>
                <c:pt idx="319">
                  <c:v>6.3053335274988287</c:v>
                </c:pt>
                <c:pt idx="320">
                  <c:v>6.2182381781047287</c:v>
                </c:pt>
                <c:pt idx="321">
                  <c:v>6.1323923988259441</c:v>
                </c:pt>
                <c:pt idx="322">
                  <c:v>6.0477783884385286</c:v>
                </c:pt>
                <c:pt idx="323">
                  <c:v>5.992044686560555</c:v>
                </c:pt>
                <c:pt idx="324">
                  <c:v>5.909444742152532</c:v>
                </c:pt>
                <c:pt idx="325">
                  <c:v>5.8280303070012653</c:v>
                </c:pt>
                <c:pt idx="326">
                  <c:v>5.7477844776547347</c:v>
                </c:pt>
                <c:pt idx="327">
                  <c:v>5.6686905874791558</c:v>
                </c:pt>
                <c:pt idx="328">
                  <c:v>5.590732203312883</c:v>
                </c:pt>
                <c:pt idx="329">
                  <c:v>5.5138931221693568</c:v>
                </c:pt>
                <c:pt idx="330">
                  <c:v>5.4632810044322806</c:v>
                </c:pt>
                <c:pt idx="331">
                  <c:v>5.3882720365827224</c:v>
                </c:pt>
                <c:pt idx="332">
                  <c:v>5.3143402645366855</c:v>
                </c:pt>
                <c:pt idx="333">
                  <c:v>5.2414703018485271</c:v>
                </c:pt>
                <c:pt idx="334">
                  <c:v>5.1696469774894638</c:v>
                </c:pt>
                <c:pt idx="335">
                  <c:v>5.0988553328153792</c:v>
                </c:pt>
                <c:pt idx="336">
                  <c:v>5.0290806185791839</c:v>
                </c:pt>
                <c:pt idx="337">
                  <c:v>4.9831219137413694</c:v>
                </c:pt>
                <c:pt idx="338">
                  <c:v>4.9150098668868925</c:v>
                </c:pt>
                <c:pt idx="339">
                  <c:v>4.8478764206136695</c:v>
                </c:pt>
                <c:pt idx="340">
                  <c:v>4.7817075686056114</c:v>
                </c:pt>
                <c:pt idx="341">
                  <c:v>4.7164895005717176</c:v>
                </c:pt>
                <c:pt idx="342">
                  <c:v>4.65220859949891</c:v>
                </c:pt>
                <c:pt idx="343">
                  <c:v>4.5888514389452899</c:v>
                </c:pt>
                <c:pt idx="344">
                  <c:v>4.5471199758843035</c:v>
                </c:pt>
                <c:pt idx="345">
                  <c:v>4.4852730554917306</c:v>
                </c:pt>
                <c:pt idx="346">
                  <c:v>4.4243149832969291</c:v>
                </c:pt>
                <c:pt idx="347">
                  <c:v>4.3642330090984407</c:v>
                </c:pt>
                <c:pt idx="348">
                  <c:v>4.3050145611515465</c:v>
                </c:pt>
                <c:pt idx="349">
                  <c:v>4.2466472436794387</c:v>
                </c:pt>
                <c:pt idx="350">
                  <c:v>4.1891188344209853</c:v>
                </c:pt>
                <c:pt idx="351">
                  <c:v>4.1512266635407382</c:v>
                </c:pt>
                <c:pt idx="352">
                  <c:v>4.0950697376940433</c:v>
                </c:pt>
                <c:pt idx="353">
                  <c:v>4.039719957400794</c:v>
                </c:pt>
                <c:pt idx="354">
                  <c:v>3.9851657162203127</c:v>
                </c:pt>
                <c:pt idx="355">
                  <c:v>3.9313955702515617</c:v>
                </c:pt>
                <c:pt idx="356">
                  <c:v>3.8783982358779912</c:v>
                </c:pt>
                <c:pt idx="357">
                  <c:v>3.8261625875454368</c:v>
                </c:pt>
                <c:pt idx="358">
                  <c:v>3.7917565574263019</c:v>
                </c:pt>
                <c:pt idx="359">
                  <c:v>3.7407660847557631</c:v>
                </c:pt>
                <c:pt idx="360">
                  <c:v>3.6905083861810541</c:v>
                </c:pt>
                <c:pt idx="361">
                  <c:v>3.6409728972191675</c:v>
                </c:pt>
                <c:pt idx="362">
                  <c:v>3.5921492015018286</c:v>
                </c:pt>
                <c:pt idx="363">
                  <c:v>3.5440270287312172</c:v>
                </c:pt>
                <c:pt idx="364">
                  <c:v>3.4965962526654577</c:v>
                </c:pt>
                <c:pt idx="365">
                  <c:v>3.465354908326606</c:v>
                </c:pt>
                <c:pt idx="366">
                  <c:v>3.4190543423274193</c:v>
                </c:pt>
                <c:pt idx="367">
                  <c:v>3.3734188589891616</c:v>
                </c:pt>
                <c:pt idx="368">
                  <c:v>3.3284388435088799</c:v>
                </c:pt>
                <c:pt idx="369">
                  <c:v>3.2841048161188691</c:v>
                </c:pt>
                <c:pt idx="370">
                  <c:v>3.2404074302322963</c:v>
                </c:pt>
                <c:pt idx="371">
                  <c:v>3.1973374706156039</c:v>
                </c:pt>
                <c:pt idx="372">
                  <c:v>3.1689682423205161</c:v>
                </c:pt>
                <c:pt idx="373">
                  <c:v>3.1269238659222851</c:v>
                </c:pt>
                <c:pt idx="374">
                  <c:v>3.0854829703932962</c:v>
                </c:pt>
                <c:pt idx="375">
                  <c:v>3.0446368069142276</c:v>
                </c:pt>
                <c:pt idx="376">
                  <c:v>3.0043767498321365</c:v>
                </c:pt>
                <c:pt idx="377">
                  <c:v>2.9646942949767556</c:v>
                </c:pt>
                <c:pt idx="378">
                  <c:v>2.9255810580008745</c:v>
                </c:pt>
                <c:pt idx="379">
                  <c:v>2.8998177119696797</c:v>
                </c:pt>
                <c:pt idx="380">
                  <c:v>2.8616348598481984</c:v>
                </c:pt>
                <c:pt idx="381">
                  <c:v>2.8239994407807787</c:v>
                </c:pt>
                <c:pt idx="382">
                  <c:v>2.7869034959506425</c:v>
                </c:pt>
                <c:pt idx="383">
                  <c:v>2.7503391789258989</c:v>
                </c:pt>
                <c:pt idx="384">
                  <c:v>2.7142987541290169</c:v>
                </c:pt>
                <c:pt idx="385">
                  <c:v>2.6787745953278823</c:v>
                </c:pt>
                <c:pt idx="386">
                  <c:v>2.6553749200642169</c:v>
                </c:pt>
                <c:pt idx="387">
                  <c:v>2.6206945496891314</c:v>
                </c:pt>
                <c:pt idx="388">
                  <c:v>2.5865106320205267</c:v>
                </c:pt>
                <c:pt idx="389">
                  <c:v>2.5528159291889772</c:v>
                </c:pt>
                <c:pt idx="390">
                  <c:v>2.5196033059038596</c:v>
                </c:pt>
                <c:pt idx="391">
                  <c:v>2.4868657280601729</c:v>
                </c:pt>
                <c:pt idx="392">
                  <c:v>2.4545962613647054</c:v>
                </c:pt>
                <c:pt idx="393">
                  <c:v>2.4333399655838757</c:v>
                </c:pt>
                <c:pt idx="394">
                  <c:v>2.4018355414036767</c:v>
                </c:pt>
                <c:pt idx="395">
                  <c:v>2.370781214647911</c:v>
                </c:pt>
                <c:pt idx="396">
                  <c:v>2.3401704055502077</c:v>
                </c:pt>
                <c:pt idx="397">
                  <c:v>2.3099966279913806</c:v>
                </c:pt>
                <c:pt idx="398">
                  <c:v>2.2802534882293939</c:v>
                </c:pt>
                <c:pt idx="399">
                  <c:v>2.2509346836466557</c:v>
                </c:pt>
                <c:pt idx="400">
                  <c:v>2.2316214840146391</c:v>
                </c:pt>
                <c:pt idx="401">
                  <c:v>2.2029961425040003</c:v>
                </c:pt>
                <c:pt idx="402">
                  <c:v>2.1747787653458284</c:v>
                </c:pt>
                <c:pt idx="403">
                  <c:v>2.1469633736007649</c:v>
                </c:pt>
                <c:pt idx="404">
                  <c:v>2.1195440738291866</c:v>
                </c:pt>
                <c:pt idx="405">
                  <c:v>2.0925150569316311</c:v>
                </c:pt>
                <c:pt idx="406">
                  <c:v>2.0658705970047859</c:v>
                </c:pt>
                <c:pt idx="407">
                  <c:v>2.0483184760587543</c:v>
                </c:pt>
                <c:pt idx="408">
                  <c:v>2.0223024425816467</c:v>
                </c:pt>
                <c:pt idx="409">
                  <c:v>1.9966560952007189</c:v>
                </c:pt>
                <c:pt idx="410">
                  <c:v>1.9713740035227281</c:v>
                </c:pt>
                <c:pt idx="411">
                  <c:v>1.9464508152106799</c:v>
                </c:pt>
                <c:pt idx="412">
                  <c:v>1.9218812549235256</c:v>
                </c:pt>
                <c:pt idx="413">
                  <c:v>1.8976601232698718</c:v>
                </c:pt>
                <c:pt idx="414">
                  <c:v>1.8817037399737746</c:v>
                </c:pt>
                <c:pt idx="415">
                  <c:v>1.8580519715233266</c:v>
                </c:pt>
                <c:pt idx="416">
                  <c:v>1.8347351301631116</c:v>
                </c:pt>
                <c:pt idx="417">
                  <c:v>1.8117482862529946</c:v>
                </c:pt>
                <c:pt idx="418">
                  <c:v>1.7890865813988821</c:v>
                </c:pt>
                <c:pt idx="419">
                  <c:v>1.7667452274818847</c:v>
                </c:pt>
                <c:pt idx="420">
                  <c:v>1.7447195057001146</c:v>
                </c:pt>
                <c:pt idx="421">
                  <c:v>1.7302087430708457</c:v>
                </c:pt>
                <c:pt idx="422">
                  <c:v>1.7086987738982007</c:v>
                </c:pt>
                <c:pt idx="423">
                  <c:v>1.6874921851187954</c:v>
                </c:pt>
                <c:pt idx="424">
                  <c:v>1.6665845040945879</c:v>
                </c:pt>
                <c:pt idx="425">
                  <c:v>1.6459713231947786</c:v>
                </c:pt>
                <c:pt idx="426">
                  <c:v>1.6256482989058281</c:v>
                </c:pt>
                <c:pt idx="427">
                  <c:v>1.6056111509529396</c:v>
                </c:pt>
                <c:pt idx="428">
                  <c:v>1.5924097870483742</c:v>
                </c:pt>
                <c:pt idx="429">
                  <c:v>1.5728397569501462</c:v>
                </c:pt>
                <c:pt idx="430">
                  <c:v>1.5535444917291985</c:v>
                </c:pt>
                <c:pt idx="431">
                  <c:v>1.5345199356508423</c:v>
                </c:pt>
                <c:pt idx="432">
                  <c:v>1.515762092266226</c:v>
                </c:pt>
                <c:pt idx="433">
                  <c:v>1.4972670235957635</c:v>
                </c:pt>
                <c:pt idx="434">
                  <c:v>1.4790308493229842</c:v>
                </c:pt>
                <c:pt idx="435">
                  <c:v>1.4670153395892374</c:v>
                </c:pt>
                <c:pt idx="436">
                  <c:v>1.4492021871521188</c:v>
                </c:pt>
                <c:pt idx="437">
                  <c:v>1.431637857490365</c:v>
                </c:pt>
                <c:pt idx="438">
                  <c:v>1.414318674986683</c:v>
                </c:pt>
                <c:pt idx="439">
                  <c:v>1.397241018058677</c:v>
                </c:pt>
                <c:pt idx="440">
                  <c:v>1.3804013184091797</c:v>
                </c:pt>
                <c:pt idx="441">
                  <c:v>1.363796060286115</c:v>
                </c:pt>
                <c:pt idx="442">
                  <c:v>1.3528544207995656</c:v>
                </c:pt>
                <c:pt idx="443">
                  <c:v>1.3366322261750119</c:v>
                </c:pt>
                <c:pt idx="444">
                  <c:v>1.3206353490973641</c:v>
                </c:pt>
                <c:pt idx="445">
                  <c:v>1.3048604602983072</c:v>
                </c:pt>
                <c:pt idx="446">
                  <c:v>1.2893042797230714</c:v>
                </c:pt>
                <c:pt idx="447">
                  <c:v>1.2739635758420105</c:v>
                </c:pt>
                <c:pt idx="448">
                  <c:v>1.2588351649709189</c:v>
                </c:pt>
                <c:pt idx="449">
                  <c:v>1.2488659474696142</c:v>
                </c:pt>
                <c:pt idx="450">
                  <c:v>1.2340844112559048</c:v>
                </c:pt>
                <c:pt idx="451">
                  <c:v>1.2195069070624895</c:v>
                </c:pt>
                <c:pt idx="452">
                  <c:v>1.2051304209618925</c:v>
                </c:pt>
                <c:pt idx="453">
                  <c:v>1.1909519838127414</c:v>
                </c:pt>
                <c:pt idx="454">
                  <c:v>1.1769686706276323</c:v>
                </c:pt>
                <c:pt idx="455">
                  <c:v>1.1631775999490568</c:v>
                </c:pt>
                <c:pt idx="456">
                  <c:v>1.1540889507249459</c:v>
                </c:pt>
                <c:pt idx="457">
                  <c:v>1.1406119972653803</c:v>
                </c:pt>
                <c:pt idx="458">
                  <c:v>1.1273198105778097</c:v>
                </c:pt>
                <c:pt idx="459">
                  <c:v>1.1142096636025889</c:v>
                </c:pt>
                <c:pt idx="460">
                  <c:v>1.1012788700013061</c:v>
                </c:pt>
                <c:pt idx="461">
                  <c:v>1.0885247835765575</c:v>
                </c:pt>
                <c:pt idx="462">
                  <c:v>1.0759447976991661</c:v>
                </c:pt>
                <c:pt idx="463">
                  <c:v>1.0676535934220839</c:v>
                </c:pt>
                <c:pt idx="464">
                  <c:v>1.0553580882950151</c:v>
                </c:pt>
                <c:pt idx="465">
                  <c:v>1.0432299218718344</c:v>
                </c:pt>
                <c:pt idx="466">
                  <c:v>1.031266627824363</c:v>
                </c:pt>
                <c:pt idx="467">
                  <c:v>1.0194657768155595</c:v>
                </c:pt>
                <c:pt idx="468">
                  <c:v>1.0078249759673059</c:v>
                </c:pt>
                <c:pt idx="469">
                  <c:v>0.99634186833507776</c:v>
                </c:pt>
                <c:pt idx="470">
                  <c:v>0.98877292271295381</c:v>
                </c:pt>
                <c:pt idx="471">
                  <c:v>0.97754749541020058</c:v>
                </c:pt>
                <c:pt idx="472">
                  <c:v>0.96647364789151458</c:v>
                </c:pt>
                <c:pt idx="473">
                  <c:v>0.95554915058371903</c:v>
                </c:pt>
                <c:pt idx="474">
                  <c:v>0.94477180748455736</c:v>
                </c:pt>
                <c:pt idx="475">
                  <c:v>0.93413945567496137</c:v>
                </c:pt>
                <c:pt idx="476">
                  <c:v>0.92364996483771433</c:v>
                </c:pt>
                <c:pt idx="477">
                  <c:v>0.91673530070177434</c:v>
                </c:pt>
                <c:pt idx="478">
                  <c:v>0.90647926449251925</c:v>
                </c:pt>
                <c:pt idx="479">
                  <c:v>0.89636056420379218</c:v>
                </c:pt>
                <c:pt idx="480">
                  <c:v>0.88637718504171092</c:v>
                </c:pt>
                <c:pt idx="481">
                  <c:v>0.8765271426504021</c:v>
                </c:pt>
                <c:pt idx="482">
                  <c:v>0.86680848266553756</c:v>
                </c:pt>
                <c:pt idx="483">
                  <c:v>0.85721928027380112</c:v>
                </c:pt>
                <c:pt idx="484">
                  <c:v>0.85089746223251062</c:v>
                </c:pt>
                <c:pt idx="485">
                  <c:v>0.84151982402020042</c:v>
                </c:pt>
                <c:pt idx="486">
                  <c:v>0.83226665174988113</c:v>
                </c:pt>
                <c:pt idx="487">
                  <c:v>0.82313612528703417</c:v>
                </c:pt>
                <c:pt idx="488">
                  <c:v>0.8141264520688295</c:v>
                </c:pt>
                <c:pt idx="489">
                  <c:v>0.80523586669596525</c:v>
                </c:pt>
                <c:pt idx="490">
                  <c:v>0.79646263053000821</c:v>
                </c:pt>
                <c:pt idx="491">
                  <c:v>0.79067815378235629</c:v>
                </c:pt>
                <c:pt idx="492">
                  <c:v>0.78209670741441628</c:v>
                </c:pt>
                <c:pt idx="493">
                  <c:v>0.77362810171139185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21-4875-B88C-B488B95351CA}"/>
            </c:ext>
          </c:extLst>
        </c:ser>
        <c:ser>
          <c:idx val="3"/>
          <c:order val="3"/>
          <c:tx>
            <c:strRef>
              <c:f>'sheet 1'!$Q$38</c:f>
              <c:strCache>
                <c:ptCount val="1"/>
                <c:pt idx="0">
                  <c:v>I2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2"/>
            <c:spPr>
              <a:ln w="9525"/>
            </c:spPr>
          </c:marke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0.20000000000000284</c:v>
                </c:pt>
                <c:pt idx="2">
                  <c:v>0.5</c:v>
                </c:pt>
                <c:pt idx="3">
                  <c:v>0.80000000000000426</c:v>
                </c:pt>
                <c:pt idx="4">
                  <c:v>1.1000000000000014</c:v>
                </c:pt>
                <c:pt idx="5">
                  <c:v>1.3999999999999986</c:v>
                </c:pt>
                <c:pt idx="6">
                  <c:v>1.7000000000000028</c:v>
                </c:pt>
                <c:pt idx="7">
                  <c:v>2</c:v>
                </c:pt>
                <c:pt idx="8">
                  <c:v>2.2000000000000028</c:v>
                </c:pt>
                <c:pt idx="9">
                  <c:v>2.5</c:v>
                </c:pt>
                <c:pt idx="10">
                  <c:v>2.8000000000000043</c:v>
                </c:pt>
                <c:pt idx="11">
                  <c:v>3.1000000000000014</c:v>
                </c:pt>
                <c:pt idx="12">
                  <c:v>3.3999999999999986</c:v>
                </c:pt>
                <c:pt idx="13">
                  <c:v>3.7000000000000028</c:v>
                </c:pt>
                <c:pt idx="14">
                  <c:v>4</c:v>
                </c:pt>
                <c:pt idx="15">
                  <c:v>4.2000000000000028</c:v>
                </c:pt>
                <c:pt idx="16">
                  <c:v>4.5</c:v>
                </c:pt>
                <c:pt idx="17">
                  <c:v>4.8000000000000043</c:v>
                </c:pt>
                <c:pt idx="18">
                  <c:v>5.1000000000000014</c:v>
                </c:pt>
                <c:pt idx="19">
                  <c:v>5.3999999999999986</c:v>
                </c:pt>
                <c:pt idx="20">
                  <c:v>5.6999999999999957</c:v>
                </c:pt>
                <c:pt idx="21">
                  <c:v>6.0000000000000071</c:v>
                </c:pt>
                <c:pt idx="22">
                  <c:v>6.1999999999999957</c:v>
                </c:pt>
                <c:pt idx="23">
                  <c:v>6.5000000000000071</c:v>
                </c:pt>
                <c:pt idx="24">
                  <c:v>6.8000000000000043</c:v>
                </c:pt>
                <c:pt idx="25">
                  <c:v>7.1000000000000014</c:v>
                </c:pt>
                <c:pt idx="26">
                  <c:v>7.3999999999999986</c:v>
                </c:pt>
                <c:pt idx="27">
                  <c:v>7.6999999999999957</c:v>
                </c:pt>
                <c:pt idx="28">
                  <c:v>8.0000000000000071</c:v>
                </c:pt>
                <c:pt idx="29">
                  <c:v>8.1999999999999957</c:v>
                </c:pt>
                <c:pt idx="30">
                  <c:v>8.5000000000000071</c:v>
                </c:pt>
                <c:pt idx="31">
                  <c:v>8.8000000000000043</c:v>
                </c:pt>
                <c:pt idx="32">
                  <c:v>9.1000000000000014</c:v>
                </c:pt>
                <c:pt idx="33">
                  <c:v>9.3999999999999986</c:v>
                </c:pt>
                <c:pt idx="34">
                  <c:v>9.6999999999999957</c:v>
                </c:pt>
                <c:pt idx="35">
                  <c:v>10.000000000000007</c:v>
                </c:pt>
                <c:pt idx="36">
                  <c:v>10.199999999999996</c:v>
                </c:pt>
                <c:pt idx="37">
                  <c:v>10.500000000000007</c:v>
                </c:pt>
                <c:pt idx="38">
                  <c:v>10.800000000000004</c:v>
                </c:pt>
                <c:pt idx="39">
                  <c:v>11.100000000000001</c:v>
                </c:pt>
                <c:pt idx="40">
                  <c:v>11.399999999999999</c:v>
                </c:pt>
                <c:pt idx="41">
                  <c:v>11.699999999999996</c:v>
                </c:pt>
                <c:pt idx="42">
                  <c:v>12.000000000000007</c:v>
                </c:pt>
                <c:pt idx="43">
                  <c:v>12.199999999999996</c:v>
                </c:pt>
                <c:pt idx="44">
                  <c:v>12.500000000000007</c:v>
                </c:pt>
                <c:pt idx="45">
                  <c:v>12.800000000000004</c:v>
                </c:pt>
                <c:pt idx="46">
                  <c:v>13.100000000000001</c:v>
                </c:pt>
                <c:pt idx="47">
                  <c:v>13.399999999999999</c:v>
                </c:pt>
                <c:pt idx="48">
                  <c:v>13.699999999999996</c:v>
                </c:pt>
                <c:pt idx="49">
                  <c:v>14.000000000000007</c:v>
                </c:pt>
                <c:pt idx="50">
                  <c:v>14.199999999999996</c:v>
                </c:pt>
                <c:pt idx="51">
                  <c:v>14.500000000000007</c:v>
                </c:pt>
                <c:pt idx="52">
                  <c:v>14.800000000000004</c:v>
                </c:pt>
                <c:pt idx="53">
                  <c:v>15.100000000000001</c:v>
                </c:pt>
                <c:pt idx="54">
                  <c:v>15.399999999999999</c:v>
                </c:pt>
                <c:pt idx="55">
                  <c:v>15.699999999999996</c:v>
                </c:pt>
                <c:pt idx="56">
                  <c:v>16.000000000000007</c:v>
                </c:pt>
                <c:pt idx="57">
                  <c:v>16.199999999999996</c:v>
                </c:pt>
                <c:pt idx="58">
                  <c:v>16.500000000000007</c:v>
                </c:pt>
                <c:pt idx="59">
                  <c:v>16.800000000000004</c:v>
                </c:pt>
                <c:pt idx="60">
                  <c:v>17.100000000000001</c:v>
                </c:pt>
                <c:pt idx="61">
                  <c:v>17.399999999999999</c:v>
                </c:pt>
                <c:pt idx="62">
                  <c:v>17.699999999999996</c:v>
                </c:pt>
                <c:pt idx="63">
                  <c:v>18.000000000000007</c:v>
                </c:pt>
                <c:pt idx="64">
                  <c:v>18.199999999999996</c:v>
                </c:pt>
                <c:pt idx="65">
                  <c:v>18.500000000000007</c:v>
                </c:pt>
                <c:pt idx="66">
                  <c:v>18.800000000000004</c:v>
                </c:pt>
                <c:pt idx="67">
                  <c:v>19.100000000000001</c:v>
                </c:pt>
                <c:pt idx="68">
                  <c:v>19.399999999999999</c:v>
                </c:pt>
                <c:pt idx="69">
                  <c:v>19.699999999999996</c:v>
                </c:pt>
                <c:pt idx="70">
                  <c:v>20.000000000000007</c:v>
                </c:pt>
                <c:pt idx="71">
                  <c:v>20.199999999999996</c:v>
                </c:pt>
                <c:pt idx="72">
                  <c:v>20.500000000000007</c:v>
                </c:pt>
                <c:pt idx="73">
                  <c:v>20.800000000000004</c:v>
                </c:pt>
                <c:pt idx="74">
                  <c:v>21.1</c:v>
                </c:pt>
                <c:pt idx="75">
                  <c:v>21.4</c:v>
                </c:pt>
                <c:pt idx="76">
                  <c:v>21.699999999999996</c:v>
                </c:pt>
                <c:pt idx="77">
                  <c:v>22.000000000000007</c:v>
                </c:pt>
                <c:pt idx="78">
                  <c:v>22.199999999999996</c:v>
                </c:pt>
                <c:pt idx="79">
                  <c:v>22.500000000000007</c:v>
                </c:pt>
                <c:pt idx="80">
                  <c:v>22.800000000000004</c:v>
                </c:pt>
                <c:pt idx="81">
                  <c:v>23.1</c:v>
                </c:pt>
                <c:pt idx="82">
                  <c:v>23.4</c:v>
                </c:pt>
                <c:pt idx="83">
                  <c:v>23.699999999999996</c:v>
                </c:pt>
                <c:pt idx="84">
                  <c:v>24.000000000000007</c:v>
                </c:pt>
                <c:pt idx="85">
                  <c:v>24.199999999999996</c:v>
                </c:pt>
                <c:pt idx="86">
                  <c:v>24.500000000000007</c:v>
                </c:pt>
                <c:pt idx="87">
                  <c:v>24.800000000000004</c:v>
                </c:pt>
                <c:pt idx="88">
                  <c:v>25.1</c:v>
                </c:pt>
                <c:pt idx="89">
                  <c:v>25.4</c:v>
                </c:pt>
                <c:pt idx="90">
                  <c:v>25.699999999999996</c:v>
                </c:pt>
                <c:pt idx="91">
                  <c:v>26.000000000000007</c:v>
                </c:pt>
                <c:pt idx="92">
                  <c:v>26.199999999999996</c:v>
                </c:pt>
                <c:pt idx="93">
                  <c:v>26.500000000000007</c:v>
                </c:pt>
                <c:pt idx="94">
                  <c:v>26.800000000000004</c:v>
                </c:pt>
                <c:pt idx="95">
                  <c:v>27.1</c:v>
                </c:pt>
                <c:pt idx="96">
                  <c:v>27.4</c:v>
                </c:pt>
                <c:pt idx="97">
                  <c:v>27.699999999999996</c:v>
                </c:pt>
                <c:pt idx="98">
                  <c:v>28.000000000000007</c:v>
                </c:pt>
                <c:pt idx="99">
                  <c:v>28.199999999999996</c:v>
                </c:pt>
                <c:pt idx="100">
                  <c:v>28.500000000000007</c:v>
                </c:pt>
                <c:pt idx="101">
                  <c:v>28.800000000000004</c:v>
                </c:pt>
                <c:pt idx="102">
                  <c:v>29.1</c:v>
                </c:pt>
                <c:pt idx="103">
                  <c:v>29.4</c:v>
                </c:pt>
                <c:pt idx="104">
                  <c:v>29.699999999999996</c:v>
                </c:pt>
                <c:pt idx="105">
                  <c:v>30.000000000000007</c:v>
                </c:pt>
                <c:pt idx="106">
                  <c:v>30.199999999999996</c:v>
                </c:pt>
                <c:pt idx="107">
                  <c:v>30.500000000000007</c:v>
                </c:pt>
                <c:pt idx="108">
                  <c:v>30.800000000000004</c:v>
                </c:pt>
                <c:pt idx="109">
                  <c:v>31.1</c:v>
                </c:pt>
                <c:pt idx="110">
                  <c:v>31.4</c:v>
                </c:pt>
                <c:pt idx="111">
                  <c:v>31.699999999999996</c:v>
                </c:pt>
                <c:pt idx="112">
                  <c:v>32.000000000000007</c:v>
                </c:pt>
                <c:pt idx="113">
                  <c:v>32.199999999999996</c:v>
                </c:pt>
                <c:pt idx="114">
                  <c:v>32.500000000000007</c:v>
                </c:pt>
                <c:pt idx="115">
                  <c:v>32.800000000000004</c:v>
                </c:pt>
                <c:pt idx="116">
                  <c:v>33.1</c:v>
                </c:pt>
                <c:pt idx="117">
                  <c:v>33.4</c:v>
                </c:pt>
                <c:pt idx="118">
                  <c:v>33.699999999999996</c:v>
                </c:pt>
                <c:pt idx="119">
                  <c:v>34.000000000000007</c:v>
                </c:pt>
                <c:pt idx="120">
                  <c:v>34.199999999999996</c:v>
                </c:pt>
                <c:pt idx="121">
                  <c:v>34.500000000000007</c:v>
                </c:pt>
                <c:pt idx="122">
                  <c:v>34.800000000000004</c:v>
                </c:pt>
                <c:pt idx="123">
                  <c:v>35.1</c:v>
                </c:pt>
                <c:pt idx="124">
                  <c:v>35.4</c:v>
                </c:pt>
                <c:pt idx="125">
                  <c:v>35.699999999999996</c:v>
                </c:pt>
                <c:pt idx="126">
                  <c:v>36.000000000000007</c:v>
                </c:pt>
                <c:pt idx="127">
                  <c:v>36.199999999999996</c:v>
                </c:pt>
                <c:pt idx="128">
                  <c:v>36.500000000000007</c:v>
                </c:pt>
                <c:pt idx="129">
                  <c:v>36.800000000000004</c:v>
                </c:pt>
                <c:pt idx="130">
                  <c:v>37.1</c:v>
                </c:pt>
                <c:pt idx="131">
                  <c:v>37.4</c:v>
                </c:pt>
                <c:pt idx="132">
                  <c:v>37.699999999999996</c:v>
                </c:pt>
                <c:pt idx="133">
                  <c:v>38.000000000000007</c:v>
                </c:pt>
                <c:pt idx="134">
                  <c:v>38.199999999999996</c:v>
                </c:pt>
                <c:pt idx="135">
                  <c:v>38.500000000000007</c:v>
                </c:pt>
                <c:pt idx="136">
                  <c:v>38.800000000000004</c:v>
                </c:pt>
                <c:pt idx="137">
                  <c:v>39.1</c:v>
                </c:pt>
                <c:pt idx="138">
                  <c:v>39.4</c:v>
                </c:pt>
                <c:pt idx="139">
                  <c:v>39.699999999999996</c:v>
                </c:pt>
                <c:pt idx="140">
                  <c:v>40.000000000000007</c:v>
                </c:pt>
                <c:pt idx="141">
                  <c:v>40.199999999999996</c:v>
                </c:pt>
                <c:pt idx="142">
                  <c:v>40.500000000000007</c:v>
                </c:pt>
                <c:pt idx="143">
                  <c:v>40.800000000000004</c:v>
                </c:pt>
                <c:pt idx="144">
                  <c:v>41.1</c:v>
                </c:pt>
                <c:pt idx="145">
                  <c:v>41.4</c:v>
                </c:pt>
                <c:pt idx="146">
                  <c:v>41.699999999999996</c:v>
                </c:pt>
                <c:pt idx="147">
                  <c:v>42.000000000000007</c:v>
                </c:pt>
                <c:pt idx="148">
                  <c:v>42.199999999999996</c:v>
                </c:pt>
                <c:pt idx="149">
                  <c:v>42.500000000000007</c:v>
                </c:pt>
                <c:pt idx="150">
                  <c:v>42.800000000000004</c:v>
                </c:pt>
                <c:pt idx="151">
                  <c:v>43.1</c:v>
                </c:pt>
                <c:pt idx="152">
                  <c:v>43.4</c:v>
                </c:pt>
                <c:pt idx="153">
                  <c:v>43.699999999999996</c:v>
                </c:pt>
                <c:pt idx="154">
                  <c:v>44.000000000000007</c:v>
                </c:pt>
                <c:pt idx="155">
                  <c:v>44.199999999999996</c:v>
                </c:pt>
                <c:pt idx="156">
                  <c:v>44.500000000000007</c:v>
                </c:pt>
                <c:pt idx="157">
                  <c:v>44.800000000000004</c:v>
                </c:pt>
                <c:pt idx="158">
                  <c:v>45.1</c:v>
                </c:pt>
                <c:pt idx="159">
                  <c:v>45.4</c:v>
                </c:pt>
                <c:pt idx="160">
                  <c:v>45.699999999999996</c:v>
                </c:pt>
                <c:pt idx="161">
                  <c:v>46.000000000000007</c:v>
                </c:pt>
                <c:pt idx="162">
                  <c:v>46.199999999999996</c:v>
                </c:pt>
                <c:pt idx="163">
                  <c:v>46.500000000000007</c:v>
                </c:pt>
                <c:pt idx="164">
                  <c:v>46.800000000000004</c:v>
                </c:pt>
                <c:pt idx="165">
                  <c:v>47.1</c:v>
                </c:pt>
                <c:pt idx="166">
                  <c:v>47.4</c:v>
                </c:pt>
                <c:pt idx="167">
                  <c:v>47.699999999999996</c:v>
                </c:pt>
                <c:pt idx="168">
                  <c:v>48.000000000000007</c:v>
                </c:pt>
                <c:pt idx="169">
                  <c:v>48.199999999999996</c:v>
                </c:pt>
                <c:pt idx="170">
                  <c:v>48.500000000000007</c:v>
                </c:pt>
                <c:pt idx="171">
                  <c:v>48.800000000000004</c:v>
                </c:pt>
                <c:pt idx="172">
                  <c:v>49.1</c:v>
                </c:pt>
                <c:pt idx="173">
                  <c:v>49.4</c:v>
                </c:pt>
                <c:pt idx="174">
                  <c:v>49.699999999999996</c:v>
                </c:pt>
                <c:pt idx="175">
                  <c:v>50.000000000000007</c:v>
                </c:pt>
                <c:pt idx="176">
                  <c:v>50.199999999999996</c:v>
                </c:pt>
                <c:pt idx="177">
                  <c:v>50.500000000000007</c:v>
                </c:pt>
                <c:pt idx="178">
                  <c:v>50.800000000000004</c:v>
                </c:pt>
                <c:pt idx="179">
                  <c:v>51.1</c:v>
                </c:pt>
                <c:pt idx="180">
                  <c:v>51.4</c:v>
                </c:pt>
                <c:pt idx="181">
                  <c:v>51.699999999999996</c:v>
                </c:pt>
                <c:pt idx="182">
                  <c:v>52.000000000000007</c:v>
                </c:pt>
                <c:pt idx="183">
                  <c:v>52.199999999999996</c:v>
                </c:pt>
                <c:pt idx="184">
                  <c:v>52.500000000000007</c:v>
                </c:pt>
                <c:pt idx="185">
                  <c:v>52.800000000000004</c:v>
                </c:pt>
                <c:pt idx="186">
                  <c:v>53.1</c:v>
                </c:pt>
                <c:pt idx="187">
                  <c:v>53.4</c:v>
                </c:pt>
                <c:pt idx="188">
                  <c:v>53.699999999999996</c:v>
                </c:pt>
                <c:pt idx="189">
                  <c:v>54.000000000000007</c:v>
                </c:pt>
                <c:pt idx="190">
                  <c:v>54.199999999999996</c:v>
                </c:pt>
                <c:pt idx="191">
                  <c:v>54.500000000000007</c:v>
                </c:pt>
                <c:pt idx="192">
                  <c:v>54.800000000000004</c:v>
                </c:pt>
                <c:pt idx="193">
                  <c:v>55.1</c:v>
                </c:pt>
                <c:pt idx="194">
                  <c:v>55.4</c:v>
                </c:pt>
                <c:pt idx="195">
                  <c:v>55.699999999999996</c:v>
                </c:pt>
                <c:pt idx="196">
                  <c:v>56.000000000000007</c:v>
                </c:pt>
                <c:pt idx="197">
                  <c:v>56.199999999999996</c:v>
                </c:pt>
                <c:pt idx="198">
                  <c:v>56.500000000000007</c:v>
                </c:pt>
                <c:pt idx="199">
                  <c:v>56.800000000000004</c:v>
                </c:pt>
                <c:pt idx="200">
                  <c:v>57.1</c:v>
                </c:pt>
                <c:pt idx="201">
                  <c:v>57.4</c:v>
                </c:pt>
                <c:pt idx="202">
                  <c:v>57.699999999999996</c:v>
                </c:pt>
                <c:pt idx="203">
                  <c:v>58.000000000000007</c:v>
                </c:pt>
                <c:pt idx="204">
                  <c:v>58.199999999999996</c:v>
                </c:pt>
                <c:pt idx="205">
                  <c:v>58.500000000000007</c:v>
                </c:pt>
                <c:pt idx="206">
                  <c:v>58.800000000000004</c:v>
                </c:pt>
                <c:pt idx="207">
                  <c:v>59.1</c:v>
                </c:pt>
                <c:pt idx="208">
                  <c:v>59.4</c:v>
                </c:pt>
                <c:pt idx="209">
                  <c:v>59.699999999999996</c:v>
                </c:pt>
                <c:pt idx="210">
                  <c:v>60.000000000000007</c:v>
                </c:pt>
                <c:pt idx="211">
                  <c:v>60.199999999999996</c:v>
                </c:pt>
                <c:pt idx="212">
                  <c:v>60.500000000000007</c:v>
                </c:pt>
                <c:pt idx="213">
                  <c:v>60.800000000000004</c:v>
                </c:pt>
                <c:pt idx="214">
                  <c:v>61.1</c:v>
                </c:pt>
                <c:pt idx="215">
                  <c:v>61.4</c:v>
                </c:pt>
                <c:pt idx="216">
                  <c:v>61.699999999999996</c:v>
                </c:pt>
                <c:pt idx="217">
                  <c:v>62.000000000000007</c:v>
                </c:pt>
                <c:pt idx="218">
                  <c:v>62.199999999999996</c:v>
                </c:pt>
                <c:pt idx="219">
                  <c:v>62.500000000000007</c:v>
                </c:pt>
                <c:pt idx="220">
                  <c:v>62.800000000000004</c:v>
                </c:pt>
                <c:pt idx="221">
                  <c:v>63.1</c:v>
                </c:pt>
                <c:pt idx="222">
                  <c:v>63.4</c:v>
                </c:pt>
                <c:pt idx="223">
                  <c:v>63.699999999999996</c:v>
                </c:pt>
                <c:pt idx="224">
                  <c:v>64</c:v>
                </c:pt>
                <c:pt idx="225">
                  <c:v>64.199999999999989</c:v>
                </c:pt>
                <c:pt idx="226">
                  <c:v>64.5</c:v>
                </c:pt>
                <c:pt idx="227">
                  <c:v>64.800000000000011</c:v>
                </c:pt>
                <c:pt idx="228">
                  <c:v>65.099999999999994</c:v>
                </c:pt>
                <c:pt idx="229">
                  <c:v>65.400000000000006</c:v>
                </c:pt>
                <c:pt idx="230">
                  <c:v>65.699999999999989</c:v>
                </c:pt>
                <c:pt idx="231">
                  <c:v>66</c:v>
                </c:pt>
                <c:pt idx="232">
                  <c:v>66.199999999999989</c:v>
                </c:pt>
                <c:pt idx="233">
                  <c:v>66.5</c:v>
                </c:pt>
                <c:pt idx="234">
                  <c:v>66.800000000000011</c:v>
                </c:pt>
                <c:pt idx="235">
                  <c:v>67.099999999999994</c:v>
                </c:pt>
                <c:pt idx="236">
                  <c:v>67.400000000000006</c:v>
                </c:pt>
                <c:pt idx="237">
                  <c:v>67.699999999999989</c:v>
                </c:pt>
                <c:pt idx="238">
                  <c:v>68</c:v>
                </c:pt>
                <c:pt idx="239">
                  <c:v>68.199999999999989</c:v>
                </c:pt>
                <c:pt idx="240">
                  <c:v>68.5</c:v>
                </c:pt>
                <c:pt idx="241">
                  <c:v>68.800000000000011</c:v>
                </c:pt>
                <c:pt idx="242">
                  <c:v>69.099999999999994</c:v>
                </c:pt>
                <c:pt idx="243">
                  <c:v>69.400000000000006</c:v>
                </c:pt>
                <c:pt idx="244">
                  <c:v>69.699999999999989</c:v>
                </c:pt>
                <c:pt idx="245">
                  <c:v>70</c:v>
                </c:pt>
                <c:pt idx="246">
                  <c:v>70.199999999999989</c:v>
                </c:pt>
                <c:pt idx="247">
                  <c:v>70.5</c:v>
                </c:pt>
                <c:pt idx="248">
                  <c:v>70.799999999999983</c:v>
                </c:pt>
                <c:pt idx="249">
                  <c:v>71.099999999999994</c:v>
                </c:pt>
                <c:pt idx="250">
                  <c:v>71.400000000000006</c:v>
                </c:pt>
                <c:pt idx="251">
                  <c:v>71.699999999999989</c:v>
                </c:pt>
                <c:pt idx="252">
                  <c:v>72</c:v>
                </c:pt>
                <c:pt idx="253">
                  <c:v>72.199999999999989</c:v>
                </c:pt>
                <c:pt idx="254">
                  <c:v>72.5</c:v>
                </c:pt>
                <c:pt idx="255">
                  <c:v>72.799999999999983</c:v>
                </c:pt>
                <c:pt idx="256">
                  <c:v>73.099999999999994</c:v>
                </c:pt>
                <c:pt idx="257">
                  <c:v>73.400000000000006</c:v>
                </c:pt>
                <c:pt idx="258">
                  <c:v>73.699999999999989</c:v>
                </c:pt>
                <c:pt idx="259">
                  <c:v>74</c:v>
                </c:pt>
                <c:pt idx="260">
                  <c:v>74.199999999999989</c:v>
                </c:pt>
                <c:pt idx="261">
                  <c:v>74.5</c:v>
                </c:pt>
                <c:pt idx="262">
                  <c:v>74.799999999999983</c:v>
                </c:pt>
                <c:pt idx="263">
                  <c:v>75.099999999999994</c:v>
                </c:pt>
                <c:pt idx="264">
                  <c:v>75.400000000000006</c:v>
                </c:pt>
                <c:pt idx="265">
                  <c:v>75.699999999999989</c:v>
                </c:pt>
                <c:pt idx="266">
                  <c:v>76</c:v>
                </c:pt>
                <c:pt idx="267">
                  <c:v>76.199999999999989</c:v>
                </c:pt>
                <c:pt idx="268">
                  <c:v>76.5</c:v>
                </c:pt>
                <c:pt idx="269">
                  <c:v>76.799999999999983</c:v>
                </c:pt>
                <c:pt idx="270">
                  <c:v>77.099999999999994</c:v>
                </c:pt>
                <c:pt idx="271">
                  <c:v>77.400000000000006</c:v>
                </c:pt>
                <c:pt idx="272">
                  <c:v>77.699999999999989</c:v>
                </c:pt>
                <c:pt idx="273">
                  <c:v>78</c:v>
                </c:pt>
                <c:pt idx="274">
                  <c:v>78.199999999999989</c:v>
                </c:pt>
                <c:pt idx="275">
                  <c:v>78.5</c:v>
                </c:pt>
                <c:pt idx="276">
                  <c:v>78.799999999999983</c:v>
                </c:pt>
                <c:pt idx="277">
                  <c:v>79.099999999999994</c:v>
                </c:pt>
                <c:pt idx="278">
                  <c:v>79.400000000000006</c:v>
                </c:pt>
                <c:pt idx="279">
                  <c:v>79.699999999999989</c:v>
                </c:pt>
                <c:pt idx="280">
                  <c:v>80</c:v>
                </c:pt>
                <c:pt idx="281">
                  <c:v>80.199999999999989</c:v>
                </c:pt>
                <c:pt idx="282">
                  <c:v>80.5</c:v>
                </c:pt>
                <c:pt idx="283">
                  <c:v>80.799999999999983</c:v>
                </c:pt>
                <c:pt idx="284">
                  <c:v>81.099999999999994</c:v>
                </c:pt>
                <c:pt idx="285">
                  <c:v>81.400000000000006</c:v>
                </c:pt>
                <c:pt idx="286">
                  <c:v>81.699999999999989</c:v>
                </c:pt>
                <c:pt idx="287">
                  <c:v>82</c:v>
                </c:pt>
                <c:pt idx="288">
                  <c:v>82.199999999999989</c:v>
                </c:pt>
                <c:pt idx="289">
                  <c:v>82.5</c:v>
                </c:pt>
                <c:pt idx="290">
                  <c:v>82.799999999999983</c:v>
                </c:pt>
                <c:pt idx="291">
                  <c:v>83.1</c:v>
                </c:pt>
                <c:pt idx="292">
                  <c:v>83.4</c:v>
                </c:pt>
                <c:pt idx="293">
                  <c:v>83.699999999999989</c:v>
                </c:pt>
                <c:pt idx="294">
                  <c:v>84</c:v>
                </c:pt>
                <c:pt idx="295">
                  <c:v>84.199999999999989</c:v>
                </c:pt>
                <c:pt idx="296">
                  <c:v>84.5</c:v>
                </c:pt>
                <c:pt idx="297">
                  <c:v>84.799999999999983</c:v>
                </c:pt>
                <c:pt idx="298">
                  <c:v>85.1</c:v>
                </c:pt>
                <c:pt idx="299">
                  <c:v>85.4</c:v>
                </c:pt>
                <c:pt idx="300">
                  <c:v>85.699999999999989</c:v>
                </c:pt>
                <c:pt idx="301">
                  <c:v>86</c:v>
                </c:pt>
                <c:pt idx="302">
                  <c:v>86.199999999999989</c:v>
                </c:pt>
                <c:pt idx="303">
                  <c:v>86.5</c:v>
                </c:pt>
                <c:pt idx="304">
                  <c:v>86.799999999999983</c:v>
                </c:pt>
                <c:pt idx="305">
                  <c:v>87.1</c:v>
                </c:pt>
                <c:pt idx="306">
                  <c:v>87.4</c:v>
                </c:pt>
                <c:pt idx="307">
                  <c:v>87.699999999999989</c:v>
                </c:pt>
                <c:pt idx="308">
                  <c:v>88</c:v>
                </c:pt>
                <c:pt idx="309">
                  <c:v>88.199999999999989</c:v>
                </c:pt>
                <c:pt idx="310">
                  <c:v>88.5</c:v>
                </c:pt>
                <c:pt idx="311">
                  <c:v>88.799999999999983</c:v>
                </c:pt>
                <c:pt idx="312">
                  <c:v>89.1</c:v>
                </c:pt>
                <c:pt idx="313">
                  <c:v>89.4</c:v>
                </c:pt>
                <c:pt idx="314">
                  <c:v>89.699999999999989</c:v>
                </c:pt>
                <c:pt idx="315">
                  <c:v>90</c:v>
                </c:pt>
                <c:pt idx="316">
                  <c:v>90.199999999999989</c:v>
                </c:pt>
                <c:pt idx="317">
                  <c:v>90.5</c:v>
                </c:pt>
                <c:pt idx="318">
                  <c:v>90.799999999999983</c:v>
                </c:pt>
                <c:pt idx="319">
                  <c:v>91.1</c:v>
                </c:pt>
                <c:pt idx="320">
                  <c:v>91.4</c:v>
                </c:pt>
                <c:pt idx="321">
                  <c:v>91.699999999999989</c:v>
                </c:pt>
                <c:pt idx="322">
                  <c:v>92</c:v>
                </c:pt>
                <c:pt idx="323">
                  <c:v>92.199999999999989</c:v>
                </c:pt>
                <c:pt idx="324">
                  <c:v>92.5</c:v>
                </c:pt>
                <c:pt idx="325">
                  <c:v>92.799999999999983</c:v>
                </c:pt>
                <c:pt idx="326">
                  <c:v>93.1</c:v>
                </c:pt>
                <c:pt idx="327">
                  <c:v>93.4</c:v>
                </c:pt>
                <c:pt idx="328">
                  <c:v>93.699999999999989</c:v>
                </c:pt>
                <c:pt idx="329">
                  <c:v>94</c:v>
                </c:pt>
                <c:pt idx="330">
                  <c:v>94.199999999999989</c:v>
                </c:pt>
                <c:pt idx="331">
                  <c:v>94.5</c:v>
                </c:pt>
                <c:pt idx="332">
                  <c:v>94.799999999999983</c:v>
                </c:pt>
                <c:pt idx="333">
                  <c:v>95.1</c:v>
                </c:pt>
                <c:pt idx="334">
                  <c:v>95.4</c:v>
                </c:pt>
                <c:pt idx="335">
                  <c:v>95.699999999999989</c:v>
                </c:pt>
                <c:pt idx="336">
                  <c:v>96</c:v>
                </c:pt>
                <c:pt idx="337">
                  <c:v>96.199999999999989</c:v>
                </c:pt>
                <c:pt idx="338">
                  <c:v>96.5</c:v>
                </c:pt>
                <c:pt idx="339">
                  <c:v>96.799999999999983</c:v>
                </c:pt>
                <c:pt idx="340">
                  <c:v>97.1</c:v>
                </c:pt>
                <c:pt idx="341">
                  <c:v>97.4</c:v>
                </c:pt>
                <c:pt idx="342">
                  <c:v>97.699999999999989</c:v>
                </c:pt>
                <c:pt idx="343">
                  <c:v>98</c:v>
                </c:pt>
                <c:pt idx="344">
                  <c:v>98.199999999999989</c:v>
                </c:pt>
                <c:pt idx="345">
                  <c:v>98.5</c:v>
                </c:pt>
                <c:pt idx="346">
                  <c:v>98.799999999999983</c:v>
                </c:pt>
                <c:pt idx="347">
                  <c:v>99.1</c:v>
                </c:pt>
                <c:pt idx="348">
                  <c:v>99.4</c:v>
                </c:pt>
                <c:pt idx="349">
                  <c:v>99.699999999999989</c:v>
                </c:pt>
                <c:pt idx="350">
                  <c:v>100</c:v>
                </c:pt>
                <c:pt idx="351">
                  <c:v>100.19999999999999</c:v>
                </c:pt>
                <c:pt idx="352">
                  <c:v>100.5</c:v>
                </c:pt>
                <c:pt idx="353">
                  <c:v>100.79999999999998</c:v>
                </c:pt>
                <c:pt idx="354">
                  <c:v>101.1</c:v>
                </c:pt>
                <c:pt idx="355">
                  <c:v>101.4</c:v>
                </c:pt>
                <c:pt idx="356">
                  <c:v>101.69999999999999</c:v>
                </c:pt>
                <c:pt idx="357">
                  <c:v>102</c:v>
                </c:pt>
                <c:pt idx="358">
                  <c:v>102.19999999999999</c:v>
                </c:pt>
                <c:pt idx="359">
                  <c:v>102.5</c:v>
                </c:pt>
                <c:pt idx="360">
                  <c:v>102.79999999999998</c:v>
                </c:pt>
                <c:pt idx="361">
                  <c:v>103.1</c:v>
                </c:pt>
                <c:pt idx="362">
                  <c:v>103.4</c:v>
                </c:pt>
                <c:pt idx="363">
                  <c:v>103.69999999999999</c:v>
                </c:pt>
                <c:pt idx="364">
                  <c:v>104</c:v>
                </c:pt>
                <c:pt idx="365">
                  <c:v>104.19999999999999</c:v>
                </c:pt>
                <c:pt idx="366">
                  <c:v>104.5</c:v>
                </c:pt>
                <c:pt idx="367">
                  <c:v>104.79999999999998</c:v>
                </c:pt>
                <c:pt idx="368">
                  <c:v>105.1</c:v>
                </c:pt>
                <c:pt idx="369">
                  <c:v>105.4</c:v>
                </c:pt>
                <c:pt idx="370">
                  <c:v>105.69999999999999</c:v>
                </c:pt>
                <c:pt idx="371">
                  <c:v>106</c:v>
                </c:pt>
                <c:pt idx="372">
                  <c:v>106.19999999999999</c:v>
                </c:pt>
                <c:pt idx="373">
                  <c:v>106.5</c:v>
                </c:pt>
                <c:pt idx="374">
                  <c:v>106.79999999999998</c:v>
                </c:pt>
                <c:pt idx="375">
                  <c:v>107.1</c:v>
                </c:pt>
                <c:pt idx="376">
                  <c:v>107.4</c:v>
                </c:pt>
                <c:pt idx="377">
                  <c:v>107.69999999999999</c:v>
                </c:pt>
                <c:pt idx="378">
                  <c:v>108</c:v>
                </c:pt>
                <c:pt idx="379">
                  <c:v>108.19999999999999</c:v>
                </c:pt>
                <c:pt idx="380">
                  <c:v>108.5</c:v>
                </c:pt>
                <c:pt idx="381">
                  <c:v>108.79999999999998</c:v>
                </c:pt>
                <c:pt idx="382">
                  <c:v>109.1</c:v>
                </c:pt>
                <c:pt idx="383">
                  <c:v>109.4</c:v>
                </c:pt>
                <c:pt idx="384">
                  <c:v>109.69999999999999</c:v>
                </c:pt>
                <c:pt idx="385">
                  <c:v>110</c:v>
                </c:pt>
                <c:pt idx="386">
                  <c:v>110.19999999999999</c:v>
                </c:pt>
                <c:pt idx="387">
                  <c:v>110.5</c:v>
                </c:pt>
                <c:pt idx="388">
                  <c:v>110.79999999999998</c:v>
                </c:pt>
                <c:pt idx="389">
                  <c:v>111.1</c:v>
                </c:pt>
                <c:pt idx="390">
                  <c:v>111.4</c:v>
                </c:pt>
                <c:pt idx="391">
                  <c:v>111.69999999999999</c:v>
                </c:pt>
                <c:pt idx="392">
                  <c:v>112</c:v>
                </c:pt>
                <c:pt idx="393">
                  <c:v>112.19999999999999</c:v>
                </c:pt>
                <c:pt idx="394">
                  <c:v>112.5</c:v>
                </c:pt>
                <c:pt idx="395">
                  <c:v>112.79999999999998</c:v>
                </c:pt>
                <c:pt idx="396">
                  <c:v>113.1</c:v>
                </c:pt>
                <c:pt idx="397">
                  <c:v>113.4</c:v>
                </c:pt>
                <c:pt idx="398">
                  <c:v>113.69999999999999</c:v>
                </c:pt>
                <c:pt idx="399">
                  <c:v>114</c:v>
                </c:pt>
                <c:pt idx="400">
                  <c:v>114.19999999999999</c:v>
                </c:pt>
                <c:pt idx="401">
                  <c:v>114.5</c:v>
                </c:pt>
                <c:pt idx="402">
                  <c:v>114.79999999999998</c:v>
                </c:pt>
                <c:pt idx="403">
                  <c:v>115.1</c:v>
                </c:pt>
                <c:pt idx="404">
                  <c:v>115.4</c:v>
                </c:pt>
                <c:pt idx="405">
                  <c:v>115.69999999999999</c:v>
                </c:pt>
                <c:pt idx="406">
                  <c:v>116</c:v>
                </c:pt>
                <c:pt idx="407">
                  <c:v>116.19999999999999</c:v>
                </c:pt>
                <c:pt idx="408">
                  <c:v>116.5</c:v>
                </c:pt>
                <c:pt idx="409">
                  <c:v>116.79999999999998</c:v>
                </c:pt>
                <c:pt idx="410">
                  <c:v>117.1</c:v>
                </c:pt>
                <c:pt idx="411">
                  <c:v>117.4</c:v>
                </c:pt>
                <c:pt idx="412">
                  <c:v>117.69999999999999</c:v>
                </c:pt>
                <c:pt idx="413">
                  <c:v>118</c:v>
                </c:pt>
                <c:pt idx="414">
                  <c:v>118.19999999999999</c:v>
                </c:pt>
                <c:pt idx="415">
                  <c:v>118.5</c:v>
                </c:pt>
                <c:pt idx="416">
                  <c:v>118.79999999999998</c:v>
                </c:pt>
                <c:pt idx="417">
                  <c:v>119.1</c:v>
                </c:pt>
                <c:pt idx="418">
                  <c:v>119.4</c:v>
                </c:pt>
                <c:pt idx="419">
                  <c:v>119.69999999999999</c:v>
                </c:pt>
                <c:pt idx="420">
                  <c:v>120</c:v>
                </c:pt>
                <c:pt idx="421">
                  <c:v>120.19999999999999</c:v>
                </c:pt>
                <c:pt idx="422">
                  <c:v>120.5</c:v>
                </c:pt>
                <c:pt idx="423">
                  <c:v>120.79999999999998</c:v>
                </c:pt>
                <c:pt idx="424">
                  <c:v>121.1</c:v>
                </c:pt>
                <c:pt idx="425">
                  <c:v>121.4</c:v>
                </c:pt>
                <c:pt idx="426">
                  <c:v>121.69999999999999</c:v>
                </c:pt>
                <c:pt idx="427">
                  <c:v>122</c:v>
                </c:pt>
                <c:pt idx="428">
                  <c:v>122.19999999999999</c:v>
                </c:pt>
                <c:pt idx="429">
                  <c:v>122.5</c:v>
                </c:pt>
                <c:pt idx="430">
                  <c:v>122.79999999999998</c:v>
                </c:pt>
                <c:pt idx="431">
                  <c:v>123.1</c:v>
                </c:pt>
                <c:pt idx="432">
                  <c:v>123.4</c:v>
                </c:pt>
                <c:pt idx="433">
                  <c:v>123.69999999999999</c:v>
                </c:pt>
                <c:pt idx="434">
                  <c:v>124</c:v>
                </c:pt>
                <c:pt idx="435">
                  <c:v>124.19999999999999</c:v>
                </c:pt>
                <c:pt idx="436">
                  <c:v>124.5</c:v>
                </c:pt>
                <c:pt idx="437">
                  <c:v>124.79999999999998</c:v>
                </c:pt>
                <c:pt idx="438">
                  <c:v>125.1</c:v>
                </c:pt>
                <c:pt idx="439">
                  <c:v>125.4</c:v>
                </c:pt>
                <c:pt idx="440">
                  <c:v>125.69999999999999</c:v>
                </c:pt>
                <c:pt idx="441">
                  <c:v>126</c:v>
                </c:pt>
                <c:pt idx="442">
                  <c:v>126.19999999999999</c:v>
                </c:pt>
                <c:pt idx="443">
                  <c:v>126.5</c:v>
                </c:pt>
                <c:pt idx="444">
                  <c:v>126.79999999999998</c:v>
                </c:pt>
                <c:pt idx="445">
                  <c:v>127.1</c:v>
                </c:pt>
                <c:pt idx="446">
                  <c:v>127.4</c:v>
                </c:pt>
                <c:pt idx="447">
                  <c:v>127.69999999999999</c:v>
                </c:pt>
                <c:pt idx="448">
                  <c:v>128</c:v>
                </c:pt>
                <c:pt idx="449">
                  <c:v>128.19999999999999</c:v>
                </c:pt>
                <c:pt idx="450">
                  <c:v>128.5</c:v>
                </c:pt>
                <c:pt idx="451">
                  <c:v>128.79999999999998</c:v>
                </c:pt>
                <c:pt idx="452">
                  <c:v>129.1</c:v>
                </c:pt>
                <c:pt idx="453">
                  <c:v>129.4</c:v>
                </c:pt>
                <c:pt idx="454">
                  <c:v>129.69999999999999</c:v>
                </c:pt>
                <c:pt idx="455">
                  <c:v>130</c:v>
                </c:pt>
                <c:pt idx="456">
                  <c:v>130.19999999999999</c:v>
                </c:pt>
                <c:pt idx="457">
                  <c:v>130.5</c:v>
                </c:pt>
                <c:pt idx="458">
                  <c:v>130.79999999999998</c:v>
                </c:pt>
                <c:pt idx="459">
                  <c:v>131.1</c:v>
                </c:pt>
                <c:pt idx="460">
                  <c:v>131.4</c:v>
                </c:pt>
                <c:pt idx="461">
                  <c:v>131.69999999999999</c:v>
                </c:pt>
                <c:pt idx="462">
                  <c:v>132</c:v>
                </c:pt>
                <c:pt idx="463">
                  <c:v>132.19999999999999</c:v>
                </c:pt>
                <c:pt idx="464">
                  <c:v>132.5</c:v>
                </c:pt>
                <c:pt idx="465">
                  <c:v>132.79999999999998</c:v>
                </c:pt>
                <c:pt idx="466">
                  <c:v>133.1</c:v>
                </c:pt>
                <c:pt idx="467">
                  <c:v>133.4</c:v>
                </c:pt>
                <c:pt idx="468">
                  <c:v>133.69999999999999</c:v>
                </c:pt>
                <c:pt idx="469">
                  <c:v>134</c:v>
                </c:pt>
                <c:pt idx="470">
                  <c:v>134.19999999999999</c:v>
                </c:pt>
                <c:pt idx="471">
                  <c:v>134.5</c:v>
                </c:pt>
                <c:pt idx="472">
                  <c:v>134.79999999999998</c:v>
                </c:pt>
                <c:pt idx="473">
                  <c:v>135.1</c:v>
                </c:pt>
                <c:pt idx="474">
                  <c:v>135.4</c:v>
                </c:pt>
                <c:pt idx="475">
                  <c:v>135.69999999999999</c:v>
                </c:pt>
                <c:pt idx="476">
                  <c:v>136</c:v>
                </c:pt>
                <c:pt idx="477">
                  <c:v>136.19999999999999</c:v>
                </c:pt>
                <c:pt idx="478">
                  <c:v>136.5</c:v>
                </c:pt>
                <c:pt idx="479">
                  <c:v>136.79999999999998</c:v>
                </c:pt>
                <c:pt idx="480">
                  <c:v>137.1</c:v>
                </c:pt>
                <c:pt idx="481">
                  <c:v>137.4</c:v>
                </c:pt>
                <c:pt idx="482">
                  <c:v>137.69999999999999</c:v>
                </c:pt>
                <c:pt idx="483">
                  <c:v>138</c:v>
                </c:pt>
                <c:pt idx="484">
                  <c:v>138.19999999999999</c:v>
                </c:pt>
                <c:pt idx="485">
                  <c:v>138.5</c:v>
                </c:pt>
                <c:pt idx="486">
                  <c:v>138.79999999999998</c:v>
                </c:pt>
                <c:pt idx="487">
                  <c:v>139.1</c:v>
                </c:pt>
                <c:pt idx="488">
                  <c:v>139.4</c:v>
                </c:pt>
                <c:pt idx="489">
                  <c:v>139.69999999999999</c:v>
                </c:pt>
                <c:pt idx="490">
                  <c:v>140</c:v>
                </c:pt>
                <c:pt idx="491">
                  <c:v>140.19999999999999</c:v>
                </c:pt>
                <c:pt idx="492">
                  <c:v>140.5</c:v>
                </c:pt>
                <c:pt idx="493">
                  <c:v>140.79999999999998</c:v>
                </c:pt>
              </c:numCache>
            </c:numRef>
          </c:xVal>
          <c:yVal>
            <c:numRef>
              <c:f>'sheet 1'!$Q$39:$Q$841</c:f>
              <c:numCache>
                <c:formatCode>General</c:formatCode>
                <c:ptCount val="803"/>
                <c:pt idx="0">
                  <c:v>1122.6028743418997</c:v>
                </c:pt>
                <c:pt idx="1">
                  <c:v>1121.2084360843021</c:v>
                </c:pt>
                <c:pt idx="2">
                  <c:v>1119.1200257090491</c:v>
                </c:pt>
                <c:pt idx="3">
                  <c:v>1117.0355052956086</c:v>
                </c:pt>
                <c:pt idx="4">
                  <c:v>1114.9548675983776</c:v>
                </c:pt>
                <c:pt idx="5">
                  <c:v>1112.8781053852413</c:v>
                </c:pt>
                <c:pt idx="6">
                  <c:v>1110.8052114375573</c:v>
                </c:pt>
                <c:pt idx="7">
                  <c:v>1108.7361785501339</c:v>
                </c:pt>
                <c:pt idx="8">
                  <c:v>1107.3589647732833</c:v>
                </c:pt>
                <c:pt idx="9">
                  <c:v>1105.2963510111861</c:v>
                </c:pt>
                <c:pt idx="10">
                  <c:v>1103.2375791610364</c:v>
                </c:pt>
                <c:pt idx="11">
                  <c:v>1101.1826420667298</c:v>
                </c:pt>
                <c:pt idx="12">
                  <c:v>1099.1315325854855</c:v>
                </c:pt>
                <c:pt idx="13">
                  <c:v>1097.0842435878274</c:v>
                </c:pt>
                <c:pt idx="14">
                  <c:v>1095.0407679575644</c:v>
                </c:pt>
                <c:pt idx="15">
                  <c:v>1093.6805658999929</c:v>
                </c:pt>
                <c:pt idx="16">
                  <c:v>1091.6434301042757</c:v>
                </c:pt>
                <c:pt idx="17">
                  <c:v>1089.6100887641653</c:v>
                </c:pt>
                <c:pt idx="18">
                  <c:v>1087.5805348119518</c:v>
                </c:pt>
                <c:pt idx="19">
                  <c:v>1085.5547611930838</c:v>
                </c:pt>
                <c:pt idx="20">
                  <c:v>1083.5327608661503</c:v>
                </c:pt>
                <c:pt idx="21">
                  <c:v>1081.5145268028612</c:v>
                </c:pt>
                <c:pt idx="22">
                  <c:v>1080.17112633119</c:v>
                </c:pt>
                <c:pt idx="23">
                  <c:v>1078.1591537910876</c:v>
                </c:pt>
                <c:pt idx="24">
                  <c:v>1076.1509288364455</c:v>
                </c:pt>
                <c:pt idx="25">
                  <c:v>1074.1464444868554</c:v>
                </c:pt>
                <c:pt idx="26">
                  <c:v>1072.1456937749065</c:v>
                </c:pt>
                <c:pt idx="27">
                  <c:v>1070.1486697461642</c:v>
                </c:pt>
                <c:pt idx="28">
                  <c:v>1068.1553654591548</c:v>
                </c:pt>
                <c:pt idx="29">
                  <c:v>1066.8285590356284</c:v>
                </c:pt>
                <c:pt idx="30">
                  <c:v>1064.8414389277693</c:v>
                </c:pt>
                <c:pt idx="31">
                  <c:v>1062.8580201141765</c:v>
                </c:pt>
                <c:pt idx="32">
                  <c:v>1060.8782957006658</c:v>
                </c:pt>
                <c:pt idx="33">
                  <c:v>1058.902258805889</c:v>
                </c:pt>
                <c:pt idx="34">
                  <c:v>1056.9299025613157</c:v>
                </c:pt>
                <c:pt idx="35">
                  <c:v>1054.9612201112141</c:v>
                </c:pt>
                <c:pt idx="36">
                  <c:v>1053.6508027616403</c:v>
                </c:pt>
                <c:pt idx="37">
                  <c:v>1051.688228102028</c:v>
                </c:pt>
                <c:pt idx="38">
                  <c:v>1049.7293090172891</c:v>
                </c:pt>
                <c:pt idx="39">
                  <c:v>1047.7740386983987</c:v>
                </c:pt>
                <c:pt idx="40">
                  <c:v>1045.8224103490084</c:v>
                </c:pt>
                <c:pt idx="41">
                  <c:v>1043.8744171854303</c:v>
                </c:pt>
                <c:pt idx="42">
                  <c:v>1041.9300524366163</c:v>
                </c:pt>
                <c:pt idx="43">
                  <c:v>1040.6358217186998</c:v>
                </c:pt>
                <c:pt idx="44">
                  <c:v>1038.6974893152872</c:v>
                </c:pt>
                <c:pt idx="45">
                  <c:v>1036.7627673320935</c:v>
                </c:pt>
                <c:pt idx="46">
                  <c:v>1034.831649044201</c:v>
                </c:pt>
                <c:pt idx="47">
                  <c:v>1032.9041277392121</c:v>
                </c:pt>
                <c:pt idx="48">
                  <c:v>1030.980196717232</c:v>
                </c:pt>
                <c:pt idx="49">
                  <c:v>1029.0598492908509</c:v>
                </c:pt>
                <c:pt idx="50">
                  <c:v>1027.7816052629189</c:v>
                </c:pt>
                <c:pt idx="51">
                  <c:v>1025.8672156687696</c:v>
                </c:pt>
                <c:pt idx="52">
                  <c:v>1023.9563918979478</c:v>
                </c:pt>
                <c:pt idx="53">
                  <c:v>1022.0491273086033</c:v>
                </c:pt>
                <c:pt idx="54">
                  <c:v>1020.145415271252</c:v>
                </c:pt>
                <c:pt idx="55">
                  <c:v>1018.2452491687582</c:v>
                </c:pt>
                <c:pt idx="56">
                  <c:v>1016.3486223963171</c:v>
                </c:pt>
                <c:pt idx="57">
                  <c:v>1015.0861675864307</c:v>
                </c:pt>
                <c:pt idx="58">
                  <c:v>1013.1954250534583</c:v>
                </c:pt>
                <c:pt idx="59">
                  <c:v>1011.3082042977946</c:v>
                </c:pt>
                <c:pt idx="60">
                  <c:v>1009.4244987596321</c:v>
                </c:pt>
                <c:pt idx="61">
                  <c:v>1007.5443018913729</c:v>
                </c:pt>
                <c:pt idx="62">
                  <c:v>1005.6676071576239</c:v>
                </c:pt>
                <c:pt idx="63">
                  <c:v>1003.7944080351592</c:v>
                </c:pt>
                <c:pt idx="64">
                  <c:v>1002.5475474106067</c:v>
                </c:pt>
                <c:pt idx="65">
                  <c:v>1000.680159843884</c:v>
                </c:pt>
                <c:pt idx="66">
                  <c:v>998.81625055252346</c:v>
                </c:pt>
                <c:pt idx="67">
                  <c:v>996.95581305774022</c:v>
                </c:pt>
                <c:pt idx="68">
                  <c:v>995.09884089281661</c:v>
                </c:pt>
                <c:pt idx="69">
                  <c:v>993.24532760308603</c:v>
                </c:pt>
                <c:pt idx="70">
                  <c:v>991.39526674589899</c:v>
                </c:pt>
                <c:pt idx="71">
                  <c:v>990.16380768306567</c:v>
                </c:pt>
                <c:pt idx="72">
                  <c:v>988.31948659570548</c:v>
                </c:pt>
                <c:pt idx="73">
                  <c:v>986.47860081910437</c:v>
                </c:pt>
                <c:pt idx="74">
                  <c:v>984.64114395450611</c:v>
                </c:pt>
                <c:pt idx="75">
                  <c:v>982.80710961507134</c:v>
                </c:pt>
                <c:pt idx="76">
                  <c:v>980.97649142586397</c:v>
                </c:pt>
                <c:pt idx="77">
                  <c:v>979.14928302381475</c:v>
                </c:pt>
                <c:pt idx="78">
                  <c:v>977.93303527842488</c:v>
                </c:pt>
                <c:pt idx="79">
                  <c:v>976.11149574700596</c:v>
                </c:pt>
                <c:pt idx="80">
                  <c:v>974.29334909245472</c:v>
                </c:pt>
                <c:pt idx="81">
                  <c:v>972.47858899505275</c:v>
                </c:pt>
                <c:pt idx="82">
                  <c:v>970.66720914685391</c:v>
                </c:pt>
                <c:pt idx="83">
                  <c:v>968.85920325166614</c:v>
                </c:pt>
                <c:pt idx="84">
                  <c:v>967.05456502501966</c:v>
                </c:pt>
                <c:pt idx="85">
                  <c:v>965.85334070274712</c:v>
                </c:pt>
                <c:pt idx="86">
                  <c:v>964.05430132330014</c:v>
                </c:pt>
                <c:pt idx="87">
                  <c:v>962.25861291098386</c:v>
                </c:pt>
                <c:pt idx="88">
                  <c:v>960.46626922414316</c:v>
                </c:pt>
                <c:pt idx="89">
                  <c:v>958.67726403274844</c:v>
                </c:pt>
                <c:pt idx="90">
                  <c:v>956.89159111838069</c:v>
                </c:pt>
                <c:pt idx="91">
                  <c:v>955.10924427419752</c:v>
                </c:pt>
                <c:pt idx="92">
                  <c:v>953.92285780163809</c:v>
                </c:pt>
                <c:pt idx="93">
                  <c:v>952.14604064617231</c:v>
                </c:pt>
                <c:pt idx="94">
                  <c:v>950.37253306578077</c:v>
                </c:pt>
                <c:pt idx="95">
                  <c:v>948.60232889590679</c:v>
                </c:pt>
                <c:pt idx="96">
                  <c:v>946.83542198347618</c:v>
                </c:pt>
                <c:pt idx="97">
                  <c:v>945.07180618688119</c:v>
                </c:pt>
                <c:pt idx="98">
                  <c:v>943.31147537594757</c:v>
                </c:pt>
                <c:pt idx="99">
                  <c:v>942.13974347195006</c:v>
                </c:pt>
                <c:pt idx="100">
                  <c:v>940.38487404551665</c:v>
                </c:pt>
                <c:pt idx="101">
                  <c:v>938.63327331338735</c:v>
                </c:pt>
                <c:pt idx="102">
                  <c:v>936.88493518715097</c:v>
                </c:pt>
                <c:pt idx="103">
                  <c:v>935.13985358973844</c:v>
                </c:pt>
                <c:pt idx="104">
                  <c:v>933.3980224554042</c:v>
                </c:pt>
                <c:pt idx="105">
                  <c:v>931.65943572969616</c:v>
                </c:pt>
                <c:pt idx="106">
                  <c:v>930.50217737704747</c:v>
                </c:pt>
                <c:pt idx="107">
                  <c:v>928.76898457533446</c:v>
                </c:pt>
                <c:pt idx="108">
                  <c:v>927.03902009212504</c:v>
                </c:pt>
                <c:pt idx="109">
                  <c:v>925.31227791421429</c:v>
                </c:pt>
                <c:pt idx="110">
                  <c:v>923.58875203959849</c:v>
                </c:pt>
                <c:pt idx="111">
                  <c:v>921.86843647745775</c:v>
                </c:pt>
                <c:pt idx="112">
                  <c:v>920.15132524812668</c:v>
                </c:pt>
                <c:pt idx="113">
                  <c:v>919.00836166558815</c:v>
                </c:pt>
                <c:pt idx="114">
                  <c:v>917.29657773303745</c:v>
                </c:pt>
                <c:pt idx="115">
                  <c:v>915.58798224192287</c:v>
                </c:pt>
                <c:pt idx="116">
                  <c:v>913.88256925331632</c:v>
                </c:pt>
                <c:pt idx="117">
                  <c:v>912.18033283935267</c:v>
                </c:pt>
                <c:pt idx="118">
                  <c:v>910.48126708321183</c:v>
                </c:pt>
                <c:pt idx="119">
                  <c:v>908.78536607909177</c:v>
                </c:pt>
                <c:pt idx="120">
                  <c:v>907.65652069377927</c:v>
                </c:pt>
                <c:pt idx="121">
                  <c:v>905.96588118222166</c:v>
                </c:pt>
                <c:pt idx="122">
                  <c:v>904.27839072760571</c:v>
                </c:pt>
                <c:pt idx="123">
                  <c:v>902.59404346436213</c:v>
                </c:pt>
                <c:pt idx="124">
                  <c:v>900.9128335378482</c:v>
                </c:pt>
                <c:pt idx="125">
                  <c:v>899.2347551043307</c:v>
                </c:pt>
                <c:pt idx="126">
                  <c:v>897.55980233095522</c:v>
                </c:pt>
                <c:pt idx="127">
                  <c:v>896.44490075106205</c:v>
                </c:pt>
                <c:pt idx="128">
                  <c:v>894.77514447886551</c:v>
                </c:pt>
                <c:pt idx="129">
                  <c:v>893.10849836560317</c:v>
                </c:pt>
                <c:pt idx="130">
                  <c:v>891.44495661815949</c:v>
                </c:pt>
                <c:pt idx="131">
                  <c:v>889.7845134542099</c:v>
                </c:pt>
                <c:pt idx="132">
                  <c:v>888.12716310220458</c:v>
                </c:pt>
                <c:pt idx="133">
                  <c:v>886.47289980133746</c:v>
                </c:pt>
                <c:pt idx="134">
                  <c:v>885.3717697891899</c:v>
                </c:pt>
                <c:pt idx="135">
                  <c:v>883.72263880090748</c:v>
                </c:pt>
                <c:pt idx="136">
                  <c:v>882.07657955403135</c:v>
                </c:pt>
                <c:pt idx="137">
                  <c:v>880.43358632700415</c:v>
                </c:pt>
                <c:pt idx="138">
                  <c:v>878.79365340892582</c:v>
                </c:pt>
                <c:pt idx="139">
                  <c:v>877.15677509953809</c:v>
                </c:pt>
                <c:pt idx="140">
                  <c:v>875.52294570919423</c:v>
                </c:pt>
                <c:pt idx="141">
                  <c:v>874.43541715464573</c:v>
                </c:pt>
                <c:pt idx="142">
                  <c:v>872.8066566811674</c:v>
                </c:pt>
                <c:pt idx="143">
                  <c:v>871.180930006111</c:v>
                </c:pt>
                <c:pt idx="144">
                  <c:v>869.55823147859189</c:v>
                </c:pt>
                <c:pt idx="145">
                  <c:v>867.9385554582567</c:v>
                </c:pt>
                <c:pt idx="146">
                  <c:v>866.32189631525466</c:v>
                </c:pt>
                <c:pt idx="147">
                  <c:v>864.70824843022035</c:v>
                </c:pt>
                <c:pt idx="148">
                  <c:v>863.63415332437114</c:v>
                </c:pt>
                <c:pt idx="149">
                  <c:v>862.02551174356392</c:v>
                </c:pt>
                <c:pt idx="150">
                  <c:v>860.41986648687623</c:v>
                </c:pt>
                <c:pt idx="151">
                  <c:v>858.81721197322474</c:v>
                </c:pt>
                <c:pt idx="152">
                  <c:v>857.21754263192759</c:v>
                </c:pt>
                <c:pt idx="153">
                  <c:v>855.62085290267521</c:v>
                </c:pt>
                <c:pt idx="154">
                  <c:v>854.02713723551381</c:v>
                </c:pt>
                <c:pt idx="155">
                  <c:v>852.96630964475617</c:v>
                </c:pt>
                <c:pt idx="156">
                  <c:v>851.37753844259225</c:v>
                </c:pt>
                <c:pt idx="157">
                  <c:v>849.79172655313801</c:v>
                </c:pt>
                <c:pt idx="158">
                  <c:v>848.20886846424969</c:v>
                </c:pt>
                <c:pt idx="159">
                  <c:v>846.62895867405598</c:v>
                </c:pt>
                <c:pt idx="160">
                  <c:v>845.05199169092953</c:v>
                </c:pt>
                <c:pt idx="161">
                  <c:v>843.47796203347116</c:v>
                </c:pt>
                <c:pt idx="162">
                  <c:v>842.43023807385316</c:v>
                </c:pt>
                <c:pt idx="163">
                  <c:v>840.86109180601863</c:v>
                </c:pt>
                <c:pt idx="164">
                  <c:v>839.29486829665836</c:v>
                </c:pt>
                <c:pt idx="165">
                  <c:v>837.73156210171646</c:v>
                </c:pt>
                <c:pt idx="166">
                  <c:v>836.17116778728314</c:v>
                </c:pt>
                <c:pt idx="167">
                  <c:v>834.61367992956446</c:v>
                </c:pt>
                <c:pt idx="168">
                  <c:v>833.0590931148696</c:v>
                </c:pt>
                <c:pt idx="169">
                  <c:v>832.02431092678137</c:v>
                </c:pt>
                <c:pt idx="170">
                  <c:v>830.47454718075471</c:v>
                </c:pt>
                <c:pt idx="171">
                  <c:v>828.92767009049601</c:v>
                </c:pt>
                <c:pt idx="172">
                  <c:v>827.38367427919559</c:v>
                </c:pt>
                <c:pt idx="173">
                  <c:v>825.8425543800646</c:v>
                </c:pt>
                <c:pt idx="174">
                  <c:v>824.3043050363051</c:v>
                </c:pt>
                <c:pt idx="175">
                  <c:v>822.768920901098</c:v>
                </c:pt>
                <c:pt idx="176">
                  <c:v>821.74692062426175</c:v>
                </c:pt>
                <c:pt idx="177">
                  <c:v>820.21629998186904</c:v>
                </c:pt>
                <c:pt idx="178">
                  <c:v>818.68853033848757</c:v>
                </c:pt>
                <c:pt idx="179">
                  <c:v>817.16360638372419</c:v>
                </c:pt>
                <c:pt idx="180">
                  <c:v>815.64152281708175</c:v>
                </c:pt>
                <c:pt idx="181">
                  <c:v>814.12227434793147</c:v>
                </c:pt>
                <c:pt idx="182">
                  <c:v>812.6058556954988</c:v>
                </c:pt>
                <c:pt idx="183">
                  <c:v>811.59647944427479</c:v>
                </c:pt>
                <c:pt idx="184">
                  <c:v>810.08476544469966</c:v>
                </c:pt>
                <c:pt idx="185">
                  <c:v>808.57586722782116</c:v>
                </c:pt>
                <c:pt idx="186">
                  <c:v>807.06977954884235</c:v>
                </c:pt>
                <c:pt idx="187">
                  <c:v>805.56649717273876</c:v>
                </c:pt>
                <c:pt idx="188">
                  <c:v>804.06601487423291</c:v>
                </c:pt>
                <c:pt idx="189">
                  <c:v>802.56832743778011</c:v>
                </c:pt>
                <c:pt idx="190">
                  <c:v>801.5714192767748</c:v>
                </c:pt>
                <c:pt idx="191">
                  <c:v>800.07837838002922</c:v>
                </c:pt>
                <c:pt idx="192">
                  <c:v>798.58811848466792</c:v>
                </c:pt>
                <c:pt idx="193">
                  <c:v>797.10063441067848</c:v>
                </c:pt>
                <c:pt idx="194">
                  <c:v>795.61592098770109</c:v>
                </c:pt>
                <c:pt idx="195">
                  <c:v>794.13397305500257</c:v>
                </c:pt>
                <c:pt idx="196">
                  <c:v>792.65478546146176</c:v>
                </c:pt>
                <c:pt idx="197">
                  <c:v>791.67019138143803</c:v>
                </c:pt>
                <c:pt idx="198">
                  <c:v>790.19559293228417</c:v>
                </c:pt>
                <c:pt idx="199">
                  <c:v>788.72374113282956</c:v>
                </c:pt>
                <c:pt idx="200">
                  <c:v>787.25463086704758</c:v>
                </c:pt>
                <c:pt idx="201">
                  <c:v>785.7882570284437</c:v>
                </c:pt>
                <c:pt idx="202">
                  <c:v>784.32461452003167</c:v>
                </c:pt>
                <c:pt idx="203">
                  <c:v>782.86369825431848</c:v>
                </c:pt>
                <c:pt idx="204">
                  <c:v>781.89126614840336</c:v>
                </c:pt>
                <c:pt idx="205">
                  <c:v>780.4348823407189</c:v>
                </c:pt>
                <c:pt idx="206">
                  <c:v>778.98121125537091</c:v>
                </c:pt>
                <c:pt idx="207">
                  <c:v>777.53024783952674</c:v>
                </c:pt>
                <c:pt idx="208">
                  <c:v>776.08198704976905</c:v>
                </c:pt>
                <c:pt idx="209">
                  <c:v>774.63642385207061</c:v>
                </c:pt>
                <c:pt idx="210">
                  <c:v>773.1935532217808</c:v>
                </c:pt>
                <c:pt idx="211">
                  <c:v>772.23313286196674</c:v>
                </c:pt>
                <c:pt idx="212">
                  <c:v>770.79473870355298</c:v>
                </c:pt>
                <c:pt idx="213">
                  <c:v>769.35902375919261</c:v>
                </c:pt>
                <c:pt idx="214">
                  <c:v>767.92598303846705</c:v>
                </c:pt>
                <c:pt idx="215">
                  <c:v>766.49561156025629</c:v>
                </c:pt>
                <c:pt idx="216">
                  <c:v>765.06790435271546</c:v>
                </c:pt>
                <c:pt idx="217">
                  <c:v>763.64285645325879</c:v>
                </c:pt>
                <c:pt idx="218">
                  <c:v>762.69429946719583</c:v>
                </c:pt>
                <c:pt idx="219">
                  <c:v>761.27367274501887</c:v>
                </c:pt>
                <c:pt idx="220">
                  <c:v>759.85569214251586</c:v>
                </c:pt>
                <c:pt idx="221">
                  <c:v>758.44035273091094</c:v>
                </c:pt>
                <c:pt idx="222">
                  <c:v>757.02764959061233</c:v>
                </c:pt>
                <c:pt idx="223">
                  <c:v>755.61757781118865</c:v>
                </c:pt>
                <c:pt idx="224">
                  <c:v>754.21013249135365</c:v>
                </c:pt>
                <c:pt idx="225">
                  <c:v>753.27329233942669</c:v>
                </c:pt>
                <c:pt idx="226">
                  <c:v>751.87021358528898</c:v>
                </c:pt>
                <c:pt idx="227">
                  <c:v>750.46974826523467</c:v>
                </c:pt>
                <c:pt idx="228">
                  <c:v>749.07189151137379</c:v>
                </c:pt>
                <c:pt idx="229">
                  <c:v>747.67663846487903</c:v>
                </c:pt>
                <c:pt idx="230">
                  <c:v>746.28398427597472</c:v>
                </c:pt>
                <c:pt idx="231">
                  <c:v>744.89392410391702</c:v>
                </c:pt>
                <c:pt idx="232">
                  <c:v>743.96865605660912</c:v>
                </c:pt>
                <c:pt idx="233">
                  <c:v>742.58290851324307</c:v>
                </c:pt>
                <c:pt idx="234">
                  <c:v>741.19974212211343</c:v>
                </c:pt>
                <c:pt idx="235">
                  <c:v>739.81915207545899</c:v>
                </c:pt>
                <c:pt idx="236">
                  <c:v>738.44113357446986</c:v>
                </c:pt>
                <c:pt idx="237">
                  <c:v>737.06568182927526</c:v>
                </c:pt>
                <c:pt idx="238">
                  <c:v>735.69279205892974</c:v>
                </c:pt>
                <c:pt idx="239">
                  <c:v>734.77895317446132</c:v>
                </c:pt>
                <c:pt idx="240">
                  <c:v>733.41032276204533</c:v>
                </c:pt>
                <c:pt idx="241">
                  <c:v>732.04424161877182</c:v>
                </c:pt>
                <c:pt idx="242">
                  <c:v>730.6807049962672</c:v>
                </c:pt>
                <c:pt idx="243">
                  <c:v>729.31970815499756</c:v>
                </c:pt>
                <c:pt idx="244">
                  <c:v>727.9612463642577</c:v>
                </c:pt>
                <c:pt idx="245">
                  <c:v>726.6053149021576</c:v>
                </c:pt>
                <c:pt idx="246">
                  <c:v>725.70276400440594</c:v>
                </c:pt>
                <c:pt idx="247">
                  <c:v>724.3510392874897</c:v>
                </c:pt>
                <c:pt idx="248">
                  <c:v>723.00183235045256</c:v>
                </c:pt>
                <c:pt idx="249">
                  <c:v>721.65513850357002</c:v>
                </c:pt>
                <c:pt idx="250">
                  <c:v>720.31095306585644</c:v>
                </c:pt>
                <c:pt idx="251">
                  <c:v>718.96927136504007</c:v>
                </c:pt>
                <c:pt idx="252">
                  <c:v>717.63008873755678</c:v>
                </c:pt>
                <c:pt idx="253">
                  <c:v>716.73868639424461</c:v>
                </c:pt>
                <c:pt idx="254">
                  <c:v>715.40365854908612</c:v>
                </c:pt>
                <c:pt idx="255">
                  <c:v>714.07111738350511</c:v>
                </c:pt>
                <c:pt idx="256">
                  <c:v>712.74105826570906</c:v>
                </c:pt>
                <c:pt idx="257">
                  <c:v>711.41347657252948</c:v>
                </c:pt>
                <c:pt idx="258">
                  <c:v>710.08836768940887</c:v>
                </c:pt>
                <c:pt idx="259">
                  <c:v>708.76572701038913</c:v>
                </c:pt>
                <c:pt idx="260">
                  <c:v>707.88533551154433</c:v>
                </c:pt>
                <c:pt idx="261">
                  <c:v>706.56679829384984</c:v>
                </c:pt>
                <c:pt idx="262">
                  <c:v>705.25071703959156</c:v>
                </c:pt>
                <c:pt idx="263">
                  <c:v>703.93708717418974</c:v>
                </c:pt>
                <c:pt idx="264">
                  <c:v>702.62590413158307</c:v>
                </c:pt>
                <c:pt idx="265">
                  <c:v>701.3171633542139</c:v>
                </c:pt>
                <c:pt idx="266">
                  <c:v>700.01086029301837</c:v>
                </c:pt>
                <c:pt idx="267">
                  <c:v>699.14134362970015</c:v>
                </c:pt>
                <c:pt idx="268">
                  <c:v>697.83909334276154</c:v>
                </c:pt>
                <c:pt idx="269">
                  <c:v>696.53926868253143</c:v>
                </c:pt>
                <c:pt idx="270">
                  <c:v>695.24186513093741</c:v>
                </c:pt>
                <c:pt idx="271">
                  <c:v>693.94687817831868</c:v>
                </c:pt>
                <c:pt idx="272">
                  <c:v>692.6543033234143</c:v>
                </c:pt>
                <c:pt idx="273">
                  <c:v>691.36413607335135</c:v>
                </c:pt>
                <c:pt idx="274">
                  <c:v>690.50535991663844</c:v>
                </c:pt>
                <c:pt idx="275">
                  <c:v>689.21919537986423</c:v>
                </c:pt>
                <c:pt idx="276">
                  <c:v>687.93542650779909</c:v>
                </c:pt>
                <c:pt idx="277">
                  <c:v>686.6540488381786</c:v>
                </c:pt>
                <c:pt idx="278">
                  <c:v>685.37505791704677</c:v>
                </c:pt>
                <c:pt idx="279">
                  <c:v>684.09844929874316</c:v>
                </c:pt>
                <c:pt idx="280">
                  <c:v>682.82421854589245</c:v>
                </c:pt>
                <c:pt idx="281">
                  <c:v>681.97605022613106</c:v>
                </c:pt>
                <c:pt idx="282">
                  <c:v>680.70577274396771</c:v>
                </c:pt>
                <c:pt idx="283">
                  <c:v>679.43786133461242</c:v>
                </c:pt>
                <c:pt idx="284">
                  <c:v>678.17231159092</c:v>
                </c:pt>
                <c:pt idx="285">
                  <c:v>676.90911911395074</c:v>
                </c:pt>
                <c:pt idx="286">
                  <c:v>675.64827951295842</c:v>
                </c:pt>
                <c:pt idx="287">
                  <c:v>674.38978840537948</c:v>
                </c:pt>
                <c:pt idx="288">
                  <c:v>673.55209689168714</c:v>
                </c:pt>
                <c:pt idx="289">
                  <c:v>672.2975102229226</c:v>
                </c:pt>
                <c:pt idx="290">
                  <c:v>671.04526040059227</c:v>
                </c:pt>
                <c:pt idx="291">
                  <c:v>669.79534307198946</c:v>
                </c:pt>
                <c:pt idx="292">
                  <c:v>668.54775389251108</c:v>
                </c:pt>
                <c:pt idx="293">
                  <c:v>667.30248852564694</c:v>
                </c:pt>
                <c:pt idx="294">
                  <c:v>666.05954264296781</c:v>
                </c:pt>
                <c:pt idx="295">
                  <c:v>665.23219852299167</c:v>
                </c:pt>
                <c:pt idx="296">
                  <c:v>663.9931088504386</c:v>
                </c:pt>
                <c:pt idx="297">
                  <c:v>662.75632715895824</c:v>
                </c:pt>
                <c:pt idx="298">
                  <c:v>661.52184914960935</c:v>
                </c:pt>
                <c:pt idx="299">
                  <c:v>660.28967053145516</c:v>
                </c:pt>
                <c:pt idx="300">
                  <c:v>659.05978702155073</c:v>
                </c:pt>
                <c:pt idx="301">
                  <c:v>657.8321943449331</c:v>
                </c:pt>
                <c:pt idx="302">
                  <c:v>657.01506980485681</c:v>
                </c:pt>
                <c:pt idx="303">
                  <c:v>655.7912857054107</c:v>
                </c:pt>
                <c:pt idx="304">
                  <c:v>654.5697810782284</c:v>
                </c:pt>
                <c:pt idx="305">
                  <c:v>653.35055167747078</c:v>
                </c:pt>
                <c:pt idx="306">
                  <c:v>652.13359326520231</c:v>
                </c:pt>
                <c:pt idx="307">
                  <c:v>650.91890161138576</c:v>
                </c:pt>
                <c:pt idx="308">
                  <c:v>649.70647249386002</c:v>
                </c:pt>
                <c:pt idx="309">
                  <c:v>648.89944129865796</c:v>
                </c:pt>
                <c:pt idx="310">
                  <c:v>647.69077371372475</c:v>
                </c:pt>
                <c:pt idx="311">
                  <c:v>646.48435744439507</c:v>
                </c:pt>
                <c:pt idx="312">
                  <c:v>645.28018829727546</c:v>
                </c:pt>
                <c:pt idx="313">
                  <c:v>644.07826208677977</c:v>
                </c:pt>
                <c:pt idx="314">
                  <c:v>642.87857463511841</c:v>
                </c:pt>
                <c:pt idx="315">
                  <c:v>641.68112177228602</c:v>
                </c:pt>
                <c:pt idx="316">
                  <c:v>640.88405924622236</c:v>
                </c:pt>
                <c:pt idx="317">
                  <c:v>639.69032145251106</c:v>
                </c:pt>
                <c:pt idx="318">
                  <c:v>638.49880716554162</c:v>
                </c:pt>
                <c:pt idx="319">
                  <c:v>637.30951224371904</c:v>
                </c:pt>
                <c:pt idx="320">
                  <c:v>636.12243255315707</c:v>
                </c:pt>
                <c:pt idx="321">
                  <c:v>634.93756396767446</c:v>
                </c:pt>
                <c:pt idx="322">
                  <c:v>633.75490236877226</c:v>
                </c:pt>
                <c:pt idx="323">
                  <c:v>632.96768537613968</c:v>
                </c:pt>
                <c:pt idx="324">
                  <c:v>631.78869295681523</c:v>
                </c:pt>
                <c:pt idx="325">
                  <c:v>630.61189657887587</c:v>
                </c:pt>
                <c:pt idx="326">
                  <c:v>629.43729215188148</c:v>
                </c:pt>
                <c:pt idx="327">
                  <c:v>628.26487559300983</c:v>
                </c:pt>
                <c:pt idx="328">
                  <c:v>627.09464282704755</c:v>
                </c:pt>
                <c:pt idx="329">
                  <c:v>625.92658978636837</c:v>
                </c:pt>
                <c:pt idx="330">
                  <c:v>625.14909671246539</c:v>
                </c:pt>
                <c:pt idx="331">
                  <c:v>623.98466752866261</c:v>
                </c:pt>
                <c:pt idx="332">
                  <c:v>622.82240726014402</c:v>
                </c:pt>
                <c:pt idx="333">
                  <c:v>621.66231186699781</c:v>
                </c:pt>
                <c:pt idx="334">
                  <c:v>620.50437731683394</c:v>
                </c:pt>
                <c:pt idx="335">
                  <c:v>619.34859958477648</c:v>
                </c:pt>
                <c:pt idx="336">
                  <c:v>618.19497465344352</c:v>
                </c:pt>
                <c:pt idx="337">
                  <c:v>617.42708538578665</c:v>
                </c:pt>
                <c:pt idx="338">
                  <c:v>616.27703954846538</c:v>
                </c:pt>
                <c:pt idx="339">
                  <c:v>615.12913583540023</c:v>
                </c:pt>
                <c:pt idx="340">
                  <c:v>613.98337025657827</c:v>
                </c:pt>
                <c:pt idx="341">
                  <c:v>612.83973882941939</c:v>
                </c:pt>
                <c:pt idx="342">
                  <c:v>611.69823757876441</c:v>
                </c:pt>
                <c:pt idx="343">
                  <c:v>610.55886253685514</c:v>
                </c:pt>
                <c:pt idx="344">
                  <c:v>609.80045844662266</c:v>
                </c:pt>
                <c:pt idx="345">
                  <c:v>608.66461828878448</c:v>
                </c:pt>
                <c:pt idx="346">
                  <c:v>607.53089379510197</c:v>
                </c:pt>
                <c:pt idx="347">
                  <c:v>606.39928102484828</c:v>
                </c:pt>
                <c:pt idx="348">
                  <c:v>605.26977604463718</c:v>
                </c:pt>
                <c:pt idx="349">
                  <c:v>604.1423749284113</c:v>
                </c:pt>
                <c:pt idx="350">
                  <c:v>603.01707375742387</c:v>
                </c:pt>
                <c:pt idx="351">
                  <c:v>602.26803768113018</c:v>
                </c:pt>
                <c:pt idx="352">
                  <c:v>601.14622773036626</c:v>
                </c:pt>
                <c:pt idx="353">
                  <c:v>600.02650731050028</c:v>
                </c:pt>
                <c:pt idx="354">
                  <c:v>598.90887252948232</c:v>
                </c:pt>
                <c:pt idx="355">
                  <c:v>597.79331950251196</c:v>
                </c:pt>
                <c:pt idx="356">
                  <c:v>596.67984435202823</c:v>
                </c:pt>
                <c:pt idx="357">
                  <c:v>595.56844320768937</c:v>
                </c:pt>
                <c:pt idx="358">
                  <c:v>594.82865942908347</c:v>
                </c:pt>
                <c:pt idx="359">
                  <c:v>593.72070638046841</c:v>
                </c:pt>
                <c:pt idx="360">
                  <c:v>592.61481705229846</c:v>
                </c:pt>
                <c:pt idx="361">
                  <c:v>591.51098760059949</c:v>
                </c:pt>
                <c:pt idx="362">
                  <c:v>590.40921418855714</c:v>
                </c:pt>
                <c:pt idx="363">
                  <c:v>589.30949298650739</c:v>
                </c:pt>
                <c:pt idx="364">
                  <c:v>588.21182017191563</c:v>
                </c:pt>
                <c:pt idx="365">
                  <c:v>587.48117440410556</c:v>
                </c:pt>
                <c:pt idx="366">
                  <c:v>586.38690709342336</c:v>
                </c:pt>
                <c:pt idx="367">
                  <c:v>585.29467801155135</c:v>
                </c:pt>
                <c:pt idx="368">
                  <c:v>584.20448336199718</c:v>
                </c:pt>
                <c:pt idx="369">
                  <c:v>583.1163193553399</c:v>
                </c:pt>
                <c:pt idx="370">
                  <c:v>582.03018220922024</c:v>
                </c:pt>
                <c:pt idx="371">
                  <c:v>580.94606814832082</c:v>
                </c:pt>
                <c:pt idx="372">
                  <c:v>580.22444751611772</c:v>
                </c:pt>
                <c:pt idx="373">
                  <c:v>579.14369689341959</c:v>
                </c:pt>
                <c:pt idx="374">
                  <c:v>578.0649593227763</c:v>
                </c:pt>
                <c:pt idx="375">
                  <c:v>576.98823105459053</c:v>
                </c:pt>
                <c:pt idx="376">
                  <c:v>575.91350834624996</c:v>
                </c:pt>
                <c:pt idx="377">
                  <c:v>574.84078746211526</c:v>
                </c:pt>
                <c:pt idx="378">
                  <c:v>573.7700646735035</c:v>
                </c:pt>
                <c:pt idx="379">
                  <c:v>573.057357695983</c:v>
                </c:pt>
                <c:pt idx="380">
                  <c:v>571.98995679947109</c:v>
                </c:pt>
                <c:pt idx="381">
                  <c:v>570.92454408924868</c:v>
                </c:pt>
                <c:pt idx="382">
                  <c:v>569.86111586203492</c:v>
                </c:pt>
                <c:pt idx="383">
                  <c:v>568.79966842144654</c:v>
                </c:pt>
                <c:pt idx="384">
                  <c:v>567.74019807798857</c:v>
                </c:pt>
                <c:pt idx="385">
                  <c:v>566.68270114903532</c:v>
                </c:pt>
                <c:pt idx="386">
                  <c:v>565.97879772231624</c:v>
                </c:pt>
                <c:pt idx="387">
                  <c:v>564.92458165255027</c:v>
                </c:pt>
                <c:pt idx="388">
                  <c:v>563.87232921045734</c:v>
                </c:pt>
                <c:pt idx="389">
                  <c:v>562.8220367385004</c:v>
                </c:pt>
                <c:pt idx="390">
                  <c:v>561.773700585955</c:v>
                </c:pt>
                <c:pt idx="391">
                  <c:v>560.72731710889991</c:v>
                </c:pt>
                <c:pt idx="392">
                  <c:v>559.68288267019807</c:v>
                </c:pt>
                <c:pt idx="393">
                  <c:v>558.98767405043225</c:v>
                </c:pt>
                <c:pt idx="394">
                  <c:v>557.94647994485479</c:v>
                </c:pt>
                <c:pt idx="395">
                  <c:v>556.90722521168868</c:v>
                </c:pt>
                <c:pt idx="396">
                  <c:v>555.8699062385756</c:v>
                </c:pt>
                <c:pt idx="397">
                  <c:v>554.83451941988585</c:v>
                </c:pt>
                <c:pt idx="398">
                  <c:v>553.80106115670924</c:v>
                </c:pt>
                <c:pt idx="399">
                  <c:v>552.76952785683397</c:v>
                </c:pt>
                <c:pt idx="400">
                  <c:v>552.0829066434078</c:v>
                </c:pt>
                <c:pt idx="401">
                  <c:v>551.05457365118434</c:v>
                </c:pt>
                <c:pt idx="402">
                  <c:v>550.0281560757179</c:v>
                </c:pt>
                <c:pt idx="403">
                  <c:v>549.00365034927108</c:v>
                </c:pt>
                <c:pt idx="404">
                  <c:v>547.98105291075217</c:v>
                </c:pt>
                <c:pt idx="405">
                  <c:v>546.960360205705</c:v>
                </c:pt>
                <c:pt idx="406">
                  <c:v>545.94156868629182</c:v>
                </c:pt>
                <c:pt idx="407">
                  <c:v>545.26342880523032</c:v>
                </c:pt>
                <c:pt idx="408">
                  <c:v>544.24779806239928</c:v>
                </c:pt>
                <c:pt idx="409">
                  <c:v>543.23405907657798</c:v>
                </c:pt>
                <c:pt idx="410">
                  <c:v>542.22220832409846</c:v>
                </c:pt>
                <c:pt idx="411">
                  <c:v>541.21224228785684</c:v>
                </c:pt>
                <c:pt idx="412">
                  <c:v>540.20415745730236</c:v>
                </c:pt>
                <c:pt idx="413">
                  <c:v>539.19795032841989</c:v>
                </c:pt>
                <c:pt idx="414">
                  <c:v>538.52818701600688</c:v>
                </c:pt>
                <c:pt idx="415">
                  <c:v>537.52510162093802</c:v>
                </c:pt>
                <c:pt idx="416">
                  <c:v>536.52388461538305</c:v>
                </c:pt>
                <c:pt idx="417">
                  <c:v>535.52453251919849</c:v>
                </c:pt>
                <c:pt idx="418">
                  <c:v>534.52704185872722</c:v>
                </c:pt>
                <c:pt idx="419">
                  <c:v>533.53140916677944</c:v>
                </c:pt>
                <c:pt idx="420">
                  <c:v>532.53763098262334</c:v>
                </c:pt>
                <c:pt idx="421">
                  <c:v>531.87614076920966</c:v>
                </c:pt>
                <c:pt idx="422">
                  <c:v>530.88544575836409</c:v>
                </c:pt>
                <c:pt idx="423">
                  <c:v>529.89659605817837</c:v>
                </c:pt>
                <c:pt idx="424">
                  <c:v>528.90958823149765</c:v>
                </c:pt>
                <c:pt idx="425">
                  <c:v>527.92441884756943</c:v>
                </c:pt>
                <c:pt idx="426">
                  <c:v>526.9410844820344</c:v>
                </c:pt>
                <c:pt idx="427">
                  <c:v>525.95958171690791</c:v>
                </c:pt>
                <c:pt idx="428">
                  <c:v>525.30626241093057</c:v>
                </c:pt>
                <c:pt idx="429">
                  <c:v>524.32780473492153</c:v>
                </c:pt>
                <c:pt idx="430">
                  <c:v>523.35116957579453</c:v>
                </c:pt>
                <c:pt idx="431">
                  <c:v>522.37635353885048</c:v>
                </c:pt>
                <c:pt idx="432">
                  <c:v>521.4033532357173</c:v>
                </c:pt>
                <c:pt idx="433">
                  <c:v>520.43216528433163</c:v>
                </c:pt>
                <c:pt idx="434">
                  <c:v>519.46278630892914</c:v>
                </c:pt>
                <c:pt idx="435">
                  <c:v>518.81753698112232</c:v>
                </c:pt>
                <c:pt idx="436">
                  <c:v>517.85116548107169</c:v>
                </c:pt>
                <c:pt idx="437">
                  <c:v>516.88659398567927</c:v>
                </c:pt>
                <c:pt idx="438">
                  <c:v>515.92381914217913</c:v>
                </c:pt>
                <c:pt idx="439">
                  <c:v>514.96283760405356</c:v>
                </c:pt>
                <c:pt idx="440">
                  <c:v>514.00364603101491</c:v>
                </c:pt>
                <c:pt idx="441">
                  <c:v>513.0462410889977</c:v>
                </c:pt>
                <c:pt idx="442">
                  <c:v>512.40896205680428</c:v>
                </c:pt>
                <c:pt idx="443">
                  <c:v>511.45452744098651</c:v>
                </c:pt>
                <c:pt idx="444">
                  <c:v>510.50187059568248</c:v>
                </c:pt>
                <c:pt idx="445">
                  <c:v>509.5509882095393</c:v>
                </c:pt>
                <c:pt idx="446">
                  <c:v>508.60187697737615</c:v>
                </c:pt>
                <c:pt idx="447">
                  <c:v>507.65453360016585</c:v>
                </c:pt>
                <c:pt idx="448">
                  <c:v>506.70895478502626</c:v>
                </c:pt>
                <c:pt idx="449">
                  <c:v>506.07954759719115</c:v>
                </c:pt>
                <c:pt idx="450">
                  <c:v>505.13690241797718</c:v>
                </c:pt>
                <c:pt idx="451">
                  <c:v>504.19601304977232</c:v>
                </c:pt>
                <c:pt idx="452">
                  <c:v>503.25687622212757</c:v>
                </c:pt>
                <c:pt idx="453">
                  <c:v>502.31948867068849</c:v>
                </c:pt>
                <c:pt idx="454">
                  <c:v>501.3838471371788</c:v>
                </c:pt>
                <c:pt idx="455">
                  <c:v>500.44994836938997</c:v>
                </c:pt>
                <c:pt idx="456">
                  <c:v>499.82831579075798</c:v>
                </c:pt>
                <c:pt idx="457">
                  <c:v>498.89731442182887</c:v>
                </c:pt>
                <c:pt idx="458">
                  <c:v>497.96804717565487</c:v>
                </c:pt>
                <c:pt idx="459">
                  <c:v>497.04051082218473</c:v>
                </c:pt>
                <c:pt idx="460">
                  <c:v>496.11470213738659</c:v>
                </c:pt>
                <c:pt idx="461">
                  <c:v>495.19061790323059</c:v>
                </c:pt>
                <c:pt idx="462">
                  <c:v>494.26825490768096</c:v>
                </c:pt>
                <c:pt idx="463">
                  <c:v>493.65430090417101</c:v>
                </c:pt>
                <c:pt idx="464">
                  <c:v>492.73479951802443</c:v>
                </c:pt>
                <c:pt idx="465">
                  <c:v>491.81701083427851</c:v>
                </c:pt>
                <c:pt idx="466">
                  <c:v>490.90093166278081</c:v>
                </c:pt>
                <c:pt idx="467">
                  <c:v>489.98655881932285</c:v>
                </c:pt>
                <c:pt idx="468">
                  <c:v>489.07388912562516</c:v>
                </c:pt>
                <c:pt idx="469">
                  <c:v>488.16291940932803</c:v>
                </c:pt>
                <c:pt idx="470">
                  <c:v>487.55654913309809</c:v>
                </c:pt>
                <c:pt idx="471">
                  <c:v>486.64840567882857</c:v>
                </c:pt>
                <c:pt idx="472">
                  <c:v>485.74195377119565</c:v>
                </c:pt>
                <c:pt idx="473">
                  <c:v>484.83719025945192</c:v>
                </c:pt>
                <c:pt idx="474">
                  <c:v>483.93411199872133</c:v>
                </c:pt>
                <c:pt idx="475">
                  <c:v>483.03271584998339</c:v>
                </c:pt>
                <c:pt idx="476">
                  <c:v>482.13299868006436</c:v>
                </c:pt>
                <c:pt idx="477">
                  <c:v>481.53411845485903</c:v>
                </c:pt>
                <c:pt idx="478">
                  <c:v>480.63719263621283</c:v>
                </c:pt>
                <c:pt idx="479">
                  <c:v>479.74193746976039</c:v>
                </c:pt>
                <c:pt idx="480">
                  <c:v>478.8483498436733</c:v>
                </c:pt>
                <c:pt idx="481">
                  <c:v>477.95642665192213</c:v>
                </c:pt>
                <c:pt idx="482">
                  <c:v>477.06616479426037</c:v>
                </c:pt>
                <c:pt idx="483">
                  <c:v>476.17756117621565</c:v>
                </c:pt>
                <c:pt idx="484">
                  <c:v>475.5860784828941</c:v>
                </c:pt>
                <c:pt idx="485">
                  <c:v>474.70023173659473</c:v>
                </c:pt>
                <c:pt idx="486">
                  <c:v>473.81603500614028</c:v>
                </c:pt>
                <c:pt idx="487">
                  <c:v>472.93348521814079</c:v>
                </c:pt>
                <c:pt idx="488">
                  <c:v>472.05257930493286</c:v>
                </c:pt>
                <c:pt idx="489">
                  <c:v>471.17331420456526</c:v>
                </c:pt>
                <c:pt idx="490">
                  <c:v>470.2956868607896</c:v>
                </c:pt>
                <c:pt idx="491">
                  <c:v>469.71151032303243</c:v>
                </c:pt>
                <c:pt idx="492">
                  <c:v>468.83660579737506</c:v>
                </c:pt>
                <c:pt idx="493">
                  <c:v>467.96333090611961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21-4875-B88C-B488B95351CA}"/>
            </c:ext>
          </c:extLst>
        </c:ser>
        <c:ser>
          <c:idx val="4"/>
          <c:order val="4"/>
          <c:tx>
            <c:strRef>
              <c:f>'sheet 1'!$R$38</c:f>
              <c:strCache>
                <c:ptCount val="1"/>
                <c:pt idx="0">
                  <c:v>I3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0.20000000000000284</c:v>
                </c:pt>
                <c:pt idx="2">
                  <c:v>0.5</c:v>
                </c:pt>
                <c:pt idx="3">
                  <c:v>0.80000000000000426</c:v>
                </c:pt>
                <c:pt idx="4">
                  <c:v>1.1000000000000014</c:v>
                </c:pt>
                <c:pt idx="5">
                  <c:v>1.3999999999999986</c:v>
                </c:pt>
                <c:pt idx="6">
                  <c:v>1.7000000000000028</c:v>
                </c:pt>
                <c:pt idx="7">
                  <c:v>2</c:v>
                </c:pt>
                <c:pt idx="8">
                  <c:v>2.2000000000000028</c:v>
                </c:pt>
                <c:pt idx="9">
                  <c:v>2.5</c:v>
                </c:pt>
                <c:pt idx="10">
                  <c:v>2.8000000000000043</c:v>
                </c:pt>
                <c:pt idx="11">
                  <c:v>3.1000000000000014</c:v>
                </c:pt>
                <c:pt idx="12">
                  <c:v>3.3999999999999986</c:v>
                </c:pt>
                <c:pt idx="13">
                  <c:v>3.7000000000000028</c:v>
                </c:pt>
                <c:pt idx="14">
                  <c:v>4</c:v>
                </c:pt>
                <c:pt idx="15">
                  <c:v>4.2000000000000028</c:v>
                </c:pt>
                <c:pt idx="16">
                  <c:v>4.5</c:v>
                </c:pt>
                <c:pt idx="17">
                  <c:v>4.8000000000000043</c:v>
                </c:pt>
                <c:pt idx="18">
                  <c:v>5.1000000000000014</c:v>
                </c:pt>
                <c:pt idx="19">
                  <c:v>5.3999999999999986</c:v>
                </c:pt>
                <c:pt idx="20">
                  <c:v>5.6999999999999957</c:v>
                </c:pt>
                <c:pt idx="21">
                  <c:v>6.0000000000000071</c:v>
                </c:pt>
                <c:pt idx="22">
                  <c:v>6.1999999999999957</c:v>
                </c:pt>
                <c:pt idx="23">
                  <c:v>6.5000000000000071</c:v>
                </c:pt>
                <c:pt idx="24">
                  <c:v>6.8000000000000043</c:v>
                </c:pt>
                <c:pt idx="25">
                  <c:v>7.1000000000000014</c:v>
                </c:pt>
                <c:pt idx="26">
                  <c:v>7.3999999999999986</c:v>
                </c:pt>
                <c:pt idx="27">
                  <c:v>7.6999999999999957</c:v>
                </c:pt>
                <c:pt idx="28">
                  <c:v>8.0000000000000071</c:v>
                </c:pt>
                <c:pt idx="29">
                  <c:v>8.1999999999999957</c:v>
                </c:pt>
                <c:pt idx="30">
                  <c:v>8.5000000000000071</c:v>
                </c:pt>
                <c:pt idx="31">
                  <c:v>8.8000000000000043</c:v>
                </c:pt>
                <c:pt idx="32">
                  <c:v>9.1000000000000014</c:v>
                </c:pt>
                <c:pt idx="33">
                  <c:v>9.3999999999999986</c:v>
                </c:pt>
                <c:pt idx="34">
                  <c:v>9.6999999999999957</c:v>
                </c:pt>
                <c:pt idx="35">
                  <c:v>10.000000000000007</c:v>
                </c:pt>
                <c:pt idx="36">
                  <c:v>10.199999999999996</c:v>
                </c:pt>
                <c:pt idx="37">
                  <c:v>10.500000000000007</c:v>
                </c:pt>
                <c:pt idx="38">
                  <c:v>10.800000000000004</c:v>
                </c:pt>
                <c:pt idx="39">
                  <c:v>11.100000000000001</c:v>
                </c:pt>
                <c:pt idx="40">
                  <c:v>11.399999999999999</c:v>
                </c:pt>
                <c:pt idx="41">
                  <c:v>11.699999999999996</c:v>
                </c:pt>
                <c:pt idx="42">
                  <c:v>12.000000000000007</c:v>
                </c:pt>
                <c:pt idx="43">
                  <c:v>12.199999999999996</c:v>
                </c:pt>
                <c:pt idx="44">
                  <c:v>12.500000000000007</c:v>
                </c:pt>
                <c:pt idx="45">
                  <c:v>12.800000000000004</c:v>
                </c:pt>
                <c:pt idx="46">
                  <c:v>13.100000000000001</c:v>
                </c:pt>
                <c:pt idx="47">
                  <c:v>13.399999999999999</c:v>
                </c:pt>
                <c:pt idx="48">
                  <c:v>13.699999999999996</c:v>
                </c:pt>
                <c:pt idx="49">
                  <c:v>14.000000000000007</c:v>
                </c:pt>
                <c:pt idx="50">
                  <c:v>14.199999999999996</c:v>
                </c:pt>
                <c:pt idx="51">
                  <c:v>14.500000000000007</c:v>
                </c:pt>
                <c:pt idx="52">
                  <c:v>14.800000000000004</c:v>
                </c:pt>
                <c:pt idx="53">
                  <c:v>15.100000000000001</c:v>
                </c:pt>
                <c:pt idx="54">
                  <c:v>15.399999999999999</c:v>
                </c:pt>
                <c:pt idx="55">
                  <c:v>15.699999999999996</c:v>
                </c:pt>
                <c:pt idx="56">
                  <c:v>16.000000000000007</c:v>
                </c:pt>
                <c:pt idx="57">
                  <c:v>16.199999999999996</c:v>
                </c:pt>
                <c:pt idx="58">
                  <c:v>16.500000000000007</c:v>
                </c:pt>
                <c:pt idx="59">
                  <c:v>16.800000000000004</c:v>
                </c:pt>
                <c:pt idx="60">
                  <c:v>17.100000000000001</c:v>
                </c:pt>
                <c:pt idx="61">
                  <c:v>17.399999999999999</c:v>
                </c:pt>
                <c:pt idx="62">
                  <c:v>17.699999999999996</c:v>
                </c:pt>
                <c:pt idx="63">
                  <c:v>18.000000000000007</c:v>
                </c:pt>
                <c:pt idx="64">
                  <c:v>18.199999999999996</c:v>
                </c:pt>
                <c:pt idx="65">
                  <c:v>18.500000000000007</c:v>
                </c:pt>
                <c:pt idx="66">
                  <c:v>18.800000000000004</c:v>
                </c:pt>
                <c:pt idx="67">
                  <c:v>19.100000000000001</c:v>
                </c:pt>
                <c:pt idx="68">
                  <c:v>19.399999999999999</c:v>
                </c:pt>
                <c:pt idx="69">
                  <c:v>19.699999999999996</c:v>
                </c:pt>
                <c:pt idx="70">
                  <c:v>20.000000000000007</c:v>
                </c:pt>
                <c:pt idx="71">
                  <c:v>20.199999999999996</c:v>
                </c:pt>
                <c:pt idx="72">
                  <c:v>20.500000000000007</c:v>
                </c:pt>
                <c:pt idx="73">
                  <c:v>20.800000000000004</c:v>
                </c:pt>
                <c:pt idx="74">
                  <c:v>21.1</c:v>
                </c:pt>
                <c:pt idx="75">
                  <c:v>21.4</c:v>
                </c:pt>
                <c:pt idx="76">
                  <c:v>21.699999999999996</c:v>
                </c:pt>
                <c:pt idx="77">
                  <c:v>22.000000000000007</c:v>
                </c:pt>
                <c:pt idx="78">
                  <c:v>22.199999999999996</c:v>
                </c:pt>
                <c:pt idx="79">
                  <c:v>22.500000000000007</c:v>
                </c:pt>
                <c:pt idx="80">
                  <c:v>22.800000000000004</c:v>
                </c:pt>
                <c:pt idx="81">
                  <c:v>23.1</c:v>
                </c:pt>
                <c:pt idx="82">
                  <c:v>23.4</c:v>
                </c:pt>
                <c:pt idx="83">
                  <c:v>23.699999999999996</c:v>
                </c:pt>
                <c:pt idx="84">
                  <c:v>24.000000000000007</c:v>
                </c:pt>
                <c:pt idx="85">
                  <c:v>24.199999999999996</c:v>
                </c:pt>
                <c:pt idx="86">
                  <c:v>24.500000000000007</c:v>
                </c:pt>
                <c:pt idx="87">
                  <c:v>24.800000000000004</c:v>
                </c:pt>
                <c:pt idx="88">
                  <c:v>25.1</c:v>
                </c:pt>
                <c:pt idx="89">
                  <c:v>25.4</c:v>
                </c:pt>
                <c:pt idx="90">
                  <c:v>25.699999999999996</c:v>
                </c:pt>
                <c:pt idx="91">
                  <c:v>26.000000000000007</c:v>
                </c:pt>
                <c:pt idx="92">
                  <c:v>26.199999999999996</c:v>
                </c:pt>
                <c:pt idx="93">
                  <c:v>26.500000000000007</c:v>
                </c:pt>
                <c:pt idx="94">
                  <c:v>26.800000000000004</c:v>
                </c:pt>
                <c:pt idx="95">
                  <c:v>27.1</c:v>
                </c:pt>
                <c:pt idx="96">
                  <c:v>27.4</c:v>
                </c:pt>
                <c:pt idx="97">
                  <c:v>27.699999999999996</c:v>
                </c:pt>
                <c:pt idx="98">
                  <c:v>28.000000000000007</c:v>
                </c:pt>
                <c:pt idx="99">
                  <c:v>28.199999999999996</c:v>
                </c:pt>
                <c:pt idx="100">
                  <c:v>28.500000000000007</c:v>
                </c:pt>
                <c:pt idx="101">
                  <c:v>28.800000000000004</c:v>
                </c:pt>
                <c:pt idx="102">
                  <c:v>29.1</c:v>
                </c:pt>
                <c:pt idx="103">
                  <c:v>29.4</c:v>
                </c:pt>
                <c:pt idx="104">
                  <c:v>29.699999999999996</c:v>
                </c:pt>
                <c:pt idx="105">
                  <c:v>30.000000000000007</c:v>
                </c:pt>
                <c:pt idx="106">
                  <c:v>30.199999999999996</c:v>
                </c:pt>
                <c:pt idx="107">
                  <c:v>30.500000000000007</c:v>
                </c:pt>
                <c:pt idx="108">
                  <c:v>30.800000000000004</c:v>
                </c:pt>
                <c:pt idx="109">
                  <c:v>31.1</c:v>
                </c:pt>
                <c:pt idx="110">
                  <c:v>31.4</c:v>
                </c:pt>
                <c:pt idx="111">
                  <c:v>31.699999999999996</c:v>
                </c:pt>
                <c:pt idx="112">
                  <c:v>32.000000000000007</c:v>
                </c:pt>
                <c:pt idx="113">
                  <c:v>32.199999999999996</c:v>
                </c:pt>
                <c:pt idx="114">
                  <c:v>32.500000000000007</c:v>
                </c:pt>
                <c:pt idx="115">
                  <c:v>32.800000000000004</c:v>
                </c:pt>
                <c:pt idx="116">
                  <c:v>33.1</c:v>
                </c:pt>
                <c:pt idx="117">
                  <c:v>33.4</c:v>
                </c:pt>
                <c:pt idx="118">
                  <c:v>33.699999999999996</c:v>
                </c:pt>
                <c:pt idx="119">
                  <c:v>34.000000000000007</c:v>
                </c:pt>
                <c:pt idx="120">
                  <c:v>34.199999999999996</c:v>
                </c:pt>
                <c:pt idx="121">
                  <c:v>34.500000000000007</c:v>
                </c:pt>
                <c:pt idx="122">
                  <c:v>34.800000000000004</c:v>
                </c:pt>
                <c:pt idx="123">
                  <c:v>35.1</c:v>
                </c:pt>
                <c:pt idx="124">
                  <c:v>35.4</c:v>
                </c:pt>
                <c:pt idx="125">
                  <c:v>35.699999999999996</c:v>
                </c:pt>
                <c:pt idx="126">
                  <c:v>36.000000000000007</c:v>
                </c:pt>
                <c:pt idx="127">
                  <c:v>36.199999999999996</c:v>
                </c:pt>
                <c:pt idx="128">
                  <c:v>36.500000000000007</c:v>
                </c:pt>
                <c:pt idx="129">
                  <c:v>36.800000000000004</c:v>
                </c:pt>
                <c:pt idx="130">
                  <c:v>37.1</c:v>
                </c:pt>
                <c:pt idx="131">
                  <c:v>37.4</c:v>
                </c:pt>
                <c:pt idx="132">
                  <c:v>37.699999999999996</c:v>
                </c:pt>
                <c:pt idx="133">
                  <c:v>38.000000000000007</c:v>
                </c:pt>
                <c:pt idx="134">
                  <c:v>38.199999999999996</c:v>
                </c:pt>
                <c:pt idx="135">
                  <c:v>38.500000000000007</c:v>
                </c:pt>
                <c:pt idx="136">
                  <c:v>38.800000000000004</c:v>
                </c:pt>
                <c:pt idx="137">
                  <c:v>39.1</c:v>
                </c:pt>
                <c:pt idx="138">
                  <c:v>39.4</c:v>
                </c:pt>
                <c:pt idx="139">
                  <c:v>39.699999999999996</c:v>
                </c:pt>
                <c:pt idx="140">
                  <c:v>40.000000000000007</c:v>
                </c:pt>
                <c:pt idx="141">
                  <c:v>40.199999999999996</c:v>
                </c:pt>
                <c:pt idx="142">
                  <c:v>40.500000000000007</c:v>
                </c:pt>
                <c:pt idx="143">
                  <c:v>40.800000000000004</c:v>
                </c:pt>
                <c:pt idx="144">
                  <c:v>41.1</c:v>
                </c:pt>
                <c:pt idx="145">
                  <c:v>41.4</c:v>
                </c:pt>
                <c:pt idx="146">
                  <c:v>41.699999999999996</c:v>
                </c:pt>
                <c:pt idx="147">
                  <c:v>42.000000000000007</c:v>
                </c:pt>
                <c:pt idx="148">
                  <c:v>42.199999999999996</c:v>
                </c:pt>
                <c:pt idx="149">
                  <c:v>42.500000000000007</c:v>
                </c:pt>
                <c:pt idx="150">
                  <c:v>42.800000000000004</c:v>
                </c:pt>
                <c:pt idx="151">
                  <c:v>43.1</c:v>
                </c:pt>
                <c:pt idx="152">
                  <c:v>43.4</c:v>
                </c:pt>
                <c:pt idx="153">
                  <c:v>43.699999999999996</c:v>
                </c:pt>
                <c:pt idx="154">
                  <c:v>44.000000000000007</c:v>
                </c:pt>
                <c:pt idx="155">
                  <c:v>44.199999999999996</c:v>
                </c:pt>
                <c:pt idx="156">
                  <c:v>44.500000000000007</c:v>
                </c:pt>
                <c:pt idx="157">
                  <c:v>44.800000000000004</c:v>
                </c:pt>
                <c:pt idx="158">
                  <c:v>45.1</c:v>
                </c:pt>
                <c:pt idx="159">
                  <c:v>45.4</c:v>
                </c:pt>
                <c:pt idx="160">
                  <c:v>45.699999999999996</c:v>
                </c:pt>
                <c:pt idx="161">
                  <c:v>46.000000000000007</c:v>
                </c:pt>
                <c:pt idx="162">
                  <c:v>46.199999999999996</c:v>
                </c:pt>
                <c:pt idx="163">
                  <c:v>46.500000000000007</c:v>
                </c:pt>
                <c:pt idx="164">
                  <c:v>46.800000000000004</c:v>
                </c:pt>
                <c:pt idx="165">
                  <c:v>47.1</c:v>
                </c:pt>
                <c:pt idx="166">
                  <c:v>47.4</c:v>
                </c:pt>
                <c:pt idx="167">
                  <c:v>47.699999999999996</c:v>
                </c:pt>
                <c:pt idx="168">
                  <c:v>48.000000000000007</c:v>
                </c:pt>
                <c:pt idx="169">
                  <c:v>48.199999999999996</c:v>
                </c:pt>
                <c:pt idx="170">
                  <c:v>48.500000000000007</c:v>
                </c:pt>
                <c:pt idx="171">
                  <c:v>48.800000000000004</c:v>
                </c:pt>
                <c:pt idx="172">
                  <c:v>49.1</c:v>
                </c:pt>
                <c:pt idx="173">
                  <c:v>49.4</c:v>
                </c:pt>
                <c:pt idx="174">
                  <c:v>49.699999999999996</c:v>
                </c:pt>
                <c:pt idx="175">
                  <c:v>50.000000000000007</c:v>
                </c:pt>
                <c:pt idx="176">
                  <c:v>50.199999999999996</c:v>
                </c:pt>
                <c:pt idx="177">
                  <c:v>50.500000000000007</c:v>
                </c:pt>
                <c:pt idx="178">
                  <c:v>50.800000000000004</c:v>
                </c:pt>
                <c:pt idx="179">
                  <c:v>51.1</c:v>
                </c:pt>
                <c:pt idx="180">
                  <c:v>51.4</c:v>
                </c:pt>
                <c:pt idx="181">
                  <c:v>51.699999999999996</c:v>
                </c:pt>
                <c:pt idx="182">
                  <c:v>52.000000000000007</c:v>
                </c:pt>
                <c:pt idx="183">
                  <c:v>52.199999999999996</c:v>
                </c:pt>
                <c:pt idx="184">
                  <c:v>52.500000000000007</c:v>
                </c:pt>
                <c:pt idx="185">
                  <c:v>52.800000000000004</c:v>
                </c:pt>
                <c:pt idx="186">
                  <c:v>53.1</c:v>
                </c:pt>
                <c:pt idx="187">
                  <c:v>53.4</c:v>
                </c:pt>
                <c:pt idx="188">
                  <c:v>53.699999999999996</c:v>
                </c:pt>
                <c:pt idx="189">
                  <c:v>54.000000000000007</c:v>
                </c:pt>
                <c:pt idx="190">
                  <c:v>54.199999999999996</c:v>
                </c:pt>
                <c:pt idx="191">
                  <c:v>54.500000000000007</c:v>
                </c:pt>
                <c:pt idx="192">
                  <c:v>54.800000000000004</c:v>
                </c:pt>
                <c:pt idx="193">
                  <c:v>55.1</c:v>
                </c:pt>
                <c:pt idx="194">
                  <c:v>55.4</c:v>
                </c:pt>
                <c:pt idx="195">
                  <c:v>55.699999999999996</c:v>
                </c:pt>
                <c:pt idx="196">
                  <c:v>56.000000000000007</c:v>
                </c:pt>
                <c:pt idx="197">
                  <c:v>56.199999999999996</c:v>
                </c:pt>
                <c:pt idx="198">
                  <c:v>56.500000000000007</c:v>
                </c:pt>
                <c:pt idx="199">
                  <c:v>56.800000000000004</c:v>
                </c:pt>
                <c:pt idx="200">
                  <c:v>57.1</c:v>
                </c:pt>
                <c:pt idx="201">
                  <c:v>57.4</c:v>
                </c:pt>
                <c:pt idx="202">
                  <c:v>57.699999999999996</c:v>
                </c:pt>
                <c:pt idx="203">
                  <c:v>58.000000000000007</c:v>
                </c:pt>
                <c:pt idx="204">
                  <c:v>58.199999999999996</c:v>
                </c:pt>
                <c:pt idx="205">
                  <c:v>58.500000000000007</c:v>
                </c:pt>
                <c:pt idx="206">
                  <c:v>58.800000000000004</c:v>
                </c:pt>
                <c:pt idx="207">
                  <c:v>59.1</c:v>
                </c:pt>
                <c:pt idx="208">
                  <c:v>59.4</c:v>
                </c:pt>
                <c:pt idx="209">
                  <c:v>59.699999999999996</c:v>
                </c:pt>
                <c:pt idx="210">
                  <c:v>60.000000000000007</c:v>
                </c:pt>
                <c:pt idx="211">
                  <c:v>60.199999999999996</c:v>
                </c:pt>
                <c:pt idx="212">
                  <c:v>60.500000000000007</c:v>
                </c:pt>
                <c:pt idx="213">
                  <c:v>60.800000000000004</c:v>
                </c:pt>
                <c:pt idx="214">
                  <c:v>61.1</c:v>
                </c:pt>
                <c:pt idx="215">
                  <c:v>61.4</c:v>
                </c:pt>
                <c:pt idx="216">
                  <c:v>61.699999999999996</c:v>
                </c:pt>
                <c:pt idx="217">
                  <c:v>62.000000000000007</c:v>
                </c:pt>
                <c:pt idx="218">
                  <c:v>62.199999999999996</c:v>
                </c:pt>
                <c:pt idx="219">
                  <c:v>62.500000000000007</c:v>
                </c:pt>
                <c:pt idx="220">
                  <c:v>62.800000000000004</c:v>
                </c:pt>
                <c:pt idx="221">
                  <c:v>63.1</c:v>
                </c:pt>
                <c:pt idx="222">
                  <c:v>63.4</c:v>
                </c:pt>
                <c:pt idx="223">
                  <c:v>63.699999999999996</c:v>
                </c:pt>
                <c:pt idx="224">
                  <c:v>64</c:v>
                </c:pt>
                <c:pt idx="225">
                  <c:v>64.199999999999989</c:v>
                </c:pt>
                <c:pt idx="226">
                  <c:v>64.5</c:v>
                </c:pt>
                <c:pt idx="227">
                  <c:v>64.800000000000011</c:v>
                </c:pt>
                <c:pt idx="228">
                  <c:v>65.099999999999994</c:v>
                </c:pt>
                <c:pt idx="229">
                  <c:v>65.400000000000006</c:v>
                </c:pt>
                <c:pt idx="230">
                  <c:v>65.699999999999989</c:v>
                </c:pt>
                <c:pt idx="231">
                  <c:v>66</c:v>
                </c:pt>
                <c:pt idx="232">
                  <c:v>66.199999999999989</c:v>
                </c:pt>
                <c:pt idx="233">
                  <c:v>66.5</c:v>
                </c:pt>
                <c:pt idx="234">
                  <c:v>66.800000000000011</c:v>
                </c:pt>
                <c:pt idx="235">
                  <c:v>67.099999999999994</c:v>
                </c:pt>
                <c:pt idx="236">
                  <c:v>67.400000000000006</c:v>
                </c:pt>
                <c:pt idx="237">
                  <c:v>67.699999999999989</c:v>
                </c:pt>
                <c:pt idx="238">
                  <c:v>68</c:v>
                </c:pt>
                <c:pt idx="239">
                  <c:v>68.199999999999989</c:v>
                </c:pt>
                <c:pt idx="240">
                  <c:v>68.5</c:v>
                </c:pt>
                <c:pt idx="241">
                  <c:v>68.800000000000011</c:v>
                </c:pt>
                <c:pt idx="242">
                  <c:v>69.099999999999994</c:v>
                </c:pt>
                <c:pt idx="243">
                  <c:v>69.400000000000006</c:v>
                </c:pt>
                <c:pt idx="244">
                  <c:v>69.699999999999989</c:v>
                </c:pt>
                <c:pt idx="245">
                  <c:v>70</c:v>
                </c:pt>
                <c:pt idx="246">
                  <c:v>70.199999999999989</c:v>
                </c:pt>
                <c:pt idx="247">
                  <c:v>70.5</c:v>
                </c:pt>
                <c:pt idx="248">
                  <c:v>70.799999999999983</c:v>
                </c:pt>
                <c:pt idx="249">
                  <c:v>71.099999999999994</c:v>
                </c:pt>
                <c:pt idx="250">
                  <c:v>71.400000000000006</c:v>
                </c:pt>
                <c:pt idx="251">
                  <c:v>71.699999999999989</c:v>
                </c:pt>
                <c:pt idx="252">
                  <c:v>72</c:v>
                </c:pt>
                <c:pt idx="253">
                  <c:v>72.199999999999989</c:v>
                </c:pt>
                <c:pt idx="254">
                  <c:v>72.5</c:v>
                </c:pt>
                <c:pt idx="255">
                  <c:v>72.799999999999983</c:v>
                </c:pt>
                <c:pt idx="256">
                  <c:v>73.099999999999994</c:v>
                </c:pt>
                <c:pt idx="257">
                  <c:v>73.400000000000006</c:v>
                </c:pt>
                <c:pt idx="258">
                  <c:v>73.699999999999989</c:v>
                </c:pt>
                <c:pt idx="259">
                  <c:v>74</c:v>
                </c:pt>
                <c:pt idx="260">
                  <c:v>74.199999999999989</c:v>
                </c:pt>
                <c:pt idx="261">
                  <c:v>74.5</c:v>
                </c:pt>
                <c:pt idx="262">
                  <c:v>74.799999999999983</c:v>
                </c:pt>
                <c:pt idx="263">
                  <c:v>75.099999999999994</c:v>
                </c:pt>
                <c:pt idx="264">
                  <c:v>75.400000000000006</c:v>
                </c:pt>
                <c:pt idx="265">
                  <c:v>75.699999999999989</c:v>
                </c:pt>
                <c:pt idx="266">
                  <c:v>76</c:v>
                </c:pt>
                <c:pt idx="267">
                  <c:v>76.199999999999989</c:v>
                </c:pt>
                <c:pt idx="268">
                  <c:v>76.5</c:v>
                </c:pt>
                <c:pt idx="269">
                  <c:v>76.799999999999983</c:v>
                </c:pt>
                <c:pt idx="270">
                  <c:v>77.099999999999994</c:v>
                </c:pt>
                <c:pt idx="271">
                  <c:v>77.400000000000006</c:v>
                </c:pt>
                <c:pt idx="272">
                  <c:v>77.699999999999989</c:v>
                </c:pt>
                <c:pt idx="273">
                  <c:v>78</c:v>
                </c:pt>
                <c:pt idx="274">
                  <c:v>78.199999999999989</c:v>
                </c:pt>
                <c:pt idx="275">
                  <c:v>78.5</c:v>
                </c:pt>
                <c:pt idx="276">
                  <c:v>78.799999999999983</c:v>
                </c:pt>
                <c:pt idx="277">
                  <c:v>79.099999999999994</c:v>
                </c:pt>
                <c:pt idx="278">
                  <c:v>79.400000000000006</c:v>
                </c:pt>
                <c:pt idx="279">
                  <c:v>79.699999999999989</c:v>
                </c:pt>
                <c:pt idx="280">
                  <c:v>80</c:v>
                </c:pt>
                <c:pt idx="281">
                  <c:v>80.199999999999989</c:v>
                </c:pt>
                <c:pt idx="282">
                  <c:v>80.5</c:v>
                </c:pt>
                <c:pt idx="283">
                  <c:v>80.799999999999983</c:v>
                </c:pt>
                <c:pt idx="284">
                  <c:v>81.099999999999994</c:v>
                </c:pt>
                <c:pt idx="285">
                  <c:v>81.400000000000006</c:v>
                </c:pt>
                <c:pt idx="286">
                  <c:v>81.699999999999989</c:v>
                </c:pt>
                <c:pt idx="287">
                  <c:v>82</c:v>
                </c:pt>
                <c:pt idx="288">
                  <c:v>82.199999999999989</c:v>
                </c:pt>
                <c:pt idx="289">
                  <c:v>82.5</c:v>
                </c:pt>
                <c:pt idx="290">
                  <c:v>82.799999999999983</c:v>
                </c:pt>
                <c:pt idx="291">
                  <c:v>83.1</c:v>
                </c:pt>
                <c:pt idx="292">
                  <c:v>83.4</c:v>
                </c:pt>
                <c:pt idx="293">
                  <c:v>83.699999999999989</c:v>
                </c:pt>
                <c:pt idx="294">
                  <c:v>84</c:v>
                </c:pt>
                <c:pt idx="295">
                  <c:v>84.199999999999989</c:v>
                </c:pt>
                <c:pt idx="296">
                  <c:v>84.5</c:v>
                </c:pt>
                <c:pt idx="297">
                  <c:v>84.799999999999983</c:v>
                </c:pt>
                <c:pt idx="298">
                  <c:v>85.1</c:v>
                </c:pt>
                <c:pt idx="299">
                  <c:v>85.4</c:v>
                </c:pt>
                <c:pt idx="300">
                  <c:v>85.699999999999989</c:v>
                </c:pt>
                <c:pt idx="301">
                  <c:v>86</c:v>
                </c:pt>
                <c:pt idx="302">
                  <c:v>86.199999999999989</c:v>
                </c:pt>
                <c:pt idx="303">
                  <c:v>86.5</c:v>
                </c:pt>
                <c:pt idx="304">
                  <c:v>86.799999999999983</c:v>
                </c:pt>
                <c:pt idx="305">
                  <c:v>87.1</c:v>
                </c:pt>
                <c:pt idx="306">
                  <c:v>87.4</c:v>
                </c:pt>
                <c:pt idx="307">
                  <c:v>87.699999999999989</c:v>
                </c:pt>
                <c:pt idx="308">
                  <c:v>88</c:v>
                </c:pt>
                <c:pt idx="309">
                  <c:v>88.199999999999989</c:v>
                </c:pt>
                <c:pt idx="310">
                  <c:v>88.5</c:v>
                </c:pt>
                <c:pt idx="311">
                  <c:v>88.799999999999983</c:v>
                </c:pt>
                <c:pt idx="312">
                  <c:v>89.1</c:v>
                </c:pt>
                <c:pt idx="313">
                  <c:v>89.4</c:v>
                </c:pt>
                <c:pt idx="314">
                  <c:v>89.699999999999989</c:v>
                </c:pt>
                <c:pt idx="315">
                  <c:v>90</c:v>
                </c:pt>
                <c:pt idx="316">
                  <c:v>90.199999999999989</c:v>
                </c:pt>
                <c:pt idx="317">
                  <c:v>90.5</c:v>
                </c:pt>
                <c:pt idx="318">
                  <c:v>90.799999999999983</c:v>
                </c:pt>
                <c:pt idx="319">
                  <c:v>91.1</c:v>
                </c:pt>
                <c:pt idx="320">
                  <c:v>91.4</c:v>
                </c:pt>
                <c:pt idx="321">
                  <c:v>91.699999999999989</c:v>
                </c:pt>
                <c:pt idx="322">
                  <c:v>92</c:v>
                </c:pt>
                <c:pt idx="323">
                  <c:v>92.199999999999989</c:v>
                </c:pt>
                <c:pt idx="324">
                  <c:v>92.5</c:v>
                </c:pt>
                <c:pt idx="325">
                  <c:v>92.799999999999983</c:v>
                </c:pt>
                <c:pt idx="326">
                  <c:v>93.1</c:v>
                </c:pt>
                <c:pt idx="327">
                  <c:v>93.4</c:v>
                </c:pt>
                <c:pt idx="328">
                  <c:v>93.699999999999989</c:v>
                </c:pt>
                <c:pt idx="329">
                  <c:v>94</c:v>
                </c:pt>
                <c:pt idx="330">
                  <c:v>94.199999999999989</c:v>
                </c:pt>
                <c:pt idx="331">
                  <c:v>94.5</c:v>
                </c:pt>
                <c:pt idx="332">
                  <c:v>94.799999999999983</c:v>
                </c:pt>
                <c:pt idx="333">
                  <c:v>95.1</c:v>
                </c:pt>
                <c:pt idx="334">
                  <c:v>95.4</c:v>
                </c:pt>
                <c:pt idx="335">
                  <c:v>95.699999999999989</c:v>
                </c:pt>
                <c:pt idx="336">
                  <c:v>96</c:v>
                </c:pt>
                <c:pt idx="337">
                  <c:v>96.199999999999989</c:v>
                </c:pt>
                <c:pt idx="338">
                  <c:v>96.5</c:v>
                </c:pt>
                <c:pt idx="339">
                  <c:v>96.799999999999983</c:v>
                </c:pt>
                <c:pt idx="340">
                  <c:v>97.1</c:v>
                </c:pt>
                <c:pt idx="341">
                  <c:v>97.4</c:v>
                </c:pt>
                <c:pt idx="342">
                  <c:v>97.699999999999989</c:v>
                </c:pt>
                <c:pt idx="343">
                  <c:v>98</c:v>
                </c:pt>
                <c:pt idx="344">
                  <c:v>98.199999999999989</c:v>
                </c:pt>
                <c:pt idx="345">
                  <c:v>98.5</c:v>
                </c:pt>
                <c:pt idx="346">
                  <c:v>98.799999999999983</c:v>
                </c:pt>
                <c:pt idx="347">
                  <c:v>99.1</c:v>
                </c:pt>
                <c:pt idx="348">
                  <c:v>99.4</c:v>
                </c:pt>
                <c:pt idx="349">
                  <c:v>99.699999999999989</c:v>
                </c:pt>
                <c:pt idx="350">
                  <c:v>100</c:v>
                </c:pt>
                <c:pt idx="351">
                  <c:v>100.19999999999999</c:v>
                </c:pt>
                <c:pt idx="352">
                  <c:v>100.5</c:v>
                </c:pt>
                <c:pt idx="353">
                  <c:v>100.79999999999998</c:v>
                </c:pt>
                <c:pt idx="354">
                  <c:v>101.1</c:v>
                </c:pt>
                <c:pt idx="355">
                  <c:v>101.4</c:v>
                </c:pt>
                <c:pt idx="356">
                  <c:v>101.69999999999999</c:v>
                </c:pt>
                <c:pt idx="357">
                  <c:v>102</c:v>
                </c:pt>
                <c:pt idx="358">
                  <c:v>102.19999999999999</c:v>
                </c:pt>
                <c:pt idx="359">
                  <c:v>102.5</c:v>
                </c:pt>
                <c:pt idx="360">
                  <c:v>102.79999999999998</c:v>
                </c:pt>
                <c:pt idx="361">
                  <c:v>103.1</c:v>
                </c:pt>
                <c:pt idx="362">
                  <c:v>103.4</c:v>
                </c:pt>
                <c:pt idx="363">
                  <c:v>103.69999999999999</c:v>
                </c:pt>
                <c:pt idx="364">
                  <c:v>104</c:v>
                </c:pt>
                <c:pt idx="365">
                  <c:v>104.19999999999999</c:v>
                </c:pt>
                <c:pt idx="366">
                  <c:v>104.5</c:v>
                </c:pt>
                <c:pt idx="367">
                  <c:v>104.79999999999998</c:v>
                </c:pt>
                <c:pt idx="368">
                  <c:v>105.1</c:v>
                </c:pt>
                <c:pt idx="369">
                  <c:v>105.4</c:v>
                </c:pt>
                <c:pt idx="370">
                  <c:v>105.69999999999999</c:v>
                </c:pt>
                <c:pt idx="371">
                  <c:v>106</c:v>
                </c:pt>
                <c:pt idx="372">
                  <c:v>106.19999999999999</c:v>
                </c:pt>
                <c:pt idx="373">
                  <c:v>106.5</c:v>
                </c:pt>
                <c:pt idx="374">
                  <c:v>106.79999999999998</c:v>
                </c:pt>
                <c:pt idx="375">
                  <c:v>107.1</c:v>
                </c:pt>
                <c:pt idx="376">
                  <c:v>107.4</c:v>
                </c:pt>
                <c:pt idx="377">
                  <c:v>107.69999999999999</c:v>
                </c:pt>
                <c:pt idx="378">
                  <c:v>108</c:v>
                </c:pt>
                <c:pt idx="379">
                  <c:v>108.19999999999999</c:v>
                </c:pt>
                <c:pt idx="380">
                  <c:v>108.5</c:v>
                </c:pt>
                <c:pt idx="381">
                  <c:v>108.79999999999998</c:v>
                </c:pt>
                <c:pt idx="382">
                  <c:v>109.1</c:v>
                </c:pt>
                <c:pt idx="383">
                  <c:v>109.4</c:v>
                </c:pt>
                <c:pt idx="384">
                  <c:v>109.69999999999999</c:v>
                </c:pt>
                <c:pt idx="385">
                  <c:v>110</c:v>
                </c:pt>
                <c:pt idx="386">
                  <c:v>110.19999999999999</c:v>
                </c:pt>
                <c:pt idx="387">
                  <c:v>110.5</c:v>
                </c:pt>
                <c:pt idx="388">
                  <c:v>110.79999999999998</c:v>
                </c:pt>
                <c:pt idx="389">
                  <c:v>111.1</c:v>
                </c:pt>
                <c:pt idx="390">
                  <c:v>111.4</c:v>
                </c:pt>
                <c:pt idx="391">
                  <c:v>111.69999999999999</c:v>
                </c:pt>
                <c:pt idx="392">
                  <c:v>112</c:v>
                </c:pt>
                <c:pt idx="393">
                  <c:v>112.19999999999999</c:v>
                </c:pt>
                <c:pt idx="394">
                  <c:v>112.5</c:v>
                </c:pt>
                <c:pt idx="395">
                  <c:v>112.79999999999998</c:v>
                </c:pt>
                <c:pt idx="396">
                  <c:v>113.1</c:v>
                </c:pt>
                <c:pt idx="397">
                  <c:v>113.4</c:v>
                </c:pt>
                <c:pt idx="398">
                  <c:v>113.69999999999999</c:v>
                </c:pt>
                <c:pt idx="399">
                  <c:v>114</c:v>
                </c:pt>
                <c:pt idx="400">
                  <c:v>114.19999999999999</c:v>
                </c:pt>
                <c:pt idx="401">
                  <c:v>114.5</c:v>
                </c:pt>
                <c:pt idx="402">
                  <c:v>114.79999999999998</c:v>
                </c:pt>
                <c:pt idx="403">
                  <c:v>115.1</c:v>
                </c:pt>
                <c:pt idx="404">
                  <c:v>115.4</c:v>
                </c:pt>
                <c:pt idx="405">
                  <c:v>115.69999999999999</c:v>
                </c:pt>
                <c:pt idx="406">
                  <c:v>116</c:v>
                </c:pt>
                <c:pt idx="407">
                  <c:v>116.19999999999999</c:v>
                </c:pt>
                <c:pt idx="408">
                  <c:v>116.5</c:v>
                </c:pt>
                <c:pt idx="409">
                  <c:v>116.79999999999998</c:v>
                </c:pt>
                <c:pt idx="410">
                  <c:v>117.1</c:v>
                </c:pt>
                <c:pt idx="411">
                  <c:v>117.4</c:v>
                </c:pt>
                <c:pt idx="412">
                  <c:v>117.69999999999999</c:v>
                </c:pt>
                <c:pt idx="413">
                  <c:v>118</c:v>
                </c:pt>
                <c:pt idx="414">
                  <c:v>118.19999999999999</c:v>
                </c:pt>
                <c:pt idx="415">
                  <c:v>118.5</c:v>
                </c:pt>
                <c:pt idx="416">
                  <c:v>118.79999999999998</c:v>
                </c:pt>
                <c:pt idx="417">
                  <c:v>119.1</c:v>
                </c:pt>
                <c:pt idx="418">
                  <c:v>119.4</c:v>
                </c:pt>
                <c:pt idx="419">
                  <c:v>119.69999999999999</c:v>
                </c:pt>
                <c:pt idx="420">
                  <c:v>120</c:v>
                </c:pt>
                <c:pt idx="421">
                  <c:v>120.19999999999999</c:v>
                </c:pt>
                <c:pt idx="422">
                  <c:v>120.5</c:v>
                </c:pt>
                <c:pt idx="423">
                  <c:v>120.79999999999998</c:v>
                </c:pt>
                <c:pt idx="424">
                  <c:v>121.1</c:v>
                </c:pt>
                <c:pt idx="425">
                  <c:v>121.4</c:v>
                </c:pt>
                <c:pt idx="426">
                  <c:v>121.69999999999999</c:v>
                </c:pt>
                <c:pt idx="427">
                  <c:v>122</c:v>
                </c:pt>
                <c:pt idx="428">
                  <c:v>122.19999999999999</c:v>
                </c:pt>
                <c:pt idx="429">
                  <c:v>122.5</c:v>
                </c:pt>
                <c:pt idx="430">
                  <c:v>122.79999999999998</c:v>
                </c:pt>
                <c:pt idx="431">
                  <c:v>123.1</c:v>
                </c:pt>
                <c:pt idx="432">
                  <c:v>123.4</c:v>
                </c:pt>
                <c:pt idx="433">
                  <c:v>123.69999999999999</c:v>
                </c:pt>
                <c:pt idx="434">
                  <c:v>124</c:v>
                </c:pt>
                <c:pt idx="435">
                  <c:v>124.19999999999999</c:v>
                </c:pt>
                <c:pt idx="436">
                  <c:v>124.5</c:v>
                </c:pt>
                <c:pt idx="437">
                  <c:v>124.79999999999998</c:v>
                </c:pt>
                <c:pt idx="438">
                  <c:v>125.1</c:v>
                </c:pt>
                <c:pt idx="439">
                  <c:v>125.4</c:v>
                </c:pt>
                <c:pt idx="440">
                  <c:v>125.69999999999999</c:v>
                </c:pt>
                <c:pt idx="441">
                  <c:v>126</c:v>
                </c:pt>
                <c:pt idx="442">
                  <c:v>126.19999999999999</c:v>
                </c:pt>
                <c:pt idx="443">
                  <c:v>126.5</c:v>
                </c:pt>
                <c:pt idx="444">
                  <c:v>126.79999999999998</c:v>
                </c:pt>
                <c:pt idx="445">
                  <c:v>127.1</c:v>
                </c:pt>
                <c:pt idx="446">
                  <c:v>127.4</c:v>
                </c:pt>
                <c:pt idx="447">
                  <c:v>127.69999999999999</c:v>
                </c:pt>
                <c:pt idx="448">
                  <c:v>128</c:v>
                </c:pt>
                <c:pt idx="449">
                  <c:v>128.19999999999999</c:v>
                </c:pt>
                <c:pt idx="450">
                  <c:v>128.5</c:v>
                </c:pt>
                <c:pt idx="451">
                  <c:v>128.79999999999998</c:v>
                </c:pt>
                <c:pt idx="452">
                  <c:v>129.1</c:v>
                </c:pt>
                <c:pt idx="453">
                  <c:v>129.4</c:v>
                </c:pt>
                <c:pt idx="454">
                  <c:v>129.69999999999999</c:v>
                </c:pt>
                <c:pt idx="455">
                  <c:v>130</c:v>
                </c:pt>
                <c:pt idx="456">
                  <c:v>130.19999999999999</c:v>
                </c:pt>
                <c:pt idx="457">
                  <c:v>130.5</c:v>
                </c:pt>
                <c:pt idx="458">
                  <c:v>130.79999999999998</c:v>
                </c:pt>
                <c:pt idx="459">
                  <c:v>131.1</c:v>
                </c:pt>
                <c:pt idx="460">
                  <c:v>131.4</c:v>
                </c:pt>
                <c:pt idx="461">
                  <c:v>131.69999999999999</c:v>
                </c:pt>
                <c:pt idx="462">
                  <c:v>132</c:v>
                </c:pt>
                <c:pt idx="463">
                  <c:v>132.19999999999999</c:v>
                </c:pt>
                <c:pt idx="464">
                  <c:v>132.5</c:v>
                </c:pt>
                <c:pt idx="465">
                  <c:v>132.79999999999998</c:v>
                </c:pt>
                <c:pt idx="466">
                  <c:v>133.1</c:v>
                </c:pt>
                <c:pt idx="467">
                  <c:v>133.4</c:v>
                </c:pt>
                <c:pt idx="468">
                  <c:v>133.69999999999999</c:v>
                </c:pt>
                <c:pt idx="469">
                  <c:v>134</c:v>
                </c:pt>
                <c:pt idx="470">
                  <c:v>134.19999999999999</c:v>
                </c:pt>
                <c:pt idx="471">
                  <c:v>134.5</c:v>
                </c:pt>
                <c:pt idx="472">
                  <c:v>134.79999999999998</c:v>
                </c:pt>
                <c:pt idx="473">
                  <c:v>135.1</c:v>
                </c:pt>
                <c:pt idx="474">
                  <c:v>135.4</c:v>
                </c:pt>
                <c:pt idx="475">
                  <c:v>135.69999999999999</c:v>
                </c:pt>
                <c:pt idx="476">
                  <c:v>136</c:v>
                </c:pt>
                <c:pt idx="477">
                  <c:v>136.19999999999999</c:v>
                </c:pt>
                <c:pt idx="478">
                  <c:v>136.5</c:v>
                </c:pt>
                <c:pt idx="479">
                  <c:v>136.79999999999998</c:v>
                </c:pt>
                <c:pt idx="480">
                  <c:v>137.1</c:v>
                </c:pt>
                <c:pt idx="481">
                  <c:v>137.4</c:v>
                </c:pt>
                <c:pt idx="482">
                  <c:v>137.69999999999999</c:v>
                </c:pt>
                <c:pt idx="483">
                  <c:v>138</c:v>
                </c:pt>
                <c:pt idx="484">
                  <c:v>138.19999999999999</c:v>
                </c:pt>
                <c:pt idx="485">
                  <c:v>138.5</c:v>
                </c:pt>
                <c:pt idx="486">
                  <c:v>138.79999999999998</c:v>
                </c:pt>
                <c:pt idx="487">
                  <c:v>139.1</c:v>
                </c:pt>
                <c:pt idx="488">
                  <c:v>139.4</c:v>
                </c:pt>
                <c:pt idx="489">
                  <c:v>139.69999999999999</c:v>
                </c:pt>
                <c:pt idx="490">
                  <c:v>140</c:v>
                </c:pt>
                <c:pt idx="491">
                  <c:v>140.19999999999999</c:v>
                </c:pt>
                <c:pt idx="492">
                  <c:v>140.5</c:v>
                </c:pt>
                <c:pt idx="493">
                  <c:v>140.79999999999998</c:v>
                </c:pt>
              </c:numCache>
            </c:numRef>
          </c:xVal>
          <c:yVal>
            <c:numRef>
              <c:f>'sheet 1'!$R$39:$R$841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21-4875-B88C-B488B95351CA}"/>
            </c:ext>
          </c:extLst>
        </c:ser>
        <c:ser>
          <c:idx val="5"/>
          <c:order val="5"/>
          <c:tx>
            <c:strRef>
              <c:f>'sheet 1'!$S$38</c:f>
              <c:strCache>
                <c:ptCount val="1"/>
                <c:pt idx="0">
                  <c:v>I4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0.20000000000000284</c:v>
                </c:pt>
                <c:pt idx="2">
                  <c:v>0.5</c:v>
                </c:pt>
                <c:pt idx="3">
                  <c:v>0.80000000000000426</c:v>
                </c:pt>
                <c:pt idx="4">
                  <c:v>1.1000000000000014</c:v>
                </c:pt>
                <c:pt idx="5">
                  <c:v>1.3999999999999986</c:v>
                </c:pt>
                <c:pt idx="6">
                  <c:v>1.7000000000000028</c:v>
                </c:pt>
                <c:pt idx="7">
                  <c:v>2</c:v>
                </c:pt>
                <c:pt idx="8">
                  <c:v>2.2000000000000028</c:v>
                </c:pt>
                <c:pt idx="9">
                  <c:v>2.5</c:v>
                </c:pt>
                <c:pt idx="10">
                  <c:v>2.8000000000000043</c:v>
                </c:pt>
                <c:pt idx="11">
                  <c:v>3.1000000000000014</c:v>
                </c:pt>
                <c:pt idx="12">
                  <c:v>3.3999999999999986</c:v>
                </c:pt>
                <c:pt idx="13">
                  <c:v>3.7000000000000028</c:v>
                </c:pt>
                <c:pt idx="14">
                  <c:v>4</c:v>
                </c:pt>
                <c:pt idx="15">
                  <c:v>4.2000000000000028</c:v>
                </c:pt>
                <c:pt idx="16">
                  <c:v>4.5</c:v>
                </c:pt>
                <c:pt idx="17">
                  <c:v>4.8000000000000043</c:v>
                </c:pt>
                <c:pt idx="18">
                  <c:v>5.1000000000000014</c:v>
                </c:pt>
                <c:pt idx="19">
                  <c:v>5.3999999999999986</c:v>
                </c:pt>
                <c:pt idx="20">
                  <c:v>5.6999999999999957</c:v>
                </c:pt>
                <c:pt idx="21">
                  <c:v>6.0000000000000071</c:v>
                </c:pt>
                <c:pt idx="22">
                  <c:v>6.1999999999999957</c:v>
                </c:pt>
                <c:pt idx="23">
                  <c:v>6.5000000000000071</c:v>
                </c:pt>
                <c:pt idx="24">
                  <c:v>6.8000000000000043</c:v>
                </c:pt>
                <c:pt idx="25">
                  <c:v>7.1000000000000014</c:v>
                </c:pt>
                <c:pt idx="26">
                  <c:v>7.3999999999999986</c:v>
                </c:pt>
                <c:pt idx="27">
                  <c:v>7.6999999999999957</c:v>
                </c:pt>
                <c:pt idx="28">
                  <c:v>8.0000000000000071</c:v>
                </c:pt>
                <c:pt idx="29">
                  <c:v>8.1999999999999957</c:v>
                </c:pt>
                <c:pt idx="30">
                  <c:v>8.5000000000000071</c:v>
                </c:pt>
                <c:pt idx="31">
                  <c:v>8.8000000000000043</c:v>
                </c:pt>
                <c:pt idx="32">
                  <c:v>9.1000000000000014</c:v>
                </c:pt>
                <c:pt idx="33">
                  <c:v>9.3999999999999986</c:v>
                </c:pt>
                <c:pt idx="34">
                  <c:v>9.6999999999999957</c:v>
                </c:pt>
                <c:pt idx="35">
                  <c:v>10.000000000000007</c:v>
                </c:pt>
                <c:pt idx="36">
                  <c:v>10.199999999999996</c:v>
                </c:pt>
                <c:pt idx="37">
                  <c:v>10.500000000000007</c:v>
                </c:pt>
                <c:pt idx="38">
                  <c:v>10.800000000000004</c:v>
                </c:pt>
                <c:pt idx="39">
                  <c:v>11.100000000000001</c:v>
                </c:pt>
                <c:pt idx="40">
                  <c:v>11.399999999999999</c:v>
                </c:pt>
                <c:pt idx="41">
                  <c:v>11.699999999999996</c:v>
                </c:pt>
                <c:pt idx="42">
                  <c:v>12.000000000000007</c:v>
                </c:pt>
                <c:pt idx="43">
                  <c:v>12.199999999999996</c:v>
                </c:pt>
                <c:pt idx="44">
                  <c:v>12.500000000000007</c:v>
                </c:pt>
                <c:pt idx="45">
                  <c:v>12.800000000000004</c:v>
                </c:pt>
                <c:pt idx="46">
                  <c:v>13.100000000000001</c:v>
                </c:pt>
                <c:pt idx="47">
                  <c:v>13.399999999999999</c:v>
                </c:pt>
                <c:pt idx="48">
                  <c:v>13.699999999999996</c:v>
                </c:pt>
                <c:pt idx="49">
                  <c:v>14.000000000000007</c:v>
                </c:pt>
                <c:pt idx="50">
                  <c:v>14.199999999999996</c:v>
                </c:pt>
                <c:pt idx="51">
                  <c:v>14.500000000000007</c:v>
                </c:pt>
                <c:pt idx="52">
                  <c:v>14.800000000000004</c:v>
                </c:pt>
                <c:pt idx="53">
                  <c:v>15.100000000000001</c:v>
                </c:pt>
                <c:pt idx="54">
                  <c:v>15.399999999999999</c:v>
                </c:pt>
                <c:pt idx="55">
                  <c:v>15.699999999999996</c:v>
                </c:pt>
                <c:pt idx="56">
                  <c:v>16.000000000000007</c:v>
                </c:pt>
                <c:pt idx="57">
                  <c:v>16.199999999999996</c:v>
                </c:pt>
                <c:pt idx="58">
                  <c:v>16.500000000000007</c:v>
                </c:pt>
                <c:pt idx="59">
                  <c:v>16.800000000000004</c:v>
                </c:pt>
                <c:pt idx="60">
                  <c:v>17.100000000000001</c:v>
                </c:pt>
                <c:pt idx="61">
                  <c:v>17.399999999999999</c:v>
                </c:pt>
                <c:pt idx="62">
                  <c:v>17.699999999999996</c:v>
                </c:pt>
                <c:pt idx="63">
                  <c:v>18.000000000000007</c:v>
                </c:pt>
                <c:pt idx="64">
                  <c:v>18.199999999999996</c:v>
                </c:pt>
                <c:pt idx="65">
                  <c:v>18.500000000000007</c:v>
                </c:pt>
                <c:pt idx="66">
                  <c:v>18.800000000000004</c:v>
                </c:pt>
                <c:pt idx="67">
                  <c:v>19.100000000000001</c:v>
                </c:pt>
                <c:pt idx="68">
                  <c:v>19.399999999999999</c:v>
                </c:pt>
                <c:pt idx="69">
                  <c:v>19.699999999999996</c:v>
                </c:pt>
                <c:pt idx="70">
                  <c:v>20.000000000000007</c:v>
                </c:pt>
                <c:pt idx="71">
                  <c:v>20.199999999999996</c:v>
                </c:pt>
                <c:pt idx="72">
                  <c:v>20.500000000000007</c:v>
                </c:pt>
                <c:pt idx="73">
                  <c:v>20.800000000000004</c:v>
                </c:pt>
                <c:pt idx="74">
                  <c:v>21.1</c:v>
                </c:pt>
                <c:pt idx="75">
                  <c:v>21.4</c:v>
                </c:pt>
                <c:pt idx="76">
                  <c:v>21.699999999999996</c:v>
                </c:pt>
                <c:pt idx="77">
                  <c:v>22.000000000000007</c:v>
                </c:pt>
                <c:pt idx="78">
                  <c:v>22.199999999999996</c:v>
                </c:pt>
                <c:pt idx="79">
                  <c:v>22.500000000000007</c:v>
                </c:pt>
                <c:pt idx="80">
                  <c:v>22.800000000000004</c:v>
                </c:pt>
                <c:pt idx="81">
                  <c:v>23.1</c:v>
                </c:pt>
                <c:pt idx="82">
                  <c:v>23.4</c:v>
                </c:pt>
                <c:pt idx="83">
                  <c:v>23.699999999999996</c:v>
                </c:pt>
                <c:pt idx="84">
                  <c:v>24.000000000000007</c:v>
                </c:pt>
                <c:pt idx="85">
                  <c:v>24.199999999999996</c:v>
                </c:pt>
                <c:pt idx="86">
                  <c:v>24.500000000000007</c:v>
                </c:pt>
                <c:pt idx="87">
                  <c:v>24.800000000000004</c:v>
                </c:pt>
                <c:pt idx="88">
                  <c:v>25.1</c:v>
                </c:pt>
                <c:pt idx="89">
                  <c:v>25.4</c:v>
                </c:pt>
                <c:pt idx="90">
                  <c:v>25.699999999999996</c:v>
                </c:pt>
                <c:pt idx="91">
                  <c:v>26.000000000000007</c:v>
                </c:pt>
                <c:pt idx="92">
                  <c:v>26.199999999999996</c:v>
                </c:pt>
                <c:pt idx="93">
                  <c:v>26.500000000000007</c:v>
                </c:pt>
                <c:pt idx="94">
                  <c:v>26.800000000000004</c:v>
                </c:pt>
                <c:pt idx="95">
                  <c:v>27.1</c:v>
                </c:pt>
                <c:pt idx="96">
                  <c:v>27.4</c:v>
                </c:pt>
                <c:pt idx="97">
                  <c:v>27.699999999999996</c:v>
                </c:pt>
                <c:pt idx="98">
                  <c:v>28.000000000000007</c:v>
                </c:pt>
                <c:pt idx="99">
                  <c:v>28.199999999999996</c:v>
                </c:pt>
                <c:pt idx="100">
                  <c:v>28.500000000000007</c:v>
                </c:pt>
                <c:pt idx="101">
                  <c:v>28.800000000000004</c:v>
                </c:pt>
                <c:pt idx="102">
                  <c:v>29.1</c:v>
                </c:pt>
                <c:pt idx="103">
                  <c:v>29.4</c:v>
                </c:pt>
                <c:pt idx="104">
                  <c:v>29.699999999999996</c:v>
                </c:pt>
                <c:pt idx="105">
                  <c:v>30.000000000000007</c:v>
                </c:pt>
                <c:pt idx="106">
                  <c:v>30.199999999999996</c:v>
                </c:pt>
                <c:pt idx="107">
                  <c:v>30.500000000000007</c:v>
                </c:pt>
                <c:pt idx="108">
                  <c:v>30.800000000000004</c:v>
                </c:pt>
                <c:pt idx="109">
                  <c:v>31.1</c:v>
                </c:pt>
                <c:pt idx="110">
                  <c:v>31.4</c:v>
                </c:pt>
                <c:pt idx="111">
                  <c:v>31.699999999999996</c:v>
                </c:pt>
                <c:pt idx="112">
                  <c:v>32.000000000000007</c:v>
                </c:pt>
                <c:pt idx="113">
                  <c:v>32.199999999999996</c:v>
                </c:pt>
                <c:pt idx="114">
                  <c:v>32.500000000000007</c:v>
                </c:pt>
                <c:pt idx="115">
                  <c:v>32.800000000000004</c:v>
                </c:pt>
                <c:pt idx="116">
                  <c:v>33.1</c:v>
                </c:pt>
                <c:pt idx="117">
                  <c:v>33.4</c:v>
                </c:pt>
                <c:pt idx="118">
                  <c:v>33.699999999999996</c:v>
                </c:pt>
                <c:pt idx="119">
                  <c:v>34.000000000000007</c:v>
                </c:pt>
                <c:pt idx="120">
                  <c:v>34.199999999999996</c:v>
                </c:pt>
                <c:pt idx="121">
                  <c:v>34.500000000000007</c:v>
                </c:pt>
                <c:pt idx="122">
                  <c:v>34.800000000000004</c:v>
                </c:pt>
                <c:pt idx="123">
                  <c:v>35.1</c:v>
                </c:pt>
                <c:pt idx="124">
                  <c:v>35.4</c:v>
                </c:pt>
                <c:pt idx="125">
                  <c:v>35.699999999999996</c:v>
                </c:pt>
                <c:pt idx="126">
                  <c:v>36.000000000000007</c:v>
                </c:pt>
                <c:pt idx="127">
                  <c:v>36.199999999999996</c:v>
                </c:pt>
                <c:pt idx="128">
                  <c:v>36.500000000000007</c:v>
                </c:pt>
                <c:pt idx="129">
                  <c:v>36.800000000000004</c:v>
                </c:pt>
                <c:pt idx="130">
                  <c:v>37.1</c:v>
                </c:pt>
                <c:pt idx="131">
                  <c:v>37.4</c:v>
                </c:pt>
                <c:pt idx="132">
                  <c:v>37.699999999999996</c:v>
                </c:pt>
                <c:pt idx="133">
                  <c:v>38.000000000000007</c:v>
                </c:pt>
                <c:pt idx="134">
                  <c:v>38.199999999999996</c:v>
                </c:pt>
                <c:pt idx="135">
                  <c:v>38.500000000000007</c:v>
                </c:pt>
                <c:pt idx="136">
                  <c:v>38.800000000000004</c:v>
                </c:pt>
                <c:pt idx="137">
                  <c:v>39.1</c:v>
                </c:pt>
                <c:pt idx="138">
                  <c:v>39.4</c:v>
                </c:pt>
                <c:pt idx="139">
                  <c:v>39.699999999999996</c:v>
                </c:pt>
                <c:pt idx="140">
                  <c:v>40.000000000000007</c:v>
                </c:pt>
                <c:pt idx="141">
                  <c:v>40.199999999999996</c:v>
                </c:pt>
                <c:pt idx="142">
                  <c:v>40.500000000000007</c:v>
                </c:pt>
                <c:pt idx="143">
                  <c:v>40.800000000000004</c:v>
                </c:pt>
                <c:pt idx="144">
                  <c:v>41.1</c:v>
                </c:pt>
                <c:pt idx="145">
                  <c:v>41.4</c:v>
                </c:pt>
                <c:pt idx="146">
                  <c:v>41.699999999999996</c:v>
                </c:pt>
                <c:pt idx="147">
                  <c:v>42.000000000000007</c:v>
                </c:pt>
                <c:pt idx="148">
                  <c:v>42.199999999999996</c:v>
                </c:pt>
                <c:pt idx="149">
                  <c:v>42.500000000000007</c:v>
                </c:pt>
                <c:pt idx="150">
                  <c:v>42.800000000000004</c:v>
                </c:pt>
                <c:pt idx="151">
                  <c:v>43.1</c:v>
                </c:pt>
                <c:pt idx="152">
                  <c:v>43.4</c:v>
                </c:pt>
                <c:pt idx="153">
                  <c:v>43.699999999999996</c:v>
                </c:pt>
                <c:pt idx="154">
                  <c:v>44.000000000000007</c:v>
                </c:pt>
                <c:pt idx="155">
                  <c:v>44.199999999999996</c:v>
                </c:pt>
                <c:pt idx="156">
                  <c:v>44.500000000000007</c:v>
                </c:pt>
                <c:pt idx="157">
                  <c:v>44.800000000000004</c:v>
                </c:pt>
                <c:pt idx="158">
                  <c:v>45.1</c:v>
                </c:pt>
                <c:pt idx="159">
                  <c:v>45.4</c:v>
                </c:pt>
                <c:pt idx="160">
                  <c:v>45.699999999999996</c:v>
                </c:pt>
                <c:pt idx="161">
                  <c:v>46.000000000000007</c:v>
                </c:pt>
                <c:pt idx="162">
                  <c:v>46.199999999999996</c:v>
                </c:pt>
                <c:pt idx="163">
                  <c:v>46.500000000000007</c:v>
                </c:pt>
                <c:pt idx="164">
                  <c:v>46.800000000000004</c:v>
                </c:pt>
                <c:pt idx="165">
                  <c:v>47.1</c:v>
                </c:pt>
                <c:pt idx="166">
                  <c:v>47.4</c:v>
                </c:pt>
                <c:pt idx="167">
                  <c:v>47.699999999999996</c:v>
                </c:pt>
                <c:pt idx="168">
                  <c:v>48.000000000000007</c:v>
                </c:pt>
                <c:pt idx="169">
                  <c:v>48.199999999999996</c:v>
                </c:pt>
                <c:pt idx="170">
                  <c:v>48.500000000000007</c:v>
                </c:pt>
                <c:pt idx="171">
                  <c:v>48.800000000000004</c:v>
                </c:pt>
                <c:pt idx="172">
                  <c:v>49.1</c:v>
                </c:pt>
                <c:pt idx="173">
                  <c:v>49.4</c:v>
                </c:pt>
                <c:pt idx="174">
                  <c:v>49.699999999999996</c:v>
                </c:pt>
                <c:pt idx="175">
                  <c:v>50.000000000000007</c:v>
                </c:pt>
                <c:pt idx="176">
                  <c:v>50.199999999999996</c:v>
                </c:pt>
                <c:pt idx="177">
                  <c:v>50.500000000000007</c:v>
                </c:pt>
                <c:pt idx="178">
                  <c:v>50.800000000000004</c:v>
                </c:pt>
                <c:pt idx="179">
                  <c:v>51.1</c:v>
                </c:pt>
                <c:pt idx="180">
                  <c:v>51.4</c:v>
                </c:pt>
                <c:pt idx="181">
                  <c:v>51.699999999999996</c:v>
                </c:pt>
                <c:pt idx="182">
                  <c:v>52.000000000000007</c:v>
                </c:pt>
                <c:pt idx="183">
                  <c:v>52.199999999999996</c:v>
                </c:pt>
                <c:pt idx="184">
                  <c:v>52.500000000000007</c:v>
                </c:pt>
                <c:pt idx="185">
                  <c:v>52.800000000000004</c:v>
                </c:pt>
                <c:pt idx="186">
                  <c:v>53.1</c:v>
                </c:pt>
                <c:pt idx="187">
                  <c:v>53.4</c:v>
                </c:pt>
                <c:pt idx="188">
                  <c:v>53.699999999999996</c:v>
                </c:pt>
                <c:pt idx="189">
                  <c:v>54.000000000000007</c:v>
                </c:pt>
                <c:pt idx="190">
                  <c:v>54.199999999999996</c:v>
                </c:pt>
                <c:pt idx="191">
                  <c:v>54.500000000000007</c:v>
                </c:pt>
                <c:pt idx="192">
                  <c:v>54.800000000000004</c:v>
                </c:pt>
                <c:pt idx="193">
                  <c:v>55.1</c:v>
                </c:pt>
                <c:pt idx="194">
                  <c:v>55.4</c:v>
                </c:pt>
                <c:pt idx="195">
                  <c:v>55.699999999999996</c:v>
                </c:pt>
                <c:pt idx="196">
                  <c:v>56.000000000000007</c:v>
                </c:pt>
                <c:pt idx="197">
                  <c:v>56.199999999999996</c:v>
                </c:pt>
                <c:pt idx="198">
                  <c:v>56.500000000000007</c:v>
                </c:pt>
                <c:pt idx="199">
                  <c:v>56.800000000000004</c:v>
                </c:pt>
                <c:pt idx="200">
                  <c:v>57.1</c:v>
                </c:pt>
                <c:pt idx="201">
                  <c:v>57.4</c:v>
                </c:pt>
                <c:pt idx="202">
                  <c:v>57.699999999999996</c:v>
                </c:pt>
                <c:pt idx="203">
                  <c:v>58.000000000000007</c:v>
                </c:pt>
                <c:pt idx="204">
                  <c:v>58.199999999999996</c:v>
                </c:pt>
                <c:pt idx="205">
                  <c:v>58.500000000000007</c:v>
                </c:pt>
                <c:pt idx="206">
                  <c:v>58.800000000000004</c:v>
                </c:pt>
                <c:pt idx="207">
                  <c:v>59.1</c:v>
                </c:pt>
                <c:pt idx="208">
                  <c:v>59.4</c:v>
                </c:pt>
                <c:pt idx="209">
                  <c:v>59.699999999999996</c:v>
                </c:pt>
                <c:pt idx="210">
                  <c:v>60.000000000000007</c:v>
                </c:pt>
                <c:pt idx="211">
                  <c:v>60.199999999999996</c:v>
                </c:pt>
                <c:pt idx="212">
                  <c:v>60.500000000000007</c:v>
                </c:pt>
                <c:pt idx="213">
                  <c:v>60.800000000000004</c:v>
                </c:pt>
                <c:pt idx="214">
                  <c:v>61.1</c:v>
                </c:pt>
                <c:pt idx="215">
                  <c:v>61.4</c:v>
                </c:pt>
                <c:pt idx="216">
                  <c:v>61.699999999999996</c:v>
                </c:pt>
                <c:pt idx="217">
                  <c:v>62.000000000000007</c:v>
                </c:pt>
                <c:pt idx="218">
                  <c:v>62.199999999999996</c:v>
                </c:pt>
                <c:pt idx="219">
                  <c:v>62.500000000000007</c:v>
                </c:pt>
                <c:pt idx="220">
                  <c:v>62.800000000000004</c:v>
                </c:pt>
                <c:pt idx="221">
                  <c:v>63.1</c:v>
                </c:pt>
                <c:pt idx="222">
                  <c:v>63.4</c:v>
                </c:pt>
                <c:pt idx="223">
                  <c:v>63.699999999999996</c:v>
                </c:pt>
                <c:pt idx="224">
                  <c:v>64</c:v>
                </c:pt>
                <c:pt idx="225">
                  <c:v>64.199999999999989</c:v>
                </c:pt>
                <c:pt idx="226">
                  <c:v>64.5</c:v>
                </c:pt>
                <c:pt idx="227">
                  <c:v>64.800000000000011</c:v>
                </c:pt>
                <c:pt idx="228">
                  <c:v>65.099999999999994</c:v>
                </c:pt>
                <c:pt idx="229">
                  <c:v>65.400000000000006</c:v>
                </c:pt>
                <c:pt idx="230">
                  <c:v>65.699999999999989</c:v>
                </c:pt>
                <c:pt idx="231">
                  <c:v>66</c:v>
                </c:pt>
                <c:pt idx="232">
                  <c:v>66.199999999999989</c:v>
                </c:pt>
                <c:pt idx="233">
                  <c:v>66.5</c:v>
                </c:pt>
                <c:pt idx="234">
                  <c:v>66.800000000000011</c:v>
                </c:pt>
                <c:pt idx="235">
                  <c:v>67.099999999999994</c:v>
                </c:pt>
                <c:pt idx="236">
                  <c:v>67.400000000000006</c:v>
                </c:pt>
                <c:pt idx="237">
                  <c:v>67.699999999999989</c:v>
                </c:pt>
                <c:pt idx="238">
                  <c:v>68</c:v>
                </c:pt>
                <c:pt idx="239">
                  <c:v>68.199999999999989</c:v>
                </c:pt>
                <c:pt idx="240">
                  <c:v>68.5</c:v>
                </c:pt>
                <c:pt idx="241">
                  <c:v>68.800000000000011</c:v>
                </c:pt>
                <c:pt idx="242">
                  <c:v>69.099999999999994</c:v>
                </c:pt>
                <c:pt idx="243">
                  <c:v>69.400000000000006</c:v>
                </c:pt>
                <c:pt idx="244">
                  <c:v>69.699999999999989</c:v>
                </c:pt>
                <c:pt idx="245">
                  <c:v>70</c:v>
                </c:pt>
                <c:pt idx="246">
                  <c:v>70.199999999999989</c:v>
                </c:pt>
                <c:pt idx="247">
                  <c:v>70.5</c:v>
                </c:pt>
                <c:pt idx="248">
                  <c:v>70.799999999999983</c:v>
                </c:pt>
                <c:pt idx="249">
                  <c:v>71.099999999999994</c:v>
                </c:pt>
                <c:pt idx="250">
                  <c:v>71.400000000000006</c:v>
                </c:pt>
                <c:pt idx="251">
                  <c:v>71.699999999999989</c:v>
                </c:pt>
                <c:pt idx="252">
                  <c:v>72</c:v>
                </c:pt>
                <c:pt idx="253">
                  <c:v>72.199999999999989</c:v>
                </c:pt>
                <c:pt idx="254">
                  <c:v>72.5</c:v>
                </c:pt>
                <c:pt idx="255">
                  <c:v>72.799999999999983</c:v>
                </c:pt>
                <c:pt idx="256">
                  <c:v>73.099999999999994</c:v>
                </c:pt>
                <c:pt idx="257">
                  <c:v>73.400000000000006</c:v>
                </c:pt>
                <c:pt idx="258">
                  <c:v>73.699999999999989</c:v>
                </c:pt>
                <c:pt idx="259">
                  <c:v>74</c:v>
                </c:pt>
                <c:pt idx="260">
                  <c:v>74.199999999999989</c:v>
                </c:pt>
                <c:pt idx="261">
                  <c:v>74.5</c:v>
                </c:pt>
                <c:pt idx="262">
                  <c:v>74.799999999999983</c:v>
                </c:pt>
                <c:pt idx="263">
                  <c:v>75.099999999999994</c:v>
                </c:pt>
                <c:pt idx="264">
                  <c:v>75.400000000000006</c:v>
                </c:pt>
                <c:pt idx="265">
                  <c:v>75.699999999999989</c:v>
                </c:pt>
                <c:pt idx="266">
                  <c:v>76</c:v>
                </c:pt>
                <c:pt idx="267">
                  <c:v>76.199999999999989</c:v>
                </c:pt>
                <c:pt idx="268">
                  <c:v>76.5</c:v>
                </c:pt>
                <c:pt idx="269">
                  <c:v>76.799999999999983</c:v>
                </c:pt>
                <c:pt idx="270">
                  <c:v>77.099999999999994</c:v>
                </c:pt>
                <c:pt idx="271">
                  <c:v>77.400000000000006</c:v>
                </c:pt>
                <c:pt idx="272">
                  <c:v>77.699999999999989</c:v>
                </c:pt>
                <c:pt idx="273">
                  <c:v>78</c:v>
                </c:pt>
                <c:pt idx="274">
                  <c:v>78.199999999999989</c:v>
                </c:pt>
                <c:pt idx="275">
                  <c:v>78.5</c:v>
                </c:pt>
                <c:pt idx="276">
                  <c:v>78.799999999999983</c:v>
                </c:pt>
                <c:pt idx="277">
                  <c:v>79.099999999999994</c:v>
                </c:pt>
                <c:pt idx="278">
                  <c:v>79.400000000000006</c:v>
                </c:pt>
                <c:pt idx="279">
                  <c:v>79.699999999999989</c:v>
                </c:pt>
                <c:pt idx="280">
                  <c:v>80</c:v>
                </c:pt>
                <c:pt idx="281">
                  <c:v>80.199999999999989</c:v>
                </c:pt>
                <c:pt idx="282">
                  <c:v>80.5</c:v>
                </c:pt>
                <c:pt idx="283">
                  <c:v>80.799999999999983</c:v>
                </c:pt>
                <c:pt idx="284">
                  <c:v>81.099999999999994</c:v>
                </c:pt>
                <c:pt idx="285">
                  <c:v>81.400000000000006</c:v>
                </c:pt>
                <c:pt idx="286">
                  <c:v>81.699999999999989</c:v>
                </c:pt>
                <c:pt idx="287">
                  <c:v>82</c:v>
                </c:pt>
                <c:pt idx="288">
                  <c:v>82.199999999999989</c:v>
                </c:pt>
                <c:pt idx="289">
                  <c:v>82.5</c:v>
                </c:pt>
                <c:pt idx="290">
                  <c:v>82.799999999999983</c:v>
                </c:pt>
                <c:pt idx="291">
                  <c:v>83.1</c:v>
                </c:pt>
                <c:pt idx="292">
                  <c:v>83.4</c:v>
                </c:pt>
                <c:pt idx="293">
                  <c:v>83.699999999999989</c:v>
                </c:pt>
                <c:pt idx="294">
                  <c:v>84</c:v>
                </c:pt>
                <c:pt idx="295">
                  <c:v>84.199999999999989</c:v>
                </c:pt>
                <c:pt idx="296">
                  <c:v>84.5</c:v>
                </c:pt>
                <c:pt idx="297">
                  <c:v>84.799999999999983</c:v>
                </c:pt>
                <c:pt idx="298">
                  <c:v>85.1</c:v>
                </c:pt>
                <c:pt idx="299">
                  <c:v>85.4</c:v>
                </c:pt>
                <c:pt idx="300">
                  <c:v>85.699999999999989</c:v>
                </c:pt>
                <c:pt idx="301">
                  <c:v>86</c:v>
                </c:pt>
                <c:pt idx="302">
                  <c:v>86.199999999999989</c:v>
                </c:pt>
                <c:pt idx="303">
                  <c:v>86.5</c:v>
                </c:pt>
                <c:pt idx="304">
                  <c:v>86.799999999999983</c:v>
                </c:pt>
                <c:pt idx="305">
                  <c:v>87.1</c:v>
                </c:pt>
                <c:pt idx="306">
                  <c:v>87.4</c:v>
                </c:pt>
                <c:pt idx="307">
                  <c:v>87.699999999999989</c:v>
                </c:pt>
                <c:pt idx="308">
                  <c:v>88</c:v>
                </c:pt>
                <c:pt idx="309">
                  <c:v>88.199999999999989</c:v>
                </c:pt>
                <c:pt idx="310">
                  <c:v>88.5</c:v>
                </c:pt>
                <c:pt idx="311">
                  <c:v>88.799999999999983</c:v>
                </c:pt>
                <c:pt idx="312">
                  <c:v>89.1</c:v>
                </c:pt>
                <c:pt idx="313">
                  <c:v>89.4</c:v>
                </c:pt>
                <c:pt idx="314">
                  <c:v>89.699999999999989</c:v>
                </c:pt>
                <c:pt idx="315">
                  <c:v>90</c:v>
                </c:pt>
                <c:pt idx="316">
                  <c:v>90.199999999999989</c:v>
                </c:pt>
                <c:pt idx="317">
                  <c:v>90.5</c:v>
                </c:pt>
                <c:pt idx="318">
                  <c:v>90.799999999999983</c:v>
                </c:pt>
                <c:pt idx="319">
                  <c:v>91.1</c:v>
                </c:pt>
                <c:pt idx="320">
                  <c:v>91.4</c:v>
                </c:pt>
                <c:pt idx="321">
                  <c:v>91.699999999999989</c:v>
                </c:pt>
                <c:pt idx="322">
                  <c:v>92</c:v>
                </c:pt>
                <c:pt idx="323">
                  <c:v>92.199999999999989</c:v>
                </c:pt>
                <c:pt idx="324">
                  <c:v>92.5</c:v>
                </c:pt>
                <c:pt idx="325">
                  <c:v>92.799999999999983</c:v>
                </c:pt>
                <c:pt idx="326">
                  <c:v>93.1</c:v>
                </c:pt>
                <c:pt idx="327">
                  <c:v>93.4</c:v>
                </c:pt>
                <c:pt idx="328">
                  <c:v>93.699999999999989</c:v>
                </c:pt>
                <c:pt idx="329">
                  <c:v>94</c:v>
                </c:pt>
                <c:pt idx="330">
                  <c:v>94.199999999999989</c:v>
                </c:pt>
                <c:pt idx="331">
                  <c:v>94.5</c:v>
                </c:pt>
                <c:pt idx="332">
                  <c:v>94.799999999999983</c:v>
                </c:pt>
                <c:pt idx="333">
                  <c:v>95.1</c:v>
                </c:pt>
                <c:pt idx="334">
                  <c:v>95.4</c:v>
                </c:pt>
                <c:pt idx="335">
                  <c:v>95.699999999999989</c:v>
                </c:pt>
                <c:pt idx="336">
                  <c:v>96</c:v>
                </c:pt>
                <c:pt idx="337">
                  <c:v>96.199999999999989</c:v>
                </c:pt>
                <c:pt idx="338">
                  <c:v>96.5</c:v>
                </c:pt>
                <c:pt idx="339">
                  <c:v>96.799999999999983</c:v>
                </c:pt>
                <c:pt idx="340">
                  <c:v>97.1</c:v>
                </c:pt>
                <c:pt idx="341">
                  <c:v>97.4</c:v>
                </c:pt>
                <c:pt idx="342">
                  <c:v>97.699999999999989</c:v>
                </c:pt>
                <c:pt idx="343">
                  <c:v>98</c:v>
                </c:pt>
                <c:pt idx="344">
                  <c:v>98.199999999999989</c:v>
                </c:pt>
                <c:pt idx="345">
                  <c:v>98.5</c:v>
                </c:pt>
                <c:pt idx="346">
                  <c:v>98.799999999999983</c:v>
                </c:pt>
                <c:pt idx="347">
                  <c:v>99.1</c:v>
                </c:pt>
                <c:pt idx="348">
                  <c:v>99.4</c:v>
                </c:pt>
                <c:pt idx="349">
                  <c:v>99.699999999999989</c:v>
                </c:pt>
                <c:pt idx="350">
                  <c:v>100</c:v>
                </c:pt>
                <c:pt idx="351">
                  <c:v>100.19999999999999</c:v>
                </c:pt>
                <c:pt idx="352">
                  <c:v>100.5</c:v>
                </c:pt>
                <c:pt idx="353">
                  <c:v>100.79999999999998</c:v>
                </c:pt>
                <c:pt idx="354">
                  <c:v>101.1</c:v>
                </c:pt>
                <c:pt idx="355">
                  <c:v>101.4</c:v>
                </c:pt>
                <c:pt idx="356">
                  <c:v>101.69999999999999</c:v>
                </c:pt>
                <c:pt idx="357">
                  <c:v>102</c:v>
                </c:pt>
                <c:pt idx="358">
                  <c:v>102.19999999999999</c:v>
                </c:pt>
                <c:pt idx="359">
                  <c:v>102.5</c:v>
                </c:pt>
                <c:pt idx="360">
                  <c:v>102.79999999999998</c:v>
                </c:pt>
                <c:pt idx="361">
                  <c:v>103.1</c:v>
                </c:pt>
                <c:pt idx="362">
                  <c:v>103.4</c:v>
                </c:pt>
                <c:pt idx="363">
                  <c:v>103.69999999999999</c:v>
                </c:pt>
                <c:pt idx="364">
                  <c:v>104</c:v>
                </c:pt>
                <c:pt idx="365">
                  <c:v>104.19999999999999</c:v>
                </c:pt>
                <c:pt idx="366">
                  <c:v>104.5</c:v>
                </c:pt>
                <c:pt idx="367">
                  <c:v>104.79999999999998</c:v>
                </c:pt>
                <c:pt idx="368">
                  <c:v>105.1</c:v>
                </c:pt>
                <c:pt idx="369">
                  <c:v>105.4</c:v>
                </c:pt>
                <c:pt idx="370">
                  <c:v>105.69999999999999</c:v>
                </c:pt>
                <c:pt idx="371">
                  <c:v>106</c:v>
                </c:pt>
                <c:pt idx="372">
                  <c:v>106.19999999999999</c:v>
                </c:pt>
                <c:pt idx="373">
                  <c:v>106.5</c:v>
                </c:pt>
                <c:pt idx="374">
                  <c:v>106.79999999999998</c:v>
                </c:pt>
                <c:pt idx="375">
                  <c:v>107.1</c:v>
                </c:pt>
                <c:pt idx="376">
                  <c:v>107.4</c:v>
                </c:pt>
                <c:pt idx="377">
                  <c:v>107.69999999999999</c:v>
                </c:pt>
                <c:pt idx="378">
                  <c:v>108</c:v>
                </c:pt>
                <c:pt idx="379">
                  <c:v>108.19999999999999</c:v>
                </c:pt>
                <c:pt idx="380">
                  <c:v>108.5</c:v>
                </c:pt>
                <c:pt idx="381">
                  <c:v>108.79999999999998</c:v>
                </c:pt>
                <c:pt idx="382">
                  <c:v>109.1</c:v>
                </c:pt>
                <c:pt idx="383">
                  <c:v>109.4</c:v>
                </c:pt>
                <c:pt idx="384">
                  <c:v>109.69999999999999</c:v>
                </c:pt>
                <c:pt idx="385">
                  <c:v>110</c:v>
                </c:pt>
                <c:pt idx="386">
                  <c:v>110.19999999999999</c:v>
                </c:pt>
                <c:pt idx="387">
                  <c:v>110.5</c:v>
                </c:pt>
                <c:pt idx="388">
                  <c:v>110.79999999999998</c:v>
                </c:pt>
                <c:pt idx="389">
                  <c:v>111.1</c:v>
                </c:pt>
                <c:pt idx="390">
                  <c:v>111.4</c:v>
                </c:pt>
                <c:pt idx="391">
                  <c:v>111.69999999999999</c:v>
                </c:pt>
                <c:pt idx="392">
                  <c:v>112</c:v>
                </c:pt>
                <c:pt idx="393">
                  <c:v>112.19999999999999</c:v>
                </c:pt>
                <c:pt idx="394">
                  <c:v>112.5</c:v>
                </c:pt>
                <c:pt idx="395">
                  <c:v>112.79999999999998</c:v>
                </c:pt>
                <c:pt idx="396">
                  <c:v>113.1</c:v>
                </c:pt>
                <c:pt idx="397">
                  <c:v>113.4</c:v>
                </c:pt>
                <c:pt idx="398">
                  <c:v>113.69999999999999</c:v>
                </c:pt>
                <c:pt idx="399">
                  <c:v>114</c:v>
                </c:pt>
                <c:pt idx="400">
                  <c:v>114.19999999999999</c:v>
                </c:pt>
                <c:pt idx="401">
                  <c:v>114.5</c:v>
                </c:pt>
                <c:pt idx="402">
                  <c:v>114.79999999999998</c:v>
                </c:pt>
                <c:pt idx="403">
                  <c:v>115.1</c:v>
                </c:pt>
                <c:pt idx="404">
                  <c:v>115.4</c:v>
                </c:pt>
                <c:pt idx="405">
                  <c:v>115.69999999999999</c:v>
                </c:pt>
                <c:pt idx="406">
                  <c:v>116</c:v>
                </c:pt>
                <c:pt idx="407">
                  <c:v>116.19999999999999</c:v>
                </c:pt>
                <c:pt idx="408">
                  <c:v>116.5</c:v>
                </c:pt>
                <c:pt idx="409">
                  <c:v>116.79999999999998</c:v>
                </c:pt>
                <c:pt idx="410">
                  <c:v>117.1</c:v>
                </c:pt>
                <c:pt idx="411">
                  <c:v>117.4</c:v>
                </c:pt>
                <c:pt idx="412">
                  <c:v>117.69999999999999</c:v>
                </c:pt>
                <c:pt idx="413">
                  <c:v>118</c:v>
                </c:pt>
                <c:pt idx="414">
                  <c:v>118.19999999999999</c:v>
                </c:pt>
                <c:pt idx="415">
                  <c:v>118.5</c:v>
                </c:pt>
                <c:pt idx="416">
                  <c:v>118.79999999999998</c:v>
                </c:pt>
                <c:pt idx="417">
                  <c:v>119.1</c:v>
                </c:pt>
                <c:pt idx="418">
                  <c:v>119.4</c:v>
                </c:pt>
                <c:pt idx="419">
                  <c:v>119.69999999999999</c:v>
                </c:pt>
                <c:pt idx="420">
                  <c:v>120</c:v>
                </c:pt>
                <c:pt idx="421">
                  <c:v>120.19999999999999</c:v>
                </c:pt>
                <c:pt idx="422">
                  <c:v>120.5</c:v>
                </c:pt>
                <c:pt idx="423">
                  <c:v>120.79999999999998</c:v>
                </c:pt>
                <c:pt idx="424">
                  <c:v>121.1</c:v>
                </c:pt>
                <c:pt idx="425">
                  <c:v>121.4</c:v>
                </c:pt>
                <c:pt idx="426">
                  <c:v>121.69999999999999</c:v>
                </c:pt>
                <c:pt idx="427">
                  <c:v>122</c:v>
                </c:pt>
                <c:pt idx="428">
                  <c:v>122.19999999999999</c:v>
                </c:pt>
                <c:pt idx="429">
                  <c:v>122.5</c:v>
                </c:pt>
                <c:pt idx="430">
                  <c:v>122.79999999999998</c:v>
                </c:pt>
                <c:pt idx="431">
                  <c:v>123.1</c:v>
                </c:pt>
                <c:pt idx="432">
                  <c:v>123.4</c:v>
                </c:pt>
                <c:pt idx="433">
                  <c:v>123.69999999999999</c:v>
                </c:pt>
                <c:pt idx="434">
                  <c:v>124</c:v>
                </c:pt>
                <c:pt idx="435">
                  <c:v>124.19999999999999</c:v>
                </c:pt>
                <c:pt idx="436">
                  <c:v>124.5</c:v>
                </c:pt>
                <c:pt idx="437">
                  <c:v>124.79999999999998</c:v>
                </c:pt>
                <c:pt idx="438">
                  <c:v>125.1</c:v>
                </c:pt>
                <c:pt idx="439">
                  <c:v>125.4</c:v>
                </c:pt>
                <c:pt idx="440">
                  <c:v>125.69999999999999</c:v>
                </c:pt>
                <c:pt idx="441">
                  <c:v>126</c:v>
                </c:pt>
                <c:pt idx="442">
                  <c:v>126.19999999999999</c:v>
                </c:pt>
                <c:pt idx="443">
                  <c:v>126.5</c:v>
                </c:pt>
                <c:pt idx="444">
                  <c:v>126.79999999999998</c:v>
                </c:pt>
                <c:pt idx="445">
                  <c:v>127.1</c:v>
                </c:pt>
                <c:pt idx="446">
                  <c:v>127.4</c:v>
                </c:pt>
                <c:pt idx="447">
                  <c:v>127.69999999999999</c:v>
                </c:pt>
                <c:pt idx="448">
                  <c:v>128</c:v>
                </c:pt>
                <c:pt idx="449">
                  <c:v>128.19999999999999</c:v>
                </c:pt>
                <c:pt idx="450">
                  <c:v>128.5</c:v>
                </c:pt>
                <c:pt idx="451">
                  <c:v>128.79999999999998</c:v>
                </c:pt>
                <c:pt idx="452">
                  <c:v>129.1</c:v>
                </c:pt>
                <c:pt idx="453">
                  <c:v>129.4</c:v>
                </c:pt>
                <c:pt idx="454">
                  <c:v>129.69999999999999</c:v>
                </c:pt>
                <c:pt idx="455">
                  <c:v>130</c:v>
                </c:pt>
                <c:pt idx="456">
                  <c:v>130.19999999999999</c:v>
                </c:pt>
                <c:pt idx="457">
                  <c:v>130.5</c:v>
                </c:pt>
                <c:pt idx="458">
                  <c:v>130.79999999999998</c:v>
                </c:pt>
                <c:pt idx="459">
                  <c:v>131.1</c:v>
                </c:pt>
                <c:pt idx="460">
                  <c:v>131.4</c:v>
                </c:pt>
                <c:pt idx="461">
                  <c:v>131.69999999999999</c:v>
                </c:pt>
                <c:pt idx="462">
                  <c:v>132</c:v>
                </c:pt>
                <c:pt idx="463">
                  <c:v>132.19999999999999</c:v>
                </c:pt>
                <c:pt idx="464">
                  <c:v>132.5</c:v>
                </c:pt>
                <c:pt idx="465">
                  <c:v>132.79999999999998</c:v>
                </c:pt>
                <c:pt idx="466">
                  <c:v>133.1</c:v>
                </c:pt>
                <c:pt idx="467">
                  <c:v>133.4</c:v>
                </c:pt>
                <c:pt idx="468">
                  <c:v>133.69999999999999</c:v>
                </c:pt>
                <c:pt idx="469">
                  <c:v>134</c:v>
                </c:pt>
                <c:pt idx="470">
                  <c:v>134.19999999999999</c:v>
                </c:pt>
                <c:pt idx="471">
                  <c:v>134.5</c:v>
                </c:pt>
                <c:pt idx="472">
                  <c:v>134.79999999999998</c:v>
                </c:pt>
                <c:pt idx="473">
                  <c:v>135.1</c:v>
                </c:pt>
                <c:pt idx="474">
                  <c:v>135.4</c:v>
                </c:pt>
                <c:pt idx="475">
                  <c:v>135.69999999999999</c:v>
                </c:pt>
                <c:pt idx="476">
                  <c:v>136</c:v>
                </c:pt>
                <c:pt idx="477">
                  <c:v>136.19999999999999</c:v>
                </c:pt>
                <c:pt idx="478">
                  <c:v>136.5</c:v>
                </c:pt>
                <c:pt idx="479">
                  <c:v>136.79999999999998</c:v>
                </c:pt>
                <c:pt idx="480">
                  <c:v>137.1</c:v>
                </c:pt>
                <c:pt idx="481">
                  <c:v>137.4</c:v>
                </c:pt>
                <c:pt idx="482">
                  <c:v>137.69999999999999</c:v>
                </c:pt>
                <c:pt idx="483">
                  <c:v>138</c:v>
                </c:pt>
                <c:pt idx="484">
                  <c:v>138.19999999999999</c:v>
                </c:pt>
                <c:pt idx="485">
                  <c:v>138.5</c:v>
                </c:pt>
                <c:pt idx="486">
                  <c:v>138.79999999999998</c:v>
                </c:pt>
                <c:pt idx="487">
                  <c:v>139.1</c:v>
                </c:pt>
                <c:pt idx="488">
                  <c:v>139.4</c:v>
                </c:pt>
                <c:pt idx="489">
                  <c:v>139.69999999999999</c:v>
                </c:pt>
                <c:pt idx="490">
                  <c:v>140</c:v>
                </c:pt>
                <c:pt idx="491">
                  <c:v>140.19999999999999</c:v>
                </c:pt>
                <c:pt idx="492">
                  <c:v>140.5</c:v>
                </c:pt>
                <c:pt idx="493">
                  <c:v>140.79999999999998</c:v>
                </c:pt>
              </c:numCache>
            </c:numRef>
          </c:xVal>
          <c:yVal>
            <c:numRef>
              <c:f>'sheet 1'!$S$39:$S$841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21-4875-B88C-B488B95351CA}"/>
            </c:ext>
          </c:extLst>
        </c:ser>
        <c:ser>
          <c:idx val="6"/>
          <c:order val="6"/>
          <c:tx>
            <c:strRef>
              <c:f>'sheet 1'!$T$38</c:f>
              <c:strCache>
                <c:ptCount val="1"/>
                <c:pt idx="0">
                  <c:v>I5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0.20000000000000284</c:v>
                </c:pt>
                <c:pt idx="2">
                  <c:v>0.5</c:v>
                </c:pt>
                <c:pt idx="3">
                  <c:v>0.80000000000000426</c:v>
                </c:pt>
                <c:pt idx="4">
                  <c:v>1.1000000000000014</c:v>
                </c:pt>
                <c:pt idx="5">
                  <c:v>1.3999999999999986</c:v>
                </c:pt>
                <c:pt idx="6">
                  <c:v>1.7000000000000028</c:v>
                </c:pt>
                <c:pt idx="7">
                  <c:v>2</c:v>
                </c:pt>
                <c:pt idx="8">
                  <c:v>2.2000000000000028</c:v>
                </c:pt>
                <c:pt idx="9">
                  <c:v>2.5</c:v>
                </c:pt>
                <c:pt idx="10">
                  <c:v>2.8000000000000043</c:v>
                </c:pt>
                <c:pt idx="11">
                  <c:v>3.1000000000000014</c:v>
                </c:pt>
                <c:pt idx="12">
                  <c:v>3.3999999999999986</c:v>
                </c:pt>
                <c:pt idx="13">
                  <c:v>3.7000000000000028</c:v>
                </c:pt>
                <c:pt idx="14">
                  <c:v>4</c:v>
                </c:pt>
                <c:pt idx="15">
                  <c:v>4.2000000000000028</c:v>
                </c:pt>
                <c:pt idx="16">
                  <c:v>4.5</c:v>
                </c:pt>
                <c:pt idx="17">
                  <c:v>4.8000000000000043</c:v>
                </c:pt>
                <c:pt idx="18">
                  <c:v>5.1000000000000014</c:v>
                </c:pt>
                <c:pt idx="19">
                  <c:v>5.3999999999999986</c:v>
                </c:pt>
                <c:pt idx="20">
                  <c:v>5.6999999999999957</c:v>
                </c:pt>
                <c:pt idx="21">
                  <c:v>6.0000000000000071</c:v>
                </c:pt>
                <c:pt idx="22">
                  <c:v>6.1999999999999957</c:v>
                </c:pt>
                <c:pt idx="23">
                  <c:v>6.5000000000000071</c:v>
                </c:pt>
                <c:pt idx="24">
                  <c:v>6.8000000000000043</c:v>
                </c:pt>
                <c:pt idx="25">
                  <c:v>7.1000000000000014</c:v>
                </c:pt>
                <c:pt idx="26">
                  <c:v>7.3999999999999986</c:v>
                </c:pt>
                <c:pt idx="27">
                  <c:v>7.6999999999999957</c:v>
                </c:pt>
                <c:pt idx="28">
                  <c:v>8.0000000000000071</c:v>
                </c:pt>
                <c:pt idx="29">
                  <c:v>8.1999999999999957</c:v>
                </c:pt>
                <c:pt idx="30">
                  <c:v>8.5000000000000071</c:v>
                </c:pt>
                <c:pt idx="31">
                  <c:v>8.8000000000000043</c:v>
                </c:pt>
                <c:pt idx="32">
                  <c:v>9.1000000000000014</c:v>
                </c:pt>
                <c:pt idx="33">
                  <c:v>9.3999999999999986</c:v>
                </c:pt>
                <c:pt idx="34">
                  <c:v>9.6999999999999957</c:v>
                </c:pt>
                <c:pt idx="35">
                  <c:v>10.000000000000007</c:v>
                </c:pt>
                <c:pt idx="36">
                  <c:v>10.199999999999996</c:v>
                </c:pt>
                <c:pt idx="37">
                  <c:v>10.500000000000007</c:v>
                </c:pt>
                <c:pt idx="38">
                  <c:v>10.800000000000004</c:v>
                </c:pt>
                <c:pt idx="39">
                  <c:v>11.100000000000001</c:v>
                </c:pt>
                <c:pt idx="40">
                  <c:v>11.399999999999999</c:v>
                </c:pt>
                <c:pt idx="41">
                  <c:v>11.699999999999996</c:v>
                </c:pt>
                <c:pt idx="42">
                  <c:v>12.000000000000007</c:v>
                </c:pt>
                <c:pt idx="43">
                  <c:v>12.199999999999996</c:v>
                </c:pt>
                <c:pt idx="44">
                  <c:v>12.500000000000007</c:v>
                </c:pt>
                <c:pt idx="45">
                  <c:v>12.800000000000004</c:v>
                </c:pt>
                <c:pt idx="46">
                  <c:v>13.100000000000001</c:v>
                </c:pt>
                <c:pt idx="47">
                  <c:v>13.399999999999999</c:v>
                </c:pt>
                <c:pt idx="48">
                  <c:v>13.699999999999996</c:v>
                </c:pt>
                <c:pt idx="49">
                  <c:v>14.000000000000007</c:v>
                </c:pt>
                <c:pt idx="50">
                  <c:v>14.199999999999996</c:v>
                </c:pt>
                <c:pt idx="51">
                  <c:v>14.500000000000007</c:v>
                </c:pt>
                <c:pt idx="52">
                  <c:v>14.800000000000004</c:v>
                </c:pt>
                <c:pt idx="53">
                  <c:v>15.100000000000001</c:v>
                </c:pt>
                <c:pt idx="54">
                  <c:v>15.399999999999999</c:v>
                </c:pt>
                <c:pt idx="55">
                  <c:v>15.699999999999996</c:v>
                </c:pt>
                <c:pt idx="56">
                  <c:v>16.000000000000007</c:v>
                </c:pt>
                <c:pt idx="57">
                  <c:v>16.199999999999996</c:v>
                </c:pt>
                <c:pt idx="58">
                  <c:v>16.500000000000007</c:v>
                </c:pt>
                <c:pt idx="59">
                  <c:v>16.800000000000004</c:v>
                </c:pt>
                <c:pt idx="60">
                  <c:v>17.100000000000001</c:v>
                </c:pt>
                <c:pt idx="61">
                  <c:v>17.399999999999999</c:v>
                </c:pt>
                <c:pt idx="62">
                  <c:v>17.699999999999996</c:v>
                </c:pt>
                <c:pt idx="63">
                  <c:v>18.000000000000007</c:v>
                </c:pt>
                <c:pt idx="64">
                  <c:v>18.199999999999996</c:v>
                </c:pt>
                <c:pt idx="65">
                  <c:v>18.500000000000007</c:v>
                </c:pt>
                <c:pt idx="66">
                  <c:v>18.800000000000004</c:v>
                </c:pt>
                <c:pt idx="67">
                  <c:v>19.100000000000001</c:v>
                </c:pt>
                <c:pt idx="68">
                  <c:v>19.399999999999999</c:v>
                </c:pt>
                <c:pt idx="69">
                  <c:v>19.699999999999996</c:v>
                </c:pt>
                <c:pt idx="70">
                  <c:v>20.000000000000007</c:v>
                </c:pt>
                <c:pt idx="71">
                  <c:v>20.199999999999996</c:v>
                </c:pt>
                <c:pt idx="72">
                  <c:v>20.500000000000007</c:v>
                </c:pt>
                <c:pt idx="73">
                  <c:v>20.800000000000004</c:v>
                </c:pt>
                <c:pt idx="74">
                  <c:v>21.1</c:v>
                </c:pt>
                <c:pt idx="75">
                  <c:v>21.4</c:v>
                </c:pt>
                <c:pt idx="76">
                  <c:v>21.699999999999996</c:v>
                </c:pt>
                <c:pt idx="77">
                  <c:v>22.000000000000007</c:v>
                </c:pt>
                <c:pt idx="78">
                  <c:v>22.199999999999996</c:v>
                </c:pt>
                <c:pt idx="79">
                  <c:v>22.500000000000007</c:v>
                </c:pt>
                <c:pt idx="80">
                  <c:v>22.800000000000004</c:v>
                </c:pt>
                <c:pt idx="81">
                  <c:v>23.1</c:v>
                </c:pt>
                <c:pt idx="82">
                  <c:v>23.4</c:v>
                </c:pt>
                <c:pt idx="83">
                  <c:v>23.699999999999996</c:v>
                </c:pt>
                <c:pt idx="84">
                  <c:v>24.000000000000007</c:v>
                </c:pt>
                <c:pt idx="85">
                  <c:v>24.199999999999996</c:v>
                </c:pt>
                <c:pt idx="86">
                  <c:v>24.500000000000007</c:v>
                </c:pt>
                <c:pt idx="87">
                  <c:v>24.800000000000004</c:v>
                </c:pt>
                <c:pt idx="88">
                  <c:v>25.1</c:v>
                </c:pt>
                <c:pt idx="89">
                  <c:v>25.4</c:v>
                </c:pt>
                <c:pt idx="90">
                  <c:v>25.699999999999996</c:v>
                </c:pt>
                <c:pt idx="91">
                  <c:v>26.000000000000007</c:v>
                </c:pt>
                <c:pt idx="92">
                  <c:v>26.199999999999996</c:v>
                </c:pt>
                <c:pt idx="93">
                  <c:v>26.500000000000007</c:v>
                </c:pt>
                <c:pt idx="94">
                  <c:v>26.800000000000004</c:v>
                </c:pt>
                <c:pt idx="95">
                  <c:v>27.1</c:v>
                </c:pt>
                <c:pt idx="96">
                  <c:v>27.4</c:v>
                </c:pt>
                <c:pt idx="97">
                  <c:v>27.699999999999996</c:v>
                </c:pt>
                <c:pt idx="98">
                  <c:v>28.000000000000007</c:v>
                </c:pt>
                <c:pt idx="99">
                  <c:v>28.199999999999996</c:v>
                </c:pt>
                <c:pt idx="100">
                  <c:v>28.500000000000007</c:v>
                </c:pt>
                <c:pt idx="101">
                  <c:v>28.800000000000004</c:v>
                </c:pt>
                <c:pt idx="102">
                  <c:v>29.1</c:v>
                </c:pt>
                <c:pt idx="103">
                  <c:v>29.4</c:v>
                </c:pt>
                <c:pt idx="104">
                  <c:v>29.699999999999996</c:v>
                </c:pt>
                <c:pt idx="105">
                  <c:v>30.000000000000007</c:v>
                </c:pt>
                <c:pt idx="106">
                  <c:v>30.199999999999996</c:v>
                </c:pt>
                <c:pt idx="107">
                  <c:v>30.500000000000007</c:v>
                </c:pt>
                <c:pt idx="108">
                  <c:v>30.800000000000004</c:v>
                </c:pt>
                <c:pt idx="109">
                  <c:v>31.1</c:v>
                </c:pt>
                <c:pt idx="110">
                  <c:v>31.4</c:v>
                </c:pt>
                <c:pt idx="111">
                  <c:v>31.699999999999996</c:v>
                </c:pt>
                <c:pt idx="112">
                  <c:v>32.000000000000007</c:v>
                </c:pt>
                <c:pt idx="113">
                  <c:v>32.199999999999996</c:v>
                </c:pt>
                <c:pt idx="114">
                  <c:v>32.500000000000007</c:v>
                </c:pt>
                <c:pt idx="115">
                  <c:v>32.800000000000004</c:v>
                </c:pt>
                <c:pt idx="116">
                  <c:v>33.1</c:v>
                </c:pt>
                <c:pt idx="117">
                  <c:v>33.4</c:v>
                </c:pt>
                <c:pt idx="118">
                  <c:v>33.699999999999996</c:v>
                </c:pt>
                <c:pt idx="119">
                  <c:v>34.000000000000007</c:v>
                </c:pt>
                <c:pt idx="120">
                  <c:v>34.199999999999996</c:v>
                </c:pt>
                <c:pt idx="121">
                  <c:v>34.500000000000007</c:v>
                </c:pt>
                <c:pt idx="122">
                  <c:v>34.800000000000004</c:v>
                </c:pt>
                <c:pt idx="123">
                  <c:v>35.1</c:v>
                </c:pt>
                <c:pt idx="124">
                  <c:v>35.4</c:v>
                </c:pt>
                <c:pt idx="125">
                  <c:v>35.699999999999996</c:v>
                </c:pt>
                <c:pt idx="126">
                  <c:v>36.000000000000007</c:v>
                </c:pt>
                <c:pt idx="127">
                  <c:v>36.199999999999996</c:v>
                </c:pt>
                <c:pt idx="128">
                  <c:v>36.500000000000007</c:v>
                </c:pt>
                <c:pt idx="129">
                  <c:v>36.800000000000004</c:v>
                </c:pt>
                <c:pt idx="130">
                  <c:v>37.1</c:v>
                </c:pt>
                <c:pt idx="131">
                  <c:v>37.4</c:v>
                </c:pt>
                <c:pt idx="132">
                  <c:v>37.699999999999996</c:v>
                </c:pt>
                <c:pt idx="133">
                  <c:v>38.000000000000007</c:v>
                </c:pt>
                <c:pt idx="134">
                  <c:v>38.199999999999996</c:v>
                </c:pt>
                <c:pt idx="135">
                  <c:v>38.500000000000007</c:v>
                </c:pt>
                <c:pt idx="136">
                  <c:v>38.800000000000004</c:v>
                </c:pt>
                <c:pt idx="137">
                  <c:v>39.1</c:v>
                </c:pt>
                <c:pt idx="138">
                  <c:v>39.4</c:v>
                </c:pt>
                <c:pt idx="139">
                  <c:v>39.699999999999996</c:v>
                </c:pt>
                <c:pt idx="140">
                  <c:v>40.000000000000007</c:v>
                </c:pt>
                <c:pt idx="141">
                  <c:v>40.199999999999996</c:v>
                </c:pt>
                <c:pt idx="142">
                  <c:v>40.500000000000007</c:v>
                </c:pt>
                <c:pt idx="143">
                  <c:v>40.800000000000004</c:v>
                </c:pt>
                <c:pt idx="144">
                  <c:v>41.1</c:v>
                </c:pt>
                <c:pt idx="145">
                  <c:v>41.4</c:v>
                </c:pt>
                <c:pt idx="146">
                  <c:v>41.699999999999996</c:v>
                </c:pt>
                <c:pt idx="147">
                  <c:v>42.000000000000007</c:v>
                </c:pt>
                <c:pt idx="148">
                  <c:v>42.199999999999996</c:v>
                </c:pt>
                <c:pt idx="149">
                  <c:v>42.500000000000007</c:v>
                </c:pt>
                <c:pt idx="150">
                  <c:v>42.800000000000004</c:v>
                </c:pt>
                <c:pt idx="151">
                  <c:v>43.1</c:v>
                </c:pt>
                <c:pt idx="152">
                  <c:v>43.4</c:v>
                </c:pt>
                <c:pt idx="153">
                  <c:v>43.699999999999996</c:v>
                </c:pt>
                <c:pt idx="154">
                  <c:v>44.000000000000007</c:v>
                </c:pt>
                <c:pt idx="155">
                  <c:v>44.199999999999996</c:v>
                </c:pt>
                <c:pt idx="156">
                  <c:v>44.500000000000007</c:v>
                </c:pt>
                <c:pt idx="157">
                  <c:v>44.800000000000004</c:v>
                </c:pt>
                <c:pt idx="158">
                  <c:v>45.1</c:v>
                </c:pt>
                <c:pt idx="159">
                  <c:v>45.4</c:v>
                </c:pt>
                <c:pt idx="160">
                  <c:v>45.699999999999996</c:v>
                </c:pt>
                <c:pt idx="161">
                  <c:v>46.000000000000007</c:v>
                </c:pt>
                <c:pt idx="162">
                  <c:v>46.199999999999996</c:v>
                </c:pt>
                <c:pt idx="163">
                  <c:v>46.500000000000007</c:v>
                </c:pt>
                <c:pt idx="164">
                  <c:v>46.800000000000004</c:v>
                </c:pt>
                <c:pt idx="165">
                  <c:v>47.1</c:v>
                </c:pt>
                <c:pt idx="166">
                  <c:v>47.4</c:v>
                </c:pt>
                <c:pt idx="167">
                  <c:v>47.699999999999996</c:v>
                </c:pt>
                <c:pt idx="168">
                  <c:v>48.000000000000007</c:v>
                </c:pt>
                <c:pt idx="169">
                  <c:v>48.199999999999996</c:v>
                </c:pt>
                <c:pt idx="170">
                  <c:v>48.500000000000007</c:v>
                </c:pt>
                <c:pt idx="171">
                  <c:v>48.800000000000004</c:v>
                </c:pt>
                <c:pt idx="172">
                  <c:v>49.1</c:v>
                </c:pt>
                <c:pt idx="173">
                  <c:v>49.4</c:v>
                </c:pt>
                <c:pt idx="174">
                  <c:v>49.699999999999996</c:v>
                </c:pt>
                <c:pt idx="175">
                  <c:v>50.000000000000007</c:v>
                </c:pt>
                <c:pt idx="176">
                  <c:v>50.199999999999996</c:v>
                </c:pt>
                <c:pt idx="177">
                  <c:v>50.500000000000007</c:v>
                </c:pt>
                <c:pt idx="178">
                  <c:v>50.800000000000004</c:v>
                </c:pt>
                <c:pt idx="179">
                  <c:v>51.1</c:v>
                </c:pt>
                <c:pt idx="180">
                  <c:v>51.4</c:v>
                </c:pt>
                <c:pt idx="181">
                  <c:v>51.699999999999996</c:v>
                </c:pt>
                <c:pt idx="182">
                  <c:v>52.000000000000007</c:v>
                </c:pt>
                <c:pt idx="183">
                  <c:v>52.199999999999996</c:v>
                </c:pt>
                <c:pt idx="184">
                  <c:v>52.500000000000007</c:v>
                </c:pt>
                <c:pt idx="185">
                  <c:v>52.800000000000004</c:v>
                </c:pt>
                <c:pt idx="186">
                  <c:v>53.1</c:v>
                </c:pt>
                <c:pt idx="187">
                  <c:v>53.4</c:v>
                </c:pt>
                <c:pt idx="188">
                  <c:v>53.699999999999996</c:v>
                </c:pt>
                <c:pt idx="189">
                  <c:v>54.000000000000007</c:v>
                </c:pt>
                <c:pt idx="190">
                  <c:v>54.199999999999996</c:v>
                </c:pt>
                <c:pt idx="191">
                  <c:v>54.500000000000007</c:v>
                </c:pt>
                <c:pt idx="192">
                  <c:v>54.800000000000004</c:v>
                </c:pt>
                <c:pt idx="193">
                  <c:v>55.1</c:v>
                </c:pt>
                <c:pt idx="194">
                  <c:v>55.4</c:v>
                </c:pt>
                <c:pt idx="195">
                  <c:v>55.699999999999996</c:v>
                </c:pt>
                <c:pt idx="196">
                  <c:v>56.000000000000007</c:v>
                </c:pt>
                <c:pt idx="197">
                  <c:v>56.199999999999996</c:v>
                </c:pt>
                <c:pt idx="198">
                  <c:v>56.500000000000007</c:v>
                </c:pt>
                <c:pt idx="199">
                  <c:v>56.800000000000004</c:v>
                </c:pt>
                <c:pt idx="200">
                  <c:v>57.1</c:v>
                </c:pt>
                <c:pt idx="201">
                  <c:v>57.4</c:v>
                </c:pt>
                <c:pt idx="202">
                  <c:v>57.699999999999996</c:v>
                </c:pt>
                <c:pt idx="203">
                  <c:v>58.000000000000007</c:v>
                </c:pt>
                <c:pt idx="204">
                  <c:v>58.199999999999996</c:v>
                </c:pt>
                <c:pt idx="205">
                  <c:v>58.500000000000007</c:v>
                </c:pt>
                <c:pt idx="206">
                  <c:v>58.800000000000004</c:v>
                </c:pt>
                <c:pt idx="207">
                  <c:v>59.1</c:v>
                </c:pt>
                <c:pt idx="208">
                  <c:v>59.4</c:v>
                </c:pt>
                <c:pt idx="209">
                  <c:v>59.699999999999996</c:v>
                </c:pt>
                <c:pt idx="210">
                  <c:v>60.000000000000007</c:v>
                </c:pt>
                <c:pt idx="211">
                  <c:v>60.199999999999996</c:v>
                </c:pt>
                <c:pt idx="212">
                  <c:v>60.500000000000007</c:v>
                </c:pt>
                <c:pt idx="213">
                  <c:v>60.800000000000004</c:v>
                </c:pt>
                <c:pt idx="214">
                  <c:v>61.1</c:v>
                </c:pt>
                <c:pt idx="215">
                  <c:v>61.4</c:v>
                </c:pt>
                <c:pt idx="216">
                  <c:v>61.699999999999996</c:v>
                </c:pt>
                <c:pt idx="217">
                  <c:v>62.000000000000007</c:v>
                </c:pt>
                <c:pt idx="218">
                  <c:v>62.199999999999996</c:v>
                </c:pt>
                <c:pt idx="219">
                  <c:v>62.500000000000007</c:v>
                </c:pt>
                <c:pt idx="220">
                  <c:v>62.800000000000004</c:v>
                </c:pt>
                <c:pt idx="221">
                  <c:v>63.1</c:v>
                </c:pt>
                <c:pt idx="222">
                  <c:v>63.4</c:v>
                </c:pt>
                <c:pt idx="223">
                  <c:v>63.699999999999996</c:v>
                </c:pt>
                <c:pt idx="224">
                  <c:v>64</c:v>
                </c:pt>
                <c:pt idx="225">
                  <c:v>64.199999999999989</c:v>
                </c:pt>
                <c:pt idx="226">
                  <c:v>64.5</c:v>
                </c:pt>
                <c:pt idx="227">
                  <c:v>64.800000000000011</c:v>
                </c:pt>
                <c:pt idx="228">
                  <c:v>65.099999999999994</c:v>
                </c:pt>
                <c:pt idx="229">
                  <c:v>65.400000000000006</c:v>
                </c:pt>
                <c:pt idx="230">
                  <c:v>65.699999999999989</c:v>
                </c:pt>
                <c:pt idx="231">
                  <c:v>66</c:v>
                </c:pt>
                <c:pt idx="232">
                  <c:v>66.199999999999989</c:v>
                </c:pt>
                <c:pt idx="233">
                  <c:v>66.5</c:v>
                </c:pt>
                <c:pt idx="234">
                  <c:v>66.800000000000011</c:v>
                </c:pt>
                <c:pt idx="235">
                  <c:v>67.099999999999994</c:v>
                </c:pt>
                <c:pt idx="236">
                  <c:v>67.400000000000006</c:v>
                </c:pt>
                <c:pt idx="237">
                  <c:v>67.699999999999989</c:v>
                </c:pt>
                <c:pt idx="238">
                  <c:v>68</c:v>
                </c:pt>
                <c:pt idx="239">
                  <c:v>68.199999999999989</c:v>
                </c:pt>
                <c:pt idx="240">
                  <c:v>68.5</c:v>
                </c:pt>
                <c:pt idx="241">
                  <c:v>68.800000000000011</c:v>
                </c:pt>
                <c:pt idx="242">
                  <c:v>69.099999999999994</c:v>
                </c:pt>
                <c:pt idx="243">
                  <c:v>69.400000000000006</c:v>
                </c:pt>
                <c:pt idx="244">
                  <c:v>69.699999999999989</c:v>
                </c:pt>
                <c:pt idx="245">
                  <c:v>70</c:v>
                </c:pt>
                <c:pt idx="246">
                  <c:v>70.199999999999989</c:v>
                </c:pt>
                <c:pt idx="247">
                  <c:v>70.5</c:v>
                </c:pt>
                <c:pt idx="248">
                  <c:v>70.799999999999983</c:v>
                </c:pt>
                <c:pt idx="249">
                  <c:v>71.099999999999994</c:v>
                </c:pt>
                <c:pt idx="250">
                  <c:v>71.400000000000006</c:v>
                </c:pt>
                <c:pt idx="251">
                  <c:v>71.699999999999989</c:v>
                </c:pt>
                <c:pt idx="252">
                  <c:v>72</c:v>
                </c:pt>
                <c:pt idx="253">
                  <c:v>72.199999999999989</c:v>
                </c:pt>
                <c:pt idx="254">
                  <c:v>72.5</c:v>
                </c:pt>
                <c:pt idx="255">
                  <c:v>72.799999999999983</c:v>
                </c:pt>
                <c:pt idx="256">
                  <c:v>73.099999999999994</c:v>
                </c:pt>
                <c:pt idx="257">
                  <c:v>73.400000000000006</c:v>
                </c:pt>
                <c:pt idx="258">
                  <c:v>73.699999999999989</c:v>
                </c:pt>
                <c:pt idx="259">
                  <c:v>74</c:v>
                </c:pt>
                <c:pt idx="260">
                  <c:v>74.199999999999989</c:v>
                </c:pt>
                <c:pt idx="261">
                  <c:v>74.5</c:v>
                </c:pt>
                <c:pt idx="262">
                  <c:v>74.799999999999983</c:v>
                </c:pt>
                <c:pt idx="263">
                  <c:v>75.099999999999994</c:v>
                </c:pt>
                <c:pt idx="264">
                  <c:v>75.400000000000006</c:v>
                </c:pt>
                <c:pt idx="265">
                  <c:v>75.699999999999989</c:v>
                </c:pt>
                <c:pt idx="266">
                  <c:v>76</c:v>
                </c:pt>
                <c:pt idx="267">
                  <c:v>76.199999999999989</c:v>
                </c:pt>
                <c:pt idx="268">
                  <c:v>76.5</c:v>
                </c:pt>
                <c:pt idx="269">
                  <c:v>76.799999999999983</c:v>
                </c:pt>
                <c:pt idx="270">
                  <c:v>77.099999999999994</c:v>
                </c:pt>
                <c:pt idx="271">
                  <c:v>77.400000000000006</c:v>
                </c:pt>
                <c:pt idx="272">
                  <c:v>77.699999999999989</c:v>
                </c:pt>
                <c:pt idx="273">
                  <c:v>78</c:v>
                </c:pt>
                <c:pt idx="274">
                  <c:v>78.199999999999989</c:v>
                </c:pt>
                <c:pt idx="275">
                  <c:v>78.5</c:v>
                </c:pt>
                <c:pt idx="276">
                  <c:v>78.799999999999983</c:v>
                </c:pt>
                <c:pt idx="277">
                  <c:v>79.099999999999994</c:v>
                </c:pt>
                <c:pt idx="278">
                  <c:v>79.400000000000006</c:v>
                </c:pt>
                <c:pt idx="279">
                  <c:v>79.699999999999989</c:v>
                </c:pt>
                <c:pt idx="280">
                  <c:v>80</c:v>
                </c:pt>
                <c:pt idx="281">
                  <c:v>80.199999999999989</c:v>
                </c:pt>
                <c:pt idx="282">
                  <c:v>80.5</c:v>
                </c:pt>
                <c:pt idx="283">
                  <c:v>80.799999999999983</c:v>
                </c:pt>
                <c:pt idx="284">
                  <c:v>81.099999999999994</c:v>
                </c:pt>
                <c:pt idx="285">
                  <c:v>81.400000000000006</c:v>
                </c:pt>
                <c:pt idx="286">
                  <c:v>81.699999999999989</c:v>
                </c:pt>
                <c:pt idx="287">
                  <c:v>82</c:v>
                </c:pt>
                <c:pt idx="288">
                  <c:v>82.199999999999989</c:v>
                </c:pt>
                <c:pt idx="289">
                  <c:v>82.5</c:v>
                </c:pt>
                <c:pt idx="290">
                  <c:v>82.799999999999983</c:v>
                </c:pt>
                <c:pt idx="291">
                  <c:v>83.1</c:v>
                </c:pt>
                <c:pt idx="292">
                  <c:v>83.4</c:v>
                </c:pt>
                <c:pt idx="293">
                  <c:v>83.699999999999989</c:v>
                </c:pt>
                <c:pt idx="294">
                  <c:v>84</c:v>
                </c:pt>
                <c:pt idx="295">
                  <c:v>84.199999999999989</c:v>
                </c:pt>
                <c:pt idx="296">
                  <c:v>84.5</c:v>
                </c:pt>
                <c:pt idx="297">
                  <c:v>84.799999999999983</c:v>
                </c:pt>
                <c:pt idx="298">
                  <c:v>85.1</c:v>
                </c:pt>
                <c:pt idx="299">
                  <c:v>85.4</c:v>
                </c:pt>
                <c:pt idx="300">
                  <c:v>85.699999999999989</c:v>
                </c:pt>
                <c:pt idx="301">
                  <c:v>86</c:v>
                </c:pt>
                <c:pt idx="302">
                  <c:v>86.199999999999989</c:v>
                </c:pt>
                <c:pt idx="303">
                  <c:v>86.5</c:v>
                </c:pt>
                <c:pt idx="304">
                  <c:v>86.799999999999983</c:v>
                </c:pt>
                <c:pt idx="305">
                  <c:v>87.1</c:v>
                </c:pt>
                <c:pt idx="306">
                  <c:v>87.4</c:v>
                </c:pt>
                <c:pt idx="307">
                  <c:v>87.699999999999989</c:v>
                </c:pt>
                <c:pt idx="308">
                  <c:v>88</c:v>
                </c:pt>
                <c:pt idx="309">
                  <c:v>88.199999999999989</c:v>
                </c:pt>
                <c:pt idx="310">
                  <c:v>88.5</c:v>
                </c:pt>
                <c:pt idx="311">
                  <c:v>88.799999999999983</c:v>
                </c:pt>
                <c:pt idx="312">
                  <c:v>89.1</c:v>
                </c:pt>
                <c:pt idx="313">
                  <c:v>89.4</c:v>
                </c:pt>
                <c:pt idx="314">
                  <c:v>89.699999999999989</c:v>
                </c:pt>
                <c:pt idx="315">
                  <c:v>90</c:v>
                </c:pt>
                <c:pt idx="316">
                  <c:v>90.199999999999989</c:v>
                </c:pt>
                <c:pt idx="317">
                  <c:v>90.5</c:v>
                </c:pt>
                <c:pt idx="318">
                  <c:v>90.799999999999983</c:v>
                </c:pt>
                <c:pt idx="319">
                  <c:v>91.1</c:v>
                </c:pt>
                <c:pt idx="320">
                  <c:v>91.4</c:v>
                </c:pt>
                <c:pt idx="321">
                  <c:v>91.699999999999989</c:v>
                </c:pt>
                <c:pt idx="322">
                  <c:v>92</c:v>
                </c:pt>
                <c:pt idx="323">
                  <c:v>92.199999999999989</c:v>
                </c:pt>
                <c:pt idx="324">
                  <c:v>92.5</c:v>
                </c:pt>
                <c:pt idx="325">
                  <c:v>92.799999999999983</c:v>
                </c:pt>
                <c:pt idx="326">
                  <c:v>93.1</c:v>
                </c:pt>
                <c:pt idx="327">
                  <c:v>93.4</c:v>
                </c:pt>
                <c:pt idx="328">
                  <c:v>93.699999999999989</c:v>
                </c:pt>
                <c:pt idx="329">
                  <c:v>94</c:v>
                </c:pt>
                <c:pt idx="330">
                  <c:v>94.199999999999989</c:v>
                </c:pt>
                <c:pt idx="331">
                  <c:v>94.5</c:v>
                </c:pt>
                <c:pt idx="332">
                  <c:v>94.799999999999983</c:v>
                </c:pt>
                <c:pt idx="333">
                  <c:v>95.1</c:v>
                </c:pt>
                <c:pt idx="334">
                  <c:v>95.4</c:v>
                </c:pt>
                <c:pt idx="335">
                  <c:v>95.699999999999989</c:v>
                </c:pt>
                <c:pt idx="336">
                  <c:v>96</c:v>
                </c:pt>
                <c:pt idx="337">
                  <c:v>96.199999999999989</c:v>
                </c:pt>
                <c:pt idx="338">
                  <c:v>96.5</c:v>
                </c:pt>
                <c:pt idx="339">
                  <c:v>96.799999999999983</c:v>
                </c:pt>
                <c:pt idx="340">
                  <c:v>97.1</c:v>
                </c:pt>
                <c:pt idx="341">
                  <c:v>97.4</c:v>
                </c:pt>
                <c:pt idx="342">
                  <c:v>97.699999999999989</c:v>
                </c:pt>
                <c:pt idx="343">
                  <c:v>98</c:v>
                </c:pt>
                <c:pt idx="344">
                  <c:v>98.199999999999989</c:v>
                </c:pt>
                <c:pt idx="345">
                  <c:v>98.5</c:v>
                </c:pt>
                <c:pt idx="346">
                  <c:v>98.799999999999983</c:v>
                </c:pt>
                <c:pt idx="347">
                  <c:v>99.1</c:v>
                </c:pt>
                <c:pt idx="348">
                  <c:v>99.4</c:v>
                </c:pt>
                <c:pt idx="349">
                  <c:v>99.699999999999989</c:v>
                </c:pt>
                <c:pt idx="350">
                  <c:v>100</c:v>
                </c:pt>
                <c:pt idx="351">
                  <c:v>100.19999999999999</c:v>
                </c:pt>
                <c:pt idx="352">
                  <c:v>100.5</c:v>
                </c:pt>
                <c:pt idx="353">
                  <c:v>100.79999999999998</c:v>
                </c:pt>
                <c:pt idx="354">
                  <c:v>101.1</c:v>
                </c:pt>
                <c:pt idx="355">
                  <c:v>101.4</c:v>
                </c:pt>
                <c:pt idx="356">
                  <c:v>101.69999999999999</c:v>
                </c:pt>
                <c:pt idx="357">
                  <c:v>102</c:v>
                </c:pt>
                <c:pt idx="358">
                  <c:v>102.19999999999999</c:v>
                </c:pt>
                <c:pt idx="359">
                  <c:v>102.5</c:v>
                </c:pt>
                <c:pt idx="360">
                  <c:v>102.79999999999998</c:v>
                </c:pt>
                <c:pt idx="361">
                  <c:v>103.1</c:v>
                </c:pt>
                <c:pt idx="362">
                  <c:v>103.4</c:v>
                </c:pt>
                <c:pt idx="363">
                  <c:v>103.69999999999999</c:v>
                </c:pt>
                <c:pt idx="364">
                  <c:v>104</c:v>
                </c:pt>
                <c:pt idx="365">
                  <c:v>104.19999999999999</c:v>
                </c:pt>
                <c:pt idx="366">
                  <c:v>104.5</c:v>
                </c:pt>
                <c:pt idx="367">
                  <c:v>104.79999999999998</c:v>
                </c:pt>
                <c:pt idx="368">
                  <c:v>105.1</c:v>
                </c:pt>
                <c:pt idx="369">
                  <c:v>105.4</c:v>
                </c:pt>
                <c:pt idx="370">
                  <c:v>105.69999999999999</c:v>
                </c:pt>
                <c:pt idx="371">
                  <c:v>106</c:v>
                </c:pt>
                <c:pt idx="372">
                  <c:v>106.19999999999999</c:v>
                </c:pt>
                <c:pt idx="373">
                  <c:v>106.5</c:v>
                </c:pt>
                <c:pt idx="374">
                  <c:v>106.79999999999998</c:v>
                </c:pt>
                <c:pt idx="375">
                  <c:v>107.1</c:v>
                </c:pt>
                <c:pt idx="376">
                  <c:v>107.4</c:v>
                </c:pt>
                <c:pt idx="377">
                  <c:v>107.69999999999999</c:v>
                </c:pt>
                <c:pt idx="378">
                  <c:v>108</c:v>
                </c:pt>
                <c:pt idx="379">
                  <c:v>108.19999999999999</c:v>
                </c:pt>
                <c:pt idx="380">
                  <c:v>108.5</c:v>
                </c:pt>
                <c:pt idx="381">
                  <c:v>108.79999999999998</c:v>
                </c:pt>
                <c:pt idx="382">
                  <c:v>109.1</c:v>
                </c:pt>
                <c:pt idx="383">
                  <c:v>109.4</c:v>
                </c:pt>
                <c:pt idx="384">
                  <c:v>109.69999999999999</c:v>
                </c:pt>
                <c:pt idx="385">
                  <c:v>110</c:v>
                </c:pt>
                <c:pt idx="386">
                  <c:v>110.19999999999999</c:v>
                </c:pt>
                <c:pt idx="387">
                  <c:v>110.5</c:v>
                </c:pt>
                <c:pt idx="388">
                  <c:v>110.79999999999998</c:v>
                </c:pt>
                <c:pt idx="389">
                  <c:v>111.1</c:v>
                </c:pt>
                <c:pt idx="390">
                  <c:v>111.4</c:v>
                </c:pt>
                <c:pt idx="391">
                  <c:v>111.69999999999999</c:v>
                </c:pt>
                <c:pt idx="392">
                  <c:v>112</c:v>
                </c:pt>
                <c:pt idx="393">
                  <c:v>112.19999999999999</c:v>
                </c:pt>
                <c:pt idx="394">
                  <c:v>112.5</c:v>
                </c:pt>
                <c:pt idx="395">
                  <c:v>112.79999999999998</c:v>
                </c:pt>
                <c:pt idx="396">
                  <c:v>113.1</c:v>
                </c:pt>
                <c:pt idx="397">
                  <c:v>113.4</c:v>
                </c:pt>
                <c:pt idx="398">
                  <c:v>113.69999999999999</c:v>
                </c:pt>
                <c:pt idx="399">
                  <c:v>114</c:v>
                </c:pt>
                <c:pt idx="400">
                  <c:v>114.19999999999999</c:v>
                </c:pt>
                <c:pt idx="401">
                  <c:v>114.5</c:v>
                </c:pt>
                <c:pt idx="402">
                  <c:v>114.79999999999998</c:v>
                </c:pt>
                <c:pt idx="403">
                  <c:v>115.1</c:v>
                </c:pt>
                <c:pt idx="404">
                  <c:v>115.4</c:v>
                </c:pt>
                <c:pt idx="405">
                  <c:v>115.69999999999999</c:v>
                </c:pt>
                <c:pt idx="406">
                  <c:v>116</c:v>
                </c:pt>
                <c:pt idx="407">
                  <c:v>116.19999999999999</c:v>
                </c:pt>
                <c:pt idx="408">
                  <c:v>116.5</c:v>
                </c:pt>
                <c:pt idx="409">
                  <c:v>116.79999999999998</c:v>
                </c:pt>
                <c:pt idx="410">
                  <c:v>117.1</c:v>
                </c:pt>
                <c:pt idx="411">
                  <c:v>117.4</c:v>
                </c:pt>
                <c:pt idx="412">
                  <c:v>117.69999999999999</c:v>
                </c:pt>
                <c:pt idx="413">
                  <c:v>118</c:v>
                </c:pt>
                <c:pt idx="414">
                  <c:v>118.19999999999999</c:v>
                </c:pt>
                <c:pt idx="415">
                  <c:v>118.5</c:v>
                </c:pt>
                <c:pt idx="416">
                  <c:v>118.79999999999998</c:v>
                </c:pt>
                <c:pt idx="417">
                  <c:v>119.1</c:v>
                </c:pt>
                <c:pt idx="418">
                  <c:v>119.4</c:v>
                </c:pt>
                <c:pt idx="419">
                  <c:v>119.69999999999999</c:v>
                </c:pt>
                <c:pt idx="420">
                  <c:v>120</c:v>
                </c:pt>
                <c:pt idx="421">
                  <c:v>120.19999999999999</c:v>
                </c:pt>
                <c:pt idx="422">
                  <c:v>120.5</c:v>
                </c:pt>
                <c:pt idx="423">
                  <c:v>120.79999999999998</c:v>
                </c:pt>
                <c:pt idx="424">
                  <c:v>121.1</c:v>
                </c:pt>
                <c:pt idx="425">
                  <c:v>121.4</c:v>
                </c:pt>
                <c:pt idx="426">
                  <c:v>121.69999999999999</c:v>
                </c:pt>
                <c:pt idx="427">
                  <c:v>122</c:v>
                </c:pt>
                <c:pt idx="428">
                  <c:v>122.19999999999999</c:v>
                </c:pt>
                <c:pt idx="429">
                  <c:v>122.5</c:v>
                </c:pt>
                <c:pt idx="430">
                  <c:v>122.79999999999998</c:v>
                </c:pt>
                <c:pt idx="431">
                  <c:v>123.1</c:v>
                </c:pt>
                <c:pt idx="432">
                  <c:v>123.4</c:v>
                </c:pt>
                <c:pt idx="433">
                  <c:v>123.69999999999999</c:v>
                </c:pt>
                <c:pt idx="434">
                  <c:v>124</c:v>
                </c:pt>
                <c:pt idx="435">
                  <c:v>124.19999999999999</c:v>
                </c:pt>
                <c:pt idx="436">
                  <c:v>124.5</c:v>
                </c:pt>
                <c:pt idx="437">
                  <c:v>124.79999999999998</c:v>
                </c:pt>
                <c:pt idx="438">
                  <c:v>125.1</c:v>
                </c:pt>
                <c:pt idx="439">
                  <c:v>125.4</c:v>
                </c:pt>
                <c:pt idx="440">
                  <c:v>125.69999999999999</c:v>
                </c:pt>
                <c:pt idx="441">
                  <c:v>126</c:v>
                </c:pt>
                <c:pt idx="442">
                  <c:v>126.19999999999999</c:v>
                </c:pt>
                <c:pt idx="443">
                  <c:v>126.5</c:v>
                </c:pt>
                <c:pt idx="444">
                  <c:v>126.79999999999998</c:v>
                </c:pt>
                <c:pt idx="445">
                  <c:v>127.1</c:v>
                </c:pt>
                <c:pt idx="446">
                  <c:v>127.4</c:v>
                </c:pt>
                <c:pt idx="447">
                  <c:v>127.69999999999999</c:v>
                </c:pt>
                <c:pt idx="448">
                  <c:v>128</c:v>
                </c:pt>
                <c:pt idx="449">
                  <c:v>128.19999999999999</c:v>
                </c:pt>
                <c:pt idx="450">
                  <c:v>128.5</c:v>
                </c:pt>
                <c:pt idx="451">
                  <c:v>128.79999999999998</c:v>
                </c:pt>
                <c:pt idx="452">
                  <c:v>129.1</c:v>
                </c:pt>
                <c:pt idx="453">
                  <c:v>129.4</c:v>
                </c:pt>
                <c:pt idx="454">
                  <c:v>129.69999999999999</c:v>
                </c:pt>
                <c:pt idx="455">
                  <c:v>130</c:v>
                </c:pt>
                <c:pt idx="456">
                  <c:v>130.19999999999999</c:v>
                </c:pt>
                <c:pt idx="457">
                  <c:v>130.5</c:v>
                </c:pt>
                <c:pt idx="458">
                  <c:v>130.79999999999998</c:v>
                </c:pt>
                <c:pt idx="459">
                  <c:v>131.1</c:v>
                </c:pt>
                <c:pt idx="460">
                  <c:v>131.4</c:v>
                </c:pt>
                <c:pt idx="461">
                  <c:v>131.69999999999999</c:v>
                </c:pt>
                <c:pt idx="462">
                  <c:v>132</c:v>
                </c:pt>
                <c:pt idx="463">
                  <c:v>132.19999999999999</c:v>
                </c:pt>
                <c:pt idx="464">
                  <c:v>132.5</c:v>
                </c:pt>
                <c:pt idx="465">
                  <c:v>132.79999999999998</c:v>
                </c:pt>
                <c:pt idx="466">
                  <c:v>133.1</c:v>
                </c:pt>
                <c:pt idx="467">
                  <c:v>133.4</c:v>
                </c:pt>
                <c:pt idx="468">
                  <c:v>133.69999999999999</c:v>
                </c:pt>
                <c:pt idx="469">
                  <c:v>134</c:v>
                </c:pt>
                <c:pt idx="470">
                  <c:v>134.19999999999999</c:v>
                </c:pt>
                <c:pt idx="471">
                  <c:v>134.5</c:v>
                </c:pt>
                <c:pt idx="472">
                  <c:v>134.79999999999998</c:v>
                </c:pt>
                <c:pt idx="473">
                  <c:v>135.1</c:v>
                </c:pt>
                <c:pt idx="474">
                  <c:v>135.4</c:v>
                </c:pt>
                <c:pt idx="475">
                  <c:v>135.69999999999999</c:v>
                </c:pt>
                <c:pt idx="476">
                  <c:v>136</c:v>
                </c:pt>
                <c:pt idx="477">
                  <c:v>136.19999999999999</c:v>
                </c:pt>
                <c:pt idx="478">
                  <c:v>136.5</c:v>
                </c:pt>
                <c:pt idx="479">
                  <c:v>136.79999999999998</c:v>
                </c:pt>
                <c:pt idx="480">
                  <c:v>137.1</c:v>
                </c:pt>
                <c:pt idx="481">
                  <c:v>137.4</c:v>
                </c:pt>
                <c:pt idx="482">
                  <c:v>137.69999999999999</c:v>
                </c:pt>
                <c:pt idx="483">
                  <c:v>138</c:v>
                </c:pt>
                <c:pt idx="484">
                  <c:v>138.19999999999999</c:v>
                </c:pt>
                <c:pt idx="485">
                  <c:v>138.5</c:v>
                </c:pt>
                <c:pt idx="486">
                  <c:v>138.79999999999998</c:v>
                </c:pt>
                <c:pt idx="487">
                  <c:v>139.1</c:v>
                </c:pt>
                <c:pt idx="488">
                  <c:v>139.4</c:v>
                </c:pt>
                <c:pt idx="489">
                  <c:v>139.69999999999999</c:v>
                </c:pt>
                <c:pt idx="490">
                  <c:v>140</c:v>
                </c:pt>
                <c:pt idx="491">
                  <c:v>140.19999999999999</c:v>
                </c:pt>
                <c:pt idx="492">
                  <c:v>140.5</c:v>
                </c:pt>
                <c:pt idx="493">
                  <c:v>140.79999999999998</c:v>
                </c:pt>
              </c:numCache>
            </c:numRef>
          </c:xVal>
          <c:yVal>
            <c:numRef>
              <c:f>'sheet 1'!$T$39:$T$841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21-4875-B88C-B488B9535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29312"/>
        <c:axId val="90530176"/>
      </c:scatterChart>
      <c:valAx>
        <c:axId val="8682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Τ(</a:t>
                </a:r>
                <a:r>
                  <a:rPr lang="en-US"/>
                  <a:t>s)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0530176"/>
        <c:crosses val="autoZero"/>
        <c:crossBetween val="midCat"/>
      </c:valAx>
      <c:valAx>
        <c:axId val="90530176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CW OSL Intensity (au)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86829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142874</xdr:colOff>
      <xdr:row>2</xdr:row>
      <xdr:rowOff>33868</xdr:rowOff>
    </xdr:from>
    <xdr:to>
      <xdr:col>8</xdr:col>
      <xdr:colOff>173355</xdr:colOff>
      <xdr:row>9</xdr:row>
      <xdr:rowOff>77611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49652" y="400757"/>
          <a:ext cx="5251592" cy="132785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 u="sng"/>
            <a:t>CW - OSL fitting</a:t>
          </a:r>
          <a:r>
            <a:rPr lang="en-US" sz="1100" b="1" u="sng" baseline="0"/>
            <a:t> with Lambert W0 function:</a:t>
          </a:r>
        </a:p>
        <a:p>
          <a:endParaRPr lang="en-US" sz="1100" b="1" baseline="0"/>
        </a:p>
        <a:p>
          <a:r>
            <a:rPr lang="en-US" sz="1100" b="1" baseline="0"/>
            <a:t>r=AD/am</a:t>
          </a:r>
        </a:p>
        <a:p>
          <a:endParaRPr lang="en-US" sz="1100" b="1" baseline="0"/>
        </a:p>
        <a:p>
          <a:r>
            <a:rPr lang="en-US" sz="1100" b="1" baseline="0"/>
            <a:t>zi=r/n0-ln[n0/r]+</a:t>
          </a:r>
          <a:r>
            <a:rPr lang="el-GR" sz="1100" b="1" baseline="0"/>
            <a:t>λ</a:t>
          </a:r>
          <a:r>
            <a:rPr lang="en-US" sz="1100" b="1" baseline="0"/>
            <a:t>t </a:t>
          </a:r>
        </a:p>
        <a:p>
          <a:endParaRPr lang="en-US" sz="1100" b="1" baseline="0"/>
        </a:p>
        <a:p>
          <a:r>
            <a:rPr lang="en-US" sz="1100" b="1" baseline="0"/>
            <a:t>Itot= </a:t>
          </a:r>
          <a:r>
            <a:rPr lang="el-GR" sz="1100" b="1" baseline="0"/>
            <a:t>Σ</a:t>
          </a:r>
          <a:r>
            <a:rPr lang="en-US" sz="1100" b="1" baseline="0"/>
            <a:t>(Ii)=[r*</a:t>
          </a:r>
          <a:r>
            <a:rPr lang="el-GR" sz="1100" b="1" baseline="0"/>
            <a:t>λ1/</a:t>
          </a:r>
          <a:r>
            <a:rPr lang="en-US" sz="1100" b="1" baseline="0"/>
            <a:t>(W(e^z1)+W(e^z1)^2)+ r*</a:t>
          </a:r>
          <a:r>
            <a:rPr lang="el-GR" sz="1100" b="1" baseline="0"/>
            <a:t>λ2/(</a:t>
          </a:r>
          <a:r>
            <a:rPr lang="en-US" sz="1100" b="1" baseline="0"/>
            <a:t>W(e^z2)+W(e^z2)+...</a:t>
          </a:r>
          <a:endParaRPr lang="el-GR" sz="1100" b="1"/>
        </a:p>
      </xdr:txBody>
    </xdr:sp>
    <xdr:clientData/>
  </xdr:twoCellAnchor>
  <xdr:twoCellAnchor>
    <xdr:from>
      <xdr:col>9</xdr:col>
      <xdr:colOff>259293</xdr:colOff>
      <xdr:row>7</xdr:row>
      <xdr:rowOff>107948</xdr:rowOff>
    </xdr:from>
    <xdr:to>
      <xdr:col>20</xdr:col>
      <xdr:colOff>221547</xdr:colOff>
      <xdr:row>34</xdr:row>
      <xdr:rowOff>152399</xdr:rowOff>
    </xdr:to>
    <xdr:graphicFrame macro="">
      <xdr:nvGraphicFramePr>
        <xdr:cNvPr id="4" name="3 - Γράφημα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____2"/>
  <dimension ref="A2:AB838"/>
  <sheetViews>
    <sheetView tabSelected="1" zoomScale="90" zoomScaleNormal="90" workbookViewId="0">
      <selection activeCell="D16" sqref="D16"/>
    </sheetView>
  </sheetViews>
  <sheetFormatPr defaultRowHeight="14.5" x14ac:dyDescent="0.35"/>
  <cols>
    <col min="2" max="3" width="14.453125" customWidth="1"/>
    <col min="5" max="5" width="11.08984375" customWidth="1"/>
    <col min="9" max="9" width="5.90625" customWidth="1"/>
    <col min="10" max="10" width="12" customWidth="1"/>
    <col min="11" max="11" width="13" customWidth="1"/>
    <col min="12" max="12" width="14.08984375" customWidth="1"/>
    <col min="13" max="13" width="15.54296875" customWidth="1"/>
    <col min="14" max="14" width="14" customWidth="1"/>
    <col min="15" max="15" width="5.90625" customWidth="1"/>
    <col min="21" max="21" width="4.6328125" customWidth="1"/>
    <col min="22" max="22" width="15.453125" customWidth="1"/>
    <col min="23" max="23" width="6.08984375" customWidth="1"/>
    <col min="24" max="24" width="23.36328125" customWidth="1"/>
    <col min="25" max="25" width="19.54296875" customWidth="1"/>
    <col min="26" max="26" width="12.1796875" bestFit="1" customWidth="1"/>
  </cols>
  <sheetData>
    <row r="2" spans="11:11" x14ac:dyDescent="0.35">
      <c r="K2" s="21"/>
    </row>
    <row r="3" spans="11:11" x14ac:dyDescent="0.35">
      <c r="K3" s="22"/>
    </row>
    <row r="4" spans="11:11" x14ac:dyDescent="0.35">
      <c r="K4" s="22"/>
    </row>
    <row r="5" spans="11:11" x14ac:dyDescent="0.35">
      <c r="K5" s="22"/>
    </row>
    <row r="6" spans="11:11" x14ac:dyDescent="0.35">
      <c r="K6" s="22"/>
    </row>
    <row r="19" spans="1:7" x14ac:dyDescent="0.35">
      <c r="E19" s="25" t="s">
        <v>29</v>
      </c>
    </row>
    <row r="20" spans="1:7" x14ac:dyDescent="0.35">
      <c r="A20" s="24" t="s">
        <v>28</v>
      </c>
      <c r="B20" s="8"/>
      <c r="C20" s="1">
        <v>1</v>
      </c>
      <c r="D20" s="1">
        <v>2</v>
      </c>
      <c r="E20" s="1">
        <v>3</v>
      </c>
      <c r="F20" s="1">
        <v>4</v>
      </c>
      <c r="G20" s="1">
        <v>5</v>
      </c>
    </row>
    <row r="21" spans="1:7" x14ac:dyDescent="0.35">
      <c r="A21">
        <v>100000</v>
      </c>
      <c r="B21" s="6" t="s">
        <v>33</v>
      </c>
      <c r="C21" s="18">
        <v>0.1</v>
      </c>
      <c r="D21" s="18">
        <v>1.8065966491050325</v>
      </c>
      <c r="E21" s="18">
        <v>9.9999999999999998E-13</v>
      </c>
      <c r="F21" s="18">
        <v>9.9999999999999998E-13</v>
      </c>
      <c r="G21" s="18">
        <v>9.9999999999999998E-13</v>
      </c>
    </row>
    <row r="22" spans="1:7" x14ac:dyDescent="0.35">
      <c r="B22" s="6" t="s">
        <v>0</v>
      </c>
      <c r="C22" s="18">
        <v>4.7614762742807688E-2</v>
      </c>
      <c r="D22" s="18">
        <v>6.2145976702057361E-3</v>
      </c>
      <c r="E22" s="18">
        <v>0</v>
      </c>
      <c r="F22" s="9">
        <v>0</v>
      </c>
      <c r="G22" s="9">
        <v>0</v>
      </c>
    </row>
    <row r="23" spans="1:7" x14ac:dyDescent="0.35">
      <c r="B23" s="6" t="s">
        <v>34</v>
      </c>
      <c r="C23" s="18">
        <v>30.353373033305264</v>
      </c>
      <c r="D23" s="18">
        <v>19.996799716212756</v>
      </c>
      <c r="E23" s="18">
        <v>0.1</v>
      </c>
      <c r="F23" s="9">
        <v>0.1</v>
      </c>
      <c r="G23" s="9">
        <v>0.1</v>
      </c>
    </row>
    <row r="24" spans="1:7" x14ac:dyDescent="0.35">
      <c r="G24" s="23"/>
    </row>
    <row r="25" spans="1:7" x14ac:dyDescent="0.35">
      <c r="B25" s="6" t="s">
        <v>30</v>
      </c>
      <c r="C25">
        <f>1/C22</f>
        <v>21.001889800470593</v>
      </c>
      <c r="D25" s="18">
        <f t="shared" ref="D25:G25" si="0">1/D22</f>
        <v>160.9114625061311</v>
      </c>
      <c r="E25" s="18" t="e">
        <f t="shared" si="0"/>
        <v>#DIV/0!</v>
      </c>
      <c r="F25" s="18" t="e">
        <f t="shared" si="0"/>
        <v>#DIV/0!</v>
      </c>
      <c r="G25" s="18" t="e">
        <f t="shared" si="0"/>
        <v>#DIV/0!</v>
      </c>
    </row>
    <row r="26" spans="1:7" s="18" customFormat="1" x14ac:dyDescent="0.35">
      <c r="B26" s="6" t="s">
        <v>32</v>
      </c>
      <c r="C26" s="18">
        <f>10^(-17)*C22/1.13</f>
        <v>4.2136958179475842E-19</v>
      </c>
      <c r="D26" s="18">
        <f t="shared" ref="D26:G26" si="1">10^(-17)*D22/1.13</f>
        <v>5.4996439559342809E-20</v>
      </c>
      <c r="E26" s="18">
        <f t="shared" si="1"/>
        <v>0</v>
      </c>
      <c r="F26" s="18">
        <f t="shared" si="1"/>
        <v>0</v>
      </c>
      <c r="G26" s="18">
        <f t="shared" si="1"/>
        <v>0</v>
      </c>
    </row>
    <row r="28" spans="1:7" x14ac:dyDescent="0.35">
      <c r="C28" s="1">
        <v>1</v>
      </c>
      <c r="D28" s="1">
        <v>2</v>
      </c>
      <c r="E28" s="1">
        <v>3</v>
      </c>
      <c r="F28" s="1">
        <v>4</v>
      </c>
      <c r="G28" s="1">
        <v>5</v>
      </c>
    </row>
    <row r="29" spans="1:7" x14ac:dyDescent="0.35">
      <c r="B29" s="13" t="s">
        <v>14</v>
      </c>
      <c r="C29">
        <f>SUM(P39:P838)</f>
        <v>35199.232330850326</v>
      </c>
      <c r="D29" s="18">
        <f t="shared" ref="D29:G29" si="2">SUM(Q39:Q838)</f>
        <v>369674.03992464021</v>
      </c>
      <c r="E29" s="18">
        <f t="shared" si="2"/>
        <v>0</v>
      </c>
      <c r="F29" s="18">
        <f t="shared" si="2"/>
        <v>0</v>
      </c>
      <c r="G29" s="18">
        <f t="shared" si="2"/>
        <v>0</v>
      </c>
    </row>
    <row r="30" spans="1:7" x14ac:dyDescent="0.35">
      <c r="B30" s="13" t="s">
        <v>31</v>
      </c>
      <c r="C30">
        <f>100*C29/SUM($C$29:$G$29)</f>
        <v>8.6938888642266967</v>
      </c>
      <c r="D30" s="18">
        <f t="shared" ref="D30:G30" si="3">100*D29/SUM($C$29:$G$29)</f>
        <v>91.306111135773307</v>
      </c>
      <c r="E30" s="18">
        <f t="shared" si="3"/>
        <v>0</v>
      </c>
      <c r="F30" s="18">
        <f t="shared" si="3"/>
        <v>0</v>
      </c>
      <c r="G30" s="18">
        <f t="shared" si="3"/>
        <v>0</v>
      </c>
    </row>
    <row r="31" spans="1:7" s="18" customFormat="1" x14ac:dyDescent="0.35">
      <c r="B31" s="20"/>
    </row>
    <row r="32" spans="1:7" x14ac:dyDescent="0.35">
      <c r="B32" s="13" t="s">
        <v>15</v>
      </c>
      <c r="C32">
        <f>SUM(X39:X138)</f>
        <v>131025.1190803269</v>
      </c>
    </row>
    <row r="33" spans="2:28" x14ac:dyDescent="0.35">
      <c r="B33" s="13" t="s">
        <v>16</v>
      </c>
      <c r="C33">
        <f>SUM(AA39:AA850)*100</f>
        <v>2.8195921771843309</v>
      </c>
    </row>
    <row r="37" spans="2:28" x14ac:dyDescent="0.35">
      <c r="B37" s="5"/>
      <c r="C37" s="7" t="s">
        <v>1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2" t="s">
        <v>23</v>
      </c>
      <c r="W37" s="3"/>
      <c r="X37" s="16"/>
      <c r="Y37" s="16"/>
      <c r="Z37" s="16"/>
      <c r="AA37" s="16"/>
      <c r="AB37" s="16"/>
    </row>
    <row r="38" spans="2:28" x14ac:dyDescent="0.35">
      <c r="B38" s="11" t="s">
        <v>2</v>
      </c>
      <c r="C38" s="12" t="s">
        <v>3</v>
      </c>
      <c r="D38" s="10" t="s">
        <v>4</v>
      </c>
      <c r="E38" s="10" t="s">
        <v>5</v>
      </c>
      <c r="F38" s="10" t="s">
        <v>6</v>
      </c>
      <c r="G38" s="10" t="s">
        <v>7</v>
      </c>
      <c r="H38" s="10" t="s">
        <v>8</v>
      </c>
      <c r="I38" s="3"/>
      <c r="J38" s="15" t="s">
        <v>9</v>
      </c>
      <c r="K38" s="15" t="s">
        <v>10</v>
      </c>
      <c r="L38" s="15" t="s">
        <v>11</v>
      </c>
      <c r="M38" s="15" t="s">
        <v>12</v>
      </c>
      <c r="N38" s="15" t="s">
        <v>13</v>
      </c>
      <c r="O38" s="3"/>
      <c r="P38" s="4" t="s">
        <v>17</v>
      </c>
      <c r="Q38" s="4" t="s">
        <v>18</v>
      </c>
      <c r="R38" s="4" t="s">
        <v>19</v>
      </c>
      <c r="S38" s="4" t="s">
        <v>20</v>
      </c>
      <c r="T38" s="4" t="s">
        <v>21</v>
      </c>
      <c r="U38" s="3"/>
      <c r="V38" s="19" t="s">
        <v>22</v>
      </c>
      <c r="W38" s="3"/>
      <c r="X38" s="13" t="s">
        <v>26</v>
      </c>
      <c r="Y38" s="13" t="s">
        <v>27</v>
      </c>
      <c r="Z38" s="20" t="s">
        <v>24</v>
      </c>
      <c r="AA38" s="20" t="s">
        <v>25</v>
      </c>
      <c r="AB38" s="16"/>
    </row>
    <row r="39" spans="2:28" x14ac:dyDescent="0.35">
      <c r="B39" s="26">
        <v>0</v>
      </c>
      <c r="C39" s="26">
        <v>1671</v>
      </c>
      <c r="D39">
        <f>C$23/(C$21*$A$21)-LN((C$21*$A$21)/C$23)+$B39*C$22</f>
        <v>-5.7943973855072679</v>
      </c>
      <c r="E39" s="18">
        <f t="shared" ref="E39:H39" si="4">D$23/(D$21*$A$21)-LN((D$21*$A$21)/D$23)+$B39*D$22</f>
        <v>-9.1086873016507912</v>
      </c>
      <c r="F39" s="18">
        <f t="shared" si="4"/>
        <v>1000013.8155105581</v>
      </c>
      <c r="G39" s="18">
        <f t="shared" si="4"/>
        <v>1000013.8155105581</v>
      </c>
      <c r="H39" s="18">
        <f t="shared" si="4"/>
        <v>1000013.8155105581</v>
      </c>
      <c r="I39" s="3"/>
      <c r="J39">
        <f>lmb_2(D39)</f>
        <v>3.0353373033305264E-3</v>
      </c>
      <c r="K39" s="17">
        <f>lmb_2(E39)</f>
        <v>1.1068768297626885E-4</v>
      </c>
      <c r="L39" s="17">
        <f t="shared" ref="L39:N39" si="5">lmb_2(F39)</f>
        <v>999999.99999309238</v>
      </c>
      <c r="M39" s="17">
        <f t="shared" si="5"/>
        <v>999999.99999309238</v>
      </c>
      <c r="N39" s="17">
        <f t="shared" si="5"/>
        <v>999999.99999309238</v>
      </c>
      <c r="O39" s="3"/>
      <c r="P39" s="18">
        <f>(C$23*C$22)/(J39+J39^2)</f>
        <v>474.70673237515643</v>
      </c>
      <c r="Q39" s="18">
        <f t="shared" ref="Q39:T54" si="6">(D$23*D$22)/(K39+K39^2)</f>
        <v>1122.6028743418997</v>
      </c>
      <c r="R39" s="18">
        <f t="shared" si="6"/>
        <v>0</v>
      </c>
      <c r="S39" s="18">
        <f t="shared" si="6"/>
        <v>0</v>
      </c>
      <c r="T39" s="18">
        <f t="shared" si="6"/>
        <v>0</v>
      </c>
      <c r="U39" s="3"/>
      <c r="V39">
        <f>SUM(P39:T39)</f>
        <v>1597.3096067170561</v>
      </c>
      <c r="W39" s="3"/>
      <c r="X39">
        <f>(V39-C39)^2</f>
        <v>5430.2740621949415</v>
      </c>
      <c r="Y39">
        <f>ABS(V39-C39)</f>
        <v>73.690393282943887</v>
      </c>
      <c r="Z39">
        <f>SUM(V39:V838)</f>
        <v>404873.27225549088</v>
      </c>
      <c r="AA39">
        <f>Y39/$Z$39</f>
        <v>1.8200854028329724E-4</v>
      </c>
      <c r="AB39" s="16"/>
    </row>
    <row r="40" spans="2:28" x14ac:dyDescent="0.35">
      <c r="B40" s="26">
        <v>0.20000000000000284</v>
      </c>
      <c r="C40" s="26">
        <v>1584</v>
      </c>
      <c r="D40" s="18">
        <f t="shared" ref="D40:H103" si="7">C$23/(C$21*$A$21)-LN((C$21*$A$21)/C$23)+$B40*C$22</f>
        <v>-5.7848744329587065</v>
      </c>
      <c r="E40" s="18">
        <f t="shared" si="7"/>
        <v>-9.1074443821167499</v>
      </c>
      <c r="F40" s="18">
        <f t="shared" si="7"/>
        <v>1000013.8155105581</v>
      </c>
      <c r="G40" s="18">
        <f t="shared" si="7"/>
        <v>1000013.8155105581</v>
      </c>
      <c r="H40" s="18">
        <f t="shared" si="7"/>
        <v>1000013.8155105581</v>
      </c>
      <c r="I40" s="3"/>
      <c r="J40" s="17">
        <f t="shared" ref="J40:J103" si="8">lmb_2(D40)</f>
        <v>3.0642920196272292E-3</v>
      </c>
      <c r="K40" s="17">
        <f t="shared" ref="K40:K103" si="9">lmb_2(E40)</f>
        <v>1.1082532913824531E-4</v>
      </c>
      <c r="L40" s="17">
        <f t="shared" ref="L40:L103" si="10">lmb_2(F40)</f>
        <v>999999.99999309238</v>
      </c>
      <c r="M40" s="17">
        <f t="shared" ref="M40:M103" si="11">lmb_2(G40)</f>
        <v>999999.99999309238</v>
      </c>
      <c r="N40" s="17">
        <f t="shared" ref="N40:N103" si="12">lmb_2(H40)</f>
        <v>999999.99999309238</v>
      </c>
      <c r="O40" s="3"/>
      <c r="P40" s="18">
        <f t="shared" ref="P40:P103" si="13">(C$23*C$22)/(J40+J40^2)</f>
        <v>470.20762069606451</v>
      </c>
      <c r="Q40" s="18">
        <f t="shared" si="6"/>
        <v>1121.2084360843021</v>
      </c>
      <c r="R40" s="18">
        <f t="shared" si="6"/>
        <v>0</v>
      </c>
      <c r="S40" s="18">
        <f t="shared" si="6"/>
        <v>0</v>
      </c>
      <c r="T40" s="18">
        <f t="shared" si="6"/>
        <v>0</v>
      </c>
      <c r="U40" s="3"/>
      <c r="V40" s="18">
        <f t="shared" ref="V40:V103" si="14">SUM(P40:T40)</f>
        <v>1591.4160567803665</v>
      </c>
      <c r="W40" s="3"/>
      <c r="X40" s="14">
        <f t="shared" ref="X40:X103" si="15">(V40-C40)^2</f>
        <v>54.997898169619774</v>
      </c>
      <c r="Y40" s="14">
        <f t="shared" ref="Y40:Y103" si="16">ABS(V40-C40)</f>
        <v>7.416056780366489</v>
      </c>
      <c r="AA40" s="14">
        <f t="shared" ref="AA40:AA103" si="17">Y40/$Z$39</f>
        <v>1.8316982840217386E-5</v>
      </c>
      <c r="AB40" s="16"/>
    </row>
    <row r="41" spans="2:28" x14ac:dyDescent="0.35">
      <c r="B41" s="26">
        <v>0.5</v>
      </c>
      <c r="C41" s="26">
        <v>1608</v>
      </c>
      <c r="D41" s="18">
        <f t="shared" si="7"/>
        <v>-5.7705900041358644</v>
      </c>
      <c r="E41" s="18">
        <f t="shared" si="7"/>
        <v>-9.1055800028156888</v>
      </c>
      <c r="F41" s="18">
        <f t="shared" si="7"/>
        <v>1000013.8155105581</v>
      </c>
      <c r="G41" s="18">
        <f t="shared" si="7"/>
        <v>1000013.8155105581</v>
      </c>
      <c r="H41" s="18">
        <f t="shared" si="7"/>
        <v>1000013.8155105581</v>
      </c>
      <c r="I41" s="3"/>
      <c r="J41" s="17">
        <f t="shared" si="8"/>
        <v>3.1082411937236694E-3</v>
      </c>
      <c r="K41" s="17">
        <f t="shared" si="9"/>
        <v>1.1103211935676495E-4</v>
      </c>
      <c r="L41" s="17">
        <f t="shared" si="10"/>
        <v>999999.99999309238</v>
      </c>
      <c r="M41" s="17">
        <f t="shared" si="11"/>
        <v>999999.99999309238</v>
      </c>
      <c r="N41" s="17">
        <f t="shared" si="12"/>
        <v>999999.99999309238</v>
      </c>
      <c r="O41" s="3"/>
      <c r="P41" s="18">
        <f t="shared" si="13"/>
        <v>463.53878021885868</v>
      </c>
      <c r="Q41" s="18">
        <f t="shared" si="6"/>
        <v>1119.1200257090491</v>
      </c>
      <c r="R41" s="18">
        <f t="shared" si="6"/>
        <v>0</v>
      </c>
      <c r="S41" s="18">
        <f t="shared" si="6"/>
        <v>0</v>
      </c>
      <c r="T41" s="18">
        <f t="shared" si="6"/>
        <v>0</v>
      </c>
      <c r="U41" s="3"/>
      <c r="V41" s="18">
        <f t="shared" si="14"/>
        <v>1582.6588059279077</v>
      </c>
      <c r="W41" s="3"/>
      <c r="X41" s="14">
        <f t="shared" si="15"/>
        <v>642.176116999447</v>
      </c>
      <c r="Y41" s="14">
        <f t="shared" si="16"/>
        <v>25.341194072092321</v>
      </c>
      <c r="AA41" s="14">
        <f t="shared" si="17"/>
        <v>6.2590434609131312E-5</v>
      </c>
      <c r="AB41" s="16"/>
    </row>
    <row r="42" spans="2:28" x14ac:dyDescent="0.35">
      <c r="B42" s="26">
        <v>0.80000000000000426</v>
      </c>
      <c r="C42" s="26">
        <v>1574</v>
      </c>
      <c r="D42" s="18">
        <f t="shared" si="7"/>
        <v>-5.7563055753130214</v>
      </c>
      <c r="E42" s="18">
        <f t="shared" si="7"/>
        <v>-9.1037156235146259</v>
      </c>
      <c r="F42" s="18">
        <f t="shared" si="7"/>
        <v>1000013.8155105581</v>
      </c>
      <c r="G42" s="18">
        <f t="shared" si="7"/>
        <v>1000013.8155105581</v>
      </c>
      <c r="H42" s="18">
        <f t="shared" si="7"/>
        <v>1000013.8155105581</v>
      </c>
      <c r="I42" s="3"/>
      <c r="J42" s="17">
        <f t="shared" si="8"/>
        <v>3.152818721536227E-3</v>
      </c>
      <c r="K42" s="17">
        <f t="shared" si="9"/>
        <v>1.1123929538454429E-4</v>
      </c>
      <c r="L42" s="17">
        <f t="shared" si="10"/>
        <v>999999.99999309238</v>
      </c>
      <c r="M42" s="17">
        <f t="shared" si="11"/>
        <v>999999.99999309238</v>
      </c>
      <c r="N42" s="17">
        <f t="shared" si="12"/>
        <v>999999.99999309238</v>
      </c>
      <c r="O42" s="3"/>
      <c r="P42" s="18">
        <f t="shared" si="13"/>
        <v>456.96452406589884</v>
      </c>
      <c r="Q42" s="18">
        <f t="shared" si="6"/>
        <v>1117.0355052956086</v>
      </c>
      <c r="R42" s="18">
        <f t="shared" si="6"/>
        <v>0</v>
      </c>
      <c r="S42" s="18">
        <f t="shared" si="6"/>
        <v>0</v>
      </c>
      <c r="T42" s="18">
        <f t="shared" si="6"/>
        <v>0</v>
      </c>
      <c r="U42" s="3"/>
      <c r="V42" s="18">
        <f t="shared" si="14"/>
        <v>1574.0000293615074</v>
      </c>
      <c r="W42" s="3"/>
      <c r="X42" s="14">
        <f t="shared" si="15"/>
        <v>8.6209811437920067E-10</v>
      </c>
      <c r="Y42" s="14">
        <f t="shared" si="16"/>
        <v>2.9361507358771632E-5</v>
      </c>
      <c r="AA42" s="14">
        <f t="shared" si="17"/>
        <v>7.2520241198444366E-11</v>
      </c>
      <c r="AB42" s="16"/>
    </row>
    <row r="43" spans="2:28" x14ac:dyDescent="0.35">
      <c r="B43" s="26">
        <v>1.1000000000000014</v>
      </c>
      <c r="C43" s="26">
        <v>1632</v>
      </c>
      <c r="D43" s="18">
        <f t="shared" si="7"/>
        <v>-5.7420211464901794</v>
      </c>
      <c r="E43" s="18">
        <f t="shared" si="7"/>
        <v>-9.1018512442135648</v>
      </c>
      <c r="F43" s="18">
        <f t="shared" si="7"/>
        <v>1000013.8155105581</v>
      </c>
      <c r="G43" s="18">
        <f t="shared" si="7"/>
        <v>1000013.8155105581</v>
      </c>
      <c r="H43" s="18">
        <f t="shared" si="7"/>
        <v>1000013.8155105581</v>
      </c>
      <c r="I43" s="3"/>
      <c r="J43" s="17">
        <f t="shared" si="8"/>
        <v>3.1980335297680383E-3</v>
      </c>
      <c r="K43" s="17">
        <f t="shared" si="9"/>
        <v>1.1144685794122834E-4</v>
      </c>
      <c r="L43" s="17">
        <f t="shared" si="10"/>
        <v>999999.99999309238</v>
      </c>
      <c r="M43" s="17">
        <f t="shared" si="11"/>
        <v>999999.99999309238</v>
      </c>
      <c r="N43" s="17">
        <f t="shared" si="12"/>
        <v>999999.99999309238</v>
      </c>
      <c r="O43" s="3"/>
      <c r="P43" s="18">
        <f t="shared" si="13"/>
        <v>450.48351077056981</v>
      </c>
      <c r="Q43" s="18">
        <f t="shared" si="6"/>
        <v>1114.9548675983776</v>
      </c>
      <c r="R43" s="18">
        <f t="shared" si="6"/>
        <v>0</v>
      </c>
      <c r="S43" s="18">
        <f t="shared" si="6"/>
        <v>0</v>
      </c>
      <c r="T43" s="18">
        <f t="shared" si="6"/>
        <v>0</v>
      </c>
      <c r="U43" s="3"/>
      <c r="V43" s="18">
        <f t="shared" si="14"/>
        <v>1565.4383783689475</v>
      </c>
      <c r="W43" s="3"/>
      <c r="X43" s="14">
        <f t="shared" si="15"/>
        <v>4430.4494741553963</v>
      </c>
      <c r="Y43" s="14">
        <f t="shared" si="16"/>
        <v>66.561621631052503</v>
      </c>
      <c r="AA43" s="14">
        <f t="shared" si="17"/>
        <v>1.6440112546883441E-4</v>
      </c>
      <c r="AB43" s="16"/>
    </row>
    <row r="44" spans="2:28" x14ac:dyDescent="0.35">
      <c r="B44" s="26">
        <v>1.3999999999999986</v>
      </c>
      <c r="C44" s="26">
        <v>1542</v>
      </c>
      <c r="D44" s="18">
        <f t="shared" si="7"/>
        <v>-5.7277367176673373</v>
      </c>
      <c r="E44" s="18">
        <f t="shared" si="7"/>
        <v>-9.0999868649125037</v>
      </c>
      <c r="F44" s="18">
        <f t="shared" si="7"/>
        <v>1000013.8155105581</v>
      </c>
      <c r="G44" s="18">
        <f t="shared" si="7"/>
        <v>1000013.8155105581</v>
      </c>
      <c r="H44" s="18">
        <f t="shared" si="7"/>
        <v>1000013.8155105581</v>
      </c>
      <c r="I44" s="3"/>
      <c r="J44" s="17">
        <f t="shared" si="8"/>
        <v>3.2438946702995032E-3</v>
      </c>
      <c r="K44" s="17">
        <f t="shared" si="9"/>
        <v>1.1165480774780455E-4</v>
      </c>
      <c r="L44" s="17">
        <f t="shared" si="10"/>
        <v>999999.99999309238</v>
      </c>
      <c r="M44" s="17">
        <f t="shared" si="11"/>
        <v>999999.99999309238</v>
      </c>
      <c r="N44" s="17">
        <f t="shared" si="12"/>
        <v>999999.99999309238</v>
      </c>
      <c r="O44" s="3"/>
      <c r="P44" s="18">
        <f t="shared" si="13"/>
        <v>444.09441789230044</v>
      </c>
      <c r="Q44" s="18">
        <f t="shared" si="6"/>
        <v>1112.8781053852413</v>
      </c>
      <c r="R44" s="18">
        <f t="shared" si="6"/>
        <v>0</v>
      </c>
      <c r="S44" s="18">
        <f t="shared" si="6"/>
        <v>0</v>
      </c>
      <c r="T44" s="18">
        <f t="shared" si="6"/>
        <v>0</v>
      </c>
      <c r="U44" s="3"/>
      <c r="V44" s="18">
        <f t="shared" si="14"/>
        <v>1556.9725232775418</v>
      </c>
      <c r="W44" s="3"/>
      <c r="X44" s="14">
        <f t="shared" si="15"/>
        <v>224.1764532965301</v>
      </c>
      <c r="Y44" s="14">
        <f t="shared" si="16"/>
        <v>14.972523277541768</v>
      </c>
      <c r="AA44" s="14">
        <f t="shared" si="17"/>
        <v>3.6980764855462035E-5</v>
      </c>
      <c r="AB44" s="16"/>
    </row>
    <row r="45" spans="2:28" x14ac:dyDescent="0.35">
      <c r="B45" s="26">
        <v>1.7000000000000028</v>
      </c>
      <c r="C45" s="26">
        <v>1523</v>
      </c>
      <c r="D45" s="18">
        <f t="shared" si="7"/>
        <v>-5.7134522888444943</v>
      </c>
      <c r="E45" s="18">
        <f t="shared" si="7"/>
        <v>-9.0981224856114409</v>
      </c>
      <c r="F45" s="18">
        <f t="shared" si="7"/>
        <v>1000013.8155105581</v>
      </c>
      <c r="G45" s="18">
        <f t="shared" si="7"/>
        <v>1000013.8155105581</v>
      </c>
      <c r="H45" s="18">
        <f t="shared" si="7"/>
        <v>1000013.8155105581</v>
      </c>
      <c r="I45" s="3"/>
      <c r="J45" s="17">
        <f t="shared" si="8"/>
        <v>3.2904113218965216E-3</v>
      </c>
      <c r="K45" s="17">
        <f t="shared" si="9"/>
        <v>1.118631455266045E-4</v>
      </c>
      <c r="L45" s="17">
        <f t="shared" si="10"/>
        <v>999999.99999309238</v>
      </c>
      <c r="M45" s="17">
        <f t="shared" si="11"/>
        <v>999999.99999309238</v>
      </c>
      <c r="N45" s="17">
        <f t="shared" si="12"/>
        <v>999999.99999309238</v>
      </c>
      <c r="O45" s="3"/>
      <c r="P45" s="18">
        <f t="shared" si="13"/>
        <v>437.79594174672144</v>
      </c>
      <c r="Q45" s="18">
        <f t="shared" si="6"/>
        <v>1110.8052114375573</v>
      </c>
      <c r="R45" s="18">
        <f t="shared" si="6"/>
        <v>0</v>
      </c>
      <c r="S45" s="18">
        <f t="shared" si="6"/>
        <v>0</v>
      </c>
      <c r="T45" s="18">
        <f t="shared" si="6"/>
        <v>0</v>
      </c>
      <c r="U45" s="3"/>
      <c r="V45" s="18">
        <f t="shared" si="14"/>
        <v>1548.6011531842787</v>
      </c>
      <c r="W45" s="3"/>
      <c r="X45" s="14">
        <f t="shared" si="15"/>
        <v>655.41904436490347</v>
      </c>
      <c r="Y45" s="14">
        <f t="shared" si="16"/>
        <v>25.601153184278701</v>
      </c>
      <c r="AA45" s="14">
        <f t="shared" si="17"/>
        <v>6.3232509870701886E-5</v>
      </c>
      <c r="AB45" s="16"/>
    </row>
    <row r="46" spans="2:28" x14ac:dyDescent="0.35">
      <c r="B46" s="26">
        <v>2</v>
      </c>
      <c r="C46" s="26">
        <v>1607</v>
      </c>
      <c r="D46" s="18">
        <f t="shared" si="7"/>
        <v>-5.6991678600216522</v>
      </c>
      <c r="E46" s="18">
        <f t="shared" si="7"/>
        <v>-9.0962581063103798</v>
      </c>
      <c r="F46" s="18">
        <f t="shared" si="7"/>
        <v>1000013.8155105581</v>
      </c>
      <c r="G46" s="18">
        <f t="shared" si="7"/>
        <v>1000013.8155105581</v>
      </c>
      <c r="H46" s="18">
        <f t="shared" si="7"/>
        <v>1000013.8155105581</v>
      </c>
      <c r="I46" s="3"/>
      <c r="J46" s="17">
        <f t="shared" si="8"/>
        <v>3.3375927919406787E-3</v>
      </c>
      <c r="K46" s="17">
        <f t="shared" si="9"/>
        <v>1.1207187200130602E-4</v>
      </c>
      <c r="L46" s="17">
        <f t="shared" si="10"/>
        <v>999999.99999309238</v>
      </c>
      <c r="M46" s="17">
        <f t="shared" si="11"/>
        <v>999999.99999309238</v>
      </c>
      <c r="N46" s="17">
        <f t="shared" si="12"/>
        <v>999999.99999309238</v>
      </c>
      <c r="O46" s="3"/>
      <c r="P46" s="18">
        <f t="shared" si="13"/>
        <v>431.58679713965205</v>
      </c>
      <c r="Q46" s="18">
        <f t="shared" si="6"/>
        <v>1108.7361785501339</v>
      </c>
      <c r="R46" s="18">
        <f t="shared" si="6"/>
        <v>0</v>
      </c>
      <c r="S46" s="18">
        <f t="shared" si="6"/>
        <v>0</v>
      </c>
      <c r="T46" s="18">
        <f t="shared" si="6"/>
        <v>0</v>
      </c>
      <c r="U46" s="3"/>
      <c r="V46" s="18">
        <f t="shared" si="14"/>
        <v>1540.3229756897858</v>
      </c>
      <c r="W46" s="3"/>
      <c r="X46" s="14">
        <f t="shared" si="15"/>
        <v>4445.8255708648903</v>
      </c>
      <c r="Y46" s="14">
        <f t="shared" si="16"/>
        <v>66.677024310214165</v>
      </c>
      <c r="AA46" s="14">
        <f t="shared" si="17"/>
        <v>1.6468615954509921E-4</v>
      </c>
      <c r="AB46" s="16"/>
    </row>
    <row r="47" spans="2:28" x14ac:dyDescent="0.35">
      <c r="B47" s="26">
        <v>2.2000000000000028</v>
      </c>
      <c r="C47" s="26">
        <v>1526</v>
      </c>
      <c r="D47" s="18">
        <f t="shared" si="7"/>
        <v>-5.6896449074730908</v>
      </c>
      <c r="E47" s="18">
        <f t="shared" si="7"/>
        <v>-9.0950151867763385</v>
      </c>
      <c r="F47" s="18">
        <f t="shared" si="7"/>
        <v>1000013.8155105581</v>
      </c>
      <c r="G47" s="18">
        <f t="shared" si="7"/>
        <v>1000013.8155105581</v>
      </c>
      <c r="H47" s="18">
        <f t="shared" si="7"/>
        <v>1000013.8155105581</v>
      </c>
      <c r="I47" s="3"/>
      <c r="J47" s="17">
        <f t="shared" si="8"/>
        <v>3.3694211040839663E-3</v>
      </c>
      <c r="K47" s="17">
        <f t="shared" si="9"/>
        <v>1.1221123928459069E-4</v>
      </c>
      <c r="L47" s="17">
        <f t="shared" si="10"/>
        <v>999999.99999309238</v>
      </c>
      <c r="M47" s="17">
        <f t="shared" si="11"/>
        <v>999999.99999309238</v>
      </c>
      <c r="N47" s="17">
        <f t="shared" si="12"/>
        <v>999999.99999309238</v>
      </c>
      <c r="O47" s="3"/>
      <c r="P47" s="18">
        <f t="shared" si="13"/>
        <v>427.49636962947773</v>
      </c>
      <c r="Q47" s="18">
        <f t="shared" si="6"/>
        <v>1107.3589647732833</v>
      </c>
      <c r="R47" s="18">
        <f t="shared" si="6"/>
        <v>0</v>
      </c>
      <c r="S47" s="18">
        <f t="shared" si="6"/>
        <v>0</v>
      </c>
      <c r="T47" s="18">
        <f t="shared" si="6"/>
        <v>0</v>
      </c>
      <c r="U47" s="3"/>
      <c r="V47" s="18">
        <f t="shared" si="14"/>
        <v>1534.8553344027609</v>
      </c>
      <c r="W47" s="3"/>
      <c r="X47" s="14">
        <f t="shared" si="15"/>
        <v>78.416947384721553</v>
      </c>
      <c r="Y47" s="14">
        <f t="shared" si="16"/>
        <v>8.8553344027609455</v>
      </c>
      <c r="AA47" s="14">
        <f t="shared" si="17"/>
        <v>2.1871867099127459E-5</v>
      </c>
      <c r="AB47" s="16"/>
    </row>
    <row r="48" spans="2:28" x14ac:dyDescent="0.35">
      <c r="B48" s="26">
        <v>2.5</v>
      </c>
      <c r="C48" s="26">
        <v>1514</v>
      </c>
      <c r="D48" s="18">
        <f t="shared" si="7"/>
        <v>-5.6753604786502487</v>
      </c>
      <c r="E48" s="18">
        <f t="shared" si="7"/>
        <v>-9.0931508074752774</v>
      </c>
      <c r="F48" s="18">
        <f t="shared" si="7"/>
        <v>1000013.8155105581</v>
      </c>
      <c r="G48" s="18">
        <f t="shared" si="7"/>
        <v>1000013.8155105581</v>
      </c>
      <c r="H48" s="18">
        <f t="shared" si="7"/>
        <v>1000013.8155105581</v>
      </c>
      <c r="I48" s="3"/>
      <c r="J48" s="17">
        <f t="shared" si="8"/>
        <v>3.4177316428324589E-3</v>
      </c>
      <c r="K48" s="17">
        <f t="shared" si="9"/>
        <v>1.1242061519763468E-4</v>
      </c>
      <c r="L48" s="17">
        <f t="shared" si="10"/>
        <v>999999.99999309238</v>
      </c>
      <c r="M48" s="17">
        <f t="shared" si="11"/>
        <v>999999.99999309238</v>
      </c>
      <c r="N48" s="17">
        <f t="shared" si="12"/>
        <v>999999.99999309238</v>
      </c>
      <c r="O48" s="3"/>
      <c r="P48" s="18">
        <f t="shared" si="13"/>
        <v>421.43330432371675</v>
      </c>
      <c r="Q48" s="18">
        <f t="shared" si="6"/>
        <v>1105.2963510111861</v>
      </c>
      <c r="R48" s="18">
        <f t="shared" si="6"/>
        <v>0</v>
      </c>
      <c r="S48" s="18">
        <f t="shared" si="6"/>
        <v>0</v>
      </c>
      <c r="T48" s="18">
        <f t="shared" si="6"/>
        <v>0</v>
      </c>
      <c r="U48" s="3"/>
      <c r="V48" s="18">
        <f t="shared" si="14"/>
        <v>1526.7296553349029</v>
      </c>
      <c r="W48" s="3"/>
      <c r="X48" s="14">
        <f t="shared" si="15"/>
        <v>162.04412494542117</v>
      </c>
      <c r="Y48" s="14">
        <f t="shared" si="16"/>
        <v>12.729655334902873</v>
      </c>
      <c r="AA48" s="14">
        <f t="shared" si="17"/>
        <v>3.1441085908160325E-5</v>
      </c>
      <c r="AB48" s="16"/>
    </row>
    <row r="49" spans="2:28" x14ac:dyDescent="0.35">
      <c r="B49" s="26">
        <v>2.8000000000000043</v>
      </c>
      <c r="C49" s="26">
        <v>1543</v>
      </c>
      <c r="D49" s="18">
        <f t="shared" si="7"/>
        <v>-5.6610760498274058</v>
      </c>
      <c r="E49" s="18">
        <f t="shared" si="7"/>
        <v>-9.0912864281742145</v>
      </c>
      <c r="F49" s="18">
        <f t="shared" si="7"/>
        <v>1000013.8155105581</v>
      </c>
      <c r="G49" s="18">
        <f t="shared" si="7"/>
        <v>1000013.8155105581</v>
      </c>
      <c r="H49" s="18">
        <f t="shared" si="7"/>
        <v>1000013.8155105581</v>
      </c>
      <c r="I49" s="3"/>
      <c r="J49" s="17">
        <f t="shared" si="8"/>
        <v>3.4667324618982373E-3</v>
      </c>
      <c r="K49" s="17">
        <f t="shared" si="9"/>
        <v>1.126303817429923E-4</v>
      </c>
      <c r="L49" s="17">
        <f t="shared" si="10"/>
        <v>999999.99999309238</v>
      </c>
      <c r="M49" s="17">
        <f t="shared" si="11"/>
        <v>999999.99999309238</v>
      </c>
      <c r="N49" s="17">
        <f t="shared" si="12"/>
        <v>999999.99999309238</v>
      </c>
      <c r="O49" s="3"/>
      <c r="P49" s="18">
        <f t="shared" si="13"/>
        <v>415.45623178588221</v>
      </c>
      <c r="Q49" s="18">
        <f t="shared" si="6"/>
        <v>1103.2375791610364</v>
      </c>
      <c r="R49" s="18">
        <f t="shared" si="6"/>
        <v>0</v>
      </c>
      <c r="S49" s="18">
        <f t="shared" si="6"/>
        <v>0</v>
      </c>
      <c r="T49" s="18">
        <f t="shared" si="6"/>
        <v>0</v>
      </c>
      <c r="U49" s="3"/>
      <c r="V49" s="18">
        <f t="shared" si="14"/>
        <v>1518.6938109469186</v>
      </c>
      <c r="W49" s="3"/>
      <c r="X49" s="14">
        <f t="shared" si="15"/>
        <v>590.79082628413528</v>
      </c>
      <c r="Y49" s="14">
        <f t="shared" si="16"/>
        <v>24.306189053081425</v>
      </c>
      <c r="AA49" s="14">
        <f t="shared" si="17"/>
        <v>6.0034066752974664E-5</v>
      </c>
      <c r="AB49" s="16"/>
    </row>
    <row r="50" spans="2:28" x14ac:dyDescent="0.35">
      <c r="B50" s="26">
        <v>3.1000000000000014</v>
      </c>
      <c r="C50" s="26">
        <v>1565</v>
      </c>
      <c r="D50" s="18">
        <f t="shared" si="7"/>
        <v>-5.6467916210045637</v>
      </c>
      <c r="E50" s="18">
        <f t="shared" si="7"/>
        <v>-9.0894220488731534</v>
      </c>
      <c r="F50" s="18">
        <f t="shared" si="7"/>
        <v>1000013.8155105581</v>
      </c>
      <c r="G50" s="18">
        <f t="shared" si="7"/>
        <v>1000013.8155105581</v>
      </c>
      <c r="H50" s="18">
        <f t="shared" si="7"/>
        <v>1000013.8155105581</v>
      </c>
      <c r="I50" s="3"/>
      <c r="J50" s="17">
        <f t="shared" si="8"/>
        <v>3.5164333554179267E-3</v>
      </c>
      <c r="K50" s="17">
        <f t="shared" si="9"/>
        <v>1.1284053964930095E-4</v>
      </c>
      <c r="L50" s="17">
        <f t="shared" si="10"/>
        <v>999999.99999309238</v>
      </c>
      <c r="M50" s="17">
        <f t="shared" si="11"/>
        <v>999999.99999309238</v>
      </c>
      <c r="N50" s="17">
        <f t="shared" si="12"/>
        <v>999999.99999309238</v>
      </c>
      <c r="O50" s="3"/>
      <c r="P50" s="18">
        <f t="shared" si="13"/>
        <v>409.56393240363985</v>
      </c>
      <c r="Q50" s="18">
        <f t="shared" si="6"/>
        <v>1101.1826420667298</v>
      </c>
      <c r="R50" s="18">
        <f t="shared" si="6"/>
        <v>0</v>
      </c>
      <c r="S50" s="18">
        <f t="shared" si="6"/>
        <v>0</v>
      </c>
      <c r="T50" s="18">
        <f t="shared" si="6"/>
        <v>0</v>
      </c>
      <c r="U50" s="3"/>
      <c r="V50" s="18">
        <f t="shared" si="14"/>
        <v>1510.7465744703698</v>
      </c>
      <c r="W50" s="3"/>
      <c r="X50" s="14">
        <f t="shared" si="15"/>
        <v>2943.4341816991355</v>
      </c>
      <c r="Y50" s="14">
        <f t="shared" si="16"/>
        <v>54.253425529630249</v>
      </c>
      <c r="AA50" s="14">
        <f t="shared" si="17"/>
        <v>1.3400100536988327E-4</v>
      </c>
      <c r="AB50" s="16"/>
    </row>
    <row r="51" spans="2:28" x14ac:dyDescent="0.35">
      <c r="B51" s="26">
        <v>3.3999999999999986</v>
      </c>
      <c r="C51" s="26">
        <v>1577</v>
      </c>
      <c r="D51" s="18">
        <f t="shared" si="7"/>
        <v>-5.6325071921817216</v>
      </c>
      <c r="E51" s="18">
        <f t="shared" si="7"/>
        <v>-9.0875576695720923</v>
      </c>
      <c r="F51" s="18">
        <f t="shared" si="7"/>
        <v>1000013.8155105581</v>
      </c>
      <c r="G51" s="18">
        <f t="shared" si="7"/>
        <v>1000013.8155105581</v>
      </c>
      <c r="H51" s="18">
        <f t="shared" si="7"/>
        <v>1000013.8155105581</v>
      </c>
      <c r="I51" s="3"/>
      <c r="J51" s="17">
        <f t="shared" si="8"/>
        <v>3.5668442545155887E-3</v>
      </c>
      <c r="K51" s="17">
        <f t="shared" si="9"/>
        <v>1.1305108964655712E-4</v>
      </c>
      <c r="L51" s="17">
        <f t="shared" si="10"/>
        <v>999999.99999309238</v>
      </c>
      <c r="M51" s="17">
        <f t="shared" si="11"/>
        <v>999999.99999309238</v>
      </c>
      <c r="N51" s="17">
        <f t="shared" si="12"/>
        <v>999999.99999309238</v>
      </c>
      <c r="O51" s="3"/>
      <c r="P51" s="18">
        <f t="shared" si="13"/>
        <v>403.75520386246791</v>
      </c>
      <c r="Q51" s="18">
        <f t="shared" si="6"/>
        <v>1099.1315325854855</v>
      </c>
      <c r="R51" s="18">
        <f t="shared" si="6"/>
        <v>0</v>
      </c>
      <c r="S51" s="18">
        <f t="shared" si="6"/>
        <v>0</v>
      </c>
      <c r="T51" s="18">
        <f t="shared" si="6"/>
        <v>0</v>
      </c>
      <c r="U51" s="3"/>
      <c r="V51" s="18">
        <f t="shared" si="14"/>
        <v>1502.8867364479534</v>
      </c>
      <c r="W51" s="3"/>
      <c r="X51" s="14">
        <f t="shared" si="15"/>
        <v>5492.7758343351261</v>
      </c>
      <c r="Y51" s="14">
        <f t="shared" si="16"/>
        <v>74.113263552046647</v>
      </c>
      <c r="AA51" s="14">
        <f t="shared" si="17"/>
        <v>1.8305299122160445E-4</v>
      </c>
      <c r="AB51" s="16"/>
    </row>
    <row r="52" spans="2:28" x14ac:dyDescent="0.35">
      <c r="B52" s="26">
        <v>3.7000000000000028</v>
      </c>
      <c r="C52" s="26">
        <v>1455</v>
      </c>
      <c r="D52" s="18">
        <f t="shared" si="7"/>
        <v>-5.6182227633588795</v>
      </c>
      <c r="E52" s="18">
        <f t="shared" si="7"/>
        <v>-9.0856932902710295</v>
      </c>
      <c r="F52" s="18">
        <f t="shared" si="7"/>
        <v>1000013.8155105581</v>
      </c>
      <c r="G52" s="18">
        <f t="shared" si="7"/>
        <v>1000013.8155105581</v>
      </c>
      <c r="H52" s="18">
        <f t="shared" si="7"/>
        <v>1000013.8155105581</v>
      </c>
      <c r="I52" s="3"/>
      <c r="J52" s="17">
        <f t="shared" si="8"/>
        <v>3.6179752291619479E-3</v>
      </c>
      <c r="K52" s="17">
        <f t="shared" si="9"/>
        <v>1.1326203246611827E-4</v>
      </c>
      <c r="L52" s="17">
        <f t="shared" si="10"/>
        <v>999999.99999309238</v>
      </c>
      <c r="M52" s="17">
        <f t="shared" si="11"/>
        <v>999999.99999309238</v>
      </c>
      <c r="N52" s="17">
        <f t="shared" si="12"/>
        <v>999999.99999309238</v>
      </c>
      <c r="O52" s="3"/>
      <c r="P52" s="18">
        <f t="shared" si="13"/>
        <v>398.02886090032825</v>
      </c>
      <c r="Q52" s="18">
        <f t="shared" si="6"/>
        <v>1097.0842435878274</v>
      </c>
      <c r="R52" s="18">
        <f t="shared" si="6"/>
        <v>0</v>
      </c>
      <c r="S52" s="18">
        <f t="shared" si="6"/>
        <v>0</v>
      </c>
      <c r="T52" s="18">
        <f t="shared" si="6"/>
        <v>0</v>
      </c>
      <c r="U52" s="3"/>
      <c r="V52" s="18">
        <f t="shared" si="14"/>
        <v>1495.1131044881556</v>
      </c>
      <c r="W52" s="3"/>
      <c r="X52" s="14">
        <f t="shared" si="15"/>
        <v>1609.0611516776901</v>
      </c>
      <c r="Y52" s="14">
        <f t="shared" si="16"/>
        <v>40.113104488155614</v>
      </c>
      <c r="AA52" s="14">
        <f t="shared" si="17"/>
        <v>9.9075704021387394E-5</v>
      </c>
      <c r="AB52" s="16"/>
    </row>
    <row r="53" spans="2:28" x14ac:dyDescent="0.35">
      <c r="B53" s="26">
        <v>4</v>
      </c>
      <c r="C53" s="26">
        <v>1511</v>
      </c>
      <c r="D53" s="18">
        <f t="shared" si="7"/>
        <v>-5.6039383345360374</v>
      </c>
      <c r="E53" s="18">
        <f t="shared" si="7"/>
        <v>-9.0838289109699684</v>
      </c>
      <c r="F53" s="18">
        <f t="shared" si="7"/>
        <v>1000013.8155105581</v>
      </c>
      <c r="G53" s="18">
        <f t="shared" si="7"/>
        <v>1000013.8155105581</v>
      </c>
      <c r="H53" s="18">
        <f t="shared" si="7"/>
        <v>1000013.8155105581</v>
      </c>
      <c r="I53" s="3"/>
      <c r="J53" s="17">
        <f t="shared" si="8"/>
        <v>3.6698364900572453E-3</v>
      </c>
      <c r="K53" s="17">
        <f t="shared" si="9"/>
        <v>1.1347336884070489E-4</v>
      </c>
      <c r="L53" s="17">
        <f t="shared" si="10"/>
        <v>999999.99999309238</v>
      </c>
      <c r="M53" s="17">
        <f t="shared" si="11"/>
        <v>999999.99999309238</v>
      </c>
      <c r="N53" s="17">
        <f t="shared" si="12"/>
        <v>999999.99999309238</v>
      </c>
      <c r="O53" s="3"/>
      <c r="P53" s="18">
        <f t="shared" si="13"/>
        <v>392.38373506581468</v>
      </c>
      <c r="Q53" s="18">
        <f t="shared" si="6"/>
        <v>1095.0407679575644</v>
      </c>
      <c r="R53" s="18">
        <f t="shared" si="6"/>
        <v>0</v>
      </c>
      <c r="S53" s="18">
        <f t="shared" si="6"/>
        <v>0</v>
      </c>
      <c r="T53" s="18">
        <f t="shared" si="6"/>
        <v>0</v>
      </c>
      <c r="U53" s="3"/>
      <c r="V53" s="18">
        <f t="shared" si="14"/>
        <v>1487.4245030233792</v>
      </c>
      <c r="W53" s="3"/>
      <c r="X53" s="14">
        <f t="shared" si="15"/>
        <v>555.80405769465642</v>
      </c>
      <c r="Y53" s="14">
        <f t="shared" si="16"/>
        <v>23.575496976620798</v>
      </c>
      <c r="AA53" s="14">
        <f t="shared" si="17"/>
        <v>5.8229324067961039E-5</v>
      </c>
      <c r="AB53" s="16"/>
    </row>
    <row r="54" spans="2:28" x14ac:dyDescent="0.35">
      <c r="B54" s="26">
        <v>4.2000000000000028</v>
      </c>
      <c r="C54" s="26">
        <v>1430</v>
      </c>
      <c r="D54" s="18">
        <f t="shared" si="7"/>
        <v>-5.5944153819874751</v>
      </c>
      <c r="E54" s="18">
        <f t="shared" si="7"/>
        <v>-9.082585991435927</v>
      </c>
      <c r="F54" s="18">
        <f t="shared" si="7"/>
        <v>1000013.8155105581</v>
      </c>
      <c r="G54" s="18">
        <f t="shared" si="7"/>
        <v>1000013.8155105581</v>
      </c>
      <c r="H54" s="18">
        <f t="shared" si="7"/>
        <v>1000013.8155105581</v>
      </c>
      <c r="I54" s="3"/>
      <c r="J54" s="17">
        <f t="shared" si="8"/>
        <v>3.7048214854010254E-3</v>
      </c>
      <c r="K54" s="17">
        <f t="shared" si="9"/>
        <v>1.1361447876123275E-4</v>
      </c>
      <c r="L54" s="17">
        <f t="shared" si="10"/>
        <v>999999.99999309238</v>
      </c>
      <c r="M54" s="17">
        <f t="shared" si="11"/>
        <v>999999.99999309238</v>
      </c>
      <c r="N54" s="17">
        <f t="shared" si="12"/>
        <v>999999.99999309238</v>
      </c>
      <c r="O54" s="3"/>
      <c r="P54" s="18">
        <f t="shared" si="13"/>
        <v>388.66486896516358</v>
      </c>
      <c r="Q54" s="18">
        <f t="shared" si="6"/>
        <v>1093.6805658999929</v>
      </c>
      <c r="R54" s="18">
        <f t="shared" si="6"/>
        <v>0</v>
      </c>
      <c r="S54" s="18">
        <f t="shared" si="6"/>
        <v>0</v>
      </c>
      <c r="T54" s="18">
        <f t="shared" si="6"/>
        <v>0</v>
      </c>
      <c r="U54" s="3"/>
      <c r="V54" s="18">
        <f t="shared" si="14"/>
        <v>1482.3454348651564</v>
      </c>
      <c r="W54" s="3"/>
      <c r="X54" s="14">
        <f t="shared" si="15"/>
        <v>2740.0445512223364</v>
      </c>
      <c r="Y54" s="14">
        <f t="shared" si="16"/>
        <v>52.345434865156449</v>
      </c>
      <c r="AA54" s="14">
        <f t="shared" si="17"/>
        <v>1.2928844271084517E-4</v>
      </c>
      <c r="AB54" s="16"/>
    </row>
    <row r="55" spans="2:28" x14ac:dyDescent="0.35">
      <c r="B55" s="26">
        <v>4.5</v>
      </c>
      <c r="C55" s="26">
        <v>1427</v>
      </c>
      <c r="D55" s="18">
        <f t="shared" si="7"/>
        <v>-5.580130953164633</v>
      </c>
      <c r="E55" s="18">
        <f t="shared" si="7"/>
        <v>-9.0807216121348659</v>
      </c>
      <c r="F55" s="18">
        <f t="shared" si="7"/>
        <v>1000013.8155105581</v>
      </c>
      <c r="G55" s="18">
        <f t="shared" si="7"/>
        <v>1000013.8155105581</v>
      </c>
      <c r="H55" s="18">
        <f t="shared" si="7"/>
        <v>1000013.8155105581</v>
      </c>
      <c r="I55" s="3"/>
      <c r="J55" s="17">
        <f t="shared" si="8"/>
        <v>3.7579229687698377E-3</v>
      </c>
      <c r="K55" s="17">
        <f t="shared" si="9"/>
        <v>1.1382647269284227E-4</v>
      </c>
      <c r="L55" s="17">
        <f t="shared" si="10"/>
        <v>999999.99999309238</v>
      </c>
      <c r="M55" s="17">
        <f t="shared" si="11"/>
        <v>999999.99999309238</v>
      </c>
      <c r="N55" s="17">
        <f t="shared" si="12"/>
        <v>999999.99999309238</v>
      </c>
      <c r="O55" s="3"/>
      <c r="P55" s="18">
        <f t="shared" si="13"/>
        <v>383.15255335579224</v>
      </c>
      <c r="Q55" s="18">
        <f t="shared" ref="Q55:Q118" si="18">(D$23*D$22)/(K55+K55^2)</f>
        <v>1091.6434301042757</v>
      </c>
      <c r="R55" s="18">
        <f t="shared" ref="R55:R118" si="19">(E$23*E$22)/(L55+L55^2)</f>
        <v>0</v>
      </c>
      <c r="S55" s="18">
        <f t="shared" ref="S55:S118" si="20">(F$23*F$22)/(M55+M55^2)</f>
        <v>0</v>
      </c>
      <c r="T55" s="18">
        <f t="shared" ref="T55:T118" si="21">(G$23*G$22)/(N55+N55^2)</f>
        <v>0</v>
      </c>
      <c r="U55" s="3"/>
      <c r="V55" s="18">
        <f t="shared" si="14"/>
        <v>1474.7959834600679</v>
      </c>
      <c r="W55" s="3"/>
      <c r="X55" s="14">
        <f t="shared" si="15"/>
        <v>2284.4560349150815</v>
      </c>
      <c r="Y55" s="14">
        <f t="shared" si="16"/>
        <v>47.795983460067873</v>
      </c>
      <c r="AA55" s="14">
        <f t="shared" si="17"/>
        <v>1.1805171330229657E-4</v>
      </c>
      <c r="AB55" s="16"/>
    </row>
    <row r="56" spans="2:28" x14ac:dyDescent="0.35">
      <c r="B56" s="26">
        <v>4.8000000000000043</v>
      </c>
      <c r="C56" s="26">
        <v>1475</v>
      </c>
      <c r="D56" s="18">
        <f t="shared" si="7"/>
        <v>-5.5658465243417909</v>
      </c>
      <c r="E56" s="18">
        <f t="shared" si="7"/>
        <v>-9.0788572328338031</v>
      </c>
      <c r="F56" s="18">
        <f t="shared" si="7"/>
        <v>1000013.8155105581</v>
      </c>
      <c r="G56" s="18">
        <f t="shared" si="7"/>
        <v>1000013.8155105581</v>
      </c>
      <c r="H56" s="18">
        <f t="shared" si="7"/>
        <v>1000013.8155105581</v>
      </c>
      <c r="I56" s="3"/>
      <c r="J56" s="17">
        <f t="shared" si="8"/>
        <v>3.8117826695093743E-3</v>
      </c>
      <c r="K56" s="17">
        <f t="shared" si="9"/>
        <v>1.1403886214008562E-4</v>
      </c>
      <c r="L56" s="17">
        <f t="shared" si="10"/>
        <v>999999.99999309238</v>
      </c>
      <c r="M56" s="17">
        <f t="shared" si="11"/>
        <v>999999.99999309238</v>
      </c>
      <c r="N56" s="17">
        <f t="shared" si="12"/>
        <v>999999.99999309238</v>
      </c>
      <c r="O56" s="3"/>
      <c r="P56" s="18">
        <f t="shared" si="13"/>
        <v>377.7184193864602</v>
      </c>
      <c r="Q56" s="18">
        <f t="shared" si="18"/>
        <v>1089.6100887641653</v>
      </c>
      <c r="R56" s="18">
        <f t="shared" si="19"/>
        <v>0</v>
      </c>
      <c r="S56" s="18">
        <f t="shared" si="20"/>
        <v>0</v>
      </c>
      <c r="T56" s="18">
        <f t="shared" si="21"/>
        <v>0</v>
      </c>
      <c r="U56" s="3"/>
      <c r="V56" s="18">
        <f t="shared" si="14"/>
        <v>1467.3285081506256</v>
      </c>
      <c r="W56" s="3"/>
      <c r="X56" s="14">
        <f t="shared" si="15"/>
        <v>58.851787195018368</v>
      </c>
      <c r="Y56" s="14">
        <f t="shared" si="16"/>
        <v>7.6714918493744335</v>
      </c>
      <c r="AA56" s="14">
        <f t="shared" si="17"/>
        <v>1.8947884128378378E-5</v>
      </c>
      <c r="AB56" s="16"/>
    </row>
    <row r="57" spans="2:28" x14ac:dyDescent="0.35">
      <c r="B57" s="26">
        <v>5.1000000000000014</v>
      </c>
      <c r="C57" s="26">
        <v>1445</v>
      </c>
      <c r="D57" s="18">
        <f t="shared" si="7"/>
        <v>-5.5515620955189489</v>
      </c>
      <c r="E57" s="18">
        <f t="shared" si="7"/>
        <v>-9.076992853532742</v>
      </c>
      <c r="F57" s="18">
        <f t="shared" si="7"/>
        <v>1000013.8155105581</v>
      </c>
      <c r="G57" s="18">
        <f t="shared" si="7"/>
        <v>1000013.8155105581</v>
      </c>
      <c r="H57" s="18">
        <f t="shared" si="7"/>
        <v>1000013.8155105581</v>
      </c>
      <c r="I57" s="3"/>
      <c r="J57" s="17">
        <f t="shared" si="8"/>
        <v>3.8664113308251335E-3</v>
      </c>
      <c r="K57" s="17">
        <f t="shared" si="9"/>
        <v>1.1425164784070473E-4</v>
      </c>
      <c r="L57" s="17">
        <f t="shared" si="10"/>
        <v>999999.99999309238</v>
      </c>
      <c r="M57" s="17">
        <f t="shared" si="11"/>
        <v>999999.99999309238</v>
      </c>
      <c r="N57" s="17">
        <f t="shared" si="12"/>
        <v>999999.99999309238</v>
      </c>
      <c r="O57" s="3"/>
      <c r="P57" s="18">
        <f t="shared" si="13"/>
        <v>372.36135823048613</v>
      </c>
      <c r="Q57" s="18">
        <f t="shared" si="18"/>
        <v>1087.5805348119518</v>
      </c>
      <c r="R57" s="18">
        <f t="shared" si="19"/>
        <v>0</v>
      </c>
      <c r="S57" s="18">
        <f t="shared" si="20"/>
        <v>0</v>
      </c>
      <c r="T57" s="18">
        <f t="shared" si="21"/>
        <v>0</v>
      </c>
      <c r="U57" s="3"/>
      <c r="V57" s="18">
        <f t="shared" si="14"/>
        <v>1459.9418930424379</v>
      </c>
      <c r="W57" s="3"/>
      <c r="X57" s="14">
        <f t="shared" si="15"/>
        <v>223.26016769165318</v>
      </c>
      <c r="Y57" s="14">
        <f t="shared" si="16"/>
        <v>14.941893042437869</v>
      </c>
      <c r="AA57" s="14">
        <f t="shared" si="17"/>
        <v>3.690511097262293E-5</v>
      </c>
      <c r="AB57" s="16"/>
    </row>
    <row r="58" spans="2:28" x14ac:dyDescent="0.35">
      <c r="B58" s="26">
        <v>5.3999999999999986</v>
      </c>
      <c r="C58" s="26">
        <v>1462</v>
      </c>
      <c r="D58" s="18">
        <f t="shared" si="7"/>
        <v>-5.5372776666961068</v>
      </c>
      <c r="E58" s="18">
        <f t="shared" si="7"/>
        <v>-9.0751284742316809</v>
      </c>
      <c r="F58" s="18">
        <f t="shared" si="7"/>
        <v>1000013.8155105581</v>
      </c>
      <c r="G58" s="18">
        <f t="shared" si="7"/>
        <v>1000013.8155105581</v>
      </c>
      <c r="H58" s="18">
        <f t="shared" si="7"/>
        <v>1000013.8155105581</v>
      </c>
      <c r="I58" s="3"/>
      <c r="J58" s="17">
        <f t="shared" si="8"/>
        <v>3.9218198457582664E-3</v>
      </c>
      <c r="K58" s="17">
        <f t="shared" si="9"/>
        <v>1.1446483053381764E-4</v>
      </c>
      <c r="L58" s="17">
        <f t="shared" si="10"/>
        <v>999999.99999309238</v>
      </c>
      <c r="M58" s="17">
        <f t="shared" si="11"/>
        <v>999999.99999309238</v>
      </c>
      <c r="N58" s="17">
        <f t="shared" si="12"/>
        <v>999999.99999309238</v>
      </c>
      <c r="O58" s="3"/>
      <c r="P58" s="18">
        <f t="shared" si="13"/>
        <v>367.08027678775767</v>
      </c>
      <c r="Q58" s="18">
        <f t="shared" si="18"/>
        <v>1085.5547611930838</v>
      </c>
      <c r="R58" s="18">
        <f t="shared" si="19"/>
        <v>0</v>
      </c>
      <c r="S58" s="18">
        <f t="shared" si="20"/>
        <v>0</v>
      </c>
      <c r="T58" s="18">
        <f t="shared" si="21"/>
        <v>0</v>
      </c>
      <c r="U58" s="3"/>
      <c r="V58" s="18">
        <f t="shared" si="14"/>
        <v>1452.6350379808414</v>
      </c>
      <c r="W58" s="3"/>
      <c r="X58" s="14">
        <f t="shared" si="15"/>
        <v>87.702513620283327</v>
      </c>
      <c r="Y58" s="14">
        <f t="shared" si="16"/>
        <v>9.3649620191586109</v>
      </c>
      <c r="AA58" s="14">
        <f t="shared" si="17"/>
        <v>2.3130600760548483E-5</v>
      </c>
      <c r="AB58" s="16"/>
    </row>
    <row r="59" spans="2:28" x14ac:dyDescent="0.35">
      <c r="B59" s="26">
        <v>5.6999999999999957</v>
      </c>
      <c r="C59" s="26">
        <v>1573</v>
      </c>
      <c r="D59" s="18">
        <f t="shared" si="7"/>
        <v>-5.5229932378732647</v>
      </c>
      <c r="E59" s="18">
        <f t="shared" si="7"/>
        <v>-9.073264094930618</v>
      </c>
      <c r="F59" s="18">
        <f t="shared" si="7"/>
        <v>1000013.8155105581</v>
      </c>
      <c r="G59" s="18">
        <f t="shared" si="7"/>
        <v>1000013.8155105581</v>
      </c>
      <c r="H59" s="18">
        <f t="shared" si="7"/>
        <v>1000013.8155105581</v>
      </c>
      <c r="I59" s="3"/>
      <c r="J59" s="17">
        <f t="shared" si="8"/>
        <v>3.9780192592069668E-3</v>
      </c>
      <c r="K59" s="17">
        <f t="shared" si="9"/>
        <v>1.1467841095992039E-4</v>
      </c>
      <c r="L59" s="17">
        <f t="shared" si="10"/>
        <v>999999.99999309238</v>
      </c>
      <c r="M59" s="17">
        <f t="shared" si="11"/>
        <v>999999.99999309238</v>
      </c>
      <c r="N59" s="17">
        <f t="shared" si="12"/>
        <v>999999.99999309238</v>
      </c>
      <c r="O59" s="3"/>
      <c r="P59" s="18">
        <f t="shared" si="13"/>
        <v>361.87409746168578</v>
      </c>
      <c r="Q59" s="18">
        <f t="shared" si="18"/>
        <v>1083.5327608661503</v>
      </c>
      <c r="R59" s="18">
        <f t="shared" si="19"/>
        <v>0</v>
      </c>
      <c r="S59" s="18">
        <f t="shared" si="20"/>
        <v>0</v>
      </c>
      <c r="T59" s="18">
        <f t="shared" si="21"/>
        <v>0</v>
      </c>
      <c r="U59" s="3"/>
      <c r="V59" s="18">
        <f t="shared" si="14"/>
        <v>1445.4068583278361</v>
      </c>
      <c r="W59" s="3"/>
      <c r="X59" s="14">
        <f t="shared" si="15"/>
        <v>16280.009801772898</v>
      </c>
      <c r="Y59" s="14">
        <f t="shared" si="16"/>
        <v>127.59314167216394</v>
      </c>
      <c r="AA59" s="14">
        <f t="shared" si="17"/>
        <v>3.1514340514838347E-4</v>
      </c>
      <c r="AB59" s="16"/>
    </row>
    <row r="60" spans="2:28" x14ac:dyDescent="0.35">
      <c r="B60" s="26">
        <v>6.0000000000000071</v>
      </c>
      <c r="C60" s="26">
        <v>1489</v>
      </c>
      <c r="D60" s="18">
        <f t="shared" si="7"/>
        <v>-5.5087088090504217</v>
      </c>
      <c r="E60" s="18">
        <f t="shared" si="7"/>
        <v>-9.0713997156295569</v>
      </c>
      <c r="F60" s="18">
        <f t="shared" si="7"/>
        <v>1000013.8155105581</v>
      </c>
      <c r="G60" s="18">
        <f t="shared" si="7"/>
        <v>1000013.8155105581</v>
      </c>
      <c r="H60" s="18">
        <f t="shared" si="7"/>
        <v>1000013.8155105581</v>
      </c>
      <c r="I60" s="3"/>
      <c r="J60" s="17">
        <f t="shared" si="8"/>
        <v>4.0350207699731706E-3</v>
      </c>
      <c r="K60" s="17">
        <f t="shared" si="9"/>
        <v>1.1489238986088904E-4</v>
      </c>
      <c r="L60" s="17">
        <f t="shared" si="10"/>
        <v>999999.99999309238</v>
      </c>
      <c r="M60" s="17">
        <f t="shared" si="11"/>
        <v>999999.99999309238</v>
      </c>
      <c r="N60" s="17">
        <f t="shared" si="12"/>
        <v>999999.99999309238</v>
      </c>
      <c r="O60" s="3"/>
      <c r="P60" s="18">
        <f t="shared" si="13"/>
        <v>356.7417579393225</v>
      </c>
      <c r="Q60" s="18">
        <f t="shared" si="18"/>
        <v>1081.5145268028612</v>
      </c>
      <c r="R60" s="18">
        <f t="shared" si="19"/>
        <v>0</v>
      </c>
      <c r="S60" s="18">
        <f t="shared" si="20"/>
        <v>0</v>
      </c>
      <c r="T60" s="18">
        <f t="shared" si="21"/>
        <v>0</v>
      </c>
      <c r="U60" s="3"/>
      <c r="V60" s="18">
        <f t="shared" si="14"/>
        <v>1438.2562847421837</v>
      </c>
      <c r="W60" s="3"/>
      <c r="X60" s="14">
        <f t="shared" si="15"/>
        <v>2574.9246381663438</v>
      </c>
      <c r="Y60" s="14">
        <f t="shared" si="16"/>
        <v>50.743715257816348</v>
      </c>
      <c r="AA60" s="14">
        <f t="shared" si="17"/>
        <v>1.2533234158711043E-4</v>
      </c>
      <c r="AB60" s="16"/>
    </row>
    <row r="61" spans="2:28" x14ac:dyDescent="0.35">
      <c r="B61" s="26">
        <v>6.1999999999999957</v>
      </c>
      <c r="C61" s="26">
        <v>1386</v>
      </c>
      <c r="D61" s="18">
        <f t="shared" si="7"/>
        <v>-5.4991858565018603</v>
      </c>
      <c r="E61" s="18">
        <f t="shared" si="7"/>
        <v>-9.0701567960955156</v>
      </c>
      <c r="F61" s="18">
        <f t="shared" si="7"/>
        <v>1000013.8155105581</v>
      </c>
      <c r="G61" s="18">
        <f t="shared" si="7"/>
        <v>1000013.8155105581</v>
      </c>
      <c r="H61" s="18">
        <f t="shared" si="7"/>
        <v>1000013.8155105581</v>
      </c>
      <c r="I61" s="3"/>
      <c r="J61" s="17">
        <f t="shared" si="8"/>
        <v>4.0734729875873069E-3</v>
      </c>
      <c r="K61" s="17">
        <f t="shared" si="9"/>
        <v>1.1503526420344521E-4</v>
      </c>
      <c r="L61" s="17">
        <f t="shared" si="10"/>
        <v>999999.99999309238</v>
      </c>
      <c r="M61" s="17">
        <f t="shared" si="11"/>
        <v>999999.99999309238</v>
      </c>
      <c r="N61" s="17">
        <f t="shared" si="12"/>
        <v>999999.99999309238</v>
      </c>
      <c r="O61" s="3"/>
      <c r="P61" s="18">
        <f t="shared" si="13"/>
        <v>353.36070259879887</v>
      </c>
      <c r="Q61" s="18">
        <f t="shared" si="18"/>
        <v>1080.17112633119</v>
      </c>
      <c r="R61" s="18">
        <f t="shared" si="19"/>
        <v>0</v>
      </c>
      <c r="S61" s="18">
        <f t="shared" si="20"/>
        <v>0</v>
      </c>
      <c r="T61" s="18">
        <f t="shared" si="21"/>
        <v>0</v>
      </c>
      <c r="U61" s="3"/>
      <c r="V61" s="18">
        <f t="shared" si="14"/>
        <v>1433.5318289299889</v>
      </c>
      <c r="W61" s="3"/>
      <c r="X61" s="14">
        <f t="shared" si="15"/>
        <v>2259.2747614297327</v>
      </c>
      <c r="Y61" s="14">
        <f t="shared" si="16"/>
        <v>47.531828929988933</v>
      </c>
      <c r="AA61" s="14">
        <f t="shared" si="17"/>
        <v>1.1739927574175479E-4</v>
      </c>
      <c r="AB61" s="16"/>
    </row>
    <row r="62" spans="2:28" x14ac:dyDescent="0.35">
      <c r="B62" s="26">
        <v>6.5000000000000071</v>
      </c>
      <c r="C62" s="26">
        <v>1471</v>
      </c>
      <c r="D62" s="18">
        <f t="shared" si="7"/>
        <v>-5.4849014276790173</v>
      </c>
      <c r="E62" s="18">
        <f t="shared" si="7"/>
        <v>-9.0682924167944545</v>
      </c>
      <c r="F62" s="18">
        <f t="shared" si="7"/>
        <v>1000013.8155105581</v>
      </c>
      <c r="G62" s="18">
        <f t="shared" si="7"/>
        <v>1000013.8155105581</v>
      </c>
      <c r="H62" s="18">
        <f t="shared" si="7"/>
        <v>1000013.8155105581</v>
      </c>
      <c r="I62" s="3"/>
      <c r="J62" s="17">
        <f t="shared" si="8"/>
        <v>4.1318366380300158E-3</v>
      </c>
      <c r="K62" s="17">
        <f t="shared" si="9"/>
        <v>1.1524990888156278E-4</v>
      </c>
      <c r="L62" s="17">
        <f t="shared" si="10"/>
        <v>999999.99999309238</v>
      </c>
      <c r="M62" s="17">
        <f t="shared" si="11"/>
        <v>999999.99999309238</v>
      </c>
      <c r="N62" s="17">
        <f t="shared" si="12"/>
        <v>999999.99999309238</v>
      </c>
      <c r="O62" s="3"/>
      <c r="P62" s="18">
        <f t="shared" si="13"/>
        <v>348.34910954607142</v>
      </c>
      <c r="Q62" s="18">
        <f t="shared" si="18"/>
        <v>1078.1591537910876</v>
      </c>
      <c r="R62" s="18">
        <f t="shared" si="19"/>
        <v>0</v>
      </c>
      <c r="S62" s="18">
        <f t="shared" si="20"/>
        <v>0</v>
      </c>
      <c r="T62" s="18">
        <f t="shared" si="21"/>
        <v>0</v>
      </c>
      <c r="U62" s="3"/>
      <c r="V62" s="18">
        <f t="shared" si="14"/>
        <v>1426.508263337159</v>
      </c>
      <c r="W62" s="3"/>
      <c r="X62" s="14">
        <f t="shared" si="15"/>
        <v>1979.5146312755944</v>
      </c>
      <c r="Y62" s="14">
        <f t="shared" si="16"/>
        <v>44.491736662841049</v>
      </c>
      <c r="AA62" s="14">
        <f t="shared" si="17"/>
        <v>1.0989052553403679E-4</v>
      </c>
      <c r="AB62" s="16"/>
    </row>
    <row r="63" spans="2:28" x14ac:dyDescent="0.35">
      <c r="B63" s="26">
        <v>6.8000000000000043</v>
      </c>
      <c r="C63" s="26">
        <v>1419</v>
      </c>
      <c r="D63" s="18">
        <f t="shared" si="7"/>
        <v>-5.4706169988561753</v>
      </c>
      <c r="E63" s="18">
        <f t="shared" si="7"/>
        <v>-9.0664280374933917</v>
      </c>
      <c r="F63" s="18">
        <f t="shared" si="7"/>
        <v>1000013.8155105581</v>
      </c>
      <c r="G63" s="18">
        <f t="shared" si="7"/>
        <v>1000013.8155105581</v>
      </c>
      <c r="H63" s="18">
        <f t="shared" si="7"/>
        <v>1000013.8155105581</v>
      </c>
      <c r="I63" s="3"/>
      <c r="J63" s="17">
        <f t="shared" si="8"/>
        <v>4.1910330175216927E-3</v>
      </c>
      <c r="K63" s="17">
        <f t="shared" si="9"/>
        <v>1.1546495401965287E-4</v>
      </c>
      <c r="L63" s="17">
        <f t="shared" si="10"/>
        <v>999999.99999309238</v>
      </c>
      <c r="M63" s="17">
        <f t="shared" si="11"/>
        <v>999999.99999309238</v>
      </c>
      <c r="N63" s="17">
        <f t="shared" si="12"/>
        <v>999999.99999309238</v>
      </c>
      <c r="O63" s="3"/>
      <c r="P63" s="18">
        <f t="shared" si="13"/>
        <v>343.40859654379932</v>
      </c>
      <c r="Q63" s="18">
        <f t="shared" si="18"/>
        <v>1076.1509288364455</v>
      </c>
      <c r="R63" s="18">
        <f t="shared" si="19"/>
        <v>0</v>
      </c>
      <c r="S63" s="18">
        <f t="shared" si="20"/>
        <v>0</v>
      </c>
      <c r="T63" s="18">
        <f t="shared" si="21"/>
        <v>0</v>
      </c>
      <c r="U63" s="3"/>
      <c r="V63" s="18">
        <f t="shared" si="14"/>
        <v>1419.5595253802448</v>
      </c>
      <c r="W63" s="3"/>
      <c r="X63" s="14">
        <f t="shared" si="15"/>
        <v>0.31306865113814358</v>
      </c>
      <c r="Y63" s="14">
        <f t="shared" si="16"/>
        <v>0.55952538024484966</v>
      </c>
      <c r="AA63" s="14">
        <f t="shared" si="17"/>
        <v>1.3819765802958888E-6</v>
      </c>
      <c r="AB63" s="16"/>
    </row>
    <row r="64" spans="2:28" x14ac:dyDescent="0.35">
      <c r="B64" s="26">
        <v>7.1000000000000014</v>
      </c>
      <c r="C64" s="26">
        <v>1400</v>
      </c>
      <c r="D64" s="18">
        <f t="shared" si="7"/>
        <v>-5.4563325700333332</v>
      </c>
      <c r="E64" s="18">
        <f t="shared" si="7"/>
        <v>-9.0645636581923306</v>
      </c>
      <c r="F64" s="18">
        <f t="shared" si="7"/>
        <v>1000013.8155105581</v>
      </c>
      <c r="G64" s="18">
        <f t="shared" si="7"/>
        <v>1000013.8155105581</v>
      </c>
      <c r="H64" s="18">
        <f t="shared" si="7"/>
        <v>1000013.8155105581</v>
      </c>
      <c r="I64" s="3"/>
      <c r="J64" s="17">
        <f t="shared" si="8"/>
        <v>4.2510739071045722E-3</v>
      </c>
      <c r="K64" s="17">
        <f t="shared" si="9"/>
        <v>1.1568040036467569E-4</v>
      </c>
      <c r="L64" s="17">
        <f t="shared" si="10"/>
        <v>999999.99999309238</v>
      </c>
      <c r="M64" s="17">
        <f t="shared" si="11"/>
        <v>999999.99999309238</v>
      </c>
      <c r="N64" s="17">
        <f t="shared" si="12"/>
        <v>999999.99999309238</v>
      </c>
      <c r="O64" s="3"/>
      <c r="P64" s="18">
        <f t="shared" si="13"/>
        <v>338.53815548776151</v>
      </c>
      <c r="Q64" s="18">
        <f t="shared" si="18"/>
        <v>1074.1464444868554</v>
      </c>
      <c r="R64" s="18">
        <f t="shared" si="19"/>
        <v>0</v>
      </c>
      <c r="S64" s="18">
        <f t="shared" si="20"/>
        <v>0</v>
      </c>
      <c r="T64" s="18">
        <f t="shared" si="21"/>
        <v>0</v>
      </c>
      <c r="U64" s="3"/>
      <c r="V64" s="18">
        <f t="shared" si="14"/>
        <v>1412.684599974617</v>
      </c>
      <c r="W64" s="3"/>
      <c r="X64" s="14">
        <f t="shared" si="15"/>
        <v>160.89907651605253</v>
      </c>
      <c r="Y64" s="14">
        <f t="shared" si="16"/>
        <v>12.684599974616958</v>
      </c>
      <c r="AA64" s="14">
        <f t="shared" si="17"/>
        <v>3.1329803283760551E-5</v>
      </c>
      <c r="AB64" s="16"/>
    </row>
    <row r="65" spans="2:28" x14ac:dyDescent="0.35">
      <c r="B65" s="26">
        <v>7.3999999999999986</v>
      </c>
      <c r="C65" s="26">
        <v>1455</v>
      </c>
      <c r="D65" s="18">
        <f t="shared" si="7"/>
        <v>-5.4420481412104911</v>
      </c>
      <c r="E65" s="18">
        <f t="shared" si="7"/>
        <v>-9.0626992788912695</v>
      </c>
      <c r="F65" s="18">
        <f t="shared" si="7"/>
        <v>1000013.8155105581</v>
      </c>
      <c r="G65" s="18">
        <f t="shared" si="7"/>
        <v>1000013.8155105581</v>
      </c>
      <c r="H65" s="18">
        <f t="shared" si="7"/>
        <v>1000013.8155105581</v>
      </c>
      <c r="I65" s="3"/>
      <c r="J65" s="17">
        <f t="shared" si="8"/>
        <v>4.3119712516181208E-3</v>
      </c>
      <c r="K65" s="17">
        <f t="shared" si="9"/>
        <v>1.1589624866498467E-4</v>
      </c>
      <c r="L65" s="17">
        <f t="shared" si="10"/>
        <v>999999.99999309238</v>
      </c>
      <c r="M65" s="17">
        <f t="shared" si="11"/>
        <v>999999.99999309238</v>
      </c>
      <c r="N65" s="17">
        <f t="shared" si="12"/>
        <v>999999.99999309238</v>
      </c>
      <c r="O65" s="3"/>
      <c r="P65" s="18">
        <f t="shared" si="13"/>
        <v>333.73679257178816</v>
      </c>
      <c r="Q65" s="18">
        <f t="shared" si="18"/>
        <v>1072.1456937749065</v>
      </c>
      <c r="R65" s="18">
        <f t="shared" si="19"/>
        <v>0</v>
      </c>
      <c r="S65" s="18">
        <f t="shared" si="20"/>
        <v>0</v>
      </c>
      <c r="T65" s="18">
        <f t="shared" si="21"/>
        <v>0</v>
      </c>
      <c r="U65" s="3"/>
      <c r="V65" s="18">
        <f t="shared" si="14"/>
        <v>1405.8824863466946</v>
      </c>
      <c r="W65" s="3"/>
      <c r="X65" s="14">
        <f t="shared" si="15"/>
        <v>2412.5301474826447</v>
      </c>
      <c r="Y65" s="14">
        <f t="shared" si="16"/>
        <v>49.117513653305423</v>
      </c>
      <c r="AA65" s="14">
        <f t="shared" si="17"/>
        <v>1.2131577216663082E-4</v>
      </c>
      <c r="AB65" s="16"/>
    </row>
    <row r="66" spans="2:28" x14ac:dyDescent="0.35">
      <c r="B66" s="26">
        <v>7.6999999999999957</v>
      </c>
      <c r="C66" s="26">
        <v>1381</v>
      </c>
      <c r="D66" s="18">
        <f t="shared" si="7"/>
        <v>-5.427763712387649</v>
      </c>
      <c r="E66" s="18">
        <f t="shared" si="7"/>
        <v>-9.0608348995902066</v>
      </c>
      <c r="F66" s="18">
        <f t="shared" si="7"/>
        <v>1000013.8155105581</v>
      </c>
      <c r="G66" s="18">
        <f t="shared" si="7"/>
        <v>1000013.8155105581</v>
      </c>
      <c r="H66" s="18">
        <f t="shared" si="7"/>
        <v>1000013.8155105581</v>
      </c>
      <c r="I66" s="3"/>
      <c r="J66" s="17">
        <f t="shared" si="8"/>
        <v>4.3737371618940701E-3</v>
      </c>
      <c r="K66" s="17">
        <f t="shared" si="9"/>
        <v>1.1611249967032851E-4</v>
      </c>
      <c r="L66" s="17">
        <f t="shared" si="10"/>
        <v>999999.99999309238</v>
      </c>
      <c r="M66" s="17">
        <f t="shared" si="11"/>
        <v>999999.99999309238</v>
      </c>
      <c r="N66" s="17">
        <f t="shared" si="12"/>
        <v>999999.99999309238</v>
      </c>
      <c r="O66" s="3"/>
      <c r="P66" s="18">
        <f t="shared" si="13"/>
        <v>329.00352808497541</v>
      </c>
      <c r="Q66" s="18">
        <f t="shared" si="18"/>
        <v>1070.1486697461642</v>
      </c>
      <c r="R66" s="18">
        <f t="shared" si="19"/>
        <v>0</v>
      </c>
      <c r="S66" s="18">
        <f t="shared" si="20"/>
        <v>0</v>
      </c>
      <c r="T66" s="18">
        <f t="shared" si="21"/>
        <v>0</v>
      </c>
      <c r="U66" s="3"/>
      <c r="V66" s="18">
        <f t="shared" si="14"/>
        <v>1399.1521978311396</v>
      </c>
      <c r="W66" s="3"/>
      <c r="X66" s="14">
        <f t="shared" si="15"/>
        <v>329.50228610082826</v>
      </c>
      <c r="Y66" s="14">
        <f t="shared" si="16"/>
        <v>18.152197831139574</v>
      </c>
      <c r="AA66" s="14">
        <f t="shared" si="17"/>
        <v>4.4834270560801124E-5</v>
      </c>
      <c r="AB66" s="16"/>
    </row>
    <row r="67" spans="2:28" x14ac:dyDescent="0.35">
      <c r="B67" s="26">
        <v>8.0000000000000071</v>
      </c>
      <c r="C67" s="26">
        <v>1341</v>
      </c>
      <c r="D67" s="18">
        <f t="shared" si="7"/>
        <v>-5.413479283564806</v>
      </c>
      <c r="E67" s="18">
        <f t="shared" si="7"/>
        <v>-9.0589705202891455</v>
      </c>
      <c r="F67" s="18">
        <f t="shared" si="7"/>
        <v>1000013.8155105581</v>
      </c>
      <c r="G67" s="18">
        <f t="shared" si="7"/>
        <v>1000013.8155105581</v>
      </c>
      <c r="H67" s="18">
        <f t="shared" si="7"/>
        <v>1000013.8155105581</v>
      </c>
      <c r="I67" s="3"/>
      <c r="J67" s="17">
        <f t="shared" si="8"/>
        <v>4.4363839169784943E-3</v>
      </c>
      <c r="K67" s="17">
        <f t="shared" si="9"/>
        <v>1.1632915413185308E-4</v>
      </c>
      <c r="L67" s="17">
        <f t="shared" si="10"/>
        <v>999999.99999309238</v>
      </c>
      <c r="M67" s="17">
        <f t="shared" si="11"/>
        <v>999999.99999309238</v>
      </c>
      <c r="N67" s="17">
        <f t="shared" si="12"/>
        <v>999999.99999309238</v>
      </c>
      <c r="O67" s="3"/>
      <c r="P67" s="18">
        <f t="shared" si="13"/>
        <v>324.33739621177574</v>
      </c>
      <c r="Q67" s="18">
        <f t="shared" si="18"/>
        <v>1068.1553654591548</v>
      </c>
      <c r="R67" s="18">
        <f t="shared" si="19"/>
        <v>0</v>
      </c>
      <c r="S67" s="18">
        <f t="shared" si="20"/>
        <v>0</v>
      </c>
      <c r="T67" s="18">
        <f t="shared" si="21"/>
        <v>0</v>
      </c>
      <c r="U67" s="3"/>
      <c r="V67" s="18">
        <f t="shared" si="14"/>
        <v>1392.4927616709306</v>
      </c>
      <c r="W67" s="3"/>
      <c r="X67" s="14">
        <f t="shared" si="15"/>
        <v>2651.5045044992571</v>
      </c>
      <c r="Y67" s="14">
        <f t="shared" si="16"/>
        <v>51.492761670930577</v>
      </c>
      <c r="AA67" s="14">
        <f t="shared" si="17"/>
        <v>1.2718241780711233E-4</v>
      </c>
      <c r="AB67" s="16"/>
    </row>
    <row r="68" spans="2:28" x14ac:dyDescent="0.35">
      <c r="B68" s="26">
        <v>8.1999999999999957</v>
      </c>
      <c r="C68" s="26">
        <v>1388</v>
      </c>
      <c r="D68" s="18">
        <f t="shared" si="7"/>
        <v>-5.4039563310162446</v>
      </c>
      <c r="E68" s="18">
        <f t="shared" si="7"/>
        <v>-9.0577276007551042</v>
      </c>
      <c r="F68" s="18">
        <f t="shared" si="7"/>
        <v>1000013.8155105581</v>
      </c>
      <c r="G68" s="18">
        <f t="shared" si="7"/>
        <v>1000013.8155105581</v>
      </c>
      <c r="H68" s="18">
        <f t="shared" si="7"/>
        <v>1000013.8155105581</v>
      </c>
      <c r="I68" s="3"/>
      <c r="J68" s="17">
        <f t="shared" si="8"/>
        <v>4.4786439194176124E-3</v>
      </c>
      <c r="K68" s="17">
        <f t="shared" si="9"/>
        <v>1.1647381495342921E-4</v>
      </c>
      <c r="L68" s="17">
        <f t="shared" si="10"/>
        <v>999999.99999309238</v>
      </c>
      <c r="M68" s="17">
        <f t="shared" si="11"/>
        <v>999999.99999309238</v>
      </c>
      <c r="N68" s="17">
        <f t="shared" si="12"/>
        <v>999999.99999309238</v>
      </c>
      <c r="O68" s="3"/>
      <c r="P68" s="18">
        <f t="shared" si="13"/>
        <v>321.26346678689623</v>
      </c>
      <c r="Q68" s="18">
        <f t="shared" si="18"/>
        <v>1066.8285590356284</v>
      </c>
      <c r="R68" s="18">
        <f t="shared" si="19"/>
        <v>0</v>
      </c>
      <c r="S68" s="18">
        <f t="shared" si="20"/>
        <v>0</v>
      </c>
      <c r="T68" s="18">
        <f t="shared" si="21"/>
        <v>0</v>
      </c>
      <c r="U68" s="3"/>
      <c r="V68" s="18">
        <f t="shared" si="14"/>
        <v>1388.0920258225246</v>
      </c>
      <c r="W68" s="3"/>
      <c r="X68" s="14">
        <f t="shared" si="15"/>
        <v>8.4687520113378417E-3</v>
      </c>
      <c r="Y68" s="14">
        <f t="shared" si="16"/>
        <v>9.2025822524647083E-2</v>
      </c>
      <c r="AA68" s="14">
        <f t="shared" si="17"/>
        <v>2.2729537569122416E-7</v>
      </c>
      <c r="AB68" s="16"/>
    </row>
    <row r="69" spans="2:28" x14ac:dyDescent="0.35">
      <c r="B69" s="26">
        <v>8.5000000000000071</v>
      </c>
      <c r="C69" s="26">
        <v>1330</v>
      </c>
      <c r="D69" s="18">
        <f t="shared" si="7"/>
        <v>-5.3896719021934025</v>
      </c>
      <c r="E69" s="18">
        <f t="shared" si="7"/>
        <v>-9.0558632214540431</v>
      </c>
      <c r="F69" s="18">
        <f t="shared" si="7"/>
        <v>1000013.8155105581</v>
      </c>
      <c r="G69" s="18">
        <f t="shared" si="7"/>
        <v>1000013.8155105581</v>
      </c>
      <c r="H69" s="18">
        <f t="shared" si="7"/>
        <v>1000013.8155105581</v>
      </c>
      <c r="I69" s="3"/>
      <c r="J69" s="17">
        <f t="shared" si="8"/>
        <v>4.5427864999696534E-3</v>
      </c>
      <c r="K69" s="17">
        <f t="shared" si="9"/>
        <v>1.1669114351494079E-4</v>
      </c>
      <c r="L69" s="17">
        <f t="shared" si="10"/>
        <v>999999.99999309238</v>
      </c>
      <c r="M69" s="17">
        <f t="shared" si="11"/>
        <v>999999.99999309238</v>
      </c>
      <c r="N69" s="17">
        <f t="shared" si="12"/>
        <v>999999.99999309238</v>
      </c>
      <c r="O69" s="3"/>
      <c r="P69" s="18">
        <f t="shared" si="13"/>
        <v>316.70711346346752</v>
      </c>
      <c r="Q69" s="18">
        <f t="shared" si="18"/>
        <v>1064.8414389277693</v>
      </c>
      <c r="R69" s="18">
        <f t="shared" si="19"/>
        <v>0</v>
      </c>
      <c r="S69" s="18">
        <f t="shared" si="20"/>
        <v>0</v>
      </c>
      <c r="T69" s="18">
        <f t="shared" si="21"/>
        <v>0</v>
      </c>
      <c r="U69" s="3"/>
      <c r="V69" s="18">
        <f t="shared" si="14"/>
        <v>1381.5485523912369</v>
      </c>
      <c r="W69" s="3"/>
      <c r="X69" s="14">
        <f t="shared" si="15"/>
        <v>2657.2532536320909</v>
      </c>
      <c r="Y69" s="14">
        <f t="shared" si="16"/>
        <v>51.548552391236854</v>
      </c>
      <c r="AA69" s="14">
        <f t="shared" si="17"/>
        <v>1.273202157901589E-4</v>
      </c>
      <c r="AB69" s="16"/>
    </row>
    <row r="70" spans="2:28" x14ac:dyDescent="0.35">
      <c r="B70" s="26">
        <v>8.8000000000000043</v>
      </c>
      <c r="C70" s="26">
        <v>1355</v>
      </c>
      <c r="D70" s="18">
        <f t="shared" si="7"/>
        <v>-5.3753874733705604</v>
      </c>
      <c r="E70" s="18">
        <f t="shared" si="7"/>
        <v>-9.0539988421529802</v>
      </c>
      <c r="F70" s="18">
        <f t="shared" si="7"/>
        <v>1000013.8155105581</v>
      </c>
      <c r="G70" s="18">
        <f t="shared" si="7"/>
        <v>1000013.8155105581</v>
      </c>
      <c r="H70" s="18">
        <f t="shared" si="7"/>
        <v>1000013.8155105581</v>
      </c>
      <c r="I70" s="3"/>
      <c r="J70" s="17">
        <f t="shared" si="8"/>
        <v>4.6078435090282123E-3</v>
      </c>
      <c r="K70" s="17">
        <f t="shared" si="9"/>
        <v>1.1690887754254385E-4</v>
      </c>
      <c r="L70" s="17">
        <f t="shared" si="10"/>
        <v>999999.99999309238</v>
      </c>
      <c r="M70" s="17">
        <f t="shared" si="11"/>
        <v>999999.99999309238</v>
      </c>
      <c r="N70" s="17">
        <f t="shared" si="12"/>
        <v>999999.99999309238</v>
      </c>
      <c r="O70" s="3"/>
      <c r="P70" s="18">
        <f t="shared" si="13"/>
        <v>312.21538368849139</v>
      </c>
      <c r="Q70" s="18">
        <f t="shared" si="18"/>
        <v>1062.8580201141765</v>
      </c>
      <c r="R70" s="18">
        <f t="shared" si="19"/>
        <v>0</v>
      </c>
      <c r="S70" s="18">
        <f t="shared" si="20"/>
        <v>0</v>
      </c>
      <c r="T70" s="18">
        <f t="shared" si="21"/>
        <v>0</v>
      </c>
      <c r="U70" s="3"/>
      <c r="V70" s="18">
        <f t="shared" si="14"/>
        <v>1375.0734038026678</v>
      </c>
      <c r="W70" s="3"/>
      <c r="X70" s="14">
        <f t="shared" si="15"/>
        <v>402.94154022495917</v>
      </c>
      <c r="Y70" s="14">
        <f t="shared" si="16"/>
        <v>20.073403802667826</v>
      </c>
      <c r="AA70" s="14">
        <f t="shared" si="17"/>
        <v>4.9579473821133649E-5</v>
      </c>
      <c r="AB70" s="16"/>
    </row>
    <row r="71" spans="2:28" x14ac:dyDescent="0.35">
      <c r="B71" s="26">
        <v>9.1000000000000014</v>
      </c>
      <c r="C71" s="26">
        <v>1443</v>
      </c>
      <c r="D71" s="18">
        <f t="shared" si="7"/>
        <v>-5.3611030445477175</v>
      </c>
      <c r="E71" s="18">
        <f t="shared" si="7"/>
        <v>-9.0521344628519191</v>
      </c>
      <c r="F71" s="18">
        <f t="shared" si="7"/>
        <v>1000013.8155105581</v>
      </c>
      <c r="G71" s="18">
        <f t="shared" si="7"/>
        <v>1000013.8155105581</v>
      </c>
      <c r="H71" s="18">
        <f t="shared" si="7"/>
        <v>1000013.8155105581</v>
      </c>
      <c r="I71" s="3"/>
      <c r="J71" s="17">
        <f t="shared" si="8"/>
        <v>4.673827861880653E-3</v>
      </c>
      <c r="K71" s="17">
        <f t="shared" si="9"/>
        <v>1.1712701779253195E-4</v>
      </c>
      <c r="L71" s="17">
        <f t="shared" si="10"/>
        <v>999999.99999309238</v>
      </c>
      <c r="M71" s="17">
        <f t="shared" si="11"/>
        <v>999999.99999309238</v>
      </c>
      <c r="N71" s="17">
        <f t="shared" si="12"/>
        <v>999999.99999309238</v>
      </c>
      <c r="O71" s="3"/>
      <c r="P71" s="18">
        <f t="shared" si="13"/>
        <v>307.78736093112002</v>
      </c>
      <c r="Q71" s="18">
        <f t="shared" si="18"/>
        <v>1060.8782957006658</v>
      </c>
      <c r="R71" s="18">
        <f t="shared" si="19"/>
        <v>0</v>
      </c>
      <c r="S71" s="18">
        <f t="shared" si="20"/>
        <v>0</v>
      </c>
      <c r="T71" s="18">
        <f t="shared" si="21"/>
        <v>0</v>
      </c>
      <c r="U71" s="3"/>
      <c r="V71" s="18">
        <f t="shared" si="14"/>
        <v>1368.6656566317859</v>
      </c>
      <c r="W71" s="3"/>
      <c r="X71" s="14">
        <f t="shared" si="15"/>
        <v>5525.5946039835626</v>
      </c>
      <c r="Y71" s="14">
        <f t="shared" si="16"/>
        <v>74.334343368214149</v>
      </c>
      <c r="AA71" s="14">
        <f t="shared" si="17"/>
        <v>1.8359903817337261E-4</v>
      </c>
      <c r="AB71" s="16"/>
    </row>
    <row r="72" spans="2:28" x14ac:dyDescent="0.35">
      <c r="B72" s="26">
        <v>9.3999999999999986</v>
      </c>
      <c r="C72" s="26">
        <v>1398</v>
      </c>
      <c r="D72" s="18">
        <f t="shared" si="7"/>
        <v>-5.3468186157248754</v>
      </c>
      <c r="E72" s="18">
        <f t="shared" si="7"/>
        <v>-9.050270083550858</v>
      </c>
      <c r="F72" s="18">
        <f t="shared" si="7"/>
        <v>1000013.8155105581</v>
      </c>
      <c r="G72" s="18">
        <f t="shared" si="7"/>
        <v>1000013.8155105581</v>
      </c>
      <c r="H72" s="18">
        <f t="shared" si="7"/>
        <v>1000013.8155105581</v>
      </c>
      <c r="I72" s="3"/>
      <c r="J72" s="17">
        <f t="shared" si="8"/>
        <v>4.7407526527638117E-3</v>
      </c>
      <c r="K72" s="17">
        <f t="shared" si="9"/>
        <v>1.1734556502260929E-4</v>
      </c>
      <c r="L72" s="17">
        <f t="shared" si="10"/>
        <v>999999.99999309238</v>
      </c>
      <c r="M72" s="17">
        <f t="shared" si="11"/>
        <v>999999.99999309238</v>
      </c>
      <c r="N72" s="17">
        <f t="shared" si="12"/>
        <v>999999.99999309238</v>
      </c>
      <c r="O72" s="3"/>
      <c r="P72" s="18">
        <f t="shared" si="13"/>
        <v>303.42214165980101</v>
      </c>
      <c r="Q72" s="18">
        <f t="shared" si="18"/>
        <v>1058.902258805889</v>
      </c>
      <c r="R72" s="18">
        <f t="shared" si="19"/>
        <v>0</v>
      </c>
      <c r="S72" s="18">
        <f t="shared" si="20"/>
        <v>0</v>
      </c>
      <c r="T72" s="18">
        <f t="shared" si="21"/>
        <v>0</v>
      </c>
      <c r="U72" s="3"/>
      <c r="V72" s="18">
        <f t="shared" si="14"/>
        <v>1362.3244004656899</v>
      </c>
      <c r="W72" s="3"/>
      <c r="X72" s="14">
        <f t="shared" si="15"/>
        <v>1272.7484021324667</v>
      </c>
      <c r="Y72" s="14">
        <f t="shared" si="16"/>
        <v>35.675599534310095</v>
      </c>
      <c r="AA72" s="14">
        <f t="shared" si="17"/>
        <v>8.8115472121848038E-5</v>
      </c>
      <c r="AB72" s="16"/>
    </row>
    <row r="73" spans="2:28" x14ac:dyDescent="0.35">
      <c r="B73" s="26">
        <v>9.6999999999999957</v>
      </c>
      <c r="C73" s="26">
        <v>1326</v>
      </c>
      <c r="D73" s="18">
        <f t="shared" si="7"/>
        <v>-5.3325341869020333</v>
      </c>
      <c r="E73" s="18">
        <f t="shared" si="7"/>
        <v>-9.0484057042497952</v>
      </c>
      <c r="F73" s="18">
        <f t="shared" si="7"/>
        <v>1000013.8155105581</v>
      </c>
      <c r="G73" s="18">
        <f t="shared" si="7"/>
        <v>1000013.8155105581</v>
      </c>
      <c r="H73" s="18">
        <f t="shared" si="7"/>
        <v>1000013.8155105581</v>
      </c>
      <c r="I73" s="3"/>
      <c r="J73" s="17">
        <f t="shared" si="8"/>
        <v>4.8086311572444022E-3</v>
      </c>
      <c r="K73" s="17">
        <f t="shared" si="9"/>
        <v>1.175645199918926E-4</v>
      </c>
      <c r="L73" s="17">
        <f t="shared" si="10"/>
        <v>999999.99999309238</v>
      </c>
      <c r="M73" s="17">
        <f t="shared" si="11"/>
        <v>999999.99999309238</v>
      </c>
      <c r="N73" s="17">
        <f t="shared" si="12"/>
        <v>999999.99999309238</v>
      </c>
      <c r="O73" s="3"/>
      <c r="P73" s="18">
        <f t="shared" si="13"/>
        <v>299.11883515791044</v>
      </c>
      <c r="Q73" s="18">
        <f t="shared" si="18"/>
        <v>1056.9299025613157</v>
      </c>
      <c r="R73" s="18">
        <f t="shared" si="19"/>
        <v>0</v>
      </c>
      <c r="S73" s="18">
        <f t="shared" si="20"/>
        <v>0</v>
      </c>
      <c r="T73" s="18">
        <f t="shared" si="21"/>
        <v>0</v>
      </c>
      <c r="U73" s="3"/>
      <c r="V73" s="18">
        <f t="shared" si="14"/>
        <v>1356.0487377192262</v>
      </c>
      <c r="W73" s="3"/>
      <c r="X73" s="14">
        <f t="shared" si="15"/>
        <v>902.92663851884799</v>
      </c>
      <c r="Y73" s="14">
        <f t="shared" si="16"/>
        <v>30.04873771922621</v>
      </c>
      <c r="AA73" s="14">
        <f t="shared" si="17"/>
        <v>7.4217637414860719E-5</v>
      </c>
      <c r="AB73" s="16"/>
    </row>
    <row r="74" spans="2:28" x14ac:dyDescent="0.35">
      <c r="B74" s="26">
        <v>10.000000000000007</v>
      </c>
      <c r="C74" s="26">
        <v>1355</v>
      </c>
      <c r="D74" s="18">
        <f t="shared" si="7"/>
        <v>-5.3182497580791903</v>
      </c>
      <c r="E74" s="18">
        <f t="shared" si="7"/>
        <v>-9.0465413249487341</v>
      </c>
      <c r="F74" s="18">
        <f t="shared" si="7"/>
        <v>1000013.8155105581</v>
      </c>
      <c r="G74" s="18">
        <f t="shared" si="7"/>
        <v>1000013.8155105581</v>
      </c>
      <c r="H74" s="18">
        <f t="shared" si="7"/>
        <v>1000013.8155105581</v>
      </c>
      <c r="I74" s="3"/>
      <c r="J74" s="17">
        <f t="shared" si="8"/>
        <v>4.8774768346281933E-3</v>
      </c>
      <c r="K74" s="17">
        <f t="shared" si="9"/>
        <v>1.1778388346091343E-4</v>
      </c>
      <c r="L74" s="17">
        <f t="shared" si="10"/>
        <v>999999.99999309238</v>
      </c>
      <c r="M74" s="17">
        <f t="shared" si="11"/>
        <v>999999.99999309238</v>
      </c>
      <c r="N74" s="17">
        <f t="shared" si="12"/>
        <v>999999.99999309238</v>
      </c>
      <c r="O74" s="3"/>
      <c r="P74" s="18">
        <f t="shared" si="13"/>
        <v>294.87656334200443</v>
      </c>
      <c r="Q74" s="18">
        <f t="shared" si="18"/>
        <v>1054.9612201112141</v>
      </c>
      <c r="R74" s="18">
        <f t="shared" si="19"/>
        <v>0</v>
      </c>
      <c r="S74" s="18">
        <f t="shared" si="20"/>
        <v>0</v>
      </c>
      <c r="T74" s="18">
        <f t="shared" si="21"/>
        <v>0</v>
      </c>
      <c r="U74" s="3"/>
      <c r="V74" s="18">
        <f t="shared" si="14"/>
        <v>1349.8377834532184</v>
      </c>
      <c r="W74" s="3"/>
      <c r="X74" s="14">
        <f t="shared" si="15"/>
        <v>26.648479675865385</v>
      </c>
      <c r="Y74" s="14">
        <f t="shared" si="16"/>
        <v>5.1622165467815648</v>
      </c>
      <c r="AA74" s="14">
        <f t="shared" si="17"/>
        <v>1.2750203336524532E-5</v>
      </c>
      <c r="AB74" s="16"/>
    </row>
    <row r="75" spans="2:28" x14ac:dyDescent="0.35">
      <c r="B75" s="26">
        <v>10.199999999999996</v>
      </c>
      <c r="C75" s="26">
        <v>1376</v>
      </c>
      <c r="D75" s="18">
        <f t="shared" si="7"/>
        <v>-5.3087268055306298</v>
      </c>
      <c r="E75" s="18">
        <f t="shared" si="7"/>
        <v>-9.0452984054146928</v>
      </c>
      <c r="F75" s="18">
        <f t="shared" si="7"/>
        <v>1000013.8155105581</v>
      </c>
      <c r="G75" s="18">
        <f t="shared" si="7"/>
        <v>1000013.8155105581</v>
      </c>
      <c r="H75" s="18">
        <f t="shared" si="7"/>
        <v>1000013.8155105581</v>
      </c>
      <c r="I75" s="3"/>
      <c r="J75" s="17">
        <f t="shared" si="8"/>
        <v>4.923918001937885E-3</v>
      </c>
      <c r="K75" s="17">
        <f t="shared" si="9"/>
        <v>1.1793035309410578E-4</v>
      </c>
      <c r="L75" s="17">
        <f t="shared" si="10"/>
        <v>999999.99999309238</v>
      </c>
      <c r="M75" s="17">
        <f t="shared" si="11"/>
        <v>999999.99999309238</v>
      </c>
      <c r="N75" s="17">
        <f t="shared" si="12"/>
        <v>999999.99999309238</v>
      </c>
      <c r="O75" s="3"/>
      <c r="P75" s="18">
        <f t="shared" si="13"/>
        <v>292.08186231179161</v>
      </c>
      <c r="Q75" s="18">
        <f t="shared" si="18"/>
        <v>1053.6508027616403</v>
      </c>
      <c r="R75" s="18">
        <f t="shared" si="19"/>
        <v>0</v>
      </c>
      <c r="S75" s="18">
        <f t="shared" si="20"/>
        <v>0</v>
      </c>
      <c r="T75" s="18">
        <f t="shared" si="21"/>
        <v>0</v>
      </c>
      <c r="U75" s="3"/>
      <c r="V75" s="18">
        <f t="shared" si="14"/>
        <v>1345.7326650734319</v>
      </c>
      <c r="W75" s="3"/>
      <c r="X75" s="14">
        <f t="shared" si="15"/>
        <v>916.11156355704816</v>
      </c>
      <c r="Y75" s="14">
        <f t="shared" si="16"/>
        <v>30.267334926568083</v>
      </c>
      <c r="AA75" s="14">
        <f t="shared" si="17"/>
        <v>7.4757552549599299E-5</v>
      </c>
      <c r="AB75" s="16"/>
    </row>
    <row r="76" spans="2:28" x14ac:dyDescent="0.35">
      <c r="B76" s="26">
        <v>10.500000000000007</v>
      </c>
      <c r="C76" s="26">
        <v>1345</v>
      </c>
      <c r="D76" s="18">
        <f t="shared" si="7"/>
        <v>-5.2944423767077868</v>
      </c>
      <c r="E76" s="18">
        <f t="shared" si="7"/>
        <v>-9.0434340261136317</v>
      </c>
      <c r="F76" s="18">
        <f t="shared" si="7"/>
        <v>1000013.8155105581</v>
      </c>
      <c r="G76" s="18">
        <f t="shared" si="7"/>
        <v>1000013.8155105581</v>
      </c>
      <c r="H76" s="18">
        <f t="shared" si="7"/>
        <v>1000013.8155105581</v>
      </c>
      <c r="I76" s="3"/>
      <c r="J76" s="17">
        <f t="shared" si="8"/>
        <v>4.994406050511704E-3</v>
      </c>
      <c r="K76" s="17">
        <f t="shared" si="9"/>
        <v>1.1815039908994582E-4</v>
      </c>
      <c r="L76" s="17">
        <f t="shared" si="10"/>
        <v>999999.99999309238</v>
      </c>
      <c r="M76" s="17">
        <f t="shared" si="11"/>
        <v>999999.99999309238</v>
      </c>
      <c r="N76" s="17">
        <f t="shared" si="12"/>
        <v>999999.99999309238</v>
      </c>
      <c r="O76" s="3"/>
      <c r="P76" s="18">
        <f t="shared" si="13"/>
        <v>287.93939742165276</v>
      </c>
      <c r="Q76" s="18">
        <f t="shared" si="18"/>
        <v>1051.688228102028</v>
      </c>
      <c r="R76" s="18">
        <f t="shared" si="19"/>
        <v>0</v>
      </c>
      <c r="S76" s="18">
        <f t="shared" si="20"/>
        <v>0</v>
      </c>
      <c r="T76" s="18">
        <f t="shared" si="21"/>
        <v>0</v>
      </c>
      <c r="U76" s="3"/>
      <c r="V76" s="18">
        <f t="shared" si="14"/>
        <v>1339.6276255236808</v>
      </c>
      <c r="W76" s="3"/>
      <c r="X76" s="14">
        <f t="shared" si="15"/>
        <v>28.862407513806396</v>
      </c>
      <c r="Y76" s="14">
        <f t="shared" si="16"/>
        <v>5.3723744763192371</v>
      </c>
      <c r="AA76" s="14">
        <f t="shared" si="17"/>
        <v>1.3269274225958435E-5</v>
      </c>
      <c r="AB76" s="16"/>
    </row>
    <row r="77" spans="2:28" x14ac:dyDescent="0.35">
      <c r="B77" s="26">
        <v>10.800000000000004</v>
      </c>
      <c r="C77" s="26">
        <v>1263</v>
      </c>
      <c r="D77" s="18">
        <f t="shared" si="7"/>
        <v>-5.2801579478849447</v>
      </c>
      <c r="E77" s="18">
        <f t="shared" si="7"/>
        <v>-9.0415696468125688</v>
      </c>
      <c r="F77" s="18">
        <f t="shared" si="7"/>
        <v>1000013.8155105581</v>
      </c>
      <c r="G77" s="18">
        <f t="shared" si="7"/>
        <v>1000013.8155105581</v>
      </c>
      <c r="H77" s="18">
        <f t="shared" si="7"/>
        <v>1000013.8155105581</v>
      </c>
      <c r="I77" s="3"/>
      <c r="J77" s="17">
        <f t="shared" si="8"/>
        <v>5.0658980803867147E-3</v>
      </c>
      <c r="K77" s="17">
        <f t="shared" si="9"/>
        <v>1.183708556205479E-4</v>
      </c>
      <c r="L77" s="17">
        <f t="shared" si="10"/>
        <v>999999.99999309238</v>
      </c>
      <c r="M77" s="17">
        <f t="shared" si="11"/>
        <v>999999.99999309238</v>
      </c>
      <c r="N77" s="17">
        <f t="shared" si="12"/>
        <v>999999.99999309238</v>
      </c>
      <c r="O77" s="3"/>
      <c r="P77" s="18">
        <f t="shared" si="13"/>
        <v>283.85568606930582</v>
      </c>
      <c r="Q77" s="18">
        <f t="shared" si="18"/>
        <v>1049.7293090172891</v>
      </c>
      <c r="R77" s="18">
        <f t="shared" si="19"/>
        <v>0</v>
      </c>
      <c r="S77" s="18">
        <f t="shared" si="20"/>
        <v>0</v>
      </c>
      <c r="T77" s="18">
        <f t="shared" si="21"/>
        <v>0</v>
      </c>
      <c r="U77" s="3"/>
      <c r="V77" s="18">
        <f t="shared" si="14"/>
        <v>1333.584995086595</v>
      </c>
      <c r="W77" s="3"/>
      <c r="X77" s="14">
        <f t="shared" si="15"/>
        <v>4982.241531374636</v>
      </c>
      <c r="Y77" s="14">
        <f t="shared" si="16"/>
        <v>70.584995086594972</v>
      </c>
      <c r="AA77" s="14">
        <f t="shared" si="17"/>
        <v>1.7433849039571344E-4</v>
      </c>
      <c r="AB77" s="16"/>
    </row>
    <row r="78" spans="2:28" x14ac:dyDescent="0.35">
      <c r="B78" s="26">
        <v>11.100000000000001</v>
      </c>
      <c r="C78" s="26">
        <v>1308</v>
      </c>
      <c r="D78" s="18">
        <f t="shared" si="7"/>
        <v>-5.2658735190621027</v>
      </c>
      <c r="E78" s="18">
        <f t="shared" si="7"/>
        <v>-9.0397052675115077</v>
      </c>
      <c r="F78" s="18">
        <f t="shared" si="7"/>
        <v>1000013.8155105581</v>
      </c>
      <c r="G78" s="18">
        <f t="shared" si="7"/>
        <v>1000013.8155105581</v>
      </c>
      <c r="H78" s="18">
        <f t="shared" si="7"/>
        <v>1000013.8155105581</v>
      </c>
      <c r="I78" s="3"/>
      <c r="J78" s="17">
        <f t="shared" si="8"/>
        <v>5.1384082456635109E-3</v>
      </c>
      <c r="K78" s="17">
        <f t="shared" si="9"/>
        <v>1.1859172345165533E-4</v>
      </c>
      <c r="L78" s="17">
        <f t="shared" si="10"/>
        <v>999999.99999309238</v>
      </c>
      <c r="M78" s="17">
        <f t="shared" si="11"/>
        <v>999999.99999309238</v>
      </c>
      <c r="N78" s="17">
        <f t="shared" si="12"/>
        <v>999999.99999309238</v>
      </c>
      <c r="O78" s="3"/>
      <c r="P78" s="18">
        <f t="shared" si="13"/>
        <v>279.82989497926059</v>
      </c>
      <c r="Q78" s="18">
        <f t="shared" si="18"/>
        <v>1047.7740386983987</v>
      </c>
      <c r="R78" s="18">
        <f t="shared" si="19"/>
        <v>0</v>
      </c>
      <c r="S78" s="18">
        <f t="shared" si="20"/>
        <v>0</v>
      </c>
      <c r="T78" s="18">
        <f t="shared" si="21"/>
        <v>0</v>
      </c>
      <c r="U78" s="3"/>
      <c r="V78" s="18">
        <f t="shared" si="14"/>
        <v>1327.6039336776594</v>
      </c>
      <c r="W78" s="3"/>
      <c r="X78" s="14">
        <f t="shared" si="15"/>
        <v>384.31421563806725</v>
      </c>
      <c r="Y78" s="14">
        <f t="shared" si="16"/>
        <v>19.60393367765937</v>
      </c>
      <c r="AA78" s="14">
        <f t="shared" si="17"/>
        <v>4.8419925495325164E-5</v>
      </c>
      <c r="AB78" s="16"/>
    </row>
    <row r="79" spans="2:28" x14ac:dyDescent="0.35">
      <c r="B79" s="26">
        <v>11.399999999999999</v>
      </c>
      <c r="C79" s="26">
        <v>1360</v>
      </c>
      <c r="D79" s="18">
        <f t="shared" si="7"/>
        <v>-5.2515890902392606</v>
      </c>
      <c r="E79" s="18">
        <f t="shared" si="7"/>
        <v>-9.0378408882104466</v>
      </c>
      <c r="F79" s="18">
        <f t="shared" si="7"/>
        <v>1000013.8155105581</v>
      </c>
      <c r="G79" s="18">
        <f t="shared" si="7"/>
        <v>1000013.8155105581</v>
      </c>
      <c r="H79" s="18">
        <f t="shared" si="7"/>
        <v>1000013.8155105581</v>
      </c>
      <c r="I79" s="3"/>
      <c r="J79" s="17">
        <f t="shared" si="8"/>
        <v>5.2119508958135439E-3</v>
      </c>
      <c r="K79" s="17">
        <f t="shared" si="9"/>
        <v>1.1881300335043979E-4</v>
      </c>
      <c r="L79" s="17">
        <f t="shared" si="10"/>
        <v>999999.99999309238</v>
      </c>
      <c r="M79" s="17">
        <f t="shared" si="11"/>
        <v>999999.99999309238</v>
      </c>
      <c r="N79" s="17">
        <f t="shared" si="12"/>
        <v>999999.99999309238</v>
      </c>
      <c r="O79" s="3"/>
      <c r="P79" s="18">
        <f t="shared" si="13"/>
        <v>275.86120269454011</v>
      </c>
      <c r="Q79" s="18">
        <f t="shared" si="18"/>
        <v>1045.8224103490084</v>
      </c>
      <c r="R79" s="18">
        <f t="shared" si="19"/>
        <v>0</v>
      </c>
      <c r="S79" s="18">
        <f t="shared" si="20"/>
        <v>0</v>
      </c>
      <c r="T79" s="18">
        <f t="shared" si="21"/>
        <v>0</v>
      </c>
      <c r="U79" s="3"/>
      <c r="V79" s="18">
        <f t="shared" si="14"/>
        <v>1321.6836130435486</v>
      </c>
      <c r="W79" s="3"/>
      <c r="X79" s="14">
        <f t="shared" si="15"/>
        <v>1468.1455093965208</v>
      </c>
      <c r="Y79" s="14">
        <f t="shared" si="16"/>
        <v>38.316386956451424</v>
      </c>
      <c r="AA79" s="14">
        <f t="shared" si="17"/>
        <v>9.4637975836232236E-5</v>
      </c>
      <c r="AB79" s="16"/>
    </row>
    <row r="80" spans="2:28" x14ac:dyDescent="0.35">
      <c r="B80" s="26">
        <v>11.699999999999996</v>
      </c>
      <c r="C80" s="26">
        <v>1314</v>
      </c>
      <c r="D80" s="18">
        <f t="shared" si="7"/>
        <v>-5.2373046614164185</v>
      </c>
      <c r="E80" s="18">
        <f t="shared" si="7"/>
        <v>-9.0359765089093838</v>
      </c>
      <c r="F80" s="18">
        <f t="shared" si="7"/>
        <v>1000013.8155105581</v>
      </c>
      <c r="G80" s="18">
        <f t="shared" si="7"/>
        <v>1000013.8155105581</v>
      </c>
      <c r="H80" s="18">
        <f t="shared" si="7"/>
        <v>1000013.8155105581</v>
      </c>
      <c r="I80" s="3"/>
      <c r="J80" s="17">
        <f t="shared" si="8"/>
        <v>5.2865405782566693E-3</v>
      </c>
      <c r="K80" s="17">
        <f t="shared" si="9"/>
        <v>1.1903469608550312E-4</v>
      </c>
      <c r="L80" s="17">
        <f t="shared" si="10"/>
        <v>999999.99999309238</v>
      </c>
      <c r="M80" s="17">
        <f t="shared" si="11"/>
        <v>999999.99999309238</v>
      </c>
      <c r="N80" s="17">
        <f t="shared" si="12"/>
        <v>999999.99999309238</v>
      </c>
      <c r="O80" s="3"/>
      <c r="P80" s="18">
        <f t="shared" si="13"/>
        <v>271.94879940906196</v>
      </c>
      <c r="Q80" s="18">
        <f t="shared" si="18"/>
        <v>1043.8744171854303</v>
      </c>
      <c r="R80" s="18">
        <f t="shared" si="19"/>
        <v>0</v>
      </c>
      <c r="S80" s="18">
        <f t="shared" si="20"/>
        <v>0</v>
      </c>
      <c r="T80" s="18">
        <f t="shared" si="21"/>
        <v>0</v>
      </c>
      <c r="U80" s="3"/>
      <c r="V80" s="18">
        <f t="shared" si="14"/>
        <v>1315.8232165944924</v>
      </c>
      <c r="W80" s="3"/>
      <c r="X80" s="14">
        <f t="shared" si="15"/>
        <v>3.3241187504322851</v>
      </c>
      <c r="Y80" s="14">
        <f t="shared" si="16"/>
        <v>1.8232165944923509</v>
      </c>
      <c r="AA80" s="14">
        <f t="shared" si="17"/>
        <v>4.5031784497294E-6</v>
      </c>
      <c r="AB80" s="16"/>
    </row>
    <row r="81" spans="2:28" x14ac:dyDescent="0.35">
      <c r="B81" s="26">
        <v>12.000000000000007</v>
      </c>
      <c r="C81" s="26">
        <v>1366</v>
      </c>
      <c r="D81" s="18">
        <f t="shared" si="7"/>
        <v>-5.2230202325935755</v>
      </c>
      <c r="E81" s="18">
        <f t="shared" si="7"/>
        <v>-9.0341121296083227</v>
      </c>
      <c r="F81" s="18">
        <f t="shared" si="7"/>
        <v>1000013.8155105581</v>
      </c>
      <c r="G81" s="18">
        <f t="shared" si="7"/>
        <v>1000013.8155105581</v>
      </c>
      <c r="H81" s="18">
        <f t="shared" si="7"/>
        <v>1000013.8155105581</v>
      </c>
      <c r="I81" s="3"/>
      <c r="J81" s="17">
        <f t="shared" si="8"/>
        <v>5.3621920409692766E-3</v>
      </c>
      <c r="K81" s="17">
        <f t="shared" si="9"/>
        <v>1.1925680242687951E-4</v>
      </c>
      <c r="L81" s="17">
        <f t="shared" si="10"/>
        <v>999999.99999309238</v>
      </c>
      <c r="M81" s="17">
        <f t="shared" si="11"/>
        <v>999999.99999309238</v>
      </c>
      <c r="N81" s="17">
        <f t="shared" si="12"/>
        <v>999999.99999309238</v>
      </c>
      <c r="O81" s="3"/>
      <c r="P81" s="18">
        <f t="shared" si="13"/>
        <v>268.09188680239788</v>
      </c>
      <c r="Q81" s="18">
        <f t="shared" si="18"/>
        <v>1041.9300524366163</v>
      </c>
      <c r="R81" s="18">
        <f t="shared" si="19"/>
        <v>0</v>
      </c>
      <c r="S81" s="18">
        <f t="shared" si="20"/>
        <v>0</v>
      </c>
      <c r="T81" s="18">
        <f t="shared" si="21"/>
        <v>0</v>
      </c>
      <c r="U81" s="3"/>
      <c r="V81" s="18">
        <f t="shared" si="14"/>
        <v>1310.021939239014</v>
      </c>
      <c r="W81" s="3"/>
      <c r="X81" s="14">
        <f t="shared" si="15"/>
        <v>3133.5432865606354</v>
      </c>
      <c r="Y81" s="14">
        <f t="shared" si="16"/>
        <v>55.978060760985954</v>
      </c>
      <c r="AA81" s="14">
        <f t="shared" si="17"/>
        <v>1.382606968574147E-4</v>
      </c>
      <c r="AB81" s="16"/>
    </row>
    <row r="82" spans="2:28" x14ac:dyDescent="0.35">
      <c r="B82" s="26">
        <v>12.199999999999996</v>
      </c>
      <c r="C82" s="26">
        <v>1268</v>
      </c>
      <c r="D82" s="18">
        <f t="shared" si="7"/>
        <v>-5.2134972800450141</v>
      </c>
      <c r="E82" s="18">
        <f t="shared" si="7"/>
        <v>-9.0328692100742813</v>
      </c>
      <c r="F82" s="18">
        <f t="shared" si="7"/>
        <v>1000013.8155105581</v>
      </c>
      <c r="G82" s="18">
        <f t="shared" si="7"/>
        <v>1000013.8155105581</v>
      </c>
      <c r="H82" s="18">
        <f t="shared" si="7"/>
        <v>1000013.8155105581</v>
      </c>
      <c r="I82" s="3"/>
      <c r="J82" s="17">
        <f t="shared" si="8"/>
        <v>5.4132236022242678E-3</v>
      </c>
      <c r="K82" s="17">
        <f t="shared" si="9"/>
        <v>1.1940510348332944E-4</v>
      </c>
      <c r="L82" s="17">
        <f t="shared" si="10"/>
        <v>999999.99999309238</v>
      </c>
      <c r="M82" s="17">
        <f t="shared" si="11"/>
        <v>999999.99999309238</v>
      </c>
      <c r="N82" s="17">
        <f t="shared" si="12"/>
        <v>999999.99999309238</v>
      </c>
      <c r="O82" s="3"/>
      <c r="P82" s="18">
        <f t="shared" si="13"/>
        <v>265.55105078426521</v>
      </c>
      <c r="Q82" s="18">
        <f t="shared" si="18"/>
        <v>1040.6358217186998</v>
      </c>
      <c r="R82" s="18">
        <f t="shared" si="19"/>
        <v>0</v>
      </c>
      <c r="S82" s="18">
        <f t="shared" si="20"/>
        <v>0</v>
      </c>
      <c r="T82" s="18">
        <f t="shared" si="21"/>
        <v>0</v>
      </c>
      <c r="U82" s="3"/>
      <c r="V82" s="18">
        <f t="shared" si="14"/>
        <v>1306.1868725029651</v>
      </c>
      <c r="W82" s="3"/>
      <c r="X82" s="14">
        <f t="shared" si="15"/>
        <v>1458.2372315577134</v>
      </c>
      <c r="Y82" s="14">
        <f t="shared" si="16"/>
        <v>38.186872502965116</v>
      </c>
      <c r="AA82" s="14">
        <f t="shared" si="17"/>
        <v>9.4318086966401935E-5</v>
      </c>
      <c r="AB82" s="16"/>
    </row>
    <row r="83" spans="2:28" x14ac:dyDescent="0.35">
      <c r="B83" s="26">
        <v>12.500000000000007</v>
      </c>
      <c r="C83" s="26">
        <v>1260</v>
      </c>
      <c r="D83" s="18">
        <f t="shared" si="7"/>
        <v>-5.1992128512221711</v>
      </c>
      <c r="E83" s="18">
        <f t="shared" si="7"/>
        <v>-9.0310048307732202</v>
      </c>
      <c r="F83" s="18">
        <f t="shared" si="7"/>
        <v>1000013.8155105581</v>
      </c>
      <c r="G83" s="18">
        <f t="shared" si="7"/>
        <v>1000013.8155105581</v>
      </c>
      <c r="H83" s="18">
        <f t="shared" si="7"/>
        <v>1000013.8155105581</v>
      </c>
      <c r="I83" s="3"/>
      <c r="J83" s="17">
        <f t="shared" si="8"/>
        <v>5.4906780250969563E-3</v>
      </c>
      <c r="K83" s="17">
        <f t="shared" si="9"/>
        <v>1.1962790088364969E-4</v>
      </c>
      <c r="L83" s="17">
        <f t="shared" si="10"/>
        <v>999999.99999309238</v>
      </c>
      <c r="M83" s="17">
        <f t="shared" si="11"/>
        <v>999999.99999309238</v>
      </c>
      <c r="N83" s="17">
        <f t="shared" si="12"/>
        <v>999999.99999309238</v>
      </c>
      <c r="O83" s="3"/>
      <c r="P83" s="18">
        <f t="shared" si="13"/>
        <v>261.78487927730328</v>
      </c>
      <c r="Q83" s="18">
        <f t="shared" si="18"/>
        <v>1038.6974893152872</v>
      </c>
      <c r="R83" s="18">
        <f t="shared" si="19"/>
        <v>0</v>
      </c>
      <c r="S83" s="18">
        <f t="shared" si="20"/>
        <v>0</v>
      </c>
      <c r="T83" s="18">
        <f t="shared" si="21"/>
        <v>0</v>
      </c>
      <c r="U83" s="3"/>
      <c r="V83" s="18">
        <f t="shared" si="14"/>
        <v>1300.4823685925903</v>
      </c>
      <c r="W83" s="3"/>
      <c r="X83" s="14">
        <f t="shared" si="15"/>
        <v>1638.8221668663432</v>
      </c>
      <c r="Y83" s="14">
        <f t="shared" si="16"/>
        <v>40.482368592590319</v>
      </c>
      <c r="AA83" s="14">
        <f t="shared" si="17"/>
        <v>9.9987752629529869E-5</v>
      </c>
      <c r="AB83" s="16"/>
    </row>
    <row r="84" spans="2:28" x14ac:dyDescent="0.35">
      <c r="B84" s="26">
        <v>12.800000000000004</v>
      </c>
      <c r="C84" s="26">
        <v>1284</v>
      </c>
      <c r="D84" s="18">
        <f t="shared" si="7"/>
        <v>-5.1849284223993291</v>
      </c>
      <c r="E84" s="18">
        <f t="shared" si="7"/>
        <v>-9.0291404514721574</v>
      </c>
      <c r="F84" s="18">
        <f t="shared" si="7"/>
        <v>1000013.8155105581</v>
      </c>
      <c r="G84" s="18">
        <f t="shared" si="7"/>
        <v>1000013.8155105581</v>
      </c>
      <c r="H84" s="18">
        <f t="shared" si="7"/>
        <v>1000013.8155105581</v>
      </c>
      <c r="I84" s="3"/>
      <c r="J84" s="17">
        <f t="shared" si="8"/>
        <v>5.5692345568426876E-3</v>
      </c>
      <c r="K84" s="17">
        <f t="shared" si="9"/>
        <v>1.1985111395073485E-4</v>
      </c>
      <c r="L84" s="17">
        <f t="shared" si="10"/>
        <v>999999.99999309238</v>
      </c>
      <c r="M84" s="17">
        <f t="shared" si="11"/>
        <v>999999.99999309238</v>
      </c>
      <c r="N84" s="17">
        <f t="shared" si="12"/>
        <v>999999.99999309238</v>
      </c>
      <c r="O84" s="3"/>
      <c r="P84" s="18">
        <f t="shared" si="13"/>
        <v>258.07212451525805</v>
      </c>
      <c r="Q84" s="18">
        <f t="shared" si="18"/>
        <v>1036.7627673320935</v>
      </c>
      <c r="R84" s="18">
        <f t="shared" si="19"/>
        <v>0</v>
      </c>
      <c r="S84" s="18">
        <f t="shared" si="20"/>
        <v>0</v>
      </c>
      <c r="T84" s="18">
        <f t="shared" si="21"/>
        <v>0</v>
      </c>
      <c r="U84" s="3"/>
      <c r="V84" s="18">
        <f t="shared" si="14"/>
        <v>1294.8348918473516</v>
      </c>
      <c r="W84" s="3"/>
      <c r="X84" s="14">
        <f t="shared" si="15"/>
        <v>117.39488134380677</v>
      </c>
      <c r="Y84" s="14">
        <f t="shared" si="16"/>
        <v>10.834891847351628</v>
      </c>
      <c r="AA84" s="14">
        <f t="shared" si="17"/>
        <v>2.676119316790659E-5</v>
      </c>
      <c r="AB84" s="16"/>
    </row>
    <row r="85" spans="2:28" x14ac:dyDescent="0.35">
      <c r="B85" s="26">
        <v>13.100000000000001</v>
      </c>
      <c r="C85" s="26">
        <v>1313</v>
      </c>
      <c r="D85" s="18">
        <f t="shared" si="7"/>
        <v>-5.170643993576487</v>
      </c>
      <c r="E85" s="18">
        <f t="shared" si="7"/>
        <v>-9.0272760721710963</v>
      </c>
      <c r="F85" s="18">
        <f t="shared" si="7"/>
        <v>1000013.8155105581</v>
      </c>
      <c r="G85" s="18">
        <f t="shared" si="7"/>
        <v>1000013.8155105581</v>
      </c>
      <c r="H85" s="18">
        <f t="shared" si="7"/>
        <v>1000013.8155105581</v>
      </c>
      <c r="I85" s="3"/>
      <c r="J85" s="17">
        <f t="shared" si="8"/>
        <v>5.6489087036271654E-3</v>
      </c>
      <c r="K85" s="17">
        <f t="shared" si="9"/>
        <v>1.2007474345989604E-4</v>
      </c>
      <c r="L85" s="17">
        <f t="shared" si="10"/>
        <v>999999.99999309238</v>
      </c>
      <c r="M85" s="17">
        <f t="shared" si="11"/>
        <v>999999.99999309238</v>
      </c>
      <c r="N85" s="17">
        <f t="shared" si="12"/>
        <v>999999.99999309238</v>
      </c>
      <c r="O85" s="3"/>
      <c r="P85" s="18">
        <f t="shared" si="13"/>
        <v>254.41202891556284</v>
      </c>
      <c r="Q85" s="18">
        <f t="shared" si="18"/>
        <v>1034.831649044201</v>
      </c>
      <c r="R85" s="18">
        <f t="shared" si="19"/>
        <v>0</v>
      </c>
      <c r="S85" s="18">
        <f t="shared" si="20"/>
        <v>0</v>
      </c>
      <c r="T85" s="18">
        <f t="shared" si="21"/>
        <v>0</v>
      </c>
      <c r="U85" s="3"/>
      <c r="V85" s="18">
        <f t="shared" si="14"/>
        <v>1289.2436779597638</v>
      </c>
      <c r="W85" s="3"/>
      <c r="X85" s="14">
        <f t="shared" si="15"/>
        <v>564.36283687941352</v>
      </c>
      <c r="Y85" s="14">
        <f t="shared" si="16"/>
        <v>23.756322040236228</v>
      </c>
      <c r="AA85" s="14">
        <f t="shared" si="17"/>
        <v>5.8675945457928524E-5</v>
      </c>
      <c r="AB85" s="16"/>
    </row>
    <row r="86" spans="2:28" x14ac:dyDescent="0.35">
      <c r="B86" s="26">
        <v>13.399999999999999</v>
      </c>
      <c r="C86" s="26">
        <v>1246</v>
      </c>
      <c r="D86" s="18">
        <f t="shared" si="7"/>
        <v>-5.1563595647536449</v>
      </c>
      <c r="E86" s="18">
        <f t="shared" si="7"/>
        <v>-9.0254116928700352</v>
      </c>
      <c r="F86" s="18">
        <f t="shared" si="7"/>
        <v>1000013.8155105581</v>
      </c>
      <c r="G86" s="18">
        <f t="shared" si="7"/>
        <v>1000013.8155105581</v>
      </c>
      <c r="H86" s="18">
        <f t="shared" si="7"/>
        <v>1000013.8155105581</v>
      </c>
      <c r="I86" s="3"/>
      <c r="J86" s="17">
        <f t="shared" si="8"/>
        <v>5.729716184756037E-3</v>
      </c>
      <c r="K86" s="17">
        <f t="shared" si="9"/>
        <v>1.2029879018789052E-4</v>
      </c>
      <c r="L86" s="17">
        <f t="shared" si="10"/>
        <v>999999.99999309238</v>
      </c>
      <c r="M86" s="17">
        <f t="shared" si="11"/>
        <v>999999.99999309238</v>
      </c>
      <c r="N86" s="17">
        <f t="shared" si="12"/>
        <v>999999.99999309238</v>
      </c>
      <c r="O86" s="3"/>
      <c r="P86" s="18">
        <f t="shared" si="13"/>
        <v>250.80384564064005</v>
      </c>
      <c r="Q86" s="18">
        <f t="shared" si="18"/>
        <v>1032.9041277392121</v>
      </c>
      <c r="R86" s="18">
        <f t="shared" si="19"/>
        <v>0</v>
      </c>
      <c r="S86" s="18">
        <f t="shared" si="20"/>
        <v>0</v>
      </c>
      <c r="T86" s="18">
        <f t="shared" si="21"/>
        <v>0</v>
      </c>
      <c r="U86" s="3"/>
      <c r="V86" s="18">
        <f t="shared" si="14"/>
        <v>1283.7079733798521</v>
      </c>
      <c r="W86" s="3"/>
      <c r="X86" s="14">
        <f t="shared" si="15"/>
        <v>1421.891256415634</v>
      </c>
      <c r="Y86" s="14">
        <f t="shared" si="16"/>
        <v>37.707973379852092</v>
      </c>
      <c r="AA86" s="14">
        <f t="shared" si="17"/>
        <v>9.3135249876551208E-5</v>
      </c>
      <c r="AB86" s="16"/>
    </row>
    <row r="87" spans="2:28" x14ac:dyDescent="0.35">
      <c r="B87" s="26">
        <v>13.699999999999996</v>
      </c>
      <c r="C87" s="26">
        <v>1283</v>
      </c>
      <c r="D87" s="18">
        <f t="shared" si="7"/>
        <v>-5.1420751359308028</v>
      </c>
      <c r="E87" s="18">
        <f t="shared" si="7"/>
        <v>-9.0235473135689723</v>
      </c>
      <c r="F87" s="18">
        <f t="shared" si="7"/>
        <v>1000013.8155105581</v>
      </c>
      <c r="G87" s="18">
        <f t="shared" si="7"/>
        <v>1000013.8155105581</v>
      </c>
      <c r="H87" s="18">
        <f t="shared" ref="E87:H102" si="22">G$23/(G$21*$A$21)-LN((G$21*$A$21)/G$23)+$B87*G$22</f>
        <v>1000013.8155105581</v>
      </c>
      <c r="I87" s="3"/>
      <c r="J87" s="17">
        <f t="shared" si="8"/>
        <v>5.811672935461306E-3</v>
      </c>
      <c r="K87" s="17">
        <f t="shared" si="9"/>
        <v>1.2052325491292364E-4</v>
      </c>
      <c r="L87" s="17">
        <f t="shared" si="10"/>
        <v>999999.99999309238</v>
      </c>
      <c r="M87" s="17">
        <f t="shared" si="11"/>
        <v>999999.99999309238</v>
      </c>
      <c r="N87" s="17">
        <f t="shared" si="12"/>
        <v>999999.99999309238</v>
      </c>
      <c r="O87" s="3"/>
      <c r="P87" s="18">
        <f t="shared" si="13"/>
        <v>247.24683844550933</v>
      </c>
      <c r="Q87" s="18">
        <f t="shared" si="18"/>
        <v>1030.980196717232</v>
      </c>
      <c r="R87" s="18">
        <f t="shared" si="19"/>
        <v>0</v>
      </c>
      <c r="S87" s="18">
        <f t="shared" si="20"/>
        <v>0</v>
      </c>
      <c r="T87" s="18">
        <f t="shared" si="21"/>
        <v>0</v>
      </c>
      <c r="U87" s="3"/>
      <c r="V87" s="18">
        <f t="shared" si="14"/>
        <v>1278.2270351627415</v>
      </c>
      <c r="W87" s="3"/>
      <c r="X87" s="14">
        <f t="shared" si="15"/>
        <v>22.781193337706455</v>
      </c>
      <c r="Y87" s="14">
        <f t="shared" si="16"/>
        <v>4.7729648372585416</v>
      </c>
      <c r="AA87" s="14">
        <f t="shared" si="17"/>
        <v>1.1788787169548238E-5</v>
      </c>
      <c r="AB87" s="16"/>
    </row>
    <row r="88" spans="2:28" x14ac:dyDescent="0.35">
      <c r="B88" s="26">
        <v>14.000000000000007</v>
      </c>
      <c r="C88" s="26">
        <v>1239</v>
      </c>
      <c r="D88" s="18">
        <f t="shared" si="7"/>
        <v>-5.1277907071079598</v>
      </c>
      <c r="E88" s="18">
        <f t="shared" si="22"/>
        <v>-9.0216829342679112</v>
      </c>
      <c r="F88" s="18">
        <f t="shared" si="22"/>
        <v>1000013.8155105581</v>
      </c>
      <c r="G88" s="18">
        <f t="shared" si="22"/>
        <v>1000013.8155105581</v>
      </c>
      <c r="H88" s="18">
        <f t="shared" si="22"/>
        <v>1000013.8155105581</v>
      </c>
      <c r="I88" s="3"/>
      <c r="J88" s="17">
        <f t="shared" si="8"/>
        <v>5.8947951097200781E-3</v>
      </c>
      <c r="K88" s="17">
        <f t="shared" si="9"/>
        <v>1.2074813841465093E-4</v>
      </c>
      <c r="L88" s="17">
        <f t="shared" si="10"/>
        <v>999999.99999309238</v>
      </c>
      <c r="M88" s="17">
        <f t="shared" si="11"/>
        <v>999999.99999309238</v>
      </c>
      <c r="N88" s="17">
        <f t="shared" si="12"/>
        <v>999999.99999309238</v>
      </c>
      <c r="O88" s="3"/>
      <c r="P88" s="18">
        <f t="shared" si="13"/>
        <v>243.74028152755645</v>
      </c>
      <c r="Q88" s="18">
        <f t="shared" si="18"/>
        <v>1029.0598492908509</v>
      </c>
      <c r="R88" s="18">
        <f t="shared" si="19"/>
        <v>0</v>
      </c>
      <c r="S88" s="18">
        <f t="shared" si="20"/>
        <v>0</v>
      </c>
      <c r="T88" s="18">
        <f t="shared" si="21"/>
        <v>0</v>
      </c>
      <c r="U88" s="3"/>
      <c r="V88" s="18">
        <f t="shared" si="14"/>
        <v>1272.8001308184073</v>
      </c>
      <c r="W88" s="3"/>
      <c r="X88" s="14">
        <f t="shared" si="15"/>
        <v>1142.4488433414467</v>
      </c>
      <c r="Y88" s="14">
        <f t="shared" si="16"/>
        <v>33.800130818407297</v>
      </c>
      <c r="AA88" s="14">
        <f t="shared" si="17"/>
        <v>8.3483235705117357E-5</v>
      </c>
      <c r="AB88" s="16"/>
    </row>
    <row r="89" spans="2:28" x14ac:dyDescent="0.35">
      <c r="B89" s="26">
        <v>14.199999999999996</v>
      </c>
      <c r="C89" s="26">
        <v>1263</v>
      </c>
      <c r="D89" s="18">
        <f t="shared" si="7"/>
        <v>-5.1182677545593993</v>
      </c>
      <c r="E89" s="18">
        <f t="shared" si="22"/>
        <v>-9.0204400147338699</v>
      </c>
      <c r="F89" s="18">
        <f t="shared" si="22"/>
        <v>1000013.8155105581</v>
      </c>
      <c r="G89" s="18">
        <f t="shared" si="22"/>
        <v>1000013.8155105581</v>
      </c>
      <c r="H89" s="18">
        <f t="shared" si="22"/>
        <v>1000013.8155105581</v>
      </c>
      <c r="I89" s="3"/>
      <c r="J89" s="17">
        <f t="shared" si="8"/>
        <v>5.9508654275859246E-3</v>
      </c>
      <c r="K89" s="17">
        <f t="shared" si="9"/>
        <v>1.2089829378852818E-4</v>
      </c>
      <c r="L89" s="17">
        <f t="shared" si="10"/>
        <v>999999.99999309238</v>
      </c>
      <c r="M89" s="17">
        <f t="shared" si="11"/>
        <v>999999.99999309238</v>
      </c>
      <c r="N89" s="17">
        <f t="shared" si="12"/>
        <v>999999.99999309238</v>
      </c>
      <c r="O89" s="3"/>
      <c r="P89" s="18">
        <f t="shared" si="13"/>
        <v>241.43025109068626</v>
      </c>
      <c r="Q89" s="18">
        <f t="shared" si="18"/>
        <v>1027.7816052629189</v>
      </c>
      <c r="R89" s="18">
        <f t="shared" si="19"/>
        <v>0</v>
      </c>
      <c r="S89" s="18">
        <f t="shared" si="20"/>
        <v>0</v>
      </c>
      <c r="T89" s="18">
        <f t="shared" si="21"/>
        <v>0</v>
      </c>
      <c r="U89" s="3"/>
      <c r="V89" s="18">
        <f t="shared" si="14"/>
        <v>1269.2118563536051</v>
      </c>
      <c r="W89" s="3"/>
      <c r="X89" s="14">
        <f t="shared" si="15"/>
        <v>38.587159357823694</v>
      </c>
      <c r="Y89" s="14">
        <f t="shared" si="16"/>
        <v>6.2118563536050715</v>
      </c>
      <c r="AA89" s="14">
        <f t="shared" si="17"/>
        <v>1.5342717781788142E-5</v>
      </c>
      <c r="AB89" s="16"/>
    </row>
    <row r="90" spans="2:28" x14ac:dyDescent="0.35">
      <c r="B90" s="26">
        <v>14.500000000000007</v>
      </c>
      <c r="C90" s="26">
        <v>1282</v>
      </c>
      <c r="D90" s="18">
        <f t="shared" si="7"/>
        <v>-5.1039833257365563</v>
      </c>
      <c r="E90" s="18">
        <f t="shared" si="22"/>
        <v>-9.0185756354328088</v>
      </c>
      <c r="F90" s="18">
        <f t="shared" si="22"/>
        <v>1000013.8155105581</v>
      </c>
      <c r="G90" s="18">
        <f t="shared" si="22"/>
        <v>1000013.8155105581</v>
      </c>
      <c r="H90" s="18">
        <f t="shared" si="22"/>
        <v>1000013.8155105581</v>
      </c>
      <c r="I90" s="3"/>
      <c r="J90" s="17">
        <f t="shared" si="8"/>
        <v>6.0359664753321055E-3</v>
      </c>
      <c r="K90" s="17">
        <f t="shared" si="9"/>
        <v>1.2112387698793068E-4</v>
      </c>
      <c r="L90" s="17">
        <f t="shared" si="10"/>
        <v>999999.99999309238</v>
      </c>
      <c r="M90" s="17">
        <f t="shared" si="11"/>
        <v>999999.99999309238</v>
      </c>
      <c r="N90" s="17">
        <f t="shared" si="12"/>
        <v>999999.99999309238</v>
      </c>
      <c r="O90" s="3"/>
      <c r="P90" s="18">
        <f t="shared" si="13"/>
        <v>238.00619296691775</v>
      </c>
      <c r="Q90" s="18">
        <f t="shared" si="18"/>
        <v>1025.8672156687696</v>
      </c>
      <c r="R90" s="18">
        <f t="shared" si="19"/>
        <v>0</v>
      </c>
      <c r="S90" s="18">
        <f t="shared" si="20"/>
        <v>0</v>
      </c>
      <c r="T90" s="18">
        <f t="shared" si="21"/>
        <v>0</v>
      </c>
      <c r="U90" s="3"/>
      <c r="V90" s="18">
        <f t="shared" si="14"/>
        <v>1263.8734086356874</v>
      </c>
      <c r="W90" s="3"/>
      <c r="X90" s="14">
        <f t="shared" si="15"/>
        <v>328.57331448877272</v>
      </c>
      <c r="Y90" s="14">
        <f t="shared" si="16"/>
        <v>18.126591364312617</v>
      </c>
      <c r="AA90" s="14">
        <f t="shared" si="17"/>
        <v>4.4771024926718372E-5</v>
      </c>
      <c r="AB90" s="16"/>
    </row>
    <row r="91" spans="2:28" x14ac:dyDescent="0.35">
      <c r="B91" s="26">
        <v>14.800000000000004</v>
      </c>
      <c r="C91" s="26">
        <v>1249</v>
      </c>
      <c r="D91" s="18">
        <f t="shared" si="7"/>
        <v>-5.0896988969137142</v>
      </c>
      <c r="E91" s="18">
        <f t="shared" si="22"/>
        <v>-9.016711256131746</v>
      </c>
      <c r="F91" s="18">
        <f t="shared" si="22"/>
        <v>1000013.8155105581</v>
      </c>
      <c r="G91" s="18">
        <f t="shared" si="22"/>
        <v>1000013.8155105581</v>
      </c>
      <c r="H91" s="18">
        <f t="shared" si="22"/>
        <v>1000013.8155105581</v>
      </c>
      <c r="I91" s="3"/>
      <c r="J91" s="17">
        <f t="shared" si="8"/>
        <v>6.1222771151126891E-3</v>
      </c>
      <c r="K91" s="17">
        <f t="shared" si="9"/>
        <v>1.2134988105022387E-4</v>
      </c>
      <c r="L91" s="17">
        <f t="shared" si="10"/>
        <v>999999.99999309238</v>
      </c>
      <c r="M91" s="17">
        <f t="shared" si="11"/>
        <v>999999.99999309238</v>
      </c>
      <c r="N91" s="17">
        <f t="shared" si="12"/>
        <v>999999.99999309238</v>
      </c>
      <c r="O91" s="3"/>
      <c r="P91" s="18">
        <f t="shared" si="13"/>
        <v>234.63069957861586</v>
      </c>
      <c r="Q91" s="18">
        <f t="shared" si="18"/>
        <v>1023.9563918979478</v>
      </c>
      <c r="R91" s="18">
        <f t="shared" si="19"/>
        <v>0</v>
      </c>
      <c r="S91" s="18">
        <f t="shared" si="20"/>
        <v>0</v>
      </c>
      <c r="T91" s="18">
        <f t="shared" si="21"/>
        <v>0</v>
      </c>
      <c r="U91" s="3"/>
      <c r="V91" s="18">
        <f t="shared" si="14"/>
        <v>1258.5870914765637</v>
      </c>
      <c r="W91" s="3"/>
      <c r="X91" s="14">
        <f t="shared" si="15"/>
        <v>91.91232298000088</v>
      </c>
      <c r="Y91" s="14">
        <f t="shared" si="16"/>
        <v>9.5870914765637281</v>
      </c>
      <c r="AA91" s="14">
        <f t="shared" si="17"/>
        <v>2.3679240230295808E-5</v>
      </c>
      <c r="AB91" s="16"/>
    </row>
    <row r="92" spans="2:28" x14ac:dyDescent="0.35">
      <c r="B92" s="26">
        <v>15.100000000000001</v>
      </c>
      <c r="C92" s="26">
        <v>1269</v>
      </c>
      <c r="D92" s="18">
        <f t="shared" si="7"/>
        <v>-5.0754144680908713</v>
      </c>
      <c r="E92" s="18">
        <f t="shared" si="22"/>
        <v>-9.0148468768306849</v>
      </c>
      <c r="F92" s="18">
        <f t="shared" si="22"/>
        <v>1000013.8155105581</v>
      </c>
      <c r="G92" s="18">
        <f t="shared" si="22"/>
        <v>1000013.8155105581</v>
      </c>
      <c r="H92" s="18">
        <f t="shared" si="22"/>
        <v>1000013.8155105581</v>
      </c>
      <c r="I92" s="3"/>
      <c r="J92" s="17">
        <f t="shared" si="8"/>
        <v>6.2098143276151738E-3</v>
      </c>
      <c r="K92" s="17">
        <f t="shared" si="9"/>
        <v>1.2157630676040613E-4</v>
      </c>
      <c r="L92" s="17">
        <f t="shared" si="10"/>
        <v>999999.99999309238</v>
      </c>
      <c r="M92" s="17">
        <f t="shared" si="11"/>
        <v>999999.99999309238</v>
      </c>
      <c r="N92" s="17">
        <f t="shared" si="12"/>
        <v>999999.99999309238</v>
      </c>
      <c r="O92" s="3"/>
      <c r="P92" s="18">
        <f t="shared" si="13"/>
        <v>231.30308216064935</v>
      </c>
      <c r="Q92" s="18">
        <f t="shared" si="18"/>
        <v>1022.0491273086033</v>
      </c>
      <c r="R92" s="18">
        <f t="shared" si="19"/>
        <v>0</v>
      </c>
      <c r="S92" s="18">
        <f t="shared" si="20"/>
        <v>0</v>
      </c>
      <c r="T92" s="18">
        <f t="shared" si="21"/>
        <v>0</v>
      </c>
      <c r="U92" s="3"/>
      <c r="V92" s="18">
        <f t="shared" si="14"/>
        <v>1253.3522094692526</v>
      </c>
      <c r="W92" s="3"/>
      <c r="X92" s="14">
        <f t="shared" si="15"/>
        <v>244.85334849414934</v>
      </c>
      <c r="Y92" s="14">
        <f t="shared" si="16"/>
        <v>15.647790530747443</v>
      </c>
      <c r="AA92" s="14">
        <f t="shared" si="17"/>
        <v>3.8648613289723591E-5</v>
      </c>
      <c r="AB92" s="16"/>
    </row>
    <row r="93" spans="2:28" x14ac:dyDescent="0.35">
      <c r="B93" s="26">
        <v>15.399999999999999</v>
      </c>
      <c r="C93" s="26">
        <v>1269</v>
      </c>
      <c r="D93" s="18">
        <f t="shared" si="7"/>
        <v>-5.0611300392680292</v>
      </c>
      <c r="E93" s="18">
        <f t="shared" si="22"/>
        <v>-9.0129824975296238</v>
      </c>
      <c r="F93" s="18">
        <f t="shared" si="22"/>
        <v>1000013.8155105581</v>
      </c>
      <c r="G93" s="18">
        <f t="shared" si="22"/>
        <v>1000013.8155105581</v>
      </c>
      <c r="H93" s="18">
        <f t="shared" si="22"/>
        <v>1000013.8155105581</v>
      </c>
      <c r="I93" s="3"/>
      <c r="J93" s="17">
        <f t="shared" si="8"/>
        <v>6.298595325861054E-3</v>
      </c>
      <c r="K93" s="17">
        <f t="shared" si="9"/>
        <v>1.2180315490493996E-4</v>
      </c>
      <c r="L93" s="17">
        <f t="shared" si="10"/>
        <v>999999.99999309238</v>
      </c>
      <c r="M93" s="17">
        <f t="shared" si="11"/>
        <v>999999.99999309238</v>
      </c>
      <c r="N93" s="17">
        <f t="shared" si="12"/>
        <v>999999.99999309238</v>
      </c>
      <c r="O93" s="3"/>
      <c r="P93" s="18">
        <f t="shared" si="13"/>
        <v>228.02266171686856</v>
      </c>
      <c r="Q93" s="18">
        <f t="shared" si="18"/>
        <v>1020.145415271252</v>
      </c>
      <c r="R93" s="18">
        <f t="shared" si="19"/>
        <v>0</v>
      </c>
      <c r="S93" s="18">
        <f t="shared" si="20"/>
        <v>0</v>
      </c>
      <c r="T93" s="18">
        <f t="shared" si="21"/>
        <v>0</v>
      </c>
      <c r="U93" s="3"/>
      <c r="V93" s="18">
        <f t="shared" si="14"/>
        <v>1248.1680769881204</v>
      </c>
      <c r="W93" s="3"/>
      <c r="X93" s="14">
        <f t="shared" si="15"/>
        <v>433.96901637287687</v>
      </c>
      <c r="Y93" s="14">
        <f t="shared" si="16"/>
        <v>20.831923011879553</v>
      </c>
      <c r="AA93" s="14">
        <f t="shared" si="17"/>
        <v>5.1452946982219645E-5</v>
      </c>
      <c r="AB93" s="16"/>
    </row>
    <row r="94" spans="2:28" x14ac:dyDescent="0.35">
      <c r="B94" s="26">
        <v>15.699999999999996</v>
      </c>
      <c r="C94" s="26">
        <v>1246</v>
      </c>
      <c r="D94" s="18">
        <f t="shared" si="7"/>
        <v>-5.0468456104451871</v>
      </c>
      <c r="E94" s="18">
        <f t="shared" si="22"/>
        <v>-9.0111181182285609</v>
      </c>
      <c r="F94" s="18">
        <f t="shared" si="22"/>
        <v>1000013.8155105581</v>
      </c>
      <c r="G94" s="18">
        <f t="shared" si="22"/>
        <v>1000013.8155105581</v>
      </c>
      <c r="H94" s="18">
        <f t="shared" si="22"/>
        <v>1000013.8155105581</v>
      </c>
      <c r="I94" s="3"/>
      <c r="J94" s="17">
        <f t="shared" si="8"/>
        <v>6.3886375582125308E-3</v>
      </c>
      <c r="K94" s="17">
        <f t="shared" si="9"/>
        <v>1.2203042627175408E-4</v>
      </c>
      <c r="L94" s="17">
        <f t="shared" si="10"/>
        <v>999999.99999309238</v>
      </c>
      <c r="M94" s="17">
        <f t="shared" si="11"/>
        <v>999999.99999309238</v>
      </c>
      <c r="N94" s="17">
        <f t="shared" si="12"/>
        <v>999999.99999309238</v>
      </c>
      <c r="O94" s="3"/>
      <c r="P94" s="18">
        <f t="shared" si="13"/>
        <v>224.7887688815548</v>
      </c>
      <c r="Q94" s="18">
        <f t="shared" si="18"/>
        <v>1018.2452491687582</v>
      </c>
      <c r="R94" s="18">
        <f t="shared" si="19"/>
        <v>0</v>
      </c>
      <c r="S94" s="18">
        <f t="shared" si="20"/>
        <v>0</v>
      </c>
      <c r="T94" s="18">
        <f t="shared" si="21"/>
        <v>0</v>
      </c>
      <c r="U94" s="3"/>
      <c r="V94" s="18">
        <f t="shared" si="14"/>
        <v>1243.0340180503131</v>
      </c>
      <c r="W94" s="3"/>
      <c r="X94" s="14">
        <f t="shared" si="15"/>
        <v>8.7970489258686264</v>
      </c>
      <c r="Y94" s="14">
        <f t="shared" si="16"/>
        <v>2.9659819496869204</v>
      </c>
      <c r="AA94" s="14">
        <f t="shared" si="17"/>
        <v>7.3257044930722664E-6</v>
      </c>
      <c r="AB94" s="16"/>
    </row>
    <row r="95" spans="2:28" x14ac:dyDescent="0.35">
      <c r="B95" s="26">
        <v>16.000000000000007</v>
      </c>
      <c r="C95" s="26">
        <v>1214</v>
      </c>
      <c r="D95" s="18">
        <f t="shared" si="7"/>
        <v>-5.032561181622345</v>
      </c>
      <c r="E95" s="18">
        <f t="shared" si="22"/>
        <v>-9.0092537389274998</v>
      </c>
      <c r="F95" s="18">
        <f t="shared" si="22"/>
        <v>1000013.8155105581</v>
      </c>
      <c r="G95" s="18">
        <f t="shared" si="22"/>
        <v>1000013.8155105581</v>
      </c>
      <c r="H95" s="18">
        <f t="shared" si="22"/>
        <v>1000013.8155105581</v>
      </c>
      <c r="I95" s="3"/>
      <c r="J95" s="17">
        <f t="shared" si="8"/>
        <v>6.4799587114131281E-3</v>
      </c>
      <c r="K95" s="17">
        <f t="shared" si="9"/>
        <v>1.2225812165024547E-4</v>
      </c>
      <c r="L95" s="17">
        <f t="shared" si="10"/>
        <v>999999.99999309238</v>
      </c>
      <c r="M95" s="17">
        <f t="shared" si="11"/>
        <v>999999.99999309238</v>
      </c>
      <c r="N95" s="17">
        <f t="shared" si="12"/>
        <v>999999.99999309238</v>
      </c>
      <c r="O95" s="3"/>
      <c r="P95" s="18">
        <f t="shared" si="13"/>
        <v>221.60074378283764</v>
      </c>
      <c r="Q95" s="18">
        <f t="shared" si="18"/>
        <v>1016.3486223963171</v>
      </c>
      <c r="R95" s="18">
        <f t="shared" si="19"/>
        <v>0</v>
      </c>
      <c r="S95" s="18">
        <f t="shared" si="20"/>
        <v>0</v>
      </c>
      <c r="T95" s="18">
        <f t="shared" si="21"/>
        <v>0</v>
      </c>
      <c r="U95" s="3"/>
      <c r="V95" s="18">
        <f t="shared" si="14"/>
        <v>1237.9493661791548</v>
      </c>
      <c r="W95" s="3"/>
      <c r="X95" s="14">
        <f t="shared" si="15"/>
        <v>573.5721403832448</v>
      </c>
      <c r="Y95" s="14">
        <f t="shared" si="16"/>
        <v>23.949366179154822</v>
      </c>
      <c r="AA95" s="14">
        <f t="shared" si="17"/>
        <v>5.9152746847763848E-5</v>
      </c>
      <c r="AB95" s="16"/>
    </row>
    <row r="96" spans="2:28" x14ac:dyDescent="0.35">
      <c r="B96" s="26">
        <v>16.199999999999996</v>
      </c>
      <c r="C96" s="26">
        <v>1279</v>
      </c>
      <c r="D96" s="18">
        <f t="shared" si="7"/>
        <v>-5.0230382290737836</v>
      </c>
      <c r="E96" s="18">
        <f t="shared" si="22"/>
        <v>-9.0080108193934585</v>
      </c>
      <c r="F96" s="18">
        <f t="shared" si="22"/>
        <v>1000013.8155105581</v>
      </c>
      <c r="G96" s="18">
        <f t="shared" si="22"/>
        <v>1000013.8155105581</v>
      </c>
      <c r="H96" s="18">
        <f t="shared" si="22"/>
        <v>1000013.8155105581</v>
      </c>
      <c r="I96" s="3"/>
      <c r="J96" s="17">
        <f t="shared" si="8"/>
        <v>6.5415588351982641E-3</v>
      </c>
      <c r="K96" s="17">
        <f t="shared" si="9"/>
        <v>1.2241015452177484E-4</v>
      </c>
      <c r="L96" s="17">
        <f t="shared" si="10"/>
        <v>999999.99999309238</v>
      </c>
      <c r="M96" s="17">
        <f t="shared" si="11"/>
        <v>999999.99999309238</v>
      </c>
      <c r="N96" s="17">
        <f t="shared" si="12"/>
        <v>999999.99999309238</v>
      </c>
      <c r="O96" s="3"/>
      <c r="P96" s="18">
        <f t="shared" si="13"/>
        <v>219.50055417095501</v>
      </c>
      <c r="Q96" s="18">
        <f t="shared" si="18"/>
        <v>1015.0861675864307</v>
      </c>
      <c r="R96" s="18">
        <f t="shared" si="19"/>
        <v>0</v>
      </c>
      <c r="S96" s="18">
        <f t="shared" si="20"/>
        <v>0</v>
      </c>
      <c r="T96" s="18">
        <f t="shared" si="21"/>
        <v>0</v>
      </c>
      <c r="U96" s="3"/>
      <c r="V96" s="18">
        <f t="shared" si="14"/>
        <v>1234.5867217573857</v>
      </c>
      <c r="W96" s="3"/>
      <c r="X96" s="14">
        <f t="shared" si="15"/>
        <v>1972.5392842558765</v>
      </c>
      <c r="Y96" s="14">
        <f t="shared" si="16"/>
        <v>44.413278242614297</v>
      </c>
      <c r="AA96" s="14">
        <f t="shared" si="17"/>
        <v>1.0969674040272971E-4</v>
      </c>
      <c r="AB96" s="16"/>
    </row>
    <row r="97" spans="2:28" x14ac:dyDescent="0.35">
      <c r="B97" s="26">
        <v>16.500000000000007</v>
      </c>
      <c r="C97" s="26">
        <v>1261</v>
      </c>
      <c r="D97" s="18">
        <f t="shared" si="7"/>
        <v>-5.0087538002509406</v>
      </c>
      <c r="E97" s="18">
        <f t="shared" si="22"/>
        <v>-9.0061464400923974</v>
      </c>
      <c r="F97" s="18">
        <f t="shared" si="22"/>
        <v>1000013.8155105581</v>
      </c>
      <c r="G97" s="18">
        <f t="shared" si="22"/>
        <v>1000013.8155105581</v>
      </c>
      <c r="H97" s="18">
        <f t="shared" si="22"/>
        <v>1000013.8155105581</v>
      </c>
      <c r="I97" s="3"/>
      <c r="J97" s="17">
        <f t="shared" si="8"/>
        <v>6.6350514842353587E-3</v>
      </c>
      <c r="K97" s="17">
        <f t="shared" si="9"/>
        <v>1.2263855834461027E-4</v>
      </c>
      <c r="L97" s="17">
        <f t="shared" si="10"/>
        <v>999999.99999309238</v>
      </c>
      <c r="M97" s="17">
        <f t="shared" si="11"/>
        <v>999999.99999309238</v>
      </c>
      <c r="N97" s="17">
        <f t="shared" si="12"/>
        <v>999999.99999309238</v>
      </c>
      <c r="O97" s="3"/>
      <c r="P97" s="18">
        <f t="shared" si="13"/>
        <v>216.38753427787262</v>
      </c>
      <c r="Q97" s="18">
        <f t="shared" si="18"/>
        <v>1013.1954250534583</v>
      </c>
      <c r="R97" s="18">
        <f t="shared" si="19"/>
        <v>0</v>
      </c>
      <c r="S97" s="18">
        <f t="shared" si="20"/>
        <v>0</v>
      </c>
      <c r="T97" s="18">
        <f t="shared" si="21"/>
        <v>0</v>
      </c>
      <c r="U97" s="3"/>
      <c r="V97" s="18">
        <f t="shared" si="14"/>
        <v>1229.5829593313308</v>
      </c>
      <c r="W97" s="3"/>
      <c r="X97" s="14">
        <f t="shared" si="15"/>
        <v>987.03044437681365</v>
      </c>
      <c r="Y97" s="14">
        <f t="shared" si="16"/>
        <v>31.417040668669188</v>
      </c>
      <c r="AA97" s="14">
        <f t="shared" si="17"/>
        <v>7.7597220714643281E-5</v>
      </c>
      <c r="AB97" s="16"/>
    </row>
    <row r="98" spans="2:28" x14ac:dyDescent="0.35">
      <c r="B98" s="26">
        <v>16.800000000000004</v>
      </c>
      <c r="C98" s="26">
        <v>1215</v>
      </c>
      <c r="D98" s="18">
        <f t="shared" si="7"/>
        <v>-4.9944693714280985</v>
      </c>
      <c r="E98" s="18">
        <f t="shared" si="22"/>
        <v>-9.0042820607913345</v>
      </c>
      <c r="F98" s="18">
        <f t="shared" si="22"/>
        <v>1000013.8155105581</v>
      </c>
      <c r="G98" s="18">
        <f t="shared" si="22"/>
        <v>1000013.8155105581</v>
      </c>
      <c r="H98" s="18">
        <f t="shared" si="22"/>
        <v>1000013.8155105581</v>
      </c>
      <c r="I98" s="3"/>
      <c r="J98" s="17">
        <f t="shared" si="8"/>
        <v>6.7298714076843447E-3</v>
      </c>
      <c r="K98" s="17">
        <f t="shared" si="9"/>
        <v>1.2286738829138551E-4</v>
      </c>
      <c r="L98" s="17">
        <f t="shared" si="10"/>
        <v>999999.99999309238</v>
      </c>
      <c r="M98" s="17">
        <f t="shared" si="11"/>
        <v>999999.99999309238</v>
      </c>
      <c r="N98" s="17">
        <f t="shared" si="12"/>
        <v>999999.99999309238</v>
      </c>
      <c r="O98" s="3"/>
      <c r="P98" s="18">
        <f t="shared" si="13"/>
        <v>213.31866785949231</v>
      </c>
      <c r="Q98" s="18">
        <f t="shared" si="18"/>
        <v>1011.3082042977946</v>
      </c>
      <c r="R98" s="18">
        <f t="shared" si="19"/>
        <v>0</v>
      </c>
      <c r="S98" s="18">
        <f t="shared" si="20"/>
        <v>0</v>
      </c>
      <c r="T98" s="18">
        <f t="shared" si="21"/>
        <v>0</v>
      </c>
      <c r="U98" s="3"/>
      <c r="V98" s="18">
        <f t="shared" si="14"/>
        <v>1224.6268721572869</v>
      </c>
      <c r="W98" s="3"/>
      <c r="X98" s="14">
        <f t="shared" si="15"/>
        <v>92.676667532746222</v>
      </c>
      <c r="Y98" s="14">
        <f t="shared" si="16"/>
        <v>9.6268721572869254</v>
      </c>
      <c r="AA98" s="14">
        <f t="shared" si="17"/>
        <v>2.3777494877982441E-5</v>
      </c>
      <c r="AB98" s="16"/>
    </row>
    <row r="99" spans="2:28" x14ac:dyDescent="0.35">
      <c r="B99" s="26">
        <v>17.100000000000001</v>
      </c>
      <c r="C99" s="26">
        <v>1214</v>
      </c>
      <c r="D99" s="18">
        <f t="shared" si="7"/>
        <v>-4.9801849426052565</v>
      </c>
      <c r="E99" s="18">
        <f t="shared" si="22"/>
        <v>-9.0024176814902734</v>
      </c>
      <c r="F99" s="18">
        <f t="shared" si="22"/>
        <v>1000013.8155105581</v>
      </c>
      <c r="G99" s="18">
        <f t="shared" si="22"/>
        <v>1000013.8155105581</v>
      </c>
      <c r="H99" s="18">
        <f t="shared" si="22"/>
        <v>1000013.8155105581</v>
      </c>
      <c r="I99" s="3"/>
      <c r="J99" s="17">
        <f t="shared" si="8"/>
        <v>6.8260371929237144E-3</v>
      </c>
      <c r="K99" s="17">
        <f t="shared" si="9"/>
        <v>1.2309664515690701E-4</v>
      </c>
      <c r="L99" s="17">
        <f t="shared" si="10"/>
        <v>999999.99999309238</v>
      </c>
      <c r="M99" s="17">
        <f t="shared" si="11"/>
        <v>999999.99999309238</v>
      </c>
      <c r="N99" s="17">
        <f t="shared" si="12"/>
        <v>999999.99999309238</v>
      </c>
      <c r="O99" s="3"/>
      <c r="P99" s="18">
        <f t="shared" si="13"/>
        <v>210.29332871717841</v>
      </c>
      <c r="Q99" s="18">
        <f t="shared" si="18"/>
        <v>1009.4244987596321</v>
      </c>
      <c r="R99" s="18">
        <f t="shared" si="19"/>
        <v>0</v>
      </c>
      <c r="S99" s="18">
        <f t="shared" si="20"/>
        <v>0</v>
      </c>
      <c r="T99" s="18">
        <f t="shared" si="21"/>
        <v>0</v>
      </c>
      <c r="U99" s="3"/>
      <c r="V99" s="18">
        <f t="shared" si="14"/>
        <v>1219.7178274768105</v>
      </c>
      <c r="W99" s="3"/>
      <c r="X99" s="14">
        <f t="shared" si="15"/>
        <v>32.693551054569113</v>
      </c>
      <c r="Y99" s="14">
        <f t="shared" si="16"/>
        <v>5.7178274768104984</v>
      </c>
      <c r="AA99" s="14">
        <f t="shared" si="17"/>
        <v>1.4122511582346008E-5</v>
      </c>
      <c r="AB99" s="16"/>
    </row>
    <row r="100" spans="2:28" x14ac:dyDescent="0.35">
      <c r="B100" s="26">
        <v>17.399999999999999</v>
      </c>
      <c r="C100" s="26">
        <v>1214</v>
      </c>
      <c r="D100" s="18">
        <f t="shared" si="7"/>
        <v>-4.9659005137824144</v>
      </c>
      <c r="E100" s="18">
        <f t="shared" si="22"/>
        <v>-9.0005533021892106</v>
      </c>
      <c r="F100" s="18">
        <f t="shared" si="22"/>
        <v>1000013.8155105581</v>
      </c>
      <c r="G100" s="18">
        <f t="shared" si="22"/>
        <v>1000013.8155105581</v>
      </c>
      <c r="H100" s="18">
        <f t="shared" si="22"/>
        <v>1000013.8155105581</v>
      </c>
      <c r="I100" s="3"/>
      <c r="J100" s="17">
        <f t="shared" si="8"/>
        <v>6.9235676803593091E-3</v>
      </c>
      <c r="K100" s="17">
        <f t="shared" si="9"/>
        <v>1.2332632973746408E-4</v>
      </c>
      <c r="L100" s="17">
        <f t="shared" si="10"/>
        <v>999999.99999309238</v>
      </c>
      <c r="M100" s="17">
        <f t="shared" si="11"/>
        <v>999999.99999309238</v>
      </c>
      <c r="N100" s="17">
        <f t="shared" si="12"/>
        <v>999999.99999309238</v>
      </c>
      <c r="O100" s="3"/>
      <c r="P100" s="18">
        <f t="shared" si="13"/>
        <v>207.31089953392544</v>
      </c>
      <c r="Q100" s="18">
        <f t="shared" si="18"/>
        <v>1007.5443018913729</v>
      </c>
      <c r="R100" s="18">
        <f t="shared" si="19"/>
        <v>0</v>
      </c>
      <c r="S100" s="18">
        <f t="shared" si="20"/>
        <v>0</v>
      </c>
      <c r="T100" s="18">
        <f t="shared" si="21"/>
        <v>0</v>
      </c>
      <c r="U100" s="3"/>
      <c r="V100" s="18">
        <f>SUM(P100:T100)</f>
        <v>1214.8552014252984</v>
      </c>
      <c r="W100" s="3"/>
      <c r="X100" s="14">
        <f t="shared" si="15"/>
        <v>0.73136947783249406</v>
      </c>
      <c r="Y100" s="14">
        <f t="shared" si="16"/>
        <v>0.85520142529844634</v>
      </c>
      <c r="AA100" s="14">
        <f t="shared" si="17"/>
        <v>2.1122694035450697E-6</v>
      </c>
      <c r="AB100" s="16"/>
    </row>
    <row r="101" spans="2:28" x14ac:dyDescent="0.35">
      <c r="B101" s="26">
        <v>17.699999999999996</v>
      </c>
      <c r="C101" s="26">
        <v>1228</v>
      </c>
      <c r="D101" s="18">
        <f t="shared" si="7"/>
        <v>-4.9516160849595723</v>
      </c>
      <c r="E101" s="18">
        <f t="shared" si="22"/>
        <v>-8.9986889228881495</v>
      </c>
      <c r="F101" s="18">
        <f t="shared" si="22"/>
        <v>1000013.8155105581</v>
      </c>
      <c r="G101" s="18">
        <f t="shared" si="22"/>
        <v>1000013.8155105581</v>
      </c>
      <c r="H101" s="18">
        <f t="shared" si="22"/>
        <v>1000013.8155105581</v>
      </c>
      <c r="I101" s="3"/>
      <c r="J101" s="17">
        <f t="shared" si="8"/>
        <v>7.0224819666619828E-3</v>
      </c>
      <c r="K101" s="17">
        <f t="shared" si="9"/>
        <v>1.2355644283082936E-4</v>
      </c>
      <c r="L101" s="17">
        <f t="shared" si="10"/>
        <v>999999.99999309238</v>
      </c>
      <c r="M101" s="17">
        <f t="shared" si="11"/>
        <v>999999.99999309238</v>
      </c>
      <c r="N101" s="17">
        <f t="shared" si="12"/>
        <v>999999.99999309238</v>
      </c>
      <c r="O101" s="3"/>
      <c r="P101" s="18">
        <f t="shared" si="13"/>
        <v>204.37077174839459</v>
      </c>
      <c r="Q101" s="18">
        <f t="shared" si="18"/>
        <v>1005.6676071576239</v>
      </c>
      <c r="R101" s="18">
        <f t="shared" si="19"/>
        <v>0</v>
      </c>
      <c r="S101" s="18">
        <f t="shared" si="20"/>
        <v>0</v>
      </c>
      <c r="T101" s="18">
        <f t="shared" si="21"/>
        <v>0</v>
      </c>
      <c r="U101" s="3"/>
      <c r="V101" s="18">
        <f t="shared" si="14"/>
        <v>1210.0383789060186</v>
      </c>
      <c r="W101" s="3"/>
      <c r="X101" s="14">
        <f t="shared" si="15"/>
        <v>322.61983232375832</v>
      </c>
      <c r="Y101" s="14">
        <f t="shared" si="16"/>
        <v>17.961621093981421</v>
      </c>
      <c r="AA101" s="14">
        <f t="shared" si="17"/>
        <v>4.4363563427933407E-5</v>
      </c>
      <c r="AB101" s="16"/>
    </row>
    <row r="102" spans="2:28" x14ac:dyDescent="0.35">
      <c r="B102" s="26">
        <v>18.000000000000007</v>
      </c>
      <c r="C102" s="26">
        <v>1203</v>
      </c>
      <c r="D102" s="18">
        <f t="shared" si="7"/>
        <v>-4.9373316561367293</v>
      </c>
      <c r="E102" s="18">
        <f t="shared" si="22"/>
        <v>-8.9968245435870884</v>
      </c>
      <c r="F102" s="18">
        <f t="shared" si="22"/>
        <v>1000013.8155105581</v>
      </c>
      <c r="G102" s="18">
        <f t="shared" si="22"/>
        <v>1000013.8155105581</v>
      </c>
      <c r="H102" s="18">
        <f t="shared" si="22"/>
        <v>1000013.8155105581</v>
      </c>
      <c r="I102" s="3"/>
      <c r="J102" s="17">
        <f t="shared" si="8"/>
        <v>7.1227994080408164E-3</v>
      </c>
      <c r="K102" s="17">
        <f t="shared" si="9"/>
        <v>1.2378698523626361E-4</v>
      </c>
      <c r="L102" s="17">
        <f t="shared" si="10"/>
        <v>999999.99999309238</v>
      </c>
      <c r="M102" s="17">
        <f t="shared" si="11"/>
        <v>999999.99999309238</v>
      </c>
      <c r="N102" s="17">
        <f t="shared" si="12"/>
        <v>999999.99999309238</v>
      </c>
      <c r="O102" s="3"/>
      <c r="P102" s="18">
        <f t="shared" si="13"/>
        <v>201.47234543073606</v>
      </c>
      <c r="Q102" s="18">
        <f t="shared" si="18"/>
        <v>1003.7944080351592</v>
      </c>
      <c r="R102" s="18">
        <f t="shared" si="19"/>
        <v>0</v>
      </c>
      <c r="S102" s="18">
        <f t="shared" si="20"/>
        <v>0</v>
      </c>
      <c r="T102" s="18">
        <f t="shared" si="21"/>
        <v>0</v>
      </c>
      <c r="U102" s="3"/>
      <c r="V102" s="18">
        <f t="shared" si="14"/>
        <v>1205.2667534658954</v>
      </c>
      <c r="W102" s="3"/>
      <c r="X102" s="14">
        <f t="shared" si="15"/>
        <v>5.1381712751486397</v>
      </c>
      <c r="Y102" s="14">
        <f t="shared" si="16"/>
        <v>2.2667534658953628</v>
      </c>
      <c r="AA102" s="14">
        <f t="shared" si="17"/>
        <v>5.598674007962058E-6</v>
      </c>
      <c r="AB102" s="16"/>
    </row>
    <row r="103" spans="2:28" x14ac:dyDescent="0.35">
      <c r="B103" s="26">
        <v>18.199999999999996</v>
      </c>
      <c r="C103" s="26">
        <v>1243</v>
      </c>
      <c r="D103" s="18">
        <f t="shared" si="7"/>
        <v>-4.9278087035881679</v>
      </c>
      <c r="E103" s="18">
        <f t="shared" ref="E103:H103" si="23">D$23/(D$21*$A$21)-LN((D$21*$A$21)/D$23)+$B103*D$22</f>
        <v>-8.9955816240530471</v>
      </c>
      <c r="F103" s="18">
        <f t="shared" si="23"/>
        <v>1000013.8155105581</v>
      </c>
      <c r="G103" s="18">
        <f t="shared" si="23"/>
        <v>1000013.8155105581</v>
      </c>
      <c r="H103" s="18">
        <f t="shared" si="23"/>
        <v>1000013.8155105581</v>
      </c>
      <c r="I103" s="3"/>
      <c r="J103" s="17">
        <f t="shared" si="8"/>
        <v>7.1904669103965962E-3</v>
      </c>
      <c r="K103" s="17">
        <f t="shared" si="9"/>
        <v>1.2394091907529578E-4</v>
      </c>
      <c r="L103" s="17">
        <f t="shared" si="10"/>
        <v>999999.99999309238</v>
      </c>
      <c r="M103" s="17">
        <f t="shared" si="11"/>
        <v>999999.99999309238</v>
      </c>
      <c r="N103" s="17">
        <f t="shared" si="12"/>
        <v>999999.99999309238</v>
      </c>
      <c r="O103" s="3"/>
      <c r="P103" s="18">
        <f t="shared" si="13"/>
        <v>199.56293629495858</v>
      </c>
      <c r="Q103" s="18">
        <f t="shared" si="18"/>
        <v>1002.5475474106067</v>
      </c>
      <c r="R103" s="18">
        <f t="shared" si="19"/>
        <v>0</v>
      </c>
      <c r="S103" s="18">
        <f t="shared" si="20"/>
        <v>0</v>
      </c>
      <c r="T103" s="18">
        <f t="shared" si="21"/>
        <v>0</v>
      </c>
      <c r="U103" s="3"/>
      <c r="V103" s="18">
        <f t="shared" si="14"/>
        <v>1202.1104837055652</v>
      </c>
      <c r="W103" s="3"/>
      <c r="X103" s="14">
        <f t="shared" si="15"/>
        <v>1671.9525427928465</v>
      </c>
      <c r="Y103" s="14">
        <f t="shared" si="16"/>
        <v>40.88951629443477</v>
      </c>
      <c r="AA103" s="14">
        <f t="shared" si="17"/>
        <v>1.0099337026286063E-4</v>
      </c>
      <c r="AB103" s="16"/>
    </row>
    <row r="104" spans="2:28" x14ac:dyDescent="0.35">
      <c r="B104" s="26">
        <v>18.500000000000007</v>
      </c>
      <c r="C104" s="26">
        <v>1200</v>
      </c>
      <c r="D104" s="18">
        <f t="shared" ref="D104:H167" si="24">C$23/(C$21*$A$21)-LN((C$21*$A$21)/C$23)+$B104*C$22</f>
        <v>-4.9135242747653258</v>
      </c>
      <c r="E104" s="18">
        <f t="shared" si="24"/>
        <v>-8.9937172447519842</v>
      </c>
      <c r="F104" s="18">
        <f t="shared" si="24"/>
        <v>1000013.8155105581</v>
      </c>
      <c r="G104" s="18">
        <f t="shared" si="24"/>
        <v>1000013.8155105581</v>
      </c>
      <c r="H104" s="18">
        <f t="shared" si="24"/>
        <v>1000013.8155105581</v>
      </c>
      <c r="I104" s="3"/>
      <c r="J104" s="17">
        <f t="shared" ref="J104:J113" si="25">lmb_2(D104)</f>
        <v>7.293166672785816E-3</v>
      </c>
      <c r="K104" s="17">
        <f t="shared" ref="K104:K113" si="26">lmb_2(E104)</f>
        <v>1.2417217878102788E-4</v>
      </c>
      <c r="L104" s="17">
        <f t="shared" ref="L104:L113" si="27">lmb_2(F104)</f>
        <v>999999.99999309238</v>
      </c>
      <c r="M104" s="17">
        <f t="shared" ref="M104:M113" si="28">lmb_2(G104)</f>
        <v>999999.99999309238</v>
      </c>
      <c r="N104" s="17">
        <f t="shared" ref="N104:N113" si="29">lmb_2(H104)</f>
        <v>999999.99999309238</v>
      </c>
      <c r="O104" s="3"/>
      <c r="P104" s="18">
        <f t="shared" ref="P104:P167" si="30">(C$23*C$22)/(J104+J104^2)</f>
        <v>196.73270230269463</v>
      </c>
      <c r="Q104" s="18">
        <f t="shared" si="18"/>
        <v>1000.680159843884</v>
      </c>
      <c r="R104" s="18">
        <f t="shared" si="19"/>
        <v>0</v>
      </c>
      <c r="S104" s="18">
        <f t="shared" si="20"/>
        <v>0</v>
      </c>
      <c r="T104" s="18">
        <f t="shared" si="21"/>
        <v>0</v>
      </c>
      <c r="U104" s="3"/>
      <c r="V104" s="18">
        <f t="shared" ref="V104:V113" si="31">SUM(P104:T104)</f>
        <v>1197.4128621465786</v>
      </c>
      <c r="W104" s="3"/>
      <c r="X104" s="14">
        <f t="shared" ref="X104:X113" si="32">(V104-C104)^2</f>
        <v>6.6932822726057957</v>
      </c>
      <c r="Y104" s="14">
        <f t="shared" ref="Y104:Y113" si="33">ABS(V104-C104)</f>
        <v>2.5871378534213818</v>
      </c>
      <c r="AA104" s="14">
        <f t="shared" ref="AA104:AA113" si="34">Y104/$Z$39</f>
        <v>6.3899941801759553E-6</v>
      </c>
      <c r="AB104" s="16"/>
    </row>
    <row r="105" spans="2:28" x14ac:dyDescent="0.35">
      <c r="B105" s="26">
        <v>18.800000000000004</v>
      </c>
      <c r="C105" s="26">
        <v>1170</v>
      </c>
      <c r="D105" s="18">
        <f t="shared" si="24"/>
        <v>-4.8992398459424829</v>
      </c>
      <c r="E105" s="18">
        <f t="shared" si="24"/>
        <v>-8.9918528654509231</v>
      </c>
      <c r="F105" s="18">
        <f t="shared" si="24"/>
        <v>1000013.8155105581</v>
      </c>
      <c r="G105" s="18">
        <f t="shared" si="24"/>
        <v>1000013.8155105581</v>
      </c>
      <c r="H105" s="18">
        <f t="shared" si="24"/>
        <v>1000013.8155105581</v>
      </c>
      <c r="I105" s="3"/>
      <c r="J105" s="17">
        <f t="shared" si="25"/>
        <v>7.397322500940412E-3</v>
      </c>
      <c r="K105" s="17">
        <f t="shared" si="26"/>
        <v>1.2440386993748217E-4</v>
      </c>
      <c r="L105" s="17">
        <f t="shared" si="27"/>
        <v>999999.99999309238</v>
      </c>
      <c r="M105" s="17">
        <f t="shared" si="28"/>
        <v>999999.99999309238</v>
      </c>
      <c r="N105" s="17">
        <f t="shared" si="29"/>
        <v>999999.99999309238</v>
      </c>
      <c r="O105" s="3"/>
      <c r="P105" s="18">
        <f t="shared" si="30"/>
        <v>193.94261123828977</v>
      </c>
      <c r="Q105" s="18">
        <f t="shared" si="18"/>
        <v>998.81625055252346</v>
      </c>
      <c r="R105" s="18">
        <f t="shared" si="19"/>
        <v>0</v>
      </c>
      <c r="S105" s="18">
        <f t="shared" si="20"/>
        <v>0</v>
      </c>
      <c r="T105" s="18">
        <f t="shared" si="21"/>
        <v>0</v>
      </c>
      <c r="U105" s="3"/>
      <c r="V105" s="18">
        <f t="shared" si="31"/>
        <v>1192.7588617908132</v>
      </c>
      <c r="W105" s="3"/>
      <c r="X105" s="14">
        <f t="shared" si="32"/>
        <v>517.96579001333566</v>
      </c>
      <c r="Y105" s="14">
        <f t="shared" si="33"/>
        <v>22.758861790813171</v>
      </c>
      <c r="AA105" s="14">
        <f t="shared" si="34"/>
        <v>5.6212309753189728E-5</v>
      </c>
      <c r="AB105" s="16"/>
    </row>
    <row r="106" spans="2:28" x14ac:dyDescent="0.35">
      <c r="B106" s="26">
        <v>19.100000000000001</v>
      </c>
      <c r="C106" s="26">
        <v>1219</v>
      </c>
      <c r="D106" s="18">
        <f t="shared" si="24"/>
        <v>-4.8849554171196408</v>
      </c>
      <c r="E106" s="18">
        <f t="shared" si="24"/>
        <v>-8.989988486149862</v>
      </c>
      <c r="F106" s="18">
        <f t="shared" si="24"/>
        <v>1000013.8155105581</v>
      </c>
      <c r="G106" s="18">
        <f t="shared" si="24"/>
        <v>1000013.8155105581</v>
      </c>
      <c r="H106" s="18">
        <f t="shared" si="24"/>
        <v>1000013.8155105581</v>
      </c>
      <c r="I106" s="3"/>
      <c r="J106" s="17">
        <f t="shared" si="25"/>
        <v>7.5029547312933488E-3</v>
      </c>
      <c r="K106" s="17">
        <f t="shared" si="26"/>
        <v>1.2463599334939639E-4</v>
      </c>
      <c r="L106" s="17">
        <f t="shared" si="27"/>
        <v>999999.99999309238</v>
      </c>
      <c r="M106" s="17">
        <f t="shared" si="28"/>
        <v>999999.99999309238</v>
      </c>
      <c r="N106" s="17">
        <f t="shared" si="29"/>
        <v>999999.99999309238</v>
      </c>
      <c r="O106" s="3"/>
      <c r="P106" s="18">
        <f t="shared" si="30"/>
        <v>191.1920937864796</v>
      </c>
      <c r="Q106" s="18">
        <f t="shared" si="18"/>
        <v>996.95581305774022</v>
      </c>
      <c r="R106" s="18">
        <f t="shared" si="19"/>
        <v>0</v>
      </c>
      <c r="S106" s="18">
        <f t="shared" si="20"/>
        <v>0</v>
      </c>
      <c r="T106" s="18">
        <f t="shared" si="21"/>
        <v>0</v>
      </c>
      <c r="U106" s="3"/>
      <c r="V106" s="18">
        <f t="shared" si="31"/>
        <v>1188.1479068442197</v>
      </c>
      <c r="W106" s="3"/>
      <c r="X106" s="14">
        <f t="shared" si="32"/>
        <v>951.8516520929436</v>
      </c>
      <c r="Y106" s="14">
        <f t="shared" si="33"/>
        <v>30.852093155780267</v>
      </c>
      <c r="AA106" s="14">
        <f t="shared" si="34"/>
        <v>7.6201851961992163E-5</v>
      </c>
      <c r="AB106" s="16"/>
    </row>
    <row r="107" spans="2:28" x14ac:dyDescent="0.35">
      <c r="B107" s="26">
        <v>19.399999999999999</v>
      </c>
      <c r="C107" s="26">
        <v>1169</v>
      </c>
      <c r="D107" s="18">
        <f t="shared" si="24"/>
        <v>-4.8706709882967987</v>
      </c>
      <c r="E107" s="18">
        <f t="shared" si="24"/>
        <v>-8.9881241068487991</v>
      </c>
      <c r="F107" s="18">
        <f t="shared" si="24"/>
        <v>1000013.8155105581</v>
      </c>
      <c r="G107" s="18">
        <f t="shared" si="24"/>
        <v>1000013.8155105581</v>
      </c>
      <c r="H107" s="18">
        <f t="shared" si="24"/>
        <v>1000013.8155105581</v>
      </c>
      <c r="I107" s="3"/>
      <c r="J107" s="17">
        <f t="shared" si="25"/>
        <v>7.6100839755666371E-3</v>
      </c>
      <c r="K107" s="17">
        <f t="shared" si="26"/>
        <v>1.2486854982300861E-4</v>
      </c>
      <c r="L107" s="17">
        <f t="shared" si="27"/>
        <v>999999.99999309238</v>
      </c>
      <c r="M107" s="17">
        <f t="shared" si="28"/>
        <v>999999.99999309238</v>
      </c>
      <c r="N107" s="17">
        <f t="shared" si="29"/>
        <v>999999.99999309238</v>
      </c>
      <c r="O107" s="3"/>
      <c r="P107" s="18">
        <f t="shared" si="30"/>
        <v>188.48058870688274</v>
      </c>
      <c r="Q107" s="18">
        <f t="shared" si="18"/>
        <v>995.09884089281661</v>
      </c>
      <c r="R107" s="18">
        <f t="shared" si="19"/>
        <v>0</v>
      </c>
      <c r="S107" s="18">
        <f t="shared" si="20"/>
        <v>0</v>
      </c>
      <c r="T107" s="18">
        <f t="shared" si="21"/>
        <v>0</v>
      </c>
      <c r="U107" s="3"/>
      <c r="V107" s="18">
        <f t="shared" si="31"/>
        <v>1183.5794295996993</v>
      </c>
      <c r="W107" s="3"/>
      <c r="X107" s="14">
        <f t="shared" si="32"/>
        <v>212.5597674525888</v>
      </c>
      <c r="Y107" s="14">
        <f t="shared" si="33"/>
        <v>14.579429599699324</v>
      </c>
      <c r="AA107" s="14">
        <f t="shared" si="34"/>
        <v>3.6009859377674932E-5</v>
      </c>
      <c r="AB107" s="16"/>
    </row>
    <row r="108" spans="2:28" x14ac:dyDescent="0.35">
      <c r="B108" s="26">
        <v>19.699999999999996</v>
      </c>
      <c r="C108" s="26">
        <v>1205</v>
      </c>
      <c r="D108" s="18">
        <f t="shared" si="24"/>
        <v>-4.8563865594739566</v>
      </c>
      <c r="E108" s="18">
        <f t="shared" si="24"/>
        <v>-8.9862597275477381</v>
      </c>
      <c r="F108" s="18">
        <f t="shared" si="24"/>
        <v>1000013.8155105581</v>
      </c>
      <c r="G108" s="18">
        <f t="shared" si="24"/>
        <v>1000013.8155105581</v>
      </c>
      <c r="H108" s="18">
        <f t="shared" si="24"/>
        <v>1000013.8155105581</v>
      </c>
      <c r="I108" s="3"/>
      <c r="J108" s="17">
        <f t="shared" si="25"/>
        <v>7.718731124249735E-3</v>
      </c>
      <c r="K108" s="17">
        <f t="shared" si="26"/>
        <v>1.251015401660592E-4</v>
      </c>
      <c r="L108" s="17">
        <f t="shared" si="27"/>
        <v>999999.99999309238</v>
      </c>
      <c r="M108" s="17">
        <f t="shared" si="28"/>
        <v>999999.99999309238</v>
      </c>
      <c r="N108" s="17">
        <f t="shared" si="29"/>
        <v>999999.99999309238</v>
      </c>
      <c r="O108" s="3"/>
      <c r="P108" s="18">
        <f t="shared" si="30"/>
        <v>185.80754271948032</v>
      </c>
      <c r="Q108" s="18">
        <f t="shared" si="18"/>
        <v>993.24532760308603</v>
      </c>
      <c r="R108" s="18">
        <f t="shared" si="19"/>
        <v>0</v>
      </c>
      <c r="S108" s="18">
        <f t="shared" si="20"/>
        <v>0</v>
      </c>
      <c r="T108" s="18">
        <f t="shared" si="21"/>
        <v>0</v>
      </c>
      <c r="U108" s="3"/>
      <c r="V108" s="18">
        <f t="shared" si="31"/>
        <v>1179.0528703225664</v>
      </c>
      <c r="W108" s="3"/>
      <c r="X108" s="14">
        <f t="shared" si="32"/>
        <v>673.25353849755663</v>
      </c>
      <c r="Y108" s="14">
        <f t="shared" si="33"/>
        <v>25.947129677433622</v>
      </c>
      <c r="AA108" s="14">
        <f t="shared" si="34"/>
        <v>6.4087040206151137E-5</v>
      </c>
      <c r="AB108" s="16"/>
    </row>
    <row r="109" spans="2:28" x14ac:dyDescent="0.35">
      <c r="B109" s="26">
        <v>20.000000000000007</v>
      </c>
      <c r="C109" s="26">
        <v>1201</v>
      </c>
      <c r="D109" s="18">
        <f t="shared" si="24"/>
        <v>-4.8421021306511136</v>
      </c>
      <c r="E109" s="18">
        <f t="shared" si="24"/>
        <v>-8.984395348246677</v>
      </c>
      <c r="F109" s="18">
        <f t="shared" si="24"/>
        <v>1000013.8155105581</v>
      </c>
      <c r="G109" s="18">
        <f t="shared" si="24"/>
        <v>1000013.8155105581</v>
      </c>
      <c r="H109" s="18">
        <f t="shared" si="24"/>
        <v>1000013.8155105581</v>
      </c>
      <c r="I109" s="3"/>
      <c r="J109" s="17">
        <f t="shared" si="25"/>
        <v>7.8289173501148914E-3</v>
      </c>
      <c r="K109" s="17">
        <f t="shared" si="26"/>
        <v>1.2533496518779498E-4</v>
      </c>
      <c r="L109" s="17">
        <f t="shared" si="27"/>
        <v>999999.99999309238</v>
      </c>
      <c r="M109" s="17">
        <f t="shared" si="28"/>
        <v>999999.99999309238</v>
      </c>
      <c r="N109" s="17">
        <f t="shared" si="29"/>
        <v>999999.99999309238</v>
      </c>
      <c r="O109" s="3"/>
      <c r="P109" s="18">
        <f t="shared" si="30"/>
        <v>183.17241039171782</v>
      </c>
      <c r="Q109" s="18">
        <f t="shared" si="18"/>
        <v>991.39526674589899</v>
      </c>
      <c r="R109" s="18">
        <f t="shared" si="19"/>
        <v>0</v>
      </c>
      <c r="S109" s="18">
        <f t="shared" si="20"/>
        <v>0</v>
      </c>
      <c r="T109" s="18">
        <f t="shared" si="21"/>
        <v>0</v>
      </c>
      <c r="U109" s="3"/>
      <c r="V109" s="18">
        <f t="shared" si="31"/>
        <v>1174.5676771376168</v>
      </c>
      <c r="W109" s="3"/>
      <c r="X109" s="14">
        <f t="shared" si="32"/>
        <v>698.66769190126649</v>
      </c>
      <c r="Y109" s="14">
        <f t="shared" si="33"/>
        <v>26.432322862383216</v>
      </c>
      <c r="AA109" s="14">
        <f t="shared" si="34"/>
        <v>6.5285423053817654E-5</v>
      </c>
      <c r="AB109" s="16"/>
    </row>
    <row r="110" spans="2:28" x14ac:dyDescent="0.35">
      <c r="B110" s="26">
        <v>20.199999999999996</v>
      </c>
      <c r="C110" s="26">
        <v>1157</v>
      </c>
      <c r="D110" s="18">
        <f t="shared" si="24"/>
        <v>-4.8325791781025531</v>
      </c>
      <c r="E110" s="18">
        <f t="shared" si="24"/>
        <v>-8.9831524287126356</v>
      </c>
      <c r="F110" s="18">
        <f t="shared" si="24"/>
        <v>1000013.8155105581</v>
      </c>
      <c r="G110" s="18">
        <f t="shared" si="24"/>
        <v>1000013.8155105581</v>
      </c>
      <c r="H110" s="18">
        <f t="shared" si="24"/>
        <v>1000013.8155105581</v>
      </c>
      <c r="I110" s="3"/>
      <c r="J110" s="17">
        <f t="shared" si="25"/>
        <v>7.9032404618762046E-3</v>
      </c>
      <c r="K110" s="17">
        <f t="shared" si="26"/>
        <v>1.2549082375742148E-4</v>
      </c>
      <c r="L110" s="17">
        <f t="shared" si="27"/>
        <v>999999.99999309238</v>
      </c>
      <c r="M110" s="17">
        <f t="shared" si="28"/>
        <v>999999.99999309238</v>
      </c>
      <c r="N110" s="17">
        <f t="shared" si="29"/>
        <v>999999.99999309238</v>
      </c>
      <c r="O110" s="3"/>
      <c r="P110" s="18">
        <f t="shared" si="30"/>
        <v>181.43645280666937</v>
      </c>
      <c r="Q110" s="18">
        <f t="shared" si="18"/>
        <v>990.16380768306567</v>
      </c>
      <c r="R110" s="18">
        <f t="shared" si="19"/>
        <v>0</v>
      </c>
      <c r="S110" s="18">
        <f t="shared" si="20"/>
        <v>0</v>
      </c>
      <c r="T110" s="18">
        <f t="shared" si="21"/>
        <v>0</v>
      </c>
      <c r="U110" s="3"/>
      <c r="V110" s="18">
        <f t="shared" si="31"/>
        <v>1171.6002604897351</v>
      </c>
      <c r="W110" s="3"/>
      <c r="X110" s="14">
        <f t="shared" si="32"/>
        <v>213.16760636811958</v>
      </c>
      <c r="Y110" s="14">
        <f t="shared" si="33"/>
        <v>14.600260489735092</v>
      </c>
      <c r="AA110" s="14">
        <f t="shared" si="34"/>
        <v>3.6061309773300509E-5</v>
      </c>
      <c r="AB110" s="16"/>
    </row>
    <row r="111" spans="2:28" x14ac:dyDescent="0.35">
      <c r="B111" s="26">
        <v>20.500000000000007</v>
      </c>
      <c r="C111" s="26">
        <v>1152</v>
      </c>
      <c r="D111" s="18">
        <f t="shared" si="24"/>
        <v>-4.8182947492797101</v>
      </c>
      <c r="E111" s="18">
        <f t="shared" si="24"/>
        <v>-8.9812880494115728</v>
      </c>
      <c r="F111" s="18">
        <f t="shared" si="24"/>
        <v>1000013.8155105581</v>
      </c>
      <c r="G111" s="18">
        <f t="shared" si="24"/>
        <v>1000013.8155105581</v>
      </c>
      <c r="H111" s="18">
        <f t="shared" si="24"/>
        <v>1000013.8155105581</v>
      </c>
      <c r="I111" s="3"/>
      <c r="J111" s="17">
        <f t="shared" si="25"/>
        <v>8.0160396449492251E-3</v>
      </c>
      <c r="K111" s="17">
        <f t="shared" si="26"/>
        <v>1.2572497504605753E-4</v>
      </c>
      <c r="L111" s="17">
        <f t="shared" si="27"/>
        <v>999999.99999309238</v>
      </c>
      <c r="M111" s="17">
        <f t="shared" si="28"/>
        <v>999999.99999309238</v>
      </c>
      <c r="N111" s="17">
        <f t="shared" si="29"/>
        <v>999999.99999309238</v>
      </c>
      <c r="O111" s="3"/>
      <c r="P111" s="18">
        <f t="shared" si="30"/>
        <v>178.86331880140136</v>
      </c>
      <c r="Q111" s="18">
        <f t="shared" si="18"/>
        <v>988.31948659570548</v>
      </c>
      <c r="R111" s="18">
        <f t="shared" si="19"/>
        <v>0</v>
      </c>
      <c r="S111" s="18">
        <f t="shared" si="20"/>
        <v>0</v>
      </c>
      <c r="T111" s="18">
        <f t="shared" si="21"/>
        <v>0</v>
      </c>
      <c r="U111" s="3"/>
      <c r="V111" s="18">
        <f t="shared" si="31"/>
        <v>1167.1828053971069</v>
      </c>
      <c r="W111" s="3"/>
      <c r="X111" s="14">
        <f t="shared" si="32"/>
        <v>230.51757972641852</v>
      </c>
      <c r="Y111" s="14">
        <f t="shared" si="33"/>
        <v>15.182805397106904</v>
      </c>
      <c r="AA111" s="14">
        <f t="shared" si="34"/>
        <v>3.7500142482919841E-5</v>
      </c>
      <c r="AB111" s="16"/>
    </row>
    <row r="112" spans="2:28" x14ac:dyDescent="0.35">
      <c r="B112" s="26">
        <v>20.800000000000004</v>
      </c>
      <c r="C112" s="26">
        <v>1116</v>
      </c>
      <c r="D112" s="18">
        <f t="shared" si="24"/>
        <v>-4.804010320456868</v>
      </c>
      <c r="E112" s="18">
        <f t="shared" si="24"/>
        <v>-8.9794236701105117</v>
      </c>
      <c r="F112" s="18">
        <f t="shared" si="24"/>
        <v>1000013.8155105581</v>
      </c>
      <c r="G112" s="18">
        <f t="shared" si="24"/>
        <v>1000013.8155105581</v>
      </c>
      <c r="H112" s="18">
        <f t="shared" si="24"/>
        <v>1000013.8155105581</v>
      </c>
      <c r="I112" s="3"/>
      <c r="J112" s="17">
        <f t="shared" si="25"/>
        <v>8.1304357731129505E-3</v>
      </c>
      <c r="K112" s="17">
        <f t="shared" si="26"/>
        <v>1.2595956317875288E-4</v>
      </c>
      <c r="L112" s="17">
        <f t="shared" si="27"/>
        <v>999999.99999309238</v>
      </c>
      <c r="M112" s="17">
        <f t="shared" si="28"/>
        <v>999999.99999309238</v>
      </c>
      <c r="N112" s="17">
        <f t="shared" si="29"/>
        <v>999999.99999309238</v>
      </c>
      <c r="O112" s="3"/>
      <c r="P112" s="18">
        <f t="shared" si="30"/>
        <v>176.3266814929398</v>
      </c>
      <c r="Q112" s="18">
        <f t="shared" si="18"/>
        <v>986.47860081910437</v>
      </c>
      <c r="R112" s="18">
        <f t="shared" si="19"/>
        <v>0</v>
      </c>
      <c r="S112" s="18">
        <f t="shared" si="20"/>
        <v>0</v>
      </c>
      <c r="T112" s="18">
        <f t="shared" si="21"/>
        <v>0</v>
      </c>
      <c r="U112" s="3"/>
      <c r="V112" s="18">
        <f t="shared" si="31"/>
        <v>1162.8052823120443</v>
      </c>
      <c r="W112" s="3"/>
      <c r="X112" s="14">
        <f t="shared" si="32"/>
        <v>2190.7344523101629</v>
      </c>
      <c r="Y112" s="14">
        <f t="shared" si="33"/>
        <v>46.805282312044255</v>
      </c>
      <c r="AA112" s="14">
        <f t="shared" si="34"/>
        <v>1.1560477196061559E-4</v>
      </c>
      <c r="AB112" s="16"/>
    </row>
    <row r="113" spans="2:28" x14ac:dyDescent="0.35">
      <c r="B113" s="26">
        <v>21.1</v>
      </c>
      <c r="C113" s="26">
        <v>1147</v>
      </c>
      <c r="D113" s="18">
        <f t="shared" si="24"/>
        <v>-4.789725891634026</v>
      </c>
      <c r="E113" s="18">
        <f t="shared" si="24"/>
        <v>-8.9775592908094506</v>
      </c>
      <c r="F113" s="18">
        <f t="shared" si="24"/>
        <v>1000013.8155105581</v>
      </c>
      <c r="G113" s="18">
        <f t="shared" si="24"/>
        <v>1000013.8155105581</v>
      </c>
      <c r="H113" s="18">
        <f t="shared" si="24"/>
        <v>1000013.8155105581</v>
      </c>
      <c r="I113" s="3"/>
      <c r="J113" s="17">
        <f t="shared" si="25"/>
        <v>8.2464510848526303E-3</v>
      </c>
      <c r="K113" s="17">
        <f t="shared" si="26"/>
        <v>1.2619458897029969E-4</v>
      </c>
      <c r="L113" s="17">
        <f t="shared" si="27"/>
        <v>999999.99999309238</v>
      </c>
      <c r="M113" s="17">
        <f t="shared" si="28"/>
        <v>999999.99999309238</v>
      </c>
      <c r="N113" s="17">
        <f t="shared" si="29"/>
        <v>999999.99999309238</v>
      </c>
      <c r="O113" s="3"/>
      <c r="P113" s="18">
        <f t="shared" si="30"/>
        <v>173.82602328250283</v>
      </c>
      <c r="Q113" s="18">
        <f t="shared" si="18"/>
        <v>984.64114395450611</v>
      </c>
      <c r="R113" s="18">
        <f t="shared" si="19"/>
        <v>0</v>
      </c>
      <c r="S113" s="18">
        <f t="shared" si="20"/>
        <v>0</v>
      </c>
      <c r="T113" s="18">
        <f t="shared" si="21"/>
        <v>0</v>
      </c>
      <c r="U113" s="3"/>
      <c r="V113" s="18">
        <f t="shared" si="31"/>
        <v>1158.4671672370089</v>
      </c>
      <c r="W113" s="3"/>
      <c r="X113" s="14">
        <f t="shared" si="32"/>
        <v>131.49592444152987</v>
      </c>
      <c r="Y113" s="14">
        <f t="shared" si="33"/>
        <v>11.46716723700888</v>
      </c>
      <c r="AA113" s="14">
        <f t="shared" si="34"/>
        <v>2.832285562622333E-5</v>
      </c>
      <c r="AB113" s="16"/>
    </row>
    <row r="114" spans="2:28" x14ac:dyDescent="0.35">
      <c r="B114" s="26">
        <v>21.4</v>
      </c>
      <c r="C114" s="26">
        <v>1156</v>
      </c>
      <c r="D114" s="18">
        <f t="shared" si="24"/>
        <v>-4.7754414628111839</v>
      </c>
      <c r="E114" s="18">
        <f t="shared" si="24"/>
        <v>-8.9756949115083877</v>
      </c>
      <c r="F114" s="18">
        <f t="shared" si="24"/>
        <v>1000013.8155105581</v>
      </c>
      <c r="G114" s="18">
        <f t="shared" si="24"/>
        <v>1000013.8155105581</v>
      </c>
      <c r="H114" s="18">
        <f t="shared" si="24"/>
        <v>1000013.8155105581</v>
      </c>
      <c r="I114" s="16"/>
      <c r="J114" s="18">
        <f t="shared" ref="J114:J177" si="35">lmb_2(D114)</f>
        <v>8.3641081178338194E-3</v>
      </c>
      <c r="K114" s="18">
        <f t="shared" ref="K114:K177" si="36">lmb_2(E114)</f>
        <v>1.2643005323700936E-4</v>
      </c>
      <c r="L114" s="18">
        <f t="shared" ref="L114:L177" si="37">lmb_2(F114)</f>
        <v>999999.99999309238</v>
      </c>
      <c r="M114" s="18">
        <f t="shared" ref="M114:M177" si="38">lmb_2(G114)</f>
        <v>999999.99999309238</v>
      </c>
      <c r="N114" s="18">
        <f t="shared" ref="N114:N177" si="39">lmb_2(H114)</f>
        <v>999999.99999309238</v>
      </c>
      <c r="O114" s="16"/>
      <c r="P114" s="18">
        <f t="shared" si="30"/>
        <v>171.3608339127282</v>
      </c>
      <c r="Q114" s="18">
        <f t="shared" si="18"/>
        <v>982.80710961507134</v>
      </c>
      <c r="R114" s="18">
        <f t="shared" si="19"/>
        <v>0</v>
      </c>
      <c r="S114" s="18">
        <f t="shared" si="20"/>
        <v>0</v>
      </c>
      <c r="T114" s="18">
        <f t="shared" si="21"/>
        <v>0</v>
      </c>
      <c r="U114" s="16"/>
      <c r="V114" s="18">
        <f t="shared" ref="V114:V177" si="40">SUM(P114:T114)</f>
        <v>1154.1679435277995</v>
      </c>
      <c r="W114" s="16"/>
      <c r="X114" s="18">
        <f t="shared" ref="X114:X177" si="41">(V114-C114)^2</f>
        <v>3.3564309173318154</v>
      </c>
      <c r="Y114" s="18">
        <f t="shared" ref="Y114:Y177" si="42">ABS(V114-C114)</f>
        <v>1.8320564722005201</v>
      </c>
      <c r="Z114" s="18"/>
      <c r="AA114" s="18">
        <f t="shared" ref="AA114:AA177" si="43">Y114/$Z$39</f>
        <v>4.5250121402047519E-6</v>
      </c>
      <c r="AB114" s="16"/>
    </row>
    <row r="115" spans="2:28" x14ac:dyDescent="0.35">
      <c r="B115" s="26">
        <v>21.699999999999996</v>
      </c>
      <c r="C115" s="26">
        <v>1203</v>
      </c>
      <c r="D115" s="18">
        <f t="shared" si="24"/>
        <v>-4.7611570339883418</v>
      </c>
      <c r="E115" s="18">
        <f t="shared" si="24"/>
        <v>-8.9738305322073266</v>
      </c>
      <c r="F115" s="18">
        <f t="shared" si="24"/>
        <v>1000013.8155105581</v>
      </c>
      <c r="G115" s="18">
        <f t="shared" si="24"/>
        <v>1000013.8155105581</v>
      </c>
      <c r="H115" s="18">
        <f t="shared" si="24"/>
        <v>1000013.8155105581</v>
      </c>
      <c r="I115" s="16"/>
      <c r="J115" s="18">
        <f t="shared" si="35"/>
        <v>8.4834297126299175E-3</v>
      </c>
      <c r="K115" s="18">
        <f t="shared" si="36"/>
        <v>1.2666595679671413E-4</v>
      </c>
      <c r="L115" s="18">
        <f t="shared" si="37"/>
        <v>999999.99999309238</v>
      </c>
      <c r="M115" s="18">
        <f t="shared" si="38"/>
        <v>999999.99999309238</v>
      </c>
      <c r="N115" s="18">
        <f t="shared" si="39"/>
        <v>999999.99999309238</v>
      </c>
      <c r="O115" s="16"/>
      <c r="P115" s="18">
        <f t="shared" si="30"/>
        <v>168.93061036355428</v>
      </c>
      <c r="Q115" s="18">
        <f t="shared" si="18"/>
        <v>980.97649142586397</v>
      </c>
      <c r="R115" s="18">
        <f t="shared" si="19"/>
        <v>0</v>
      </c>
      <c r="S115" s="18">
        <f t="shared" si="20"/>
        <v>0</v>
      </c>
      <c r="T115" s="18">
        <f t="shared" si="21"/>
        <v>0</v>
      </c>
      <c r="U115" s="16"/>
      <c r="V115" s="18">
        <f t="shared" si="40"/>
        <v>1149.9071017894182</v>
      </c>
      <c r="W115" s="16"/>
      <c r="X115" s="18">
        <f t="shared" si="41"/>
        <v>2818.8558403991979</v>
      </c>
      <c r="Y115" s="18">
        <f t="shared" si="42"/>
        <v>53.092898210581779</v>
      </c>
      <c r="Z115" s="18"/>
      <c r="AA115" s="18">
        <f t="shared" si="43"/>
        <v>1.3113460889825813E-4</v>
      </c>
      <c r="AB115" s="16"/>
    </row>
    <row r="116" spans="2:28" x14ac:dyDescent="0.35">
      <c r="B116" s="26">
        <v>22.000000000000007</v>
      </c>
      <c r="C116" s="26">
        <v>1105</v>
      </c>
      <c r="D116" s="18">
        <f t="shared" si="24"/>
        <v>-4.7468726051654979</v>
      </c>
      <c r="E116" s="18">
        <f t="shared" si="24"/>
        <v>-8.9719661529062655</v>
      </c>
      <c r="F116" s="18">
        <f t="shared" si="24"/>
        <v>1000013.8155105581</v>
      </c>
      <c r="G116" s="18">
        <f t="shared" si="24"/>
        <v>1000013.8155105581</v>
      </c>
      <c r="H116" s="18">
        <f t="shared" si="24"/>
        <v>1000013.8155105581</v>
      </c>
      <c r="I116" s="16"/>
      <c r="J116" s="18">
        <f t="shared" si="35"/>
        <v>8.6044390164876829E-3</v>
      </c>
      <c r="K116" s="18">
        <f t="shared" si="36"/>
        <v>1.2690230046877182E-4</v>
      </c>
      <c r="L116" s="18">
        <f t="shared" si="37"/>
        <v>999999.99999309238</v>
      </c>
      <c r="M116" s="18">
        <f t="shared" si="38"/>
        <v>999999.99999309238</v>
      </c>
      <c r="N116" s="18">
        <f t="shared" si="39"/>
        <v>999999.99999309238</v>
      </c>
      <c r="O116" s="16"/>
      <c r="P116" s="18">
        <f t="shared" si="30"/>
        <v>166.53485674957767</v>
      </c>
      <c r="Q116" s="18">
        <f t="shared" si="18"/>
        <v>979.14928302381475</v>
      </c>
      <c r="R116" s="18">
        <f t="shared" si="19"/>
        <v>0</v>
      </c>
      <c r="S116" s="18">
        <f t="shared" si="20"/>
        <v>0</v>
      </c>
      <c r="T116" s="18">
        <f t="shared" si="21"/>
        <v>0</v>
      </c>
      <c r="U116" s="16"/>
      <c r="V116" s="18">
        <f t="shared" si="40"/>
        <v>1145.6841397733924</v>
      </c>
      <c r="W116" s="16"/>
      <c r="X116" s="18">
        <f t="shared" si="41"/>
        <v>1655.1992291009308</v>
      </c>
      <c r="Y116" s="18">
        <f t="shared" si="42"/>
        <v>40.684139773392417</v>
      </c>
      <c r="Z116" s="18"/>
      <c r="AA116" s="18">
        <f t="shared" si="43"/>
        <v>1.0048610901566042E-4</v>
      </c>
      <c r="AB116" s="16"/>
    </row>
    <row r="117" spans="2:28" x14ac:dyDescent="0.35">
      <c r="B117" s="26">
        <v>22.199999999999996</v>
      </c>
      <c r="C117" s="26">
        <v>1179</v>
      </c>
      <c r="D117" s="18">
        <f t="shared" si="24"/>
        <v>-4.7373496526169374</v>
      </c>
      <c r="E117" s="18">
        <f t="shared" si="24"/>
        <v>-8.9707232333722242</v>
      </c>
      <c r="F117" s="18">
        <f t="shared" si="24"/>
        <v>1000013.8155105581</v>
      </c>
      <c r="G117" s="18">
        <f t="shared" si="24"/>
        <v>1000013.8155105581</v>
      </c>
      <c r="H117" s="18">
        <f t="shared" si="24"/>
        <v>1000013.8155105581</v>
      </c>
      <c r="I117" s="16"/>
      <c r="J117" s="18">
        <f t="shared" si="35"/>
        <v>8.6860610730401001E-3</v>
      </c>
      <c r="K117" s="18">
        <f t="shared" si="36"/>
        <v>1.270601078289854E-4</v>
      </c>
      <c r="L117" s="18">
        <f t="shared" si="37"/>
        <v>999999.99999309238</v>
      </c>
      <c r="M117" s="18">
        <f t="shared" si="38"/>
        <v>999999.99999309238</v>
      </c>
      <c r="N117" s="18">
        <f t="shared" si="39"/>
        <v>999999.99999309238</v>
      </c>
      <c r="O117" s="16"/>
      <c r="P117" s="18">
        <f t="shared" si="30"/>
        <v>164.95659594280798</v>
      </c>
      <c r="Q117" s="18">
        <f t="shared" si="18"/>
        <v>977.93303527842488</v>
      </c>
      <c r="R117" s="18">
        <f t="shared" si="19"/>
        <v>0</v>
      </c>
      <c r="S117" s="18">
        <f t="shared" si="20"/>
        <v>0</v>
      </c>
      <c r="T117" s="18">
        <f t="shared" si="21"/>
        <v>0</v>
      </c>
      <c r="U117" s="16"/>
      <c r="V117" s="18">
        <f t="shared" si="40"/>
        <v>1142.8896312212328</v>
      </c>
      <c r="W117" s="16"/>
      <c r="X117" s="18">
        <f t="shared" si="41"/>
        <v>1303.9587333385666</v>
      </c>
      <c r="Y117" s="18">
        <f t="shared" si="42"/>
        <v>36.110368778767224</v>
      </c>
      <c r="Z117" s="18"/>
      <c r="AA117" s="18">
        <f t="shared" si="43"/>
        <v>8.918931244238856E-5</v>
      </c>
      <c r="AB117" s="16"/>
    </row>
    <row r="118" spans="2:28" x14ac:dyDescent="0.35">
      <c r="B118" s="26">
        <v>22.500000000000007</v>
      </c>
      <c r="C118" s="26">
        <v>1168</v>
      </c>
      <c r="D118" s="18">
        <f t="shared" si="24"/>
        <v>-4.7230652237940944</v>
      </c>
      <c r="E118" s="18">
        <f t="shared" si="24"/>
        <v>-8.9688588540711613</v>
      </c>
      <c r="F118" s="18">
        <f t="shared" si="24"/>
        <v>1000013.8155105581</v>
      </c>
      <c r="G118" s="18">
        <f t="shared" si="24"/>
        <v>1000013.8155105581</v>
      </c>
      <c r="H118" s="18">
        <f t="shared" si="24"/>
        <v>1000013.8155105581</v>
      </c>
      <c r="I118" s="16"/>
      <c r="J118" s="18">
        <f t="shared" si="35"/>
        <v>8.8099355086686763E-3</v>
      </c>
      <c r="K118" s="18">
        <f t="shared" si="36"/>
        <v>1.2729718684657571E-4</v>
      </c>
      <c r="L118" s="18">
        <f t="shared" si="37"/>
        <v>999999.99999309238</v>
      </c>
      <c r="M118" s="18">
        <f t="shared" si="38"/>
        <v>999999.99999309238</v>
      </c>
      <c r="N118" s="18">
        <f t="shared" si="39"/>
        <v>999999.99999309238</v>
      </c>
      <c r="O118" s="16"/>
      <c r="P118" s="18">
        <f t="shared" si="30"/>
        <v>162.61720931132581</v>
      </c>
      <c r="Q118" s="18">
        <f t="shared" si="18"/>
        <v>976.11149574700596</v>
      </c>
      <c r="R118" s="18">
        <f t="shared" si="19"/>
        <v>0</v>
      </c>
      <c r="S118" s="18">
        <f t="shared" si="20"/>
        <v>0</v>
      </c>
      <c r="T118" s="18">
        <f t="shared" si="21"/>
        <v>0</v>
      </c>
      <c r="U118" s="16"/>
      <c r="V118" s="18">
        <f t="shared" si="40"/>
        <v>1138.7287050583318</v>
      </c>
      <c r="W118" s="16"/>
      <c r="X118" s="18">
        <f t="shared" si="41"/>
        <v>856.80870756213051</v>
      </c>
      <c r="Y118" s="18">
        <f t="shared" si="42"/>
        <v>29.271294941668202</v>
      </c>
      <c r="Z118" s="18"/>
      <c r="AA118" s="18">
        <f t="shared" si="43"/>
        <v>7.2297424768501069E-5</v>
      </c>
      <c r="AB118" s="16"/>
    </row>
    <row r="119" spans="2:28" x14ac:dyDescent="0.35">
      <c r="B119" s="26">
        <v>22.800000000000004</v>
      </c>
      <c r="C119" s="26">
        <v>1152</v>
      </c>
      <c r="D119" s="18">
        <f t="shared" si="24"/>
        <v>-4.7087807949712523</v>
      </c>
      <c r="E119" s="18">
        <f t="shared" si="24"/>
        <v>-8.9669944747701003</v>
      </c>
      <c r="F119" s="18">
        <f t="shared" si="24"/>
        <v>1000013.8155105581</v>
      </c>
      <c r="G119" s="18">
        <f t="shared" si="24"/>
        <v>1000013.8155105581</v>
      </c>
      <c r="H119" s="18">
        <f t="shared" si="24"/>
        <v>1000013.8155105581</v>
      </c>
      <c r="I119" s="16"/>
      <c r="J119" s="18">
        <f t="shared" si="35"/>
        <v>8.9355609076894327E-3</v>
      </c>
      <c r="K119" s="18">
        <f t="shared" si="36"/>
        <v>1.2753470816894721E-4</v>
      </c>
      <c r="L119" s="18">
        <f t="shared" si="37"/>
        <v>999999.99999309238</v>
      </c>
      <c r="M119" s="18">
        <f t="shared" si="38"/>
        <v>999999.99999309238</v>
      </c>
      <c r="N119" s="18">
        <f t="shared" si="39"/>
        <v>999999.99999309238</v>
      </c>
      <c r="O119" s="16"/>
      <c r="P119" s="18">
        <f t="shared" si="30"/>
        <v>160.31100436954355</v>
      </c>
      <c r="Q119" s="18">
        <f t="shared" ref="Q119:Q182" si="44">(D$23*D$22)/(K119+K119^2)</f>
        <v>974.29334909245472</v>
      </c>
      <c r="R119" s="18">
        <f t="shared" ref="R119:R182" si="45">(E$23*E$22)/(L119+L119^2)</f>
        <v>0</v>
      </c>
      <c r="S119" s="18">
        <f t="shared" ref="S119:S182" si="46">(F$23*F$22)/(M119+M119^2)</f>
        <v>0</v>
      </c>
      <c r="T119" s="18">
        <f t="shared" ref="T119:T182" si="47">(G$23*G$22)/(N119+N119^2)</f>
        <v>0</v>
      </c>
      <c r="U119" s="16"/>
      <c r="V119" s="18">
        <f t="shared" si="40"/>
        <v>1134.6043534619982</v>
      </c>
      <c r="W119" s="16"/>
      <c r="X119" s="18">
        <f t="shared" si="41"/>
        <v>302.60851847509247</v>
      </c>
      <c r="Y119" s="18">
        <f t="shared" si="42"/>
        <v>17.395646538001756</v>
      </c>
      <c r="Z119" s="18"/>
      <c r="AA119" s="18">
        <f t="shared" si="43"/>
        <v>4.2965657972661686E-5</v>
      </c>
      <c r="AB119" s="16"/>
    </row>
    <row r="120" spans="2:28" x14ac:dyDescent="0.35">
      <c r="B120" s="26">
        <v>23.1</v>
      </c>
      <c r="C120" s="26">
        <v>1115</v>
      </c>
      <c r="D120" s="18">
        <f t="shared" si="24"/>
        <v>-4.6944963661484103</v>
      </c>
      <c r="E120" s="18">
        <f t="shared" si="24"/>
        <v>-8.9651300954690392</v>
      </c>
      <c r="F120" s="18">
        <f t="shared" si="24"/>
        <v>1000013.8155105581</v>
      </c>
      <c r="G120" s="18">
        <f t="shared" si="24"/>
        <v>1000013.8155105581</v>
      </c>
      <c r="H120" s="18">
        <f t="shared" si="24"/>
        <v>1000013.8155105581</v>
      </c>
      <c r="I120" s="16"/>
      <c r="J120" s="18">
        <f t="shared" si="35"/>
        <v>9.0629615746510832E-3</v>
      </c>
      <c r="K120" s="18">
        <f t="shared" si="36"/>
        <v>1.2777267262107224E-4</v>
      </c>
      <c r="L120" s="18">
        <f t="shared" si="37"/>
        <v>999999.99999309238</v>
      </c>
      <c r="M120" s="18">
        <f t="shared" si="38"/>
        <v>999999.99999309238</v>
      </c>
      <c r="N120" s="18">
        <f t="shared" si="39"/>
        <v>999999.99999309238</v>
      </c>
      <c r="O120" s="16"/>
      <c r="P120" s="18">
        <f t="shared" si="30"/>
        <v>158.03751053761803</v>
      </c>
      <c r="Q120" s="18">
        <f t="shared" si="44"/>
        <v>972.47858899505275</v>
      </c>
      <c r="R120" s="18">
        <f t="shared" si="45"/>
        <v>0</v>
      </c>
      <c r="S120" s="18">
        <f t="shared" si="46"/>
        <v>0</v>
      </c>
      <c r="T120" s="18">
        <f t="shared" si="47"/>
        <v>0</v>
      </c>
      <c r="U120" s="16"/>
      <c r="V120" s="18">
        <f t="shared" si="40"/>
        <v>1130.5160995326708</v>
      </c>
      <c r="W120" s="16"/>
      <c r="X120" s="18">
        <f t="shared" si="41"/>
        <v>240.74934470774548</v>
      </c>
      <c r="Y120" s="18">
        <f t="shared" si="42"/>
        <v>15.516099532670751</v>
      </c>
      <c r="Z120" s="18"/>
      <c r="AA120" s="18">
        <f t="shared" si="43"/>
        <v>3.8323348553567857E-5</v>
      </c>
      <c r="AB120" s="16"/>
    </row>
    <row r="121" spans="2:28" x14ac:dyDescent="0.35">
      <c r="B121" s="26">
        <v>23.4</v>
      </c>
      <c r="C121" s="26">
        <v>1051</v>
      </c>
      <c r="D121" s="18">
        <f t="shared" si="24"/>
        <v>-4.6802119373255682</v>
      </c>
      <c r="E121" s="18">
        <f t="shared" si="24"/>
        <v>-8.9632657161679763</v>
      </c>
      <c r="F121" s="18">
        <f t="shared" si="24"/>
        <v>1000013.8155105581</v>
      </c>
      <c r="G121" s="18">
        <f t="shared" si="24"/>
        <v>1000013.8155105581</v>
      </c>
      <c r="H121" s="18">
        <f t="shared" si="24"/>
        <v>1000013.8155105581</v>
      </c>
      <c r="I121" s="16"/>
      <c r="J121" s="18">
        <f t="shared" si="35"/>
        <v>9.1921621388538037E-3</v>
      </c>
      <c r="K121" s="18">
        <f t="shared" si="36"/>
        <v>1.2801108102946103E-4</v>
      </c>
      <c r="L121" s="18">
        <f t="shared" si="37"/>
        <v>999999.99999309238</v>
      </c>
      <c r="M121" s="18">
        <f t="shared" si="38"/>
        <v>999999.99999309238</v>
      </c>
      <c r="N121" s="18">
        <f t="shared" si="39"/>
        <v>999999.99999309238</v>
      </c>
      <c r="O121" s="16"/>
      <c r="P121" s="18">
        <f t="shared" si="30"/>
        <v>155.79626391028671</v>
      </c>
      <c r="Q121" s="18">
        <f t="shared" si="44"/>
        <v>970.66720914685391</v>
      </c>
      <c r="R121" s="18">
        <f t="shared" si="45"/>
        <v>0</v>
      </c>
      <c r="S121" s="18">
        <f t="shared" si="46"/>
        <v>0</v>
      </c>
      <c r="T121" s="18">
        <f t="shared" si="47"/>
        <v>0</v>
      </c>
      <c r="U121" s="16"/>
      <c r="V121" s="18">
        <f t="shared" si="40"/>
        <v>1126.4634730571406</v>
      </c>
      <c r="W121" s="16"/>
      <c r="X121" s="18">
        <f t="shared" si="41"/>
        <v>5694.7357658457877</v>
      </c>
      <c r="Y121" s="18">
        <f t="shared" si="42"/>
        <v>75.463473057140618</v>
      </c>
      <c r="Z121" s="18"/>
      <c r="AA121" s="18">
        <f t="shared" si="43"/>
        <v>1.8638788536656036E-4</v>
      </c>
      <c r="AB121" s="16"/>
    </row>
    <row r="122" spans="2:28" x14ac:dyDescent="0.35">
      <c r="B122" s="26">
        <v>23.699999999999996</v>
      </c>
      <c r="C122" s="26">
        <v>1098</v>
      </c>
      <c r="D122" s="18">
        <f t="shared" si="24"/>
        <v>-4.6659275085027261</v>
      </c>
      <c r="E122" s="18">
        <f t="shared" si="24"/>
        <v>-8.9614013368669152</v>
      </c>
      <c r="F122" s="18">
        <f t="shared" si="24"/>
        <v>1000013.8155105581</v>
      </c>
      <c r="G122" s="18">
        <f t="shared" si="24"/>
        <v>1000013.8155105581</v>
      </c>
      <c r="H122" s="18">
        <f t="shared" si="24"/>
        <v>1000013.8155105581</v>
      </c>
      <c r="I122" s="16"/>
      <c r="J122" s="18">
        <f t="shared" si="35"/>
        <v>9.3231875583322122E-3</v>
      </c>
      <c r="K122" s="18">
        <f t="shared" si="36"/>
        <v>1.2824993422216394E-4</v>
      </c>
      <c r="L122" s="18">
        <f t="shared" si="37"/>
        <v>999999.99999309238</v>
      </c>
      <c r="M122" s="18">
        <f t="shared" si="38"/>
        <v>999999.99999309238</v>
      </c>
      <c r="N122" s="18">
        <f t="shared" si="39"/>
        <v>999999.99999309238</v>
      </c>
      <c r="O122" s="16"/>
      <c r="P122" s="18">
        <f t="shared" si="30"/>
        <v>153.58680716220658</v>
      </c>
      <c r="Q122" s="18">
        <f t="shared" si="44"/>
        <v>968.85920325166614</v>
      </c>
      <c r="R122" s="18">
        <f t="shared" si="45"/>
        <v>0</v>
      </c>
      <c r="S122" s="18">
        <f t="shared" si="46"/>
        <v>0</v>
      </c>
      <c r="T122" s="18">
        <f t="shared" si="47"/>
        <v>0</v>
      </c>
      <c r="U122" s="16"/>
      <c r="V122" s="18">
        <f t="shared" si="40"/>
        <v>1122.4460104138727</v>
      </c>
      <c r="W122" s="16"/>
      <c r="X122" s="18">
        <f t="shared" si="41"/>
        <v>597.60742515517381</v>
      </c>
      <c r="Y122" s="18">
        <f t="shared" si="42"/>
        <v>24.446010413872727</v>
      </c>
      <c r="Z122" s="18"/>
      <c r="AA122" s="18">
        <f t="shared" si="43"/>
        <v>6.0379412742381125E-5</v>
      </c>
      <c r="AB122" s="16"/>
    </row>
    <row r="123" spans="2:28" x14ac:dyDescent="0.35">
      <c r="B123" s="26">
        <v>24.000000000000007</v>
      </c>
      <c r="C123" s="26">
        <v>1144</v>
      </c>
      <c r="D123" s="18">
        <f t="shared" si="24"/>
        <v>-4.6516430796798831</v>
      </c>
      <c r="E123" s="18">
        <f t="shared" si="24"/>
        <v>-8.9595369575658541</v>
      </c>
      <c r="F123" s="18">
        <f t="shared" si="24"/>
        <v>1000013.8155105581</v>
      </c>
      <c r="G123" s="18">
        <f t="shared" si="24"/>
        <v>1000013.8155105581</v>
      </c>
      <c r="H123" s="18">
        <f t="shared" si="24"/>
        <v>1000013.8155105581</v>
      </c>
      <c r="I123" s="16"/>
      <c r="J123" s="18">
        <f t="shared" si="35"/>
        <v>9.4560631238770777E-3</v>
      </c>
      <c r="K123" s="18">
        <f t="shared" si="36"/>
        <v>1.2848923302877561E-4</v>
      </c>
      <c r="L123" s="18">
        <f t="shared" si="37"/>
        <v>999999.99999309238</v>
      </c>
      <c r="M123" s="18">
        <f t="shared" si="38"/>
        <v>999999.99999309238</v>
      </c>
      <c r="N123" s="18">
        <f t="shared" si="39"/>
        <v>999999.99999309238</v>
      </c>
      <c r="O123" s="16"/>
      <c r="P123" s="18">
        <f t="shared" si="30"/>
        <v>151.40868945463583</v>
      </c>
      <c r="Q123" s="18">
        <f t="shared" si="44"/>
        <v>967.05456502501966</v>
      </c>
      <c r="R123" s="18">
        <f t="shared" si="45"/>
        <v>0</v>
      </c>
      <c r="S123" s="18">
        <f t="shared" si="46"/>
        <v>0</v>
      </c>
      <c r="T123" s="18">
        <f t="shared" si="47"/>
        <v>0</v>
      </c>
      <c r="U123" s="16"/>
      <c r="V123" s="18">
        <f t="shared" si="40"/>
        <v>1118.4632544796555</v>
      </c>
      <c r="W123" s="16"/>
      <c r="X123" s="18">
        <f t="shared" si="41"/>
        <v>652.12537177083686</v>
      </c>
      <c r="Y123" s="18">
        <f t="shared" si="42"/>
        <v>25.536745520344539</v>
      </c>
      <c r="Z123" s="18"/>
      <c r="AA123" s="18">
        <f t="shared" si="43"/>
        <v>6.3073428823994716E-5</v>
      </c>
      <c r="AB123" s="16"/>
    </row>
    <row r="124" spans="2:28" x14ac:dyDescent="0.35">
      <c r="B124" s="26">
        <v>24.199999999999996</v>
      </c>
      <c r="C124" s="26">
        <v>1122</v>
      </c>
      <c r="D124" s="18">
        <f t="shared" si="24"/>
        <v>-4.6421201271313226</v>
      </c>
      <c r="E124" s="18">
        <f t="shared" si="24"/>
        <v>-8.9582940380318128</v>
      </c>
      <c r="F124" s="18">
        <f t="shared" si="24"/>
        <v>1000013.8155105581</v>
      </c>
      <c r="G124" s="18">
        <f t="shared" si="24"/>
        <v>1000013.8155105581</v>
      </c>
      <c r="H124" s="18">
        <f t="shared" si="24"/>
        <v>1000013.8155105581</v>
      </c>
      <c r="I124" s="16"/>
      <c r="J124" s="18">
        <f t="shared" si="35"/>
        <v>9.5456873347904755E-3</v>
      </c>
      <c r="K124" s="18">
        <f t="shared" si="36"/>
        <v>1.2864901354017576E-4</v>
      </c>
      <c r="L124" s="18">
        <f t="shared" si="37"/>
        <v>999999.99999309238</v>
      </c>
      <c r="M124" s="18">
        <f t="shared" si="38"/>
        <v>999999.99999309238</v>
      </c>
      <c r="N124" s="18">
        <f t="shared" si="39"/>
        <v>999999.99999309238</v>
      </c>
      <c r="O124" s="16"/>
      <c r="P124" s="18">
        <f t="shared" si="30"/>
        <v>149.97380182199072</v>
      </c>
      <c r="Q124" s="18">
        <f t="shared" si="44"/>
        <v>965.85334070274712</v>
      </c>
      <c r="R124" s="18">
        <f t="shared" si="45"/>
        <v>0</v>
      </c>
      <c r="S124" s="18">
        <f t="shared" si="46"/>
        <v>0</v>
      </c>
      <c r="T124" s="18">
        <f t="shared" si="47"/>
        <v>0</v>
      </c>
      <c r="U124" s="16"/>
      <c r="V124" s="18">
        <f t="shared" si="40"/>
        <v>1115.8271425247378</v>
      </c>
      <c r="W124" s="16"/>
      <c r="X124" s="18">
        <f t="shared" si="41"/>
        <v>38.10416940989996</v>
      </c>
      <c r="Y124" s="18">
        <f t="shared" si="42"/>
        <v>6.1728574752621626</v>
      </c>
      <c r="Z124" s="18"/>
      <c r="AA124" s="18">
        <f t="shared" si="43"/>
        <v>1.5246394114568393E-5</v>
      </c>
      <c r="AB124" s="16"/>
    </row>
    <row r="125" spans="2:28" x14ac:dyDescent="0.35">
      <c r="B125" s="26">
        <v>24.500000000000007</v>
      </c>
      <c r="C125" s="26">
        <v>1104</v>
      </c>
      <c r="D125" s="18">
        <f t="shared" si="24"/>
        <v>-4.6278356983084787</v>
      </c>
      <c r="E125" s="18">
        <f t="shared" si="24"/>
        <v>-8.9564296587307499</v>
      </c>
      <c r="F125" s="18">
        <f t="shared" si="24"/>
        <v>1000013.8155105581</v>
      </c>
      <c r="G125" s="18">
        <f t="shared" si="24"/>
        <v>1000013.8155105581</v>
      </c>
      <c r="H125" s="18">
        <f t="shared" si="24"/>
        <v>1000013.8155105581</v>
      </c>
      <c r="I125" s="16"/>
      <c r="J125" s="18">
        <f t="shared" si="35"/>
        <v>9.6817035955350812E-3</v>
      </c>
      <c r="K125" s="18">
        <f t="shared" si="36"/>
        <v>1.2888905688438067E-4</v>
      </c>
      <c r="L125" s="18">
        <f t="shared" si="37"/>
        <v>999999.99999309238</v>
      </c>
      <c r="M125" s="18">
        <f t="shared" si="38"/>
        <v>999999.99999309238</v>
      </c>
      <c r="N125" s="18">
        <f t="shared" si="39"/>
        <v>999999.99999309238</v>
      </c>
      <c r="O125" s="16"/>
      <c r="P125" s="18">
        <f t="shared" si="30"/>
        <v>147.8469313117063</v>
      </c>
      <c r="Q125" s="18">
        <f t="shared" si="44"/>
        <v>964.05430132330014</v>
      </c>
      <c r="R125" s="18">
        <f t="shared" si="45"/>
        <v>0</v>
      </c>
      <c r="S125" s="18">
        <f t="shared" si="46"/>
        <v>0</v>
      </c>
      <c r="T125" s="18">
        <f t="shared" si="47"/>
        <v>0</v>
      </c>
      <c r="U125" s="16"/>
      <c r="V125" s="18">
        <f t="shared" si="40"/>
        <v>1111.9012326350064</v>
      </c>
      <c r="W125" s="16"/>
      <c r="X125" s="18">
        <f t="shared" si="41"/>
        <v>62.429477152490314</v>
      </c>
      <c r="Y125" s="18">
        <f t="shared" si="42"/>
        <v>7.9012326350064086</v>
      </c>
      <c r="Z125" s="18"/>
      <c r="AA125" s="18">
        <f t="shared" si="43"/>
        <v>1.9515322883602012E-5</v>
      </c>
      <c r="AB125" s="16"/>
    </row>
    <row r="126" spans="2:28" x14ac:dyDescent="0.35">
      <c r="B126" s="26">
        <v>24.800000000000004</v>
      </c>
      <c r="C126" s="26">
        <v>1106</v>
      </c>
      <c r="D126" s="18">
        <f t="shared" si="24"/>
        <v>-4.6135512694856367</v>
      </c>
      <c r="E126" s="18">
        <f t="shared" si="24"/>
        <v>-8.9545652794296888</v>
      </c>
      <c r="F126" s="18">
        <f t="shared" si="24"/>
        <v>1000013.8155105581</v>
      </c>
      <c r="G126" s="18">
        <f t="shared" si="24"/>
        <v>1000013.8155105581</v>
      </c>
      <c r="H126" s="18">
        <f t="shared" si="24"/>
        <v>1000013.8155105581</v>
      </c>
      <c r="I126" s="16"/>
      <c r="J126" s="18">
        <f t="shared" si="35"/>
        <v>9.8196391022654823E-3</v>
      </c>
      <c r="K126" s="18">
        <f t="shared" si="36"/>
        <v>1.2912954806231471E-4</v>
      </c>
      <c r="L126" s="18">
        <f t="shared" si="37"/>
        <v>999999.99999309238</v>
      </c>
      <c r="M126" s="18">
        <f t="shared" si="38"/>
        <v>999999.99999309238</v>
      </c>
      <c r="N126" s="18">
        <f t="shared" si="39"/>
        <v>999999.99999309238</v>
      </c>
      <c r="O126" s="16"/>
      <c r="P126" s="18">
        <f t="shared" si="30"/>
        <v>145.75022862207089</v>
      </c>
      <c r="Q126" s="18">
        <f t="shared" si="44"/>
        <v>962.25861291098386</v>
      </c>
      <c r="R126" s="18">
        <f t="shared" si="45"/>
        <v>0</v>
      </c>
      <c r="S126" s="18">
        <f t="shared" si="46"/>
        <v>0</v>
      </c>
      <c r="T126" s="18">
        <f t="shared" si="47"/>
        <v>0</v>
      </c>
      <c r="U126" s="16"/>
      <c r="V126" s="18">
        <f t="shared" si="40"/>
        <v>1108.0088415330547</v>
      </c>
      <c r="W126" s="16"/>
      <c r="X126" s="18">
        <f t="shared" si="41"/>
        <v>4.0354443049255266</v>
      </c>
      <c r="Y126" s="18">
        <f t="shared" si="42"/>
        <v>2.0088415330546923</v>
      </c>
      <c r="Z126" s="18"/>
      <c r="AA126" s="18">
        <f t="shared" si="43"/>
        <v>4.9616550923792137E-6</v>
      </c>
      <c r="AB126" s="16"/>
    </row>
    <row r="127" spans="2:28" x14ac:dyDescent="0.35">
      <c r="B127" s="26">
        <v>25.1</v>
      </c>
      <c r="C127" s="26">
        <v>1133</v>
      </c>
      <c r="D127" s="18">
        <f t="shared" si="24"/>
        <v>-4.5992668406627946</v>
      </c>
      <c r="E127" s="18">
        <f t="shared" si="24"/>
        <v>-8.9527009001286277</v>
      </c>
      <c r="F127" s="18">
        <f t="shared" si="24"/>
        <v>1000013.8155105581</v>
      </c>
      <c r="G127" s="18">
        <f t="shared" si="24"/>
        <v>1000013.8155105581</v>
      </c>
      <c r="H127" s="18">
        <f t="shared" si="24"/>
        <v>1000013.8155105581</v>
      </c>
      <c r="I127" s="16"/>
      <c r="J127" s="18">
        <f t="shared" si="35"/>
        <v>9.9595204009136646E-3</v>
      </c>
      <c r="K127" s="18">
        <f t="shared" si="36"/>
        <v>1.293704879092572E-4</v>
      </c>
      <c r="L127" s="18">
        <f t="shared" si="37"/>
        <v>999999.99999309238</v>
      </c>
      <c r="M127" s="18">
        <f t="shared" si="38"/>
        <v>999999.99999309238</v>
      </c>
      <c r="N127" s="18">
        <f t="shared" si="39"/>
        <v>999999.99999309238</v>
      </c>
      <c r="O127" s="16"/>
      <c r="P127" s="18">
        <f t="shared" si="30"/>
        <v>143.68326592134383</v>
      </c>
      <c r="Q127" s="18">
        <f t="shared" si="44"/>
        <v>960.46626922414316</v>
      </c>
      <c r="R127" s="18">
        <f t="shared" si="45"/>
        <v>0</v>
      </c>
      <c r="S127" s="18">
        <f t="shared" si="46"/>
        <v>0</v>
      </c>
      <c r="T127" s="18">
        <f t="shared" si="47"/>
        <v>0</v>
      </c>
      <c r="U127" s="16"/>
      <c r="V127" s="18">
        <f t="shared" si="40"/>
        <v>1104.1495351454869</v>
      </c>
      <c r="W127" s="16"/>
      <c r="X127" s="18">
        <f t="shared" si="41"/>
        <v>832.34932232149674</v>
      </c>
      <c r="Y127" s="18">
        <f t="shared" si="42"/>
        <v>28.85046485451312</v>
      </c>
      <c r="Z127" s="18"/>
      <c r="AA127" s="18">
        <f t="shared" si="43"/>
        <v>7.1258012893247614E-5</v>
      </c>
      <c r="AB127" s="16"/>
    </row>
    <row r="128" spans="2:28" x14ac:dyDescent="0.35">
      <c r="B128" s="26">
        <v>25.4</v>
      </c>
      <c r="C128" s="26">
        <v>1096</v>
      </c>
      <c r="D128" s="18">
        <f t="shared" si="24"/>
        <v>-4.5849824118399525</v>
      </c>
      <c r="E128" s="18">
        <f t="shared" si="24"/>
        <v>-8.9508365208275649</v>
      </c>
      <c r="F128" s="18">
        <f t="shared" si="24"/>
        <v>1000013.8155105581</v>
      </c>
      <c r="G128" s="18">
        <f t="shared" si="24"/>
        <v>1000013.8155105581</v>
      </c>
      <c r="H128" s="18">
        <f t="shared" si="24"/>
        <v>1000013.8155105581</v>
      </c>
      <c r="I128" s="16"/>
      <c r="J128" s="18">
        <f t="shared" si="35"/>
        <v>1.0101374389449478E-2</v>
      </c>
      <c r="K128" s="18">
        <f t="shared" si="36"/>
        <v>1.2961187726204479E-4</v>
      </c>
      <c r="L128" s="18">
        <f t="shared" si="37"/>
        <v>999999.99999309238</v>
      </c>
      <c r="M128" s="18">
        <f t="shared" si="38"/>
        <v>999999.99999309238</v>
      </c>
      <c r="N128" s="18">
        <f t="shared" si="39"/>
        <v>999999.99999309238</v>
      </c>
      <c r="O128" s="16"/>
      <c r="P128" s="18">
        <f t="shared" si="30"/>
        <v>141.64562144609963</v>
      </c>
      <c r="Q128" s="18">
        <f t="shared" si="44"/>
        <v>958.67726403274844</v>
      </c>
      <c r="R128" s="18">
        <f t="shared" si="45"/>
        <v>0</v>
      </c>
      <c r="S128" s="18">
        <f t="shared" si="46"/>
        <v>0</v>
      </c>
      <c r="T128" s="18">
        <f t="shared" si="47"/>
        <v>0</v>
      </c>
      <c r="U128" s="16"/>
      <c r="V128" s="18">
        <f t="shared" si="40"/>
        <v>1100.3228854788481</v>
      </c>
      <c r="W128" s="16"/>
      <c r="X128" s="18">
        <f t="shared" si="41"/>
        <v>18.687338863235706</v>
      </c>
      <c r="Y128" s="18">
        <f t="shared" si="42"/>
        <v>4.322885478848093</v>
      </c>
      <c r="Z128" s="18"/>
      <c r="AA128" s="18">
        <f t="shared" si="43"/>
        <v>1.0677132266019732E-5</v>
      </c>
      <c r="AB128" s="16"/>
    </row>
    <row r="129" spans="2:28" x14ac:dyDescent="0.35">
      <c r="B129" s="26">
        <v>25.699999999999996</v>
      </c>
      <c r="C129" s="26">
        <v>1057</v>
      </c>
      <c r="D129" s="18">
        <f t="shared" si="24"/>
        <v>-4.5706979830171104</v>
      </c>
      <c r="E129" s="18">
        <f t="shared" si="24"/>
        <v>-8.9489721415265038</v>
      </c>
      <c r="F129" s="18">
        <f t="shared" si="24"/>
        <v>1000013.8155105581</v>
      </c>
      <c r="G129" s="18">
        <f t="shared" si="24"/>
        <v>1000013.8155105581</v>
      </c>
      <c r="H129" s="18">
        <f t="shared" si="24"/>
        <v>1000013.8155105581</v>
      </c>
      <c r="I129" s="16"/>
      <c r="J129" s="18">
        <f t="shared" si="35"/>
        <v>1.0245228322122836E-2</v>
      </c>
      <c r="K129" s="18">
        <f t="shared" si="36"/>
        <v>1.298537169590732E-4</v>
      </c>
      <c r="L129" s="18">
        <f t="shared" si="37"/>
        <v>999999.99999309238</v>
      </c>
      <c r="M129" s="18">
        <f t="shared" si="38"/>
        <v>999999.99999309238</v>
      </c>
      <c r="N129" s="18">
        <f t="shared" si="39"/>
        <v>999999.99999309238</v>
      </c>
      <c r="O129" s="16"/>
      <c r="P129" s="18">
        <f t="shared" si="30"/>
        <v>139.63687941516531</v>
      </c>
      <c r="Q129" s="18">
        <f t="shared" si="44"/>
        <v>956.89159111838069</v>
      </c>
      <c r="R129" s="18">
        <f t="shared" si="45"/>
        <v>0</v>
      </c>
      <c r="S129" s="18">
        <f t="shared" si="46"/>
        <v>0</v>
      </c>
      <c r="T129" s="18">
        <f t="shared" si="47"/>
        <v>0</v>
      </c>
      <c r="U129" s="16"/>
      <c r="V129" s="18">
        <f t="shared" si="40"/>
        <v>1096.5284705335459</v>
      </c>
      <c r="W129" s="16"/>
      <c r="X129" s="18">
        <f t="shared" si="41"/>
        <v>1562.4999827214099</v>
      </c>
      <c r="Y129" s="18">
        <f t="shared" si="42"/>
        <v>39.528470533545942</v>
      </c>
      <c r="Z129" s="18"/>
      <c r="AA129" s="18">
        <f t="shared" si="43"/>
        <v>9.7631711555911077E-5</v>
      </c>
      <c r="AB129" s="16"/>
    </row>
    <row r="130" spans="2:28" x14ac:dyDescent="0.35">
      <c r="B130" s="26">
        <v>26.000000000000007</v>
      </c>
      <c r="C130" s="26">
        <v>1095</v>
      </c>
      <c r="D130" s="18">
        <f t="shared" si="24"/>
        <v>-4.5564135541942674</v>
      </c>
      <c r="E130" s="18">
        <f t="shared" si="24"/>
        <v>-8.9471077622254427</v>
      </c>
      <c r="F130" s="18">
        <f t="shared" si="24"/>
        <v>1000013.8155105581</v>
      </c>
      <c r="G130" s="18">
        <f t="shared" si="24"/>
        <v>1000013.8155105581</v>
      </c>
      <c r="H130" s="18">
        <f t="shared" si="24"/>
        <v>1000013.8155105581</v>
      </c>
      <c r="I130" s="16"/>
      <c r="J130" s="18">
        <f t="shared" si="35"/>
        <v>1.0391109813744923E-2</v>
      </c>
      <c r="K130" s="18">
        <f t="shared" si="36"/>
        <v>1.3009600784030193E-4</v>
      </c>
      <c r="L130" s="18">
        <f t="shared" si="37"/>
        <v>999999.99999309238</v>
      </c>
      <c r="M130" s="18">
        <f t="shared" si="38"/>
        <v>999999.99999309238</v>
      </c>
      <c r="N130" s="18">
        <f t="shared" si="39"/>
        <v>999999.99999309238</v>
      </c>
      <c r="O130" s="16"/>
      <c r="P130" s="18">
        <f t="shared" si="30"/>
        <v>137.65662994477879</v>
      </c>
      <c r="Q130" s="18">
        <f t="shared" si="44"/>
        <v>955.10924427419752</v>
      </c>
      <c r="R130" s="18">
        <f t="shared" si="45"/>
        <v>0</v>
      </c>
      <c r="S130" s="18">
        <f t="shared" si="46"/>
        <v>0</v>
      </c>
      <c r="T130" s="18">
        <f t="shared" si="47"/>
        <v>0</v>
      </c>
      <c r="U130" s="16"/>
      <c r="V130" s="18">
        <f t="shared" si="40"/>
        <v>1092.7658742189763</v>
      </c>
      <c r="W130" s="16"/>
      <c r="X130" s="18">
        <f t="shared" si="41"/>
        <v>4.9913180054349784</v>
      </c>
      <c r="Y130" s="18">
        <f t="shared" si="42"/>
        <v>2.2341257810237494</v>
      </c>
      <c r="Z130" s="18"/>
      <c r="AA130" s="18">
        <f t="shared" si="43"/>
        <v>5.51808660665041E-6</v>
      </c>
      <c r="AB130" s="16"/>
    </row>
    <row r="131" spans="2:28" x14ac:dyDescent="0.35">
      <c r="B131" s="26">
        <v>26.199999999999996</v>
      </c>
      <c r="C131" s="26">
        <v>1098</v>
      </c>
      <c r="D131" s="18">
        <f t="shared" si="24"/>
        <v>-4.5468906016457069</v>
      </c>
      <c r="E131" s="18">
        <f t="shared" si="24"/>
        <v>-8.9458648426914014</v>
      </c>
      <c r="F131" s="18">
        <f t="shared" si="24"/>
        <v>1000013.8155105581</v>
      </c>
      <c r="G131" s="18">
        <f t="shared" si="24"/>
        <v>1000013.8155105581</v>
      </c>
      <c r="H131" s="18">
        <f t="shared" si="24"/>
        <v>1000013.8155105581</v>
      </c>
      <c r="I131" s="16"/>
      <c r="J131" s="18">
        <f t="shared" si="35"/>
        <v>1.048950436511633E-2</v>
      </c>
      <c r="K131" s="18">
        <f t="shared" si="36"/>
        <v>1.3025778616784699E-4</v>
      </c>
      <c r="L131" s="18">
        <f t="shared" si="37"/>
        <v>999999.99999309238</v>
      </c>
      <c r="M131" s="18">
        <f t="shared" si="38"/>
        <v>999999.99999309238</v>
      </c>
      <c r="N131" s="18">
        <f t="shared" si="39"/>
        <v>999999.99999309238</v>
      </c>
      <c r="O131" s="16"/>
      <c r="P131" s="18">
        <f t="shared" si="30"/>
        <v>136.35209305400298</v>
      </c>
      <c r="Q131" s="18">
        <f t="shared" si="44"/>
        <v>953.92285780163809</v>
      </c>
      <c r="R131" s="18">
        <f t="shared" si="45"/>
        <v>0</v>
      </c>
      <c r="S131" s="18">
        <f t="shared" si="46"/>
        <v>0</v>
      </c>
      <c r="T131" s="18">
        <f t="shared" si="47"/>
        <v>0</v>
      </c>
      <c r="U131" s="16"/>
      <c r="V131" s="18">
        <f t="shared" si="40"/>
        <v>1090.274950855641</v>
      </c>
      <c r="W131" s="16"/>
      <c r="X131" s="18">
        <f t="shared" si="41"/>
        <v>59.676384282761575</v>
      </c>
      <c r="Y131" s="18">
        <f t="shared" si="42"/>
        <v>7.7250491443589908</v>
      </c>
      <c r="Z131" s="18"/>
      <c r="AA131" s="18">
        <f t="shared" si="43"/>
        <v>1.9080165754888809E-5</v>
      </c>
      <c r="AB131" s="16"/>
    </row>
    <row r="132" spans="2:28" x14ac:dyDescent="0.35">
      <c r="B132" s="26">
        <v>26.500000000000007</v>
      </c>
      <c r="C132" s="26">
        <v>1056</v>
      </c>
      <c r="D132" s="18">
        <f t="shared" si="24"/>
        <v>-4.5326061728228639</v>
      </c>
      <c r="E132" s="18">
        <f t="shared" si="24"/>
        <v>-8.9440004633903385</v>
      </c>
      <c r="F132" s="18">
        <f t="shared" si="24"/>
        <v>1000013.8155105581</v>
      </c>
      <c r="G132" s="18">
        <f t="shared" si="24"/>
        <v>1000013.8155105581</v>
      </c>
      <c r="H132" s="18">
        <f t="shared" si="24"/>
        <v>1000013.8155105581</v>
      </c>
      <c r="I132" s="16"/>
      <c r="J132" s="18">
        <f t="shared" si="35"/>
        <v>1.0638827480908239E-2</v>
      </c>
      <c r="K132" s="18">
        <f t="shared" si="36"/>
        <v>1.3050083089357348E-4</v>
      </c>
      <c r="L132" s="18">
        <f t="shared" si="37"/>
        <v>999999.99999309238</v>
      </c>
      <c r="M132" s="18">
        <f t="shared" si="38"/>
        <v>999999.99999309238</v>
      </c>
      <c r="N132" s="18">
        <f t="shared" si="39"/>
        <v>999999.99999309238</v>
      </c>
      <c r="O132" s="16"/>
      <c r="P132" s="18">
        <f t="shared" si="30"/>
        <v>134.41843608485863</v>
      </c>
      <c r="Q132" s="18">
        <f t="shared" si="44"/>
        <v>952.14604064617231</v>
      </c>
      <c r="R132" s="18">
        <f t="shared" si="45"/>
        <v>0</v>
      </c>
      <c r="S132" s="18">
        <f t="shared" si="46"/>
        <v>0</v>
      </c>
      <c r="T132" s="18">
        <f t="shared" si="47"/>
        <v>0</v>
      </c>
      <c r="U132" s="16"/>
      <c r="V132" s="18">
        <f t="shared" si="40"/>
        <v>1086.5644767310309</v>
      </c>
      <c r="W132" s="16"/>
      <c r="X132" s="18">
        <f t="shared" si="41"/>
        <v>934.18723784173153</v>
      </c>
      <c r="Y132" s="18">
        <f t="shared" si="42"/>
        <v>30.564476731030936</v>
      </c>
      <c r="Z132" s="18"/>
      <c r="AA132" s="18">
        <f t="shared" si="43"/>
        <v>7.5491465664702002E-5</v>
      </c>
      <c r="AB132" s="16"/>
    </row>
    <row r="133" spans="2:28" x14ac:dyDescent="0.35">
      <c r="B133" s="26">
        <v>26.800000000000004</v>
      </c>
      <c r="C133" s="26">
        <v>1097</v>
      </c>
      <c r="D133" s="18">
        <f t="shared" si="24"/>
        <v>-4.5183217440000218</v>
      </c>
      <c r="E133" s="18">
        <f t="shared" si="24"/>
        <v>-8.9421360840892774</v>
      </c>
      <c r="F133" s="18">
        <f t="shared" si="24"/>
        <v>1000013.8155105581</v>
      </c>
      <c r="G133" s="18">
        <f t="shared" si="24"/>
        <v>1000013.8155105581</v>
      </c>
      <c r="H133" s="18">
        <f t="shared" si="24"/>
        <v>1000013.8155105581</v>
      </c>
      <c r="I133" s="16"/>
      <c r="J133" s="18">
        <f t="shared" si="35"/>
        <v>1.0790253590867743E-2</v>
      </c>
      <c r="K133" s="18">
        <f t="shared" si="36"/>
        <v>1.3074432905105446E-4</v>
      </c>
      <c r="L133" s="18">
        <f t="shared" si="37"/>
        <v>999999.99999309238</v>
      </c>
      <c r="M133" s="18">
        <f t="shared" si="38"/>
        <v>999999.99999309238</v>
      </c>
      <c r="N133" s="18">
        <f t="shared" si="39"/>
        <v>999999.99999309238</v>
      </c>
      <c r="O133" s="16"/>
      <c r="P133" s="18">
        <f t="shared" si="30"/>
        <v>132.51220685237004</v>
      </c>
      <c r="Q133" s="18">
        <f t="shared" si="44"/>
        <v>950.37253306578077</v>
      </c>
      <c r="R133" s="18">
        <f t="shared" si="45"/>
        <v>0</v>
      </c>
      <c r="S133" s="18">
        <f t="shared" si="46"/>
        <v>0</v>
      </c>
      <c r="T133" s="18">
        <f t="shared" si="47"/>
        <v>0</v>
      </c>
      <c r="U133" s="16"/>
      <c r="V133" s="18">
        <f t="shared" si="40"/>
        <v>1082.8847399181509</v>
      </c>
      <c r="W133" s="16"/>
      <c r="X133" s="18">
        <f t="shared" si="41"/>
        <v>199.24056717824269</v>
      </c>
      <c r="Y133" s="18">
        <f t="shared" si="42"/>
        <v>14.115260081849101</v>
      </c>
      <c r="Z133" s="18"/>
      <c r="AA133" s="18">
        <f t="shared" si="43"/>
        <v>3.4863403067372198E-5</v>
      </c>
      <c r="AB133" s="16"/>
    </row>
    <row r="134" spans="2:28" x14ac:dyDescent="0.35">
      <c r="B134" s="26">
        <v>27.1</v>
      </c>
      <c r="C134" s="26">
        <v>1083</v>
      </c>
      <c r="D134" s="18">
        <f t="shared" si="24"/>
        <v>-4.5040373151771798</v>
      </c>
      <c r="E134" s="18">
        <f t="shared" si="24"/>
        <v>-8.9402717047882163</v>
      </c>
      <c r="F134" s="18">
        <f t="shared" si="24"/>
        <v>1000013.8155105581</v>
      </c>
      <c r="G134" s="18">
        <f t="shared" si="24"/>
        <v>1000013.8155105581</v>
      </c>
      <c r="H134" s="18">
        <f t="shared" si="24"/>
        <v>1000013.8155105581</v>
      </c>
      <c r="I134" s="16"/>
      <c r="J134" s="18">
        <f t="shared" si="35"/>
        <v>1.0943811669122203E-2</v>
      </c>
      <c r="K134" s="18">
        <f t="shared" si="36"/>
        <v>1.3098828148600506E-4</v>
      </c>
      <c r="L134" s="18">
        <f t="shared" si="37"/>
        <v>999999.99999309238</v>
      </c>
      <c r="M134" s="18">
        <f t="shared" si="38"/>
        <v>999999.99999309238</v>
      </c>
      <c r="N134" s="18">
        <f t="shared" si="39"/>
        <v>999999.99999309238</v>
      </c>
      <c r="O134" s="16"/>
      <c r="P134" s="18">
        <f t="shared" si="30"/>
        <v>130.63301639000969</v>
      </c>
      <c r="Q134" s="18">
        <f t="shared" si="44"/>
        <v>948.60232889590679</v>
      </c>
      <c r="R134" s="18">
        <f t="shared" si="45"/>
        <v>0</v>
      </c>
      <c r="S134" s="18">
        <f t="shared" si="46"/>
        <v>0</v>
      </c>
      <c r="T134" s="18">
        <f t="shared" si="47"/>
        <v>0</v>
      </c>
      <c r="U134" s="16"/>
      <c r="V134" s="18">
        <f t="shared" si="40"/>
        <v>1079.2353452859165</v>
      </c>
      <c r="W134" s="16"/>
      <c r="X134" s="18">
        <f t="shared" si="41"/>
        <v>14.172625116270838</v>
      </c>
      <c r="Y134" s="18">
        <f t="shared" si="42"/>
        <v>3.7646547140834627</v>
      </c>
      <c r="Z134" s="18"/>
      <c r="AA134" s="18">
        <f t="shared" si="43"/>
        <v>9.298353267705502E-6</v>
      </c>
      <c r="AB134" s="16"/>
    </row>
    <row r="135" spans="2:28" x14ac:dyDescent="0.35">
      <c r="B135" s="26">
        <v>27.4</v>
      </c>
      <c r="C135" s="26">
        <v>983</v>
      </c>
      <c r="D135" s="18">
        <f t="shared" si="24"/>
        <v>-4.4897528863543368</v>
      </c>
      <c r="E135" s="18">
        <f t="shared" si="24"/>
        <v>-8.9384073254871534</v>
      </c>
      <c r="F135" s="18">
        <f t="shared" si="24"/>
        <v>1000013.8155105581</v>
      </c>
      <c r="G135" s="18">
        <f t="shared" si="24"/>
        <v>1000013.8155105581</v>
      </c>
      <c r="H135" s="18">
        <f t="shared" si="24"/>
        <v>1000013.8155105581</v>
      </c>
      <c r="I135" s="16"/>
      <c r="J135" s="18">
        <f t="shared" si="35"/>
        <v>1.1099531070854535E-2</v>
      </c>
      <c r="K135" s="18">
        <f t="shared" si="36"/>
        <v>1.3123268904571697E-4</v>
      </c>
      <c r="L135" s="18">
        <f t="shared" si="37"/>
        <v>999999.99999309238</v>
      </c>
      <c r="M135" s="18">
        <f t="shared" si="38"/>
        <v>999999.99999309238</v>
      </c>
      <c r="N135" s="18">
        <f t="shared" si="39"/>
        <v>999999.99999309238</v>
      </c>
      <c r="O135" s="16"/>
      <c r="P135" s="18">
        <f t="shared" si="30"/>
        <v>128.78048124837014</v>
      </c>
      <c r="Q135" s="18">
        <f t="shared" si="44"/>
        <v>946.83542198347618</v>
      </c>
      <c r="R135" s="18">
        <f t="shared" si="45"/>
        <v>0</v>
      </c>
      <c r="S135" s="18">
        <f t="shared" si="46"/>
        <v>0</v>
      </c>
      <c r="T135" s="18">
        <f t="shared" si="47"/>
        <v>0</v>
      </c>
      <c r="U135" s="16"/>
      <c r="V135" s="18">
        <f t="shared" si="40"/>
        <v>1075.6159032318462</v>
      </c>
      <c r="W135" s="16"/>
      <c r="X135" s="18">
        <f t="shared" si="41"/>
        <v>8577.7055314507052</v>
      </c>
      <c r="Y135" s="18">
        <f t="shared" si="42"/>
        <v>92.615903231846232</v>
      </c>
      <c r="Z135" s="18"/>
      <c r="AA135" s="18">
        <f t="shared" si="43"/>
        <v>2.2875282113807199E-4</v>
      </c>
      <c r="AB135" s="16"/>
    </row>
    <row r="136" spans="2:28" x14ac:dyDescent="0.35">
      <c r="B136" s="26">
        <v>27.699999999999996</v>
      </c>
      <c r="C136" s="26">
        <v>1059</v>
      </c>
      <c r="D136" s="18">
        <f t="shared" si="24"/>
        <v>-4.4754684575314947</v>
      </c>
      <c r="E136" s="18">
        <f t="shared" si="24"/>
        <v>-8.9365429461860924</v>
      </c>
      <c r="F136" s="18">
        <f t="shared" si="24"/>
        <v>1000013.8155105581</v>
      </c>
      <c r="G136" s="18">
        <f t="shared" si="24"/>
        <v>1000013.8155105581</v>
      </c>
      <c r="H136" s="18">
        <f t="shared" si="24"/>
        <v>1000013.8155105581</v>
      </c>
      <c r="I136" s="16"/>
      <c r="J136" s="18">
        <f t="shared" si="35"/>
        <v>1.1257441536804998E-2</v>
      </c>
      <c r="K136" s="18">
        <f t="shared" si="36"/>
        <v>1.3147755257906062E-4</v>
      </c>
      <c r="L136" s="18">
        <f t="shared" si="37"/>
        <v>999999.99999309238</v>
      </c>
      <c r="M136" s="18">
        <f t="shared" si="38"/>
        <v>999999.99999309238</v>
      </c>
      <c r="N136" s="18">
        <f t="shared" si="39"/>
        <v>999999.99999309238</v>
      </c>
      <c r="O136" s="16"/>
      <c r="P136" s="18">
        <f t="shared" si="30"/>
        <v>126.95422341691931</v>
      </c>
      <c r="Q136" s="18">
        <f t="shared" si="44"/>
        <v>945.07180618688119</v>
      </c>
      <c r="R136" s="18">
        <f t="shared" si="45"/>
        <v>0</v>
      </c>
      <c r="S136" s="18">
        <f t="shared" si="46"/>
        <v>0</v>
      </c>
      <c r="T136" s="18">
        <f t="shared" si="47"/>
        <v>0</v>
      </c>
      <c r="U136" s="16"/>
      <c r="V136" s="18">
        <f t="shared" si="40"/>
        <v>1072.0260296038005</v>
      </c>
      <c r="W136" s="16"/>
      <c r="X136" s="18">
        <f t="shared" si="41"/>
        <v>169.67744723908578</v>
      </c>
      <c r="Y136" s="18">
        <f t="shared" si="42"/>
        <v>13.026029603800453</v>
      </c>
      <c r="Z136" s="18"/>
      <c r="AA136" s="18">
        <f t="shared" si="43"/>
        <v>3.2173103280526057E-5</v>
      </c>
      <c r="AB136" s="16"/>
    </row>
    <row r="137" spans="2:28" x14ac:dyDescent="0.35">
      <c r="B137" s="26">
        <v>28.000000000000007</v>
      </c>
      <c r="C137" s="26">
        <v>1023</v>
      </c>
      <c r="D137" s="18">
        <f t="shared" si="24"/>
        <v>-4.4611840287086526</v>
      </c>
      <c r="E137" s="18">
        <f t="shared" si="24"/>
        <v>-8.9346785668850313</v>
      </c>
      <c r="F137" s="18">
        <f t="shared" si="24"/>
        <v>1000013.8155105581</v>
      </c>
      <c r="G137" s="18">
        <f t="shared" si="24"/>
        <v>1000013.8155105581</v>
      </c>
      <c r="H137" s="18">
        <f t="shared" si="24"/>
        <v>1000013.8155105581</v>
      </c>
      <c r="I137" s="16"/>
      <c r="J137" s="18">
        <f t="shared" si="35"/>
        <v>1.1417573197811786E-2</v>
      </c>
      <c r="K137" s="18">
        <f t="shared" si="36"/>
        <v>1.3172287293648966E-4</v>
      </c>
      <c r="L137" s="18">
        <f t="shared" si="37"/>
        <v>999999.99999309238</v>
      </c>
      <c r="M137" s="18">
        <f t="shared" si="38"/>
        <v>999999.99999309238</v>
      </c>
      <c r="N137" s="18">
        <f t="shared" si="39"/>
        <v>999999.99999309238</v>
      </c>
      <c r="O137" s="16"/>
      <c r="P137" s="18">
        <f t="shared" si="30"/>
        <v>125.15387024686493</v>
      </c>
      <c r="Q137" s="18">
        <f t="shared" si="44"/>
        <v>943.31147537594757</v>
      </c>
      <c r="R137" s="18">
        <f t="shared" si="45"/>
        <v>0</v>
      </c>
      <c r="S137" s="18">
        <f t="shared" si="46"/>
        <v>0</v>
      </c>
      <c r="T137" s="18">
        <f t="shared" si="47"/>
        <v>0</v>
      </c>
      <c r="U137" s="16"/>
      <c r="V137" s="18">
        <f t="shared" si="40"/>
        <v>1068.4653456228125</v>
      </c>
      <c r="W137" s="16"/>
      <c r="X137" s="18">
        <f t="shared" si="41"/>
        <v>2067.0976526017948</v>
      </c>
      <c r="Y137" s="18">
        <f t="shared" si="42"/>
        <v>45.465345622812492</v>
      </c>
      <c r="Z137" s="18"/>
      <c r="AA137" s="18">
        <f t="shared" si="43"/>
        <v>1.1229525073248619E-4</v>
      </c>
      <c r="AB137" s="16"/>
    </row>
    <row r="138" spans="2:28" x14ac:dyDescent="0.35">
      <c r="B138" s="26">
        <v>28.199999999999996</v>
      </c>
      <c r="C138" s="26">
        <v>1049</v>
      </c>
      <c r="D138" s="18">
        <f t="shared" si="24"/>
        <v>-4.4516610761600912</v>
      </c>
      <c r="E138" s="18">
        <f t="shared" si="24"/>
        <v>-8.9334356473509899</v>
      </c>
      <c r="F138" s="18">
        <f t="shared" si="24"/>
        <v>1000013.8155105581</v>
      </c>
      <c r="G138" s="18">
        <f t="shared" si="24"/>
        <v>1000013.8155105581</v>
      </c>
      <c r="H138" s="18">
        <f t="shared" si="24"/>
        <v>1000013.8155105581</v>
      </c>
      <c r="I138" s="16"/>
      <c r="J138" s="18">
        <f t="shared" si="35"/>
        <v>1.1525576693684071E-2</v>
      </c>
      <c r="K138" s="18">
        <f t="shared" si="36"/>
        <v>1.3188667405329544E-4</v>
      </c>
      <c r="L138" s="18">
        <f t="shared" si="37"/>
        <v>999999.99999309238</v>
      </c>
      <c r="M138" s="18">
        <f t="shared" si="38"/>
        <v>999999.99999309238</v>
      </c>
      <c r="N138" s="18">
        <f t="shared" si="39"/>
        <v>999999.99999309238</v>
      </c>
      <c r="O138" s="16"/>
      <c r="P138" s="18">
        <f t="shared" si="30"/>
        <v>123.96784464959327</v>
      </c>
      <c r="Q138" s="18">
        <f t="shared" si="44"/>
        <v>942.13974347195006</v>
      </c>
      <c r="R138" s="18">
        <f t="shared" si="45"/>
        <v>0</v>
      </c>
      <c r="S138" s="18">
        <f t="shared" si="46"/>
        <v>0</v>
      </c>
      <c r="T138" s="18">
        <f t="shared" si="47"/>
        <v>0</v>
      </c>
      <c r="U138" s="16"/>
      <c r="V138" s="18">
        <f t="shared" si="40"/>
        <v>1066.1075881215434</v>
      </c>
      <c r="W138" s="16"/>
      <c r="X138" s="18">
        <f t="shared" si="41"/>
        <v>292.6695713363714</v>
      </c>
      <c r="Y138" s="18">
        <f t="shared" si="42"/>
        <v>17.107588121543358</v>
      </c>
      <c r="Z138" s="18"/>
      <c r="AA138" s="18">
        <f t="shared" si="43"/>
        <v>4.2254179996223119E-5</v>
      </c>
      <c r="AB138" s="16"/>
    </row>
    <row r="139" spans="2:28" x14ac:dyDescent="0.35">
      <c r="B139" s="26">
        <v>28.500000000000007</v>
      </c>
      <c r="C139" s="26">
        <v>1082</v>
      </c>
      <c r="D139" s="18">
        <f t="shared" si="24"/>
        <v>-4.4373766473372482</v>
      </c>
      <c r="E139" s="18">
        <f t="shared" si="24"/>
        <v>-8.9315712680499271</v>
      </c>
      <c r="F139" s="18">
        <f t="shared" si="24"/>
        <v>1000013.8155105581</v>
      </c>
      <c r="G139" s="18">
        <f t="shared" si="24"/>
        <v>1000013.8155105581</v>
      </c>
      <c r="H139" s="18">
        <f t="shared" si="24"/>
        <v>1000013.8155105581</v>
      </c>
      <c r="I139" s="16"/>
      <c r="J139" s="18">
        <f t="shared" si="35"/>
        <v>1.1689478377921211E-2</v>
      </c>
      <c r="K139" s="18">
        <f t="shared" si="36"/>
        <v>1.3213275767840396E-4</v>
      </c>
      <c r="L139" s="18">
        <f t="shared" si="37"/>
        <v>999999.99999309238</v>
      </c>
      <c r="M139" s="18">
        <f t="shared" si="38"/>
        <v>999999.99999309238</v>
      </c>
      <c r="N139" s="18">
        <f t="shared" si="39"/>
        <v>999999.99999309238</v>
      </c>
      <c r="O139" s="16"/>
      <c r="P139" s="18">
        <f t="shared" si="30"/>
        <v>122.20985212902575</v>
      </c>
      <c r="Q139" s="18">
        <f t="shared" si="44"/>
        <v>940.38487404551665</v>
      </c>
      <c r="R139" s="18">
        <f t="shared" si="45"/>
        <v>0</v>
      </c>
      <c r="S139" s="18">
        <f t="shared" si="46"/>
        <v>0</v>
      </c>
      <c r="T139" s="18">
        <f t="shared" si="47"/>
        <v>0</v>
      </c>
      <c r="U139" s="16"/>
      <c r="V139" s="18">
        <f t="shared" si="40"/>
        <v>1062.5947261745423</v>
      </c>
      <c r="W139" s="16"/>
      <c r="X139" s="18">
        <f t="shared" si="41"/>
        <v>376.56465224099367</v>
      </c>
      <c r="Y139" s="18">
        <f t="shared" si="42"/>
        <v>19.405273825457698</v>
      </c>
      <c r="Z139" s="18"/>
      <c r="AA139" s="18">
        <f t="shared" si="43"/>
        <v>4.7929253806638563E-5</v>
      </c>
    </row>
    <row r="140" spans="2:28" x14ac:dyDescent="0.35">
      <c r="B140" s="26">
        <v>28.800000000000004</v>
      </c>
      <c r="C140" s="26">
        <v>1060</v>
      </c>
      <c r="D140" s="18">
        <f t="shared" si="24"/>
        <v>-4.4230922185144061</v>
      </c>
      <c r="E140" s="18">
        <f t="shared" si="24"/>
        <v>-8.929706888748866</v>
      </c>
      <c r="F140" s="18">
        <f t="shared" si="24"/>
        <v>1000013.8155105581</v>
      </c>
      <c r="G140" s="18">
        <f t="shared" si="24"/>
        <v>1000013.8155105581</v>
      </c>
      <c r="H140" s="18">
        <f t="shared" si="24"/>
        <v>1000013.8155105581</v>
      </c>
      <c r="I140" s="16"/>
      <c r="J140" s="18">
        <f t="shared" si="35"/>
        <v>1.1855683548208153E-2</v>
      </c>
      <c r="K140" s="18">
        <f t="shared" si="36"/>
        <v>1.3237930040323193E-4</v>
      </c>
      <c r="L140" s="18">
        <f t="shared" si="37"/>
        <v>999999.99999309238</v>
      </c>
      <c r="M140" s="18">
        <f t="shared" si="38"/>
        <v>999999.99999309238</v>
      </c>
      <c r="N140" s="18">
        <f t="shared" si="39"/>
        <v>999999.99999309238</v>
      </c>
      <c r="O140" s="16"/>
      <c r="P140" s="18">
        <f t="shared" si="30"/>
        <v>120.47679617781651</v>
      </c>
      <c r="Q140" s="18">
        <f t="shared" si="44"/>
        <v>938.63327331338735</v>
      </c>
      <c r="R140" s="18">
        <f t="shared" si="45"/>
        <v>0</v>
      </c>
      <c r="S140" s="18">
        <f t="shared" si="46"/>
        <v>0</v>
      </c>
      <c r="T140" s="18">
        <f t="shared" si="47"/>
        <v>0</v>
      </c>
      <c r="U140" s="16"/>
      <c r="V140" s="18">
        <f t="shared" si="40"/>
        <v>1059.1100694912038</v>
      </c>
      <c r="W140" s="16"/>
      <c r="X140" s="18">
        <f t="shared" si="41"/>
        <v>0.79197631048620876</v>
      </c>
      <c r="Y140" s="18">
        <f t="shared" si="42"/>
        <v>0.88993050879616931</v>
      </c>
      <c r="Z140" s="18"/>
      <c r="AA140" s="18">
        <f t="shared" si="43"/>
        <v>2.1980470675144697E-6</v>
      </c>
    </row>
    <row r="141" spans="2:28" x14ac:dyDescent="0.35">
      <c r="B141" s="26">
        <v>29.1</v>
      </c>
      <c r="C141" s="26">
        <v>1068</v>
      </c>
      <c r="D141" s="18">
        <f t="shared" si="24"/>
        <v>-4.4088077896915641</v>
      </c>
      <c r="E141" s="18">
        <f t="shared" si="24"/>
        <v>-8.9278425094478049</v>
      </c>
      <c r="F141" s="18">
        <f t="shared" si="24"/>
        <v>1000013.8155105581</v>
      </c>
      <c r="G141" s="18">
        <f t="shared" si="24"/>
        <v>1000013.8155105581</v>
      </c>
      <c r="H141" s="18">
        <f t="shared" si="24"/>
        <v>1000013.8155105581</v>
      </c>
      <c r="I141" s="16"/>
      <c r="J141" s="18">
        <f t="shared" si="35"/>
        <v>1.2024223805211925E-2</v>
      </c>
      <c r="K141" s="18">
        <f t="shared" si="36"/>
        <v>1.3262630308406051E-4</v>
      </c>
      <c r="L141" s="18">
        <f t="shared" si="37"/>
        <v>999999.99999309238</v>
      </c>
      <c r="M141" s="18">
        <f t="shared" si="38"/>
        <v>999999.99999309238</v>
      </c>
      <c r="N141" s="18">
        <f t="shared" si="39"/>
        <v>999999.99999309238</v>
      </c>
      <c r="O141" s="16"/>
      <c r="P141" s="18">
        <f t="shared" si="30"/>
        <v>118.76832316446624</v>
      </c>
      <c r="Q141" s="18">
        <f t="shared" si="44"/>
        <v>936.88493518715097</v>
      </c>
      <c r="R141" s="18">
        <f t="shared" si="45"/>
        <v>0</v>
      </c>
      <c r="S141" s="18">
        <f t="shared" si="46"/>
        <v>0</v>
      </c>
      <c r="T141" s="18">
        <f t="shared" si="47"/>
        <v>0</v>
      </c>
      <c r="U141" s="16"/>
      <c r="V141" s="18">
        <f t="shared" si="40"/>
        <v>1055.6532583516173</v>
      </c>
      <c r="W141" s="16"/>
      <c r="X141" s="18">
        <f t="shared" si="41"/>
        <v>152.44202933190803</v>
      </c>
      <c r="Y141" s="18">
        <f t="shared" si="42"/>
        <v>12.346741648382704</v>
      </c>
      <c r="Z141" s="18"/>
      <c r="AA141" s="18">
        <f t="shared" si="43"/>
        <v>3.0495324079064984E-5</v>
      </c>
    </row>
    <row r="142" spans="2:28" x14ac:dyDescent="0.35">
      <c r="B142" s="26">
        <v>29.4</v>
      </c>
      <c r="C142" s="26">
        <v>1037</v>
      </c>
      <c r="D142" s="18">
        <f t="shared" si="24"/>
        <v>-4.394523360868722</v>
      </c>
      <c r="E142" s="18">
        <f t="shared" si="24"/>
        <v>-8.925978130146742</v>
      </c>
      <c r="F142" s="18">
        <f t="shared" si="24"/>
        <v>1000013.8155105581</v>
      </c>
      <c r="G142" s="18">
        <f t="shared" si="24"/>
        <v>1000013.8155105581</v>
      </c>
      <c r="H142" s="18">
        <f t="shared" si="24"/>
        <v>1000013.8155105581</v>
      </c>
      <c r="I142" s="16"/>
      <c r="J142" s="18">
        <f t="shared" si="35"/>
        <v>1.2195131161395378E-2</v>
      </c>
      <c r="K142" s="18">
        <f t="shared" si="36"/>
        <v>1.3287376657876698E-4</v>
      </c>
      <c r="L142" s="18">
        <f t="shared" si="37"/>
        <v>999999.99999309238</v>
      </c>
      <c r="M142" s="18">
        <f t="shared" si="38"/>
        <v>999999.99999309238</v>
      </c>
      <c r="N142" s="18">
        <f t="shared" si="39"/>
        <v>999999.99999309238</v>
      </c>
      <c r="O142" s="16"/>
      <c r="P142" s="18">
        <f t="shared" si="30"/>
        <v>117.08408447346849</v>
      </c>
      <c r="Q142" s="18">
        <f t="shared" si="44"/>
        <v>935.13985358973844</v>
      </c>
      <c r="R142" s="18">
        <f t="shared" si="45"/>
        <v>0</v>
      </c>
      <c r="S142" s="18">
        <f t="shared" si="46"/>
        <v>0</v>
      </c>
      <c r="T142" s="18">
        <f t="shared" si="47"/>
        <v>0</v>
      </c>
      <c r="U142" s="16"/>
      <c r="V142" s="18">
        <f t="shared" si="40"/>
        <v>1052.223938063207</v>
      </c>
      <c r="W142" s="16"/>
      <c r="X142" s="18">
        <f t="shared" si="41"/>
        <v>231.76829015236336</v>
      </c>
      <c r="Y142" s="18">
        <f t="shared" si="42"/>
        <v>15.223938063207015</v>
      </c>
      <c r="Z142" s="18"/>
      <c r="AA142" s="18">
        <f t="shared" si="43"/>
        <v>3.7601736410992612E-5</v>
      </c>
    </row>
    <row r="143" spans="2:28" x14ac:dyDescent="0.35">
      <c r="B143" s="26">
        <v>29.699999999999996</v>
      </c>
      <c r="C143" s="26">
        <v>1018</v>
      </c>
      <c r="D143" s="18">
        <f t="shared" si="24"/>
        <v>-4.3802389320458799</v>
      </c>
      <c r="E143" s="18">
        <f t="shared" si="24"/>
        <v>-8.9241137508456809</v>
      </c>
      <c r="F143" s="18">
        <f t="shared" si="24"/>
        <v>1000013.8155105581</v>
      </c>
      <c r="G143" s="18">
        <f t="shared" si="24"/>
        <v>1000013.8155105581</v>
      </c>
      <c r="H143" s="18">
        <f t="shared" si="24"/>
        <v>1000013.8155105581</v>
      </c>
      <c r="I143" s="16"/>
      <c r="J143" s="18">
        <f t="shared" si="35"/>
        <v>1.2368438045774807E-2</v>
      </c>
      <c r="K143" s="18">
        <f t="shared" si="36"/>
        <v>1.3312169174682718E-4</v>
      </c>
      <c r="L143" s="18">
        <f t="shared" si="37"/>
        <v>999999.99999309238</v>
      </c>
      <c r="M143" s="18">
        <f t="shared" si="38"/>
        <v>999999.99999309238</v>
      </c>
      <c r="N143" s="18">
        <f t="shared" si="39"/>
        <v>999999.99999309238</v>
      </c>
      <c r="O143" s="16"/>
      <c r="P143" s="18">
        <f t="shared" si="30"/>
        <v>115.42373643417224</v>
      </c>
      <c r="Q143" s="18">
        <f t="shared" si="44"/>
        <v>933.3980224554042</v>
      </c>
      <c r="R143" s="18">
        <f t="shared" si="45"/>
        <v>0</v>
      </c>
      <c r="S143" s="18">
        <f t="shared" si="46"/>
        <v>0</v>
      </c>
      <c r="T143" s="18">
        <f t="shared" si="47"/>
        <v>0</v>
      </c>
      <c r="U143" s="16"/>
      <c r="V143" s="18">
        <f t="shared" si="40"/>
        <v>1048.8217588895764</v>
      </c>
      <c r="W143" s="16"/>
      <c r="X143" s="18">
        <f t="shared" si="41"/>
        <v>949.98082104717923</v>
      </c>
      <c r="Y143" s="18">
        <f t="shared" si="42"/>
        <v>30.821758889576358</v>
      </c>
      <c r="Z143" s="18"/>
      <c r="AA143" s="18">
        <f t="shared" si="43"/>
        <v>7.612692909530126E-5</v>
      </c>
    </row>
    <row r="144" spans="2:28" x14ac:dyDescent="0.35">
      <c r="B144" s="26">
        <v>30.000000000000007</v>
      </c>
      <c r="C144" s="26">
        <v>1113</v>
      </c>
      <c r="D144" s="18">
        <f t="shared" si="24"/>
        <v>-4.3659545032230369</v>
      </c>
      <c r="E144" s="18">
        <f t="shared" si="24"/>
        <v>-8.9222493715446198</v>
      </c>
      <c r="F144" s="18">
        <f t="shared" si="24"/>
        <v>1000013.8155105581</v>
      </c>
      <c r="G144" s="18">
        <f t="shared" si="24"/>
        <v>1000013.8155105581</v>
      </c>
      <c r="H144" s="18">
        <f t="shared" si="24"/>
        <v>1000013.8155105581</v>
      </c>
      <c r="I144" s="16"/>
      <c r="J144" s="18">
        <f t="shared" si="35"/>
        <v>1.2544177308715336E-2</v>
      </c>
      <c r="K144" s="18">
        <f t="shared" si="36"/>
        <v>1.333700794493198E-4</v>
      </c>
      <c r="L144" s="18">
        <f t="shared" si="37"/>
        <v>999999.99999309238</v>
      </c>
      <c r="M144" s="18">
        <f t="shared" si="38"/>
        <v>999999.99999309238</v>
      </c>
      <c r="N144" s="18">
        <f t="shared" si="39"/>
        <v>999999.99999309238</v>
      </c>
      <c r="O144" s="16"/>
      <c r="P144" s="18">
        <f t="shared" si="30"/>
        <v>113.7869402506532</v>
      </c>
      <c r="Q144" s="18">
        <f t="shared" si="44"/>
        <v>931.65943572969616</v>
      </c>
      <c r="R144" s="18">
        <f t="shared" si="45"/>
        <v>0</v>
      </c>
      <c r="S144" s="18">
        <f t="shared" si="46"/>
        <v>0</v>
      </c>
      <c r="T144" s="18">
        <f t="shared" si="47"/>
        <v>0</v>
      </c>
      <c r="U144" s="16"/>
      <c r="V144" s="18">
        <f t="shared" si="40"/>
        <v>1045.4463759803493</v>
      </c>
      <c r="W144" s="16"/>
      <c r="X144" s="18">
        <f t="shared" si="41"/>
        <v>4563.4921181883237</v>
      </c>
      <c r="Y144" s="18">
        <f t="shared" si="42"/>
        <v>67.55362401965067</v>
      </c>
      <c r="Z144" s="18"/>
      <c r="AA144" s="18">
        <f t="shared" si="43"/>
        <v>1.6685128075587485E-4</v>
      </c>
    </row>
    <row r="145" spans="2:27" x14ac:dyDescent="0.35">
      <c r="B145" s="26">
        <v>30.199999999999996</v>
      </c>
      <c r="C145" s="26">
        <v>1030</v>
      </c>
      <c r="D145" s="18">
        <f t="shared" si="24"/>
        <v>-4.3564315506744755</v>
      </c>
      <c r="E145" s="18">
        <f t="shared" si="24"/>
        <v>-8.9210064520105785</v>
      </c>
      <c r="F145" s="18">
        <f t="shared" si="24"/>
        <v>1000013.8155105581</v>
      </c>
      <c r="G145" s="18">
        <f t="shared" si="24"/>
        <v>1000013.8155105581</v>
      </c>
      <c r="H145" s="18">
        <f t="shared" si="24"/>
        <v>1000013.8155105581</v>
      </c>
      <c r="I145" s="16"/>
      <c r="J145" s="18">
        <f t="shared" si="35"/>
        <v>1.2662704553942734E-2</v>
      </c>
      <c r="K145" s="18">
        <f t="shared" si="36"/>
        <v>1.3353592864050561E-4</v>
      </c>
      <c r="L145" s="18">
        <f t="shared" si="37"/>
        <v>999999.99999309238</v>
      </c>
      <c r="M145" s="18">
        <f t="shared" si="38"/>
        <v>999999.99999309238</v>
      </c>
      <c r="N145" s="18">
        <f t="shared" si="39"/>
        <v>999999.99999309238</v>
      </c>
      <c r="O145" s="16"/>
      <c r="P145" s="18">
        <f t="shared" si="30"/>
        <v>112.70866203009992</v>
      </c>
      <c r="Q145" s="18">
        <f t="shared" si="44"/>
        <v>930.50217737704747</v>
      </c>
      <c r="R145" s="18">
        <f t="shared" si="45"/>
        <v>0</v>
      </c>
      <c r="S145" s="18">
        <f t="shared" si="46"/>
        <v>0</v>
      </c>
      <c r="T145" s="18">
        <f t="shared" si="47"/>
        <v>0</v>
      </c>
      <c r="U145" s="16"/>
      <c r="V145" s="18">
        <f t="shared" si="40"/>
        <v>1043.2108394071474</v>
      </c>
      <c r="W145" s="16"/>
      <c r="X145" s="18">
        <f t="shared" si="41"/>
        <v>174.52627784143951</v>
      </c>
      <c r="Y145" s="18">
        <f t="shared" si="42"/>
        <v>13.210839407147432</v>
      </c>
      <c r="Z145" s="18"/>
      <c r="AA145" s="18">
        <f t="shared" si="43"/>
        <v>3.2629566613651088E-5</v>
      </c>
    </row>
    <row r="146" spans="2:27" x14ac:dyDescent="0.35">
      <c r="B146" s="26">
        <v>30.500000000000007</v>
      </c>
      <c r="C146" s="26">
        <v>1065</v>
      </c>
      <c r="D146" s="18">
        <f t="shared" si="24"/>
        <v>-4.3421471218516334</v>
      </c>
      <c r="E146" s="18">
        <f t="shared" si="24"/>
        <v>-8.9191420727095156</v>
      </c>
      <c r="F146" s="18">
        <f t="shared" si="24"/>
        <v>1000013.8155105581</v>
      </c>
      <c r="G146" s="18">
        <f t="shared" si="24"/>
        <v>1000013.8155105581</v>
      </c>
      <c r="H146" s="18">
        <f t="shared" si="24"/>
        <v>1000013.8155105581</v>
      </c>
      <c r="I146" s="16"/>
      <c r="J146" s="18">
        <f t="shared" si="35"/>
        <v>1.284257194169712E-2</v>
      </c>
      <c r="K146" s="18">
        <f t="shared" si="36"/>
        <v>1.3378508915158789E-4</v>
      </c>
      <c r="L146" s="18">
        <f t="shared" si="37"/>
        <v>999999.99999309238</v>
      </c>
      <c r="M146" s="18">
        <f t="shared" si="38"/>
        <v>999999.99999309238</v>
      </c>
      <c r="N146" s="18">
        <f t="shared" si="39"/>
        <v>999999.99999309238</v>
      </c>
      <c r="O146" s="16"/>
      <c r="P146" s="18">
        <f t="shared" si="30"/>
        <v>111.11037908105844</v>
      </c>
      <c r="Q146" s="18">
        <f t="shared" si="44"/>
        <v>928.76898457533446</v>
      </c>
      <c r="R146" s="18">
        <f t="shared" si="45"/>
        <v>0</v>
      </c>
      <c r="S146" s="18">
        <f t="shared" si="46"/>
        <v>0</v>
      </c>
      <c r="T146" s="18">
        <f t="shared" si="47"/>
        <v>0</v>
      </c>
      <c r="U146" s="16"/>
      <c r="V146" s="18">
        <f t="shared" si="40"/>
        <v>1039.8793636563928</v>
      </c>
      <c r="W146" s="16"/>
      <c r="X146" s="18">
        <f t="shared" si="41"/>
        <v>631.04637030775905</v>
      </c>
      <c r="Y146" s="18">
        <f t="shared" si="42"/>
        <v>25.120636343607202</v>
      </c>
      <c r="Z146" s="18"/>
      <c r="AA146" s="18">
        <f t="shared" si="43"/>
        <v>6.2045677166249432E-5</v>
      </c>
    </row>
    <row r="147" spans="2:27" x14ac:dyDescent="0.35">
      <c r="B147" s="26">
        <v>30.800000000000004</v>
      </c>
      <c r="C147" s="26">
        <v>1052</v>
      </c>
      <c r="D147" s="18">
        <f t="shared" si="24"/>
        <v>-4.3278626930287913</v>
      </c>
      <c r="E147" s="18">
        <f t="shared" si="24"/>
        <v>-8.9172776934084546</v>
      </c>
      <c r="F147" s="18">
        <f t="shared" si="24"/>
        <v>1000013.8155105581</v>
      </c>
      <c r="G147" s="18">
        <f t="shared" si="24"/>
        <v>1000013.8155105581</v>
      </c>
      <c r="H147" s="18">
        <f t="shared" si="24"/>
        <v>1000013.8155105581</v>
      </c>
      <c r="I147" s="16"/>
      <c r="J147" s="18">
        <f t="shared" si="35"/>
        <v>1.3024961405785566E-2</v>
      </c>
      <c r="K147" s="18">
        <f t="shared" si="36"/>
        <v>1.3403471450116716E-4</v>
      </c>
      <c r="L147" s="18">
        <f t="shared" si="37"/>
        <v>999999.99999309238</v>
      </c>
      <c r="M147" s="18">
        <f t="shared" si="38"/>
        <v>999999.99999309238</v>
      </c>
      <c r="N147" s="18">
        <f t="shared" si="39"/>
        <v>999999.99999309238</v>
      </c>
      <c r="O147" s="16"/>
      <c r="P147" s="18">
        <f t="shared" si="30"/>
        <v>109.53476784133559</v>
      </c>
      <c r="Q147" s="18">
        <f t="shared" si="44"/>
        <v>927.03902009212504</v>
      </c>
      <c r="R147" s="18">
        <f t="shared" si="45"/>
        <v>0</v>
      </c>
      <c r="S147" s="18">
        <f t="shared" si="46"/>
        <v>0</v>
      </c>
      <c r="T147" s="18">
        <f t="shared" si="47"/>
        <v>0</v>
      </c>
      <c r="U147" s="16"/>
      <c r="V147" s="18">
        <f t="shared" si="40"/>
        <v>1036.5737879334606</v>
      </c>
      <c r="W147" s="16"/>
      <c r="X147" s="18">
        <f t="shared" si="41"/>
        <v>237.96801872184554</v>
      </c>
      <c r="Y147" s="18">
        <f t="shared" si="42"/>
        <v>15.426212066539392</v>
      </c>
      <c r="Z147" s="18"/>
      <c r="AA147" s="18">
        <f t="shared" si="43"/>
        <v>3.810133472284347E-5</v>
      </c>
    </row>
    <row r="148" spans="2:27" x14ac:dyDescent="0.35">
      <c r="B148" s="26">
        <v>31.1</v>
      </c>
      <c r="C148" s="26">
        <v>1074</v>
      </c>
      <c r="D148" s="18">
        <f t="shared" si="24"/>
        <v>-4.3135782642059493</v>
      </c>
      <c r="E148" s="18">
        <f t="shared" si="24"/>
        <v>-8.9154133141073935</v>
      </c>
      <c r="F148" s="18">
        <f t="shared" si="24"/>
        <v>1000013.8155105581</v>
      </c>
      <c r="G148" s="18">
        <f t="shared" si="24"/>
        <v>1000013.8155105581</v>
      </c>
      <c r="H148" s="18">
        <f t="shared" si="24"/>
        <v>1000013.8155105581</v>
      </c>
      <c r="I148" s="16"/>
      <c r="J148" s="18">
        <f t="shared" si="35"/>
        <v>1.3209907383149483E-2</v>
      </c>
      <c r="K148" s="18">
        <f t="shared" si="36"/>
        <v>1.3428480555622232E-4</v>
      </c>
      <c r="L148" s="18">
        <f t="shared" si="37"/>
        <v>999999.99999309238</v>
      </c>
      <c r="M148" s="18">
        <f t="shared" si="38"/>
        <v>999999.99999309238</v>
      </c>
      <c r="N148" s="18">
        <f t="shared" si="39"/>
        <v>999999.99999309238</v>
      </c>
      <c r="O148" s="16"/>
      <c r="P148" s="18">
        <f t="shared" si="30"/>
        <v>107.98150680493872</v>
      </c>
      <c r="Q148" s="18">
        <f t="shared" si="44"/>
        <v>925.31227791421429</v>
      </c>
      <c r="R148" s="18">
        <f t="shared" si="45"/>
        <v>0</v>
      </c>
      <c r="S148" s="18">
        <f t="shared" si="46"/>
        <v>0</v>
      </c>
      <c r="T148" s="18">
        <f t="shared" si="47"/>
        <v>0</v>
      </c>
      <c r="U148" s="16"/>
      <c r="V148" s="18">
        <f t="shared" si="40"/>
        <v>1033.2937847191531</v>
      </c>
      <c r="W148" s="16"/>
      <c r="X148" s="18">
        <f t="shared" si="41"/>
        <v>1656.995962490653</v>
      </c>
      <c r="Y148" s="18">
        <f t="shared" si="42"/>
        <v>40.706215280846891</v>
      </c>
      <c r="Z148" s="18"/>
      <c r="AA148" s="18">
        <f t="shared" si="43"/>
        <v>1.0054063350262271E-4</v>
      </c>
    </row>
    <row r="149" spans="2:27" x14ac:dyDescent="0.35">
      <c r="B149" s="26">
        <v>31.4</v>
      </c>
      <c r="C149" s="26">
        <v>1040</v>
      </c>
      <c r="D149" s="18">
        <f t="shared" si="24"/>
        <v>-4.2992938353831063</v>
      </c>
      <c r="E149" s="18">
        <f t="shared" si="24"/>
        <v>-8.9135489348063306</v>
      </c>
      <c r="F149" s="18">
        <f t="shared" si="24"/>
        <v>1000013.8155105581</v>
      </c>
      <c r="G149" s="18">
        <f t="shared" si="24"/>
        <v>1000013.8155105581</v>
      </c>
      <c r="H149" s="18">
        <f t="shared" si="24"/>
        <v>1000013.8155105581</v>
      </c>
      <c r="I149" s="16"/>
      <c r="J149" s="18">
        <f t="shared" si="35"/>
        <v>1.3397444754949413E-2</v>
      </c>
      <c r="K149" s="18">
        <f t="shared" si="36"/>
        <v>1.3453536318534844E-4</v>
      </c>
      <c r="L149" s="18">
        <f t="shared" si="37"/>
        <v>999999.99999309238</v>
      </c>
      <c r="M149" s="18">
        <f t="shared" si="38"/>
        <v>999999.99999309238</v>
      </c>
      <c r="N149" s="18">
        <f t="shared" si="39"/>
        <v>999999.99999309238</v>
      </c>
      <c r="O149" s="16"/>
      <c r="P149" s="18">
        <f t="shared" si="30"/>
        <v>106.4502790262602</v>
      </c>
      <c r="Q149" s="18">
        <f t="shared" si="44"/>
        <v>923.58875203959849</v>
      </c>
      <c r="R149" s="18">
        <f t="shared" si="45"/>
        <v>0</v>
      </c>
      <c r="S149" s="18">
        <f t="shared" si="46"/>
        <v>0</v>
      </c>
      <c r="T149" s="18">
        <f t="shared" si="47"/>
        <v>0</v>
      </c>
      <c r="U149" s="16"/>
      <c r="V149" s="18">
        <f t="shared" si="40"/>
        <v>1030.0390310658586</v>
      </c>
      <c r="W149" s="16"/>
      <c r="X149" s="18">
        <f t="shared" si="41"/>
        <v>99.220902106930453</v>
      </c>
      <c r="Y149" s="18">
        <f t="shared" si="42"/>
        <v>9.9609689341414196</v>
      </c>
      <c r="Z149" s="18"/>
      <c r="AA149" s="18">
        <f t="shared" si="43"/>
        <v>2.4602683399302432E-5</v>
      </c>
    </row>
    <row r="150" spans="2:27" x14ac:dyDescent="0.35">
      <c r="B150" s="26">
        <v>31.699999999999996</v>
      </c>
      <c r="C150" s="26">
        <v>989</v>
      </c>
      <c r="D150" s="18">
        <f t="shared" si="24"/>
        <v>-4.2850094065602642</v>
      </c>
      <c r="E150" s="18">
        <f t="shared" si="24"/>
        <v>-8.9116845555052695</v>
      </c>
      <c r="F150" s="18">
        <f t="shared" si="24"/>
        <v>1000013.8155105581</v>
      </c>
      <c r="G150" s="18">
        <f t="shared" si="24"/>
        <v>1000013.8155105581</v>
      </c>
      <c r="H150" s="18">
        <f t="shared" si="24"/>
        <v>1000013.8155105581</v>
      </c>
      <c r="I150" s="16"/>
      <c r="J150" s="18">
        <f t="shared" si="35"/>
        <v>1.3587608851569443E-2</v>
      </c>
      <c r="K150" s="18">
        <f t="shared" si="36"/>
        <v>1.3478638825875907E-4</v>
      </c>
      <c r="L150" s="18">
        <f t="shared" si="37"/>
        <v>999999.99999309238</v>
      </c>
      <c r="M150" s="18">
        <f t="shared" si="38"/>
        <v>999999.99999309238</v>
      </c>
      <c r="N150" s="18">
        <f t="shared" si="39"/>
        <v>999999.99999309238</v>
      </c>
      <c r="O150" s="16"/>
      <c r="P150" s="18">
        <f t="shared" si="30"/>
        <v>104.94077205540201</v>
      </c>
      <c r="Q150" s="18">
        <f t="shared" si="44"/>
        <v>921.86843647745775</v>
      </c>
      <c r="R150" s="18">
        <f t="shared" si="45"/>
        <v>0</v>
      </c>
      <c r="S150" s="18">
        <f t="shared" si="46"/>
        <v>0</v>
      </c>
      <c r="T150" s="18">
        <f t="shared" si="47"/>
        <v>0</v>
      </c>
      <c r="U150" s="16"/>
      <c r="V150" s="18">
        <f t="shared" si="40"/>
        <v>1026.8092085328597</v>
      </c>
      <c r="W150" s="16"/>
      <c r="X150" s="18">
        <f t="shared" si="41"/>
        <v>1429.5362498812674</v>
      </c>
      <c r="Y150" s="18">
        <f t="shared" si="42"/>
        <v>37.809208532859657</v>
      </c>
      <c r="Z150" s="18"/>
      <c r="AA150" s="18">
        <f t="shared" si="43"/>
        <v>9.3385291457324368E-5</v>
      </c>
    </row>
    <row r="151" spans="2:27" x14ac:dyDescent="0.35">
      <c r="B151" s="26">
        <v>32.000000000000007</v>
      </c>
      <c r="C151" s="26">
        <v>974</v>
      </c>
      <c r="D151" s="18">
        <f t="shared" si="24"/>
        <v>-4.2707249777374212</v>
      </c>
      <c r="E151" s="18">
        <f t="shared" si="24"/>
        <v>-8.9098201762042084</v>
      </c>
      <c r="F151" s="18">
        <f t="shared" si="24"/>
        <v>1000013.8155105581</v>
      </c>
      <c r="G151" s="18">
        <f t="shared" si="24"/>
        <v>1000013.8155105581</v>
      </c>
      <c r="H151" s="18">
        <f t="shared" ref="E151:H166" si="48">G$23/(G$21*$A$21)-LN((G$21*$A$21)/G$23)+$B151*G$22</f>
        <v>1000013.8155105581</v>
      </c>
      <c r="I151" s="16"/>
      <c r="J151" s="18">
        <f t="shared" si="35"/>
        <v>1.3780435457657541E-2</v>
      </c>
      <c r="K151" s="18">
        <f t="shared" si="36"/>
        <v>1.3503788164829055E-4</v>
      </c>
      <c r="L151" s="18">
        <f t="shared" si="37"/>
        <v>999999.99999309238</v>
      </c>
      <c r="M151" s="18">
        <f t="shared" si="38"/>
        <v>999999.99999309238</v>
      </c>
      <c r="N151" s="18">
        <f t="shared" si="39"/>
        <v>999999.99999309238</v>
      </c>
      <c r="O151" s="16"/>
      <c r="P151" s="18">
        <f t="shared" si="30"/>
        <v>103.45267787441664</v>
      </c>
      <c r="Q151" s="18">
        <f t="shared" si="44"/>
        <v>920.15132524812668</v>
      </c>
      <c r="R151" s="18">
        <f t="shared" si="45"/>
        <v>0</v>
      </c>
      <c r="S151" s="18">
        <f t="shared" si="46"/>
        <v>0</v>
      </c>
      <c r="T151" s="18">
        <f t="shared" si="47"/>
        <v>0</v>
      </c>
      <c r="U151" s="16"/>
      <c r="V151" s="18">
        <f t="shared" si="40"/>
        <v>1023.6040031225433</v>
      </c>
      <c r="W151" s="16"/>
      <c r="X151" s="18">
        <f t="shared" si="41"/>
        <v>2460.5571257812858</v>
      </c>
      <c r="Y151" s="18">
        <f t="shared" si="42"/>
        <v>49.604003122543304</v>
      </c>
      <c r="Z151" s="18"/>
      <c r="AA151" s="18">
        <f t="shared" si="43"/>
        <v>1.2251735671808247E-4</v>
      </c>
    </row>
    <row r="152" spans="2:27" x14ac:dyDescent="0.35">
      <c r="B152" s="26">
        <v>32.199999999999996</v>
      </c>
      <c r="C152" s="26">
        <v>990</v>
      </c>
      <c r="D152" s="18">
        <f t="shared" si="24"/>
        <v>-4.2612020251888607</v>
      </c>
      <c r="E152" s="18">
        <f t="shared" si="48"/>
        <v>-8.9085772566701671</v>
      </c>
      <c r="F152" s="18">
        <f t="shared" si="48"/>
        <v>1000013.8155105581</v>
      </c>
      <c r="G152" s="18">
        <f t="shared" si="48"/>
        <v>1000013.8155105581</v>
      </c>
      <c r="H152" s="18">
        <f t="shared" si="48"/>
        <v>1000013.8155105581</v>
      </c>
      <c r="I152" s="16"/>
      <c r="J152" s="18">
        <f t="shared" si="35"/>
        <v>1.3910483579518233E-2</v>
      </c>
      <c r="K152" s="18">
        <f t="shared" si="36"/>
        <v>1.3520580451487296E-4</v>
      </c>
      <c r="L152" s="18">
        <f t="shared" si="37"/>
        <v>999999.99999309238</v>
      </c>
      <c r="M152" s="18">
        <f t="shared" si="38"/>
        <v>999999.99999309238</v>
      </c>
      <c r="N152" s="18">
        <f t="shared" si="39"/>
        <v>999999.99999309238</v>
      </c>
      <c r="O152" s="16"/>
      <c r="P152" s="18">
        <f t="shared" si="30"/>
        <v>102.4723609534949</v>
      </c>
      <c r="Q152" s="18">
        <f t="shared" si="44"/>
        <v>919.00836166558815</v>
      </c>
      <c r="R152" s="18">
        <f t="shared" si="45"/>
        <v>0</v>
      </c>
      <c r="S152" s="18">
        <f t="shared" si="46"/>
        <v>0</v>
      </c>
      <c r="T152" s="18">
        <f t="shared" si="47"/>
        <v>0</v>
      </c>
      <c r="U152" s="16"/>
      <c r="V152" s="18">
        <f t="shared" si="40"/>
        <v>1021.4807226190831</v>
      </c>
      <c r="W152" s="16"/>
      <c r="X152" s="18">
        <f t="shared" si="41"/>
        <v>991.03589661964736</v>
      </c>
      <c r="Y152" s="18">
        <f t="shared" si="42"/>
        <v>31.480722619083053</v>
      </c>
      <c r="Z152" s="18"/>
      <c r="AA152" s="18">
        <f t="shared" si="43"/>
        <v>7.7754509315244413E-5</v>
      </c>
    </row>
    <row r="153" spans="2:27" x14ac:dyDescent="0.35">
      <c r="B153" s="26">
        <v>32.500000000000007</v>
      </c>
      <c r="C153" s="26">
        <v>974</v>
      </c>
      <c r="D153" s="18">
        <f t="shared" si="24"/>
        <v>-4.2469175963660177</v>
      </c>
      <c r="E153" s="18">
        <f t="shared" si="48"/>
        <v>-8.9067128773691042</v>
      </c>
      <c r="F153" s="18">
        <f t="shared" si="48"/>
        <v>1000013.8155105581</v>
      </c>
      <c r="G153" s="18">
        <f t="shared" si="48"/>
        <v>1000013.8155105581</v>
      </c>
      <c r="H153" s="18">
        <f t="shared" si="48"/>
        <v>1000013.8155105581</v>
      </c>
      <c r="I153" s="16"/>
      <c r="J153" s="18">
        <f t="shared" si="35"/>
        <v>1.4107828472728052E-2</v>
      </c>
      <c r="K153" s="18">
        <f t="shared" si="36"/>
        <v>1.3545808037310198E-4</v>
      </c>
      <c r="L153" s="18">
        <f t="shared" si="37"/>
        <v>999999.99999309238</v>
      </c>
      <c r="M153" s="18">
        <f t="shared" si="38"/>
        <v>999999.99999309238</v>
      </c>
      <c r="N153" s="18">
        <f t="shared" si="39"/>
        <v>999999.99999309238</v>
      </c>
      <c r="O153" s="16"/>
      <c r="P153" s="18">
        <f t="shared" si="30"/>
        <v>101.0192821099097</v>
      </c>
      <c r="Q153" s="18">
        <f t="shared" si="44"/>
        <v>917.29657773303745</v>
      </c>
      <c r="R153" s="18">
        <f t="shared" si="45"/>
        <v>0</v>
      </c>
      <c r="S153" s="18">
        <f t="shared" si="46"/>
        <v>0</v>
      </c>
      <c r="T153" s="18">
        <f t="shared" si="47"/>
        <v>0</v>
      </c>
      <c r="U153" s="16"/>
      <c r="V153" s="18">
        <f t="shared" si="40"/>
        <v>1018.3158598429471</v>
      </c>
      <c r="W153" s="16"/>
      <c r="X153" s="18">
        <f t="shared" si="41"/>
        <v>1963.8954336197344</v>
      </c>
      <c r="Y153" s="18">
        <f t="shared" si="42"/>
        <v>44.315859842947134</v>
      </c>
      <c r="Z153" s="18"/>
      <c r="AA153" s="18">
        <f t="shared" si="43"/>
        <v>1.0945612585407241E-4</v>
      </c>
    </row>
    <row r="154" spans="2:27" x14ac:dyDescent="0.35">
      <c r="B154" s="26">
        <v>32.800000000000004</v>
      </c>
      <c r="C154" s="26">
        <v>991</v>
      </c>
      <c r="D154" s="18">
        <f t="shared" si="24"/>
        <v>-4.2326331675431756</v>
      </c>
      <c r="E154" s="18">
        <f t="shared" si="48"/>
        <v>-8.9048484980680431</v>
      </c>
      <c r="F154" s="18">
        <f t="shared" si="48"/>
        <v>1000013.8155105581</v>
      </c>
      <c r="G154" s="18">
        <f t="shared" si="48"/>
        <v>1000013.8155105581</v>
      </c>
      <c r="H154" s="18">
        <f t="shared" si="48"/>
        <v>1000013.8155105581</v>
      </c>
      <c r="I154" s="16"/>
      <c r="J154" s="18">
        <f t="shared" si="35"/>
        <v>1.430793356069154E-2</v>
      </c>
      <c r="K154" s="18">
        <f t="shared" si="36"/>
        <v>1.3571082688030168E-4</v>
      </c>
      <c r="L154" s="18">
        <f t="shared" si="37"/>
        <v>999999.99999309238</v>
      </c>
      <c r="M154" s="18">
        <f t="shared" si="38"/>
        <v>999999.99999309238</v>
      </c>
      <c r="N154" s="18">
        <f t="shared" si="39"/>
        <v>999999.99999309238</v>
      </c>
      <c r="O154" s="16"/>
      <c r="P154" s="18">
        <f t="shared" si="30"/>
        <v>99.586815867135613</v>
      </c>
      <c r="Q154" s="18">
        <f t="shared" si="44"/>
        <v>915.58798224192287</v>
      </c>
      <c r="R154" s="18">
        <f t="shared" si="45"/>
        <v>0</v>
      </c>
      <c r="S154" s="18">
        <f t="shared" si="46"/>
        <v>0</v>
      </c>
      <c r="T154" s="18">
        <f t="shared" si="47"/>
        <v>0</v>
      </c>
      <c r="U154" s="16"/>
      <c r="V154" s="18">
        <f t="shared" si="40"/>
        <v>1015.1747981090584</v>
      </c>
      <c r="W154" s="16"/>
      <c r="X154" s="18">
        <f t="shared" si="41"/>
        <v>584.42086361373504</v>
      </c>
      <c r="Y154" s="18">
        <f t="shared" si="42"/>
        <v>24.174798109058429</v>
      </c>
      <c r="Z154" s="18"/>
      <c r="AA154" s="18">
        <f t="shared" si="43"/>
        <v>5.9709543122923623E-5</v>
      </c>
    </row>
    <row r="155" spans="2:27" x14ac:dyDescent="0.35">
      <c r="B155" s="26">
        <v>33.1</v>
      </c>
      <c r="C155" s="26">
        <v>989</v>
      </c>
      <c r="D155" s="18">
        <f t="shared" si="24"/>
        <v>-4.2183487387203336</v>
      </c>
      <c r="E155" s="18">
        <f t="shared" si="48"/>
        <v>-8.902984118766982</v>
      </c>
      <c r="F155" s="18">
        <f t="shared" si="48"/>
        <v>1000013.8155105581</v>
      </c>
      <c r="G155" s="18">
        <f t="shared" si="48"/>
        <v>1000013.8155105581</v>
      </c>
      <c r="H155" s="18">
        <f t="shared" si="48"/>
        <v>1000013.8155105581</v>
      </c>
      <c r="I155" s="16"/>
      <c r="J155" s="18">
        <f t="shared" si="35"/>
        <v>1.4510836337382753E-2</v>
      </c>
      <c r="K155" s="18">
        <f t="shared" si="36"/>
        <v>1.3596404491428236E-4</v>
      </c>
      <c r="L155" s="18">
        <f t="shared" si="37"/>
        <v>999999.99999309238</v>
      </c>
      <c r="M155" s="18">
        <f t="shared" si="38"/>
        <v>999999.99999309238</v>
      </c>
      <c r="N155" s="18">
        <f t="shared" si="39"/>
        <v>999999.99999309238</v>
      </c>
      <c r="O155" s="16"/>
      <c r="P155" s="18">
        <f t="shared" si="30"/>
        <v>98.174669926697007</v>
      </c>
      <c r="Q155" s="18">
        <f t="shared" si="44"/>
        <v>913.88256925331632</v>
      </c>
      <c r="R155" s="18">
        <f t="shared" si="45"/>
        <v>0</v>
      </c>
      <c r="S155" s="18">
        <f t="shared" si="46"/>
        <v>0</v>
      </c>
      <c r="T155" s="18">
        <f t="shared" si="47"/>
        <v>0</v>
      </c>
      <c r="U155" s="16"/>
      <c r="V155" s="18">
        <f t="shared" si="40"/>
        <v>1012.0572391800133</v>
      </c>
      <c r="W155" s="16"/>
      <c r="X155" s="18">
        <f t="shared" si="41"/>
        <v>531.63627860434099</v>
      </c>
      <c r="Y155" s="18">
        <f t="shared" si="42"/>
        <v>23.057239180013312</v>
      </c>
      <c r="Z155" s="18"/>
      <c r="AA155" s="18">
        <f t="shared" si="43"/>
        <v>5.6949274649731119E-5</v>
      </c>
    </row>
    <row r="156" spans="2:27" x14ac:dyDescent="0.35">
      <c r="B156" s="26">
        <v>33.4</v>
      </c>
      <c r="C156" s="26">
        <v>1013</v>
      </c>
      <c r="D156" s="18">
        <f t="shared" si="24"/>
        <v>-4.2040643098974915</v>
      </c>
      <c r="E156" s="18">
        <f t="shared" si="48"/>
        <v>-8.9011197394659192</v>
      </c>
      <c r="F156" s="18">
        <f t="shared" si="48"/>
        <v>1000013.8155105581</v>
      </c>
      <c r="G156" s="18">
        <f t="shared" si="48"/>
        <v>1000013.8155105581</v>
      </c>
      <c r="H156" s="18">
        <f t="shared" si="48"/>
        <v>1000013.8155105581</v>
      </c>
      <c r="I156" s="16"/>
      <c r="J156" s="18">
        <f t="shared" si="35"/>
        <v>1.4716574775023791E-2</v>
      </c>
      <c r="K156" s="18">
        <f t="shared" si="36"/>
        <v>1.3621773535449054E-4</v>
      </c>
      <c r="L156" s="18">
        <f t="shared" si="37"/>
        <v>999999.99999309238</v>
      </c>
      <c r="M156" s="18">
        <f t="shared" si="38"/>
        <v>999999.99999309238</v>
      </c>
      <c r="N156" s="18">
        <f t="shared" si="39"/>
        <v>999999.99999309238</v>
      </c>
      <c r="O156" s="16"/>
      <c r="P156" s="18">
        <f t="shared" si="30"/>
        <v>96.78255613627978</v>
      </c>
      <c r="Q156" s="18">
        <f t="shared" si="44"/>
        <v>912.18033283935267</v>
      </c>
      <c r="R156" s="18">
        <f t="shared" si="45"/>
        <v>0</v>
      </c>
      <c r="S156" s="18">
        <f t="shared" si="46"/>
        <v>0</v>
      </c>
      <c r="T156" s="18">
        <f t="shared" si="47"/>
        <v>0</v>
      </c>
      <c r="U156" s="16"/>
      <c r="V156" s="18">
        <f t="shared" si="40"/>
        <v>1008.9628889756325</v>
      </c>
      <c r="W156" s="16"/>
      <c r="X156" s="18">
        <f t="shared" si="41"/>
        <v>16.298265423069644</v>
      </c>
      <c r="Y156" s="18">
        <f t="shared" si="42"/>
        <v>4.0371110243675048</v>
      </c>
      <c r="Z156" s="18"/>
      <c r="AA156" s="18">
        <f t="shared" si="43"/>
        <v>9.9712954670416718E-6</v>
      </c>
    </row>
    <row r="157" spans="2:27" x14ac:dyDescent="0.35">
      <c r="B157" s="26">
        <v>33.699999999999996</v>
      </c>
      <c r="C157" s="26">
        <v>1010</v>
      </c>
      <c r="D157" s="18">
        <f t="shared" si="24"/>
        <v>-4.1897798810746494</v>
      </c>
      <c r="E157" s="18">
        <f t="shared" si="48"/>
        <v>-8.8992553601648581</v>
      </c>
      <c r="F157" s="18">
        <f t="shared" si="48"/>
        <v>1000013.8155105581</v>
      </c>
      <c r="G157" s="18">
        <f t="shared" si="48"/>
        <v>1000013.8155105581</v>
      </c>
      <c r="H157" s="18">
        <f t="shared" si="48"/>
        <v>1000013.8155105581</v>
      </c>
      <c r="I157" s="16"/>
      <c r="J157" s="18">
        <f t="shared" si="35"/>
        <v>1.4925187329320667E-2</v>
      </c>
      <c r="K157" s="18">
        <f t="shared" si="36"/>
        <v>1.3647189908201149E-4</v>
      </c>
      <c r="L157" s="18">
        <f t="shared" si="37"/>
        <v>999999.99999309238</v>
      </c>
      <c r="M157" s="18">
        <f t="shared" si="38"/>
        <v>999999.99999309238</v>
      </c>
      <c r="N157" s="18">
        <f t="shared" si="39"/>
        <v>999999.99999309238</v>
      </c>
      <c r="O157" s="16"/>
      <c r="P157" s="18">
        <f t="shared" si="30"/>
        <v>95.410190430930257</v>
      </c>
      <c r="Q157" s="18">
        <f t="shared" si="44"/>
        <v>910.48126708321183</v>
      </c>
      <c r="R157" s="18">
        <f t="shared" si="45"/>
        <v>0</v>
      </c>
      <c r="S157" s="18">
        <f t="shared" si="46"/>
        <v>0</v>
      </c>
      <c r="T157" s="18">
        <f t="shared" si="47"/>
        <v>0</v>
      </c>
      <c r="U157" s="16"/>
      <c r="V157" s="18">
        <f t="shared" si="40"/>
        <v>1005.8914575141421</v>
      </c>
      <c r="W157" s="16"/>
      <c r="X157" s="18">
        <f t="shared" si="41"/>
        <v>16.880121358099615</v>
      </c>
      <c r="Y157" s="18">
        <f t="shared" si="42"/>
        <v>4.1085424858579245</v>
      </c>
      <c r="Z157" s="18"/>
      <c r="AA157" s="18">
        <f t="shared" si="43"/>
        <v>1.0147724652135775E-5</v>
      </c>
    </row>
    <row r="158" spans="2:27" x14ac:dyDescent="0.35">
      <c r="B158" s="26">
        <v>34.000000000000007</v>
      </c>
      <c r="C158" s="26">
        <v>1024</v>
      </c>
      <c r="D158" s="18">
        <f t="shared" si="24"/>
        <v>-4.1754954522518064</v>
      </c>
      <c r="E158" s="18">
        <f t="shared" si="48"/>
        <v>-8.897390980863797</v>
      </c>
      <c r="F158" s="18">
        <f t="shared" si="48"/>
        <v>1000013.8155105581</v>
      </c>
      <c r="G158" s="18">
        <f t="shared" si="48"/>
        <v>1000013.8155105581</v>
      </c>
      <c r="H158" s="18">
        <f t="shared" si="48"/>
        <v>1000013.8155105581</v>
      </c>
      <c r="I158" s="16"/>
      <c r="J158" s="18">
        <f t="shared" si="35"/>
        <v>1.5136712944732131E-2</v>
      </c>
      <c r="K158" s="18">
        <f t="shared" si="36"/>
        <v>1.3672653697957346E-4</v>
      </c>
      <c r="L158" s="18">
        <f t="shared" si="37"/>
        <v>999999.99999309238</v>
      </c>
      <c r="M158" s="18">
        <f t="shared" si="38"/>
        <v>999999.99999309238</v>
      </c>
      <c r="N158" s="18">
        <f t="shared" si="39"/>
        <v>999999.99999309238</v>
      </c>
      <c r="O158" s="16"/>
      <c r="P158" s="18">
        <f t="shared" si="30"/>
        <v>94.057292775087774</v>
      </c>
      <c r="Q158" s="18">
        <f t="shared" si="44"/>
        <v>908.78536607909177</v>
      </c>
      <c r="R158" s="18">
        <f t="shared" si="45"/>
        <v>0</v>
      </c>
      <c r="S158" s="18">
        <f t="shared" si="46"/>
        <v>0</v>
      </c>
      <c r="T158" s="18">
        <f t="shared" si="47"/>
        <v>0</v>
      </c>
      <c r="U158" s="16"/>
      <c r="V158" s="18">
        <f t="shared" si="40"/>
        <v>1002.8426588541795</v>
      </c>
      <c r="W158" s="16"/>
      <c r="X158" s="18">
        <f t="shared" si="41"/>
        <v>447.63308436062954</v>
      </c>
      <c r="Y158" s="18">
        <f t="shared" si="42"/>
        <v>21.15734114582051</v>
      </c>
      <c r="Z158" s="18"/>
      <c r="AA158" s="18">
        <f t="shared" si="43"/>
        <v>5.2256700048279303E-5</v>
      </c>
    </row>
    <row r="159" spans="2:27" x14ac:dyDescent="0.35">
      <c r="B159" s="26">
        <v>34.199999999999996</v>
      </c>
      <c r="C159" s="26">
        <v>1046</v>
      </c>
      <c r="D159" s="18">
        <f t="shared" si="24"/>
        <v>-4.165972499703245</v>
      </c>
      <c r="E159" s="18">
        <f t="shared" si="48"/>
        <v>-8.8961480613297557</v>
      </c>
      <c r="F159" s="18">
        <f t="shared" si="48"/>
        <v>1000013.8155105581</v>
      </c>
      <c r="G159" s="18">
        <f t="shared" si="48"/>
        <v>1000013.8155105581</v>
      </c>
      <c r="H159" s="18">
        <f t="shared" si="48"/>
        <v>1000013.8155105581</v>
      </c>
      <c r="I159" s="16"/>
      <c r="J159" s="18">
        <f t="shared" si="35"/>
        <v>1.5279367844275537E-2</v>
      </c>
      <c r="K159" s="18">
        <f t="shared" si="36"/>
        <v>1.368965594424087E-4</v>
      </c>
      <c r="L159" s="18">
        <f t="shared" si="37"/>
        <v>999999.99999309238</v>
      </c>
      <c r="M159" s="18">
        <f t="shared" si="38"/>
        <v>999999.99999309238</v>
      </c>
      <c r="N159" s="18">
        <f t="shared" si="39"/>
        <v>999999.99999309238</v>
      </c>
      <c r="O159" s="16"/>
      <c r="P159" s="18">
        <f t="shared" si="30"/>
        <v>93.166040098262329</v>
      </c>
      <c r="Q159" s="18">
        <f t="shared" si="44"/>
        <v>907.65652069377927</v>
      </c>
      <c r="R159" s="18">
        <f t="shared" si="45"/>
        <v>0</v>
      </c>
      <c r="S159" s="18">
        <f t="shared" si="46"/>
        <v>0</v>
      </c>
      <c r="T159" s="18">
        <f t="shared" si="47"/>
        <v>0</v>
      </c>
      <c r="U159" s="16"/>
      <c r="V159" s="18">
        <f t="shared" si="40"/>
        <v>1000.8225607920416</v>
      </c>
      <c r="W159" s="16"/>
      <c r="X159" s="18">
        <f t="shared" si="41"/>
        <v>2041.001013388777</v>
      </c>
      <c r="Y159" s="18">
        <f t="shared" si="42"/>
        <v>45.1774392079584</v>
      </c>
      <c r="Z159" s="18"/>
      <c r="AA159" s="18">
        <f t="shared" si="43"/>
        <v>1.1158414818612592E-4</v>
      </c>
    </row>
    <row r="160" spans="2:27" x14ac:dyDescent="0.35">
      <c r="B160" s="26">
        <v>34.500000000000007</v>
      </c>
      <c r="C160" s="26">
        <v>956</v>
      </c>
      <c r="D160" s="18">
        <f t="shared" si="24"/>
        <v>-4.151688070880402</v>
      </c>
      <c r="E160" s="18">
        <f t="shared" si="48"/>
        <v>-8.8942836820286928</v>
      </c>
      <c r="F160" s="18">
        <f t="shared" si="48"/>
        <v>1000013.8155105581</v>
      </c>
      <c r="G160" s="18">
        <f t="shared" si="48"/>
        <v>1000013.8155105581</v>
      </c>
      <c r="H160" s="18">
        <f t="shared" si="48"/>
        <v>1000013.8155105581</v>
      </c>
      <c r="I160" s="16"/>
      <c r="J160" s="18">
        <f t="shared" si="35"/>
        <v>1.5495836449074374E-2</v>
      </c>
      <c r="K160" s="18">
        <f t="shared" si="36"/>
        <v>1.3715198958946139E-4</v>
      </c>
      <c r="L160" s="18">
        <f t="shared" si="37"/>
        <v>999999.99999309238</v>
      </c>
      <c r="M160" s="18">
        <f t="shared" si="38"/>
        <v>999999.99999309238</v>
      </c>
      <c r="N160" s="18">
        <f t="shared" si="39"/>
        <v>999999.99999309238</v>
      </c>
      <c r="O160" s="16"/>
      <c r="P160" s="18">
        <f t="shared" si="30"/>
        <v>91.8449776536483</v>
      </c>
      <c r="Q160" s="18">
        <f t="shared" si="44"/>
        <v>905.96588118222166</v>
      </c>
      <c r="R160" s="18">
        <f t="shared" si="45"/>
        <v>0</v>
      </c>
      <c r="S160" s="18">
        <f t="shared" si="46"/>
        <v>0</v>
      </c>
      <c r="T160" s="18">
        <f t="shared" si="47"/>
        <v>0</v>
      </c>
      <c r="U160" s="16"/>
      <c r="V160" s="18">
        <f t="shared" si="40"/>
        <v>997.81085883587002</v>
      </c>
      <c r="W160" s="16"/>
      <c r="X160" s="18">
        <f t="shared" si="41"/>
        <v>1748.1479165930502</v>
      </c>
      <c r="Y160" s="18">
        <f t="shared" si="42"/>
        <v>41.810858835870022</v>
      </c>
      <c r="Z160" s="18"/>
      <c r="AA160" s="18">
        <f t="shared" si="43"/>
        <v>1.0326900218171412E-4</v>
      </c>
    </row>
    <row r="161" spans="2:27" x14ac:dyDescent="0.35">
      <c r="B161" s="26">
        <v>34.800000000000004</v>
      </c>
      <c r="C161" s="26">
        <v>934</v>
      </c>
      <c r="D161" s="18">
        <f t="shared" si="24"/>
        <v>-4.1374036420575599</v>
      </c>
      <c r="E161" s="18">
        <f t="shared" si="48"/>
        <v>-8.8924193027276317</v>
      </c>
      <c r="F161" s="18">
        <f t="shared" si="48"/>
        <v>1000013.8155105581</v>
      </c>
      <c r="G161" s="18">
        <f t="shared" si="48"/>
        <v>1000013.8155105581</v>
      </c>
      <c r="H161" s="18">
        <f t="shared" si="48"/>
        <v>1000013.8155105581</v>
      </c>
      <c r="I161" s="16"/>
      <c r="J161" s="18">
        <f t="shared" si="35"/>
        <v>1.5715324396751534E-2</v>
      </c>
      <c r="K161" s="18">
        <f t="shared" si="36"/>
        <v>1.3740789626854938E-4</v>
      </c>
      <c r="L161" s="18">
        <f t="shared" si="37"/>
        <v>999999.99999309238</v>
      </c>
      <c r="M161" s="18">
        <f t="shared" si="38"/>
        <v>999999.99999309238</v>
      </c>
      <c r="N161" s="18">
        <f t="shared" si="39"/>
        <v>999999.99999309238</v>
      </c>
      <c r="O161" s="16"/>
      <c r="P161" s="18">
        <f t="shared" si="30"/>
        <v>90.542655764278663</v>
      </c>
      <c r="Q161" s="18">
        <f t="shared" si="44"/>
        <v>904.27839072760571</v>
      </c>
      <c r="R161" s="18">
        <f t="shared" si="45"/>
        <v>0</v>
      </c>
      <c r="S161" s="18">
        <f t="shared" si="46"/>
        <v>0</v>
      </c>
      <c r="T161" s="18">
        <f t="shared" si="47"/>
        <v>0</v>
      </c>
      <c r="U161" s="16"/>
      <c r="V161" s="18">
        <f t="shared" si="40"/>
        <v>994.82104649188432</v>
      </c>
      <c r="W161" s="16"/>
      <c r="X161" s="18">
        <f t="shared" si="41"/>
        <v>3699.1996963679535</v>
      </c>
      <c r="Y161" s="18">
        <f t="shared" si="42"/>
        <v>60.821046491884317</v>
      </c>
      <c r="Z161" s="18"/>
      <c r="AA161" s="18">
        <f t="shared" si="43"/>
        <v>1.5022242923831203E-4</v>
      </c>
    </row>
    <row r="162" spans="2:27" x14ac:dyDescent="0.35">
      <c r="B162" s="26">
        <v>35.1</v>
      </c>
      <c r="C162" s="26">
        <v>986</v>
      </c>
      <c r="D162" s="18">
        <f t="shared" si="24"/>
        <v>-4.1231192132347179</v>
      </c>
      <c r="E162" s="18">
        <f t="shared" si="48"/>
        <v>-8.8905549234265706</v>
      </c>
      <c r="F162" s="18">
        <f t="shared" si="48"/>
        <v>1000013.8155105581</v>
      </c>
      <c r="G162" s="18">
        <f t="shared" si="48"/>
        <v>1000013.8155105581</v>
      </c>
      <c r="H162" s="18">
        <f t="shared" si="48"/>
        <v>1000013.8155105581</v>
      </c>
      <c r="I162" s="16"/>
      <c r="J162" s="18">
        <f t="shared" si="35"/>
        <v>1.593787246945402E-2</v>
      </c>
      <c r="K162" s="18">
        <f t="shared" si="36"/>
        <v>1.3766428036844953E-4</v>
      </c>
      <c r="L162" s="18">
        <f t="shared" si="37"/>
        <v>999999.99999309238</v>
      </c>
      <c r="M162" s="18">
        <f t="shared" si="38"/>
        <v>999999.99999309238</v>
      </c>
      <c r="N162" s="18">
        <f t="shared" si="39"/>
        <v>999999.99999309238</v>
      </c>
      <c r="O162" s="16"/>
      <c r="P162" s="18">
        <f t="shared" si="30"/>
        <v>89.258808686251783</v>
      </c>
      <c r="Q162" s="18">
        <f t="shared" si="44"/>
        <v>902.59404346436213</v>
      </c>
      <c r="R162" s="18">
        <f t="shared" si="45"/>
        <v>0</v>
      </c>
      <c r="S162" s="18">
        <f t="shared" si="46"/>
        <v>0</v>
      </c>
      <c r="T162" s="18">
        <f t="shared" si="47"/>
        <v>0</v>
      </c>
      <c r="U162" s="16"/>
      <c r="V162" s="18">
        <f t="shared" si="40"/>
        <v>991.8528521506139</v>
      </c>
      <c r="W162" s="16"/>
      <c r="X162" s="18">
        <f t="shared" si="41"/>
        <v>34.255878296945738</v>
      </c>
      <c r="Y162" s="18">
        <f t="shared" si="42"/>
        <v>5.8528521506138986</v>
      </c>
      <c r="Z162" s="18"/>
      <c r="AA162" s="18">
        <f t="shared" si="43"/>
        <v>1.4456010193037686E-5</v>
      </c>
    </row>
    <row r="163" spans="2:27" x14ac:dyDescent="0.35">
      <c r="B163" s="26">
        <v>35.4</v>
      </c>
      <c r="C163" s="26">
        <v>921</v>
      </c>
      <c r="D163" s="18">
        <f t="shared" si="24"/>
        <v>-4.1088347844118758</v>
      </c>
      <c r="E163" s="18">
        <f t="shared" si="48"/>
        <v>-8.8886905441255077</v>
      </c>
      <c r="F163" s="18">
        <f t="shared" si="48"/>
        <v>1000013.8155105581</v>
      </c>
      <c r="G163" s="18">
        <f t="shared" si="48"/>
        <v>1000013.8155105581</v>
      </c>
      <c r="H163" s="18">
        <f t="shared" si="48"/>
        <v>1000013.8155105581</v>
      </c>
      <c r="I163" s="16"/>
      <c r="J163" s="18">
        <f t="shared" si="35"/>
        <v>1.6163521963088165E-2</v>
      </c>
      <c r="K163" s="18">
        <f t="shared" si="36"/>
        <v>1.3792114277959527E-4</v>
      </c>
      <c r="L163" s="18">
        <f t="shared" si="37"/>
        <v>999999.99999309238</v>
      </c>
      <c r="M163" s="18">
        <f t="shared" si="38"/>
        <v>999999.99999309238</v>
      </c>
      <c r="N163" s="18">
        <f t="shared" si="39"/>
        <v>999999.99999309238</v>
      </c>
      <c r="O163" s="16"/>
      <c r="P163" s="18">
        <f t="shared" si="30"/>
        <v>87.993174445228036</v>
      </c>
      <c r="Q163" s="18">
        <f t="shared" si="44"/>
        <v>900.9128335378482</v>
      </c>
      <c r="R163" s="18">
        <f t="shared" si="45"/>
        <v>0</v>
      </c>
      <c r="S163" s="18">
        <f t="shared" si="46"/>
        <v>0</v>
      </c>
      <c r="T163" s="18">
        <f t="shared" si="47"/>
        <v>0</v>
      </c>
      <c r="U163" s="16"/>
      <c r="V163" s="18">
        <f t="shared" si="40"/>
        <v>988.90600798307628</v>
      </c>
      <c r="W163" s="16"/>
      <c r="X163" s="18">
        <f t="shared" si="41"/>
        <v>4611.2259201976194</v>
      </c>
      <c r="Y163" s="18">
        <f t="shared" si="42"/>
        <v>67.906007983076279</v>
      </c>
      <c r="Z163" s="18"/>
      <c r="AA163" s="18">
        <f t="shared" si="43"/>
        <v>1.6772163695761308E-4</v>
      </c>
    </row>
    <row r="164" spans="2:27" x14ac:dyDescent="0.35">
      <c r="B164" s="26">
        <v>35.699999999999996</v>
      </c>
      <c r="C164" s="26">
        <v>1039</v>
      </c>
      <c r="D164" s="18">
        <f t="shared" si="24"/>
        <v>-4.0945503555890337</v>
      </c>
      <c r="E164" s="18">
        <f t="shared" si="48"/>
        <v>-8.8868261648244466</v>
      </c>
      <c r="F164" s="18">
        <f t="shared" si="48"/>
        <v>1000013.8155105581</v>
      </c>
      <c r="G164" s="18">
        <f t="shared" si="48"/>
        <v>1000013.8155105581</v>
      </c>
      <c r="H164" s="18">
        <f t="shared" si="48"/>
        <v>1000013.8155105581</v>
      </c>
      <c r="I164" s="16"/>
      <c r="J164" s="18">
        <f t="shared" si="35"/>
        <v>1.6392314692763928E-2</v>
      </c>
      <c r="K164" s="18">
        <f t="shared" si="36"/>
        <v>1.3817848439407924E-4</v>
      </c>
      <c r="L164" s="18">
        <f t="shared" si="37"/>
        <v>999999.99999309238</v>
      </c>
      <c r="M164" s="18">
        <f t="shared" si="38"/>
        <v>999999.99999309238</v>
      </c>
      <c r="N164" s="18">
        <f t="shared" si="39"/>
        <v>999999.99999309238</v>
      </c>
      <c r="O164" s="16"/>
      <c r="P164" s="18">
        <f t="shared" si="30"/>
        <v>86.745494782969729</v>
      </c>
      <c r="Q164" s="18">
        <f t="shared" si="44"/>
        <v>899.2347551043307</v>
      </c>
      <c r="R164" s="18">
        <f t="shared" si="45"/>
        <v>0</v>
      </c>
      <c r="S164" s="18">
        <f t="shared" si="46"/>
        <v>0</v>
      </c>
      <c r="T164" s="18">
        <f t="shared" si="47"/>
        <v>0</v>
      </c>
      <c r="U164" s="16"/>
      <c r="V164" s="18">
        <f t="shared" si="40"/>
        <v>985.98024988730049</v>
      </c>
      <c r="W164" s="16"/>
      <c r="X164" s="18">
        <f t="shared" si="41"/>
        <v>2811.0939020131</v>
      </c>
      <c r="Y164" s="18">
        <f t="shared" si="42"/>
        <v>53.019750112699512</v>
      </c>
      <c r="Z164" s="18"/>
      <c r="AA164" s="18">
        <f t="shared" si="43"/>
        <v>1.3095393977807944E-4</v>
      </c>
    </row>
    <row r="165" spans="2:27" x14ac:dyDescent="0.35">
      <c r="B165" s="26">
        <v>36.000000000000007</v>
      </c>
      <c r="C165" s="26">
        <v>978</v>
      </c>
      <c r="D165" s="18">
        <f t="shared" si="24"/>
        <v>-4.0802659267661907</v>
      </c>
      <c r="E165" s="18">
        <f t="shared" si="48"/>
        <v>-8.8849617855233838</v>
      </c>
      <c r="F165" s="18">
        <f t="shared" si="48"/>
        <v>1000013.8155105581</v>
      </c>
      <c r="G165" s="18">
        <f t="shared" si="48"/>
        <v>1000013.8155105581</v>
      </c>
      <c r="H165" s="18">
        <f t="shared" si="48"/>
        <v>1000013.8155105581</v>
      </c>
      <c r="I165" s="16"/>
      <c r="J165" s="18">
        <f t="shared" si="35"/>
        <v>1.6624292998268068E-2</v>
      </c>
      <c r="K165" s="18">
        <f t="shared" si="36"/>
        <v>1.3843630610565786E-4</v>
      </c>
      <c r="L165" s="18">
        <f t="shared" si="37"/>
        <v>999999.99999309238</v>
      </c>
      <c r="M165" s="18">
        <f t="shared" si="38"/>
        <v>999999.99999309238</v>
      </c>
      <c r="N165" s="18">
        <f t="shared" si="39"/>
        <v>999999.99999309238</v>
      </c>
      <c r="O165" s="16"/>
      <c r="P165" s="18">
        <f t="shared" si="30"/>
        <v>85.515515104638482</v>
      </c>
      <c r="Q165" s="18">
        <f t="shared" si="44"/>
        <v>897.55980233095522</v>
      </c>
      <c r="R165" s="18">
        <f t="shared" si="45"/>
        <v>0</v>
      </c>
      <c r="S165" s="18">
        <f t="shared" si="46"/>
        <v>0</v>
      </c>
      <c r="T165" s="18">
        <f t="shared" si="47"/>
        <v>0</v>
      </c>
      <c r="U165" s="16"/>
      <c r="V165" s="18">
        <f t="shared" si="40"/>
        <v>983.07531743559366</v>
      </c>
      <c r="W165" s="16"/>
      <c r="X165" s="18">
        <f t="shared" si="41"/>
        <v>25.758847072041014</v>
      </c>
      <c r="Y165" s="18">
        <f t="shared" si="42"/>
        <v>5.0753174355936608</v>
      </c>
      <c r="Z165" s="18"/>
      <c r="AA165" s="18">
        <f t="shared" si="43"/>
        <v>1.25355704695442E-5</v>
      </c>
    </row>
    <row r="166" spans="2:27" x14ac:dyDescent="0.35">
      <c r="B166" s="26">
        <v>36.199999999999996</v>
      </c>
      <c r="C166" s="26">
        <v>947</v>
      </c>
      <c r="D166" s="18">
        <f t="shared" si="24"/>
        <v>-4.0707429742176302</v>
      </c>
      <c r="E166" s="18">
        <f t="shared" si="48"/>
        <v>-8.8837188659893442</v>
      </c>
      <c r="F166" s="18">
        <f t="shared" si="48"/>
        <v>1000013.8155105581</v>
      </c>
      <c r="G166" s="18">
        <f t="shared" si="48"/>
        <v>1000013.8155105581</v>
      </c>
      <c r="H166" s="18">
        <f t="shared" si="48"/>
        <v>1000013.8155105581</v>
      </c>
      <c r="I166" s="16"/>
      <c r="J166" s="18">
        <f t="shared" si="35"/>
        <v>1.6780736114654766E-2</v>
      </c>
      <c r="K166" s="18">
        <f t="shared" si="36"/>
        <v>1.3860845440943307E-4</v>
      </c>
      <c r="L166" s="18">
        <f t="shared" si="37"/>
        <v>999999.99999309238</v>
      </c>
      <c r="M166" s="18">
        <f t="shared" si="38"/>
        <v>999999.99999309238</v>
      </c>
      <c r="N166" s="18">
        <f t="shared" si="39"/>
        <v>999999.99999309238</v>
      </c>
      <c r="O166" s="16"/>
      <c r="P166" s="18">
        <f t="shared" si="30"/>
        <v>84.705237887336637</v>
      </c>
      <c r="Q166" s="18">
        <f t="shared" si="44"/>
        <v>896.44490075106205</v>
      </c>
      <c r="R166" s="18">
        <f t="shared" si="45"/>
        <v>0</v>
      </c>
      <c r="S166" s="18">
        <f t="shared" si="46"/>
        <v>0</v>
      </c>
      <c r="T166" s="18">
        <f t="shared" si="47"/>
        <v>0</v>
      </c>
      <c r="U166" s="16"/>
      <c r="V166" s="18">
        <f t="shared" si="40"/>
        <v>981.15013863839863</v>
      </c>
      <c r="W166" s="16"/>
      <c r="X166" s="18">
        <f t="shared" si="41"/>
        <v>1166.2319690218471</v>
      </c>
      <c r="Y166" s="18">
        <f t="shared" si="42"/>
        <v>34.15013863839863</v>
      </c>
      <c r="Z166" s="18"/>
      <c r="AA166" s="18">
        <f t="shared" si="43"/>
        <v>8.4347723049617748E-5</v>
      </c>
    </row>
    <row r="167" spans="2:27" x14ac:dyDescent="0.35">
      <c r="B167" s="26">
        <v>36.500000000000007</v>
      </c>
      <c r="C167" s="26">
        <v>1035</v>
      </c>
      <c r="D167" s="18">
        <f t="shared" si="24"/>
        <v>-4.0564585453947872</v>
      </c>
      <c r="E167" s="18">
        <f t="shared" ref="E167:H167" si="49">D$23/(D$21*$A$21)-LN((D$21*$A$21)/D$23)+$B167*D$22</f>
        <v>-8.8818544866882814</v>
      </c>
      <c r="F167" s="18">
        <f t="shared" si="49"/>
        <v>1000013.8155105581</v>
      </c>
      <c r="G167" s="18">
        <f t="shared" si="49"/>
        <v>1000013.8155105581</v>
      </c>
      <c r="H167" s="18">
        <f t="shared" si="49"/>
        <v>1000013.8155105581</v>
      </c>
      <c r="I167" s="16"/>
      <c r="J167" s="18">
        <f t="shared" si="35"/>
        <v>1.7018119244112079E-2</v>
      </c>
      <c r="K167" s="18">
        <f t="shared" si="36"/>
        <v>1.3886707827348653E-4</v>
      </c>
      <c r="L167" s="18">
        <f t="shared" si="37"/>
        <v>999999.99999309238</v>
      </c>
      <c r="M167" s="18">
        <f t="shared" si="38"/>
        <v>999999.99999309238</v>
      </c>
      <c r="N167" s="18">
        <f t="shared" si="39"/>
        <v>999999.99999309238</v>
      </c>
      <c r="O167" s="16"/>
      <c r="P167" s="18">
        <f t="shared" si="30"/>
        <v>83.504202201565121</v>
      </c>
      <c r="Q167" s="18">
        <f t="shared" si="44"/>
        <v>894.77514447886551</v>
      </c>
      <c r="R167" s="18">
        <f t="shared" si="45"/>
        <v>0</v>
      </c>
      <c r="S167" s="18">
        <f t="shared" si="46"/>
        <v>0</v>
      </c>
      <c r="T167" s="18">
        <f t="shared" si="47"/>
        <v>0</v>
      </c>
      <c r="U167" s="16"/>
      <c r="V167" s="18">
        <f t="shared" si="40"/>
        <v>978.27934668043065</v>
      </c>
      <c r="W167" s="16"/>
      <c r="X167" s="18">
        <f t="shared" si="41"/>
        <v>3217.2325129987735</v>
      </c>
      <c r="Y167" s="18">
        <f t="shared" si="42"/>
        <v>56.720653319569351</v>
      </c>
      <c r="Z167" s="18"/>
      <c r="AA167" s="18">
        <f t="shared" si="43"/>
        <v>1.4009483264624194E-4</v>
      </c>
    </row>
    <row r="168" spans="2:27" x14ac:dyDescent="0.35">
      <c r="B168" s="26">
        <v>36.800000000000004</v>
      </c>
      <c r="C168" s="26">
        <v>1007</v>
      </c>
      <c r="D168" s="18">
        <f t="shared" ref="D168:H231" si="50">C$23/(C$21*$A$21)-LN((C$21*$A$21)/C$23)+$B168*C$22</f>
        <v>-4.0421741165719443</v>
      </c>
      <c r="E168" s="18">
        <f t="shared" si="50"/>
        <v>-8.8799901073872203</v>
      </c>
      <c r="F168" s="18">
        <f t="shared" si="50"/>
        <v>1000013.8155105581</v>
      </c>
      <c r="G168" s="18">
        <f t="shared" si="50"/>
        <v>1000013.8155105581</v>
      </c>
      <c r="H168" s="18">
        <f t="shared" si="50"/>
        <v>1000013.8155105581</v>
      </c>
      <c r="I168" s="16"/>
      <c r="J168" s="18">
        <f t="shared" si="35"/>
        <v>1.7258803462503435E-2</v>
      </c>
      <c r="K168" s="18">
        <f t="shared" si="36"/>
        <v>1.3912618462613691E-4</v>
      </c>
      <c r="L168" s="18">
        <f t="shared" si="37"/>
        <v>999999.99999309238</v>
      </c>
      <c r="M168" s="18">
        <f t="shared" si="38"/>
        <v>999999.99999309238</v>
      </c>
      <c r="N168" s="18">
        <f t="shared" si="39"/>
        <v>999999.99999309238</v>
      </c>
      <c r="O168" s="16"/>
      <c r="P168" s="18">
        <f t="shared" ref="P168:P231" si="51">(C$23*C$22)/(J168+J168^2)</f>
        <v>82.320205097322386</v>
      </c>
      <c r="Q168" s="18">
        <f t="shared" si="44"/>
        <v>893.10849836560317</v>
      </c>
      <c r="R168" s="18">
        <f t="shared" si="45"/>
        <v>0</v>
      </c>
      <c r="S168" s="18">
        <f t="shared" si="46"/>
        <v>0</v>
      </c>
      <c r="T168" s="18">
        <f t="shared" si="47"/>
        <v>0</v>
      </c>
      <c r="U168" s="16"/>
      <c r="V168" s="18">
        <f t="shared" si="40"/>
        <v>975.42870346292557</v>
      </c>
      <c r="W168" s="16"/>
      <c r="X168" s="18">
        <f t="shared" si="41"/>
        <v>996.746765031888</v>
      </c>
      <c r="Y168" s="18">
        <f t="shared" si="42"/>
        <v>31.571296537074431</v>
      </c>
      <c r="Z168" s="18"/>
      <c r="AA168" s="18">
        <f t="shared" si="43"/>
        <v>7.797821861936025E-5</v>
      </c>
    </row>
    <row r="169" spans="2:27" x14ac:dyDescent="0.35">
      <c r="B169" s="26">
        <v>37.1</v>
      </c>
      <c r="C169" s="26">
        <v>951</v>
      </c>
      <c r="D169" s="18">
        <f t="shared" si="50"/>
        <v>-4.0278896877491022</v>
      </c>
      <c r="E169" s="18">
        <f t="shared" si="50"/>
        <v>-8.8781257280861592</v>
      </c>
      <c r="F169" s="18">
        <f t="shared" si="50"/>
        <v>1000013.8155105581</v>
      </c>
      <c r="G169" s="18">
        <f t="shared" si="50"/>
        <v>1000013.8155105581</v>
      </c>
      <c r="H169" s="18">
        <f t="shared" si="50"/>
        <v>1000013.8155105581</v>
      </c>
      <c r="I169" s="16"/>
      <c r="J169" s="18">
        <f t="shared" si="35"/>
        <v>1.7502833080699602E-2</v>
      </c>
      <c r="K169" s="18">
        <f t="shared" si="36"/>
        <v>1.3938577436726428E-4</v>
      </c>
      <c r="L169" s="18">
        <f t="shared" si="37"/>
        <v>999999.99999309238</v>
      </c>
      <c r="M169" s="18">
        <f t="shared" si="38"/>
        <v>999999.99999309238</v>
      </c>
      <c r="N169" s="18">
        <f t="shared" si="39"/>
        <v>999999.99999309238</v>
      </c>
      <c r="O169" s="16"/>
      <c r="P169" s="18">
        <f t="shared" si="51"/>
        <v>81.153004973302998</v>
      </c>
      <c r="Q169" s="18">
        <f t="shared" si="44"/>
        <v>891.44495661815949</v>
      </c>
      <c r="R169" s="18">
        <f t="shared" si="45"/>
        <v>0</v>
      </c>
      <c r="S169" s="18">
        <f t="shared" si="46"/>
        <v>0</v>
      </c>
      <c r="T169" s="18">
        <f t="shared" si="47"/>
        <v>0</v>
      </c>
      <c r="U169" s="16"/>
      <c r="V169" s="18">
        <f t="shared" si="40"/>
        <v>972.59796159146254</v>
      </c>
      <c r="W169" s="16"/>
      <c r="X169" s="18">
        <f t="shared" si="41"/>
        <v>466.4719449062909</v>
      </c>
      <c r="Y169" s="18">
        <f t="shared" si="42"/>
        <v>21.597961591462536</v>
      </c>
      <c r="Z169" s="18"/>
      <c r="AA169" s="18">
        <f t="shared" si="43"/>
        <v>5.3344992301278354E-5</v>
      </c>
    </row>
    <row r="170" spans="2:27" x14ac:dyDescent="0.35">
      <c r="B170" s="26">
        <v>37.4</v>
      </c>
      <c r="C170" s="26">
        <v>1039</v>
      </c>
      <c r="D170" s="18">
        <f t="shared" si="50"/>
        <v>-4.0136052589262601</v>
      </c>
      <c r="E170" s="18">
        <f t="shared" si="50"/>
        <v>-8.8762613487850963</v>
      </c>
      <c r="F170" s="18">
        <f t="shared" si="50"/>
        <v>1000013.8155105581</v>
      </c>
      <c r="G170" s="18">
        <f t="shared" si="50"/>
        <v>1000013.8155105581</v>
      </c>
      <c r="H170" s="18">
        <f t="shared" si="50"/>
        <v>1000013.8155105581</v>
      </c>
      <c r="I170" s="16"/>
      <c r="J170" s="18">
        <f t="shared" si="35"/>
        <v>1.7750252960146415E-2</v>
      </c>
      <c r="K170" s="18">
        <f t="shared" si="36"/>
        <v>1.3964584839842617E-4</v>
      </c>
      <c r="L170" s="18">
        <f t="shared" si="37"/>
        <v>999999.99999309238</v>
      </c>
      <c r="M170" s="18">
        <f t="shared" si="38"/>
        <v>999999.99999309238</v>
      </c>
      <c r="N170" s="18">
        <f t="shared" si="39"/>
        <v>999999.99999309238</v>
      </c>
      <c r="O170" s="16"/>
      <c r="P170" s="18">
        <f t="shared" si="51"/>
        <v>80.002363655369706</v>
      </c>
      <c r="Q170" s="18">
        <f t="shared" si="44"/>
        <v>889.7845134542099</v>
      </c>
      <c r="R170" s="18">
        <f t="shared" si="45"/>
        <v>0</v>
      </c>
      <c r="S170" s="18">
        <f t="shared" si="46"/>
        <v>0</v>
      </c>
      <c r="T170" s="18">
        <f t="shared" si="47"/>
        <v>0</v>
      </c>
      <c r="U170" s="16"/>
      <c r="V170" s="18">
        <f t="shared" si="40"/>
        <v>969.78687710957956</v>
      </c>
      <c r="W170" s="16"/>
      <c r="X170" s="18">
        <f t="shared" si="41"/>
        <v>4790.4563802444418</v>
      </c>
      <c r="Y170" s="18">
        <f t="shared" si="42"/>
        <v>69.213122890420436</v>
      </c>
      <c r="Z170" s="18"/>
      <c r="AA170" s="18">
        <f t="shared" si="43"/>
        <v>1.7095009138253078E-4</v>
      </c>
    </row>
    <row r="171" spans="2:27" x14ac:dyDescent="0.35">
      <c r="B171" s="26">
        <v>37.699999999999996</v>
      </c>
      <c r="C171" s="26">
        <v>990</v>
      </c>
      <c r="D171" s="18">
        <f t="shared" si="50"/>
        <v>-3.999320830103418</v>
      </c>
      <c r="E171" s="18">
        <f t="shared" si="50"/>
        <v>-8.8743969694840352</v>
      </c>
      <c r="F171" s="18">
        <f t="shared" si="50"/>
        <v>1000013.8155105581</v>
      </c>
      <c r="G171" s="18">
        <f t="shared" si="50"/>
        <v>1000013.8155105581</v>
      </c>
      <c r="H171" s="18">
        <f t="shared" si="50"/>
        <v>1000013.8155105581</v>
      </c>
      <c r="I171" s="16"/>
      <c r="J171" s="18">
        <f t="shared" si="35"/>
        <v>1.8001108518485538E-2</v>
      </c>
      <c r="K171" s="18">
        <f t="shared" si="36"/>
        <v>1.3990640762285989E-4</v>
      </c>
      <c r="L171" s="18">
        <f t="shared" si="37"/>
        <v>999999.99999309238</v>
      </c>
      <c r="M171" s="18">
        <f t="shared" si="38"/>
        <v>999999.99999309238</v>
      </c>
      <c r="N171" s="18">
        <f t="shared" si="39"/>
        <v>999999.99999309238</v>
      </c>
      <c r="O171" s="16"/>
      <c r="P171" s="18">
        <f t="shared" si="51"/>
        <v>78.868046347948891</v>
      </c>
      <c r="Q171" s="18">
        <f t="shared" si="44"/>
        <v>888.12716310220458</v>
      </c>
      <c r="R171" s="18">
        <f t="shared" si="45"/>
        <v>0</v>
      </c>
      <c r="S171" s="18">
        <f t="shared" si="46"/>
        <v>0</v>
      </c>
      <c r="T171" s="18">
        <f t="shared" si="47"/>
        <v>0</v>
      </c>
      <c r="U171" s="16"/>
      <c r="V171" s="18">
        <f t="shared" si="40"/>
        <v>966.99520945015342</v>
      </c>
      <c r="W171" s="16"/>
      <c r="X171" s="18">
        <f t="shared" si="41"/>
        <v>529.22038824231026</v>
      </c>
      <c r="Y171" s="18">
        <f t="shared" si="42"/>
        <v>23.004790549846575</v>
      </c>
      <c r="Z171" s="18"/>
      <c r="AA171" s="18">
        <f t="shared" si="43"/>
        <v>5.6819731324051569E-5</v>
      </c>
    </row>
    <row r="172" spans="2:27" x14ac:dyDescent="0.35">
      <c r="B172" s="26">
        <v>38.000000000000007</v>
      </c>
      <c r="C172" s="26">
        <v>938</v>
      </c>
      <c r="D172" s="18">
        <f t="shared" si="50"/>
        <v>-3.9850364012805755</v>
      </c>
      <c r="E172" s="18">
        <f t="shared" si="50"/>
        <v>-8.8725325901829724</v>
      </c>
      <c r="F172" s="18">
        <f t="shared" si="50"/>
        <v>1000013.8155105581</v>
      </c>
      <c r="G172" s="18">
        <f t="shared" si="50"/>
        <v>1000013.8155105581</v>
      </c>
      <c r="H172" s="18">
        <f t="shared" si="50"/>
        <v>1000013.8155105581</v>
      </c>
      <c r="I172" s="16"/>
      <c r="J172" s="18">
        <f t="shared" si="35"/>
        <v>1.8255445735198422E-2</v>
      </c>
      <c r="K172" s="18">
        <f t="shared" si="36"/>
        <v>1.4016745294548745E-4</v>
      </c>
      <c r="L172" s="18">
        <f t="shared" si="37"/>
        <v>999999.99999309238</v>
      </c>
      <c r="M172" s="18">
        <f t="shared" si="38"/>
        <v>999999.99999309238</v>
      </c>
      <c r="N172" s="18">
        <f t="shared" si="39"/>
        <v>999999.99999309238</v>
      </c>
      <c r="O172" s="16"/>
      <c r="P172" s="18">
        <f t="shared" si="51"/>
        <v>77.749821586114791</v>
      </c>
      <c r="Q172" s="18">
        <f t="shared" si="44"/>
        <v>886.47289980133746</v>
      </c>
      <c r="R172" s="18">
        <f t="shared" si="45"/>
        <v>0</v>
      </c>
      <c r="S172" s="18">
        <f t="shared" si="46"/>
        <v>0</v>
      </c>
      <c r="T172" s="18">
        <f t="shared" si="47"/>
        <v>0</v>
      </c>
      <c r="U172" s="16"/>
      <c r="V172" s="18">
        <f t="shared" si="40"/>
        <v>964.22272138745222</v>
      </c>
      <c r="W172" s="16"/>
      <c r="X172" s="18">
        <f t="shared" si="41"/>
        <v>687.63111696394435</v>
      </c>
      <c r="Y172" s="18">
        <f t="shared" si="42"/>
        <v>26.222721387452225</v>
      </c>
      <c r="Z172" s="18"/>
      <c r="AA172" s="18">
        <f t="shared" si="43"/>
        <v>6.4767726556433844E-5</v>
      </c>
    </row>
    <row r="173" spans="2:27" x14ac:dyDescent="0.35">
      <c r="B173" s="26">
        <v>38.199999999999996</v>
      </c>
      <c r="C173" s="26">
        <v>1018</v>
      </c>
      <c r="D173" s="18">
        <f t="shared" si="50"/>
        <v>-3.9755134487320145</v>
      </c>
      <c r="E173" s="18">
        <f t="shared" si="50"/>
        <v>-8.8712896706489328</v>
      </c>
      <c r="F173" s="18">
        <f t="shared" si="50"/>
        <v>1000013.8155105581</v>
      </c>
      <c r="G173" s="18">
        <f t="shared" si="50"/>
        <v>1000013.8155105581</v>
      </c>
      <c r="H173" s="18">
        <f t="shared" si="50"/>
        <v>1000013.8155105581</v>
      </c>
      <c r="I173" s="16"/>
      <c r="J173" s="18">
        <f t="shared" si="35"/>
        <v>1.8426961096966628E-2</v>
      </c>
      <c r="K173" s="18">
        <f t="shared" si="36"/>
        <v>1.4034175366276242E-4</v>
      </c>
      <c r="L173" s="18">
        <f t="shared" si="37"/>
        <v>999999.99999309238</v>
      </c>
      <c r="M173" s="18">
        <f t="shared" si="38"/>
        <v>999999.99999309238</v>
      </c>
      <c r="N173" s="18">
        <f t="shared" si="39"/>
        <v>999999.99999309238</v>
      </c>
      <c r="O173" s="16"/>
      <c r="P173" s="18">
        <f t="shared" si="51"/>
        <v>77.013165898723472</v>
      </c>
      <c r="Q173" s="18">
        <f t="shared" si="44"/>
        <v>885.3717697891899</v>
      </c>
      <c r="R173" s="18">
        <f t="shared" si="45"/>
        <v>0</v>
      </c>
      <c r="S173" s="18">
        <f t="shared" si="46"/>
        <v>0</v>
      </c>
      <c r="T173" s="18">
        <f t="shared" si="47"/>
        <v>0</v>
      </c>
      <c r="U173" s="16"/>
      <c r="V173" s="18">
        <f t="shared" si="40"/>
        <v>962.38493568791341</v>
      </c>
      <c r="W173" s="16"/>
      <c r="X173" s="18">
        <f t="shared" si="41"/>
        <v>3093.035378437527</v>
      </c>
      <c r="Y173" s="18">
        <f t="shared" si="42"/>
        <v>55.615064312086588</v>
      </c>
      <c r="Z173" s="18"/>
      <c r="AA173" s="18">
        <f t="shared" si="43"/>
        <v>1.3736412878593603E-4</v>
      </c>
    </row>
    <row r="174" spans="2:27" x14ac:dyDescent="0.35">
      <c r="B174" s="26">
        <v>38.500000000000007</v>
      </c>
      <c r="C174" s="26">
        <v>954</v>
      </c>
      <c r="D174" s="18">
        <f t="shared" si="50"/>
        <v>-3.9612290199091715</v>
      </c>
      <c r="E174" s="18">
        <f t="shared" si="50"/>
        <v>-8.8694252913478699</v>
      </c>
      <c r="F174" s="18">
        <f t="shared" si="50"/>
        <v>1000013.8155105581</v>
      </c>
      <c r="G174" s="18">
        <f t="shared" si="50"/>
        <v>1000013.8155105581</v>
      </c>
      <c r="H174" s="18">
        <f t="shared" si="50"/>
        <v>1000013.8155105581</v>
      </c>
      <c r="I174" s="16"/>
      <c r="J174" s="18">
        <f t="shared" si="35"/>
        <v>1.868720479820862E-2</v>
      </c>
      <c r="K174" s="18">
        <f t="shared" si="36"/>
        <v>1.4060361116456543E-4</v>
      </c>
      <c r="L174" s="18">
        <f t="shared" si="37"/>
        <v>999999.99999309238</v>
      </c>
      <c r="M174" s="18">
        <f t="shared" si="38"/>
        <v>999999.99999309238</v>
      </c>
      <c r="N174" s="18">
        <f t="shared" si="39"/>
        <v>999999.99999309238</v>
      </c>
      <c r="O174" s="16"/>
      <c r="P174" s="18">
        <f t="shared" si="51"/>
        <v>75.921256576508853</v>
      </c>
      <c r="Q174" s="18">
        <f t="shared" si="44"/>
        <v>883.72263880090748</v>
      </c>
      <c r="R174" s="18">
        <f t="shared" si="45"/>
        <v>0</v>
      </c>
      <c r="S174" s="18">
        <f t="shared" si="46"/>
        <v>0</v>
      </c>
      <c r="T174" s="18">
        <f t="shared" si="47"/>
        <v>0</v>
      </c>
      <c r="U174" s="16"/>
      <c r="V174" s="18">
        <f t="shared" si="40"/>
        <v>959.64389537741636</v>
      </c>
      <c r="W174" s="16"/>
      <c r="X174" s="18">
        <f t="shared" si="41"/>
        <v>31.853555031221717</v>
      </c>
      <c r="Y174" s="18">
        <f t="shared" si="42"/>
        <v>5.6438953774163565</v>
      </c>
      <c r="Z174" s="18"/>
      <c r="AA174" s="18">
        <f t="shared" si="43"/>
        <v>1.3939906050046291E-5</v>
      </c>
    </row>
    <row r="175" spans="2:27" x14ac:dyDescent="0.35">
      <c r="B175" s="26">
        <v>38.800000000000004</v>
      </c>
      <c r="C175" s="26">
        <v>983</v>
      </c>
      <c r="D175" s="18">
        <f t="shared" si="50"/>
        <v>-3.9469445910863294</v>
      </c>
      <c r="E175" s="18">
        <f t="shared" si="50"/>
        <v>-8.8675609120468089</v>
      </c>
      <c r="F175" s="18">
        <f t="shared" si="50"/>
        <v>1000013.8155105581</v>
      </c>
      <c r="G175" s="18">
        <f t="shared" si="50"/>
        <v>1000013.8155105581</v>
      </c>
      <c r="H175" s="18">
        <f t="shared" si="50"/>
        <v>1000013.8155105581</v>
      </c>
      <c r="I175" s="16"/>
      <c r="J175" s="18">
        <f t="shared" si="35"/>
        <v>1.8951055559702824E-2</v>
      </c>
      <c r="K175" s="18">
        <f t="shared" si="36"/>
        <v>1.4086595718594081E-4</v>
      </c>
      <c r="L175" s="18">
        <f t="shared" si="37"/>
        <v>999999.99999309238</v>
      </c>
      <c r="M175" s="18">
        <f t="shared" si="38"/>
        <v>999999.99999309238</v>
      </c>
      <c r="N175" s="18">
        <f t="shared" si="39"/>
        <v>999999.99999309238</v>
      </c>
      <c r="O175" s="16"/>
      <c r="P175" s="18">
        <f t="shared" si="51"/>
        <v>74.844838486138642</v>
      </c>
      <c r="Q175" s="18">
        <f t="shared" si="44"/>
        <v>882.07657955403135</v>
      </c>
      <c r="R175" s="18">
        <f t="shared" si="45"/>
        <v>0</v>
      </c>
      <c r="S175" s="18">
        <f t="shared" si="46"/>
        <v>0</v>
      </c>
      <c r="T175" s="18">
        <f t="shared" si="47"/>
        <v>0</v>
      </c>
      <c r="U175" s="16"/>
      <c r="V175" s="18">
        <f t="shared" si="40"/>
        <v>956.92141804017001</v>
      </c>
      <c r="W175" s="16"/>
      <c r="X175" s="18">
        <f t="shared" si="41"/>
        <v>680.09243703557013</v>
      </c>
      <c r="Y175" s="18">
        <f t="shared" si="42"/>
        <v>26.07858195982999</v>
      </c>
      <c r="Z175" s="18"/>
      <c r="AA175" s="18">
        <f t="shared" si="43"/>
        <v>6.4411715336381564E-5</v>
      </c>
    </row>
    <row r="176" spans="2:27" x14ac:dyDescent="0.35">
      <c r="B176" s="26">
        <v>39.1</v>
      </c>
      <c r="C176" s="26">
        <v>921</v>
      </c>
      <c r="D176" s="18">
        <f t="shared" si="50"/>
        <v>-3.9326601622634874</v>
      </c>
      <c r="E176" s="18">
        <f t="shared" si="50"/>
        <v>-8.8656965327457478</v>
      </c>
      <c r="F176" s="18">
        <f t="shared" si="50"/>
        <v>1000013.8155105581</v>
      </c>
      <c r="G176" s="18">
        <f t="shared" si="50"/>
        <v>1000013.8155105581</v>
      </c>
      <c r="H176" s="18">
        <f t="shared" si="50"/>
        <v>1000013.8155105581</v>
      </c>
      <c r="I176" s="16"/>
      <c r="J176" s="18">
        <f t="shared" si="35"/>
        <v>1.921856146964231E-2</v>
      </c>
      <c r="K176" s="18">
        <f t="shared" si="36"/>
        <v>1.4112879263801067E-4</v>
      </c>
      <c r="L176" s="18">
        <f t="shared" si="37"/>
        <v>999999.99999309238</v>
      </c>
      <c r="M176" s="18">
        <f t="shared" si="38"/>
        <v>999999.99999309238</v>
      </c>
      <c r="N176" s="18">
        <f t="shared" si="39"/>
        <v>999999.99999309238</v>
      </c>
      <c r="O176" s="16"/>
      <c r="P176" s="18">
        <f t="shared" si="51"/>
        <v>73.783691975996462</v>
      </c>
      <c r="Q176" s="18">
        <f t="shared" si="44"/>
        <v>880.43358632700415</v>
      </c>
      <c r="R176" s="18">
        <f t="shared" si="45"/>
        <v>0</v>
      </c>
      <c r="S176" s="18">
        <f t="shared" si="46"/>
        <v>0</v>
      </c>
      <c r="T176" s="18">
        <f t="shared" si="47"/>
        <v>0</v>
      </c>
      <c r="U176" s="16"/>
      <c r="V176" s="18">
        <f t="shared" si="40"/>
        <v>954.21727830300063</v>
      </c>
      <c r="W176" s="16"/>
      <c r="X176" s="18">
        <f t="shared" si="41"/>
        <v>1103.3875778589961</v>
      </c>
      <c r="Y176" s="18">
        <f t="shared" si="42"/>
        <v>33.217278303000626</v>
      </c>
      <c r="Z176" s="18"/>
      <c r="AA176" s="18">
        <f t="shared" si="43"/>
        <v>8.204364323174986E-5</v>
      </c>
    </row>
    <row r="177" spans="2:27" x14ac:dyDescent="0.35">
      <c r="B177" s="26">
        <v>39.4</v>
      </c>
      <c r="C177" s="26">
        <v>923</v>
      </c>
      <c r="D177" s="18">
        <f t="shared" si="50"/>
        <v>-3.9183757334406453</v>
      </c>
      <c r="E177" s="18">
        <f t="shared" si="50"/>
        <v>-8.8638321534446849</v>
      </c>
      <c r="F177" s="18">
        <f t="shared" si="50"/>
        <v>1000013.8155105581</v>
      </c>
      <c r="G177" s="18">
        <f t="shared" si="50"/>
        <v>1000013.8155105581</v>
      </c>
      <c r="H177" s="18">
        <f t="shared" si="50"/>
        <v>1000013.8155105581</v>
      </c>
      <c r="I177" s="16"/>
      <c r="J177" s="18">
        <f t="shared" si="35"/>
        <v>1.9489771204673077E-2</v>
      </c>
      <c r="K177" s="18">
        <f t="shared" si="36"/>
        <v>1.4139211843359526E-4</v>
      </c>
      <c r="L177" s="18">
        <f t="shared" si="37"/>
        <v>999999.99999309238</v>
      </c>
      <c r="M177" s="18">
        <f t="shared" si="38"/>
        <v>999999.99999309238</v>
      </c>
      <c r="N177" s="18">
        <f t="shared" si="39"/>
        <v>999999.99999309238</v>
      </c>
      <c r="O177" s="16"/>
      <c r="P177" s="18">
        <f t="shared" si="51"/>
        <v>72.737600510338154</v>
      </c>
      <c r="Q177" s="18">
        <f t="shared" si="44"/>
        <v>878.79365340892582</v>
      </c>
      <c r="R177" s="18">
        <f t="shared" si="45"/>
        <v>0</v>
      </c>
      <c r="S177" s="18">
        <f t="shared" si="46"/>
        <v>0</v>
      </c>
      <c r="T177" s="18">
        <f t="shared" si="47"/>
        <v>0</v>
      </c>
      <c r="U177" s="16"/>
      <c r="V177" s="18">
        <f t="shared" si="40"/>
        <v>951.53125391926392</v>
      </c>
      <c r="W177" s="16"/>
      <c r="X177" s="18">
        <f t="shared" si="41"/>
        <v>814.03245020551265</v>
      </c>
      <c r="Y177" s="18">
        <f t="shared" si="42"/>
        <v>28.531253919263918</v>
      </c>
      <c r="Z177" s="18"/>
      <c r="AA177" s="18">
        <f t="shared" si="43"/>
        <v>7.0469591040970417E-5</v>
      </c>
    </row>
    <row r="178" spans="2:27" x14ac:dyDescent="0.35">
      <c r="B178" s="26">
        <v>39.699999999999996</v>
      </c>
      <c r="C178" s="26">
        <v>974</v>
      </c>
      <c r="D178" s="18">
        <f t="shared" si="50"/>
        <v>-3.9040913046178032</v>
      </c>
      <c r="E178" s="18">
        <f t="shared" si="50"/>
        <v>-8.8619677741436238</v>
      </c>
      <c r="F178" s="18">
        <f t="shared" si="50"/>
        <v>1000013.8155105581</v>
      </c>
      <c r="G178" s="18">
        <f t="shared" si="50"/>
        <v>1000013.8155105581</v>
      </c>
      <c r="H178" s="18">
        <f t="shared" si="50"/>
        <v>1000013.8155105581</v>
      </c>
      <c r="I178" s="16"/>
      <c r="J178" s="18">
        <f t="shared" ref="J178:J241" si="52">lmb_2(D178)</f>
        <v>1.9764734035648886E-2</v>
      </c>
      <c r="K178" s="18">
        <f t="shared" ref="K178:K241" si="53">lmb_2(E178)</f>
        <v>1.4165593548721587E-4</v>
      </c>
      <c r="L178" s="18">
        <f t="shared" ref="L178:L241" si="54">lmb_2(F178)</f>
        <v>999999.99999309238</v>
      </c>
      <c r="M178" s="18">
        <f t="shared" ref="M178:M241" si="55">lmb_2(G178)</f>
        <v>999999.99999309238</v>
      </c>
      <c r="N178" s="18">
        <f t="shared" ref="N178:N241" si="56">lmb_2(H178)</f>
        <v>999999.99999309238</v>
      </c>
      <c r="O178" s="16"/>
      <c r="P178" s="18">
        <f t="shared" si="51"/>
        <v>71.706350625101237</v>
      </c>
      <c r="Q178" s="18">
        <f t="shared" si="44"/>
        <v>877.15677509953809</v>
      </c>
      <c r="R178" s="18">
        <f t="shared" si="45"/>
        <v>0</v>
      </c>
      <c r="S178" s="18">
        <f t="shared" si="46"/>
        <v>0</v>
      </c>
      <c r="T178" s="18">
        <f t="shared" si="47"/>
        <v>0</v>
      </c>
      <c r="U178" s="16"/>
      <c r="V178" s="18">
        <f t="shared" ref="V178:V241" si="57">SUM(P178:T178)</f>
        <v>948.8631257246393</v>
      </c>
      <c r="W178" s="16"/>
      <c r="X178" s="18">
        <f t="shared" ref="X178:X241" si="58">(V178-C178)^2</f>
        <v>631.86244833529031</v>
      </c>
      <c r="Y178" s="18">
        <f t="shared" ref="Y178:Y241" si="59">ABS(V178-C178)</f>
        <v>25.136874275360697</v>
      </c>
      <c r="Z178" s="18"/>
      <c r="AA178" s="18">
        <f t="shared" ref="AA178:AA241" si="60">Y178/$Z$39</f>
        <v>6.2085783374453887E-5</v>
      </c>
    </row>
    <row r="179" spans="2:27" x14ac:dyDescent="0.35">
      <c r="B179" s="26">
        <v>40.000000000000007</v>
      </c>
      <c r="C179" s="26">
        <v>926</v>
      </c>
      <c r="D179" s="18">
        <f t="shared" si="50"/>
        <v>-3.8898068757949602</v>
      </c>
      <c r="E179" s="18">
        <f t="shared" si="50"/>
        <v>-8.8601033948425609</v>
      </c>
      <c r="F179" s="18">
        <f t="shared" si="50"/>
        <v>1000013.8155105581</v>
      </c>
      <c r="G179" s="18">
        <f t="shared" si="50"/>
        <v>1000013.8155105581</v>
      </c>
      <c r="H179" s="18">
        <f t="shared" si="50"/>
        <v>1000013.8155105581</v>
      </c>
      <c r="I179" s="16"/>
      <c r="J179" s="18">
        <f t="shared" si="52"/>
        <v>2.0043499833401757E-2</v>
      </c>
      <c r="K179" s="18">
        <f t="shared" si="53"/>
        <v>1.4192024471509923E-4</v>
      </c>
      <c r="L179" s="18">
        <f t="shared" si="54"/>
        <v>999999.99999309238</v>
      </c>
      <c r="M179" s="18">
        <f t="shared" si="55"/>
        <v>999999.99999309238</v>
      </c>
      <c r="N179" s="18">
        <f t="shared" si="56"/>
        <v>999999.99999309238</v>
      </c>
      <c r="O179" s="16"/>
      <c r="P179" s="18">
        <f t="shared" si="51"/>
        <v>70.689731884340958</v>
      </c>
      <c r="Q179" s="18">
        <f t="shared" si="44"/>
        <v>875.52294570919423</v>
      </c>
      <c r="R179" s="18">
        <f t="shared" si="45"/>
        <v>0</v>
      </c>
      <c r="S179" s="18">
        <f t="shared" si="46"/>
        <v>0</v>
      </c>
      <c r="T179" s="18">
        <f t="shared" si="47"/>
        <v>0</v>
      </c>
      <c r="U179" s="16"/>
      <c r="V179" s="18">
        <f t="shared" si="57"/>
        <v>946.2126775935352</v>
      </c>
      <c r="W179" s="16"/>
      <c r="X179" s="18">
        <f t="shared" si="58"/>
        <v>408.55233550020012</v>
      </c>
      <c r="Y179" s="18">
        <f t="shared" si="59"/>
        <v>20.212677593535204</v>
      </c>
      <c r="Z179" s="18"/>
      <c r="AA179" s="18">
        <f t="shared" si="60"/>
        <v>4.9923467362844873E-5</v>
      </c>
    </row>
    <row r="180" spans="2:27" x14ac:dyDescent="0.35">
      <c r="B180" s="26">
        <v>40.199999999999996</v>
      </c>
      <c r="C180" s="26">
        <v>933</v>
      </c>
      <c r="D180" s="18">
        <f t="shared" si="50"/>
        <v>-3.8802839232463988</v>
      </c>
      <c r="E180" s="18">
        <f t="shared" si="50"/>
        <v>-8.8588604753085214</v>
      </c>
      <c r="F180" s="18">
        <f t="shared" si="50"/>
        <v>1000013.8155105581</v>
      </c>
      <c r="G180" s="18">
        <f t="shared" si="50"/>
        <v>1000013.8155105581</v>
      </c>
      <c r="H180" s="18">
        <f t="shared" si="50"/>
        <v>1000013.8155105581</v>
      </c>
      <c r="I180" s="16"/>
      <c r="J180" s="18">
        <f t="shared" si="52"/>
        <v>2.023148135950115E-2</v>
      </c>
      <c r="K180" s="18">
        <f t="shared" si="53"/>
        <v>1.4209672475039737E-4</v>
      </c>
      <c r="L180" s="18">
        <f t="shared" si="54"/>
        <v>999999.99999309238</v>
      </c>
      <c r="M180" s="18">
        <f t="shared" si="55"/>
        <v>999999.99999309238</v>
      </c>
      <c r="N180" s="18">
        <f t="shared" si="56"/>
        <v>999999.99999309238</v>
      </c>
      <c r="O180" s="16"/>
      <c r="P180" s="18">
        <f t="shared" si="51"/>
        <v>70.02001190437467</v>
      </c>
      <c r="Q180" s="18">
        <f t="shared" si="44"/>
        <v>874.43541715464573</v>
      </c>
      <c r="R180" s="18">
        <f t="shared" si="45"/>
        <v>0</v>
      </c>
      <c r="S180" s="18">
        <f t="shared" si="46"/>
        <v>0</v>
      </c>
      <c r="T180" s="18">
        <f t="shared" si="47"/>
        <v>0</v>
      </c>
      <c r="U180" s="16"/>
      <c r="V180" s="18">
        <f t="shared" si="57"/>
        <v>944.45542905902039</v>
      </c>
      <c r="W180" s="16"/>
      <c r="X180" s="18">
        <f t="shared" si="58"/>
        <v>131.22685492624876</v>
      </c>
      <c r="Y180" s="18">
        <f t="shared" si="59"/>
        <v>11.455429059020389</v>
      </c>
      <c r="Z180" s="18"/>
      <c r="AA180" s="18">
        <f t="shared" si="60"/>
        <v>2.8293863398795969E-5</v>
      </c>
    </row>
    <row r="181" spans="2:27" x14ac:dyDescent="0.35">
      <c r="B181" s="26">
        <v>40.500000000000007</v>
      </c>
      <c r="C181" s="26">
        <v>943</v>
      </c>
      <c r="D181" s="18">
        <f t="shared" si="50"/>
        <v>-3.8659994944235563</v>
      </c>
      <c r="E181" s="18">
        <f t="shared" si="50"/>
        <v>-8.8569960960074585</v>
      </c>
      <c r="F181" s="18">
        <f t="shared" si="50"/>
        <v>1000013.8155105581</v>
      </c>
      <c r="G181" s="18">
        <f t="shared" si="50"/>
        <v>1000013.8155105581</v>
      </c>
      <c r="H181" s="18">
        <f t="shared" si="50"/>
        <v>1000013.8155105581</v>
      </c>
      <c r="I181" s="16"/>
      <c r="J181" s="18">
        <f t="shared" si="52"/>
        <v>2.0516697907193803E-2</v>
      </c>
      <c r="K181" s="18">
        <f t="shared" si="53"/>
        <v>1.4236185630941669E-4</v>
      </c>
      <c r="L181" s="18">
        <f t="shared" si="54"/>
        <v>999999.99999309238</v>
      </c>
      <c r="M181" s="18">
        <f t="shared" si="55"/>
        <v>999999.99999309238</v>
      </c>
      <c r="N181" s="18">
        <f t="shared" si="56"/>
        <v>999999.99999309238</v>
      </c>
      <c r="O181" s="16"/>
      <c r="P181" s="18">
        <f t="shared" si="51"/>
        <v>69.027318857667154</v>
      </c>
      <c r="Q181" s="18">
        <f t="shared" si="44"/>
        <v>872.8066566811674</v>
      </c>
      <c r="R181" s="18">
        <f t="shared" si="45"/>
        <v>0</v>
      </c>
      <c r="S181" s="18">
        <f t="shared" si="46"/>
        <v>0</v>
      </c>
      <c r="T181" s="18">
        <f t="shared" si="47"/>
        <v>0</v>
      </c>
      <c r="U181" s="16"/>
      <c r="V181" s="18">
        <f t="shared" si="57"/>
        <v>941.83397553883458</v>
      </c>
      <c r="W181" s="16"/>
      <c r="X181" s="18">
        <f t="shared" si="58"/>
        <v>1.3596130440361096</v>
      </c>
      <c r="Y181" s="18">
        <f t="shared" si="59"/>
        <v>1.1660244611654207</v>
      </c>
      <c r="Z181" s="18"/>
      <c r="AA181" s="18">
        <f t="shared" si="60"/>
        <v>2.8799739105267825E-6</v>
      </c>
    </row>
    <row r="182" spans="2:27" x14ac:dyDescent="0.35">
      <c r="B182" s="26">
        <v>40.800000000000004</v>
      </c>
      <c r="C182" s="26">
        <v>978</v>
      </c>
      <c r="D182" s="18">
        <f t="shared" si="50"/>
        <v>-3.8517150656007137</v>
      </c>
      <c r="E182" s="18">
        <f t="shared" si="50"/>
        <v>-8.8551317167063974</v>
      </c>
      <c r="F182" s="18">
        <f t="shared" si="50"/>
        <v>1000013.8155105581</v>
      </c>
      <c r="G182" s="18">
        <f t="shared" si="50"/>
        <v>1000013.8155105581</v>
      </c>
      <c r="H182" s="18">
        <f t="shared" si="50"/>
        <v>1000013.8155105581</v>
      </c>
      <c r="I182" s="16"/>
      <c r="J182" s="18">
        <f t="shared" si="52"/>
        <v>2.0805853387810744E-2</v>
      </c>
      <c r="K182" s="18">
        <f t="shared" si="53"/>
        <v>1.4262748249432654E-4</v>
      </c>
      <c r="L182" s="18">
        <f t="shared" si="54"/>
        <v>999999.99999309238</v>
      </c>
      <c r="M182" s="18">
        <f t="shared" si="55"/>
        <v>999999.99999309238</v>
      </c>
      <c r="N182" s="18">
        <f t="shared" si="56"/>
        <v>999999.99999309238</v>
      </c>
      <c r="O182" s="16"/>
      <c r="P182" s="18">
        <f t="shared" si="51"/>
        <v>68.048710272372688</v>
      </c>
      <c r="Q182" s="18">
        <f t="shared" si="44"/>
        <v>871.180930006111</v>
      </c>
      <c r="R182" s="18">
        <f t="shared" si="45"/>
        <v>0</v>
      </c>
      <c r="S182" s="18">
        <f t="shared" si="46"/>
        <v>0</v>
      </c>
      <c r="T182" s="18">
        <f t="shared" si="47"/>
        <v>0</v>
      </c>
      <c r="U182" s="16"/>
      <c r="V182" s="18">
        <f t="shared" si="57"/>
        <v>939.22964027848366</v>
      </c>
      <c r="W182" s="16"/>
      <c r="X182" s="18">
        <f t="shared" si="58"/>
        <v>1503.1407929357767</v>
      </c>
      <c r="Y182" s="18">
        <f t="shared" si="59"/>
        <v>38.770359721516343</v>
      </c>
      <c r="Z182" s="18"/>
      <c r="AA182" s="18">
        <f t="shared" si="60"/>
        <v>9.5759247098560582E-5</v>
      </c>
    </row>
    <row r="183" spans="2:27" x14ac:dyDescent="0.35">
      <c r="B183" s="26">
        <v>41.1</v>
      </c>
      <c r="C183" s="26">
        <v>923</v>
      </c>
      <c r="D183" s="18">
        <f t="shared" si="50"/>
        <v>-3.8374306367778717</v>
      </c>
      <c r="E183" s="18">
        <f t="shared" si="50"/>
        <v>-8.8532673374053346</v>
      </c>
      <c r="F183" s="18">
        <f t="shared" si="50"/>
        <v>1000013.8155105581</v>
      </c>
      <c r="G183" s="18">
        <f t="shared" si="50"/>
        <v>1000013.8155105581</v>
      </c>
      <c r="H183" s="18">
        <f t="shared" si="50"/>
        <v>1000013.8155105581</v>
      </c>
      <c r="I183" s="16"/>
      <c r="J183" s="18">
        <f t="shared" si="52"/>
        <v>2.1098999921692785E-2</v>
      </c>
      <c r="K183" s="18">
        <f t="shared" si="53"/>
        <v>1.4289360422763139E-4</v>
      </c>
      <c r="L183" s="18">
        <f t="shared" si="54"/>
        <v>999999.99999309238</v>
      </c>
      <c r="M183" s="18">
        <f t="shared" si="55"/>
        <v>999999.99999309238</v>
      </c>
      <c r="N183" s="18">
        <f t="shared" si="56"/>
        <v>999999.99999309238</v>
      </c>
      <c r="O183" s="16"/>
      <c r="P183" s="18">
        <f t="shared" si="51"/>
        <v>67.083986452821634</v>
      </c>
      <c r="Q183" s="18">
        <f t="shared" ref="Q183:Q246" si="61">(D$23*D$22)/(K183+K183^2)</f>
        <v>869.55823147859189</v>
      </c>
      <c r="R183" s="18">
        <f t="shared" ref="R183:R246" si="62">(E$23*E$22)/(L183+L183^2)</f>
        <v>0</v>
      </c>
      <c r="S183" s="18">
        <f t="shared" ref="S183:S246" si="63">(F$23*F$22)/(M183+M183^2)</f>
        <v>0</v>
      </c>
      <c r="T183" s="18">
        <f t="shared" ref="T183:T246" si="64">(G$23*G$22)/(N183+N183^2)</f>
        <v>0</v>
      </c>
      <c r="U183" s="16"/>
      <c r="V183" s="18">
        <f t="shared" si="57"/>
        <v>936.64221793141348</v>
      </c>
      <c r="W183" s="16"/>
      <c r="X183" s="18">
        <f t="shared" si="58"/>
        <v>186.1101100881796</v>
      </c>
      <c r="Y183" s="18">
        <f t="shared" si="59"/>
        <v>13.642217931413484</v>
      </c>
      <c r="Z183" s="18"/>
      <c r="AA183" s="18">
        <f t="shared" si="60"/>
        <v>3.3695032165039311E-5</v>
      </c>
    </row>
    <row r="184" spans="2:27" x14ac:dyDescent="0.35">
      <c r="B184" s="26">
        <v>41.4</v>
      </c>
      <c r="C184" s="26">
        <v>922</v>
      </c>
      <c r="D184" s="18">
        <f t="shared" si="50"/>
        <v>-3.8231462079550296</v>
      </c>
      <c r="E184" s="18">
        <f t="shared" si="50"/>
        <v>-8.8514029581042735</v>
      </c>
      <c r="F184" s="18">
        <f t="shared" si="50"/>
        <v>1000013.8155105581</v>
      </c>
      <c r="G184" s="18">
        <f t="shared" si="50"/>
        <v>1000013.8155105581</v>
      </c>
      <c r="H184" s="18">
        <f t="shared" si="50"/>
        <v>1000013.8155105581</v>
      </c>
      <c r="I184" s="16"/>
      <c r="J184" s="18">
        <f t="shared" si="52"/>
        <v>2.1396190256257004E-2</v>
      </c>
      <c r="K184" s="18">
        <f t="shared" si="53"/>
        <v>1.431602224335543E-4</v>
      </c>
      <c r="L184" s="18">
        <f t="shared" si="54"/>
        <v>999999.99999309238</v>
      </c>
      <c r="M184" s="18">
        <f t="shared" si="55"/>
        <v>999999.99999309238</v>
      </c>
      <c r="N184" s="18">
        <f t="shared" si="56"/>
        <v>999999.99999309238</v>
      </c>
      <c r="O184" s="16"/>
      <c r="P184" s="18">
        <f t="shared" si="51"/>
        <v>66.132950536191842</v>
      </c>
      <c r="Q184" s="18">
        <f t="shared" si="61"/>
        <v>867.9385554582567</v>
      </c>
      <c r="R184" s="18">
        <f t="shared" si="62"/>
        <v>0</v>
      </c>
      <c r="S184" s="18">
        <f t="shared" si="63"/>
        <v>0</v>
      </c>
      <c r="T184" s="18">
        <f t="shared" si="64"/>
        <v>0</v>
      </c>
      <c r="U184" s="16"/>
      <c r="V184" s="18">
        <f t="shared" si="57"/>
        <v>934.07150599444856</v>
      </c>
      <c r="W184" s="16"/>
      <c r="X184" s="18">
        <f t="shared" si="58"/>
        <v>145.72125697400745</v>
      </c>
      <c r="Y184" s="18">
        <f t="shared" si="59"/>
        <v>12.071505994448557</v>
      </c>
      <c r="Z184" s="18"/>
      <c r="AA184" s="18">
        <f t="shared" si="60"/>
        <v>2.9815517154787545E-5</v>
      </c>
    </row>
    <row r="185" spans="2:27" x14ac:dyDescent="0.35">
      <c r="B185" s="26">
        <v>41.699999999999996</v>
      </c>
      <c r="C185" s="26">
        <v>930</v>
      </c>
      <c r="D185" s="18">
        <f t="shared" si="50"/>
        <v>-3.8088617791321875</v>
      </c>
      <c r="E185" s="18">
        <f t="shared" si="50"/>
        <v>-8.8495385788032124</v>
      </c>
      <c r="F185" s="18">
        <f t="shared" si="50"/>
        <v>1000013.8155105581</v>
      </c>
      <c r="G185" s="18">
        <f t="shared" si="50"/>
        <v>1000013.8155105581</v>
      </c>
      <c r="H185" s="18">
        <f t="shared" si="50"/>
        <v>1000013.8155105581</v>
      </c>
      <c r="I185" s="16"/>
      <c r="J185" s="18">
        <f t="shared" si="52"/>
        <v>2.1697477771830807E-2</v>
      </c>
      <c r="K185" s="18">
        <f t="shared" si="53"/>
        <v>1.4342733803804166E-4</v>
      </c>
      <c r="L185" s="18">
        <f t="shared" si="54"/>
        <v>999999.99999309238</v>
      </c>
      <c r="M185" s="18">
        <f t="shared" si="55"/>
        <v>999999.99999309238</v>
      </c>
      <c r="N185" s="18">
        <f t="shared" si="56"/>
        <v>999999.99999309238</v>
      </c>
      <c r="O185" s="16"/>
      <c r="P185" s="18">
        <f t="shared" si="51"/>
        <v>65.195408452331478</v>
      </c>
      <c r="Q185" s="18">
        <f t="shared" si="61"/>
        <v>866.32189631525466</v>
      </c>
      <c r="R185" s="18">
        <f t="shared" si="62"/>
        <v>0</v>
      </c>
      <c r="S185" s="18">
        <f t="shared" si="63"/>
        <v>0</v>
      </c>
      <c r="T185" s="18">
        <f t="shared" si="64"/>
        <v>0</v>
      </c>
      <c r="U185" s="16"/>
      <c r="V185" s="18">
        <f t="shared" si="57"/>
        <v>931.5173047675861</v>
      </c>
      <c r="W185" s="16"/>
      <c r="X185" s="18">
        <f t="shared" si="58"/>
        <v>2.3022137577395001</v>
      </c>
      <c r="Y185" s="18">
        <f t="shared" si="59"/>
        <v>1.5173047675860971</v>
      </c>
      <c r="Z185" s="18"/>
      <c r="AA185" s="18">
        <f t="shared" si="60"/>
        <v>3.7476041802745092E-6</v>
      </c>
    </row>
    <row r="186" spans="2:27" x14ac:dyDescent="0.35">
      <c r="B186" s="26">
        <v>42.000000000000007</v>
      </c>
      <c r="C186" s="26">
        <v>955</v>
      </c>
      <c r="D186" s="18">
        <f t="shared" si="50"/>
        <v>-3.7945773503093445</v>
      </c>
      <c r="E186" s="18">
        <f t="shared" si="50"/>
        <v>-8.8476741995021495</v>
      </c>
      <c r="F186" s="18">
        <f t="shared" si="50"/>
        <v>1000013.8155105581</v>
      </c>
      <c r="G186" s="18">
        <f t="shared" si="50"/>
        <v>1000013.8155105581</v>
      </c>
      <c r="H186" s="18">
        <f t="shared" si="50"/>
        <v>1000013.8155105581</v>
      </c>
      <c r="I186" s="16"/>
      <c r="J186" s="18">
        <f t="shared" si="52"/>
        <v>2.200291648749246E-2</v>
      </c>
      <c r="K186" s="18">
        <f t="shared" si="53"/>
        <v>1.4369495196876601E-4</v>
      </c>
      <c r="L186" s="18">
        <f t="shared" si="54"/>
        <v>999999.99999309238</v>
      </c>
      <c r="M186" s="18">
        <f t="shared" si="55"/>
        <v>999999.99999309238</v>
      </c>
      <c r="N186" s="18">
        <f t="shared" si="56"/>
        <v>999999.99999309238</v>
      </c>
      <c r="O186" s="16"/>
      <c r="P186" s="18">
        <f t="shared" si="51"/>
        <v>64.271168884151336</v>
      </c>
      <c r="Q186" s="18">
        <f t="shared" si="61"/>
        <v>864.70824843022035</v>
      </c>
      <c r="R186" s="18">
        <f t="shared" si="62"/>
        <v>0</v>
      </c>
      <c r="S186" s="18">
        <f t="shared" si="63"/>
        <v>0</v>
      </c>
      <c r="T186" s="18">
        <f t="shared" si="64"/>
        <v>0</v>
      </c>
      <c r="U186" s="16"/>
      <c r="V186" s="18">
        <f t="shared" si="57"/>
        <v>928.97941731437163</v>
      </c>
      <c r="W186" s="16"/>
      <c r="X186" s="18">
        <f t="shared" si="58"/>
        <v>677.07072329962284</v>
      </c>
      <c r="Y186" s="18">
        <f t="shared" si="59"/>
        <v>26.020582685628369</v>
      </c>
      <c r="Z186" s="18"/>
      <c r="AA186" s="18">
        <f t="shared" si="60"/>
        <v>6.4268462426950141E-5</v>
      </c>
    </row>
    <row r="187" spans="2:27" x14ac:dyDescent="0.35">
      <c r="B187" s="26">
        <v>42.199999999999996</v>
      </c>
      <c r="C187" s="26">
        <v>932</v>
      </c>
      <c r="D187" s="18">
        <f t="shared" si="50"/>
        <v>-3.7850543977607836</v>
      </c>
      <c r="E187" s="18">
        <f t="shared" si="50"/>
        <v>-8.84643127996811</v>
      </c>
      <c r="F187" s="18">
        <f t="shared" si="50"/>
        <v>1000013.8155105581</v>
      </c>
      <c r="G187" s="18">
        <f t="shared" si="50"/>
        <v>1000013.8155105581</v>
      </c>
      <c r="H187" s="18">
        <f t="shared" si="50"/>
        <v>1000013.8155105581</v>
      </c>
      <c r="I187" s="16"/>
      <c r="J187" s="18">
        <f t="shared" si="52"/>
        <v>2.2208875487908574E-2</v>
      </c>
      <c r="K187" s="18">
        <f t="shared" si="53"/>
        <v>1.4387363856271687E-4</v>
      </c>
      <c r="L187" s="18">
        <f t="shared" si="54"/>
        <v>999999.99999309238</v>
      </c>
      <c r="M187" s="18">
        <f t="shared" si="55"/>
        <v>999999.99999309238</v>
      </c>
      <c r="N187" s="18">
        <f t="shared" si="56"/>
        <v>999999.99999309238</v>
      </c>
      <c r="O187" s="16"/>
      <c r="P187" s="18">
        <f t="shared" si="51"/>
        <v>63.66230621067799</v>
      </c>
      <c r="Q187" s="18">
        <f t="shared" si="61"/>
        <v>863.63415332437114</v>
      </c>
      <c r="R187" s="18">
        <f t="shared" si="62"/>
        <v>0</v>
      </c>
      <c r="S187" s="18">
        <f t="shared" si="63"/>
        <v>0</v>
      </c>
      <c r="T187" s="18">
        <f t="shared" si="64"/>
        <v>0</v>
      </c>
      <c r="U187" s="16"/>
      <c r="V187" s="18">
        <f t="shared" si="57"/>
        <v>927.29645953504917</v>
      </c>
      <c r="W187" s="16"/>
      <c r="X187" s="18">
        <f t="shared" si="58"/>
        <v>22.123292905429903</v>
      </c>
      <c r="Y187" s="18">
        <f t="shared" si="59"/>
        <v>4.7035404649508337</v>
      </c>
      <c r="Z187" s="18"/>
      <c r="AA187" s="18">
        <f t="shared" si="60"/>
        <v>1.1617315311401232E-5</v>
      </c>
    </row>
    <row r="188" spans="2:27" x14ac:dyDescent="0.35">
      <c r="B188" s="26">
        <v>42.500000000000007</v>
      </c>
      <c r="C188" s="26">
        <v>938</v>
      </c>
      <c r="D188" s="18">
        <f t="shared" si="50"/>
        <v>-3.770769968937941</v>
      </c>
      <c r="E188" s="18">
        <f t="shared" si="50"/>
        <v>-8.8445669006670471</v>
      </c>
      <c r="F188" s="18">
        <f t="shared" si="50"/>
        <v>1000013.8155105581</v>
      </c>
      <c r="G188" s="18">
        <f t="shared" si="50"/>
        <v>1000013.8155105581</v>
      </c>
      <c r="H188" s="18">
        <f t="shared" si="50"/>
        <v>1000013.8155105581</v>
      </c>
      <c r="I188" s="16"/>
      <c r="J188" s="18">
        <f t="shared" si="52"/>
        <v>2.2521354666181541E-2</v>
      </c>
      <c r="K188" s="18">
        <f t="shared" si="53"/>
        <v>1.4414208510336076E-4</v>
      </c>
      <c r="L188" s="18">
        <f t="shared" si="54"/>
        <v>999999.99999309238</v>
      </c>
      <c r="M188" s="18">
        <f t="shared" si="55"/>
        <v>999999.99999309238</v>
      </c>
      <c r="N188" s="18">
        <f t="shared" si="56"/>
        <v>999999.99999309238</v>
      </c>
      <c r="O188" s="16"/>
      <c r="P188" s="18">
        <f t="shared" si="51"/>
        <v>62.759819706840297</v>
      </c>
      <c r="Q188" s="18">
        <f t="shared" si="61"/>
        <v>862.02551174356392</v>
      </c>
      <c r="R188" s="18">
        <f t="shared" si="62"/>
        <v>0</v>
      </c>
      <c r="S188" s="18">
        <f t="shared" si="63"/>
        <v>0</v>
      </c>
      <c r="T188" s="18">
        <f t="shared" si="64"/>
        <v>0</v>
      </c>
      <c r="U188" s="16"/>
      <c r="V188" s="18">
        <f t="shared" si="57"/>
        <v>924.78533145040421</v>
      </c>
      <c r="W188" s="16"/>
      <c r="X188" s="18">
        <f t="shared" si="58"/>
        <v>174.62746487567597</v>
      </c>
      <c r="Y188" s="18">
        <f t="shared" si="59"/>
        <v>13.214668549595785</v>
      </c>
      <c r="Z188" s="18"/>
      <c r="AA188" s="18">
        <f t="shared" si="60"/>
        <v>3.2639024245731911E-5</v>
      </c>
    </row>
    <row r="189" spans="2:27" x14ac:dyDescent="0.35">
      <c r="B189" s="26">
        <v>42.800000000000004</v>
      </c>
      <c r="C189" s="26">
        <v>915</v>
      </c>
      <c r="D189" s="18">
        <f t="shared" si="50"/>
        <v>-3.7564855401150985</v>
      </c>
      <c r="E189" s="18">
        <f t="shared" si="50"/>
        <v>-8.842702521365986</v>
      </c>
      <c r="F189" s="18">
        <f t="shared" si="50"/>
        <v>1000013.8155105581</v>
      </c>
      <c r="G189" s="18">
        <f t="shared" si="50"/>
        <v>1000013.8155105581</v>
      </c>
      <c r="H189" s="18">
        <f t="shared" si="50"/>
        <v>1000013.8155105581</v>
      </c>
      <c r="I189" s="16"/>
      <c r="J189" s="18">
        <f t="shared" si="52"/>
        <v>2.2838132262661525E-2</v>
      </c>
      <c r="K189" s="18">
        <f t="shared" si="53"/>
        <v>1.4441103245249604E-4</v>
      </c>
      <c r="L189" s="18">
        <f t="shared" si="54"/>
        <v>999999.99999309238</v>
      </c>
      <c r="M189" s="18">
        <f t="shared" si="55"/>
        <v>999999.99999309238</v>
      </c>
      <c r="N189" s="18">
        <f t="shared" si="56"/>
        <v>999999.99999309238</v>
      </c>
      <c r="O189" s="16"/>
      <c r="P189" s="18">
        <f t="shared" si="51"/>
        <v>61.870138704004646</v>
      </c>
      <c r="Q189" s="18">
        <f t="shared" si="61"/>
        <v>860.41986648687623</v>
      </c>
      <c r="R189" s="18">
        <f t="shared" si="62"/>
        <v>0</v>
      </c>
      <c r="S189" s="18">
        <f t="shared" si="63"/>
        <v>0</v>
      </c>
      <c r="T189" s="18">
        <f t="shared" si="64"/>
        <v>0</v>
      </c>
      <c r="U189" s="16"/>
      <c r="V189" s="18">
        <f t="shared" si="57"/>
        <v>922.29000519088083</v>
      </c>
      <c r="W189" s="16"/>
      <c r="X189" s="18">
        <f t="shared" si="58"/>
        <v>53.144175683069498</v>
      </c>
      <c r="Y189" s="18">
        <f t="shared" si="59"/>
        <v>7.2900051908808337</v>
      </c>
      <c r="Z189" s="18"/>
      <c r="AA189" s="18">
        <f t="shared" si="60"/>
        <v>1.8005646928159176E-5</v>
      </c>
    </row>
    <row r="190" spans="2:27" x14ac:dyDescent="0.35">
      <c r="B190" s="26">
        <v>43.1</v>
      </c>
      <c r="C190" s="26">
        <v>939</v>
      </c>
      <c r="D190" s="18">
        <f t="shared" si="50"/>
        <v>-3.7422011112922564</v>
      </c>
      <c r="E190" s="18">
        <f t="shared" si="50"/>
        <v>-8.8408381420649231</v>
      </c>
      <c r="F190" s="18">
        <f t="shared" si="50"/>
        <v>1000013.8155105581</v>
      </c>
      <c r="G190" s="18">
        <f t="shared" si="50"/>
        <v>1000013.8155105581</v>
      </c>
      <c r="H190" s="18">
        <f t="shared" si="50"/>
        <v>1000013.8155105581</v>
      </c>
      <c r="I190" s="16"/>
      <c r="J190" s="18">
        <f t="shared" si="52"/>
        <v>2.3159264688541008E-2</v>
      </c>
      <c r="K190" s="18">
        <f t="shared" si="53"/>
        <v>1.446804815441514E-4</v>
      </c>
      <c r="L190" s="18">
        <f t="shared" si="54"/>
        <v>999999.99999309238</v>
      </c>
      <c r="M190" s="18">
        <f t="shared" si="55"/>
        <v>999999.99999309238</v>
      </c>
      <c r="N190" s="18">
        <f t="shared" si="56"/>
        <v>999999.99999309238</v>
      </c>
      <c r="O190" s="16"/>
      <c r="P190" s="18">
        <f t="shared" si="51"/>
        <v>60.993081649770367</v>
      </c>
      <c r="Q190" s="18">
        <f t="shared" si="61"/>
        <v>858.81721197322474</v>
      </c>
      <c r="R190" s="18">
        <f t="shared" si="62"/>
        <v>0</v>
      </c>
      <c r="S190" s="18">
        <f t="shared" si="63"/>
        <v>0</v>
      </c>
      <c r="T190" s="18">
        <f t="shared" si="64"/>
        <v>0</v>
      </c>
      <c r="U190" s="16"/>
      <c r="V190" s="18">
        <f t="shared" si="57"/>
        <v>919.81029362299512</v>
      </c>
      <c r="W190" s="16"/>
      <c r="X190" s="18">
        <f t="shared" si="58"/>
        <v>368.24483083566184</v>
      </c>
      <c r="Y190" s="18">
        <f t="shared" si="59"/>
        <v>19.189706377004882</v>
      </c>
      <c r="Z190" s="18"/>
      <c r="AA190" s="18">
        <f t="shared" si="60"/>
        <v>4.7396821899607704E-5</v>
      </c>
    </row>
    <row r="191" spans="2:27" x14ac:dyDescent="0.35">
      <c r="B191" s="26">
        <v>43.4</v>
      </c>
      <c r="C191" s="26">
        <v>924</v>
      </c>
      <c r="D191" s="18">
        <f t="shared" si="50"/>
        <v>-3.7279166824694143</v>
      </c>
      <c r="E191" s="18">
        <f t="shared" si="50"/>
        <v>-8.838973762763862</v>
      </c>
      <c r="F191" s="18">
        <f t="shared" si="50"/>
        <v>1000013.8155105581</v>
      </c>
      <c r="G191" s="18">
        <f t="shared" si="50"/>
        <v>1000013.8155105581</v>
      </c>
      <c r="H191" s="18">
        <f t="shared" si="50"/>
        <v>1000013.8155105581</v>
      </c>
      <c r="I191" s="16"/>
      <c r="J191" s="18">
        <f t="shared" si="52"/>
        <v>2.3484809021054997E-2</v>
      </c>
      <c r="K191" s="18">
        <f t="shared" si="53"/>
        <v>1.4495043331409557E-4</v>
      </c>
      <c r="L191" s="18">
        <f t="shared" si="54"/>
        <v>999999.99999309238</v>
      </c>
      <c r="M191" s="18">
        <f t="shared" si="55"/>
        <v>999999.99999309238</v>
      </c>
      <c r="N191" s="18">
        <f t="shared" si="56"/>
        <v>999999.99999309238</v>
      </c>
      <c r="O191" s="16"/>
      <c r="P191" s="18">
        <f t="shared" si="51"/>
        <v>60.128469567261931</v>
      </c>
      <c r="Q191" s="18">
        <f t="shared" si="61"/>
        <v>857.21754263192759</v>
      </c>
      <c r="R191" s="18">
        <f t="shared" si="62"/>
        <v>0</v>
      </c>
      <c r="S191" s="18">
        <f t="shared" si="63"/>
        <v>0</v>
      </c>
      <c r="T191" s="18">
        <f t="shared" si="64"/>
        <v>0</v>
      </c>
      <c r="U191" s="16"/>
      <c r="V191" s="18">
        <f t="shared" si="57"/>
        <v>917.34601219918954</v>
      </c>
      <c r="W191" s="16"/>
      <c r="X191" s="18">
        <f t="shared" si="58"/>
        <v>44.275553653334356</v>
      </c>
      <c r="Y191" s="18">
        <f t="shared" si="59"/>
        <v>6.6539878008104552</v>
      </c>
      <c r="Z191" s="18"/>
      <c r="AA191" s="18">
        <f t="shared" si="60"/>
        <v>1.6434742070628777E-5</v>
      </c>
    </row>
    <row r="192" spans="2:27" x14ac:dyDescent="0.35">
      <c r="B192" s="26">
        <v>43.699999999999996</v>
      </c>
      <c r="C192" s="26">
        <v>903</v>
      </c>
      <c r="D192" s="18">
        <f t="shared" si="50"/>
        <v>-3.7136322536465722</v>
      </c>
      <c r="E192" s="18">
        <f t="shared" si="50"/>
        <v>-8.8371093834628009</v>
      </c>
      <c r="F192" s="18">
        <f t="shared" si="50"/>
        <v>1000013.8155105581</v>
      </c>
      <c r="G192" s="18">
        <f t="shared" si="50"/>
        <v>1000013.8155105581</v>
      </c>
      <c r="H192" s="18">
        <f t="shared" si="50"/>
        <v>1000013.8155105581</v>
      </c>
      <c r="I192" s="16"/>
      <c r="J192" s="18">
        <f t="shared" si="52"/>
        <v>2.381482300932607E-2</v>
      </c>
      <c r="K192" s="18">
        <f t="shared" si="53"/>
        <v>1.4522088869984215E-4</v>
      </c>
      <c r="L192" s="18">
        <f t="shared" si="54"/>
        <v>999999.99999309238</v>
      </c>
      <c r="M192" s="18">
        <f t="shared" si="55"/>
        <v>999999.99999309238</v>
      </c>
      <c r="N192" s="18">
        <f t="shared" si="56"/>
        <v>999999.99999309238</v>
      </c>
      <c r="O192" s="16"/>
      <c r="P192" s="18">
        <f t="shared" si="51"/>
        <v>59.276126018600188</v>
      </c>
      <c r="Q192" s="18">
        <f t="shared" si="61"/>
        <v>855.62085290267521</v>
      </c>
      <c r="R192" s="18">
        <f t="shared" si="62"/>
        <v>0</v>
      </c>
      <c r="S192" s="18">
        <f t="shared" si="63"/>
        <v>0</v>
      </c>
      <c r="T192" s="18">
        <f t="shared" si="64"/>
        <v>0</v>
      </c>
      <c r="U192" s="16"/>
      <c r="V192" s="18">
        <f t="shared" si="57"/>
        <v>914.89697892127538</v>
      </c>
      <c r="W192" s="16"/>
      <c r="X192" s="18">
        <f t="shared" si="58"/>
        <v>141.53810745327061</v>
      </c>
      <c r="Y192" s="18">
        <f t="shared" si="59"/>
        <v>11.896978921275377</v>
      </c>
      <c r="Z192" s="18"/>
      <c r="AA192" s="18">
        <f t="shared" si="60"/>
        <v>2.9384451225933031E-5</v>
      </c>
    </row>
    <row r="193" spans="2:27" x14ac:dyDescent="0.35">
      <c r="B193" s="26">
        <v>44.000000000000007</v>
      </c>
      <c r="C193" s="26">
        <v>942</v>
      </c>
      <c r="D193" s="18">
        <f t="shared" si="50"/>
        <v>-3.6993478248237293</v>
      </c>
      <c r="E193" s="18">
        <f t="shared" si="50"/>
        <v>-8.8352450041617381</v>
      </c>
      <c r="F193" s="18">
        <f t="shared" si="50"/>
        <v>1000013.8155105581</v>
      </c>
      <c r="G193" s="18">
        <f t="shared" si="50"/>
        <v>1000013.8155105581</v>
      </c>
      <c r="H193" s="18">
        <f t="shared" si="50"/>
        <v>1000013.8155105581</v>
      </c>
      <c r="I193" s="16"/>
      <c r="J193" s="18">
        <f t="shared" si="52"/>
        <v>2.4149365080204249E-2</v>
      </c>
      <c r="K193" s="18">
        <f t="shared" si="53"/>
        <v>1.4549184864065233E-4</v>
      </c>
      <c r="L193" s="18">
        <f t="shared" si="54"/>
        <v>999999.99999309238</v>
      </c>
      <c r="M193" s="18">
        <f t="shared" si="55"/>
        <v>999999.99999309238</v>
      </c>
      <c r="N193" s="18">
        <f t="shared" si="56"/>
        <v>999999.99999309238</v>
      </c>
      <c r="O193" s="16"/>
      <c r="P193" s="18">
        <f t="shared" si="51"/>
        <v>58.435877068891379</v>
      </c>
      <c r="Q193" s="18">
        <f t="shared" si="61"/>
        <v>854.02713723551381</v>
      </c>
      <c r="R193" s="18">
        <f t="shared" si="62"/>
        <v>0</v>
      </c>
      <c r="S193" s="18">
        <f t="shared" si="63"/>
        <v>0</v>
      </c>
      <c r="T193" s="18">
        <f t="shared" si="64"/>
        <v>0</v>
      </c>
      <c r="U193" s="16"/>
      <c r="V193" s="18">
        <f t="shared" si="57"/>
        <v>912.46301430440519</v>
      </c>
      <c r="W193" s="16"/>
      <c r="X193" s="18">
        <f t="shared" si="58"/>
        <v>872.43352398177228</v>
      </c>
      <c r="Y193" s="18">
        <f t="shared" si="59"/>
        <v>29.536985695594808</v>
      </c>
      <c r="Z193" s="18"/>
      <c r="AA193" s="18">
        <f t="shared" si="60"/>
        <v>7.2953656661622787E-5</v>
      </c>
    </row>
    <row r="194" spans="2:27" x14ac:dyDescent="0.35">
      <c r="B194" s="26">
        <v>44.199999999999996</v>
      </c>
      <c r="C194" s="26">
        <v>905</v>
      </c>
      <c r="D194" s="18">
        <f t="shared" si="50"/>
        <v>-3.6898248722751683</v>
      </c>
      <c r="E194" s="18">
        <f t="shared" si="50"/>
        <v>-8.8340020846276985</v>
      </c>
      <c r="F194" s="18">
        <f t="shared" si="50"/>
        <v>1000013.8155105581</v>
      </c>
      <c r="G194" s="18">
        <f t="shared" si="50"/>
        <v>1000013.8155105581</v>
      </c>
      <c r="H194" s="18">
        <f t="shared" si="50"/>
        <v>1000013.8155105581</v>
      </c>
      <c r="I194" s="16"/>
      <c r="J194" s="18">
        <f t="shared" si="52"/>
        <v>2.4374937890924868E-2</v>
      </c>
      <c r="K194" s="18">
        <f t="shared" si="53"/>
        <v>1.4567276937418566E-4</v>
      </c>
      <c r="L194" s="18">
        <f t="shared" si="54"/>
        <v>999999.99999309238</v>
      </c>
      <c r="M194" s="18">
        <f t="shared" si="55"/>
        <v>999999.99999309238</v>
      </c>
      <c r="N194" s="18">
        <f t="shared" si="56"/>
        <v>999999.99999309238</v>
      </c>
      <c r="O194" s="16"/>
      <c r="P194" s="18">
        <f t="shared" si="51"/>
        <v>57.882345548312841</v>
      </c>
      <c r="Q194" s="18">
        <f t="shared" si="61"/>
        <v>852.96630964475617</v>
      </c>
      <c r="R194" s="18">
        <f t="shared" si="62"/>
        <v>0</v>
      </c>
      <c r="S194" s="18">
        <f t="shared" si="63"/>
        <v>0</v>
      </c>
      <c r="T194" s="18">
        <f t="shared" si="64"/>
        <v>0</v>
      </c>
      <c r="U194" s="16"/>
      <c r="V194" s="18">
        <f t="shared" si="57"/>
        <v>910.84865519306902</v>
      </c>
      <c r="W194" s="16"/>
      <c r="X194" s="18">
        <f t="shared" si="58"/>
        <v>34.20676756741323</v>
      </c>
      <c r="Y194" s="18">
        <f t="shared" si="59"/>
        <v>5.8486551930690212</v>
      </c>
      <c r="Z194" s="18"/>
      <c r="AA194" s="18">
        <f t="shared" si="60"/>
        <v>1.4445644091265897E-5</v>
      </c>
    </row>
    <row r="195" spans="2:27" x14ac:dyDescent="0.35">
      <c r="B195" s="26">
        <v>44.500000000000007</v>
      </c>
      <c r="C195" s="26">
        <v>940</v>
      </c>
      <c r="D195" s="18">
        <f t="shared" si="50"/>
        <v>-3.6755404434523253</v>
      </c>
      <c r="E195" s="18">
        <f t="shared" si="50"/>
        <v>-8.8321377053266357</v>
      </c>
      <c r="F195" s="18">
        <f t="shared" si="50"/>
        <v>1000013.8155105581</v>
      </c>
      <c r="G195" s="18">
        <f t="shared" si="50"/>
        <v>1000013.8155105581</v>
      </c>
      <c r="H195" s="18">
        <f t="shared" si="50"/>
        <v>1000013.8155105581</v>
      </c>
      <c r="I195" s="16"/>
      <c r="J195" s="18">
        <f t="shared" si="52"/>
        <v>2.4717158462812357E-2</v>
      </c>
      <c r="K195" s="18">
        <f t="shared" si="53"/>
        <v>1.4594457233210441E-4</v>
      </c>
      <c r="L195" s="18">
        <f t="shared" si="54"/>
        <v>999999.99999309238</v>
      </c>
      <c r="M195" s="18">
        <f t="shared" si="55"/>
        <v>999999.99999309238</v>
      </c>
      <c r="N195" s="18">
        <f t="shared" si="56"/>
        <v>999999.99999309238</v>
      </c>
      <c r="O195" s="16"/>
      <c r="P195" s="18">
        <f t="shared" si="51"/>
        <v>57.061874427493642</v>
      </c>
      <c r="Q195" s="18">
        <f t="shared" si="61"/>
        <v>851.37753844259225</v>
      </c>
      <c r="R195" s="18">
        <f t="shared" si="62"/>
        <v>0</v>
      </c>
      <c r="S195" s="18">
        <f t="shared" si="63"/>
        <v>0</v>
      </c>
      <c r="T195" s="18">
        <f t="shared" si="64"/>
        <v>0</v>
      </c>
      <c r="U195" s="16"/>
      <c r="V195" s="18">
        <f t="shared" si="57"/>
        <v>908.4394128700859</v>
      </c>
      <c r="W195" s="16"/>
      <c r="X195" s="18">
        <f t="shared" si="58"/>
        <v>996.07065998489941</v>
      </c>
      <c r="Y195" s="18">
        <f t="shared" si="59"/>
        <v>31.560587129914097</v>
      </c>
      <c r="Z195" s="18"/>
      <c r="AA195" s="18">
        <f t="shared" si="60"/>
        <v>7.7951767361907089E-5</v>
      </c>
    </row>
    <row r="196" spans="2:27" x14ac:dyDescent="0.35">
      <c r="B196" s="26">
        <v>44.800000000000004</v>
      </c>
      <c r="C196" s="26">
        <v>895</v>
      </c>
      <c r="D196" s="18">
        <f t="shared" si="50"/>
        <v>-3.6612560146294832</v>
      </c>
      <c r="E196" s="18">
        <f t="shared" si="50"/>
        <v>-8.8302733260255746</v>
      </c>
      <c r="F196" s="18">
        <f t="shared" si="50"/>
        <v>1000013.8155105581</v>
      </c>
      <c r="G196" s="18">
        <f t="shared" si="50"/>
        <v>1000013.8155105581</v>
      </c>
      <c r="H196" s="18">
        <f t="shared" si="50"/>
        <v>1000013.8155105581</v>
      </c>
      <c r="I196" s="16"/>
      <c r="J196" s="18">
        <f t="shared" si="52"/>
        <v>2.5064066279902222E-2</v>
      </c>
      <c r="K196" s="18">
        <f t="shared" si="53"/>
        <v>1.4621688235835008E-4</v>
      </c>
      <c r="L196" s="18">
        <f t="shared" si="54"/>
        <v>999999.99999309238</v>
      </c>
      <c r="M196" s="18">
        <f t="shared" si="55"/>
        <v>999999.99999309238</v>
      </c>
      <c r="N196" s="18">
        <f t="shared" si="56"/>
        <v>999999.99999309238</v>
      </c>
      <c r="O196" s="16"/>
      <c r="P196" s="18">
        <f t="shared" si="51"/>
        <v>56.253046047675596</v>
      </c>
      <c r="Q196" s="18">
        <f t="shared" si="61"/>
        <v>849.79172655313801</v>
      </c>
      <c r="R196" s="18">
        <f t="shared" si="62"/>
        <v>0</v>
      </c>
      <c r="S196" s="18">
        <f t="shared" si="63"/>
        <v>0</v>
      </c>
      <c r="T196" s="18">
        <f t="shared" si="64"/>
        <v>0</v>
      </c>
      <c r="U196" s="16"/>
      <c r="V196" s="18">
        <f t="shared" si="57"/>
        <v>906.04477260081364</v>
      </c>
      <c r="W196" s="16"/>
      <c r="X196" s="18">
        <f t="shared" si="58"/>
        <v>121.9870018036838</v>
      </c>
      <c r="Y196" s="18">
        <f t="shared" si="59"/>
        <v>11.044772600813644</v>
      </c>
      <c r="Z196" s="18"/>
      <c r="AA196" s="18">
        <f t="shared" si="60"/>
        <v>2.7279579457751809E-5</v>
      </c>
    </row>
    <row r="197" spans="2:27" x14ac:dyDescent="0.35">
      <c r="B197" s="26">
        <v>45.1</v>
      </c>
      <c r="C197" s="26">
        <v>912</v>
      </c>
      <c r="D197" s="18">
        <f t="shared" si="50"/>
        <v>-3.6469715858066412</v>
      </c>
      <c r="E197" s="18">
        <f t="shared" si="50"/>
        <v>-8.8284089467245117</v>
      </c>
      <c r="F197" s="18">
        <f t="shared" si="50"/>
        <v>1000013.8155105581</v>
      </c>
      <c r="G197" s="18">
        <f t="shared" si="50"/>
        <v>1000013.8155105581</v>
      </c>
      <c r="H197" s="18">
        <f t="shared" si="50"/>
        <v>1000013.8155105581</v>
      </c>
      <c r="I197" s="16"/>
      <c r="J197" s="18">
        <f t="shared" si="52"/>
        <v>2.5415722303871537E-2</v>
      </c>
      <c r="K197" s="18">
        <f t="shared" si="53"/>
        <v>1.4648970039861928E-4</v>
      </c>
      <c r="L197" s="18">
        <f t="shared" si="54"/>
        <v>999999.99999309238</v>
      </c>
      <c r="M197" s="18">
        <f t="shared" si="55"/>
        <v>999999.99999309238</v>
      </c>
      <c r="N197" s="18">
        <f t="shared" si="56"/>
        <v>999999.99999309238</v>
      </c>
      <c r="O197" s="16"/>
      <c r="P197" s="18">
        <f t="shared" si="51"/>
        <v>55.455695351657653</v>
      </c>
      <c r="Q197" s="18">
        <f t="shared" si="61"/>
        <v>848.20886846424969</v>
      </c>
      <c r="R197" s="18">
        <f t="shared" si="62"/>
        <v>0</v>
      </c>
      <c r="S197" s="18">
        <f t="shared" si="63"/>
        <v>0</v>
      </c>
      <c r="T197" s="18">
        <f t="shared" si="64"/>
        <v>0</v>
      </c>
      <c r="U197" s="16"/>
      <c r="V197" s="18">
        <f t="shared" si="57"/>
        <v>903.66456381590729</v>
      </c>
      <c r="W197" s="16"/>
      <c r="X197" s="18">
        <f t="shared" si="58"/>
        <v>69.479496379082107</v>
      </c>
      <c r="Y197" s="18">
        <f t="shared" si="59"/>
        <v>8.335436184092714</v>
      </c>
      <c r="Z197" s="18"/>
      <c r="AA197" s="18">
        <f t="shared" si="60"/>
        <v>2.0587765988249102E-5</v>
      </c>
    </row>
    <row r="198" spans="2:27" x14ac:dyDescent="0.35">
      <c r="B198" s="26">
        <v>45.4</v>
      </c>
      <c r="C198" s="26">
        <v>908</v>
      </c>
      <c r="D198" s="18">
        <f t="shared" si="50"/>
        <v>-3.6326871569837991</v>
      </c>
      <c r="E198" s="18">
        <f t="shared" si="50"/>
        <v>-8.8265445674234506</v>
      </c>
      <c r="F198" s="18">
        <f t="shared" si="50"/>
        <v>1000013.8155105581</v>
      </c>
      <c r="G198" s="18">
        <f t="shared" si="50"/>
        <v>1000013.8155105581</v>
      </c>
      <c r="H198" s="18">
        <f t="shared" si="50"/>
        <v>1000013.8155105581</v>
      </c>
      <c r="I198" s="16"/>
      <c r="J198" s="18">
        <f t="shared" si="52"/>
        <v>2.5772188201250434E-2</v>
      </c>
      <c r="K198" s="18">
        <f t="shared" si="53"/>
        <v>1.4676302740037047E-4</v>
      </c>
      <c r="L198" s="18">
        <f t="shared" si="54"/>
        <v>999999.99999309238</v>
      </c>
      <c r="M198" s="18">
        <f t="shared" si="55"/>
        <v>999999.99999309238</v>
      </c>
      <c r="N198" s="18">
        <f t="shared" si="56"/>
        <v>999999.99999309238</v>
      </c>
      <c r="O198" s="16"/>
      <c r="P198" s="18">
        <f t="shared" si="51"/>
        <v>54.669659623807803</v>
      </c>
      <c r="Q198" s="18">
        <f t="shared" si="61"/>
        <v>846.62895867405598</v>
      </c>
      <c r="R198" s="18">
        <f t="shared" si="62"/>
        <v>0</v>
      </c>
      <c r="S198" s="18">
        <f t="shared" si="63"/>
        <v>0</v>
      </c>
      <c r="T198" s="18">
        <f t="shared" si="64"/>
        <v>0</v>
      </c>
      <c r="U198" s="16"/>
      <c r="V198" s="18">
        <f t="shared" si="57"/>
        <v>901.29861829786375</v>
      </c>
      <c r="W198" s="16"/>
      <c r="X198" s="18">
        <f t="shared" si="58"/>
        <v>44.908516717726485</v>
      </c>
      <c r="Y198" s="18">
        <f t="shared" si="59"/>
        <v>6.7013817021362456</v>
      </c>
      <c r="Z198" s="18"/>
      <c r="AA198" s="18">
        <f t="shared" si="60"/>
        <v>1.6551800677786928E-5</v>
      </c>
    </row>
    <row r="199" spans="2:27" x14ac:dyDescent="0.35">
      <c r="B199" s="26">
        <v>45.699999999999996</v>
      </c>
      <c r="C199" s="26">
        <v>845</v>
      </c>
      <c r="D199" s="18">
        <f t="shared" si="50"/>
        <v>-3.6184027281609565</v>
      </c>
      <c r="E199" s="18">
        <f t="shared" si="50"/>
        <v>-8.8246801881223895</v>
      </c>
      <c r="F199" s="18">
        <f t="shared" si="50"/>
        <v>1000013.8155105581</v>
      </c>
      <c r="G199" s="18">
        <f t="shared" si="50"/>
        <v>1000013.8155105581</v>
      </c>
      <c r="H199" s="18">
        <f t="shared" si="50"/>
        <v>1000013.8155105581</v>
      </c>
      <c r="I199" s="16"/>
      <c r="J199" s="18">
        <f t="shared" si="52"/>
        <v>2.6133526349194358E-2</v>
      </c>
      <c r="K199" s="18">
        <f t="shared" si="53"/>
        <v>1.4703686431282879E-4</v>
      </c>
      <c r="L199" s="18">
        <f t="shared" si="54"/>
        <v>999999.99999309238</v>
      </c>
      <c r="M199" s="18">
        <f t="shared" si="55"/>
        <v>999999.99999309238</v>
      </c>
      <c r="N199" s="18">
        <f t="shared" si="56"/>
        <v>999999.99999309238</v>
      </c>
      <c r="O199" s="16"/>
      <c r="P199" s="18">
        <f t="shared" si="51"/>
        <v>53.894778456850908</v>
      </c>
      <c r="Q199" s="18">
        <f t="shared" si="61"/>
        <v>845.05199169092953</v>
      </c>
      <c r="R199" s="18">
        <f t="shared" si="62"/>
        <v>0</v>
      </c>
      <c r="S199" s="18">
        <f t="shared" si="63"/>
        <v>0</v>
      </c>
      <c r="T199" s="18">
        <f t="shared" si="64"/>
        <v>0</v>
      </c>
      <c r="U199" s="16"/>
      <c r="V199" s="18">
        <f t="shared" si="57"/>
        <v>898.9467701477804</v>
      </c>
      <c r="W199" s="16"/>
      <c r="X199" s="18">
        <f t="shared" si="58"/>
        <v>2910.2540093774505</v>
      </c>
      <c r="Y199" s="18">
        <f t="shared" si="59"/>
        <v>53.946770147780398</v>
      </c>
      <c r="Z199" s="18"/>
      <c r="AA199" s="18">
        <f t="shared" si="60"/>
        <v>1.3324359458763649E-4</v>
      </c>
    </row>
    <row r="200" spans="2:27" x14ac:dyDescent="0.35">
      <c r="B200" s="26">
        <v>46.000000000000007</v>
      </c>
      <c r="C200" s="26">
        <v>933</v>
      </c>
      <c r="D200" s="18">
        <f t="shared" si="50"/>
        <v>-3.604118299338114</v>
      </c>
      <c r="E200" s="18">
        <f t="shared" si="50"/>
        <v>-8.8228158088213267</v>
      </c>
      <c r="F200" s="18">
        <f t="shared" si="50"/>
        <v>1000013.8155105581</v>
      </c>
      <c r="G200" s="18">
        <f t="shared" si="50"/>
        <v>1000013.8155105581</v>
      </c>
      <c r="H200" s="18">
        <f t="shared" si="50"/>
        <v>1000013.8155105581</v>
      </c>
      <c r="I200" s="16"/>
      <c r="J200" s="18">
        <f t="shared" si="52"/>
        <v>2.6499799841237071E-2</v>
      </c>
      <c r="K200" s="18">
        <f t="shared" si="53"/>
        <v>1.473112120869888E-4</v>
      </c>
      <c r="L200" s="18">
        <f t="shared" si="54"/>
        <v>999999.99999309238</v>
      </c>
      <c r="M200" s="18">
        <f t="shared" si="55"/>
        <v>999999.99999309238</v>
      </c>
      <c r="N200" s="18">
        <f t="shared" si="56"/>
        <v>999999.99999309238</v>
      </c>
      <c r="O200" s="16"/>
      <c r="P200" s="18">
        <f t="shared" si="51"/>
        <v>53.130893719127592</v>
      </c>
      <c r="Q200" s="18">
        <f t="shared" si="61"/>
        <v>843.47796203347116</v>
      </c>
      <c r="R200" s="18">
        <f t="shared" si="62"/>
        <v>0</v>
      </c>
      <c r="S200" s="18">
        <f t="shared" si="63"/>
        <v>0</v>
      </c>
      <c r="T200" s="18">
        <f t="shared" si="64"/>
        <v>0</v>
      </c>
      <c r="U200" s="16"/>
      <c r="V200" s="18">
        <f t="shared" si="57"/>
        <v>896.60885575259874</v>
      </c>
      <c r="W200" s="16"/>
      <c r="X200" s="18">
        <f t="shared" si="58"/>
        <v>1324.3153796351655</v>
      </c>
      <c r="Y200" s="18">
        <f t="shared" si="59"/>
        <v>36.391144247401257</v>
      </c>
      <c r="Z200" s="18"/>
      <c r="AA200" s="18">
        <f t="shared" si="60"/>
        <v>8.9882802202949621E-5</v>
      </c>
    </row>
    <row r="201" spans="2:27" x14ac:dyDescent="0.35">
      <c r="B201" s="26">
        <v>46.199999999999996</v>
      </c>
      <c r="C201" s="26">
        <v>955</v>
      </c>
      <c r="D201" s="18">
        <f t="shared" si="50"/>
        <v>-3.5945953467895531</v>
      </c>
      <c r="E201" s="18">
        <f t="shared" si="50"/>
        <v>-8.8215728892872853</v>
      </c>
      <c r="F201" s="18">
        <f t="shared" si="50"/>
        <v>1000013.8155105581</v>
      </c>
      <c r="G201" s="18">
        <f t="shared" si="50"/>
        <v>1000013.8155105581</v>
      </c>
      <c r="H201" s="18">
        <f t="shared" si="50"/>
        <v>1000013.8155105581</v>
      </c>
      <c r="I201" s="16"/>
      <c r="J201" s="18">
        <f t="shared" si="52"/>
        <v>2.6746755511107397E-2</v>
      </c>
      <c r="K201" s="18">
        <f t="shared" si="53"/>
        <v>1.4749439488558077E-4</v>
      </c>
      <c r="L201" s="18">
        <f t="shared" si="54"/>
        <v>999999.99999309238</v>
      </c>
      <c r="M201" s="18">
        <f t="shared" si="55"/>
        <v>999999.99999309238</v>
      </c>
      <c r="N201" s="18">
        <f t="shared" si="56"/>
        <v>999999.99999309238</v>
      </c>
      <c r="O201" s="16"/>
      <c r="P201" s="18">
        <f t="shared" si="51"/>
        <v>52.627669281422108</v>
      </c>
      <c r="Q201" s="18">
        <f t="shared" si="61"/>
        <v>842.43023807385316</v>
      </c>
      <c r="R201" s="18">
        <f t="shared" si="62"/>
        <v>0</v>
      </c>
      <c r="S201" s="18">
        <f t="shared" si="63"/>
        <v>0</v>
      </c>
      <c r="T201" s="18">
        <f t="shared" si="64"/>
        <v>0</v>
      </c>
      <c r="U201" s="16"/>
      <c r="V201" s="18">
        <f t="shared" si="57"/>
        <v>895.05790735527523</v>
      </c>
      <c r="W201" s="16"/>
      <c r="X201" s="18">
        <f t="shared" si="58"/>
        <v>3593.0544706287669</v>
      </c>
      <c r="Y201" s="18">
        <f t="shared" si="59"/>
        <v>59.942092644724767</v>
      </c>
      <c r="Z201" s="18"/>
      <c r="AA201" s="18">
        <f t="shared" si="60"/>
        <v>1.4805149352239521E-4</v>
      </c>
    </row>
    <row r="202" spans="2:27" x14ac:dyDescent="0.35">
      <c r="B202" s="26">
        <v>46.500000000000007</v>
      </c>
      <c r="C202" s="26">
        <v>834</v>
      </c>
      <c r="D202" s="18">
        <f t="shared" si="50"/>
        <v>-3.5803109179667101</v>
      </c>
      <c r="E202" s="18">
        <f t="shared" si="50"/>
        <v>-8.8197085099862242</v>
      </c>
      <c r="F202" s="18">
        <f t="shared" si="50"/>
        <v>1000013.8155105581</v>
      </c>
      <c r="G202" s="18">
        <f t="shared" si="50"/>
        <v>1000013.8155105581</v>
      </c>
      <c r="H202" s="18">
        <f t="shared" si="50"/>
        <v>1000013.8155105581</v>
      </c>
      <c r="I202" s="16"/>
      <c r="J202" s="18">
        <f t="shared" si="52"/>
        <v>2.7121396748371419E-2</v>
      </c>
      <c r="K202" s="18">
        <f t="shared" si="53"/>
        <v>1.4776959621404584E-4</v>
      </c>
      <c r="L202" s="18">
        <f t="shared" si="54"/>
        <v>999999.99999309238</v>
      </c>
      <c r="M202" s="18">
        <f t="shared" si="55"/>
        <v>999999.99999309238</v>
      </c>
      <c r="N202" s="18">
        <f t="shared" si="56"/>
        <v>999999.99999309238</v>
      </c>
      <c r="O202" s="16"/>
      <c r="P202" s="18">
        <f t="shared" si="51"/>
        <v>51.881766600668087</v>
      </c>
      <c r="Q202" s="18">
        <f t="shared" si="61"/>
        <v>840.86109180601863</v>
      </c>
      <c r="R202" s="18">
        <f t="shared" si="62"/>
        <v>0</v>
      </c>
      <c r="S202" s="18">
        <f t="shared" si="63"/>
        <v>0</v>
      </c>
      <c r="T202" s="18">
        <f t="shared" si="64"/>
        <v>0</v>
      </c>
      <c r="U202" s="16"/>
      <c r="V202" s="18">
        <f t="shared" si="57"/>
        <v>892.74285840668676</v>
      </c>
      <c r="W202" s="16"/>
      <c r="X202" s="18">
        <f t="shared" si="58"/>
        <v>3450.72341378805</v>
      </c>
      <c r="Y202" s="18">
        <f t="shared" si="59"/>
        <v>58.742858406686764</v>
      </c>
      <c r="Z202" s="18"/>
      <c r="AA202" s="18">
        <f t="shared" si="60"/>
        <v>1.4508949449648463E-4</v>
      </c>
    </row>
    <row r="203" spans="2:27" x14ac:dyDescent="0.35">
      <c r="B203" s="26">
        <v>46.800000000000004</v>
      </c>
      <c r="C203" s="26">
        <v>908</v>
      </c>
      <c r="D203" s="18">
        <f t="shared" si="50"/>
        <v>-3.566026489143868</v>
      </c>
      <c r="E203" s="18">
        <f t="shared" si="50"/>
        <v>-8.8178441306851632</v>
      </c>
      <c r="F203" s="18">
        <f t="shared" si="50"/>
        <v>1000013.8155105581</v>
      </c>
      <c r="G203" s="18">
        <f t="shared" si="50"/>
        <v>1000013.8155105581</v>
      </c>
      <c r="H203" s="18">
        <f t="shared" si="50"/>
        <v>1000013.8155105581</v>
      </c>
      <c r="I203" s="16"/>
      <c r="J203" s="18">
        <f t="shared" si="52"/>
        <v>2.7501145124962826E-2</v>
      </c>
      <c r="K203" s="18">
        <f t="shared" si="53"/>
        <v>1.4804531094887174E-4</v>
      </c>
      <c r="L203" s="18">
        <f t="shared" si="54"/>
        <v>999999.99999309238</v>
      </c>
      <c r="M203" s="18">
        <f t="shared" si="55"/>
        <v>999999.99999309238</v>
      </c>
      <c r="N203" s="18">
        <f t="shared" si="56"/>
        <v>999999.99999309238</v>
      </c>
      <c r="O203" s="16"/>
      <c r="P203" s="18">
        <f t="shared" si="51"/>
        <v>51.146449545936768</v>
      </c>
      <c r="Q203" s="18">
        <f t="shared" si="61"/>
        <v>839.29486829665836</v>
      </c>
      <c r="R203" s="18">
        <f t="shared" si="62"/>
        <v>0</v>
      </c>
      <c r="S203" s="18">
        <f t="shared" si="63"/>
        <v>0</v>
      </c>
      <c r="T203" s="18">
        <f t="shared" si="64"/>
        <v>0</v>
      </c>
      <c r="U203" s="16"/>
      <c r="V203" s="18">
        <f t="shared" si="57"/>
        <v>890.44131784259514</v>
      </c>
      <c r="W203" s="16"/>
      <c r="X203" s="18">
        <f t="shared" si="58"/>
        <v>308.30731910476777</v>
      </c>
      <c r="Y203" s="18">
        <f t="shared" si="59"/>
        <v>17.55868215740486</v>
      </c>
      <c r="Z203" s="18"/>
      <c r="AA203" s="18">
        <f t="shared" si="60"/>
        <v>4.3368341060371713E-5</v>
      </c>
    </row>
    <row r="204" spans="2:27" x14ac:dyDescent="0.35">
      <c r="B204" s="26">
        <v>47.1</v>
      </c>
      <c r="C204" s="26">
        <v>941</v>
      </c>
      <c r="D204" s="18">
        <f t="shared" si="50"/>
        <v>-3.5517420603210259</v>
      </c>
      <c r="E204" s="18">
        <f t="shared" si="50"/>
        <v>-8.8159797513841003</v>
      </c>
      <c r="F204" s="18">
        <f t="shared" si="50"/>
        <v>1000013.8155105581</v>
      </c>
      <c r="G204" s="18">
        <f t="shared" si="50"/>
        <v>1000013.8155105581</v>
      </c>
      <c r="H204" s="18">
        <f t="shared" si="50"/>
        <v>1000013.8155105581</v>
      </c>
      <c r="I204" s="16"/>
      <c r="J204" s="18">
        <f t="shared" si="52"/>
        <v>2.7886066409982924E-2</v>
      </c>
      <c r="K204" s="18">
        <f t="shared" si="53"/>
        <v>1.4832154004756857E-4</v>
      </c>
      <c r="L204" s="18">
        <f t="shared" si="54"/>
        <v>999999.99999309238</v>
      </c>
      <c r="M204" s="18">
        <f t="shared" si="55"/>
        <v>999999.99999309238</v>
      </c>
      <c r="N204" s="18">
        <f t="shared" si="56"/>
        <v>999999.99999309238</v>
      </c>
      <c r="O204" s="16"/>
      <c r="P204" s="18">
        <f t="shared" si="51"/>
        <v>50.421568056803544</v>
      </c>
      <c r="Q204" s="18">
        <f t="shared" si="61"/>
        <v>837.73156210171646</v>
      </c>
      <c r="R204" s="18">
        <f t="shared" si="62"/>
        <v>0</v>
      </c>
      <c r="S204" s="18">
        <f t="shared" si="63"/>
        <v>0</v>
      </c>
      <c r="T204" s="18">
        <f t="shared" si="64"/>
        <v>0</v>
      </c>
      <c r="U204" s="16"/>
      <c r="V204" s="18">
        <f t="shared" si="57"/>
        <v>888.15313015851996</v>
      </c>
      <c r="W204" s="16"/>
      <c r="X204" s="18">
        <f t="shared" si="58"/>
        <v>2792.7916520423328</v>
      </c>
      <c r="Y204" s="18">
        <f t="shared" si="59"/>
        <v>52.846869841480043</v>
      </c>
      <c r="Z204" s="18"/>
      <c r="AA204" s="18">
        <f t="shared" si="60"/>
        <v>1.3052694129962622E-4</v>
      </c>
    </row>
    <row r="205" spans="2:27" x14ac:dyDescent="0.35">
      <c r="B205" s="26">
        <v>47.4</v>
      </c>
      <c r="C205" s="26">
        <v>928</v>
      </c>
      <c r="D205" s="18">
        <f t="shared" si="50"/>
        <v>-3.5374576314981834</v>
      </c>
      <c r="E205" s="18">
        <f t="shared" si="50"/>
        <v>-8.8141153720830392</v>
      </c>
      <c r="F205" s="18">
        <f t="shared" si="50"/>
        <v>1000013.8155105581</v>
      </c>
      <c r="G205" s="18">
        <f t="shared" si="50"/>
        <v>1000013.8155105581</v>
      </c>
      <c r="H205" s="18">
        <f t="shared" si="50"/>
        <v>1000013.8155105581</v>
      </c>
      <c r="I205" s="16"/>
      <c r="J205" s="18">
        <f t="shared" si="52"/>
        <v>2.8276227115435312E-2</v>
      </c>
      <c r="K205" s="18">
        <f t="shared" si="53"/>
        <v>1.485982844694303E-4</v>
      </c>
      <c r="L205" s="18">
        <f t="shared" si="54"/>
        <v>999999.99999309238</v>
      </c>
      <c r="M205" s="18">
        <f t="shared" si="55"/>
        <v>999999.99999309238</v>
      </c>
      <c r="N205" s="18">
        <f t="shared" si="56"/>
        <v>999999.99999309238</v>
      </c>
      <c r="O205" s="16"/>
      <c r="P205" s="18">
        <f t="shared" si="51"/>
        <v>49.706974201698564</v>
      </c>
      <c r="Q205" s="18">
        <f t="shared" si="61"/>
        <v>836.17116778728314</v>
      </c>
      <c r="R205" s="18">
        <f t="shared" si="62"/>
        <v>0</v>
      </c>
      <c r="S205" s="18">
        <f t="shared" si="63"/>
        <v>0</v>
      </c>
      <c r="T205" s="18">
        <f t="shared" si="64"/>
        <v>0</v>
      </c>
      <c r="U205" s="16"/>
      <c r="V205" s="18">
        <f t="shared" si="57"/>
        <v>885.87814198898172</v>
      </c>
      <c r="W205" s="16"/>
      <c r="X205" s="18">
        <f t="shared" si="58"/>
        <v>1774.2509223003844</v>
      </c>
      <c r="Y205" s="18">
        <f t="shared" si="59"/>
        <v>42.121858011018276</v>
      </c>
      <c r="Z205" s="18"/>
      <c r="AA205" s="18">
        <f t="shared" si="60"/>
        <v>1.0403714173663144E-4</v>
      </c>
    </row>
    <row r="206" spans="2:27" x14ac:dyDescent="0.35">
      <c r="B206" s="26">
        <v>47.699999999999996</v>
      </c>
      <c r="C206" s="26">
        <v>832</v>
      </c>
      <c r="D206" s="18">
        <f t="shared" si="50"/>
        <v>-3.5231732026753413</v>
      </c>
      <c r="E206" s="18">
        <f t="shared" si="50"/>
        <v>-8.8122509927819781</v>
      </c>
      <c r="F206" s="18">
        <f t="shared" si="50"/>
        <v>1000013.8155105581</v>
      </c>
      <c r="G206" s="18">
        <f t="shared" si="50"/>
        <v>1000013.8155105581</v>
      </c>
      <c r="H206" s="18">
        <f t="shared" si="50"/>
        <v>1000013.8155105581</v>
      </c>
      <c r="I206" s="16"/>
      <c r="J206" s="18">
        <f t="shared" si="52"/>
        <v>2.8671694501824541E-2</v>
      </c>
      <c r="K206" s="18">
        <f t="shared" si="53"/>
        <v>1.4887554517553978E-4</v>
      </c>
      <c r="L206" s="18">
        <f t="shared" si="54"/>
        <v>999999.99999309238</v>
      </c>
      <c r="M206" s="18">
        <f t="shared" si="55"/>
        <v>999999.99999309238</v>
      </c>
      <c r="N206" s="18">
        <f t="shared" si="56"/>
        <v>999999.99999309238</v>
      </c>
      <c r="O206" s="16"/>
      <c r="P206" s="18">
        <f t="shared" si="51"/>
        <v>49.002522147709946</v>
      </c>
      <c r="Q206" s="18">
        <f t="shared" si="61"/>
        <v>834.61367992956446</v>
      </c>
      <c r="R206" s="18">
        <f t="shared" si="62"/>
        <v>0</v>
      </c>
      <c r="S206" s="18">
        <f t="shared" si="63"/>
        <v>0</v>
      </c>
      <c r="T206" s="18">
        <f t="shared" si="64"/>
        <v>0</v>
      </c>
      <c r="U206" s="16"/>
      <c r="V206" s="18">
        <f t="shared" si="57"/>
        <v>883.61620207727435</v>
      </c>
      <c r="W206" s="16"/>
      <c r="X206" s="18">
        <f t="shared" si="58"/>
        <v>2664.2323168820212</v>
      </c>
      <c r="Y206" s="18">
        <f t="shared" si="59"/>
        <v>51.616202077274352</v>
      </c>
      <c r="Z206" s="18"/>
      <c r="AA206" s="18">
        <f t="shared" si="60"/>
        <v>1.2748730433532424E-4</v>
      </c>
    </row>
    <row r="207" spans="2:27" x14ac:dyDescent="0.35">
      <c r="B207" s="26">
        <v>48.000000000000007</v>
      </c>
      <c r="C207" s="26">
        <v>897</v>
      </c>
      <c r="D207" s="18">
        <f t="shared" si="50"/>
        <v>-3.5088887738524983</v>
      </c>
      <c r="E207" s="18">
        <f t="shared" si="50"/>
        <v>-8.8103866134809152</v>
      </c>
      <c r="F207" s="18">
        <f t="shared" si="50"/>
        <v>1000013.8155105581</v>
      </c>
      <c r="G207" s="18">
        <f t="shared" si="50"/>
        <v>1000013.8155105581</v>
      </c>
      <c r="H207" s="18">
        <f t="shared" si="50"/>
        <v>1000013.8155105581</v>
      </c>
      <c r="I207" s="16"/>
      <c r="J207" s="18">
        <f t="shared" si="52"/>
        <v>2.9072536583719073E-2</v>
      </c>
      <c r="K207" s="18">
        <f t="shared" si="53"/>
        <v>1.4915332312877118E-4</v>
      </c>
      <c r="L207" s="18">
        <f t="shared" si="54"/>
        <v>999999.99999309238</v>
      </c>
      <c r="M207" s="18">
        <f t="shared" si="55"/>
        <v>999999.99999309238</v>
      </c>
      <c r="N207" s="18">
        <f t="shared" si="56"/>
        <v>999999.99999309238</v>
      </c>
      <c r="O207" s="16"/>
      <c r="P207" s="18">
        <f t="shared" si="51"/>
        <v>48.308068130814817</v>
      </c>
      <c r="Q207" s="18">
        <f t="shared" si="61"/>
        <v>833.0590931148696</v>
      </c>
      <c r="R207" s="18">
        <f t="shared" si="62"/>
        <v>0</v>
      </c>
      <c r="S207" s="18">
        <f t="shared" si="63"/>
        <v>0</v>
      </c>
      <c r="T207" s="18">
        <f t="shared" si="64"/>
        <v>0</v>
      </c>
      <c r="U207" s="16"/>
      <c r="V207" s="18">
        <f t="shared" si="57"/>
        <v>881.36716124568443</v>
      </c>
      <c r="W207" s="16"/>
      <c r="X207" s="18">
        <f t="shared" si="58"/>
        <v>244.38564751843083</v>
      </c>
      <c r="Y207" s="18">
        <f t="shared" si="59"/>
        <v>15.632838754315571</v>
      </c>
      <c r="Z207" s="18"/>
      <c r="AA207" s="18">
        <f t="shared" si="60"/>
        <v>3.8611683767681852E-5</v>
      </c>
    </row>
    <row r="208" spans="2:27" x14ac:dyDescent="0.35">
      <c r="B208" s="26">
        <v>48.199999999999996</v>
      </c>
      <c r="C208" s="26">
        <v>841</v>
      </c>
      <c r="D208" s="18">
        <f t="shared" si="50"/>
        <v>-3.4993658213039374</v>
      </c>
      <c r="E208" s="18">
        <f t="shared" si="50"/>
        <v>-8.8091436939468739</v>
      </c>
      <c r="F208" s="18">
        <f t="shared" si="50"/>
        <v>1000013.8155105581</v>
      </c>
      <c r="G208" s="18">
        <f t="shared" si="50"/>
        <v>1000013.8155105581</v>
      </c>
      <c r="H208" s="18">
        <f t="shared" si="50"/>
        <v>1000013.8155105581</v>
      </c>
      <c r="I208" s="16"/>
      <c r="J208" s="18">
        <f t="shared" si="52"/>
        <v>2.9342784511384678E-2</v>
      </c>
      <c r="K208" s="18">
        <f t="shared" si="53"/>
        <v>1.4933879626674297E-4</v>
      </c>
      <c r="L208" s="18">
        <f t="shared" si="54"/>
        <v>999999.99999309238</v>
      </c>
      <c r="M208" s="18">
        <f t="shared" si="55"/>
        <v>999999.99999309238</v>
      </c>
      <c r="N208" s="18">
        <f t="shared" si="56"/>
        <v>999999.99999309238</v>
      </c>
      <c r="O208" s="16"/>
      <c r="P208" s="18">
        <f t="shared" si="51"/>
        <v>47.850583180816386</v>
      </c>
      <c r="Q208" s="18">
        <f t="shared" si="61"/>
        <v>832.02431092678137</v>
      </c>
      <c r="R208" s="18">
        <f t="shared" si="62"/>
        <v>0</v>
      </c>
      <c r="S208" s="18">
        <f t="shared" si="63"/>
        <v>0</v>
      </c>
      <c r="T208" s="18">
        <f t="shared" si="64"/>
        <v>0</v>
      </c>
      <c r="U208" s="16"/>
      <c r="V208" s="18">
        <f t="shared" si="57"/>
        <v>879.87489410759781</v>
      </c>
      <c r="W208" s="16"/>
      <c r="X208" s="18">
        <f t="shared" si="58"/>
        <v>1511.2573918769431</v>
      </c>
      <c r="Y208" s="18">
        <f t="shared" si="59"/>
        <v>38.874894107597811</v>
      </c>
      <c r="Z208" s="18"/>
      <c r="AA208" s="18">
        <f t="shared" si="60"/>
        <v>9.6017437483663363E-5</v>
      </c>
    </row>
    <row r="209" spans="2:27" x14ac:dyDescent="0.35">
      <c r="B209" s="26">
        <v>48.500000000000007</v>
      </c>
      <c r="C209" s="26">
        <v>928</v>
      </c>
      <c r="D209" s="18">
        <f t="shared" si="50"/>
        <v>-3.4850813924810948</v>
      </c>
      <c r="E209" s="18">
        <f t="shared" si="50"/>
        <v>-8.8072793146458128</v>
      </c>
      <c r="F209" s="18">
        <f t="shared" si="50"/>
        <v>1000013.8155105581</v>
      </c>
      <c r="G209" s="18">
        <f t="shared" si="50"/>
        <v>1000013.8155105581</v>
      </c>
      <c r="H209" s="18">
        <f t="shared" si="50"/>
        <v>1000013.8155105581</v>
      </c>
      <c r="I209" s="16"/>
      <c r="J209" s="18">
        <f t="shared" si="52"/>
        <v>2.9752737628168806E-2</v>
      </c>
      <c r="K209" s="18">
        <f t="shared" si="53"/>
        <v>1.4961743844310604E-4</v>
      </c>
      <c r="L209" s="18">
        <f t="shared" si="54"/>
        <v>999999.99999309238</v>
      </c>
      <c r="M209" s="18">
        <f t="shared" si="55"/>
        <v>999999.99999309238</v>
      </c>
      <c r="N209" s="18">
        <f t="shared" si="56"/>
        <v>999999.99999309238</v>
      </c>
      <c r="O209" s="16"/>
      <c r="P209" s="18">
        <f t="shared" si="51"/>
        <v>47.172478609859937</v>
      </c>
      <c r="Q209" s="18">
        <f t="shared" si="61"/>
        <v>830.47454718075471</v>
      </c>
      <c r="R209" s="18">
        <f t="shared" si="62"/>
        <v>0</v>
      </c>
      <c r="S209" s="18">
        <f t="shared" si="63"/>
        <v>0</v>
      </c>
      <c r="T209" s="18">
        <f t="shared" si="64"/>
        <v>0</v>
      </c>
      <c r="U209" s="16"/>
      <c r="V209" s="18">
        <f t="shared" si="57"/>
        <v>877.64702579061463</v>
      </c>
      <c r="W209" s="16"/>
      <c r="X209" s="18">
        <f t="shared" si="58"/>
        <v>2535.4220117310279</v>
      </c>
      <c r="Y209" s="18">
        <f t="shared" si="59"/>
        <v>50.352974209385366</v>
      </c>
      <c r="Z209" s="18"/>
      <c r="AA209" s="18">
        <f t="shared" si="60"/>
        <v>1.2436724688907265E-4</v>
      </c>
    </row>
    <row r="210" spans="2:27" x14ac:dyDescent="0.35">
      <c r="B210" s="26">
        <v>48.800000000000004</v>
      </c>
      <c r="C210" s="26">
        <v>834</v>
      </c>
      <c r="D210" s="18">
        <f t="shared" si="50"/>
        <v>-3.4707969636582523</v>
      </c>
      <c r="E210" s="18">
        <f t="shared" si="50"/>
        <v>-8.8054149353447517</v>
      </c>
      <c r="F210" s="18">
        <f t="shared" si="50"/>
        <v>1000013.8155105581</v>
      </c>
      <c r="G210" s="18">
        <f t="shared" si="50"/>
        <v>1000013.8155105581</v>
      </c>
      <c r="H210" s="18">
        <f t="shared" si="50"/>
        <v>1000013.8155105581</v>
      </c>
      <c r="I210" s="16"/>
      <c r="J210" s="18">
        <f t="shared" si="52"/>
        <v>3.0168250541054476E-2</v>
      </c>
      <c r="K210" s="18">
        <f t="shared" si="53"/>
        <v>1.4989660044303761E-4</v>
      </c>
      <c r="L210" s="18">
        <f t="shared" si="54"/>
        <v>999999.99999309238</v>
      </c>
      <c r="M210" s="18">
        <f t="shared" si="55"/>
        <v>999999.99999309238</v>
      </c>
      <c r="N210" s="18">
        <f t="shared" si="56"/>
        <v>999999.99999309238</v>
      </c>
      <c r="O210" s="16"/>
      <c r="P210" s="18">
        <f t="shared" si="51"/>
        <v>46.503998597973386</v>
      </c>
      <c r="Q210" s="18">
        <f t="shared" si="61"/>
        <v>828.92767009049601</v>
      </c>
      <c r="R210" s="18">
        <f t="shared" si="62"/>
        <v>0</v>
      </c>
      <c r="S210" s="18">
        <f t="shared" si="63"/>
        <v>0</v>
      </c>
      <c r="T210" s="18">
        <f t="shared" si="64"/>
        <v>0</v>
      </c>
      <c r="U210" s="16"/>
      <c r="V210" s="18">
        <f t="shared" si="57"/>
        <v>875.43166868846936</v>
      </c>
      <c r="W210" s="16"/>
      <c r="X210" s="18">
        <f t="shared" si="58"/>
        <v>1716.5831703110923</v>
      </c>
      <c r="Y210" s="18">
        <f t="shared" si="59"/>
        <v>41.431668688469358</v>
      </c>
      <c r="Z210" s="18"/>
      <c r="AA210" s="18">
        <f t="shared" si="60"/>
        <v>1.0233243715412351E-4</v>
      </c>
    </row>
    <row r="211" spans="2:27" x14ac:dyDescent="0.35">
      <c r="B211" s="26">
        <v>49.1</v>
      </c>
      <c r="C211" s="26">
        <v>863</v>
      </c>
      <c r="D211" s="18">
        <f t="shared" si="50"/>
        <v>-3.4565125348354102</v>
      </c>
      <c r="E211" s="18">
        <f t="shared" si="50"/>
        <v>-8.8035505560436889</v>
      </c>
      <c r="F211" s="18">
        <f t="shared" si="50"/>
        <v>1000013.8155105581</v>
      </c>
      <c r="G211" s="18">
        <f t="shared" si="50"/>
        <v>1000013.8155105581</v>
      </c>
      <c r="H211" s="18">
        <f t="shared" si="50"/>
        <v>1000013.8155105581</v>
      </c>
      <c r="I211" s="16"/>
      <c r="J211" s="18">
        <f t="shared" si="52"/>
        <v>3.0589394076450456E-2</v>
      </c>
      <c r="K211" s="18">
        <f t="shared" si="53"/>
        <v>1.5017628323600889E-4</v>
      </c>
      <c r="L211" s="18">
        <f t="shared" si="54"/>
        <v>999999.99999309238</v>
      </c>
      <c r="M211" s="18">
        <f t="shared" si="55"/>
        <v>999999.99999309238</v>
      </c>
      <c r="N211" s="18">
        <f t="shared" si="56"/>
        <v>999999.99999309238</v>
      </c>
      <c r="O211" s="16"/>
      <c r="P211" s="18">
        <f t="shared" si="51"/>
        <v>45.845006719126808</v>
      </c>
      <c r="Q211" s="18">
        <f t="shared" si="61"/>
        <v>827.38367427919559</v>
      </c>
      <c r="R211" s="18">
        <f t="shared" si="62"/>
        <v>0</v>
      </c>
      <c r="S211" s="18">
        <f t="shared" si="63"/>
        <v>0</v>
      </c>
      <c r="T211" s="18">
        <f t="shared" si="64"/>
        <v>0</v>
      </c>
      <c r="U211" s="16"/>
      <c r="V211" s="18">
        <f t="shared" si="57"/>
        <v>873.22868099832237</v>
      </c>
      <c r="W211" s="16"/>
      <c r="X211" s="18">
        <f t="shared" si="58"/>
        <v>104.62591496544121</v>
      </c>
      <c r="Y211" s="18">
        <f t="shared" si="59"/>
        <v>10.228680998322375</v>
      </c>
      <c r="Z211" s="18"/>
      <c r="AA211" s="18">
        <f t="shared" si="60"/>
        <v>2.5263907744119193E-5</v>
      </c>
    </row>
    <row r="212" spans="2:27" x14ac:dyDescent="0.35">
      <c r="B212" s="26">
        <v>49.4</v>
      </c>
      <c r="C212" s="26">
        <v>860</v>
      </c>
      <c r="D212" s="18">
        <f t="shared" si="50"/>
        <v>-3.4422281060125681</v>
      </c>
      <c r="E212" s="18">
        <f t="shared" si="50"/>
        <v>-8.8016861767426278</v>
      </c>
      <c r="F212" s="18">
        <f t="shared" si="50"/>
        <v>1000013.8155105581</v>
      </c>
      <c r="G212" s="18">
        <f t="shared" si="50"/>
        <v>1000013.8155105581</v>
      </c>
      <c r="H212" s="18">
        <f t="shared" si="50"/>
        <v>1000013.8155105581</v>
      </c>
      <c r="I212" s="16"/>
      <c r="J212" s="18">
        <f t="shared" si="52"/>
        <v>3.1016239840233426E-2</v>
      </c>
      <c r="K212" s="18">
        <f t="shared" si="53"/>
        <v>1.50456487793297E-4</v>
      </c>
      <c r="L212" s="18">
        <f t="shared" si="54"/>
        <v>999999.99999309238</v>
      </c>
      <c r="M212" s="18">
        <f t="shared" si="55"/>
        <v>999999.99999309238</v>
      </c>
      <c r="N212" s="18">
        <f t="shared" si="56"/>
        <v>999999.99999309238</v>
      </c>
      <c r="O212" s="16"/>
      <c r="P212" s="18">
        <f t="shared" si="51"/>
        <v>45.195368482741443</v>
      </c>
      <c r="Q212" s="18">
        <f t="shared" si="61"/>
        <v>825.8425543800646</v>
      </c>
      <c r="R212" s="18">
        <f t="shared" si="62"/>
        <v>0</v>
      </c>
      <c r="S212" s="18">
        <f t="shared" si="63"/>
        <v>0</v>
      </c>
      <c r="T212" s="18">
        <f t="shared" si="64"/>
        <v>0</v>
      </c>
      <c r="U212" s="16"/>
      <c r="V212" s="18">
        <f t="shared" si="57"/>
        <v>871.037922862806</v>
      </c>
      <c r="W212" s="16"/>
      <c r="X212" s="18">
        <f t="shared" si="58"/>
        <v>121.83574112525538</v>
      </c>
      <c r="Y212" s="18">
        <f t="shared" si="59"/>
        <v>11.037922862805999</v>
      </c>
      <c r="Z212" s="18"/>
      <c r="AA212" s="18">
        <f t="shared" si="60"/>
        <v>2.7262661230550773E-5</v>
      </c>
    </row>
    <row r="213" spans="2:27" x14ac:dyDescent="0.35">
      <c r="B213" s="26">
        <v>49.699999999999996</v>
      </c>
      <c r="C213" s="26">
        <v>879</v>
      </c>
      <c r="D213" s="18">
        <f t="shared" si="50"/>
        <v>-3.427943677189726</v>
      </c>
      <c r="E213" s="18">
        <f t="shared" si="50"/>
        <v>-8.7998217974415667</v>
      </c>
      <c r="F213" s="18">
        <f t="shared" si="50"/>
        <v>1000013.8155105581</v>
      </c>
      <c r="G213" s="18">
        <f t="shared" si="50"/>
        <v>1000013.8155105581</v>
      </c>
      <c r="H213" s="18">
        <f t="shared" si="50"/>
        <v>1000013.8155105581</v>
      </c>
      <c r="I213" s="16"/>
      <c r="J213" s="18">
        <f t="shared" si="52"/>
        <v>3.1448860223054216E-2</v>
      </c>
      <c r="K213" s="18">
        <f t="shared" si="53"/>
        <v>1.5073721508799049E-4</v>
      </c>
      <c r="L213" s="18">
        <f t="shared" si="54"/>
        <v>999999.99999309238</v>
      </c>
      <c r="M213" s="18">
        <f t="shared" si="55"/>
        <v>999999.99999309238</v>
      </c>
      <c r="N213" s="18">
        <f t="shared" si="56"/>
        <v>999999.99999309238</v>
      </c>
      <c r="O213" s="16"/>
      <c r="P213" s="18">
        <f t="shared" si="51"/>
        <v>44.554951306233981</v>
      </c>
      <c r="Q213" s="18">
        <f t="shared" si="61"/>
        <v>824.3043050363051</v>
      </c>
      <c r="R213" s="18">
        <f t="shared" si="62"/>
        <v>0</v>
      </c>
      <c r="S213" s="18">
        <f t="shared" si="63"/>
        <v>0</v>
      </c>
      <c r="T213" s="18">
        <f t="shared" si="64"/>
        <v>0</v>
      </c>
      <c r="U213" s="16"/>
      <c r="V213" s="18">
        <f t="shared" si="57"/>
        <v>868.85925634253908</v>
      </c>
      <c r="W213" s="16"/>
      <c r="X213" s="18">
        <f t="shared" si="58"/>
        <v>102.8346819263338</v>
      </c>
      <c r="Y213" s="18">
        <f t="shared" si="59"/>
        <v>10.140743657460916</v>
      </c>
      <c r="Z213" s="18"/>
      <c r="AA213" s="18">
        <f t="shared" si="60"/>
        <v>2.5046710544680535E-5</v>
      </c>
    </row>
    <row r="214" spans="2:27" x14ac:dyDescent="0.35">
      <c r="B214" s="26">
        <v>50.000000000000007</v>
      </c>
      <c r="C214" s="26">
        <v>897</v>
      </c>
      <c r="D214" s="18">
        <f t="shared" si="50"/>
        <v>-3.4136592483668831</v>
      </c>
      <c r="E214" s="18">
        <f t="shared" si="50"/>
        <v>-8.7979574181405038</v>
      </c>
      <c r="F214" s="18">
        <f t="shared" si="50"/>
        <v>1000013.8155105581</v>
      </c>
      <c r="G214" s="18">
        <f t="shared" si="50"/>
        <v>1000013.8155105581</v>
      </c>
      <c r="H214" s="18">
        <f t="shared" si="50"/>
        <v>1000013.8155105581</v>
      </c>
      <c r="I214" s="16"/>
      <c r="J214" s="18">
        <f t="shared" si="52"/>
        <v>3.1887328405588777E-2</v>
      </c>
      <c r="K214" s="18">
        <f t="shared" si="53"/>
        <v>1.5101846609499138E-4</v>
      </c>
      <c r="L214" s="18">
        <f t="shared" si="54"/>
        <v>999999.99999309238</v>
      </c>
      <c r="M214" s="18">
        <f t="shared" si="55"/>
        <v>999999.99999309238</v>
      </c>
      <c r="N214" s="18">
        <f t="shared" si="56"/>
        <v>999999.99999309238</v>
      </c>
      <c r="O214" s="16"/>
      <c r="P214" s="18">
        <f t="shared" si="51"/>
        <v>43.923624487949937</v>
      </c>
      <c r="Q214" s="18">
        <f t="shared" si="61"/>
        <v>822.768920901098</v>
      </c>
      <c r="R214" s="18">
        <f t="shared" si="62"/>
        <v>0</v>
      </c>
      <c r="S214" s="18">
        <f t="shared" si="63"/>
        <v>0</v>
      </c>
      <c r="T214" s="18">
        <f t="shared" si="64"/>
        <v>0</v>
      </c>
      <c r="U214" s="16"/>
      <c r="V214" s="18">
        <f t="shared" si="57"/>
        <v>866.69254538904795</v>
      </c>
      <c r="W214" s="16"/>
      <c r="X214" s="18">
        <f t="shared" si="58"/>
        <v>918.54180499491861</v>
      </c>
      <c r="Y214" s="18">
        <f t="shared" si="59"/>
        <v>30.30745461095205</v>
      </c>
      <c r="Z214" s="18"/>
      <c r="AA214" s="18">
        <f t="shared" si="60"/>
        <v>7.4856644505362304E-5</v>
      </c>
    </row>
    <row r="215" spans="2:27" x14ac:dyDescent="0.35">
      <c r="B215" s="26">
        <v>50.199999999999996</v>
      </c>
      <c r="C215" s="26">
        <v>844</v>
      </c>
      <c r="D215" s="18">
        <f t="shared" si="50"/>
        <v>-3.4041362958183221</v>
      </c>
      <c r="E215" s="18">
        <f t="shared" si="50"/>
        <v>-8.7967144986064625</v>
      </c>
      <c r="F215" s="18">
        <f t="shared" si="50"/>
        <v>1000013.8155105581</v>
      </c>
      <c r="G215" s="18">
        <f t="shared" si="50"/>
        <v>1000013.8155105581</v>
      </c>
      <c r="H215" s="18">
        <f t="shared" ref="E215:H230" si="65">G$23/(G$21*$A$21)-LN((G$21*$A$21)/G$23)+$B215*G$22</f>
        <v>1000013.8155105581</v>
      </c>
      <c r="I215" s="16"/>
      <c r="J215" s="18">
        <f t="shared" si="52"/>
        <v>3.2182925803322354E-2</v>
      </c>
      <c r="K215" s="18">
        <f t="shared" si="53"/>
        <v>1.5120625819986243E-4</v>
      </c>
      <c r="L215" s="18">
        <f t="shared" si="54"/>
        <v>999999.99999309238</v>
      </c>
      <c r="M215" s="18">
        <f t="shared" si="55"/>
        <v>999999.99999309238</v>
      </c>
      <c r="N215" s="18">
        <f t="shared" si="56"/>
        <v>999999.99999309238</v>
      </c>
      <c r="O215" s="16"/>
      <c r="P215" s="18">
        <f t="shared" si="51"/>
        <v>43.507726437580295</v>
      </c>
      <c r="Q215" s="18">
        <f t="shared" si="61"/>
        <v>821.74692062426175</v>
      </c>
      <c r="R215" s="18">
        <f t="shared" si="62"/>
        <v>0</v>
      </c>
      <c r="S215" s="18">
        <f t="shared" si="63"/>
        <v>0</v>
      </c>
      <c r="T215" s="18">
        <f t="shared" si="64"/>
        <v>0</v>
      </c>
      <c r="U215" s="16"/>
      <c r="V215" s="18">
        <f t="shared" si="57"/>
        <v>865.25464706184209</v>
      </c>
      <c r="W215" s="16"/>
      <c r="X215" s="18">
        <f t="shared" si="58"/>
        <v>451.76002172347268</v>
      </c>
      <c r="Y215" s="18">
        <f t="shared" si="59"/>
        <v>21.254647061842093</v>
      </c>
      <c r="Z215" s="18"/>
      <c r="AA215" s="18">
        <f t="shared" si="60"/>
        <v>5.2497036772606657E-5</v>
      </c>
    </row>
    <row r="216" spans="2:27" x14ac:dyDescent="0.35">
      <c r="B216" s="26">
        <v>50.500000000000007</v>
      </c>
      <c r="C216" s="26">
        <v>838</v>
      </c>
      <c r="D216" s="18">
        <f t="shared" si="50"/>
        <v>-3.3898518669954791</v>
      </c>
      <c r="E216" s="18">
        <f t="shared" si="65"/>
        <v>-8.7948501193054014</v>
      </c>
      <c r="F216" s="18">
        <f t="shared" si="65"/>
        <v>1000013.8155105581</v>
      </c>
      <c r="G216" s="18">
        <f t="shared" si="65"/>
        <v>1000013.8155105581</v>
      </c>
      <c r="H216" s="18">
        <f t="shared" si="65"/>
        <v>1000013.8155105581</v>
      </c>
      <c r="I216" s="16"/>
      <c r="J216" s="18">
        <f t="shared" si="52"/>
        <v>3.263130510461202E-2</v>
      </c>
      <c r="K216" s="18">
        <f t="shared" si="53"/>
        <v>1.5148838423209365E-4</v>
      </c>
      <c r="L216" s="18">
        <f t="shared" si="54"/>
        <v>999999.99999309238</v>
      </c>
      <c r="M216" s="18">
        <f t="shared" si="55"/>
        <v>999999.99999309238</v>
      </c>
      <c r="N216" s="18">
        <f t="shared" si="56"/>
        <v>999999.99999309238</v>
      </c>
      <c r="O216" s="16"/>
      <c r="P216" s="18">
        <f t="shared" si="51"/>
        <v>42.891264792518683</v>
      </c>
      <c r="Q216" s="18">
        <f t="shared" si="61"/>
        <v>820.21629998186904</v>
      </c>
      <c r="R216" s="18">
        <f t="shared" si="62"/>
        <v>0</v>
      </c>
      <c r="S216" s="18">
        <f t="shared" si="63"/>
        <v>0</v>
      </c>
      <c r="T216" s="18">
        <f t="shared" si="64"/>
        <v>0</v>
      </c>
      <c r="U216" s="16"/>
      <c r="V216" s="18">
        <f t="shared" si="57"/>
        <v>863.1075647743877</v>
      </c>
      <c r="W216" s="16"/>
      <c r="X216" s="18">
        <f t="shared" si="58"/>
        <v>630.38980890007394</v>
      </c>
      <c r="Y216" s="18">
        <f t="shared" si="59"/>
        <v>25.107564774387697</v>
      </c>
      <c r="Z216" s="18"/>
      <c r="AA216" s="18">
        <f t="shared" si="60"/>
        <v>6.2013391584277866E-5</v>
      </c>
    </row>
    <row r="217" spans="2:27" x14ac:dyDescent="0.35">
      <c r="B217" s="26">
        <v>50.800000000000004</v>
      </c>
      <c r="C217" s="26">
        <v>904</v>
      </c>
      <c r="D217" s="18">
        <f t="shared" si="50"/>
        <v>-3.375567438172637</v>
      </c>
      <c r="E217" s="18">
        <f t="shared" si="65"/>
        <v>-8.7929857400043403</v>
      </c>
      <c r="F217" s="18">
        <f t="shared" si="65"/>
        <v>1000013.8155105581</v>
      </c>
      <c r="G217" s="18">
        <f t="shared" si="65"/>
        <v>1000013.8155105581</v>
      </c>
      <c r="H217" s="18">
        <f t="shared" si="65"/>
        <v>1000013.8155105581</v>
      </c>
      <c r="I217" s="16"/>
      <c r="J217" s="18">
        <f t="shared" si="52"/>
        <v>3.3085731255720702E-2</v>
      </c>
      <c r="K217" s="18">
        <f t="shared" si="53"/>
        <v>1.5177103658526298E-4</v>
      </c>
      <c r="L217" s="18">
        <f t="shared" si="54"/>
        <v>999999.99999309238</v>
      </c>
      <c r="M217" s="18">
        <f t="shared" si="55"/>
        <v>999999.99999309238</v>
      </c>
      <c r="N217" s="18">
        <f t="shared" si="56"/>
        <v>999999.99999309238</v>
      </c>
      <c r="O217" s="16"/>
      <c r="P217" s="18">
        <f t="shared" si="51"/>
        <v>42.283553961860584</v>
      </c>
      <c r="Q217" s="18">
        <f t="shared" si="61"/>
        <v>818.68853033848757</v>
      </c>
      <c r="R217" s="18">
        <f t="shared" si="62"/>
        <v>0</v>
      </c>
      <c r="S217" s="18">
        <f t="shared" si="63"/>
        <v>0</v>
      </c>
      <c r="T217" s="18">
        <f t="shared" si="64"/>
        <v>0</v>
      </c>
      <c r="U217" s="16"/>
      <c r="V217" s="18">
        <f t="shared" si="57"/>
        <v>860.97208430034811</v>
      </c>
      <c r="W217" s="16"/>
      <c r="X217" s="18">
        <f t="shared" si="58"/>
        <v>1851.4015294563492</v>
      </c>
      <c r="Y217" s="18">
        <f t="shared" si="59"/>
        <v>43.027915699651885</v>
      </c>
      <c r="Z217" s="18"/>
      <c r="AA217" s="18">
        <f t="shared" si="60"/>
        <v>1.0627502146523415E-4</v>
      </c>
    </row>
    <row r="218" spans="2:27" x14ac:dyDescent="0.35">
      <c r="B218" s="26">
        <v>51.1</v>
      </c>
      <c r="C218" s="26">
        <v>844</v>
      </c>
      <c r="D218" s="18">
        <f t="shared" si="50"/>
        <v>-3.361283009349795</v>
      </c>
      <c r="E218" s="18">
        <f t="shared" si="65"/>
        <v>-8.7911213607032774</v>
      </c>
      <c r="F218" s="18">
        <f t="shared" si="65"/>
        <v>1000013.8155105581</v>
      </c>
      <c r="G218" s="18">
        <f t="shared" si="65"/>
        <v>1000013.8155105581</v>
      </c>
      <c r="H218" s="18">
        <f t="shared" si="65"/>
        <v>1000013.8155105581</v>
      </c>
      <c r="I218" s="16"/>
      <c r="J218" s="18">
        <f t="shared" si="52"/>
        <v>3.3546280378027524E-2</v>
      </c>
      <c r="K218" s="18">
        <f t="shared" si="53"/>
        <v>1.5205421624095176E-4</v>
      </c>
      <c r="L218" s="18">
        <f t="shared" si="54"/>
        <v>999999.99999309238</v>
      </c>
      <c r="M218" s="18">
        <f t="shared" si="55"/>
        <v>999999.99999309238</v>
      </c>
      <c r="N218" s="18">
        <f t="shared" si="56"/>
        <v>999999.99999309238</v>
      </c>
      <c r="O218" s="16"/>
      <c r="P218" s="18">
        <f t="shared" si="51"/>
        <v>41.684469915260934</v>
      </c>
      <c r="Q218" s="18">
        <f t="shared" si="61"/>
        <v>817.16360638372419</v>
      </c>
      <c r="R218" s="18">
        <f t="shared" si="62"/>
        <v>0</v>
      </c>
      <c r="S218" s="18">
        <f t="shared" si="63"/>
        <v>0</v>
      </c>
      <c r="T218" s="18">
        <f t="shared" si="64"/>
        <v>0</v>
      </c>
      <c r="U218" s="16"/>
      <c r="V218" s="18">
        <f t="shared" si="57"/>
        <v>858.84807629898512</v>
      </c>
      <c r="W218" s="16"/>
      <c r="X218" s="18">
        <f t="shared" si="58"/>
        <v>220.46536978048366</v>
      </c>
      <c r="Y218" s="18">
        <f t="shared" si="59"/>
        <v>14.84807629898512</v>
      </c>
      <c r="Z218" s="18"/>
      <c r="AA218" s="18">
        <f t="shared" si="60"/>
        <v>3.6673392185827968E-5</v>
      </c>
    </row>
    <row r="219" spans="2:27" x14ac:dyDescent="0.35">
      <c r="B219" s="26">
        <v>51.4</v>
      </c>
      <c r="C219" s="26">
        <v>880</v>
      </c>
      <c r="D219" s="18">
        <f t="shared" si="50"/>
        <v>-3.3469985805269529</v>
      </c>
      <c r="E219" s="18">
        <f t="shared" si="65"/>
        <v>-8.7892569814022163</v>
      </c>
      <c r="F219" s="18">
        <f t="shared" si="65"/>
        <v>1000013.8155105581</v>
      </c>
      <c r="G219" s="18">
        <f t="shared" si="65"/>
        <v>1000013.8155105581</v>
      </c>
      <c r="H219" s="18">
        <f t="shared" si="65"/>
        <v>1000013.8155105581</v>
      </c>
      <c r="I219" s="16"/>
      <c r="J219" s="18">
        <f t="shared" si="52"/>
        <v>3.4013029406614784E-2</v>
      </c>
      <c r="K219" s="18">
        <f t="shared" si="53"/>
        <v>1.5233792418257002E-4</v>
      </c>
      <c r="L219" s="18">
        <f t="shared" si="54"/>
        <v>999999.99999309238</v>
      </c>
      <c r="M219" s="18">
        <f t="shared" si="55"/>
        <v>999999.99999309238</v>
      </c>
      <c r="N219" s="18">
        <f t="shared" si="56"/>
        <v>999999.99999309238</v>
      </c>
      <c r="O219" s="16"/>
      <c r="P219" s="18">
        <f t="shared" si="51"/>
        <v>41.093890381977104</v>
      </c>
      <c r="Q219" s="18">
        <f t="shared" si="61"/>
        <v>815.64152281708175</v>
      </c>
      <c r="R219" s="18">
        <f t="shared" si="62"/>
        <v>0</v>
      </c>
      <c r="S219" s="18">
        <f t="shared" si="63"/>
        <v>0</v>
      </c>
      <c r="T219" s="18">
        <f t="shared" si="64"/>
        <v>0</v>
      </c>
      <c r="U219" s="16"/>
      <c r="V219" s="18">
        <f t="shared" si="57"/>
        <v>856.73541319905883</v>
      </c>
      <c r="W219" s="16"/>
      <c r="X219" s="18">
        <f t="shared" si="58"/>
        <v>541.24099901852628</v>
      </c>
      <c r="Y219" s="18">
        <f t="shared" si="59"/>
        <v>23.264586800941174</v>
      </c>
      <c r="Z219" s="18"/>
      <c r="AA219" s="18">
        <f t="shared" si="60"/>
        <v>5.7461404333601727E-5</v>
      </c>
    </row>
    <row r="220" spans="2:27" x14ac:dyDescent="0.35">
      <c r="B220" s="26">
        <v>51.699999999999996</v>
      </c>
      <c r="C220" s="26">
        <v>866</v>
      </c>
      <c r="D220" s="18">
        <f t="shared" si="50"/>
        <v>-3.3327141517041108</v>
      </c>
      <c r="E220" s="18">
        <f t="shared" si="65"/>
        <v>-8.7873926021011552</v>
      </c>
      <c r="F220" s="18">
        <f t="shared" si="65"/>
        <v>1000013.8155105581</v>
      </c>
      <c r="G220" s="18">
        <f t="shared" si="65"/>
        <v>1000013.8155105581</v>
      </c>
      <c r="H220" s="18">
        <f t="shared" si="65"/>
        <v>1000013.8155105581</v>
      </c>
      <c r="I220" s="16"/>
      <c r="J220" s="18">
        <f t="shared" si="52"/>
        <v>3.4486056095143686E-2</v>
      </c>
      <c r="K220" s="18">
        <f t="shared" si="53"/>
        <v>1.526221613953615E-4</v>
      </c>
      <c r="L220" s="18">
        <f t="shared" si="54"/>
        <v>999999.99999309238</v>
      </c>
      <c r="M220" s="18">
        <f t="shared" si="55"/>
        <v>999999.99999309238</v>
      </c>
      <c r="N220" s="18">
        <f t="shared" si="56"/>
        <v>999999.99999309238</v>
      </c>
      <c r="O220" s="16"/>
      <c r="P220" s="18">
        <f t="shared" si="51"/>
        <v>40.511694825904982</v>
      </c>
      <c r="Q220" s="18">
        <f t="shared" si="61"/>
        <v>814.12227434793147</v>
      </c>
      <c r="R220" s="18">
        <f t="shared" si="62"/>
        <v>0</v>
      </c>
      <c r="S220" s="18">
        <f t="shared" si="63"/>
        <v>0</v>
      </c>
      <c r="T220" s="18">
        <f t="shared" si="64"/>
        <v>0</v>
      </c>
      <c r="U220" s="16"/>
      <c r="V220" s="18">
        <f t="shared" si="57"/>
        <v>854.63396917383648</v>
      </c>
      <c r="W220" s="16"/>
      <c r="X220" s="18">
        <f t="shared" si="58"/>
        <v>129.18665674129946</v>
      </c>
      <c r="Y220" s="18">
        <f t="shared" si="59"/>
        <v>11.366030826163524</v>
      </c>
      <c r="Z220" s="18"/>
      <c r="AA220" s="18">
        <f t="shared" si="60"/>
        <v>2.8073057929571388E-5</v>
      </c>
    </row>
    <row r="221" spans="2:27" x14ac:dyDescent="0.35">
      <c r="B221" s="26">
        <v>52.000000000000007</v>
      </c>
      <c r="C221" s="26">
        <v>858</v>
      </c>
      <c r="D221" s="18">
        <f t="shared" si="50"/>
        <v>-3.3184297228812678</v>
      </c>
      <c r="E221" s="18">
        <f t="shared" si="65"/>
        <v>-8.7855282228000924</v>
      </c>
      <c r="F221" s="18">
        <f t="shared" si="65"/>
        <v>1000013.8155105581</v>
      </c>
      <c r="G221" s="18">
        <f t="shared" si="65"/>
        <v>1000013.8155105581</v>
      </c>
      <c r="H221" s="18">
        <f t="shared" si="65"/>
        <v>1000013.8155105581</v>
      </c>
      <c r="I221" s="16"/>
      <c r="J221" s="18">
        <f t="shared" si="52"/>
        <v>3.4965439020652335E-2</v>
      </c>
      <c r="K221" s="18">
        <f t="shared" si="53"/>
        <v>1.5290692886640633E-4</v>
      </c>
      <c r="L221" s="18">
        <f t="shared" si="54"/>
        <v>999999.99999309238</v>
      </c>
      <c r="M221" s="18">
        <f t="shared" si="55"/>
        <v>999999.99999309238</v>
      </c>
      <c r="N221" s="18">
        <f t="shared" si="56"/>
        <v>999999.99999309238</v>
      </c>
      <c r="O221" s="16"/>
      <c r="P221" s="18">
        <f t="shared" si="51"/>
        <v>39.93776442096874</v>
      </c>
      <c r="Q221" s="18">
        <f t="shared" si="61"/>
        <v>812.6058556954988</v>
      </c>
      <c r="R221" s="18">
        <f t="shared" si="62"/>
        <v>0</v>
      </c>
      <c r="S221" s="18">
        <f t="shared" si="63"/>
        <v>0</v>
      </c>
      <c r="T221" s="18">
        <f t="shared" si="64"/>
        <v>0</v>
      </c>
      <c r="U221" s="16"/>
      <c r="V221" s="18">
        <f t="shared" si="57"/>
        <v>852.54362011646754</v>
      </c>
      <c r="W221" s="16"/>
      <c r="X221" s="18">
        <f t="shared" si="58"/>
        <v>29.772081433417739</v>
      </c>
      <c r="Y221" s="18">
        <f t="shared" si="59"/>
        <v>5.4563798835324633</v>
      </c>
      <c r="Z221" s="18"/>
      <c r="AA221" s="18">
        <f t="shared" si="60"/>
        <v>1.3476759908441854E-5</v>
      </c>
    </row>
    <row r="222" spans="2:27" x14ac:dyDescent="0.35">
      <c r="B222" s="26">
        <v>52.199999999999996</v>
      </c>
      <c r="C222" s="26">
        <v>798</v>
      </c>
      <c r="D222" s="18">
        <f t="shared" si="50"/>
        <v>-3.3089067703327069</v>
      </c>
      <c r="E222" s="18">
        <f t="shared" si="65"/>
        <v>-8.7842853032660511</v>
      </c>
      <c r="F222" s="18">
        <f t="shared" si="65"/>
        <v>1000013.8155105581</v>
      </c>
      <c r="G222" s="18">
        <f t="shared" si="65"/>
        <v>1000013.8155105581</v>
      </c>
      <c r="H222" s="18">
        <f t="shared" si="65"/>
        <v>1000013.8155105581</v>
      </c>
      <c r="I222" s="16"/>
      <c r="J222" s="18">
        <f t="shared" si="52"/>
        <v>3.5288598058616977E-2</v>
      </c>
      <c r="K222" s="18">
        <f t="shared" si="53"/>
        <v>1.5309706892330068E-4</v>
      </c>
      <c r="L222" s="18">
        <f t="shared" si="54"/>
        <v>999999.99999309238</v>
      </c>
      <c r="M222" s="18">
        <f t="shared" si="55"/>
        <v>999999.99999309238</v>
      </c>
      <c r="N222" s="18">
        <f t="shared" si="56"/>
        <v>999999.99999309238</v>
      </c>
      <c r="O222" s="16"/>
      <c r="P222" s="18">
        <f t="shared" si="51"/>
        <v>39.559677985927131</v>
      </c>
      <c r="Q222" s="18">
        <f t="shared" si="61"/>
        <v>811.59647944427479</v>
      </c>
      <c r="R222" s="18">
        <f t="shared" si="62"/>
        <v>0</v>
      </c>
      <c r="S222" s="18">
        <f t="shared" si="63"/>
        <v>0</v>
      </c>
      <c r="T222" s="18">
        <f t="shared" si="64"/>
        <v>0</v>
      </c>
      <c r="U222" s="16"/>
      <c r="V222" s="18">
        <f t="shared" si="57"/>
        <v>851.15615743020192</v>
      </c>
      <c r="W222" s="16"/>
      <c r="X222" s="18">
        <f t="shared" si="58"/>
        <v>2825.5770727444101</v>
      </c>
      <c r="Y222" s="18">
        <f t="shared" si="59"/>
        <v>53.156157430201915</v>
      </c>
      <c r="Z222" s="18"/>
      <c r="AA222" s="18">
        <f t="shared" si="60"/>
        <v>1.3129085339241237E-4</v>
      </c>
    </row>
    <row r="223" spans="2:27" x14ac:dyDescent="0.35">
      <c r="B223" s="26">
        <v>52.500000000000007</v>
      </c>
      <c r="C223" s="26">
        <v>899</v>
      </c>
      <c r="D223" s="18">
        <f t="shared" si="50"/>
        <v>-3.2946223415098639</v>
      </c>
      <c r="E223" s="18">
        <f t="shared" si="65"/>
        <v>-8.78242092396499</v>
      </c>
      <c r="F223" s="18">
        <f t="shared" si="65"/>
        <v>1000013.8155105581</v>
      </c>
      <c r="G223" s="18">
        <f t="shared" si="65"/>
        <v>1000013.8155105581</v>
      </c>
      <c r="H223" s="18">
        <f t="shared" si="65"/>
        <v>1000013.8155105581</v>
      </c>
      <c r="I223" s="16"/>
      <c r="J223" s="18">
        <f t="shared" si="52"/>
        <v>3.5778751579307592E-2</v>
      </c>
      <c r="K223" s="18">
        <f t="shared" si="53"/>
        <v>1.5338272235660945E-4</v>
      </c>
      <c r="L223" s="18">
        <f t="shared" si="54"/>
        <v>999999.99999309238</v>
      </c>
      <c r="M223" s="18">
        <f t="shared" si="55"/>
        <v>999999.99999309238</v>
      </c>
      <c r="N223" s="18">
        <f t="shared" si="56"/>
        <v>999999.99999309238</v>
      </c>
      <c r="O223" s="16"/>
      <c r="P223" s="18">
        <f t="shared" si="51"/>
        <v>38.999263342726501</v>
      </c>
      <c r="Q223" s="18">
        <f t="shared" si="61"/>
        <v>810.08476544469966</v>
      </c>
      <c r="R223" s="18">
        <f t="shared" si="62"/>
        <v>0</v>
      </c>
      <c r="S223" s="18">
        <f t="shared" si="63"/>
        <v>0</v>
      </c>
      <c r="T223" s="18">
        <f t="shared" si="64"/>
        <v>0</v>
      </c>
      <c r="U223" s="16"/>
      <c r="V223" s="18">
        <f t="shared" si="57"/>
        <v>849.08402878742618</v>
      </c>
      <c r="W223" s="16"/>
      <c r="X223" s="18">
        <f t="shared" si="58"/>
        <v>2491.6041820944984</v>
      </c>
      <c r="Y223" s="18">
        <f t="shared" si="59"/>
        <v>49.915971212573822</v>
      </c>
      <c r="Z223" s="18"/>
      <c r="AA223" s="18">
        <f t="shared" si="60"/>
        <v>1.2328788940425511E-4</v>
      </c>
    </row>
    <row r="224" spans="2:27" x14ac:dyDescent="0.35">
      <c r="B224" s="26">
        <v>52.800000000000004</v>
      </c>
      <c r="C224" s="26">
        <v>861</v>
      </c>
      <c r="D224" s="18">
        <f t="shared" si="50"/>
        <v>-3.2803379126870218</v>
      </c>
      <c r="E224" s="18">
        <f t="shared" si="65"/>
        <v>-8.7805565446639289</v>
      </c>
      <c r="F224" s="18">
        <f t="shared" si="65"/>
        <v>1000013.8155105581</v>
      </c>
      <c r="G224" s="18">
        <f t="shared" si="65"/>
        <v>1000013.8155105581</v>
      </c>
      <c r="H224" s="18">
        <f t="shared" si="65"/>
        <v>1000013.8155105581</v>
      </c>
      <c r="I224" s="16"/>
      <c r="J224" s="18">
        <f t="shared" si="52"/>
        <v>3.6275474936743143E-2</v>
      </c>
      <c r="K224" s="18">
        <f t="shared" si="53"/>
        <v>1.5366890868938793E-4</v>
      </c>
      <c r="L224" s="18">
        <f t="shared" si="54"/>
        <v>999999.99999309238</v>
      </c>
      <c r="M224" s="18">
        <f t="shared" si="55"/>
        <v>999999.99999309238</v>
      </c>
      <c r="N224" s="18">
        <f t="shared" si="56"/>
        <v>999999.99999309238</v>
      </c>
      <c r="O224" s="16"/>
      <c r="P224" s="18">
        <f t="shared" si="51"/>
        <v>38.446805157844686</v>
      </c>
      <c r="Q224" s="18">
        <f t="shared" si="61"/>
        <v>808.57586722782116</v>
      </c>
      <c r="R224" s="18">
        <f t="shared" si="62"/>
        <v>0</v>
      </c>
      <c r="S224" s="18">
        <f t="shared" si="63"/>
        <v>0</v>
      </c>
      <c r="T224" s="18">
        <f t="shared" si="64"/>
        <v>0</v>
      </c>
      <c r="U224" s="16"/>
      <c r="V224" s="18">
        <f t="shared" si="57"/>
        <v>847.02267238566583</v>
      </c>
      <c r="W224" s="16"/>
      <c r="X224" s="18">
        <f t="shared" si="58"/>
        <v>195.36568723842859</v>
      </c>
      <c r="Y224" s="18">
        <f t="shared" si="59"/>
        <v>13.977327614334172</v>
      </c>
      <c r="Z224" s="18"/>
      <c r="AA224" s="18">
        <f t="shared" si="60"/>
        <v>3.4522722471820595E-5</v>
      </c>
    </row>
    <row r="225" spans="2:27" x14ac:dyDescent="0.35">
      <c r="B225" s="26">
        <v>53.1</v>
      </c>
      <c r="C225" s="26">
        <v>849</v>
      </c>
      <c r="D225" s="18">
        <f t="shared" si="50"/>
        <v>-3.2660534838641797</v>
      </c>
      <c r="E225" s="18">
        <f t="shared" si="65"/>
        <v>-8.778692165362866</v>
      </c>
      <c r="F225" s="18">
        <f t="shared" si="65"/>
        <v>1000013.8155105581</v>
      </c>
      <c r="G225" s="18">
        <f t="shared" si="65"/>
        <v>1000013.8155105581</v>
      </c>
      <c r="H225" s="18">
        <f t="shared" si="65"/>
        <v>1000013.8155105581</v>
      </c>
      <c r="I225" s="16"/>
      <c r="J225" s="18">
        <f t="shared" si="52"/>
        <v>3.6778849766705514E-2</v>
      </c>
      <c r="K225" s="18">
        <f t="shared" si="53"/>
        <v>1.5395562891547859E-4</v>
      </c>
      <c r="L225" s="18">
        <f t="shared" si="54"/>
        <v>999999.99999309238</v>
      </c>
      <c r="M225" s="18">
        <f t="shared" si="55"/>
        <v>999999.99999309238</v>
      </c>
      <c r="N225" s="18">
        <f t="shared" si="56"/>
        <v>999999.99999309238</v>
      </c>
      <c r="O225" s="16"/>
      <c r="P225" s="18">
        <f t="shared" si="51"/>
        <v>37.902190670337653</v>
      </c>
      <c r="Q225" s="18">
        <f t="shared" si="61"/>
        <v>807.06977954884235</v>
      </c>
      <c r="R225" s="18">
        <f t="shared" si="62"/>
        <v>0</v>
      </c>
      <c r="S225" s="18">
        <f t="shared" si="63"/>
        <v>0</v>
      </c>
      <c r="T225" s="18">
        <f t="shared" si="64"/>
        <v>0</v>
      </c>
      <c r="U225" s="16"/>
      <c r="V225" s="18">
        <f t="shared" si="57"/>
        <v>844.97197021917998</v>
      </c>
      <c r="W225" s="16"/>
      <c r="X225" s="18">
        <f t="shared" si="58"/>
        <v>16.225023915172979</v>
      </c>
      <c r="Y225" s="18">
        <f t="shared" si="59"/>
        <v>4.0280297808200203</v>
      </c>
      <c r="Z225" s="18"/>
      <c r="AA225" s="18">
        <f t="shared" si="60"/>
        <v>9.94886562499037E-6</v>
      </c>
    </row>
    <row r="226" spans="2:27" x14ac:dyDescent="0.35">
      <c r="B226" s="26">
        <v>53.4</v>
      </c>
      <c r="C226" s="26">
        <v>872</v>
      </c>
      <c r="D226" s="18">
        <f t="shared" si="50"/>
        <v>-3.2517690550413376</v>
      </c>
      <c r="E226" s="18">
        <f t="shared" si="65"/>
        <v>-8.7768277860618049</v>
      </c>
      <c r="F226" s="18">
        <f t="shared" si="65"/>
        <v>1000013.8155105581</v>
      </c>
      <c r="G226" s="18">
        <f t="shared" si="65"/>
        <v>1000013.8155105581</v>
      </c>
      <c r="H226" s="18">
        <f t="shared" si="65"/>
        <v>1000013.8155105581</v>
      </c>
      <c r="I226" s="16"/>
      <c r="J226" s="18">
        <f t="shared" si="52"/>
        <v>3.7288958549608509E-2</v>
      </c>
      <c r="K226" s="18">
        <f t="shared" si="53"/>
        <v>1.542428840305757E-4</v>
      </c>
      <c r="L226" s="18">
        <f t="shared" si="54"/>
        <v>999999.99999309238</v>
      </c>
      <c r="M226" s="18">
        <f t="shared" si="55"/>
        <v>999999.99999309238</v>
      </c>
      <c r="N226" s="18">
        <f t="shared" si="56"/>
        <v>999999.99999309238</v>
      </c>
      <c r="O226" s="16"/>
      <c r="P226" s="18">
        <f t="shared" si="51"/>
        <v>37.365308718973253</v>
      </c>
      <c r="Q226" s="18">
        <f t="shared" si="61"/>
        <v>805.56649717273876</v>
      </c>
      <c r="R226" s="18">
        <f t="shared" si="62"/>
        <v>0</v>
      </c>
      <c r="S226" s="18">
        <f t="shared" si="63"/>
        <v>0</v>
      </c>
      <c r="T226" s="18">
        <f t="shared" si="64"/>
        <v>0</v>
      </c>
      <c r="U226" s="16"/>
      <c r="V226" s="18">
        <f t="shared" si="57"/>
        <v>842.93180589171197</v>
      </c>
      <c r="W226" s="16"/>
      <c r="X226" s="18">
        <f t="shared" si="58"/>
        <v>844.95990871711069</v>
      </c>
      <c r="Y226" s="18">
        <f t="shared" si="59"/>
        <v>29.068194108288026</v>
      </c>
      <c r="Z226" s="18"/>
      <c r="AA226" s="18">
        <f t="shared" si="60"/>
        <v>7.1795784261957554E-5</v>
      </c>
    </row>
    <row r="227" spans="2:27" x14ac:dyDescent="0.35">
      <c r="B227" s="26">
        <v>53.699999999999996</v>
      </c>
      <c r="C227" s="26">
        <v>799</v>
      </c>
      <c r="D227" s="18">
        <f t="shared" si="50"/>
        <v>-3.2374846262184951</v>
      </c>
      <c r="E227" s="18">
        <f t="shared" si="65"/>
        <v>-8.7749634067607438</v>
      </c>
      <c r="F227" s="18">
        <f t="shared" si="65"/>
        <v>1000013.8155105581</v>
      </c>
      <c r="G227" s="18">
        <f t="shared" si="65"/>
        <v>1000013.8155105581</v>
      </c>
      <c r="H227" s="18">
        <f t="shared" si="65"/>
        <v>1000013.8155105581</v>
      </c>
      <c r="I227" s="16"/>
      <c r="J227" s="18">
        <f t="shared" si="52"/>
        <v>3.7805884614785235E-2</v>
      </c>
      <c r="K227" s="18">
        <f t="shared" si="53"/>
        <v>1.5453067503223004E-4</v>
      </c>
      <c r="L227" s="18">
        <f t="shared" si="54"/>
        <v>999999.99999309238</v>
      </c>
      <c r="M227" s="18">
        <f t="shared" si="55"/>
        <v>999999.99999309238</v>
      </c>
      <c r="N227" s="18">
        <f t="shared" si="56"/>
        <v>999999.99999309238</v>
      </c>
      <c r="O227" s="16"/>
      <c r="P227" s="18">
        <f t="shared" si="51"/>
        <v>36.836049719532497</v>
      </c>
      <c r="Q227" s="18">
        <f t="shared" si="61"/>
        <v>804.06601487423291</v>
      </c>
      <c r="R227" s="18">
        <f t="shared" si="62"/>
        <v>0</v>
      </c>
      <c r="S227" s="18">
        <f t="shared" si="63"/>
        <v>0</v>
      </c>
      <c r="T227" s="18">
        <f t="shared" si="64"/>
        <v>0</v>
      </c>
      <c r="U227" s="16"/>
      <c r="V227" s="18">
        <f t="shared" si="57"/>
        <v>840.90206459376543</v>
      </c>
      <c r="W227" s="16"/>
      <c r="X227" s="18">
        <f t="shared" si="58"/>
        <v>1755.7830172200904</v>
      </c>
      <c r="Y227" s="18">
        <f t="shared" si="59"/>
        <v>41.902064593765431</v>
      </c>
      <c r="Z227" s="18"/>
      <c r="AA227" s="18">
        <f t="shared" si="60"/>
        <v>1.0349427207267855E-4</v>
      </c>
    </row>
    <row r="228" spans="2:27" x14ac:dyDescent="0.35">
      <c r="B228" s="26">
        <v>54.000000000000007</v>
      </c>
      <c r="C228" s="26">
        <v>811</v>
      </c>
      <c r="D228" s="18">
        <f t="shared" si="50"/>
        <v>-3.2232001973956526</v>
      </c>
      <c r="E228" s="18">
        <f t="shared" si="65"/>
        <v>-8.773099027459681</v>
      </c>
      <c r="F228" s="18">
        <f t="shared" si="65"/>
        <v>1000013.8155105581</v>
      </c>
      <c r="G228" s="18">
        <f t="shared" si="65"/>
        <v>1000013.8155105581</v>
      </c>
      <c r="H228" s="18">
        <f t="shared" si="65"/>
        <v>1000013.8155105581</v>
      </c>
      <c r="I228" s="16"/>
      <c r="J228" s="18">
        <f t="shared" si="52"/>
        <v>3.8329712144672415E-2</v>
      </c>
      <c r="K228" s="18">
        <f t="shared" si="53"/>
        <v>1.5481900291985164E-4</v>
      </c>
      <c r="L228" s="18">
        <f t="shared" si="54"/>
        <v>999999.99999309238</v>
      </c>
      <c r="M228" s="18">
        <f t="shared" si="55"/>
        <v>999999.99999309238</v>
      </c>
      <c r="N228" s="18">
        <f t="shared" si="56"/>
        <v>999999.99999309238</v>
      </c>
      <c r="O228" s="16"/>
      <c r="P228" s="18">
        <f t="shared" si="51"/>
        <v>36.314305642432402</v>
      </c>
      <c r="Q228" s="18">
        <f t="shared" si="61"/>
        <v>802.56832743778011</v>
      </c>
      <c r="R228" s="18">
        <f t="shared" si="62"/>
        <v>0</v>
      </c>
      <c r="S228" s="18">
        <f t="shared" si="63"/>
        <v>0</v>
      </c>
      <c r="T228" s="18">
        <f t="shared" si="64"/>
        <v>0</v>
      </c>
      <c r="U228" s="16"/>
      <c r="V228" s="18">
        <f t="shared" si="57"/>
        <v>838.88263308021249</v>
      </c>
      <c r="W228" s="16"/>
      <c r="X228" s="18">
        <f t="shared" si="58"/>
        <v>777.44122748575955</v>
      </c>
      <c r="Y228" s="18">
        <f t="shared" si="59"/>
        <v>27.882633080212486</v>
      </c>
      <c r="Z228" s="18"/>
      <c r="AA228" s="18">
        <f t="shared" si="60"/>
        <v>6.886755681569776E-5</v>
      </c>
    </row>
    <row r="229" spans="2:27" x14ac:dyDescent="0.35">
      <c r="B229" s="26">
        <v>54.199999999999996</v>
      </c>
      <c r="C229" s="26">
        <v>843</v>
      </c>
      <c r="D229" s="18">
        <f t="shared" si="50"/>
        <v>-3.2136772448470916</v>
      </c>
      <c r="E229" s="18">
        <f t="shared" si="65"/>
        <v>-8.7718561079256396</v>
      </c>
      <c r="F229" s="18">
        <f t="shared" si="65"/>
        <v>1000013.8155105581</v>
      </c>
      <c r="G229" s="18">
        <f t="shared" si="65"/>
        <v>1000013.8155105581</v>
      </c>
      <c r="H229" s="18">
        <f t="shared" si="65"/>
        <v>1000013.8155105581</v>
      </c>
      <c r="I229" s="16"/>
      <c r="J229" s="18">
        <f t="shared" si="52"/>
        <v>3.8682806604469357E-2</v>
      </c>
      <c r="K229" s="18">
        <f t="shared" si="53"/>
        <v>1.5501152027595972E-4</v>
      </c>
      <c r="L229" s="18">
        <f t="shared" si="54"/>
        <v>999999.99999309238</v>
      </c>
      <c r="M229" s="18">
        <f t="shared" si="55"/>
        <v>999999.99999309238</v>
      </c>
      <c r="N229" s="18">
        <f t="shared" si="56"/>
        <v>999999.99999309238</v>
      </c>
      <c r="O229" s="16"/>
      <c r="P229" s="18">
        <f t="shared" si="51"/>
        <v>35.970598561029703</v>
      </c>
      <c r="Q229" s="18">
        <f t="shared" si="61"/>
        <v>801.5714192767748</v>
      </c>
      <c r="R229" s="18">
        <f t="shared" si="62"/>
        <v>0</v>
      </c>
      <c r="S229" s="18">
        <f t="shared" si="63"/>
        <v>0</v>
      </c>
      <c r="T229" s="18">
        <f t="shared" si="64"/>
        <v>0</v>
      </c>
      <c r="U229" s="16"/>
      <c r="V229" s="18">
        <f t="shared" si="57"/>
        <v>837.54201783780445</v>
      </c>
      <c r="W229" s="16"/>
      <c r="X229" s="18">
        <f t="shared" si="58"/>
        <v>29.789569282844798</v>
      </c>
      <c r="Y229" s="18">
        <f t="shared" si="59"/>
        <v>5.4579821621955489</v>
      </c>
      <c r="Z229" s="18"/>
      <c r="AA229" s="18">
        <f t="shared" si="60"/>
        <v>1.3480717390382214E-5</v>
      </c>
    </row>
    <row r="230" spans="2:27" x14ac:dyDescent="0.35">
      <c r="B230" s="26">
        <v>54.500000000000007</v>
      </c>
      <c r="C230" s="26">
        <v>779</v>
      </c>
      <c r="D230" s="18">
        <f t="shared" si="50"/>
        <v>-3.1993928160242486</v>
      </c>
      <c r="E230" s="18">
        <f t="shared" si="65"/>
        <v>-8.7699917286245785</v>
      </c>
      <c r="F230" s="18">
        <f t="shared" si="65"/>
        <v>1000013.8155105581</v>
      </c>
      <c r="G230" s="18">
        <f t="shared" si="65"/>
        <v>1000013.8155105581</v>
      </c>
      <c r="H230" s="18">
        <f t="shared" si="65"/>
        <v>1000013.8155105581</v>
      </c>
      <c r="I230" s="16"/>
      <c r="J230" s="18">
        <f t="shared" si="52"/>
        <v>3.9218325977566477E-2</v>
      </c>
      <c r="K230" s="18">
        <f t="shared" si="53"/>
        <v>1.5530074519949733E-4</v>
      </c>
      <c r="L230" s="18">
        <f t="shared" si="54"/>
        <v>999999.99999309238</v>
      </c>
      <c r="M230" s="18">
        <f t="shared" si="55"/>
        <v>999999.99999309238</v>
      </c>
      <c r="N230" s="18">
        <f t="shared" si="56"/>
        <v>999999.99999309238</v>
      </c>
      <c r="O230" s="16"/>
      <c r="P230" s="18">
        <f t="shared" si="51"/>
        <v>35.461143441454936</v>
      </c>
      <c r="Q230" s="18">
        <f t="shared" si="61"/>
        <v>800.07837838002922</v>
      </c>
      <c r="R230" s="18">
        <f t="shared" si="62"/>
        <v>0</v>
      </c>
      <c r="S230" s="18">
        <f t="shared" si="63"/>
        <v>0</v>
      </c>
      <c r="T230" s="18">
        <f t="shared" si="64"/>
        <v>0</v>
      </c>
      <c r="U230" s="16"/>
      <c r="V230" s="18">
        <f t="shared" si="57"/>
        <v>835.53952182148419</v>
      </c>
      <c r="W230" s="16"/>
      <c r="X230" s="18">
        <f t="shared" si="58"/>
        <v>3196.7175278020864</v>
      </c>
      <c r="Y230" s="18">
        <f t="shared" si="59"/>
        <v>56.539521821484186</v>
      </c>
      <c r="Z230" s="18"/>
      <c r="AA230" s="18">
        <f t="shared" si="60"/>
        <v>1.3964745439112497E-4</v>
      </c>
    </row>
    <row r="231" spans="2:27" x14ac:dyDescent="0.35">
      <c r="B231" s="26">
        <v>54.800000000000004</v>
      </c>
      <c r="C231" s="26">
        <v>861</v>
      </c>
      <c r="D231" s="18">
        <f t="shared" si="50"/>
        <v>-3.1851083872014065</v>
      </c>
      <c r="E231" s="18">
        <f t="shared" ref="E231:H231" si="66">D$23/(D$21*$A$21)-LN((D$21*$A$21)/D$23)+$B231*D$22</f>
        <v>-8.7681273493235174</v>
      </c>
      <c r="F231" s="18">
        <f t="shared" si="66"/>
        <v>1000013.8155105581</v>
      </c>
      <c r="G231" s="18">
        <f t="shared" si="66"/>
        <v>1000013.8155105581</v>
      </c>
      <c r="H231" s="18">
        <f t="shared" si="66"/>
        <v>1000013.8155105581</v>
      </c>
      <c r="I231" s="16"/>
      <c r="J231" s="18">
        <f t="shared" si="52"/>
        <v>3.976097550325345E-2</v>
      </c>
      <c r="K231" s="18">
        <f t="shared" si="53"/>
        <v>1.5559050968321061E-4</v>
      </c>
      <c r="L231" s="18">
        <f t="shared" si="54"/>
        <v>999999.99999309238</v>
      </c>
      <c r="M231" s="18">
        <f t="shared" si="55"/>
        <v>999999.99999309238</v>
      </c>
      <c r="N231" s="18">
        <f t="shared" si="56"/>
        <v>999999.99999309238</v>
      </c>
      <c r="O231" s="16"/>
      <c r="P231" s="18">
        <f t="shared" si="51"/>
        <v>34.958922598997304</v>
      </c>
      <c r="Q231" s="18">
        <f t="shared" si="61"/>
        <v>798.58811848466792</v>
      </c>
      <c r="R231" s="18">
        <f t="shared" si="62"/>
        <v>0</v>
      </c>
      <c r="S231" s="18">
        <f t="shared" si="63"/>
        <v>0</v>
      </c>
      <c r="T231" s="18">
        <f t="shared" si="64"/>
        <v>0</v>
      </c>
      <c r="U231" s="16"/>
      <c r="V231" s="18">
        <f t="shared" si="57"/>
        <v>833.54704108366525</v>
      </c>
      <c r="W231" s="16"/>
      <c r="X231" s="18">
        <f t="shared" si="58"/>
        <v>753.66495326196366</v>
      </c>
      <c r="Y231" s="18">
        <f t="shared" si="59"/>
        <v>27.452958916334751</v>
      </c>
      <c r="Z231" s="18"/>
      <c r="AA231" s="18">
        <f t="shared" si="60"/>
        <v>6.7806300878786737E-5</v>
      </c>
    </row>
    <row r="232" spans="2:27" x14ac:dyDescent="0.35">
      <c r="B232" s="26">
        <v>55.1</v>
      </c>
      <c r="C232" s="26">
        <v>838</v>
      </c>
      <c r="D232" s="18">
        <f t="shared" ref="D232:H295" si="67">C$23/(C$21*$A$21)-LN((C$21*$A$21)/C$23)+$B232*C$22</f>
        <v>-3.170823958378564</v>
      </c>
      <c r="E232" s="18">
        <f t="shared" si="67"/>
        <v>-8.7662629700224546</v>
      </c>
      <c r="F232" s="18">
        <f t="shared" si="67"/>
        <v>1000013.8155105581</v>
      </c>
      <c r="G232" s="18">
        <f t="shared" si="67"/>
        <v>1000013.8155105581</v>
      </c>
      <c r="H232" s="18">
        <f t="shared" si="67"/>
        <v>1000013.8155105581</v>
      </c>
      <c r="I232" s="16"/>
      <c r="J232" s="18">
        <f t="shared" si="52"/>
        <v>4.0310842526037241E-2</v>
      </c>
      <c r="K232" s="18">
        <f t="shared" si="53"/>
        <v>1.558808147333565E-4</v>
      </c>
      <c r="L232" s="18">
        <f t="shared" si="54"/>
        <v>999999.99999309238</v>
      </c>
      <c r="M232" s="18">
        <f t="shared" si="55"/>
        <v>999999.99999309238</v>
      </c>
      <c r="N232" s="18">
        <f t="shared" si="56"/>
        <v>999999.99999309238</v>
      </c>
      <c r="O232" s="16"/>
      <c r="P232" s="18">
        <f t="shared" ref="P232:P295" si="68">(C$23*C$22)/(J232+J232^2)</f>
        <v>34.46383351803069</v>
      </c>
      <c r="Q232" s="18">
        <f t="shared" si="61"/>
        <v>797.10063441067848</v>
      </c>
      <c r="R232" s="18">
        <f t="shared" si="62"/>
        <v>0</v>
      </c>
      <c r="S232" s="18">
        <f t="shared" si="63"/>
        <v>0</v>
      </c>
      <c r="T232" s="18">
        <f t="shared" si="64"/>
        <v>0</v>
      </c>
      <c r="U232" s="16"/>
      <c r="V232" s="18">
        <f t="shared" si="57"/>
        <v>831.56446792870918</v>
      </c>
      <c r="W232" s="16"/>
      <c r="X232" s="18">
        <f t="shared" si="58"/>
        <v>41.416073040612744</v>
      </c>
      <c r="Y232" s="18">
        <f t="shared" si="59"/>
        <v>6.4355320712908224</v>
      </c>
      <c r="Z232" s="18"/>
      <c r="AA232" s="18">
        <f t="shared" si="60"/>
        <v>1.5895176373188077E-5</v>
      </c>
    </row>
    <row r="233" spans="2:27" x14ac:dyDescent="0.35">
      <c r="B233" s="26">
        <v>55.4</v>
      </c>
      <c r="C233" s="26">
        <v>840</v>
      </c>
      <c r="D233" s="18">
        <f t="shared" si="67"/>
        <v>-3.1565395295557219</v>
      </c>
      <c r="E233" s="18">
        <f t="shared" si="67"/>
        <v>-8.7643985907213935</v>
      </c>
      <c r="F233" s="18">
        <f t="shared" si="67"/>
        <v>1000013.8155105581</v>
      </c>
      <c r="G233" s="18">
        <f t="shared" si="67"/>
        <v>1000013.8155105581</v>
      </c>
      <c r="H233" s="18">
        <f t="shared" si="67"/>
        <v>1000013.8155105581</v>
      </c>
      <c r="I233" s="16"/>
      <c r="J233" s="18">
        <f t="shared" si="52"/>
        <v>4.0868015261571661E-2</v>
      </c>
      <c r="K233" s="18">
        <f t="shared" si="53"/>
        <v>1.5617166135806654E-4</v>
      </c>
      <c r="L233" s="18">
        <f t="shared" si="54"/>
        <v>999999.99999309238</v>
      </c>
      <c r="M233" s="18">
        <f t="shared" si="55"/>
        <v>999999.99999309238</v>
      </c>
      <c r="N233" s="18">
        <f t="shared" si="56"/>
        <v>999999.99999309238</v>
      </c>
      <c r="O233" s="16"/>
      <c r="P233" s="18">
        <f t="shared" si="68"/>
        <v>33.975775137257202</v>
      </c>
      <c r="Q233" s="18">
        <f t="shared" si="61"/>
        <v>795.61592098770109</v>
      </c>
      <c r="R233" s="18">
        <f t="shared" si="62"/>
        <v>0</v>
      </c>
      <c r="S233" s="18">
        <f t="shared" si="63"/>
        <v>0</v>
      </c>
      <c r="T233" s="18">
        <f t="shared" si="64"/>
        <v>0</v>
      </c>
      <c r="U233" s="16"/>
      <c r="V233" s="18">
        <f t="shared" si="57"/>
        <v>829.59169612495828</v>
      </c>
      <c r="W233" s="16"/>
      <c r="X233" s="18">
        <f t="shared" si="58"/>
        <v>108.33278955520858</v>
      </c>
      <c r="Y233" s="18">
        <f t="shared" si="59"/>
        <v>10.408303875041724</v>
      </c>
      <c r="Z233" s="18"/>
      <c r="AA233" s="18">
        <f t="shared" si="60"/>
        <v>2.5707559842265106E-5</v>
      </c>
    </row>
    <row r="234" spans="2:27" x14ac:dyDescent="0.35">
      <c r="B234" s="26">
        <v>55.699999999999996</v>
      </c>
      <c r="C234" s="26">
        <v>816</v>
      </c>
      <c r="D234" s="18">
        <f t="shared" si="67"/>
        <v>-3.1422551007328798</v>
      </c>
      <c r="E234" s="18">
        <f t="shared" si="67"/>
        <v>-8.7625342114203324</v>
      </c>
      <c r="F234" s="18">
        <f t="shared" si="67"/>
        <v>1000013.8155105581</v>
      </c>
      <c r="G234" s="18">
        <f t="shared" si="67"/>
        <v>1000013.8155105581</v>
      </c>
      <c r="H234" s="18">
        <f t="shared" si="67"/>
        <v>1000013.8155105581</v>
      </c>
      <c r="I234" s="16"/>
      <c r="J234" s="18">
        <f t="shared" si="52"/>
        <v>4.1432582800179384E-2</v>
      </c>
      <c r="K234" s="18">
        <f t="shared" si="53"/>
        <v>1.5646305056735209E-4</v>
      </c>
      <c r="L234" s="18">
        <f t="shared" si="54"/>
        <v>999999.99999309238</v>
      </c>
      <c r="M234" s="18">
        <f t="shared" si="55"/>
        <v>999999.99999309238</v>
      </c>
      <c r="N234" s="18">
        <f t="shared" si="56"/>
        <v>999999.99999309238</v>
      </c>
      <c r="O234" s="16"/>
      <c r="P234" s="18">
        <f t="shared" si="68"/>
        <v>33.494647829067475</v>
      </c>
      <c r="Q234" s="18">
        <f t="shared" si="61"/>
        <v>794.13397305500257</v>
      </c>
      <c r="R234" s="18">
        <f t="shared" si="62"/>
        <v>0</v>
      </c>
      <c r="S234" s="18">
        <f t="shared" si="63"/>
        <v>0</v>
      </c>
      <c r="T234" s="18">
        <f t="shared" si="64"/>
        <v>0</v>
      </c>
      <c r="U234" s="16"/>
      <c r="V234" s="18">
        <f t="shared" si="57"/>
        <v>827.62862088407007</v>
      </c>
      <c r="W234" s="16"/>
      <c r="X234" s="18">
        <f t="shared" si="58"/>
        <v>135.22482366543068</v>
      </c>
      <c r="Y234" s="18">
        <f t="shared" si="59"/>
        <v>11.628620884070074</v>
      </c>
      <c r="Z234" s="18"/>
      <c r="AA234" s="18">
        <f t="shared" si="60"/>
        <v>2.8721631386751453E-5</v>
      </c>
    </row>
    <row r="235" spans="2:27" x14ac:dyDescent="0.35">
      <c r="B235" s="26">
        <v>56.000000000000007</v>
      </c>
      <c r="C235" s="26">
        <v>805</v>
      </c>
      <c r="D235" s="18">
        <f t="shared" si="67"/>
        <v>-3.1279706719100369</v>
      </c>
      <c r="E235" s="18">
        <f t="shared" si="67"/>
        <v>-8.7606698321192695</v>
      </c>
      <c r="F235" s="18">
        <f t="shared" si="67"/>
        <v>1000013.8155105581</v>
      </c>
      <c r="G235" s="18">
        <f t="shared" si="67"/>
        <v>1000013.8155105581</v>
      </c>
      <c r="H235" s="18">
        <f t="shared" si="67"/>
        <v>1000013.8155105581</v>
      </c>
      <c r="I235" s="16"/>
      <c r="J235" s="18">
        <f t="shared" si="52"/>
        <v>4.2004635110242584E-2</v>
      </c>
      <c r="K235" s="18">
        <f t="shared" si="53"/>
        <v>1.5675498337310693E-4</v>
      </c>
      <c r="L235" s="18">
        <f t="shared" si="54"/>
        <v>999999.99999309238</v>
      </c>
      <c r="M235" s="18">
        <f t="shared" si="55"/>
        <v>999999.99999309238</v>
      </c>
      <c r="N235" s="18">
        <f t="shared" si="56"/>
        <v>999999.99999309238</v>
      </c>
      <c r="O235" s="16"/>
      <c r="P235" s="18">
        <f t="shared" si="68"/>
        <v>33.020353379193452</v>
      </c>
      <c r="Q235" s="18">
        <f t="shared" si="61"/>
        <v>792.65478546146176</v>
      </c>
      <c r="R235" s="18">
        <f t="shared" si="62"/>
        <v>0</v>
      </c>
      <c r="S235" s="18">
        <f t="shared" si="63"/>
        <v>0</v>
      </c>
      <c r="T235" s="18">
        <f t="shared" si="64"/>
        <v>0</v>
      </c>
      <c r="U235" s="16"/>
      <c r="V235" s="18">
        <f t="shared" si="57"/>
        <v>825.67513884065522</v>
      </c>
      <c r="W235" s="16"/>
      <c r="X235" s="18">
        <f t="shared" si="58"/>
        <v>427.46136608037017</v>
      </c>
      <c r="Y235" s="18">
        <f t="shared" si="59"/>
        <v>20.675138840655222</v>
      </c>
      <c r="Z235" s="18"/>
      <c r="AA235" s="18">
        <f t="shared" si="60"/>
        <v>5.1065704400483126E-5</v>
      </c>
    </row>
    <row r="236" spans="2:27" x14ac:dyDescent="0.35">
      <c r="B236" s="26">
        <v>56.199999999999996</v>
      </c>
      <c r="C236" s="26">
        <v>843</v>
      </c>
      <c r="D236" s="18">
        <f t="shared" si="67"/>
        <v>-3.1184477193614759</v>
      </c>
      <c r="E236" s="18">
        <f t="shared" si="67"/>
        <v>-8.7594269125852282</v>
      </c>
      <c r="F236" s="18">
        <f t="shared" si="67"/>
        <v>1000013.8155105581</v>
      </c>
      <c r="G236" s="18">
        <f t="shared" si="67"/>
        <v>1000013.8155105581</v>
      </c>
      <c r="H236" s="18">
        <f t="shared" si="67"/>
        <v>1000013.8155105581</v>
      </c>
      <c r="I236" s="16"/>
      <c r="J236" s="18">
        <f t="shared" si="52"/>
        <v>4.2390206351000083E-2</v>
      </c>
      <c r="K236" s="18">
        <f t="shared" si="53"/>
        <v>1.5694990774220254E-4</v>
      </c>
      <c r="L236" s="18">
        <f t="shared" si="54"/>
        <v>999999.99999309238</v>
      </c>
      <c r="M236" s="18">
        <f t="shared" si="55"/>
        <v>999999.99999309238</v>
      </c>
      <c r="N236" s="18">
        <f t="shared" si="56"/>
        <v>999999.99999309238</v>
      </c>
      <c r="O236" s="16"/>
      <c r="P236" s="18">
        <f t="shared" si="68"/>
        <v>32.707905242104566</v>
      </c>
      <c r="Q236" s="18">
        <f t="shared" si="61"/>
        <v>791.67019138143803</v>
      </c>
      <c r="R236" s="18">
        <f t="shared" si="62"/>
        <v>0</v>
      </c>
      <c r="S236" s="18">
        <f t="shared" si="63"/>
        <v>0</v>
      </c>
      <c r="T236" s="18">
        <f t="shared" si="64"/>
        <v>0</v>
      </c>
      <c r="U236" s="16"/>
      <c r="V236" s="18">
        <f t="shared" si="57"/>
        <v>824.37809662354255</v>
      </c>
      <c r="W236" s="16"/>
      <c r="X236" s="18">
        <f t="shared" si="58"/>
        <v>346.77528536211747</v>
      </c>
      <c r="Y236" s="18">
        <f t="shared" si="59"/>
        <v>18.621903376457453</v>
      </c>
      <c r="Z236" s="18"/>
      <c r="AA236" s="18">
        <f t="shared" si="60"/>
        <v>4.599440035326981E-5</v>
      </c>
    </row>
    <row r="237" spans="2:27" x14ac:dyDescent="0.35">
      <c r="B237" s="26">
        <v>56.500000000000007</v>
      </c>
      <c r="C237" s="26">
        <v>806</v>
      </c>
      <c r="D237" s="18">
        <f t="shared" si="67"/>
        <v>-3.1041632905386334</v>
      </c>
      <c r="E237" s="18">
        <f t="shared" si="67"/>
        <v>-8.7575625332841671</v>
      </c>
      <c r="F237" s="18">
        <f t="shared" si="67"/>
        <v>1000013.8155105581</v>
      </c>
      <c r="G237" s="18">
        <f t="shared" si="67"/>
        <v>1000013.8155105581</v>
      </c>
      <c r="H237" s="18">
        <f t="shared" si="67"/>
        <v>1000013.8155105581</v>
      </c>
      <c r="I237" s="16"/>
      <c r="J237" s="18">
        <f t="shared" si="52"/>
        <v>4.2974935605001346E-2</v>
      </c>
      <c r="K237" s="18">
        <f t="shared" si="53"/>
        <v>1.572427487958482E-4</v>
      </c>
      <c r="L237" s="18">
        <f t="shared" si="54"/>
        <v>999999.99999309238</v>
      </c>
      <c r="M237" s="18">
        <f t="shared" si="55"/>
        <v>999999.99999309238</v>
      </c>
      <c r="N237" s="18">
        <f t="shared" si="56"/>
        <v>999999.99999309238</v>
      </c>
      <c r="O237" s="16"/>
      <c r="P237" s="18">
        <f t="shared" si="68"/>
        <v>32.244784410757624</v>
      </c>
      <c r="Q237" s="18">
        <f t="shared" si="61"/>
        <v>790.19559293228417</v>
      </c>
      <c r="R237" s="18">
        <f t="shared" si="62"/>
        <v>0</v>
      </c>
      <c r="S237" s="18">
        <f t="shared" si="63"/>
        <v>0</v>
      </c>
      <c r="T237" s="18">
        <f t="shared" si="64"/>
        <v>0</v>
      </c>
      <c r="U237" s="16"/>
      <c r="V237" s="18">
        <f t="shared" si="57"/>
        <v>822.44037734304175</v>
      </c>
      <c r="W237" s="16"/>
      <c r="X237" s="18">
        <f t="shared" si="58"/>
        <v>270.28600718160038</v>
      </c>
      <c r="Y237" s="18">
        <f t="shared" si="59"/>
        <v>16.440377343041746</v>
      </c>
      <c r="Z237" s="18"/>
      <c r="AA237" s="18">
        <f t="shared" si="60"/>
        <v>4.06062303185754E-5</v>
      </c>
    </row>
    <row r="238" spans="2:27" x14ac:dyDescent="0.35">
      <c r="B238" s="26">
        <v>56.800000000000004</v>
      </c>
      <c r="C238" s="26">
        <v>794</v>
      </c>
      <c r="D238" s="18">
        <f t="shared" si="67"/>
        <v>-3.0898788617157908</v>
      </c>
      <c r="E238" s="18">
        <f t="shared" si="67"/>
        <v>-8.755698153983106</v>
      </c>
      <c r="F238" s="18">
        <f t="shared" si="67"/>
        <v>1000013.8155105581</v>
      </c>
      <c r="G238" s="18">
        <f t="shared" si="67"/>
        <v>1000013.8155105581</v>
      </c>
      <c r="H238" s="18">
        <f t="shared" si="67"/>
        <v>1000013.8155105581</v>
      </c>
      <c r="I238" s="16"/>
      <c r="J238" s="18">
        <f t="shared" si="52"/>
        <v>4.3567393863185942E-2</v>
      </c>
      <c r="K238" s="18">
        <f t="shared" si="53"/>
        <v>1.575361361535754E-4</v>
      </c>
      <c r="L238" s="18">
        <f t="shared" si="54"/>
        <v>999999.99999309238</v>
      </c>
      <c r="M238" s="18">
        <f t="shared" si="55"/>
        <v>999999.99999309238</v>
      </c>
      <c r="N238" s="18">
        <f t="shared" si="56"/>
        <v>999999.99999309238</v>
      </c>
      <c r="O238" s="16"/>
      <c r="P238" s="18">
        <f t="shared" si="68"/>
        <v>31.788241291030328</v>
      </c>
      <c r="Q238" s="18">
        <f t="shared" si="61"/>
        <v>788.72374113282956</v>
      </c>
      <c r="R238" s="18">
        <f t="shared" si="62"/>
        <v>0</v>
      </c>
      <c r="S238" s="18">
        <f t="shared" si="63"/>
        <v>0</v>
      </c>
      <c r="T238" s="18">
        <f t="shared" si="64"/>
        <v>0</v>
      </c>
      <c r="U238" s="16"/>
      <c r="V238" s="18">
        <f t="shared" si="57"/>
        <v>820.51198242385988</v>
      </c>
      <c r="W238" s="16"/>
      <c r="X238" s="18">
        <f t="shared" si="58"/>
        <v>702.88521204305505</v>
      </c>
      <c r="Y238" s="18">
        <f t="shared" si="59"/>
        <v>26.511982423859877</v>
      </c>
      <c r="Z238" s="18"/>
      <c r="AA238" s="18">
        <f t="shared" si="60"/>
        <v>6.5482174894295763E-5</v>
      </c>
    </row>
    <row r="239" spans="2:27" x14ac:dyDescent="0.35">
      <c r="B239" s="26">
        <v>57.1</v>
      </c>
      <c r="C239" s="26">
        <v>799</v>
      </c>
      <c r="D239" s="18">
        <f t="shared" si="67"/>
        <v>-3.0755944328929488</v>
      </c>
      <c r="E239" s="18">
        <f t="shared" si="67"/>
        <v>-8.7538337746820432</v>
      </c>
      <c r="F239" s="18">
        <f t="shared" si="67"/>
        <v>1000013.8155105581</v>
      </c>
      <c r="G239" s="18">
        <f t="shared" si="67"/>
        <v>1000013.8155105581</v>
      </c>
      <c r="H239" s="18">
        <f t="shared" si="67"/>
        <v>1000013.8155105581</v>
      </c>
      <c r="I239" s="16"/>
      <c r="J239" s="18">
        <f t="shared" si="52"/>
        <v>4.4167674340253878E-2</v>
      </c>
      <c r="K239" s="18">
        <f t="shared" si="53"/>
        <v>1.5783007083421005E-4</v>
      </c>
      <c r="L239" s="18">
        <f t="shared" si="54"/>
        <v>999999.99999309238</v>
      </c>
      <c r="M239" s="18">
        <f t="shared" si="55"/>
        <v>999999.99999309238</v>
      </c>
      <c r="N239" s="18">
        <f t="shared" si="56"/>
        <v>999999.99999309238</v>
      </c>
      <c r="O239" s="16"/>
      <c r="P239" s="18">
        <f t="shared" si="68"/>
        <v>31.338182681436574</v>
      </c>
      <c r="Q239" s="18">
        <f t="shared" si="61"/>
        <v>787.25463086704758</v>
      </c>
      <c r="R239" s="18">
        <f t="shared" si="62"/>
        <v>0</v>
      </c>
      <c r="S239" s="18">
        <f t="shared" si="63"/>
        <v>0</v>
      </c>
      <c r="T239" s="18">
        <f t="shared" si="64"/>
        <v>0</v>
      </c>
      <c r="U239" s="16"/>
      <c r="V239" s="18">
        <f t="shared" si="57"/>
        <v>818.59281354848417</v>
      </c>
      <c r="W239" s="16"/>
      <c r="X239" s="18">
        <f t="shared" si="58"/>
        <v>383.87834274566495</v>
      </c>
      <c r="Y239" s="18">
        <f t="shared" si="59"/>
        <v>19.592813548484173</v>
      </c>
      <c r="Z239" s="18"/>
      <c r="AA239" s="18">
        <f t="shared" si="60"/>
        <v>4.8392459792012007E-5</v>
      </c>
    </row>
    <row r="240" spans="2:27" x14ac:dyDescent="0.35">
      <c r="B240" s="26">
        <v>57.4</v>
      </c>
      <c r="C240" s="26">
        <v>824</v>
      </c>
      <c r="D240" s="18">
        <f t="shared" si="67"/>
        <v>-3.0613100040701067</v>
      </c>
      <c r="E240" s="18">
        <f t="shared" si="67"/>
        <v>-8.7519693953809821</v>
      </c>
      <c r="F240" s="18">
        <f t="shared" si="67"/>
        <v>1000013.8155105581</v>
      </c>
      <c r="G240" s="18">
        <f t="shared" si="67"/>
        <v>1000013.8155105581</v>
      </c>
      <c r="H240" s="18">
        <f t="shared" si="67"/>
        <v>1000013.8155105581</v>
      </c>
      <c r="I240" s="16"/>
      <c r="J240" s="18">
        <f t="shared" si="52"/>
        <v>4.4775871142919442E-2</v>
      </c>
      <c r="K240" s="18">
        <f t="shared" si="53"/>
        <v>1.5812455385847638E-4</v>
      </c>
      <c r="L240" s="18">
        <f t="shared" si="54"/>
        <v>999999.99999309238</v>
      </c>
      <c r="M240" s="18">
        <f t="shared" si="55"/>
        <v>999999.99999309238</v>
      </c>
      <c r="N240" s="18">
        <f t="shared" si="56"/>
        <v>999999.99999309238</v>
      </c>
      <c r="O240" s="16"/>
      <c r="P240" s="18">
        <f t="shared" si="68"/>
        <v>30.894516702621935</v>
      </c>
      <c r="Q240" s="18">
        <f t="shared" si="61"/>
        <v>785.7882570284437</v>
      </c>
      <c r="R240" s="18">
        <f t="shared" si="62"/>
        <v>0</v>
      </c>
      <c r="S240" s="18">
        <f t="shared" si="63"/>
        <v>0</v>
      </c>
      <c r="T240" s="18">
        <f t="shared" si="64"/>
        <v>0</v>
      </c>
      <c r="U240" s="16"/>
      <c r="V240" s="18">
        <f t="shared" si="57"/>
        <v>816.68277373106559</v>
      </c>
      <c r="W240" s="16"/>
      <c r="X240" s="18">
        <f t="shared" si="58"/>
        <v>53.541800270783718</v>
      </c>
      <c r="Y240" s="18">
        <f t="shared" si="59"/>
        <v>7.3172262689344052</v>
      </c>
      <c r="Z240" s="18"/>
      <c r="AA240" s="18">
        <f t="shared" si="60"/>
        <v>1.8072880504487707E-5</v>
      </c>
    </row>
    <row r="241" spans="2:27" x14ac:dyDescent="0.35">
      <c r="B241" s="26">
        <v>57.699999999999996</v>
      </c>
      <c r="C241" s="26">
        <v>784</v>
      </c>
      <c r="D241" s="18">
        <f t="shared" si="67"/>
        <v>-3.0470255752472646</v>
      </c>
      <c r="E241" s="18">
        <f t="shared" si="67"/>
        <v>-8.750105016079921</v>
      </c>
      <c r="F241" s="18">
        <f t="shared" si="67"/>
        <v>1000013.8155105581</v>
      </c>
      <c r="G241" s="18">
        <f t="shared" si="67"/>
        <v>1000013.8155105581</v>
      </c>
      <c r="H241" s="18">
        <f t="shared" si="67"/>
        <v>1000013.8155105581</v>
      </c>
      <c r="I241" s="16"/>
      <c r="J241" s="18">
        <f t="shared" si="52"/>
        <v>4.5392079272472137E-2</v>
      </c>
      <c r="K241" s="18">
        <f t="shared" si="53"/>
        <v>1.5841958624900168E-4</v>
      </c>
      <c r="L241" s="18">
        <f t="shared" si="54"/>
        <v>999999.99999309238</v>
      </c>
      <c r="M241" s="18">
        <f t="shared" si="55"/>
        <v>999999.99999309238</v>
      </c>
      <c r="N241" s="18">
        <f t="shared" si="56"/>
        <v>999999.99999309238</v>
      </c>
      <c r="O241" s="16"/>
      <c r="P241" s="18">
        <f t="shared" si="68"/>
        <v>30.457152778595976</v>
      </c>
      <c r="Q241" s="18">
        <f t="shared" si="61"/>
        <v>784.32461452003167</v>
      </c>
      <c r="R241" s="18">
        <f t="shared" si="62"/>
        <v>0</v>
      </c>
      <c r="S241" s="18">
        <f t="shared" si="63"/>
        <v>0</v>
      </c>
      <c r="T241" s="18">
        <f t="shared" si="64"/>
        <v>0</v>
      </c>
      <c r="U241" s="16"/>
      <c r="V241" s="18">
        <f t="shared" si="57"/>
        <v>814.78176729862764</v>
      </c>
      <c r="W241" s="16"/>
      <c r="X241" s="18">
        <f t="shared" si="58"/>
        <v>947.51719802686205</v>
      </c>
      <c r="Y241" s="18">
        <f t="shared" si="59"/>
        <v>30.781767298627642</v>
      </c>
      <c r="Z241" s="18"/>
      <c r="AA241" s="18">
        <f t="shared" si="60"/>
        <v>7.6028153518622834E-5</v>
      </c>
    </row>
    <row r="242" spans="2:27" x14ac:dyDescent="0.35">
      <c r="B242" s="26">
        <v>58.000000000000007</v>
      </c>
      <c r="C242" s="26">
        <v>748</v>
      </c>
      <c r="D242" s="18">
        <f t="shared" si="67"/>
        <v>-3.0327411464244216</v>
      </c>
      <c r="E242" s="18">
        <f t="shared" si="67"/>
        <v>-8.7482406367788581</v>
      </c>
      <c r="F242" s="18">
        <f t="shared" si="67"/>
        <v>1000013.8155105581</v>
      </c>
      <c r="G242" s="18">
        <f t="shared" si="67"/>
        <v>1000013.8155105581</v>
      </c>
      <c r="H242" s="18">
        <f t="shared" si="67"/>
        <v>1000013.8155105581</v>
      </c>
      <c r="I242" s="16"/>
      <c r="J242" s="18">
        <f t="shared" ref="J242:J305" si="69">lmb_2(D242)</f>
        <v>4.6016394627175529E-2</v>
      </c>
      <c r="K242" s="18">
        <f t="shared" ref="K242:K305" si="70">lmb_2(E242)</f>
        <v>1.5871516903031926E-4</v>
      </c>
      <c r="L242" s="18">
        <f t="shared" ref="L242:L305" si="71">lmb_2(F242)</f>
        <v>999999.99999309238</v>
      </c>
      <c r="M242" s="18">
        <f t="shared" ref="M242:M305" si="72">lmb_2(G242)</f>
        <v>999999.99999309238</v>
      </c>
      <c r="N242" s="18">
        <f t="shared" ref="N242:N305" si="73">lmb_2(H242)</f>
        <v>999999.99999309238</v>
      </c>
      <c r="O242" s="16"/>
      <c r="P242" s="18">
        <f t="shared" si="68"/>
        <v>30.026001618230278</v>
      </c>
      <c r="Q242" s="18">
        <f t="shared" si="61"/>
        <v>782.86369825431848</v>
      </c>
      <c r="R242" s="18">
        <f t="shared" si="62"/>
        <v>0</v>
      </c>
      <c r="S242" s="18">
        <f t="shared" si="63"/>
        <v>0</v>
      </c>
      <c r="T242" s="18">
        <f t="shared" si="64"/>
        <v>0</v>
      </c>
      <c r="U242" s="16"/>
      <c r="V242" s="18">
        <f t="shared" ref="V242:V305" si="74">SUM(P242:T242)</f>
        <v>812.8896998725487</v>
      </c>
      <c r="W242" s="16"/>
      <c r="X242" s="18">
        <f t="shared" ref="X242:X305" si="75">(V242-C242)^2</f>
        <v>4210.6731495494469</v>
      </c>
      <c r="Y242" s="18">
        <f t="shared" ref="Y242:Y305" si="76">ABS(V242-C242)</f>
        <v>64.889699872548704</v>
      </c>
      <c r="Z242" s="18"/>
      <c r="AA242" s="18">
        <f t="shared" ref="AA242:AA305" si="77">Y242/$Z$39</f>
        <v>1.6027163144422327E-4</v>
      </c>
    </row>
    <row r="243" spans="2:27" x14ac:dyDescent="0.35">
      <c r="B243" s="26">
        <v>58.199999999999996</v>
      </c>
      <c r="C243" s="26">
        <v>809</v>
      </c>
      <c r="D243" s="18">
        <f t="shared" si="67"/>
        <v>-3.0232181938758607</v>
      </c>
      <c r="E243" s="18">
        <f t="shared" si="67"/>
        <v>-8.7469977172448168</v>
      </c>
      <c r="F243" s="18">
        <f t="shared" si="67"/>
        <v>1000013.8155105581</v>
      </c>
      <c r="G243" s="18">
        <f t="shared" si="67"/>
        <v>1000013.8155105581</v>
      </c>
      <c r="H243" s="18">
        <f t="shared" si="67"/>
        <v>1000013.8155105581</v>
      </c>
      <c r="I243" s="16"/>
      <c r="J243" s="18">
        <f t="shared" si="69"/>
        <v>4.6437156641768867E-2</v>
      </c>
      <c r="K243" s="18">
        <f t="shared" si="70"/>
        <v>1.5891253049733292E-4</v>
      </c>
      <c r="L243" s="18">
        <f t="shared" si="71"/>
        <v>999999.99999309238</v>
      </c>
      <c r="M243" s="18">
        <f t="shared" si="72"/>
        <v>999999.99999309238</v>
      </c>
      <c r="N243" s="18">
        <f t="shared" si="73"/>
        <v>999999.99999309238</v>
      </c>
      <c r="O243" s="16"/>
      <c r="P243" s="18">
        <f t="shared" si="68"/>
        <v>29.74197552621462</v>
      </c>
      <c r="Q243" s="18">
        <f t="shared" si="61"/>
        <v>781.89126614840336</v>
      </c>
      <c r="R243" s="18">
        <f t="shared" si="62"/>
        <v>0</v>
      </c>
      <c r="S243" s="18">
        <f t="shared" si="63"/>
        <v>0</v>
      </c>
      <c r="T243" s="18">
        <f t="shared" si="64"/>
        <v>0</v>
      </c>
      <c r="U243" s="16"/>
      <c r="V243" s="18">
        <f t="shared" si="74"/>
        <v>811.63324167461803</v>
      </c>
      <c r="W243" s="16"/>
      <c r="X243" s="18">
        <f t="shared" si="75"/>
        <v>6.9339617169451895</v>
      </c>
      <c r="Y243" s="18">
        <f t="shared" si="76"/>
        <v>2.6332416746180343</v>
      </c>
      <c r="Z243" s="18"/>
      <c r="AA243" s="18">
        <f t="shared" si="77"/>
        <v>6.5038664072553443E-6</v>
      </c>
    </row>
    <row r="244" spans="2:27" x14ac:dyDescent="0.35">
      <c r="B244" s="26">
        <v>58.500000000000007</v>
      </c>
      <c r="C244" s="26">
        <v>840</v>
      </c>
      <c r="D244" s="18">
        <f t="shared" si="67"/>
        <v>-3.0089337650530177</v>
      </c>
      <c r="E244" s="18">
        <f t="shared" si="67"/>
        <v>-8.7451333379437557</v>
      </c>
      <c r="F244" s="18">
        <f t="shared" si="67"/>
        <v>1000013.8155105581</v>
      </c>
      <c r="G244" s="18">
        <f t="shared" si="67"/>
        <v>1000013.8155105581</v>
      </c>
      <c r="H244" s="18">
        <f t="shared" si="67"/>
        <v>1000013.8155105581</v>
      </c>
      <c r="I244" s="16"/>
      <c r="J244" s="18">
        <f t="shared" si="69"/>
        <v>4.7075199588868515E-2</v>
      </c>
      <c r="K244" s="18">
        <f t="shared" si="70"/>
        <v>1.5920903287856467E-4</v>
      </c>
      <c r="L244" s="18">
        <f t="shared" si="71"/>
        <v>999999.99999309238</v>
      </c>
      <c r="M244" s="18">
        <f t="shared" si="72"/>
        <v>999999.99999309238</v>
      </c>
      <c r="N244" s="18">
        <f t="shared" si="73"/>
        <v>999999.99999309238</v>
      </c>
      <c r="O244" s="16"/>
      <c r="P244" s="18">
        <f t="shared" si="68"/>
        <v>29.320983979279752</v>
      </c>
      <c r="Q244" s="18">
        <f t="shared" si="61"/>
        <v>780.4348823407189</v>
      </c>
      <c r="R244" s="18">
        <f t="shared" si="62"/>
        <v>0</v>
      </c>
      <c r="S244" s="18">
        <f t="shared" si="63"/>
        <v>0</v>
      </c>
      <c r="T244" s="18">
        <f t="shared" si="64"/>
        <v>0</v>
      </c>
      <c r="U244" s="16"/>
      <c r="V244" s="18">
        <f t="shared" si="74"/>
        <v>809.75586631999863</v>
      </c>
      <c r="W244" s="16"/>
      <c r="X244" s="18">
        <f t="shared" si="75"/>
        <v>914.7076220537931</v>
      </c>
      <c r="Y244" s="18">
        <f t="shared" si="76"/>
        <v>30.244133680001369</v>
      </c>
      <c r="Z244" s="18"/>
      <c r="AA244" s="18">
        <f t="shared" si="77"/>
        <v>7.4700247589858527E-5</v>
      </c>
    </row>
    <row r="245" spans="2:27" x14ac:dyDescent="0.35">
      <c r="B245" s="26">
        <v>58.800000000000004</v>
      </c>
      <c r="C245" s="26">
        <v>824</v>
      </c>
      <c r="D245" s="18">
        <f t="shared" si="67"/>
        <v>-2.9946493362301756</v>
      </c>
      <c r="E245" s="18">
        <f t="shared" si="67"/>
        <v>-8.7432689586426946</v>
      </c>
      <c r="F245" s="18">
        <f t="shared" si="67"/>
        <v>1000013.8155105581</v>
      </c>
      <c r="G245" s="18">
        <f t="shared" si="67"/>
        <v>1000013.8155105581</v>
      </c>
      <c r="H245" s="18">
        <f t="shared" si="67"/>
        <v>1000013.8155105581</v>
      </c>
      <c r="I245" s="16"/>
      <c r="J245" s="18">
        <f t="shared" si="69"/>
        <v>4.7721609891456483E-2</v>
      </c>
      <c r="K245" s="18">
        <f t="shared" si="70"/>
        <v>1.5950608839202126E-4</v>
      </c>
      <c r="L245" s="18">
        <f t="shared" si="71"/>
        <v>999999.99999309238</v>
      </c>
      <c r="M245" s="18">
        <f t="shared" si="72"/>
        <v>999999.99999309238</v>
      </c>
      <c r="N245" s="18">
        <f t="shared" si="73"/>
        <v>999999.99999309238</v>
      </c>
      <c r="O245" s="16"/>
      <c r="P245" s="18">
        <f t="shared" si="68"/>
        <v>28.905973229979168</v>
      </c>
      <c r="Q245" s="18">
        <f t="shared" si="61"/>
        <v>778.98121125537091</v>
      </c>
      <c r="R245" s="18">
        <f t="shared" si="62"/>
        <v>0</v>
      </c>
      <c r="S245" s="18">
        <f t="shared" si="63"/>
        <v>0</v>
      </c>
      <c r="T245" s="18">
        <f t="shared" si="64"/>
        <v>0</v>
      </c>
      <c r="U245" s="16"/>
      <c r="V245" s="18">
        <f t="shared" si="74"/>
        <v>807.88718448535008</v>
      </c>
      <c r="W245" s="16"/>
      <c r="X245" s="18">
        <f t="shared" si="75"/>
        <v>259.62282380914331</v>
      </c>
      <c r="Y245" s="18">
        <f t="shared" si="76"/>
        <v>16.112815514649924</v>
      </c>
      <c r="Z245" s="18"/>
      <c r="AA245" s="18">
        <f t="shared" si="77"/>
        <v>3.9797182523034283E-5</v>
      </c>
    </row>
    <row r="246" spans="2:27" x14ac:dyDescent="0.35">
      <c r="B246" s="26">
        <v>59.1</v>
      </c>
      <c r="C246" s="26">
        <v>767</v>
      </c>
      <c r="D246" s="18">
        <f t="shared" si="67"/>
        <v>-2.9803649074073335</v>
      </c>
      <c r="E246" s="18">
        <f t="shared" si="67"/>
        <v>-8.7414045793416317</v>
      </c>
      <c r="F246" s="18">
        <f t="shared" si="67"/>
        <v>1000013.8155105581</v>
      </c>
      <c r="G246" s="18">
        <f t="shared" si="67"/>
        <v>1000013.8155105581</v>
      </c>
      <c r="H246" s="18">
        <f t="shared" si="67"/>
        <v>1000013.8155105581</v>
      </c>
      <c r="I246" s="16"/>
      <c r="J246" s="18">
        <f t="shared" si="69"/>
        <v>4.8376486754476151E-2</v>
      </c>
      <c r="K246" s="18">
        <f t="shared" si="70"/>
        <v>1.5980369806925477E-4</v>
      </c>
      <c r="L246" s="18">
        <f t="shared" si="71"/>
        <v>999999.99999309238</v>
      </c>
      <c r="M246" s="18">
        <f t="shared" si="72"/>
        <v>999999.99999309238</v>
      </c>
      <c r="N246" s="18">
        <f t="shared" si="73"/>
        <v>999999.99999309238</v>
      </c>
      <c r="O246" s="16"/>
      <c r="P246" s="18">
        <f t="shared" si="68"/>
        <v>28.496858544243342</v>
      </c>
      <c r="Q246" s="18">
        <f t="shared" si="61"/>
        <v>777.53024783952674</v>
      </c>
      <c r="R246" s="18">
        <f t="shared" si="62"/>
        <v>0</v>
      </c>
      <c r="S246" s="18">
        <f t="shared" si="63"/>
        <v>0</v>
      </c>
      <c r="T246" s="18">
        <f t="shared" si="64"/>
        <v>0</v>
      </c>
      <c r="U246" s="16"/>
      <c r="V246" s="18">
        <f t="shared" si="74"/>
        <v>806.02710638377005</v>
      </c>
      <c r="W246" s="16"/>
      <c r="X246" s="18">
        <f t="shared" si="75"/>
        <v>1523.1150326901047</v>
      </c>
      <c r="Y246" s="18">
        <f t="shared" si="76"/>
        <v>39.027106383770047</v>
      </c>
      <c r="Z246" s="18"/>
      <c r="AA246" s="18">
        <f t="shared" si="77"/>
        <v>9.6393387902233307E-5</v>
      </c>
    </row>
    <row r="247" spans="2:27" x14ac:dyDescent="0.35">
      <c r="B247" s="26">
        <v>59.4</v>
      </c>
      <c r="C247" s="26">
        <v>788</v>
      </c>
      <c r="D247" s="18">
        <f t="shared" si="67"/>
        <v>-2.9660804785844914</v>
      </c>
      <c r="E247" s="18">
        <f t="shared" si="67"/>
        <v>-8.7395402000405706</v>
      </c>
      <c r="F247" s="18">
        <f t="shared" si="67"/>
        <v>1000013.8155105581</v>
      </c>
      <c r="G247" s="18">
        <f t="shared" si="67"/>
        <v>1000013.8155105581</v>
      </c>
      <c r="H247" s="18">
        <f t="shared" si="67"/>
        <v>1000013.8155105581</v>
      </c>
      <c r="I247" s="16"/>
      <c r="J247" s="18">
        <f t="shared" si="69"/>
        <v>4.9039930288754599E-2</v>
      </c>
      <c r="K247" s="18">
        <f t="shared" si="70"/>
        <v>1.6010186294373896E-4</v>
      </c>
      <c r="L247" s="18">
        <f t="shared" si="71"/>
        <v>999999.99999309238</v>
      </c>
      <c r="M247" s="18">
        <f t="shared" si="72"/>
        <v>999999.99999309238</v>
      </c>
      <c r="N247" s="18">
        <f t="shared" si="73"/>
        <v>999999.99999309238</v>
      </c>
      <c r="O247" s="16"/>
      <c r="P247" s="18">
        <f t="shared" si="68"/>
        <v>28.09355638992588</v>
      </c>
      <c r="Q247" s="18">
        <f t="shared" ref="Q247:Q310" si="78">(D$23*D$22)/(K247+K247^2)</f>
        <v>776.08198704976905</v>
      </c>
      <c r="R247" s="18">
        <f t="shared" ref="R247:R310" si="79">(E$23*E$22)/(L247+L247^2)</f>
        <v>0</v>
      </c>
      <c r="S247" s="18">
        <f t="shared" ref="S247:S310" si="80">(F$23*F$22)/(M247+M247^2)</f>
        <v>0</v>
      </c>
      <c r="T247" s="18">
        <f t="shared" ref="T247:T310" si="81">(G$23*G$22)/(N247+N247^2)</f>
        <v>0</v>
      </c>
      <c r="U247" s="16"/>
      <c r="V247" s="18">
        <f t="shared" si="74"/>
        <v>804.17554343969493</v>
      </c>
      <c r="W247" s="16"/>
      <c r="X247" s="18">
        <f t="shared" si="75"/>
        <v>261.64820556945784</v>
      </c>
      <c r="Y247" s="18">
        <f t="shared" si="76"/>
        <v>16.175543439694934</v>
      </c>
      <c r="Z247" s="18"/>
      <c r="AA247" s="18">
        <f t="shared" si="77"/>
        <v>3.9952114768118193E-5</v>
      </c>
    </row>
    <row r="248" spans="2:27" x14ac:dyDescent="0.35">
      <c r="B248" s="26">
        <v>59.699999999999996</v>
      </c>
      <c r="C248" s="26">
        <v>786</v>
      </c>
      <c r="D248" s="18">
        <f t="shared" si="67"/>
        <v>-2.9517960497616493</v>
      </c>
      <c r="E248" s="18">
        <f t="shared" si="67"/>
        <v>-8.7376758207395095</v>
      </c>
      <c r="F248" s="18">
        <f t="shared" si="67"/>
        <v>1000013.8155105581</v>
      </c>
      <c r="G248" s="18">
        <f t="shared" si="67"/>
        <v>1000013.8155105581</v>
      </c>
      <c r="H248" s="18">
        <f t="shared" si="67"/>
        <v>1000013.8155105581</v>
      </c>
      <c r="I248" s="16"/>
      <c r="J248" s="18">
        <f t="shared" si="69"/>
        <v>4.9712041512391052E-2</v>
      </c>
      <c r="K248" s="18">
        <f t="shared" si="70"/>
        <v>1.6040058405087458E-4</v>
      </c>
      <c r="L248" s="18">
        <f t="shared" si="71"/>
        <v>999999.99999309238</v>
      </c>
      <c r="M248" s="18">
        <f t="shared" si="72"/>
        <v>999999.99999309238</v>
      </c>
      <c r="N248" s="18">
        <f t="shared" si="73"/>
        <v>999999.99999309238</v>
      </c>
      <c r="O248" s="16"/>
      <c r="P248" s="18">
        <f t="shared" si="68"/>
        <v>27.695984419737403</v>
      </c>
      <c r="Q248" s="18">
        <f t="shared" si="78"/>
        <v>774.63642385207061</v>
      </c>
      <c r="R248" s="18">
        <f t="shared" si="79"/>
        <v>0</v>
      </c>
      <c r="S248" s="18">
        <f t="shared" si="80"/>
        <v>0</v>
      </c>
      <c r="T248" s="18">
        <f t="shared" si="81"/>
        <v>0</v>
      </c>
      <c r="U248" s="16"/>
      <c r="V248" s="18">
        <f t="shared" si="74"/>
        <v>802.33240827180805</v>
      </c>
      <c r="W248" s="16"/>
      <c r="X248" s="18">
        <f t="shared" si="75"/>
        <v>266.74755995702401</v>
      </c>
      <c r="Y248" s="18">
        <f t="shared" si="76"/>
        <v>16.332408271808049</v>
      </c>
      <c r="Z248" s="18"/>
      <c r="AA248" s="18">
        <f t="shared" si="77"/>
        <v>4.0339556574882178E-5</v>
      </c>
    </row>
    <row r="249" spans="2:27" x14ac:dyDescent="0.35">
      <c r="B249" s="26">
        <v>60.000000000000007</v>
      </c>
      <c r="C249" s="26">
        <v>805</v>
      </c>
      <c r="D249" s="18">
        <f t="shared" si="67"/>
        <v>-2.9375116209388064</v>
      </c>
      <c r="E249" s="18">
        <f t="shared" si="67"/>
        <v>-8.7358114414384467</v>
      </c>
      <c r="F249" s="18">
        <f t="shared" si="67"/>
        <v>1000013.8155105581</v>
      </c>
      <c r="G249" s="18">
        <f t="shared" si="67"/>
        <v>1000013.8155105581</v>
      </c>
      <c r="H249" s="18">
        <f t="shared" si="67"/>
        <v>1000013.8155105581</v>
      </c>
      <c r="I249" s="16"/>
      <c r="J249" s="18">
        <f t="shared" si="69"/>
        <v>5.0392922351950392E-2</v>
      </c>
      <c r="K249" s="18">
        <f t="shared" si="70"/>
        <v>1.6069986242799202E-4</v>
      </c>
      <c r="L249" s="18">
        <f t="shared" si="71"/>
        <v>999999.99999309238</v>
      </c>
      <c r="M249" s="18">
        <f t="shared" si="72"/>
        <v>999999.99999309238</v>
      </c>
      <c r="N249" s="18">
        <f t="shared" si="73"/>
        <v>999999.99999309238</v>
      </c>
      <c r="O249" s="16"/>
      <c r="P249" s="18">
        <f t="shared" si="68"/>
        <v>27.30406145442101</v>
      </c>
      <c r="Q249" s="18">
        <f t="shared" si="78"/>
        <v>773.1935532217808</v>
      </c>
      <c r="R249" s="18">
        <f t="shared" si="79"/>
        <v>0</v>
      </c>
      <c r="S249" s="18">
        <f t="shared" si="80"/>
        <v>0</v>
      </c>
      <c r="T249" s="18">
        <f t="shared" si="81"/>
        <v>0</v>
      </c>
      <c r="U249" s="16"/>
      <c r="V249" s="18">
        <f t="shared" si="74"/>
        <v>800.49761467620181</v>
      </c>
      <c r="W249" s="16"/>
      <c r="X249" s="18">
        <f t="shared" si="75"/>
        <v>20.271473603953368</v>
      </c>
      <c r="Y249" s="18">
        <f t="shared" si="76"/>
        <v>4.5023853237981939</v>
      </c>
      <c r="Z249" s="18"/>
      <c r="AA249" s="18">
        <f t="shared" si="77"/>
        <v>1.112048048693373E-5</v>
      </c>
    </row>
    <row r="250" spans="2:27" x14ac:dyDescent="0.35">
      <c r="B250" s="26">
        <v>60.199999999999996</v>
      </c>
      <c r="C250" s="26">
        <v>752</v>
      </c>
      <c r="D250" s="18">
        <f t="shared" si="67"/>
        <v>-2.9279886683902454</v>
      </c>
      <c r="E250" s="18">
        <f t="shared" si="67"/>
        <v>-8.7345685219044054</v>
      </c>
      <c r="F250" s="18">
        <f t="shared" si="67"/>
        <v>1000013.8155105581</v>
      </c>
      <c r="G250" s="18">
        <f t="shared" si="67"/>
        <v>1000013.8155105581</v>
      </c>
      <c r="H250" s="18">
        <f t="shared" si="67"/>
        <v>1000013.8155105581</v>
      </c>
      <c r="I250" s="16"/>
      <c r="J250" s="18">
        <f t="shared" si="69"/>
        <v>5.0851765666272815E-2</v>
      </c>
      <c r="K250" s="18">
        <f t="shared" si="70"/>
        <v>1.6089969145364132E-4</v>
      </c>
      <c r="L250" s="18">
        <f t="shared" si="71"/>
        <v>999999.99999309238</v>
      </c>
      <c r="M250" s="18">
        <f t="shared" si="72"/>
        <v>999999.99999309238</v>
      </c>
      <c r="N250" s="18">
        <f t="shared" si="73"/>
        <v>999999.99999309238</v>
      </c>
      <c r="O250" s="16"/>
      <c r="P250" s="18">
        <f t="shared" si="68"/>
        <v>27.045878246787343</v>
      </c>
      <c r="Q250" s="18">
        <f t="shared" si="78"/>
        <v>772.23313286196674</v>
      </c>
      <c r="R250" s="18">
        <f t="shared" si="79"/>
        <v>0</v>
      </c>
      <c r="S250" s="18">
        <f t="shared" si="80"/>
        <v>0</v>
      </c>
      <c r="T250" s="18">
        <f t="shared" si="81"/>
        <v>0</v>
      </c>
      <c r="U250" s="16"/>
      <c r="V250" s="18">
        <f t="shared" si="74"/>
        <v>799.27901110875405</v>
      </c>
      <c r="W250" s="16"/>
      <c r="X250" s="18">
        <f t="shared" si="75"/>
        <v>2235.3048914216888</v>
      </c>
      <c r="Y250" s="18">
        <f t="shared" si="76"/>
        <v>47.279011108754048</v>
      </c>
      <c r="Z250" s="18"/>
      <c r="AA250" s="18">
        <f t="shared" si="77"/>
        <v>1.1677483881652514E-4</v>
      </c>
    </row>
    <row r="251" spans="2:27" x14ac:dyDescent="0.35">
      <c r="B251" s="26">
        <v>60.500000000000007</v>
      </c>
      <c r="C251" s="26">
        <v>800</v>
      </c>
      <c r="D251" s="18">
        <f t="shared" si="67"/>
        <v>-2.9137042395674024</v>
      </c>
      <c r="E251" s="18">
        <f t="shared" si="67"/>
        <v>-8.7327041426033443</v>
      </c>
      <c r="F251" s="18">
        <f t="shared" si="67"/>
        <v>1000013.8155105581</v>
      </c>
      <c r="G251" s="18">
        <f t="shared" si="67"/>
        <v>1000013.8155105581</v>
      </c>
      <c r="H251" s="18">
        <f t="shared" si="67"/>
        <v>1000013.8155105581</v>
      </c>
      <c r="I251" s="16"/>
      <c r="J251" s="18">
        <f t="shared" si="69"/>
        <v>5.1547491506346702E-2</v>
      </c>
      <c r="K251" s="18">
        <f t="shared" si="70"/>
        <v>1.611999009244918E-4</v>
      </c>
      <c r="L251" s="18">
        <f t="shared" si="71"/>
        <v>999999.99999309238</v>
      </c>
      <c r="M251" s="18">
        <f t="shared" si="72"/>
        <v>999999.99999309238</v>
      </c>
      <c r="N251" s="18">
        <f t="shared" si="73"/>
        <v>999999.99999309238</v>
      </c>
      <c r="O251" s="16"/>
      <c r="P251" s="18">
        <f t="shared" si="68"/>
        <v>26.663193011217871</v>
      </c>
      <c r="Q251" s="18">
        <f t="shared" si="78"/>
        <v>770.79473870355298</v>
      </c>
      <c r="R251" s="18">
        <f t="shared" si="79"/>
        <v>0</v>
      </c>
      <c r="S251" s="18">
        <f t="shared" si="80"/>
        <v>0</v>
      </c>
      <c r="T251" s="18">
        <f t="shared" si="81"/>
        <v>0</v>
      </c>
      <c r="U251" s="16"/>
      <c r="V251" s="18">
        <f t="shared" si="74"/>
        <v>797.45793171477089</v>
      </c>
      <c r="W251" s="16"/>
      <c r="X251" s="18">
        <f t="shared" si="75"/>
        <v>6.4621111667676505</v>
      </c>
      <c r="Y251" s="18">
        <f t="shared" si="76"/>
        <v>2.5420682852291066</v>
      </c>
      <c r="Z251" s="18"/>
      <c r="AA251" s="18">
        <f t="shared" si="77"/>
        <v>6.2786764635452694E-6</v>
      </c>
    </row>
    <row r="252" spans="2:27" x14ac:dyDescent="0.35">
      <c r="B252" s="26">
        <v>60.800000000000004</v>
      </c>
      <c r="C252" s="26">
        <v>823</v>
      </c>
      <c r="D252" s="18">
        <f t="shared" si="67"/>
        <v>-2.8994198107445603</v>
      </c>
      <c r="E252" s="18">
        <f t="shared" si="67"/>
        <v>-8.7308397633022832</v>
      </c>
      <c r="F252" s="18">
        <f t="shared" si="67"/>
        <v>1000013.8155105581</v>
      </c>
      <c r="G252" s="18">
        <f t="shared" si="67"/>
        <v>1000013.8155105581</v>
      </c>
      <c r="H252" s="18">
        <f t="shared" si="67"/>
        <v>1000013.8155105581</v>
      </c>
      <c r="I252" s="16"/>
      <c r="J252" s="18">
        <f t="shared" si="69"/>
        <v>5.2252263214806915E-2</v>
      </c>
      <c r="K252" s="18">
        <f t="shared" si="70"/>
        <v>1.6150067044099907E-4</v>
      </c>
      <c r="L252" s="18">
        <f t="shared" si="71"/>
        <v>999999.99999309238</v>
      </c>
      <c r="M252" s="18">
        <f t="shared" si="72"/>
        <v>999999.99999309238</v>
      </c>
      <c r="N252" s="18">
        <f t="shared" si="73"/>
        <v>999999.99999309238</v>
      </c>
      <c r="O252" s="16"/>
      <c r="P252" s="18">
        <f t="shared" si="68"/>
        <v>26.285945887486889</v>
      </c>
      <c r="Q252" s="18">
        <f t="shared" si="78"/>
        <v>769.35902375919261</v>
      </c>
      <c r="R252" s="18">
        <f t="shared" si="79"/>
        <v>0</v>
      </c>
      <c r="S252" s="18">
        <f t="shared" si="80"/>
        <v>0</v>
      </c>
      <c r="T252" s="18">
        <f t="shared" si="81"/>
        <v>0</v>
      </c>
      <c r="U252" s="16"/>
      <c r="V252" s="18">
        <f t="shared" si="74"/>
        <v>795.64496964667956</v>
      </c>
      <c r="W252" s="16"/>
      <c r="X252" s="18">
        <f t="shared" si="75"/>
        <v>748.2976856310828</v>
      </c>
      <c r="Y252" s="18">
        <f t="shared" si="76"/>
        <v>27.355030353320444</v>
      </c>
      <c r="Z252" s="18"/>
      <c r="AA252" s="18">
        <f t="shared" si="77"/>
        <v>6.7564426273261988E-5</v>
      </c>
    </row>
    <row r="253" spans="2:27" x14ac:dyDescent="0.35">
      <c r="B253" s="26">
        <v>61.1</v>
      </c>
      <c r="C253" s="26">
        <v>806</v>
      </c>
      <c r="D253" s="18">
        <f t="shared" si="67"/>
        <v>-2.8851353819217183</v>
      </c>
      <c r="E253" s="18">
        <f t="shared" si="67"/>
        <v>-8.7289753840012203</v>
      </c>
      <c r="F253" s="18">
        <f t="shared" si="67"/>
        <v>1000013.8155105581</v>
      </c>
      <c r="G253" s="18">
        <f t="shared" si="67"/>
        <v>1000013.8155105581</v>
      </c>
      <c r="H253" s="18">
        <f t="shared" si="67"/>
        <v>1000013.8155105581</v>
      </c>
      <c r="I253" s="16"/>
      <c r="J253" s="18">
        <f t="shared" si="69"/>
        <v>5.2966186056182342E-2</v>
      </c>
      <c r="K253" s="18">
        <f t="shared" si="70"/>
        <v>1.6180200104759987E-4</v>
      </c>
      <c r="L253" s="18">
        <f t="shared" si="71"/>
        <v>999999.99999309238</v>
      </c>
      <c r="M253" s="18">
        <f t="shared" si="72"/>
        <v>999999.99999309238</v>
      </c>
      <c r="N253" s="18">
        <f t="shared" si="73"/>
        <v>999999.99999309238</v>
      </c>
      <c r="O253" s="16"/>
      <c r="P253" s="18">
        <f t="shared" si="68"/>
        <v>25.914059838991726</v>
      </c>
      <c r="Q253" s="18">
        <f t="shared" si="78"/>
        <v>767.92598303846705</v>
      </c>
      <c r="R253" s="18">
        <f t="shared" si="79"/>
        <v>0</v>
      </c>
      <c r="S253" s="18">
        <f t="shared" si="80"/>
        <v>0</v>
      </c>
      <c r="T253" s="18">
        <f t="shared" si="81"/>
        <v>0</v>
      </c>
      <c r="U253" s="16"/>
      <c r="V253" s="18">
        <f t="shared" si="74"/>
        <v>793.84004287745881</v>
      </c>
      <c r="W253" s="16"/>
      <c r="X253" s="18">
        <f t="shared" si="75"/>
        <v>147.86455722204013</v>
      </c>
      <c r="Y253" s="18">
        <f t="shared" si="76"/>
        <v>12.159957122541186</v>
      </c>
      <c r="Z253" s="18"/>
      <c r="AA253" s="18">
        <f t="shared" si="77"/>
        <v>3.0033983361756165E-5</v>
      </c>
    </row>
    <row r="254" spans="2:27" x14ac:dyDescent="0.35">
      <c r="B254" s="26">
        <v>61.4</v>
      </c>
      <c r="C254" s="26">
        <v>776</v>
      </c>
      <c r="D254" s="18">
        <f t="shared" si="67"/>
        <v>-2.8708509530988757</v>
      </c>
      <c r="E254" s="18">
        <f t="shared" si="67"/>
        <v>-8.7271110047001592</v>
      </c>
      <c r="F254" s="18">
        <f t="shared" si="67"/>
        <v>1000013.8155105581</v>
      </c>
      <c r="G254" s="18">
        <f t="shared" si="67"/>
        <v>1000013.8155105581</v>
      </c>
      <c r="H254" s="18">
        <f t="shared" si="67"/>
        <v>1000013.8155105581</v>
      </c>
      <c r="I254" s="16"/>
      <c r="J254" s="18">
        <f t="shared" si="69"/>
        <v>5.3689366206309319E-2</v>
      </c>
      <c r="K254" s="18">
        <f t="shared" si="70"/>
        <v>1.6210389379067675E-4</v>
      </c>
      <c r="L254" s="18">
        <f t="shared" si="71"/>
        <v>999999.99999309238</v>
      </c>
      <c r="M254" s="18">
        <f t="shared" si="72"/>
        <v>999999.99999309238</v>
      </c>
      <c r="N254" s="18">
        <f t="shared" si="73"/>
        <v>999999.99999309238</v>
      </c>
      <c r="O254" s="16"/>
      <c r="P254" s="18">
        <f t="shared" si="68"/>
        <v>25.547458921741981</v>
      </c>
      <c r="Q254" s="18">
        <f t="shared" si="78"/>
        <v>766.49561156025629</v>
      </c>
      <c r="R254" s="18">
        <f t="shared" si="79"/>
        <v>0</v>
      </c>
      <c r="S254" s="18">
        <f t="shared" si="80"/>
        <v>0</v>
      </c>
      <c r="T254" s="18">
        <f t="shared" si="81"/>
        <v>0</v>
      </c>
      <c r="U254" s="16"/>
      <c r="V254" s="18">
        <f t="shared" si="74"/>
        <v>792.04307048199826</v>
      </c>
      <c r="W254" s="16"/>
      <c r="X254" s="18">
        <f t="shared" si="75"/>
        <v>257.38011049036379</v>
      </c>
      <c r="Y254" s="18">
        <f t="shared" si="76"/>
        <v>16.043070481998257</v>
      </c>
      <c r="Z254" s="18"/>
      <c r="AA254" s="18">
        <f t="shared" si="77"/>
        <v>3.9624918663127881E-5</v>
      </c>
    </row>
    <row r="255" spans="2:27" x14ac:dyDescent="0.35">
      <c r="B255" s="26">
        <v>61.699999999999996</v>
      </c>
      <c r="C255" s="26">
        <v>797</v>
      </c>
      <c r="D255" s="18">
        <f t="shared" si="67"/>
        <v>-2.8565665242760336</v>
      </c>
      <c r="E255" s="18">
        <f t="shared" si="67"/>
        <v>-8.7252466253990981</v>
      </c>
      <c r="F255" s="18">
        <f t="shared" si="67"/>
        <v>1000013.8155105581</v>
      </c>
      <c r="G255" s="18">
        <f t="shared" si="67"/>
        <v>1000013.8155105581</v>
      </c>
      <c r="H255" s="18">
        <f t="shared" si="67"/>
        <v>1000013.8155105581</v>
      </c>
      <c r="I255" s="16"/>
      <c r="J255" s="18">
        <f t="shared" si="69"/>
        <v>5.442191075232377E-2</v>
      </c>
      <c r="K255" s="18">
        <f t="shared" si="70"/>
        <v>1.6240634971856306E-4</v>
      </c>
      <c r="L255" s="18">
        <f t="shared" si="71"/>
        <v>999999.99999309238</v>
      </c>
      <c r="M255" s="18">
        <f t="shared" si="72"/>
        <v>999999.99999309238</v>
      </c>
      <c r="N255" s="18">
        <f t="shared" si="73"/>
        <v>999999.99999309238</v>
      </c>
      <c r="O255" s="16"/>
      <c r="P255" s="18">
        <f t="shared" si="68"/>
        <v>25.18606826884027</v>
      </c>
      <c r="Q255" s="18">
        <f t="shared" si="78"/>
        <v>765.06790435271546</v>
      </c>
      <c r="R255" s="18">
        <f t="shared" si="79"/>
        <v>0</v>
      </c>
      <c r="S255" s="18">
        <f t="shared" si="80"/>
        <v>0</v>
      </c>
      <c r="T255" s="18">
        <f t="shared" si="81"/>
        <v>0</v>
      </c>
      <c r="U255" s="16"/>
      <c r="V255" s="18">
        <f t="shared" si="74"/>
        <v>790.2539726215557</v>
      </c>
      <c r="W255" s="16"/>
      <c r="X255" s="18">
        <f t="shared" si="75"/>
        <v>45.508885390720025</v>
      </c>
      <c r="Y255" s="18">
        <f t="shared" si="76"/>
        <v>6.7460273784442961</v>
      </c>
      <c r="Z255" s="18"/>
      <c r="AA255" s="18">
        <f t="shared" si="77"/>
        <v>1.6662071420183272E-5</v>
      </c>
    </row>
    <row r="256" spans="2:27" x14ac:dyDescent="0.35">
      <c r="B256" s="26">
        <v>62.000000000000007</v>
      </c>
      <c r="C256" s="26">
        <v>798</v>
      </c>
      <c r="D256" s="18">
        <f t="shared" si="67"/>
        <v>-2.8422820954531911</v>
      </c>
      <c r="E256" s="18">
        <f t="shared" si="67"/>
        <v>-8.7233822460980353</v>
      </c>
      <c r="F256" s="18">
        <f t="shared" si="67"/>
        <v>1000013.8155105581</v>
      </c>
      <c r="G256" s="18">
        <f t="shared" si="67"/>
        <v>1000013.8155105581</v>
      </c>
      <c r="H256" s="18">
        <f t="shared" si="67"/>
        <v>1000013.8155105581</v>
      </c>
      <c r="I256" s="16"/>
      <c r="J256" s="18">
        <f t="shared" si="69"/>
        <v>5.5163927692423891E-2</v>
      </c>
      <c r="K256" s="18">
        <f t="shared" si="70"/>
        <v>1.6270936988154619E-4</v>
      </c>
      <c r="L256" s="18">
        <f t="shared" si="71"/>
        <v>999999.99999309238</v>
      </c>
      <c r="M256" s="18">
        <f t="shared" si="72"/>
        <v>999999.99999309238</v>
      </c>
      <c r="N256" s="18">
        <f t="shared" si="73"/>
        <v>999999.99999309238</v>
      </c>
      <c r="O256" s="16"/>
      <c r="P256" s="18">
        <f t="shared" si="68"/>
        <v>24.829814075182632</v>
      </c>
      <c r="Q256" s="18">
        <f t="shared" si="78"/>
        <v>763.64285645325879</v>
      </c>
      <c r="R256" s="18">
        <f t="shared" si="79"/>
        <v>0</v>
      </c>
      <c r="S256" s="18">
        <f t="shared" si="80"/>
        <v>0</v>
      </c>
      <c r="T256" s="18">
        <f t="shared" si="81"/>
        <v>0</v>
      </c>
      <c r="U256" s="16"/>
      <c r="V256" s="18">
        <f t="shared" si="74"/>
        <v>788.47267052844143</v>
      </c>
      <c r="W256" s="16"/>
      <c r="X256" s="18">
        <f t="shared" si="75"/>
        <v>90.770006859628566</v>
      </c>
      <c r="Y256" s="18">
        <f t="shared" si="76"/>
        <v>9.5273294715585735</v>
      </c>
      <c r="Z256" s="18"/>
      <c r="AA256" s="18">
        <f t="shared" si="77"/>
        <v>2.3531633536793348E-5</v>
      </c>
    </row>
    <row r="257" spans="2:27" x14ac:dyDescent="0.35">
      <c r="B257" s="26">
        <v>62.199999999999996</v>
      </c>
      <c r="C257" s="26">
        <v>798</v>
      </c>
      <c r="D257" s="18">
        <f t="shared" si="67"/>
        <v>-2.8327591429046297</v>
      </c>
      <c r="E257" s="18">
        <f t="shared" si="67"/>
        <v>-8.7221393265639939</v>
      </c>
      <c r="F257" s="18">
        <f t="shared" si="67"/>
        <v>1000013.8155105581</v>
      </c>
      <c r="G257" s="18">
        <f t="shared" si="67"/>
        <v>1000013.8155105581</v>
      </c>
      <c r="H257" s="18">
        <f t="shared" si="67"/>
        <v>1000013.8155105581</v>
      </c>
      <c r="I257" s="16"/>
      <c r="J257" s="18">
        <f t="shared" si="69"/>
        <v>5.5663921838314125E-2</v>
      </c>
      <c r="K257" s="18">
        <f t="shared" si="70"/>
        <v>1.6291169730702344E-4</v>
      </c>
      <c r="L257" s="18">
        <f t="shared" si="71"/>
        <v>999999.99999309238</v>
      </c>
      <c r="M257" s="18">
        <f t="shared" si="72"/>
        <v>999999.99999309238</v>
      </c>
      <c r="N257" s="18">
        <f t="shared" si="73"/>
        <v>999999.99999309238</v>
      </c>
      <c r="O257" s="16"/>
      <c r="P257" s="18">
        <f t="shared" si="68"/>
        <v>24.595128895184551</v>
      </c>
      <c r="Q257" s="18">
        <f t="shared" si="78"/>
        <v>762.69429946719583</v>
      </c>
      <c r="R257" s="18">
        <f t="shared" si="79"/>
        <v>0</v>
      </c>
      <c r="S257" s="18">
        <f t="shared" si="80"/>
        <v>0</v>
      </c>
      <c r="T257" s="18">
        <f t="shared" si="81"/>
        <v>0</v>
      </c>
      <c r="U257" s="16"/>
      <c r="V257" s="18">
        <f t="shared" si="74"/>
        <v>787.28942836238036</v>
      </c>
      <c r="W257" s="16"/>
      <c r="X257" s="18">
        <f t="shared" si="75"/>
        <v>114.71634480458219</v>
      </c>
      <c r="Y257" s="18">
        <f t="shared" si="76"/>
        <v>10.710571637619637</v>
      </c>
      <c r="Z257" s="18"/>
      <c r="AA257" s="18">
        <f t="shared" si="77"/>
        <v>2.6454133605689949E-5</v>
      </c>
    </row>
    <row r="258" spans="2:27" x14ac:dyDescent="0.35">
      <c r="B258" s="26">
        <v>62.500000000000007</v>
      </c>
      <c r="C258" s="26">
        <v>794</v>
      </c>
      <c r="D258" s="18">
        <f t="shared" si="67"/>
        <v>-2.8184747140817872</v>
      </c>
      <c r="E258" s="18">
        <f t="shared" si="67"/>
        <v>-8.7202749472629328</v>
      </c>
      <c r="F258" s="18">
        <f t="shared" si="67"/>
        <v>1000013.8155105581</v>
      </c>
      <c r="G258" s="18">
        <f t="shared" si="67"/>
        <v>1000013.8155105581</v>
      </c>
      <c r="H258" s="18">
        <f t="shared" si="67"/>
        <v>1000013.8155105581</v>
      </c>
      <c r="I258" s="16"/>
      <c r="J258" s="18">
        <f t="shared" si="69"/>
        <v>5.6421968570779968E-2</v>
      </c>
      <c r="K258" s="18">
        <f t="shared" si="70"/>
        <v>1.6321566020112278E-4</v>
      </c>
      <c r="L258" s="18">
        <f t="shared" si="71"/>
        <v>999999.99999309238</v>
      </c>
      <c r="M258" s="18">
        <f t="shared" si="72"/>
        <v>999999.99999309238</v>
      </c>
      <c r="N258" s="18">
        <f t="shared" si="73"/>
        <v>999999.99999309238</v>
      </c>
      <c r="O258" s="16"/>
      <c r="P258" s="18">
        <f t="shared" si="68"/>
        <v>24.247274291770999</v>
      </c>
      <c r="Q258" s="18">
        <f t="shared" si="78"/>
        <v>761.27367274501887</v>
      </c>
      <c r="R258" s="18">
        <f t="shared" si="79"/>
        <v>0</v>
      </c>
      <c r="S258" s="18">
        <f t="shared" si="80"/>
        <v>0</v>
      </c>
      <c r="T258" s="18">
        <f t="shared" si="81"/>
        <v>0</v>
      </c>
      <c r="U258" s="16"/>
      <c r="V258" s="18">
        <f t="shared" si="74"/>
        <v>785.52094703678983</v>
      </c>
      <c r="W258" s="16"/>
      <c r="X258" s="18">
        <f t="shared" si="75"/>
        <v>71.894339152923081</v>
      </c>
      <c r="Y258" s="18">
        <f t="shared" si="76"/>
        <v>8.4790529632101652</v>
      </c>
      <c r="Z258" s="18"/>
      <c r="AA258" s="18">
        <f t="shared" si="77"/>
        <v>2.0942486314235017E-5</v>
      </c>
    </row>
    <row r="259" spans="2:27" x14ac:dyDescent="0.35">
      <c r="B259" s="26">
        <v>62.800000000000004</v>
      </c>
      <c r="C259" s="26">
        <v>802</v>
      </c>
      <c r="D259" s="18">
        <f t="shared" si="67"/>
        <v>-2.8041902852589451</v>
      </c>
      <c r="E259" s="18">
        <f t="shared" si="67"/>
        <v>-8.7184105679618717</v>
      </c>
      <c r="F259" s="18">
        <f t="shared" si="67"/>
        <v>1000013.8155105581</v>
      </c>
      <c r="G259" s="18">
        <f t="shared" si="67"/>
        <v>1000013.8155105581</v>
      </c>
      <c r="H259" s="18">
        <f t="shared" si="67"/>
        <v>1000013.8155105581</v>
      </c>
      <c r="I259" s="16"/>
      <c r="J259" s="18">
        <f t="shared" si="69"/>
        <v>5.7189780142258222E-2</v>
      </c>
      <c r="K259" s="18">
        <f t="shared" si="70"/>
        <v>1.6352019014066326E-4</v>
      </c>
      <c r="L259" s="18">
        <f t="shared" si="71"/>
        <v>999999.99999309238</v>
      </c>
      <c r="M259" s="18">
        <f t="shared" si="72"/>
        <v>999999.99999309238</v>
      </c>
      <c r="N259" s="18">
        <f t="shared" si="73"/>
        <v>999999.99999309238</v>
      </c>
      <c r="O259" s="16"/>
      <c r="P259" s="18">
        <f t="shared" si="68"/>
        <v>23.904364410949849</v>
      </c>
      <c r="Q259" s="18">
        <f t="shared" si="78"/>
        <v>759.85569214251586</v>
      </c>
      <c r="R259" s="18">
        <f t="shared" si="79"/>
        <v>0</v>
      </c>
      <c r="S259" s="18">
        <f t="shared" si="80"/>
        <v>0</v>
      </c>
      <c r="T259" s="18">
        <f t="shared" si="81"/>
        <v>0</v>
      </c>
      <c r="U259" s="16"/>
      <c r="V259" s="18">
        <f t="shared" si="74"/>
        <v>783.76005655346569</v>
      </c>
      <c r="W259" s="16"/>
      <c r="X259" s="18">
        <f t="shared" si="75"/>
        <v>332.69553693276998</v>
      </c>
      <c r="Y259" s="18">
        <f t="shared" si="76"/>
        <v>18.239943446534312</v>
      </c>
      <c r="Z259" s="18"/>
      <c r="AA259" s="18">
        <f t="shared" si="77"/>
        <v>4.5050994215849829E-5</v>
      </c>
    </row>
    <row r="260" spans="2:27" x14ac:dyDescent="0.35">
      <c r="B260" s="26">
        <v>63.1</v>
      </c>
      <c r="C260" s="26">
        <v>800</v>
      </c>
      <c r="D260" s="18">
        <f t="shared" si="67"/>
        <v>-2.7899058564361026</v>
      </c>
      <c r="E260" s="18">
        <f t="shared" si="67"/>
        <v>-8.7165461886608089</v>
      </c>
      <c r="F260" s="18">
        <f t="shared" si="67"/>
        <v>1000013.8155105581</v>
      </c>
      <c r="G260" s="18">
        <f t="shared" si="67"/>
        <v>1000013.8155105581</v>
      </c>
      <c r="H260" s="18">
        <f t="shared" si="67"/>
        <v>1000013.8155105581</v>
      </c>
      <c r="I260" s="16"/>
      <c r="J260" s="18">
        <f t="shared" si="69"/>
        <v>5.7967467885631556E-2</v>
      </c>
      <c r="K260" s="18">
        <f t="shared" si="70"/>
        <v>1.6382528818312709E-4</v>
      </c>
      <c r="L260" s="18">
        <f t="shared" si="71"/>
        <v>999999.99999309238</v>
      </c>
      <c r="M260" s="18">
        <f t="shared" si="72"/>
        <v>999999.99999309238</v>
      </c>
      <c r="N260" s="18">
        <f t="shared" si="73"/>
        <v>999999.99999309238</v>
      </c>
      <c r="O260" s="16"/>
      <c r="P260" s="18">
        <f t="shared" si="68"/>
        <v>23.56632921342851</v>
      </c>
      <c r="Q260" s="18">
        <f t="shared" si="78"/>
        <v>758.44035273091094</v>
      </c>
      <c r="R260" s="18">
        <f t="shared" si="79"/>
        <v>0</v>
      </c>
      <c r="S260" s="18">
        <f t="shared" si="80"/>
        <v>0</v>
      </c>
      <c r="T260" s="18">
        <f t="shared" si="81"/>
        <v>0</v>
      </c>
      <c r="U260" s="16"/>
      <c r="V260" s="18">
        <f t="shared" si="74"/>
        <v>782.00668194433945</v>
      </c>
      <c r="W260" s="16"/>
      <c r="X260" s="18">
        <f t="shared" si="75"/>
        <v>323.75949465216001</v>
      </c>
      <c r="Y260" s="18">
        <f t="shared" si="76"/>
        <v>17.993318055660552</v>
      </c>
      <c r="Z260" s="18"/>
      <c r="AA260" s="18">
        <f t="shared" si="77"/>
        <v>4.4441852027974978E-5</v>
      </c>
    </row>
    <row r="261" spans="2:27" x14ac:dyDescent="0.35">
      <c r="B261" s="26">
        <v>63.4</v>
      </c>
      <c r="C261" s="26">
        <v>758</v>
      </c>
      <c r="D261" s="18">
        <f t="shared" si="67"/>
        <v>-2.7756214276132605</v>
      </c>
      <c r="E261" s="18">
        <f t="shared" si="67"/>
        <v>-8.7146818093597478</v>
      </c>
      <c r="F261" s="18">
        <f t="shared" si="67"/>
        <v>1000013.8155105581</v>
      </c>
      <c r="G261" s="18">
        <f t="shared" si="67"/>
        <v>1000013.8155105581</v>
      </c>
      <c r="H261" s="18">
        <f t="shared" si="67"/>
        <v>1000013.8155105581</v>
      </c>
      <c r="I261" s="16"/>
      <c r="J261" s="18">
        <f t="shared" si="69"/>
        <v>5.8755144040551488E-2</v>
      </c>
      <c r="K261" s="18">
        <f t="shared" si="70"/>
        <v>1.6413095538796654E-4</v>
      </c>
      <c r="L261" s="18">
        <f t="shared" si="71"/>
        <v>999999.99999309238</v>
      </c>
      <c r="M261" s="18">
        <f t="shared" si="72"/>
        <v>999999.99999309238</v>
      </c>
      <c r="N261" s="18">
        <f t="shared" si="73"/>
        <v>999999.99999309238</v>
      </c>
      <c r="O261" s="16"/>
      <c r="P261" s="18">
        <f t="shared" si="68"/>
        <v>23.23309965312281</v>
      </c>
      <c r="Q261" s="18">
        <f t="shared" si="78"/>
        <v>757.02764959061233</v>
      </c>
      <c r="R261" s="18">
        <f t="shared" si="79"/>
        <v>0</v>
      </c>
      <c r="S261" s="18">
        <f t="shared" si="80"/>
        <v>0</v>
      </c>
      <c r="T261" s="18">
        <f t="shared" si="81"/>
        <v>0</v>
      </c>
      <c r="U261" s="16"/>
      <c r="V261" s="18">
        <f t="shared" si="74"/>
        <v>780.26074924373518</v>
      </c>
      <c r="W261" s="16"/>
      <c r="X261" s="18">
        <f t="shared" si="75"/>
        <v>495.54095689245622</v>
      </c>
      <c r="Y261" s="18">
        <f t="shared" si="76"/>
        <v>22.260749243735177</v>
      </c>
      <c r="Z261" s="18"/>
      <c r="AA261" s="18">
        <f t="shared" si="77"/>
        <v>5.4982017261163571E-5</v>
      </c>
    </row>
    <row r="262" spans="2:27" x14ac:dyDescent="0.35">
      <c r="B262" s="26">
        <v>63.699999999999996</v>
      </c>
      <c r="C262" s="26">
        <v>751</v>
      </c>
      <c r="D262" s="18">
        <f t="shared" si="67"/>
        <v>-2.7613369987904184</v>
      </c>
      <c r="E262" s="18">
        <f t="shared" si="67"/>
        <v>-8.7128174300586867</v>
      </c>
      <c r="F262" s="18">
        <f t="shared" si="67"/>
        <v>1000013.8155105581</v>
      </c>
      <c r="G262" s="18">
        <f t="shared" si="67"/>
        <v>1000013.8155105581</v>
      </c>
      <c r="H262" s="18">
        <f t="shared" si="67"/>
        <v>1000013.8155105581</v>
      </c>
      <c r="I262" s="16"/>
      <c r="J262" s="18">
        <f t="shared" si="69"/>
        <v>5.9552921751802858E-2</v>
      </c>
      <c r="K262" s="18">
        <f t="shared" si="70"/>
        <v>1.6443719281660906E-4</v>
      </c>
      <c r="L262" s="18">
        <f t="shared" si="71"/>
        <v>999999.99999309238</v>
      </c>
      <c r="M262" s="18">
        <f t="shared" si="72"/>
        <v>999999.99999309238</v>
      </c>
      <c r="N262" s="18">
        <f t="shared" si="73"/>
        <v>999999.99999309238</v>
      </c>
      <c r="O262" s="16"/>
      <c r="P262" s="18">
        <f t="shared" si="68"/>
        <v>22.90460766304404</v>
      </c>
      <c r="Q262" s="18">
        <f t="shared" si="78"/>
        <v>755.61757781118865</v>
      </c>
      <c r="R262" s="18">
        <f t="shared" si="79"/>
        <v>0</v>
      </c>
      <c r="S262" s="18">
        <f t="shared" si="80"/>
        <v>0</v>
      </c>
      <c r="T262" s="18">
        <f t="shared" si="81"/>
        <v>0</v>
      </c>
      <c r="U262" s="16"/>
      <c r="V262" s="18">
        <f t="shared" si="74"/>
        <v>778.52218547423274</v>
      </c>
      <c r="W262" s="16"/>
      <c r="X262" s="18">
        <f t="shared" si="75"/>
        <v>757.47069327806776</v>
      </c>
      <c r="Y262" s="18">
        <f t="shared" si="76"/>
        <v>27.522185474232742</v>
      </c>
      <c r="Z262" s="18"/>
      <c r="AA262" s="18">
        <f t="shared" si="77"/>
        <v>6.7977284153410765E-5</v>
      </c>
    </row>
    <row r="263" spans="2:27" x14ac:dyDescent="0.35">
      <c r="B263" s="26">
        <v>64</v>
      </c>
      <c r="C263" s="26">
        <v>804</v>
      </c>
      <c r="D263" s="18">
        <f t="shared" si="67"/>
        <v>-2.7470525699675759</v>
      </c>
      <c r="E263" s="18">
        <f t="shared" si="67"/>
        <v>-8.7109530507576238</v>
      </c>
      <c r="F263" s="18">
        <f t="shared" si="67"/>
        <v>1000013.8155105581</v>
      </c>
      <c r="G263" s="18">
        <f t="shared" si="67"/>
        <v>1000013.8155105581</v>
      </c>
      <c r="H263" s="18">
        <f t="shared" si="67"/>
        <v>1000013.8155105581</v>
      </c>
      <c r="I263" s="16"/>
      <c r="J263" s="18">
        <f t="shared" si="69"/>
        <v>6.0360915067403875E-2</v>
      </c>
      <c r="K263" s="18">
        <f t="shared" si="70"/>
        <v>1.6474400153246036E-4</v>
      </c>
      <c r="L263" s="18">
        <f t="shared" si="71"/>
        <v>999999.99999309238</v>
      </c>
      <c r="M263" s="18">
        <f t="shared" si="72"/>
        <v>999999.99999309238</v>
      </c>
      <c r="N263" s="18">
        <f t="shared" si="73"/>
        <v>999999.99999309238</v>
      </c>
      <c r="O263" s="16"/>
      <c r="P263" s="18">
        <f t="shared" si="68"/>
        <v>22.580786141385797</v>
      </c>
      <c r="Q263" s="18">
        <f t="shared" si="78"/>
        <v>754.21013249135365</v>
      </c>
      <c r="R263" s="18">
        <f t="shared" si="79"/>
        <v>0</v>
      </c>
      <c r="S263" s="18">
        <f t="shared" si="80"/>
        <v>0</v>
      </c>
      <c r="T263" s="18">
        <f t="shared" si="81"/>
        <v>0</v>
      </c>
      <c r="U263" s="16"/>
      <c r="V263" s="18">
        <f t="shared" si="74"/>
        <v>776.79091863273948</v>
      </c>
      <c r="W263" s="16"/>
      <c r="X263" s="18">
        <f t="shared" si="75"/>
        <v>740.33410885020385</v>
      </c>
      <c r="Y263" s="18">
        <f t="shared" si="76"/>
        <v>27.209081367260524</v>
      </c>
      <c r="Z263" s="18"/>
      <c r="AA263" s="18">
        <f t="shared" si="77"/>
        <v>6.7203945609159714E-5</v>
      </c>
    </row>
    <row r="264" spans="2:27" x14ac:dyDescent="0.35">
      <c r="B264" s="26">
        <v>64.199999999999989</v>
      </c>
      <c r="C264" s="26">
        <v>759</v>
      </c>
      <c r="D264" s="18">
        <f t="shared" si="67"/>
        <v>-2.7375296174190149</v>
      </c>
      <c r="E264" s="18">
        <f t="shared" si="67"/>
        <v>-8.7097101312235825</v>
      </c>
      <c r="F264" s="18">
        <f t="shared" si="67"/>
        <v>1000013.8155105581</v>
      </c>
      <c r="G264" s="18">
        <f t="shared" si="67"/>
        <v>1000013.8155105581</v>
      </c>
      <c r="H264" s="18">
        <f t="shared" si="67"/>
        <v>1000013.8155105581</v>
      </c>
      <c r="I264" s="16"/>
      <c r="J264" s="18">
        <f t="shared" si="69"/>
        <v>6.0905309341524182E-2</v>
      </c>
      <c r="K264" s="18">
        <f t="shared" si="70"/>
        <v>1.6494885858417912E-4</v>
      </c>
      <c r="L264" s="18">
        <f t="shared" si="71"/>
        <v>999999.99999309238</v>
      </c>
      <c r="M264" s="18">
        <f t="shared" si="72"/>
        <v>999999.99999309238</v>
      </c>
      <c r="N264" s="18">
        <f t="shared" si="73"/>
        <v>999999.99999309238</v>
      </c>
      <c r="O264" s="16"/>
      <c r="P264" s="18">
        <f t="shared" si="68"/>
        <v>22.367467126044655</v>
      </c>
      <c r="Q264" s="18">
        <f t="shared" si="78"/>
        <v>753.27329233942669</v>
      </c>
      <c r="R264" s="18">
        <f t="shared" si="79"/>
        <v>0</v>
      </c>
      <c r="S264" s="18">
        <f t="shared" si="80"/>
        <v>0</v>
      </c>
      <c r="T264" s="18">
        <f t="shared" si="81"/>
        <v>0</v>
      </c>
      <c r="U264" s="16"/>
      <c r="V264" s="18">
        <f t="shared" si="74"/>
        <v>775.64075946547132</v>
      </c>
      <c r="W264" s="16"/>
      <c r="X264" s="18">
        <f t="shared" si="75"/>
        <v>276.91487558767329</v>
      </c>
      <c r="Y264" s="18">
        <f t="shared" si="76"/>
        <v>16.640759465471319</v>
      </c>
      <c r="Z264" s="18"/>
      <c r="AA264" s="18">
        <f t="shared" si="77"/>
        <v>4.110115585740703E-5</v>
      </c>
    </row>
    <row r="265" spans="2:27" x14ac:dyDescent="0.35">
      <c r="B265" s="26">
        <v>64.5</v>
      </c>
      <c r="C265" s="26">
        <v>781</v>
      </c>
      <c r="D265" s="18">
        <f t="shared" si="67"/>
        <v>-2.7232451885961719</v>
      </c>
      <c r="E265" s="18">
        <f t="shared" si="67"/>
        <v>-8.7078457519225214</v>
      </c>
      <c r="F265" s="18">
        <f t="shared" si="67"/>
        <v>1000013.8155105581</v>
      </c>
      <c r="G265" s="18">
        <f t="shared" si="67"/>
        <v>1000013.8155105581</v>
      </c>
      <c r="H265" s="18">
        <f t="shared" si="67"/>
        <v>1000013.8155105581</v>
      </c>
      <c r="I265" s="16"/>
      <c r="J265" s="18">
        <f t="shared" si="69"/>
        <v>6.1730584550651293E-2</v>
      </c>
      <c r="K265" s="18">
        <f t="shared" si="70"/>
        <v>1.6525662181388507E-4</v>
      </c>
      <c r="L265" s="18">
        <f t="shared" si="71"/>
        <v>999999.99999309238</v>
      </c>
      <c r="M265" s="18">
        <f t="shared" si="72"/>
        <v>999999.99999309238</v>
      </c>
      <c r="N265" s="18">
        <f t="shared" si="73"/>
        <v>999999.99999309238</v>
      </c>
      <c r="O265" s="16"/>
      <c r="P265" s="18">
        <f t="shared" si="68"/>
        <v>22.051283181396659</v>
      </c>
      <c r="Q265" s="18">
        <f t="shared" si="78"/>
        <v>751.87021358528898</v>
      </c>
      <c r="R265" s="18">
        <f t="shared" si="79"/>
        <v>0</v>
      </c>
      <c r="S265" s="18">
        <f t="shared" si="80"/>
        <v>0</v>
      </c>
      <c r="T265" s="18">
        <f t="shared" si="81"/>
        <v>0</v>
      </c>
      <c r="U265" s="16"/>
      <c r="V265" s="18">
        <f t="shared" si="74"/>
        <v>773.92149676668566</v>
      </c>
      <c r="W265" s="16"/>
      <c r="X265" s="18">
        <f t="shared" si="75"/>
        <v>50.105208024041517</v>
      </c>
      <c r="Y265" s="18">
        <f t="shared" si="76"/>
        <v>7.0785032333143363</v>
      </c>
      <c r="Z265" s="18"/>
      <c r="AA265" s="18">
        <f t="shared" si="77"/>
        <v>1.7483256412262068E-5</v>
      </c>
    </row>
    <row r="266" spans="2:27" x14ac:dyDescent="0.35">
      <c r="B266" s="26">
        <v>64.800000000000011</v>
      </c>
      <c r="C266" s="26">
        <v>737</v>
      </c>
      <c r="D266" s="18">
        <f t="shared" si="67"/>
        <v>-2.708960759773329</v>
      </c>
      <c r="E266" s="18">
        <f t="shared" si="67"/>
        <v>-8.7059813726214585</v>
      </c>
      <c r="F266" s="18">
        <f t="shared" si="67"/>
        <v>1000013.8155105581</v>
      </c>
      <c r="G266" s="18">
        <f t="shared" si="67"/>
        <v>1000013.8155105581</v>
      </c>
      <c r="H266" s="18">
        <f t="shared" si="67"/>
        <v>1000013.8155105581</v>
      </c>
      <c r="I266" s="16"/>
      <c r="J266" s="18">
        <f t="shared" si="69"/>
        <v>6.2566383890613683E-2</v>
      </c>
      <c r="K266" s="18">
        <f t="shared" si="70"/>
        <v>1.6556495917624647E-4</v>
      </c>
      <c r="L266" s="18">
        <f t="shared" si="71"/>
        <v>999999.99999309238</v>
      </c>
      <c r="M266" s="18">
        <f t="shared" si="72"/>
        <v>999999.99999309238</v>
      </c>
      <c r="N266" s="18">
        <f t="shared" si="73"/>
        <v>999999.99999309238</v>
      </c>
      <c r="O266" s="16"/>
      <c r="P266" s="18">
        <f t="shared" si="68"/>
        <v>21.739595381989066</v>
      </c>
      <c r="Q266" s="18">
        <f t="shared" si="78"/>
        <v>750.46974826523467</v>
      </c>
      <c r="R266" s="18">
        <f t="shared" si="79"/>
        <v>0</v>
      </c>
      <c r="S266" s="18">
        <f t="shared" si="80"/>
        <v>0</v>
      </c>
      <c r="T266" s="18">
        <f t="shared" si="81"/>
        <v>0</v>
      </c>
      <c r="U266" s="16"/>
      <c r="V266" s="18">
        <f t="shared" si="74"/>
        <v>772.2093436472237</v>
      </c>
      <c r="W266" s="16"/>
      <c r="X266" s="18">
        <f t="shared" si="75"/>
        <v>1239.6978800682923</v>
      </c>
      <c r="Y266" s="18">
        <f t="shared" si="76"/>
        <v>35.209343647223704</v>
      </c>
      <c r="Z266" s="18"/>
      <c r="AA266" s="18">
        <f t="shared" si="77"/>
        <v>8.6963862670107875E-5</v>
      </c>
    </row>
    <row r="267" spans="2:27" x14ac:dyDescent="0.35">
      <c r="B267" s="26">
        <v>65.099999999999994</v>
      </c>
      <c r="C267" s="26">
        <v>754</v>
      </c>
      <c r="D267" s="18">
        <f t="shared" si="67"/>
        <v>-2.6946763309504878</v>
      </c>
      <c r="E267" s="18">
        <f t="shared" si="67"/>
        <v>-8.7041169933203975</v>
      </c>
      <c r="F267" s="18">
        <f t="shared" si="67"/>
        <v>1000013.8155105581</v>
      </c>
      <c r="G267" s="18">
        <f t="shared" si="67"/>
        <v>1000013.8155105581</v>
      </c>
      <c r="H267" s="18">
        <f t="shared" si="67"/>
        <v>1000013.8155105581</v>
      </c>
      <c r="I267" s="16"/>
      <c r="J267" s="18">
        <f t="shared" si="69"/>
        <v>6.3412824700619999E-2</v>
      </c>
      <c r="K267" s="18">
        <f t="shared" si="70"/>
        <v>1.6587387174195285E-4</v>
      </c>
      <c r="L267" s="18">
        <f t="shared" si="71"/>
        <v>999999.99999309238</v>
      </c>
      <c r="M267" s="18">
        <f t="shared" si="72"/>
        <v>999999.99999309238</v>
      </c>
      <c r="N267" s="18">
        <f t="shared" si="73"/>
        <v>999999.99999309238</v>
      </c>
      <c r="O267" s="16"/>
      <c r="P267" s="18">
        <f t="shared" si="68"/>
        <v>21.432340049132637</v>
      </c>
      <c r="Q267" s="18">
        <f t="shared" si="78"/>
        <v>749.07189151137379</v>
      </c>
      <c r="R267" s="18">
        <f t="shared" si="79"/>
        <v>0</v>
      </c>
      <c r="S267" s="18">
        <f t="shared" si="80"/>
        <v>0</v>
      </c>
      <c r="T267" s="18">
        <f t="shared" si="81"/>
        <v>0</v>
      </c>
      <c r="U267" s="16"/>
      <c r="V267" s="18">
        <f t="shared" si="74"/>
        <v>770.50423156050647</v>
      </c>
      <c r="W267" s="16"/>
      <c r="X267" s="18">
        <f t="shared" si="75"/>
        <v>272.38965940281781</v>
      </c>
      <c r="Y267" s="18">
        <f t="shared" si="76"/>
        <v>16.504231560506469</v>
      </c>
      <c r="Z267" s="18"/>
      <c r="AA267" s="18">
        <f t="shared" si="77"/>
        <v>4.0763944403056696E-5</v>
      </c>
    </row>
    <row r="268" spans="2:27" x14ac:dyDescent="0.35">
      <c r="B268" s="26">
        <v>65.400000000000006</v>
      </c>
      <c r="C268" s="26">
        <v>754</v>
      </c>
      <c r="D268" s="18">
        <f t="shared" si="67"/>
        <v>-2.6803919021276448</v>
      </c>
      <c r="E268" s="18">
        <f t="shared" si="67"/>
        <v>-8.7022526140193364</v>
      </c>
      <c r="F268" s="18">
        <f t="shared" si="67"/>
        <v>1000013.8155105581</v>
      </c>
      <c r="G268" s="18">
        <f t="shared" si="67"/>
        <v>1000013.8155105581</v>
      </c>
      <c r="H268" s="18">
        <f t="shared" si="67"/>
        <v>1000013.8155105581</v>
      </c>
      <c r="I268" s="16"/>
      <c r="J268" s="18">
        <f t="shared" si="69"/>
        <v>6.4270025210599976E-2</v>
      </c>
      <c r="K268" s="18">
        <f t="shared" si="70"/>
        <v>1.6618336058369E-4</v>
      </c>
      <c r="L268" s="18">
        <f t="shared" si="71"/>
        <v>999999.99999309238</v>
      </c>
      <c r="M268" s="18">
        <f t="shared" si="72"/>
        <v>999999.99999309238</v>
      </c>
      <c r="N268" s="18">
        <f t="shared" si="73"/>
        <v>999999.99999309238</v>
      </c>
      <c r="O268" s="16"/>
      <c r="P268" s="18">
        <f t="shared" si="68"/>
        <v>21.129454406949556</v>
      </c>
      <c r="Q268" s="18">
        <f t="shared" si="78"/>
        <v>747.67663846487903</v>
      </c>
      <c r="R268" s="18">
        <f t="shared" si="79"/>
        <v>0</v>
      </c>
      <c r="S268" s="18">
        <f t="shared" si="80"/>
        <v>0</v>
      </c>
      <c r="T268" s="18">
        <f t="shared" si="81"/>
        <v>0</v>
      </c>
      <c r="U268" s="16"/>
      <c r="V268" s="18">
        <f t="shared" si="74"/>
        <v>768.80609287182858</v>
      </c>
      <c r="W268" s="16"/>
      <c r="X268" s="18">
        <f t="shared" si="75"/>
        <v>219.22038612921315</v>
      </c>
      <c r="Y268" s="18">
        <f t="shared" si="76"/>
        <v>14.806092871828582</v>
      </c>
      <c r="Z268" s="18"/>
      <c r="AA268" s="18">
        <f t="shared" si="77"/>
        <v>3.656969695565717E-5</v>
      </c>
    </row>
    <row r="269" spans="2:27" x14ac:dyDescent="0.35">
      <c r="B269" s="26">
        <v>65.699999999999989</v>
      </c>
      <c r="C269" s="26">
        <v>818</v>
      </c>
      <c r="D269" s="18">
        <f t="shared" si="67"/>
        <v>-2.6661074733048031</v>
      </c>
      <c r="E269" s="18">
        <f t="shared" si="67"/>
        <v>-8.7003882347182753</v>
      </c>
      <c r="F269" s="18">
        <f t="shared" si="67"/>
        <v>1000013.8155105581</v>
      </c>
      <c r="G269" s="18">
        <f t="shared" si="67"/>
        <v>1000013.8155105581</v>
      </c>
      <c r="H269" s="18">
        <f t="shared" si="67"/>
        <v>1000013.8155105581</v>
      </c>
      <c r="I269" s="16"/>
      <c r="J269" s="18">
        <f t="shared" si="69"/>
        <v>6.5138104537708658E-2</v>
      </c>
      <c r="K269" s="18">
        <f t="shared" si="70"/>
        <v>1.6649342677614254E-4</v>
      </c>
      <c r="L269" s="18">
        <f t="shared" si="71"/>
        <v>999999.99999309238</v>
      </c>
      <c r="M269" s="18">
        <f t="shared" si="72"/>
        <v>999999.99999309238</v>
      </c>
      <c r="N269" s="18">
        <f t="shared" si="73"/>
        <v>999999.99999309238</v>
      </c>
      <c r="O269" s="16"/>
      <c r="P269" s="18">
        <f t="shared" si="68"/>
        <v>20.830876569539495</v>
      </c>
      <c r="Q269" s="18">
        <f t="shared" si="78"/>
        <v>746.28398427597472</v>
      </c>
      <c r="R269" s="18">
        <f t="shared" si="79"/>
        <v>0</v>
      </c>
      <c r="S269" s="18">
        <f t="shared" si="80"/>
        <v>0</v>
      </c>
      <c r="T269" s="18">
        <f t="shared" si="81"/>
        <v>0</v>
      </c>
      <c r="U269" s="16"/>
      <c r="V269" s="18">
        <f t="shared" si="74"/>
        <v>767.11486084551416</v>
      </c>
      <c r="W269" s="16"/>
      <c r="X269" s="18">
        <f t="shared" si="75"/>
        <v>2589.2973867713881</v>
      </c>
      <c r="Y269" s="18">
        <f t="shared" si="76"/>
        <v>50.885139154485842</v>
      </c>
      <c r="Z269" s="18"/>
      <c r="AA269" s="18">
        <f t="shared" si="77"/>
        <v>1.2568164569375507E-4</v>
      </c>
    </row>
    <row r="270" spans="2:27" x14ac:dyDescent="0.35">
      <c r="B270" s="26">
        <v>66</v>
      </c>
      <c r="C270" s="26">
        <v>770</v>
      </c>
      <c r="D270" s="18">
        <f t="shared" si="67"/>
        <v>-2.6518230444819606</v>
      </c>
      <c r="E270" s="18">
        <f t="shared" si="67"/>
        <v>-8.6985238554172124</v>
      </c>
      <c r="F270" s="18">
        <f t="shared" si="67"/>
        <v>1000013.8155105581</v>
      </c>
      <c r="G270" s="18">
        <f t="shared" si="67"/>
        <v>1000013.8155105581</v>
      </c>
      <c r="H270" s="18">
        <f t="shared" si="67"/>
        <v>1000013.8155105581</v>
      </c>
      <c r="I270" s="16"/>
      <c r="J270" s="18">
        <f t="shared" si="69"/>
        <v>6.6017182682533579E-2</v>
      </c>
      <c r="K270" s="18">
        <f t="shared" si="70"/>
        <v>1.6680407139599827E-4</v>
      </c>
      <c r="L270" s="18">
        <f t="shared" si="71"/>
        <v>999999.99999309238</v>
      </c>
      <c r="M270" s="18">
        <f t="shared" si="72"/>
        <v>999999.99999309238</v>
      </c>
      <c r="N270" s="18">
        <f t="shared" si="73"/>
        <v>999999.99999309238</v>
      </c>
      <c r="O270" s="16"/>
      <c r="P270" s="18">
        <f t="shared" si="68"/>
        <v>20.536545528326656</v>
      </c>
      <c r="Q270" s="18">
        <f t="shared" si="78"/>
        <v>744.89392410391702</v>
      </c>
      <c r="R270" s="18">
        <f t="shared" si="79"/>
        <v>0</v>
      </c>
      <c r="S270" s="18">
        <f t="shared" si="80"/>
        <v>0</v>
      </c>
      <c r="T270" s="18">
        <f t="shared" si="81"/>
        <v>0</v>
      </c>
      <c r="U270" s="16"/>
      <c r="V270" s="18">
        <f t="shared" si="74"/>
        <v>765.43046963224367</v>
      </c>
      <c r="W270" s="16"/>
      <c r="X270" s="18">
        <f t="shared" si="75"/>
        <v>20.880607781847289</v>
      </c>
      <c r="Y270" s="18">
        <f t="shared" si="76"/>
        <v>4.5695303677563288</v>
      </c>
      <c r="Z270" s="18"/>
      <c r="AA270" s="18">
        <f t="shared" si="77"/>
        <v>1.1286322612258722E-5</v>
      </c>
    </row>
    <row r="271" spans="2:27" x14ac:dyDescent="0.35">
      <c r="B271" s="26">
        <v>66.199999999999989</v>
      </c>
      <c r="C271" s="26">
        <v>762</v>
      </c>
      <c r="D271" s="18">
        <f t="shared" si="67"/>
        <v>-2.6423000919333997</v>
      </c>
      <c r="E271" s="18">
        <f t="shared" si="67"/>
        <v>-8.6972809358831711</v>
      </c>
      <c r="F271" s="18">
        <f t="shared" si="67"/>
        <v>1000013.8155105581</v>
      </c>
      <c r="G271" s="18">
        <f t="shared" si="67"/>
        <v>1000013.8155105581</v>
      </c>
      <c r="H271" s="18">
        <f t="shared" si="67"/>
        <v>1000013.8155105581</v>
      </c>
      <c r="I271" s="16"/>
      <c r="J271" s="18">
        <f t="shared" si="69"/>
        <v>6.6609404891103327E-2</v>
      </c>
      <c r="K271" s="18">
        <f t="shared" si="70"/>
        <v>1.6701148969039813E-4</v>
      </c>
      <c r="L271" s="18">
        <f t="shared" si="71"/>
        <v>999999.99999309238</v>
      </c>
      <c r="M271" s="18">
        <f t="shared" si="72"/>
        <v>999999.99999309238</v>
      </c>
      <c r="N271" s="18">
        <f t="shared" si="73"/>
        <v>999999.99999309238</v>
      </c>
      <c r="O271" s="16"/>
      <c r="P271" s="18">
        <f t="shared" si="68"/>
        <v>20.342654429582328</v>
      </c>
      <c r="Q271" s="18">
        <f t="shared" si="78"/>
        <v>743.96865605660912</v>
      </c>
      <c r="R271" s="18">
        <f t="shared" si="79"/>
        <v>0</v>
      </c>
      <c r="S271" s="18">
        <f t="shared" si="80"/>
        <v>0</v>
      </c>
      <c r="T271" s="18">
        <f t="shared" si="81"/>
        <v>0</v>
      </c>
      <c r="U271" s="16"/>
      <c r="V271" s="18">
        <f t="shared" si="74"/>
        <v>764.31131048619147</v>
      </c>
      <c r="W271" s="16"/>
      <c r="X271" s="18">
        <f t="shared" si="75"/>
        <v>5.3421561635786654</v>
      </c>
      <c r="Y271" s="18">
        <f t="shared" si="76"/>
        <v>2.3113104861914735</v>
      </c>
      <c r="Z271" s="18"/>
      <c r="AA271" s="18">
        <f t="shared" si="77"/>
        <v>5.7087257781070474E-6</v>
      </c>
    </row>
    <row r="272" spans="2:27" x14ac:dyDescent="0.35">
      <c r="B272" s="26">
        <v>66.5</v>
      </c>
      <c r="C272" s="26">
        <v>803</v>
      </c>
      <c r="D272" s="18">
        <f t="shared" si="67"/>
        <v>-2.6280156631105567</v>
      </c>
      <c r="E272" s="18">
        <f t="shared" si="67"/>
        <v>-8.69541655658211</v>
      </c>
      <c r="F272" s="18">
        <f t="shared" si="67"/>
        <v>1000013.8155105581</v>
      </c>
      <c r="G272" s="18">
        <f t="shared" si="67"/>
        <v>1000013.8155105581</v>
      </c>
      <c r="H272" s="18">
        <f t="shared" si="67"/>
        <v>1000013.8155105581</v>
      </c>
      <c r="I272" s="16"/>
      <c r="J272" s="18">
        <f t="shared" si="69"/>
        <v>6.7507083453093156E-2</v>
      </c>
      <c r="K272" s="18">
        <f t="shared" si="70"/>
        <v>1.673231007540153E-4</v>
      </c>
      <c r="L272" s="18">
        <f t="shared" si="71"/>
        <v>999999.99999309238</v>
      </c>
      <c r="M272" s="18">
        <f t="shared" si="72"/>
        <v>999999.99999309238</v>
      </c>
      <c r="N272" s="18">
        <f t="shared" si="73"/>
        <v>999999.99999309238</v>
      </c>
      <c r="O272" s="16"/>
      <c r="P272" s="18">
        <f t="shared" si="68"/>
        <v>20.055268150824617</v>
      </c>
      <c r="Q272" s="18">
        <f t="shared" si="78"/>
        <v>742.58290851324307</v>
      </c>
      <c r="R272" s="18">
        <f t="shared" si="79"/>
        <v>0</v>
      </c>
      <c r="S272" s="18">
        <f t="shared" si="80"/>
        <v>0</v>
      </c>
      <c r="T272" s="18">
        <f t="shared" si="81"/>
        <v>0</v>
      </c>
      <c r="U272" s="16"/>
      <c r="V272" s="18">
        <f t="shared" si="74"/>
        <v>762.63817666406771</v>
      </c>
      <c r="W272" s="16"/>
      <c r="X272" s="18">
        <f t="shared" si="75"/>
        <v>1629.0767830010079</v>
      </c>
      <c r="Y272" s="18">
        <f t="shared" si="76"/>
        <v>40.361823335932286</v>
      </c>
      <c r="Z272" s="18"/>
      <c r="AA272" s="18">
        <f t="shared" si="77"/>
        <v>9.9690016856589125E-5</v>
      </c>
    </row>
    <row r="273" spans="2:27" x14ac:dyDescent="0.35">
      <c r="B273" s="26">
        <v>66.800000000000011</v>
      </c>
      <c r="C273" s="26">
        <v>817</v>
      </c>
      <c r="D273" s="18">
        <f t="shared" si="67"/>
        <v>-2.6137312342877137</v>
      </c>
      <c r="E273" s="18">
        <f t="shared" si="67"/>
        <v>-8.6935521772810471</v>
      </c>
      <c r="F273" s="18">
        <f t="shared" si="67"/>
        <v>1000013.8155105581</v>
      </c>
      <c r="G273" s="18">
        <f t="shared" si="67"/>
        <v>1000013.8155105581</v>
      </c>
      <c r="H273" s="18">
        <f t="shared" si="67"/>
        <v>1000013.8155105581</v>
      </c>
      <c r="I273" s="16"/>
      <c r="J273" s="18">
        <f t="shared" si="69"/>
        <v>6.8416085121229653E-2</v>
      </c>
      <c r="K273" s="18">
        <f t="shared" si="70"/>
        <v>1.6763529312602203E-4</v>
      </c>
      <c r="L273" s="18">
        <f t="shared" si="71"/>
        <v>999999.99999309238</v>
      </c>
      <c r="M273" s="18">
        <f t="shared" si="72"/>
        <v>999999.99999309238</v>
      </c>
      <c r="N273" s="18">
        <f t="shared" si="73"/>
        <v>999999.99999309238</v>
      </c>
      <c r="O273" s="16"/>
      <c r="P273" s="18">
        <f t="shared" si="68"/>
        <v>19.771970173567521</v>
      </c>
      <c r="Q273" s="18">
        <f t="shared" si="78"/>
        <v>741.19974212211343</v>
      </c>
      <c r="R273" s="18">
        <f t="shared" si="79"/>
        <v>0</v>
      </c>
      <c r="S273" s="18">
        <f t="shared" si="80"/>
        <v>0</v>
      </c>
      <c r="T273" s="18">
        <f t="shared" si="81"/>
        <v>0</v>
      </c>
      <c r="U273" s="16"/>
      <c r="V273" s="18">
        <f t="shared" si="74"/>
        <v>760.97171229568096</v>
      </c>
      <c r="W273" s="16"/>
      <c r="X273" s="18">
        <f t="shared" si="75"/>
        <v>3139.1690230779482</v>
      </c>
      <c r="Y273" s="18">
        <f t="shared" si="76"/>
        <v>56.028287704319041</v>
      </c>
      <c r="Z273" s="18"/>
      <c r="AA273" s="18">
        <f t="shared" si="77"/>
        <v>1.383847528195514E-4</v>
      </c>
    </row>
    <row r="274" spans="2:27" x14ac:dyDescent="0.35">
      <c r="B274" s="26">
        <v>67.099999999999994</v>
      </c>
      <c r="C274" s="26">
        <v>792</v>
      </c>
      <c r="D274" s="18">
        <f t="shared" si="67"/>
        <v>-2.5994468054648725</v>
      </c>
      <c r="E274" s="18">
        <f t="shared" si="67"/>
        <v>-8.691687797979986</v>
      </c>
      <c r="F274" s="18">
        <f t="shared" si="67"/>
        <v>1000013.8155105581</v>
      </c>
      <c r="G274" s="18">
        <f t="shared" si="67"/>
        <v>1000013.8155105581</v>
      </c>
      <c r="H274" s="18">
        <f t="shared" si="67"/>
        <v>1000013.8155105581</v>
      </c>
      <c r="I274" s="16"/>
      <c r="J274" s="18">
        <f t="shared" si="69"/>
        <v>6.9336533097937275E-2</v>
      </c>
      <c r="K274" s="18">
        <f t="shared" si="70"/>
        <v>1.6794806789048085E-4</v>
      </c>
      <c r="L274" s="18">
        <f t="shared" si="71"/>
        <v>999999.99999309238</v>
      </c>
      <c r="M274" s="18">
        <f t="shared" si="72"/>
        <v>999999.99999309238</v>
      </c>
      <c r="N274" s="18">
        <f t="shared" si="73"/>
        <v>999999.99999309238</v>
      </c>
      <c r="O274" s="16"/>
      <c r="P274" s="18">
        <f t="shared" si="68"/>
        <v>19.492702600706341</v>
      </c>
      <c r="Q274" s="18">
        <f t="shared" si="78"/>
        <v>739.81915207545899</v>
      </c>
      <c r="R274" s="18">
        <f t="shared" si="79"/>
        <v>0</v>
      </c>
      <c r="S274" s="18">
        <f t="shared" si="80"/>
        <v>0</v>
      </c>
      <c r="T274" s="18">
        <f t="shared" si="81"/>
        <v>0</v>
      </c>
      <c r="U274" s="16"/>
      <c r="V274" s="18">
        <f t="shared" si="74"/>
        <v>759.31185467616535</v>
      </c>
      <c r="W274" s="16"/>
      <c r="X274" s="18">
        <f t="shared" si="75"/>
        <v>1068.5148447121328</v>
      </c>
      <c r="Y274" s="18">
        <f t="shared" si="76"/>
        <v>32.688145323834647</v>
      </c>
      <c r="Z274" s="18"/>
      <c r="AA274" s="18">
        <f t="shared" si="77"/>
        <v>8.0736733105975808E-5</v>
      </c>
    </row>
    <row r="275" spans="2:27" x14ac:dyDescent="0.35">
      <c r="B275" s="26">
        <v>67.400000000000006</v>
      </c>
      <c r="C275" s="26">
        <v>744</v>
      </c>
      <c r="D275" s="18">
        <f t="shared" si="67"/>
        <v>-2.5851623766420295</v>
      </c>
      <c r="E275" s="18">
        <f t="shared" si="67"/>
        <v>-8.6898234186789249</v>
      </c>
      <c r="F275" s="18">
        <f t="shared" si="67"/>
        <v>1000013.8155105581</v>
      </c>
      <c r="G275" s="18">
        <f t="shared" si="67"/>
        <v>1000013.8155105581</v>
      </c>
      <c r="H275" s="18">
        <f t="shared" si="67"/>
        <v>1000013.8155105581</v>
      </c>
      <c r="I275" s="16"/>
      <c r="J275" s="18">
        <f t="shared" si="69"/>
        <v>7.0268551447277144E-2</v>
      </c>
      <c r="K275" s="18">
        <f t="shared" si="70"/>
        <v>1.6826142613347538E-4</v>
      </c>
      <c r="L275" s="18">
        <f t="shared" si="71"/>
        <v>999999.99999309238</v>
      </c>
      <c r="M275" s="18">
        <f t="shared" si="72"/>
        <v>999999.99999309238</v>
      </c>
      <c r="N275" s="18">
        <f t="shared" si="73"/>
        <v>999999.99999309238</v>
      </c>
      <c r="O275" s="16"/>
      <c r="P275" s="18">
        <f t="shared" si="68"/>
        <v>19.217408355740677</v>
      </c>
      <c r="Q275" s="18">
        <f t="shared" si="78"/>
        <v>738.44113357446986</v>
      </c>
      <c r="R275" s="18">
        <f t="shared" si="79"/>
        <v>0</v>
      </c>
      <c r="S275" s="18">
        <f t="shared" si="80"/>
        <v>0</v>
      </c>
      <c r="T275" s="18">
        <f t="shared" si="81"/>
        <v>0</v>
      </c>
      <c r="U275" s="16"/>
      <c r="V275" s="18">
        <f t="shared" si="74"/>
        <v>757.6585419302105</v>
      </c>
      <c r="W275" s="16"/>
      <c r="X275" s="18">
        <f t="shared" si="75"/>
        <v>186.55576765931846</v>
      </c>
      <c r="Y275" s="18">
        <f t="shared" si="76"/>
        <v>13.658541930210504</v>
      </c>
      <c r="Z275" s="18"/>
      <c r="AA275" s="18">
        <f t="shared" si="77"/>
        <v>3.3735350950979616E-5</v>
      </c>
    </row>
    <row r="276" spans="2:27" x14ac:dyDescent="0.35">
      <c r="B276" s="26">
        <v>67.699999999999989</v>
      </c>
      <c r="C276" s="26">
        <v>791</v>
      </c>
      <c r="D276" s="18">
        <f t="shared" si="67"/>
        <v>-2.5708779478191879</v>
      </c>
      <c r="E276" s="18">
        <f t="shared" si="67"/>
        <v>-8.6879590393778621</v>
      </c>
      <c r="F276" s="18">
        <f t="shared" si="67"/>
        <v>1000013.8155105581</v>
      </c>
      <c r="G276" s="18">
        <f t="shared" si="67"/>
        <v>1000013.8155105581</v>
      </c>
      <c r="H276" s="18">
        <f t="shared" si="67"/>
        <v>1000013.8155105581</v>
      </c>
      <c r="I276" s="16"/>
      <c r="J276" s="18">
        <f t="shared" si="69"/>
        <v>7.121226508936844E-2</v>
      </c>
      <c r="K276" s="18">
        <f t="shared" si="70"/>
        <v>1.6857536894311325E-4</v>
      </c>
      <c r="L276" s="18">
        <f t="shared" si="71"/>
        <v>999999.99999309238</v>
      </c>
      <c r="M276" s="18">
        <f t="shared" si="72"/>
        <v>999999.99999309238</v>
      </c>
      <c r="N276" s="18">
        <f t="shared" si="73"/>
        <v>999999.99999309238</v>
      </c>
      <c r="O276" s="16"/>
      <c r="P276" s="18">
        <f t="shared" si="68"/>
        <v>18.946031171103041</v>
      </c>
      <c r="Q276" s="18">
        <f t="shared" si="78"/>
        <v>737.06568182927526</v>
      </c>
      <c r="R276" s="18">
        <f t="shared" si="79"/>
        <v>0</v>
      </c>
      <c r="S276" s="18">
        <f t="shared" si="80"/>
        <v>0</v>
      </c>
      <c r="T276" s="18">
        <f t="shared" si="81"/>
        <v>0</v>
      </c>
      <c r="U276" s="16"/>
      <c r="V276" s="18">
        <f t="shared" si="74"/>
        <v>756.01171300037834</v>
      </c>
      <c r="W276" s="16"/>
      <c r="X276" s="18">
        <f t="shared" si="75"/>
        <v>1224.1802271678944</v>
      </c>
      <c r="Y276" s="18">
        <f t="shared" si="76"/>
        <v>34.988286999621664</v>
      </c>
      <c r="Z276" s="18"/>
      <c r="AA276" s="18">
        <f t="shared" si="77"/>
        <v>8.6417872942580129E-5</v>
      </c>
    </row>
    <row r="277" spans="2:27" x14ac:dyDescent="0.35">
      <c r="B277" s="26">
        <v>68</v>
      </c>
      <c r="C277" s="26">
        <v>801</v>
      </c>
      <c r="D277" s="18">
        <f t="shared" si="67"/>
        <v>-2.5565935189963449</v>
      </c>
      <c r="E277" s="18">
        <f t="shared" si="67"/>
        <v>-8.686094660076801</v>
      </c>
      <c r="F277" s="18">
        <f t="shared" si="67"/>
        <v>1000013.8155105581</v>
      </c>
      <c r="G277" s="18">
        <f t="shared" si="67"/>
        <v>1000013.8155105581</v>
      </c>
      <c r="H277" s="18">
        <f t="shared" si="67"/>
        <v>1000013.8155105581</v>
      </c>
      <c r="I277" s="16"/>
      <c r="J277" s="18">
        <f t="shared" si="69"/>
        <v>7.2167799794480444E-2</v>
      </c>
      <c r="K277" s="18">
        <f t="shared" si="70"/>
        <v>1.6888989740952901E-4</v>
      </c>
      <c r="L277" s="18">
        <f t="shared" si="71"/>
        <v>999999.99999309238</v>
      </c>
      <c r="M277" s="18">
        <f t="shared" si="72"/>
        <v>999999.99999309238</v>
      </c>
      <c r="N277" s="18">
        <f t="shared" si="73"/>
        <v>999999.99999309238</v>
      </c>
      <c r="O277" s="16"/>
      <c r="P277" s="18">
        <f t="shared" si="68"/>
        <v>18.67851557665221</v>
      </c>
      <c r="Q277" s="18">
        <f t="shared" si="78"/>
        <v>735.69279205892974</v>
      </c>
      <c r="R277" s="18">
        <f t="shared" si="79"/>
        <v>0</v>
      </c>
      <c r="S277" s="18">
        <f t="shared" si="80"/>
        <v>0</v>
      </c>
      <c r="T277" s="18">
        <f t="shared" si="81"/>
        <v>0</v>
      </c>
      <c r="U277" s="16"/>
      <c r="V277" s="18">
        <f t="shared" si="74"/>
        <v>754.37130763558196</v>
      </c>
      <c r="W277" s="16"/>
      <c r="X277" s="18">
        <f t="shared" si="75"/>
        <v>2174.2349516155377</v>
      </c>
      <c r="Y277" s="18">
        <f t="shared" si="76"/>
        <v>46.628692364418043</v>
      </c>
      <c r="Z277" s="18"/>
      <c r="AA277" s="18">
        <f t="shared" si="77"/>
        <v>1.151686109202919E-4</v>
      </c>
    </row>
    <row r="278" spans="2:27" x14ac:dyDescent="0.35">
      <c r="B278" s="26">
        <v>68.199999999999989</v>
      </c>
      <c r="C278" s="26">
        <v>730</v>
      </c>
      <c r="D278" s="18">
        <f t="shared" si="67"/>
        <v>-2.547070566447784</v>
      </c>
      <c r="E278" s="18">
        <f t="shared" si="67"/>
        <v>-8.6848517405427597</v>
      </c>
      <c r="F278" s="18">
        <f t="shared" si="67"/>
        <v>1000013.8155105581</v>
      </c>
      <c r="G278" s="18">
        <f t="shared" si="67"/>
        <v>1000013.8155105581</v>
      </c>
      <c r="H278" s="18">
        <f t="shared" si="67"/>
        <v>1000013.8155105581</v>
      </c>
      <c r="I278" s="16"/>
      <c r="J278" s="18">
        <f t="shared" si="69"/>
        <v>7.2811452679441599E-2</v>
      </c>
      <c r="K278" s="18">
        <f t="shared" si="70"/>
        <v>1.6909990895794103E-4</v>
      </c>
      <c r="L278" s="18">
        <f t="shared" si="71"/>
        <v>999999.99999309238</v>
      </c>
      <c r="M278" s="18">
        <f t="shared" si="72"/>
        <v>999999.99999309238</v>
      </c>
      <c r="N278" s="18">
        <f t="shared" si="73"/>
        <v>999999.99999309238</v>
      </c>
      <c r="O278" s="16"/>
      <c r="P278" s="18">
        <f t="shared" si="68"/>
        <v>18.502290138416054</v>
      </c>
      <c r="Q278" s="18">
        <f t="shared" si="78"/>
        <v>734.77895317446132</v>
      </c>
      <c r="R278" s="18">
        <f t="shared" si="79"/>
        <v>0</v>
      </c>
      <c r="S278" s="18">
        <f t="shared" si="80"/>
        <v>0</v>
      </c>
      <c r="T278" s="18">
        <f t="shared" si="81"/>
        <v>0</v>
      </c>
      <c r="U278" s="16"/>
      <c r="V278" s="18">
        <f t="shared" si="74"/>
        <v>753.28124331287734</v>
      </c>
      <c r="W278" s="16"/>
      <c r="X278" s="18">
        <f t="shared" si="75"/>
        <v>542.01629019339566</v>
      </c>
      <c r="Y278" s="18">
        <f t="shared" si="76"/>
        <v>23.281243312877336</v>
      </c>
      <c r="Z278" s="18"/>
      <c r="AA278" s="18">
        <f t="shared" si="77"/>
        <v>5.7502544396622853E-5</v>
      </c>
    </row>
    <row r="279" spans="2:27" x14ac:dyDescent="0.35">
      <c r="B279" s="26">
        <v>68.5</v>
      </c>
      <c r="C279" s="26">
        <v>720</v>
      </c>
      <c r="D279" s="18">
        <f t="shared" si="67"/>
        <v>-2.5327861376249414</v>
      </c>
      <c r="E279" s="18">
        <f t="shared" si="67"/>
        <v>-8.6829873612416986</v>
      </c>
      <c r="F279" s="18">
        <f t="shared" si="67"/>
        <v>1000013.8155105581</v>
      </c>
      <c r="G279" s="18">
        <f t="shared" si="67"/>
        <v>1000013.8155105581</v>
      </c>
      <c r="H279" s="18">
        <f t="shared" ref="E279:H294" si="82">G$23/(G$21*$A$21)-LN((G$21*$A$21)/G$23)+$B279*G$22</f>
        <v>1000013.8155105581</v>
      </c>
      <c r="I279" s="16"/>
      <c r="J279" s="18">
        <f t="shared" si="69"/>
        <v>7.3786970934861404E-2</v>
      </c>
      <c r="K279" s="18">
        <f t="shared" si="70"/>
        <v>1.6941541594702939E-4</v>
      </c>
      <c r="L279" s="18">
        <f t="shared" si="71"/>
        <v>999999.99999309238</v>
      </c>
      <c r="M279" s="18">
        <f t="shared" si="72"/>
        <v>999999.99999309238</v>
      </c>
      <c r="N279" s="18">
        <f t="shared" si="73"/>
        <v>999999.99999309238</v>
      </c>
      <c r="O279" s="16"/>
      <c r="P279" s="18">
        <f t="shared" si="68"/>
        <v>18.241089390601672</v>
      </c>
      <c r="Q279" s="18">
        <f t="shared" si="78"/>
        <v>733.41032276204533</v>
      </c>
      <c r="R279" s="18">
        <f t="shared" si="79"/>
        <v>0</v>
      </c>
      <c r="S279" s="18">
        <f t="shared" si="80"/>
        <v>0</v>
      </c>
      <c r="T279" s="18">
        <f t="shared" si="81"/>
        <v>0</v>
      </c>
      <c r="U279" s="16"/>
      <c r="V279" s="18">
        <f t="shared" si="74"/>
        <v>751.65141215264703</v>
      </c>
      <c r="W279" s="16"/>
      <c r="X279" s="18">
        <f t="shared" si="75"/>
        <v>1001.8118912567319</v>
      </c>
      <c r="Y279" s="18">
        <f t="shared" si="76"/>
        <v>31.651412152647026</v>
      </c>
      <c r="Z279" s="18"/>
      <c r="AA279" s="18">
        <f t="shared" si="77"/>
        <v>7.817609687179782E-5</v>
      </c>
    </row>
    <row r="280" spans="2:27" x14ac:dyDescent="0.35">
      <c r="B280" s="26">
        <v>68.800000000000011</v>
      </c>
      <c r="C280" s="26">
        <v>708</v>
      </c>
      <c r="D280" s="18">
        <f t="shared" si="67"/>
        <v>-2.5185017088020984</v>
      </c>
      <c r="E280" s="18">
        <f t="shared" si="82"/>
        <v>-8.6811229819406357</v>
      </c>
      <c r="F280" s="18">
        <f t="shared" si="82"/>
        <v>1000013.8155105581</v>
      </c>
      <c r="G280" s="18">
        <f t="shared" si="82"/>
        <v>1000013.8155105581</v>
      </c>
      <c r="H280" s="18">
        <f t="shared" si="82"/>
        <v>1000013.8155105581</v>
      </c>
      <c r="I280" s="16"/>
      <c r="J280" s="18">
        <f t="shared" si="69"/>
        <v>7.4774649748410513E-2</v>
      </c>
      <c r="K280" s="18">
        <f t="shared" si="70"/>
        <v>1.6973151150986588E-4</v>
      </c>
      <c r="L280" s="18">
        <f t="shared" si="71"/>
        <v>999999.99999309238</v>
      </c>
      <c r="M280" s="18">
        <f t="shared" si="72"/>
        <v>999999.99999309238</v>
      </c>
      <c r="N280" s="18">
        <f t="shared" si="73"/>
        <v>999999.99999309238</v>
      </c>
      <c r="O280" s="16"/>
      <c r="P280" s="18">
        <f t="shared" si="68"/>
        <v>17.983606125365704</v>
      </c>
      <c r="Q280" s="18">
        <f t="shared" si="78"/>
        <v>732.04424161877182</v>
      </c>
      <c r="R280" s="18">
        <f t="shared" si="79"/>
        <v>0</v>
      </c>
      <c r="S280" s="18">
        <f t="shared" si="80"/>
        <v>0</v>
      </c>
      <c r="T280" s="18">
        <f t="shared" si="81"/>
        <v>0</v>
      </c>
      <c r="U280" s="16"/>
      <c r="V280" s="18">
        <f t="shared" si="74"/>
        <v>750.02784774413749</v>
      </c>
      <c r="W280" s="16"/>
      <c r="X280" s="18">
        <f t="shared" si="75"/>
        <v>1766.3399860044026</v>
      </c>
      <c r="Y280" s="18">
        <f t="shared" si="76"/>
        <v>42.027847744137489</v>
      </c>
      <c r="Z280" s="18"/>
      <c r="AA280" s="18">
        <f t="shared" si="77"/>
        <v>1.038049449646463E-4</v>
      </c>
    </row>
    <row r="281" spans="2:27" x14ac:dyDescent="0.35">
      <c r="B281" s="26">
        <v>69.099999999999994</v>
      </c>
      <c r="C281" s="26">
        <v>757</v>
      </c>
      <c r="D281" s="18">
        <f t="shared" si="67"/>
        <v>-2.5042172799792568</v>
      </c>
      <c r="E281" s="18">
        <f t="shared" si="82"/>
        <v>-8.6792586026395746</v>
      </c>
      <c r="F281" s="18">
        <f t="shared" si="82"/>
        <v>1000013.8155105581</v>
      </c>
      <c r="G281" s="18">
        <f t="shared" si="82"/>
        <v>1000013.8155105581</v>
      </c>
      <c r="H281" s="18">
        <f t="shared" si="82"/>
        <v>1000013.8155105581</v>
      </c>
      <c r="I281" s="16"/>
      <c r="J281" s="18">
        <f t="shared" si="69"/>
        <v>7.5774617951555739E-2</v>
      </c>
      <c r="K281" s="18">
        <f t="shared" si="70"/>
        <v>1.7004819674405259E-4</v>
      </c>
      <c r="L281" s="18">
        <f t="shared" si="71"/>
        <v>999999.99999309238</v>
      </c>
      <c r="M281" s="18">
        <f t="shared" si="72"/>
        <v>999999.99999309238</v>
      </c>
      <c r="N281" s="18">
        <f t="shared" si="73"/>
        <v>999999.99999309238</v>
      </c>
      <c r="O281" s="16"/>
      <c r="P281" s="18">
        <f t="shared" si="68"/>
        <v>17.72978770062484</v>
      </c>
      <c r="Q281" s="18">
        <f t="shared" si="78"/>
        <v>730.6807049962672</v>
      </c>
      <c r="R281" s="18">
        <f t="shared" si="79"/>
        <v>0</v>
      </c>
      <c r="S281" s="18">
        <f t="shared" si="80"/>
        <v>0</v>
      </c>
      <c r="T281" s="18">
        <f t="shared" si="81"/>
        <v>0</v>
      </c>
      <c r="U281" s="16"/>
      <c r="V281" s="18">
        <f t="shared" si="74"/>
        <v>748.41049269689199</v>
      </c>
      <c r="W281" s="16"/>
      <c r="X281" s="18">
        <f t="shared" si="75"/>
        <v>73.779635710145797</v>
      </c>
      <c r="Y281" s="18">
        <f t="shared" si="76"/>
        <v>8.5895073031080074</v>
      </c>
      <c r="Z281" s="18"/>
      <c r="AA281" s="18">
        <f t="shared" si="77"/>
        <v>2.1215298444515973E-5</v>
      </c>
    </row>
    <row r="282" spans="2:27" x14ac:dyDescent="0.35">
      <c r="B282" s="26">
        <v>69.400000000000006</v>
      </c>
      <c r="C282" s="26">
        <v>741</v>
      </c>
      <c r="D282" s="18">
        <f t="shared" si="67"/>
        <v>-2.4899328511564143</v>
      </c>
      <c r="E282" s="18">
        <f t="shared" si="82"/>
        <v>-8.6773942233385135</v>
      </c>
      <c r="F282" s="18">
        <f t="shared" si="82"/>
        <v>1000013.8155105581</v>
      </c>
      <c r="G282" s="18">
        <f t="shared" si="82"/>
        <v>1000013.8155105581</v>
      </c>
      <c r="H282" s="18">
        <f t="shared" si="82"/>
        <v>1000013.8155105581</v>
      </c>
      <c r="I282" s="16"/>
      <c r="J282" s="18">
        <f t="shared" si="69"/>
        <v>7.6787005193835856E-2</v>
      </c>
      <c r="K282" s="18">
        <f t="shared" si="70"/>
        <v>1.7036547274923815E-4</v>
      </c>
      <c r="L282" s="18">
        <f t="shared" si="71"/>
        <v>999999.99999309238</v>
      </c>
      <c r="M282" s="18">
        <f t="shared" si="72"/>
        <v>999999.99999309238</v>
      </c>
      <c r="N282" s="18">
        <f t="shared" si="73"/>
        <v>999999.99999309238</v>
      </c>
      <c r="O282" s="16"/>
      <c r="P282" s="18">
        <f t="shared" si="68"/>
        <v>17.479582220140284</v>
      </c>
      <c r="Q282" s="18">
        <f t="shared" si="78"/>
        <v>729.31970815499756</v>
      </c>
      <c r="R282" s="18">
        <f t="shared" si="79"/>
        <v>0</v>
      </c>
      <c r="S282" s="18">
        <f t="shared" si="80"/>
        <v>0</v>
      </c>
      <c r="T282" s="18">
        <f t="shared" si="81"/>
        <v>0</v>
      </c>
      <c r="U282" s="16"/>
      <c r="V282" s="18">
        <f t="shared" si="74"/>
        <v>746.79929037513784</v>
      </c>
      <c r="W282" s="16"/>
      <c r="X282" s="18">
        <f t="shared" si="75"/>
        <v>33.631768855166428</v>
      </c>
      <c r="Y282" s="18">
        <f t="shared" si="76"/>
        <v>5.7992903751378435</v>
      </c>
      <c r="Z282" s="18"/>
      <c r="AA282" s="18">
        <f t="shared" si="77"/>
        <v>1.4323717500122518E-5</v>
      </c>
    </row>
    <row r="283" spans="2:27" x14ac:dyDescent="0.35">
      <c r="B283" s="26">
        <v>69.699999999999989</v>
      </c>
      <c r="C283" s="26">
        <v>761</v>
      </c>
      <c r="D283" s="18">
        <f t="shared" si="67"/>
        <v>-2.4756484223335726</v>
      </c>
      <c r="E283" s="18">
        <f t="shared" si="82"/>
        <v>-8.6755298440374506</v>
      </c>
      <c r="F283" s="18">
        <f t="shared" si="82"/>
        <v>1000013.8155105581</v>
      </c>
      <c r="G283" s="18">
        <f t="shared" si="82"/>
        <v>1000013.8155105581</v>
      </c>
      <c r="H283" s="18">
        <f t="shared" si="82"/>
        <v>1000013.8155105581</v>
      </c>
      <c r="I283" s="16"/>
      <c r="J283" s="18">
        <f t="shared" si="69"/>
        <v>7.7811941934995285E-2</v>
      </c>
      <c r="K283" s="18">
        <f t="shared" si="70"/>
        <v>1.7068334062712037E-4</v>
      </c>
      <c r="L283" s="18">
        <f t="shared" si="71"/>
        <v>999999.99999309238</v>
      </c>
      <c r="M283" s="18">
        <f t="shared" si="72"/>
        <v>999999.99999309238</v>
      </c>
      <c r="N283" s="18">
        <f t="shared" si="73"/>
        <v>999999.99999309238</v>
      </c>
      <c r="O283" s="16"/>
      <c r="P283" s="18">
        <f t="shared" si="68"/>
        <v>17.232938522903734</v>
      </c>
      <c r="Q283" s="18">
        <f t="shared" si="78"/>
        <v>727.9612463642577</v>
      </c>
      <c r="R283" s="18">
        <f t="shared" si="79"/>
        <v>0</v>
      </c>
      <c r="S283" s="18">
        <f t="shared" si="80"/>
        <v>0</v>
      </c>
      <c r="T283" s="18">
        <f t="shared" si="81"/>
        <v>0</v>
      </c>
      <c r="U283" s="16"/>
      <c r="V283" s="18">
        <f t="shared" si="74"/>
        <v>745.19418488716144</v>
      </c>
      <c r="W283" s="16"/>
      <c r="X283" s="18">
        <f t="shared" si="75"/>
        <v>249.82379138123579</v>
      </c>
      <c r="Y283" s="18">
        <f t="shared" si="76"/>
        <v>15.805815112838559</v>
      </c>
      <c r="Z283" s="18"/>
      <c r="AA283" s="18">
        <f t="shared" si="77"/>
        <v>3.9038919572997821E-5</v>
      </c>
    </row>
    <row r="284" spans="2:27" x14ac:dyDescent="0.35">
      <c r="B284" s="26">
        <v>70</v>
      </c>
      <c r="C284" s="26">
        <v>699</v>
      </c>
      <c r="D284" s="18">
        <f t="shared" si="67"/>
        <v>-2.4613639935107297</v>
      </c>
      <c r="E284" s="18">
        <f t="shared" si="82"/>
        <v>-8.6736654647363896</v>
      </c>
      <c r="F284" s="18">
        <f t="shared" si="82"/>
        <v>1000013.8155105581</v>
      </c>
      <c r="G284" s="18">
        <f t="shared" si="82"/>
        <v>1000013.8155105581</v>
      </c>
      <c r="H284" s="18">
        <f t="shared" si="82"/>
        <v>1000013.8155105581</v>
      </c>
      <c r="I284" s="16"/>
      <c r="J284" s="18">
        <f t="shared" si="69"/>
        <v>7.8849559436759392E-2</v>
      </c>
      <c r="K284" s="18">
        <f t="shared" si="70"/>
        <v>1.7100180148144932E-4</v>
      </c>
      <c r="L284" s="18">
        <f t="shared" si="71"/>
        <v>999999.99999309238</v>
      </c>
      <c r="M284" s="18">
        <f t="shared" si="72"/>
        <v>999999.99999309238</v>
      </c>
      <c r="N284" s="18">
        <f t="shared" si="73"/>
        <v>999999.99999309238</v>
      </c>
      <c r="O284" s="16"/>
      <c r="P284" s="18">
        <f t="shared" si="68"/>
        <v>16.989806172673312</v>
      </c>
      <c r="Q284" s="18">
        <f t="shared" si="78"/>
        <v>726.6053149021576</v>
      </c>
      <c r="R284" s="18">
        <f t="shared" si="79"/>
        <v>0</v>
      </c>
      <c r="S284" s="18">
        <f t="shared" si="80"/>
        <v>0</v>
      </c>
      <c r="T284" s="18">
        <f t="shared" si="81"/>
        <v>0</v>
      </c>
      <c r="U284" s="16"/>
      <c r="V284" s="18">
        <f t="shared" si="74"/>
        <v>743.5951210748309</v>
      </c>
      <c r="W284" s="16"/>
      <c r="X284" s="18">
        <f t="shared" si="75"/>
        <v>1988.7248236788271</v>
      </c>
      <c r="Y284" s="18">
        <f t="shared" si="76"/>
        <v>44.595121074830899</v>
      </c>
      <c r="Z284" s="18"/>
      <c r="AA284" s="18">
        <f t="shared" si="77"/>
        <v>1.1014587558817573E-4</v>
      </c>
    </row>
    <row r="285" spans="2:27" x14ac:dyDescent="0.35">
      <c r="B285" s="26">
        <v>70.199999999999989</v>
      </c>
      <c r="C285" s="26">
        <v>740</v>
      </c>
      <c r="D285" s="18">
        <f t="shared" si="67"/>
        <v>-2.4518410409621687</v>
      </c>
      <c r="E285" s="18">
        <f t="shared" si="82"/>
        <v>-8.6724225452023482</v>
      </c>
      <c r="F285" s="18">
        <f t="shared" si="82"/>
        <v>1000013.8155105581</v>
      </c>
      <c r="G285" s="18">
        <f t="shared" si="82"/>
        <v>1000013.8155105581</v>
      </c>
      <c r="H285" s="18">
        <f t="shared" si="82"/>
        <v>1000013.8155105581</v>
      </c>
      <c r="I285" s="16"/>
      <c r="J285" s="18">
        <f t="shared" si="69"/>
        <v>7.9548414484959695E-2</v>
      </c>
      <c r="K285" s="18">
        <f t="shared" si="70"/>
        <v>1.7121443869502122E-4</v>
      </c>
      <c r="L285" s="18">
        <f t="shared" si="71"/>
        <v>999999.99999309238</v>
      </c>
      <c r="M285" s="18">
        <f t="shared" si="72"/>
        <v>999999.99999309238</v>
      </c>
      <c r="N285" s="18">
        <f t="shared" si="73"/>
        <v>999999.99999309238</v>
      </c>
      <c r="O285" s="16"/>
      <c r="P285" s="18">
        <f t="shared" si="68"/>
        <v>16.82964410445873</v>
      </c>
      <c r="Q285" s="18">
        <f t="shared" si="78"/>
        <v>725.70276400440594</v>
      </c>
      <c r="R285" s="18">
        <f t="shared" si="79"/>
        <v>0</v>
      </c>
      <c r="S285" s="18">
        <f t="shared" si="80"/>
        <v>0</v>
      </c>
      <c r="T285" s="18">
        <f t="shared" si="81"/>
        <v>0</v>
      </c>
      <c r="U285" s="16"/>
      <c r="V285" s="18">
        <f t="shared" si="74"/>
        <v>742.53240810886462</v>
      </c>
      <c r="W285" s="16"/>
      <c r="X285" s="18">
        <f t="shared" si="75"/>
        <v>6.4130908298432576</v>
      </c>
      <c r="Y285" s="18">
        <f t="shared" si="76"/>
        <v>2.5324081088646153</v>
      </c>
      <c r="Z285" s="18"/>
      <c r="AA285" s="18">
        <f t="shared" si="77"/>
        <v>6.2548167103176091E-6</v>
      </c>
    </row>
    <row r="286" spans="2:27" x14ac:dyDescent="0.35">
      <c r="B286" s="26">
        <v>70.5</v>
      </c>
      <c r="C286" s="26">
        <v>728</v>
      </c>
      <c r="D286" s="18">
        <f t="shared" si="67"/>
        <v>-2.4375566121393257</v>
      </c>
      <c r="E286" s="18">
        <f t="shared" si="82"/>
        <v>-8.6705581659012871</v>
      </c>
      <c r="F286" s="18">
        <f t="shared" si="82"/>
        <v>1000013.8155105581</v>
      </c>
      <c r="G286" s="18">
        <f t="shared" si="82"/>
        <v>1000013.8155105581</v>
      </c>
      <c r="H286" s="18">
        <f t="shared" si="82"/>
        <v>1000013.8155105581</v>
      </c>
      <c r="I286" s="16"/>
      <c r="J286" s="18">
        <f t="shared" si="69"/>
        <v>8.0607460431305109E-2</v>
      </c>
      <c r="K286" s="18">
        <f t="shared" si="70"/>
        <v>1.7153389030179607E-4</v>
      </c>
      <c r="L286" s="18">
        <f t="shared" si="71"/>
        <v>999999.99999309238</v>
      </c>
      <c r="M286" s="18">
        <f t="shared" si="72"/>
        <v>999999.99999309238</v>
      </c>
      <c r="N286" s="18">
        <f t="shared" si="73"/>
        <v>999999.99999309238</v>
      </c>
      <c r="O286" s="16"/>
      <c r="P286" s="18">
        <f t="shared" si="68"/>
        <v>16.592253854576004</v>
      </c>
      <c r="Q286" s="18">
        <f t="shared" si="78"/>
        <v>724.3510392874897</v>
      </c>
      <c r="R286" s="18">
        <f t="shared" si="79"/>
        <v>0</v>
      </c>
      <c r="S286" s="18">
        <f t="shared" si="80"/>
        <v>0</v>
      </c>
      <c r="T286" s="18">
        <f t="shared" si="81"/>
        <v>0</v>
      </c>
      <c r="U286" s="16"/>
      <c r="V286" s="18">
        <f t="shared" si="74"/>
        <v>740.94329314206573</v>
      </c>
      <c r="W286" s="16"/>
      <c r="X286" s="18">
        <f t="shared" si="75"/>
        <v>167.52883736144568</v>
      </c>
      <c r="Y286" s="18">
        <f t="shared" si="76"/>
        <v>12.943293142065727</v>
      </c>
      <c r="Z286" s="18"/>
      <c r="AA286" s="18">
        <f t="shared" si="77"/>
        <v>3.1968751777464834E-5</v>
      </c>
    </row>
    <row r="287" spans="2:27" x14ac:dyDescent="0.35">
      <c r="B287" s="26">
        <v>70.799999999999983</v>
      </c>
      <c r="C287" s="26">
        <v>711</v>
      </c>
      <c r="D287" s="18">
        <f t="shared" si="67"/>
        <v>-2.4232721833164845</v>
      </c>
      <c r="E287" s="18">
        <f t="shared" si="82"/>
        <v>-8.668693786600226</v>
      </c>
      <c r="F287" s="18">
        <f t="shared" si="82"/>
        <v>1000013.8155105581</v>
      </c>
      <c r="G287" s="18">
        <f t="shared" si="82"/>
        <v>1000013.8155105581</v>
      </c>
      <c r="H287" s="18">
        <f t="shared" si="82"/>
        <v>1000013.8155105581</v>
      </c>
      <c r="I287" s="16"/>
      <c r="J287" s="18">
        <f t="shared" si="69"/>
        <v>8.1679541023841118E-2</v>
      </c>
      <c r="K287" s="18">
        <f t="shared" si="70"/>
        <v>1.7185393783841944E-4</v>
      </c>
      <c r="L287" s="18">
        <f t="shared" si="71"/>
        <v>999999.99999309238</v>
      </c>
      <c r="M287" s="18">
        <f t="shared" si="72"/>
        <v>999999.99999309238</v>
      </c>
      <c r="N287" s="18">
        <f t="shared" si="73"/>
        <v>999999.99999309238</v>
      </c>
      <c r="O287" s="16"/>
      <c r="P287" s="18">
        <f t="shared" si="68"/>
        <v>16.3582439203668</v>
      </c>
      <c r="Q287" s="18">
        <f t="shared" si="78"/>
        <v>723.00183235045256</v>
      </c>
      <c r="R287" s="18">
        <f t="shared" si="79"/>
        <v>0</v>
      </c>
      <c r="S287" s="18">
        <f t="shared" si="80"/>
        <v>0</v>
      </c>
      <c r="T287" s="18">
        <f t="shared" si="81"/>
        <v>0</v>
      </c>
      <c r="U287" s="16"/>
      <c r="V287" s="18">
        <f t="shared" si="74"/>
        <v>739.36007627081938</v>
      </c>
      <c r="W287" s="16"/>
      <c r="X287" s="18">
        <f t="shared" si="75"/>
        <v>804.2939260866923</v>
      </c>
      <c r="Y287" s="18">
        <f t="shared" si="76"/>
        <v>28.360076270819377</v>
      </c>
      <c r="Z287" s="18"/>
      <c r="AA287" s="18">
        <f t="shared" si="77"/>
        <v>7.0046797885248052E-5</v>
      </c>
    </row>
    <row r="288" spans="2:27" x14ac:dyDescent="0.35">
      <c r="B288" s="26">
        <v>71.099999999999994</v>
      </c>
      <c r="C288" s="26">
        <v>710</v>
      </c>
      <c r="D288" s="18">
        <f t="shared" si="67"/>
        <v>-2.4089877544936416</v>
      </c>
      <c r="E288" s="18">
        <f t="shared" si="82"/>
        <v>-8.6668294072991632</v>
      </c>
      <c r="F288" s="18">
        <f t="shared" si="82"/>
        <v>1000013.8155105581</v>
      </c>
      <c r="G288" s="18">
        <f t="shared" si="82"/>
        <v>1000013.8155105581</v>
      </c>
      <c r="H288" s="18">
        <f t="shared" si="82"/>
        <v>1000013.8155105581</v>
      </c>
      <c r="I288" s="16"/>
      <c r="J288" s="18">
        <f t="shared" si="69"/>
        <v>8.2764790388612869E-2</v>
      </c>
      <c r="K288" s="18">
        <f t="shared" si="70"/>
        <v>1.7217458241620292E-4</v>
      </c>
      <c r="L288" s="18">
        <f t="shared" si="71"/>
        <v>999999.99999309238</v>
      </c>
      <c r="M288" s="18">
        <f t="shared" si="72"/>
        <v>999999.99999309238</v>
      </c>
      <c r="N288" s="18">
        <f t="shared" si="73"/>
        <v>999999.99999309238</v>
      </c>
      <c r="O288" s="16"/>
      <c r="P288" s="18">
        <f t="shared" si="68"/>
        <v>16.12756643591111</v>
      </c>
      <c r="Q288" s="18">
        <f t="shared" si="78"/>
        <v>721.65513850357002</v>
      </c>
      <c r="R288" s="18">
        <f t="shared" si="79"/>
        <v>0</v>
      </c>
      <c r="S288" s="18">
        <f t="shared" si="80"/>
        <v>0</v>
      </c>
      <c r="T288" s="18">
        <f t="shared" si="81"/>
        <v>0</v>
      </c>
      <c r="U288" s="16"/>
      <c r="V288" s="18">
        <f t="shared" si="74"/>
        <v>737.78270493948116</v>
      </c>
      <c r="W288" s="16"/>
      <c r="X288" s="18">
        <f t="shared" si="75"/>
        <v>771.87869375427101</v>
      </c>
      <c r="Y288" s="18">
        <f t="shared" si="76"/>
        <v>27.782704939481164</v>
      </c>
      <c r="Z288" s="18"/>
      <c r="AA288" s="18">
        <f t="shared" si="77"/>
        <v>6.8620743435860078E-5</v>
      </c>
    </row>
    <row r="289" spans="2:27" x14ac:dyDescent="0.35">
      <c r="B289" s="26">
        <v>71.400000000000006</v>
      </c>
      <c r="C289" s="26">
        <v>739</v>
      </c>
      <c r="D289" s="18">
        <f t="shared" si="67"/>
        <v>-2.3947033256707986</v>
      </c>
      <c r="E289" s="18">
        <f t="shared" si="82"/>
        <v>-8.6649650279981021</v>
      </c>
      <c r="F289" s="18">
        <f t="shared" si="82"/>
        <v>1000013.8155105581</v>
      </c>
      <c r="G289" s="18">
        <f t="shared" si="82"/>
        <v>1000013.8155105581</v>
      </c>
      <c r="H289" s="18">
        <f t="shared" si="82"/>
        <v>1000013.8155105581</v>
      </c>
      <c r="I289" s="16"/>
      <c r="J289" s="18">
        <f t="shared" si="69"/>
        <v>8.3863343410403898E-2</v>
      </c>
      <c r="K289" s="18">
        <f t="shared" si="70"/>
        <v>1.7249582514852833E-4</v>
      </c>
      <c r="L289" s="18">
        <f t="shared" si="71"/>
        <v>999999.99999309238</v>
      </c>
      <c r="M289" s="18">
        <f t="shared" si="72"/>
        <v>999999.99999309238</v>
      </c>
      <c r="N289" s="18">
        <f t="shared" si="73"/>
        <v>999999.99999309238</v>
      </c>
      <c r="O289" s="16"/>
      <c r="P289" s="18">
        <f t="shared" si="68"/>
        <v>15.900174213147524</v>
      </c>
      <c r="Q289" s="18">
        <f t="shared" si="78"/>
        <v>720.31095306585644</v>
      </c>
      <c r="R289" s="18">
        <f t="shared" si="79"/>
        <v>0</v>
      </c>
      <c r="S289" s="18">
        <f t="shared" si="80"/>
        <v>0</v>
      </c>
      <c r="T289" s="18">
        <f t="shared" si="81"/>
        <v>0</v>
      </c>
      <c r="U289" s="16"/>
      <c r="V289" s="18">
        <f t="shared" si="74"/>
        <v>736.21112727900402</v>
      </c>
      <c r="W289" s="16"/>
      <c r="X289" s="18">
        <f t="shared" si="75"/>
        <v>7.777811053915535</v>
      </c>
      <c r="Y289" s="18">
        <f t="shared" si="76"/>
        <v>2.7888727209959825</v>
      </c>
      <c r="Z289" s="18"/>
      <c r="AA289" s="18">
        <f t="shared" si="77"/>
        <v>6.8882608759515613E-6</v>
      </c>
    </row>
    <row r="290" spans="2:27" x14ac:dyDescent="0.35">
      <c r="B290" s="26">
        <v>71.699999999999989</v>
      </c>
      <c r="C290" s="26">
        <v>693</v>
      </c>
      <c r="D290" s="18">
        <f t="shared" si="67"/>
        <v>-2.3804188968479574</v>
      </c>
      <c r="E290" s="18">
        <f t="shared" si="82"/>
        <v>-8.6631006486970392</v>
      </c>
      <c r="F290" s="18">
        <f t="shared" si="82"/>
        <v>1000013.8155105581</v>
      </c>
      <c r="G290" s="18">
        <f t="shared" si="82"/>
        <v>1000013.8155105581</v>
      </c>
      <c r="H290" s="18">
        <f t="shared" si="82"/>
        <v>1000013.8155105581</v>
      </c>
      <c r="I290" s="16"/>
      <c r="J290" s="18">
        <f t="shared" si="69"/>
        <v>8.4975335722407785E-2</v>
      </c>
      <c r="K290" s="18">
        <f t="shared" si="70"/>
        <v>1.7281766715085346E-4</v>
      </c>
      <c r="L290" s="18">
        <f t="shared" si="71"/>
        <v>999999.99999309238</v>
      </c>
      <c r="M290" s="18">
        <f t="shared" si="72"/>
        <v>999999.99999309238</v>
      </c>
      <c r="N290" s="18">
        <f t="shared" si="73"/>
        <v>999999.99999309238</v>
      </c>
      <c r="O290" s="16"/>
      <c r="P290" s="18">
        <f t="shared" si="68"/>
        <v>15.676020732220955</v>
      </c>
      <c r="Q290" s="18">
        <f t="shared" si="78"/>
        <v>718.96927136504007</v>
      </c>
      <c r="R290" s="18">
        <f t="shared" si="79"/>
        <v>0</v>
      </c>
      <c r="S290" s="18">
        <f t="shared" si="80"/>
        <v>0</v>
      </c>
      <c r="T290" s="18">
        <f t="shared" si="81"/>
        <v>0</v>
      </c>
      <c r="U290" s="16"/>
      <c r="V290" s="18">
        <f t="shared" si="74"/>
        <v>734.64529209726106</v>
      </c>
      <c r="W290" s="16"/>
      <c r="X290" s="18">
        <f t="shared" si="75"/>
        <v>1734.3303538661946</v>
      </c>
      <c r="Y290" s="18">
        <f t="shared" si="76"/>
        <v>41.645292097261063</v>
      </c>
      <c r="Z290" s="18"/>
      <c r="AA290" s="18">
        <f t="shared" si="77"/>
        <v>1.0286006746076647E-4</v>
      </c>
    </row>
    <row r="291" spans="2:27" x14ac:dyDescent="0.35">
      <c r="B291" s="26">
        <v>72</v>
      </c>
      <c r="C291" s="26">
        <v>697</v>
      </c>
      <c r="D291" s="18">
        <f t="shared" si="67"/>
        <v>-2.3661344680251144</v>
      </c>
      <c r="E291" s="18">
        <f t="shared" si="82"/>
        <v>-8.6612362693959781</v>
      </c>
      <c r="F291" s="18">
        <f t="shared" si="82"/>
        <v>1000013.8155105581</v>
      </c>
      <c r="G291" s="18">
        <f t="shared" si="82"/>
        <v>1000013.8155105581</v>
      </c>
      <c r="H291" s="18">
        <f t="shared" si="82"/>
        <v>1000013.8155105581</v>
      </c>
      <c r="I291" s="16"/>
      <c r="J291" s="18">
        <f t="shared" si="69"/>
        <v>8.6100903695517775E-2</v>
      </c>
      <c r="K291" s="18">
        <f t="shared" si="70"/>
        <v>1.7314010954071367E-4</v>
      </c>
      <c r="L291" s="18">
        <f t="shared" si="71"/>
        <v>999999.99999309238</v>
      </c>
      <c r="M291" s="18">
        <f t="shared" si="72"/>
        <v>999999.99999309238</v>
      </c>
      <c r="N291" s="18">
        <f t="shared" si="73"/>
        <v>999999.99999309238</v>
      </c>
      <c r="O291" s="16"/>
      <c r="P291" s="18">
        <f t="shared" si="68"/>
        <v>15.455060131966915</v>
      </c>
      <c r="Q291" s="18">
        <f t="shared" si="78"/>
        <v>717.63008873755678</v>
      </c>
      <c r="R291" s="18">
        <f t="shared" si="79"/>
        <v>0</v>
      </c>
      <c r="S291" s="18">
        <f t="shared" si="80"/>
        <v>0</v>
      </c>
      <c r="T291" s="18">
        <f t="shared" si="81"/>
        <v>0</v>
      </c>
      <c r="U291" s="16"/>
      <c r="V291" s="18">
        <f t="shared" si="74"/>
        <v>733.08514886952366</v>
      </c>
      <c r="W291" s="16"/>
      <c r="X291" s="18">
        <f t="shared" si="75"/>
        <v>1302.137968935685</v>
      </c>
      <c r="Y291" s="18">
        <f t="shared" si="76"/>
        <v>36.085148869523664</v>
      </c>
      <c r="Z291" s="18"/>
      <c r="AA291" s="18">
        <f t="shared" si="77"/>
        <v>8.912702157022735E-5</v>
      </c>
    </row>
    <row r="292" spans="2:27" x14ac:dyDescent="0.35">
      <c r="B292" s="26">
        <v>72.199999999999989</v>
      </c>
      <c r="C292" s="26">
        <v>706</v>
      </c>
      <c r="D292" s="18">
        <f t="shared" si="67"/>
        <v>-2.3566115154765535</v>
      </c>
      <c r="E292" s="18">
        <f t="shared" si="82"/>
        <v>-8.6599933498619368</v>
      </c>
      <c r="F292" s="18">
        <f t="shared" si="82"/>
        <v>1000013.8155105581</v>
      </c>
      <c r="G292" s="18">
        <f t="shared" si="82"/>
        <v>1000013.8155105581</v>
      </c>
      <c r="H292" s="18">
        <f t="shared" si="82"/>
        <v>1000013.8155105581</v>
      </c>
      <c r="I292" s="16"/>
      <c r="J292" s="18">
        <f t="shared" si="69"/>
        <v>8.6858892051115549E-2</v>
      </c>
      <c r="K292" s="18">
        <f t="shared" si="70"/>
        <v>1.7335540523539684E-4</v>
      </c>
      <c r="L292" s="18">
        <f t="shared" si="71"/>
        <v>999999.99999309238</v>
      </c>
      <c r="M292" s="18">
        <f t="shared" si="72"/>
        <v>999999.99999309238</v>
      </c>
      <c r="N292" s="18">
        <f t="shared" si="73"/>
        <v>999999.99999309238</v>
      </c>
      <c r="O292" s="16"/>
      <c r="P292" s="18">
        <f t="shared" si="68"/>
        <v>15.309504534444363</v>
      </c>
      <c r="Q292" s="18">
        <f t="shared" si="78"/>
        <v>716.73868639424461</v>
      </c>
      <c r="R292" s="18">
        <f t="shared" si="79"/>
        <v>0</v>
      </c>
      <c r="S292" s="18">
        <f t="shared" si="80"/>
        <v>0</v>
      </c>
      <c r="T292" s="18">
        <f t="shared" si="81"/>
        <v>0</v>
      </c>
      <c r="U292" s="16"/>
      <c r="V292" s="18">
        <f t="shared" si="74"/>
        <v>732.048190928689</v>
      </c>
      <c r="W292" s="16"/>
      <c r="X292" s="18">
        <f t="shared" si="75"/>
        <v>678.50825065743572</v>
      </c>
      <c r="Y292" s="18">
        <f t="shared" si="76"/>
        <v>26.048190928688996</v>
      </c>
      <c r="Z292" s="18"/>
      <c r="AA292" s="18">
        <f t="shared" si="77"/>
        <v>6.4336652265481158E-5</v>
      </c>
    </row>
    <row r="293" spans="2:27" x14ac:dyDescent="0.35">
      <c r="B293" s="26">
        <v>72.5</v>
      </c>
      <c r="C293" s="26">
        <v>710</v>
      </c>
      <c r="D293" s="18">
        <f t="shared" si="67"/>
        <v>-2.3423270866537105</v>
      </c>
      <c r="E293" s="18">
        <f t="shared" si="82"/>
        <v>-8.6581289705608757</v>
      </c>
      <c r="F293" s="18">
        <f t="shared" si="82"/>
        <v>1000013.8155105581</v>
      </c>
      <c r="G293" s="18">
        <f t="shared" si="82"/>
        <v>1000013.8155105581</v>
      </c>
      <c r="H293" s="18">
        <f t="shared" si="82"/>
        <v>1000013.8155105581</v>
      </c>
      <c r="I293" s="16"/>
      <c r="J293" s="18">
        <f t="shared" si="69"/>
        <v>8.8007391140803151E-2</v>
      </c>
      <c r="K293" s="18">
        <f t="shared" si="70"/>
        <v>1.7367885076022055E-4</v>
      </c>
      <c r="L293" s="18">
        <f t="shared" si="71"/>
        <v>999999.99999309238</v>
      </c>
      <c r="M293" s="18">
        <f t="shared" si="72"/>
        <v>999999.99999309238</v>
      </c>
      <c r="N293" s="18">
        <f t="shared" si="73"/>
        <v>999999.99999309238</v>
      </c>
      <c r="O293" s="16"/>
      <c r="P293" s="18">
        <f t="shared" si="68"/>
        <v>15.093765247646193</v>
      </c>
      <c r="Q293" s="18">
        <f t="shared" si="78"/>
        <v>715.40365854908612</v>
      </c>
      <c r="R293" s="18">
        <f t="shared" si="79"/>
        <v>0</v>
      </c>
      <c r="S293" s="18">
        <f t="shared" si="80"/>
        <v>0</v>
      </c>
      <c r="T293" s="18">
        <f t="shared" si="81"/>
        <v>0</v>
      </c>
      <c r="U293" s="16"/>
      <c r="V293" s="18">
        <f t="shared" si="74"/>
        <v>730.49742379673228</v>
      </c>
      <c r="W293" s="16"/>
      <c r="X293" s="18">
        <f t="shared" si="75"/>
        <v>420.14438230284668</v>
      </c>
      <c r="Y293" s="18">
        <f t="shared" si="76"/>
        <v>20.497423796732278</v>
      </c>
      <c r="Z293" s="18"/>
      <c r="AA293" s="18">
        <f t="shared" si="77"/>
        <v>5.0626764475076537E-5</v>
      </c>
    </row>
    <row r="294" spans="2:27" x14ac:dyDescent="0.35">
      <c r="B294" s="26">
        <v>72.799999999999983</v>
      </c>
      <c r="C294" s="26">
        <v>734</v>
      </c>
      <c r="D294" s="18">
        <f t="shared" si="67"/>
        <v>-2.3280426578308688</v>
      </c>
      <c r="E294" s="18">
        <f t="shared" si="82"/>
        <v>-8.6562645912598128</v>
      </c>
      <c r="F294" s="18">
        <f t="shared" si="82"/>
        <v>1000013.8155105581</v>
      </c>
      <c r="G294" s="18">
        <f t="shared" si="82"/>
        <v>1000013.8155105581</v>
      </c>
      <c r="H294" s="18">
        <f t="shared" si="82"/>
        <v>1000013.8155105581</v>
      </c>
      <c r="I294" s="16"/>
      <c r="J294" s="18">
        <f t="shared" si="69"/>
        <v>8.9169833068231535E-2</v>
      </c>
      <c r="K294" s="18">
        <f t="shared" si="70"/>
        <v>1.7400289966286765E-4</v>
      </c>
      <c r="L294" s="18">
        <f t="shared" si="71"/>
        <v>999999.99999309238</v>
      </c>
      <c r="M294" s="18">
        <f t="shared" si="72"/>
        <v>999999.99999309238</v>
      </c>
      <c r="N294" s="18">
        <f t="shared" si="73"/>
        <v>999999.99999309238</v>
      </c>
      <c r="O294" s="16"/>
      <c r="P294" s="18">
        <f t="shared" si="68"/>
        <v>14.881099694426318</v>
      </c>
      <c r="Q294" s="18">
        <f t="shared" si="78"/>
        <v>714.07111738350511</v>
      </c>
      <c r="R294" s="18">
        <f t="shared" si="79"/>
        <v>0</v>
      </c>
      <c r="S294" s="18">
        <f t="shared" si="80"/>
        <v>0</v>
      </c>
      <c r="T294" s="18">
        <f t="shared" si="81"/>
        <v>0</v>
      </c>
      <c r="U294" s="16"/>
      <c r="V294" s="18">
        <f t="shared" si="74"/>
        <v>728.95221707793144</v>
      </c>
      <c r="W294" s="16"/>
      <c r="X294" s="18">
        <f t="shared" si="75"/>
        <v>25.480112428327047</v>
      </c>
      <c r="Y294" s="18">
        <f t="shared" si="76"/>
        <v>5.0477829220685635</v>
      </c>
      <c r="Z294" s="18"/>
      <c r="AA294" s="18">
        <f t="shared" si="77"/>
        <v>1.2467562736231239E-5</v>
      </c>
    </row>
    <row r="295" spans="2:27" x14ac:dyDescent="0.35">
      <c r="B295" s="26">
        <v>73.099999999999994</v>
      </c>
      <c r="C295" s="26">
        <v>736</v>
      </c>
      <c r="D295" s="18">
        <f t="shared" si="67"/>
        <v>-2.3137582290080263</v>
      </c>
      <c r="E295" s="18">
        <f t="shared" ref="E295:H295" si="83">D$23/(D$21*$A$21)-LN((D$21*$A$21)/D$23)+$B295*D$22</f>
        <v>-8.6544002119587518</v>
      </c>
      <c r="F295" s="18">
        <f t="shared" si="83"/>
        <v>1000013.8155105581</v>
      </c>
      <c r="G295" s="18">
        <f t="shared" si="83"/>
        <v>1000013.8155105581</v>
      </c>
      <c r="H295" s="18">
        <f t="shared" si="83"/>
        <v>1000013.8155105581</v>
      </c>
      <c r="I295" s="16"/>
      <c r="J295" s="18">
        <f t="shared" si="69"/>
        <v>9.0346356811308648E-2</v>
      </c>
      <c r="K295" s="18">
        <f t="shared" si="70"/>
        <v>1.743275530685285E-4</v>
      </c>
      <c r="L295" s="18">
        <f t="shared" si="71"/>
        <v>999999.99999309238</v>
      </c>
      <c r="M295" s="18">
        <f t="shared" si="72"/>
        <v>999999.99999309238</v>
      </c>
      <c r="N295" s="18">
        <f t="shared" si="73"/>
        <v>999999.99999309238</v>
      </c>
      <c r="O295" s="16"/>
      <c r="P295" s="18">
        <f t="shared" si="68"/>
        <v>14.671464349564387</v>
      </c>
      <c r="Q295" s="18">
        <f t="shared" si="78"/>
        <v>712.74105826570906</v>
      </c>
      <c r="R295" s="18">
        <f t="shared" si="79"/>
        <v>0</v>
      </c>
      <c r="S295" s="18">
        <f t="shared" si="80"/>
        <v>0</v>
      </c>
      <c r="T295" s="18">
        <f t="shared" si="81"/>
        <v>0</v>
      </c>
      <c r="U295" s="16"/>
      <c r="V295" s="18">
        <f t="shared" si="74"/>
        <v>727.41252261527347</v>
      </c>
      <c r="W295" s="16"/>
      <c r="X295" s="18">
        <f t="shared" si="75"/>
        <v>73.744767833189528</v>
      </c>
      <c r="Y295" s="18">
        <f t="shared" si="76"/>
        <v>8.587477384726526</v>
      </c>
      <c r="Z295" s="18"/>
      <c r="AA295" s="18">
        <f t="shared" si="77"/>
        <v>2.1210284731533207E-5</v>
      </c>
    </row>
    <row r="296" spans="2:27" x14ac:dyDescent="0.35">
      <c r="B296" s="26">
        <v>73.400000000000006</v>
      </c>
      <c r="C296" s="26">
        <v>765</v>
      </c>
      <c r="D296" s="18">
        <f t="shared" ref="D296:H359" si="84">C$23/(C$21*$A$21)-LN((C$21*$A$21)/C$23)+$B296*C$22</f>
        <v>-2.2994738001851833</v>
      </c>
      <c r="E296" s="18">
        <f t="shared" si="84"/>
        <v>-8.6525358326576907</v>
      </c>
      <c r="F296" s="18">
        <f t="shared" si="84"/>
        <v>1000013.8155105581</v>
      </c>
      <c r="G296" s="18">
        <f t="shared" si="84"/>
        <v>1000013.8155105581</v>
      </c>
      <c r="H296" s="18">
        <f t="shared" si="84"/>
        <v>1000013.8155105581</v>
      </c>
      <c r="I296" s="16"/>
      <c r="J296" s="18">
        <f t="shared" si="69"/>
        <v>9.1537102030529435E-2</v>
      </c>
      <c r="K296" s="18">
        <f t="shared" si="70"/>
        <v>1.7465281210449118E-4</v>
      </c>
      <c r="L296" s="18">
        <f t="shared" si="71"/>
        <v>999999.99999309238</v>
      </c>
      <c r="M296" s="18">
        <f t="shared" si="72"/>
        <v>999999.99999309238</v>
      </c>
      <c r="N296" s="18">
        <f t="shared" si="73"/>
        <v>999999.99999309238</v>
      </c>
      <c r="O296" s="16"/>
      <c r="P296" s="18">
        <f t="shared" ref="P296:P359" si="85">(C$23*C$22)/(J296+J296^2)</f>
        <v>14.464816303875129</v>
      </c>
      <c r="Q296" s="18">
        <f t="shared" si="78"/>
        <v>711.41347657252948</v>
      </c>
      <c r="R296" s="18">
        <f t="shared" si="79"/>
        <v>0</v>
      </c>
      <c r="S296" s="18">
        <f t="shared" si="80"/>
        <v>0</v>
      </c>
      <c r="T296" s="18">
        <f t="shared" si="81"/>
        <v>0</v>
      </c>
      <c r="U296" s="16"/>
      <c r="V296" s="18">
        <f t="shared" si="74"/>
        <v>725.87829287640466</v>
      </c>
      <c r="W296" s="16"/>
      <c r="X296" s="18">
        <f t="shared" si="75"/>
        <v>1530.5079682643707</v>
      </c>
      <c r="Y296" s="18">
        <f t="shared" si="76"/>
        <v>39.121707123595343</v>
      </c>
      <c r="Z296" s="18"/>
      <c r="AA296" s="18">
        <f t="shared" si="77"/>
        <v>9.6627043088455623E-5</v>
      </c>
    </row>
    <row r="297" spans="2:27" x14ac:dyDescent="0.35">
      <c r="B297" s="26">
        <v>73.699999999999989</v>
      </c>
      <c r="C297" s="26">
        <v>759</v>
      </c>
      <c r="D297" s="18">
        <f t="shared" si="84"/>
        <v>-2.2851893713623417</v>
      </c>
      <c r="E297" s="18">
        <f t="shared" si="84"/>
        <v>-8.6506714533566278</v>
      </c>
      <c r="F297" s="18">
        <f t="shared" si="84"/>
        <v>1000013.8155105581</v>
      </c>
      <c r="G297" s="18">
        <f t="shared" si="84"/>
        <v>1000013.8155105581</v>
      </c>
      <c r="H297" s="18">
        <f t="shared" si="84"/>
        <v>1000013.8155105581</v>
      </c>
      <c r="I297" s="16"/>
      <c r="J297" s="18">
        <f t="shared" si="69"/>
        <v>9.2742209056052974E-2</v>
      </c>
      <c r="K297" s="18">
        <f t="shared" si="70"/>
        <v>1.7497867790014455E-4</v>
      </c>
      <c r="L297" s="18">
        <f t="shared" si="71"/>
        <v>999999.99999309238</v>
      </c>
      <c r="M297" s="18">
        <f t="shared" si="72"/>
        <v>999999.99999309238</v>
      </c>
      <c r="N297" s="18">
        <f t="shared" si="73"/>
        <v>999999.99999309238</v>
      </c>
      <c r="O297" s="16"/>
      <c r="P297" s="18">
        <f t="shared" si="85"/>
        <v>14.261113255431365</v>
      </c>
      <c r="Q297" s="18">
        <f t="shared" si="78"/>
        <v>710.08836768940887</v>
      </c>
      <c r="R297" s="18">
        <f t="shared" si="79"/>
        <v>0</v>
      </c>
      <c r="S297" s="18">
        <f t="shared" si="80"/>
        <v>0</v>
      </c>
      <c r="T297" s="18">
        <f t="shared" si="81"/>
        <v>0</v>
      </c>
      <c r="U297" s="16"/>
      <c r="V297" s="18">
        <f t="shared" si="74"/>
        <v>724.34948094484025</v>
      </c>
      <c r="W297" s="16"/>
      <c r="X297" s="18">
        <f t="shared" si="75"/>
        <v>1200.6584707919887</v>
      </c>
      <c r="Y297" s="18">
        <f t="shared" si="76"/>
        <v>34.650519055159748</v>
      </c>
      <c r="Z297" s="18"/>
      <c r="AA297" s="18">
        <f t="shared" si="77"/>
        <v>8.5583616972606465E-5</v>
      </c>
    </row>
    <row r="298" spans="2:27" x14ac:dyDescent="0.35">
      <c r="B298" s="26">
        <v>74</v>
      </c>
      <c r="C298" s="26">
        <v>711</v>
      </c>
      <c r="D298" s="18">
        <f t="shared" si="84"/>
        <v>-2.2709049425394991</v>
      </c>
      <c r="E298" s="18">
        <f t="shared" si="84"/>
        <v>-8.6488070740555667</v>
      </c>
      <c r="F298" s="18">
        <f t="shared" si="84"/>
        <v>1000013.8155105581</v>
      </c>
      <c r="G298" s="18">
        <f t="shared" si="84"/>
        <v>1000013.8155105581</v>
      </c>
      <c r="H298" s="18">
        <f t="shared" si="84"/>
        <v>1000013.8155105581</v>
      </c>
      <c r="I298" s="16"/>
      <c r="J298" s="18">
        <f t="shared" si="69"/>
        <v>9.3961818874382597E-2</v>
      </c>
      <c r="K298" s="18">
        <f t="shared" si="70"/>
        <v>1.7530515158698103E-4</v>
      </c>
      <c r="L298" s="18">
        <f t="shared" si="71"/>
        <v>999999.99999309238</v>
      </c>
      <c r="M298" s="18">
        <f t="shared" si="72"/>
        <v>999999.99999309238</v>
      </c>
      <c r="N298" s="18">
        <f t="shared" si="73"/>
        <v>999999.99999309238</v>
      </c>
      <c r="O298" s="16"/>
      <c r="P298" s="18">
        <f t="shared" si="85"/>
        <v>14.060313500911269</v>
      </c>
      <c r="Q298" s="18">
        <f t="shared" si="78"/>
        <v>708.76572701038913</v>
      </c>
      <c r="R298" s="18">
        <f t="shared" si="79"/>
        <v>0</v>
      </c>
      <c r="S298" s="18">
        <f t="shared" si="80"/>
        <v>0</v>
      </c>
      <c r="T298" s="18">
        <f t="shared" si="81"/>
        <v>0</v>
      </c>
      <c r="U298" s="16"/>
      <c r="V298" s="18">
        <f t="shared" si="74"/>
        <v>722.82604051130045</v>
      </c>
      <c r="W298" s="16"/>
      <c r="X298" s="18">
        <f t="shared" si="75"/>
        <v>139.85523417491936</v>
      </c>
      <c r="Y298" s="18">
        <f t="shared" si="76"/>
        <v>11.826040511300448</v>
      </c>
      <c r="Z298" s="18"/>
      <c r="AA298" s="18">
        <f t="shared" si="77"/>
        <v>2.9209239833045223E-5</v>
      </c>
    </row>
    <row r="299" spans="2:27" x14ac:dyDescent="0.35">
      <c r="B299" s="26">
        <v>74.199999999999989</v>
      </c>
      <c r="C299" s="26">
        <v>725</v>
      </c>
      <c r="D299" s="18">
        <f t="shared" si="84"/>
        <v>-2.2613819899909378</v>
      </c>
      <c r="E299" s="18">
        <f t="shared" si="84"/>
        <v>-8.6475641545215254</v>
      </c>
      <c r="F299" s="18">
        <f t="shared" si="84"/>
        <v>1000013.8155105581</v>
      </c>
      <c r="G299" s="18">
        <f t="shared" si="84"/>
        <v>1000013.8155105581</v>
      </c>
      <c r="H299" s="18">
        <f t="shared" si="84"/>
        <v>1000013.8155105581</v>
      </c>
      <c r="I299" s="16"/>
      <c r="J299" s="18">
        <f t="shared" si="69"/>
        <v>9.4783019108004907E-2</v>
      </c>
      <c r="K299" s="18">
        <f t="shared" si="70"/>
        <v>1.7552313898857935E-4</v>
      </c>
      <c r="L299" s="18">
        <f t="shared" si="71"/>
        <v>999999.99999309238</v>
      </c>
      <c r="M299" s="18">
        <f t="shared" si="72"/>
        <v>999999.99999309238</v>
      </c>
      <c r="N299" s="18">
        <f t="shared" si="73"/>
        <v>999999.99999309238</v>
      </c>
      <c r="O299" s="16"/>
      <c r="P299" s="18">
        <f t="shared" si="85"/>
        <v>13.928039612100479</v>
      </c>
      <c r="Q299" s="18">
        <f t="shared" si="78"/>
        <v>707.88533551154433</v>
      </c>
      <c r="R299" s="18">
        <f t="shared" si="79"/>
        <v>0</v>
      </c>
      <c r="S299" s="18">
        <f t="shared" si="80"/>
        <v>0</v>
      </c>
      <c r="T299" s="18">
        <f t="shared" si="81"/>
        <v>0</v>
      </c>
      <c r="U299" s="16"/>
      <c r="V299" s="18">
        <f t="shared" si="74"/>
        <v>721.81337512364485</v>
      </c>
      <c r="W299" s="16"/>
      <c r="X299" s="18">
        <f t="shared" si="75"/>
        <v>10.1545781026055</v>
      </c>
      <c r="Y299" s="18">
        <f t="shared" si="76"/>
        <v>3.1866248763551539</v>
      </c>
      <c r="Z299" s="18"/>
      <c r="AA299" s="18">
        <f t="shared" si="77"/>
        <v>7.8706723676841503E-6</v>
      </c>
    </row>
    <row r="300" spans="2:27" x14ac:dyDescent="0.35">
      <c r="B300" s="26">
        <v>74.5</v>
      </c>
      <c r="C300" s="26">
        <v>719</v>
      </c>
      <c r="D300" s="18">
        <f t="shared" si="84"/>
        <v>-2.2470975611680952</v>
      </c>
      <c r="E300" s="18">
        <f t="shared" si="84"/>
        <v>-8.6456997752204643</v>
      </c>
      <c r="F300" s="18">
        <f t="shared" si="84"/>
        <v>1000013.8155105581</v>
      </c>
      <c r="G300" s="18">
        <f t="shared" si="84"/>
        <v>1000013.8155105581</v>
      </c>
      <c r="H300" s="18">
        <f t="shared" si="84"/>
        <v>1000013.8155105581</v>
      </c>
      <c r="I300" s="16"/>
      <c r="J300" s="18">
        <f t="shared" si="69"/>
        <v>9.6027115290040488E-2</v>
      </c>
      <c r="K300" s="18">
        <f t="shared" si="70"/>
        <v>1.7585062834754616E-4</v>
      </c>
      <c r="L300" s="18">
        <f t="shared" si="71"/>
        <v>999999.99999309238</v>
      </c>
      <c r="M300" s="18">
        <f t="shared" si="72"/>
        <v>999999.99999309238</v>
      </c>
      <c r="N300" s="18">
        <f t="shared" si="73"/>
        <v>999999.99999309238</v>
      </c>
      <c r="O300" s="16"/>
      <c r="P300" s="18">
        <f t="shared" si="85"/>
        <v>13.73198760560161</v>
      </c>
      <c r="Q300" s="18">
        <f t="shared" si="78"/>
        <v>706.56679829384984</v>
      </c>
      <c r="R300" s="18">
        <f t="shared" si="79"/>
        <v>0</v>
      </c>
      <c r="S300" s="18">
        <f t="shared" si="80"/>
        <v>0</v>
      </c>
      <c r="T300" s="18">
        <f t="shared" si="81"/>
        <v>0</v>
      </c>
      <c r="U300" s="16"/>
      <c r="V300" s="18">
        <f t="shared" si="74"/>
        <v>720.29878589945145</v>
      </c>
      <c r="W300" s="16"/>
      <c r="X300" s="18">
        <f t="shared" si="75"/>
        <v>1.6868448126139</v>
      </c>
      <c r="Y300" s="18">
        <f t="shared" si="76"/>
        <v>1.2987858994514454</v>
      </c>
      <c r="Z300" s="18"/>
      <c r="AA300" s="18">
        <f t="shared" si="77"/>
        <v>3.2078825362220027E-6</v>
      </c>
    </row>
    <row r="301" spans="2:27" x14ac:dyDescent="0.35">
      <c r="B301" s="26">
        <v>74.799999999999983</v>
      </c>
      <c r="C301" s="26">
        <v>724</v>
      </c>
      <c r="D301" s="18">
        <f t="shared" si="84"/>
        <v>-2.2328131323452536</v>
      </c>
      <c r="E301" s="18">
        <f t="shared" si="84"/>
        <v>-8.6438353959194014</v>
      </c>
      <c r="F301" s="18">
        <f t="shared" si="84"/>
        <v>1000013.8155105581</v>
      </c>
      <c r="G301" s="18">
        <f t="shared" si="84"/>
        <v>1000013.8155105581</v>
      </c>
      <c r="H301" s="18">
        <f t="shared" si="84"/>
        <v>1000013.8155105581</v>
      </c>
      <c r="I301" s="16"/>
      <c r="J301" s="18">
        <f t="shared" si="69"/>
        <v>9.7286093332083975E-2</v>
      </c>
      <c r="K301" s="18">
        <f t="shared" si="70"/>
        <v>1.7617872862533076E-4</v>
      </c>
      <c r="L301" s="18">
        <f t="shared" si="71"/>
        <v>999999.99999309238</v>
      </c>
      <c r="M301" s="18">
        <f t="shared" si="72"/>
        <v>999999.99999309238</v>
      </c>
      <c r="N301" s="18">
        <f t="shared" si="73"/>
        <v>999999.99999309238</v>
      </c>
      <c r="O301" s="16"/>
      <c r="P301" s="18">
        <f t="shared" si="85"/>
        <v>13.538730546195291</v>
      </c>
      <c r="Q301" s="18">
        <f t="shared" si="78"/>
        <v>705.25071703959156</v>
      </c>
      <c r="R301" s="18">
        <f t="shared" si="79"/>
        <v>0</v>
      </c>
      <c r="S301" s="18">
        <f t="shared" si="80"/>
        <v>0</v>
      </c>
      <c r="T301" s="18">
        <f t="shared" si="81"/>
        <v>0</v>
      </c>
      <c r="U301" s="16"/>
      <c r="V301" s="18">
        <f t="shared" si="74"/>
        <v>718.78944758578689</v>
      </c>
      <c r="W301" s="16"/>
      <c r="X301" s="18">
        <f t="shared" si="75"/>
        <v>27.149856461262086</v>
      </c>
      <c r="Y301" s="18">
        <f t="shared" si="76"/>
        <v>5.2105524142131117</v>
      </c>
      <c r="Z301" s="18"/>
      <c r="AA301" s="18">
        <f t="shared" si="77"/>
        <v>1.2869588513921584E-5</v>
      </c>
    </row>
    <row r="302" spans="2:27" x14ac:dyDescent="0.35">
      <c r="B302" s="26">
        <v>75.099999999999994</v>
      </c>
      <c r="C302" s="26">
        <v>681</v>
      </c>
      <c r="D302" s="18">
        <f t="shared" si="84"/>
        <v>-2.2185287035224106</v>
      </c>
      <c r="E302" s="18">
        <f t="shared" si="84"/>
        <v>-8.6419710166183403</v>
      </c>
      <c r="F302" s="18">
        <f t="shared" si="84"/>
        <v>1000013.8155105581</v>
      </c>
      <c r="G302" s="18">
        <f t="shared" si="84"/>
        <v>1000013.8155105581</v>
      </c>
      <c r="H302" s="18">
        <f t="shared" si="84"/>
        <v>1000013.8155105581</v>
      </c>
      <c r="I302" s="16"/>
      <c r="J302" s="18">
        <f t="shared" si="69"/>
        <v>9.8560096506815853E-2</v>
      </c>
      <c r="K302" s="18">
        <f t="shared" si="70"/>
        <v>1.765074409611763E-4</v>
      </c>
      <c r="L302" s="18">
        <f t="shared" si="71"/>
        <v>999999.99999309238</v>
      </c>
      <c r="M302" s="18">
        <f t="shared" si="72"/>
        <v>999999.99999309238</v>
      </c>
      <c r="N302" s="18">
        <f t="shared" si="73"/>
        <v>999999.99999309238</v>
      </c>
      <c r="O302" s="16"/>
      <c r="P302" s="18">
        <f t="shared" si="85"/>
        <v>13.348228853380537</v>
      </c>
      <c r="Q302" s="18">
        <f t="shared" si="78"/>
        <v>703.93708717418974</v>
      </c>
      <c r="R302" s="18">
        <f t="shared" si="79"/>
        <v>0</v>
      </c>
      <c r="S302" s="18">
        <f t="shared" si="80"/>
        <v>0</v>
      </c>
      <c r="T302" s="18">
        <f t="shared" si="81"/>
        <v>0</v>
      </c>
      <c r="U302" s="16"/>
      <c r="V302" s="18">
        <f t="shared" si="74"/>
        <v>717.28531602757027</v>
      </c>
      <c r="W302" s="16"/>
      <c r="X302" s="18">
        <f t="shared" si="75"/>
        <v>1316.6241592206484</v>
      </c>
      <c r="Y302" s="18">
        <f t="shared" si="76"/>
        <v>36.285316027570275</v>
      </c>
      <c r="Z302" s="18"/>
      <c r="AA302" s="18">
        <f t="shared" si="77"/>
        <v>8.9621416166668619E-5</v>
      </c>
    </row>
    <row r="303" spans="2:27" x14ac:dyDescent="0.35">
      <c r="B303" s="26">
        <v>75.400000000000006</v>
      </c>
      <c r="C303" s="26">
        <v>717</v>
      </c>
      <c r="D303" s="18">
        <f t="shared" si="84"/>
        <v>-2.2042442746995681</v>
      </c>
      <c r="E303" s="18">
        <f t="shared" si="84"/>
        <v>-8.6401066373172792</v>
      </c>
      <c r="F303" s="18">
        <f t="shared" si="84"/>
        <v>1000013.8155105581</v>
      </c>
      <c r="G303" s="18">
        <f t="shared" si="84"/>
        <v>1000013.8155105581</v>
      </c>
      <c r="H303" s="18">
        <f t="shared" si="84"/>
        <v>1000013.8155105581</v>
      </c>
      <c r="I303" s="16"/>
      <c r="J303" s="18">
        <f t="shared" si="69"/>
        <v>9.9849268675809941E-2</v>
      </c>
      <c r="K303" s="18">
        <f t="shared" si="70"/>
        <v>1.768367664964496E-4</v>
      </c>
      <c r="L303" s="18">
        <f t="shared" si="71"/>
        <v>999999.99999309238</v>
      </c>
      <c r="M303" s="18">
        <f t="shared" si="72"/>
        <v>999999.99999309238</v>
      </c>
      <c r="N303" s="18">
        <f t="shared" si="73"/>
        <v>999999.99999309238</v>
      </c>
      <c r="O303" s="16"/>
      <c r="P303" s="18">
        <f t="shared" si="85"/>
        <v>13.160443506476145</v>
      </c>
      <c r="Q303" s="18">
        <f t="shared" si="78"/>
        <v>702.62590413158307</v>
      </c>
      <c r="R303" s="18">
        <f t="shared" si="79"/>
        <v>0</v>
      </c>
      <c r="S303" s="18">
        <f t="shared" si="80"/>
        <v>0</v>
      </c>
      <c r="T303" s="18">
        <f t="shared" si="81"/>
        <v>0</v>
      </c>
      <c r="U303" s="16"/>
      <c r="V303" s="18">
        <f t="shared" si="74"/>
        <v>715.78634763805917</v>
      </c>
      <c r="W303" s="16"/>
      <c r="X303" s="18">
        <f t="shared" si="75"/>
        <v>1.4729520556445574</v>
      </c>
      <c r="Y303" s="18">
        <f t="shared" si="76"/>
        <v>1.2136523619408308</v>
      </c>
      <c r="Z303" s="18"/>
      <c r="AA303" s="18">
        <f t="shared" si="77"/>
        <v>2.9976104749512057E-6</v>
      </c>
    </row>
    <row r="304" spans="2:27" x14ac:dyDescent="0.35">
      <c r="B304" s="26">
        <v>75.699999999999989</v>
      </c>
      <c r="C304" s="26">
        <v>694</v>
      </c>
      <c r="D304" s="18">
        <f t="shared" si="84"/>
        <v>-2.1899598458767264</v>
      </c>
      <c r="E304" s="18">
        <f t="shared" si="84"/>
        <v>-8.6382422580162164</v>
      </c>
      <c r="F304" s="18">
        <f t="shared" si="84"/>
        <v>1000013.8155105581</v>
      </c>
      <c r="G304" s="18">
        <f t="shared" si="84"/>
        <v>1000013.8155105581</v>
      </c>
      <c r="H304" s="18">
        <f t="shared" si="84"/>
        <v>1000013.8155105581</v>
      </c>
      <c r="I304" s="16"/>
      <c r="J304" s="18">
        <f t="shared" si="69"/>
        <v>0.10115375427394173</v>
      </c>
      <c r="K304" s="18">
        <f t="shared" si="70"/>
        <v>1.771667063746446E-4</v>
      </c>
      <c r="L304" s="18">
        <f t="shared" si="71"/>
        <v>999999.99999309238</v>
      </c>
      <c r="M304" s="18">
        <f t="shared" si="72"/>
        <v>999999.99999309238</v>
      </c>
      <c r="N304" s="18">
        <f t="shared" si="73"/>
        <v>999999.99999309238</v>
      </c>
      <c r="O304" s="16"/>
      <c r="P304" s="18">
        <f t="shared" si="85"/>
        <v>12.975336036640277</v>
      </c>
      <c r="Q304" s="18">
        <f t="shared" si="78"/>
        <v>701.3171633542139</v>
      </c>
      <c r="R304" s="18">
        <f t="shared" si="79"/>
        <v>0</v>
      </c>
      <c r="S304" s="18">
        <f t="shared" si="80"/>
        <v>0</v>
      </c>
      <c r="T304" s="18">
        <f t="shared" si="81"/>
        <v>0</v>
      </c>
      <c r="U304" s="16"/>
      <c r="V304" s="18">
        <f t="shared" si="74"/>
        <v>714.29249939085423</v>
      </c>
      <c r="W304" s="16"/>
      <c r="X304" s="18">
        <f t="shared" si="75"/>
        <v>411.78553152781939</v>
      </c>
      <c r="Y304" s="18">
        <f t="shared" si="76"/>
        <v>20.292499390854232</v>
      </c>
      <c r="Z304" s="18"/>
      <c r="AA304" s="18">
        <f t="shared" si="77"/>
        <v>5.012061991103446E-5</v>
      </c>
    </row>
    <row r="305" spans="2:27" x14ac:dyDescent="0.35">
      <c r="B305" s="26">
        <v>76</v>
      </c>
      <c r="C305" s="26">
        <v>690</v>
      </c>
      <c r="D305" s="18">
        <f t="shared" si="84"/>
        <v>-2.1756754170538835</v>
      </c>
      <c r="E305" s="18">
        <f t="shared" si="84"/>
        <v>-8.6363778787151553</v>
      </c>
      <c r="F305" s="18">
        <f t="shared" si="84"/>
        <v>1000013.8155105581</v>
      </c>
      <c r="G305" s="18">
        <f t="shared" si="84"/>
        <v>1000013.8155105581</v>
      </c>
      <c r="H305" s="18">
        <f t="shared" si="84"/>
        <v>1000013.8155105581</v>
      </c>
      <c r="I305" s="16"/>
      <c r="J305" s="18">
        <f t="shared" si="69"/>
        <v>0.10247369829339358</v>
      </c>
      <c r="K305" s="18">
        <f t="shared" si="70"/>
        <v>1.7749726174138501E-4</v>
      </c>
      <c r="L305" s="18">
        <f t="shared" si="71"/>
        <v>999999.99999309238</v>
      </c>
      <c r="M305" s="18">
        <f t="shared" si="72"/>
        <v>999999.99999309238</v>
      </c>
      <c r="N305" s="18">
        <f t="shared" si="73"/>
        <v>999999.99999309238</v>
      </c>
      <c r="O305" s="16"/>
      <c r="P305" s="18">
        <f t="shared" si="85"/>
        <v>12.792868519003342</v>
      </c>
      <c r="Q305" s="18">
        <f t="shared" si="78"/>
        <v>700.01086029301837</v>
      </c>
      <c r="R305" s="18">
        <f t="shared" si="79"/>
        <v>0</v>
      </c>
      <c r="S305" s="18">
        <f t="shared" si="80"/>
        <v>0</v>
      </c>
      <c r="T305" s="18">
        <f t="shared" si="81"/>
        <v>0</v>
      </c>
      <c r="U305" s="16"/>
      <c r="V305" s="18">
        <f t="shared" si="74"/>
        <v>712.80372881202175</v>
      </c>
      <c r="W305" s="16"/>
      <c r="X305" s="18">
        <f t="shared" si="75"/>
        <v>520.01004773223065</v>
      </c>
      <c r="Y305" s="18">
        <f t="shared" si="76"/>
        <v>22.803728812021745</v>
      </c>
      <c r="Z305" s="18"/>
      <c r="AA305" s="18">
        <f t="shared" si="77"/>
        <v>5.6323127197271991E-5</v>
      </c>
    </row>
    <row r="306" spans="2:27" x14ac:dyDescent="0.35">
      <c r="B306" s="26">
        <v>76.199999999999989</v>
      </c>
      <c r="C306" s="26">
        <v>671</v>
      </c>
      <c r="D306" s="18">
        <f t="shared" si="84"/>
        <v>-2.1661524645053225</v>
      </c>
      <c r="E306" s="18">
        <f t="shared" si="84"/>
        <v>-8.635134959181114</v>
      </c>
      <c r="F306" s="18">
        <f t="shared" si="84"/>
        <v>1000013.8155105581</v>
      </c>
      <c r="G306" s="18">
        <f t="shared" si="84"/>
        <v>1000013.8155105581</v>
      </c>
      <c r="H306" s="18">
        <f t="shared" si="84"/>
        <v>1000013.8155105581</v>
      </c>
      <c r="I306" s="16"/>
      <c r="J306" s="18">
        <f t="shared" ref="J306:J369" si="86">lmb_2(D306)</f>
        <v>0.10336232083131033</v>
      </c>
      <c r="K306" s="18">
        <f t="shared" ref="K306:K369" si="87">lmb_2(E306)</f>
        <v>1.7771797449066636E-4</v>
      </c>
      <c r="L306" s="18">
        <f t="shared" ref="L306:L369" si="88">lmb_2(F306)</f>
        <v>999999.99999309238</v>
      </c>
      <c r="M306" s="18">
        <f t="shared" ref="M306:M369" si="89">lmb_2(G306)</f>
        <v>999999.99999309238</v>
      </c>
      <c r="N306" s="18">
        <f t="shared" ref="N306:N369" si="90">lmb_2(H306)</f>
        <v>999999.99999309238</v>
      </c>
      <c r="O306" s="16"/>
      <c r="P306" s="18">
        <f t="shared" si="85"/>
        <v>12.6726716619886</v>
      </c>
      <c r="Q306" s="18">
        <f t="shared" si="78"/>
        <v>699.14134362970015</v>
      </c>
      <c r="R306" s="18">
        <f t="shared" si="79"/>
        <v>0</v>
      </c>
      <c r="S306" s="18">
        <f t="shared" si="80"/>
        <v>0</v>
      </c>
      <c r="T306" s="18">
        <f t="shared" si="81"/>
        <v>0</v>
      </c>
      <c r="U306" s="16"/>
      <c r="V306" s="18">
        <f t="shared" ref="V306:V369" si="91">SUM(P306:T306)</f>
        <v>711.81401529168875</v>
      </c>
      <c r="W306" s="16"/>
      <c r="X306" s="18">
        <f t="shared" ref="X306:X369" si="92">(V306-C306)^2</f>
        <v>1665.7838442302029</v>
      </c>
      <c r="Y306" s="18">
        <f t="shared" ref="Y306:Y369" si="93">ABS(V306-C306)</f>
        <v>40.814015291688747</v>
      </c>
      <c r="Z306" s="18"/>
      <c r="AA306" s="18">
        <f t="shared" ref="AA306:AA369" si="94">Y306/$Z$39</f>
        <v>1.0080688968259062E-4</v>
      </c>
    </row>
    <row r="307" spans="2:27" x14ac:dyDescent="0.35">
      <c r="B307" s="26">
        <v>76.5</v>
      </c>
      <c r="C307" s="26">
        <v>703</v>
      </c>
      <c r="D307" s="18">
        <f t="shared" si="84"/>
        <v>-2.1518680356824795</v>
      </c>
      <c r="E307" s="18">
        <f t="shared" si="84"/>
        <v>-8.6332705798800529</v>
      </c>
      <c r="F307" s="18">
        <f t="shared" si="84"/>
        <v>1000013.8155105581</v>
      </c>
      <c r="G307" s="18">
        <f t="shared" si="84"/>
        <v>1000013.8155105581</v>
      </c>
      <c r="H307" s="18">
        <f t="shared" si="84"/>
        <v>1000013.8155105581</v>
      </c>
      <c r="I307" s="16"/>
      <c r="J307" s="18">
        <f t="shared" si="86"/>
        <v>0.10470835255268821</v>
      </c>
      <c r="K307" s="18">
        <f t="shared" si="87"/>
        <v>1.7804955822328178E-4</v>
      </c>
      <c r="L307" s="18">
        <f t="shared" si="88"/>
        <v>999999.99999309238</v>
      </c>
      <c r="M307" s="18">
        <f t="shared" si="89"/>
        <v>999999.99999309238</v>
      </c>
      <c r="N307" s="18">
        <f t="shared" si="90"/>
        <v>999999.99999309238</v>
      </c>
      <c r="O307" s="16"/>
      <c r="P307" s="18">
        <f t="shared" si="85"/>
        <v>12.494521240122301</v>
      </c>
      <c r="Q307" s="18">
        <f t="shared" si="78"/>
        <v>697.83909334276154</v>
      </c>
      <c r="R307" s="18">
        <f t="shared" si="79"/>
        <v>0</v>
      </c>
      <c r="S307" s="18">
        <f t="shared" si="80"/>
        <v>0</v>
      </c>
      <c r="T307" s="18">
        <f t="shared" si="81"/>
        <v>0</v>
      </c>
      <c r="U307" s="16"/>
      <c r="V307" s="18">
        <f t="shared" si="91"/>
        <v>710.3336145828838</v>
      </c>
      <c r="W307" s="16"/>
      <c r="X307" s="18">
        <f t="shared" si="92"/>
        <v>53.781902850285888</v>
      </c>
      <c r="Y307" s="18">
        <f t="shared" si="93"/>
        <v>7.3336145828837971</v>
      </c>
      <c r="Z307" s="18"/>
      <c r="AA307" s="18">
        <f t="shared" si="94"/>
        <v>1.8113358142979612E-5</v>
      </c>
    </row>
    <row r="308" spans="2:27" x14ac:dyDescent="0.35">
      <c r="B308" s="26">
        <v>76.799999999999983</v>
      </c>
      <c r="C308" s="26">
        <v>679</v>
      </c>
      <c r="D308" s="18">
        <f t="shared" si="84"/>
        <v>-2.1375836068596383</v>
      </c>
      <c r="E308" s="18">
        <f t="shared" si="84"/>
        <v>-8.63140620057899</v>
      </c>
      <c r="F308" s="18">
        <f t="shared" si="84"/>
        <v>1000013.8155105581</v>
      </c>
      <c r="G308" s="18">
        <f t="shared" si="84"/>
        <v>1000013.8155105581</v>
      </c>
      <c r="H308" s="18">
        <f t="shared" si="84"/>
        <v>1000013.8155105581</v>
      </c>
      <c r="I308" s="16"/>
      <c r="J308" s="18">
        <f t="shared" si="86"/>
        <v>0.10607023193983985</v>
      </c>
      <c r="K308" s="18">
        <f t="shared" si="87"/>
        <v>1.7838176050988941E-4</v>
      </c>
      <c r="L308" s="18">
        <f t="shared" si="88"/>
        <v>999999.99999309238</v>
      </c>
      <c r="M308" s="18">
        <f t="shared" si="89"/>
        <v>999999.99999309238</v>
      </c>
      <c r="N308" s="18">
        <f t="shared" si="90"/>
        <v>999999.99999309238</v>
      </c>
      <c r="O308" s="16"/>
      <c r="P308" s="18">
        <f t="shared" si="85"/>
        <v>12.318912238257274</v>
      </c>
      <c r="Q308" s="18">
        <f t="shared" si="78"/>
        <v>696.53926868253143</v>
      </c>
      <c r="R308" s="18">
        <f t="shared" si="79"/>
        <v>0</v>
      </c>
      <c r="S308" s="18">
        <f t="shared" si="80"/>
        <v>0</v>
      </c>
      <c r="T308" s="18">
        <f t="shared" si="81"/>
        <v>0</v>
      </c>
      <c r="U308" s="16"/>
      <c r="V308" s="18">
        <f t="shared" si="91"/>
        <v>708.85818092078875</v>
      </c>
      <c r="W308" s="16"/>
      <c r="X308" s="18">
        <f t="shared" si="92"/>
        <v>891.51096789855364</v>
      </c>
      <c r="Y308" s="18">
        <f t="shared" si="93"/>
        <v>29.858180920788755</v>
      </c>
      <c r="Z308" s="18"/>
      <c r="AA308" s="18">
        <f t="shared" si="94"/>
        <v>7.3746979528811857E-5</v>
      </c>
    </row>
    <row r="309" spans="2:27" x14ac:dyDescent="0.35">
      <c r="B309" s="26">
        <v>77.099999999999994</v>
      </c>
      <c r="C309" s="26">
        <v>736</v>
      </c>
      <c r="D309" s="18">
        <f t="shared" si="84"/>
        <v>-2.1232991780367954</v>
      </c>
      <c r="E309" s="18">
        <f t="shared" si="84"/>
        <v>-8.6295418212779289</v>
      </c>
      <c r="F309" s="18">
        <f t="shared" si="84"/>
        <v>1000013.8155105581</v>
      </c>
      <c r="G309" s="18">
        <f t="shared" si="84"/>
        <v>1000013.8155105581</v>
      </c>
      <c r="H309" s="18">
        <f t="shared" si="84"/>
        <v>1000013.8155105581</v>
      </c>
      <c r="I309" s="16"/>
      <c r="J309" s="18">
        <f t="shared" si="86"/>
        <v>0.10744810588506058</v>
      </c>
      <c r="K309" s="18">
        <f t="shared" si="87"/>
        <v>1.7871458250396022E-4</v>
      </c>
      <c r="L309" s="18">
        <f t="shared" si="88"/>
        <v>999999.99999309238</v>
      </c>
      <c r="M309" s="18">
        <f t="shared" si="89"/>
        <v>999999.99999309238</v>
      </c>
      <c r="N309" s="18">
        <f t="shared" si="90"/>
        <v>999999.99999309238</v>
      </c>
      <c r="O309" s="16"/>
      <c r="P309" s="18">
        <f t="shared" si="85"/>
        <v>12.145808660568184</v>
      </c>
      <c r="Q309" s="18">
        <f t="shared" si="78"/>
        <v>695.24186513093741</v>
      </c>
      <c r="R309" s="18">
        <f t="shared" si="79"/>
        <v>0</v>
      </c>
      <c r="S309" s="18">
        <f t="shared" si="80"/>
        <v>0</v>
      </c>
      <c r="T309" s="18">
        <f t="shared" si="81"/>
        <v>0</v>
      </c>
      <c r="U309" s="16"/>
      <c r="V309" s="18">
        <f t="shared" si="91"/>
        <v>707.38767379150556</v>
      </c>
      <c r="W309" s="16"/>
      <c r="X309" s="18">
        <f t="shared" si="92"/>
        <v>818.66521106129767</v>
      </c>
      <c r="Y309" s="18">
        <f t="shared" si="93"/>
        <v>28.612326208494437</v>
      </c>
      <c r="Z309" s="18"/>
      <c r="AA309" s="18">
        <f t="shared" si="94"/>
        <v>7.0669832189957309E-5</v>
      </c>
    </row>
    <row r="310" spans="2:27" x14ac:dyDescent="0.35">
      <c r="B310" s="26">
        <v>77.400000000000006</v>
      </c>
      <c r="C310" s="26">
        <v>709</v>
      </c>
      <c r="D310" s="18">
        <f t="shared" si="84"/>
        <v>-2.1090147492139524</v>
      </c>
      <c r="E310" s="18">
        <f t="shared" si="84"/>
        <v>-8.6276774419768678</v>
      </c>
      <c r="F310" s="18">
        <f t="shared" si="84"/>
        <v>1000013.8155105581</v>
      </c>
      <c r="G310" s="18">
        <f t="shared" si="84"/>
        <v>1000013.8155105581</v>
      </c>
      <c r="H310" s="18">
        <f t="shared" si="84"/>
        <v>1000013.8155105581</v>
      </c>
      <c r="I310" s="16"/>
      <c r="J310" s="18">
        <f t="shared" si="86"/>
        <v>0.10884212175799617</v>
      </c>
      <c r="K310" s="18">
        <f t="shared" si="87"/>
        <v>1.7904802536111554E-4</v>
      </c>
      <c r="L310" s="18">
        <f t="shared" si="88"/>
        <v>999999.99999309238</v>
      </c>
      <c r="M310" s="18">
        <f t="shared" si="89"/>
        <v>999999.99999309238</v>
      </c>
      <c r="N310" s="18">
        <f t="shared" si="90"/>
        <v>999999.99999309238</v>
      </c>
      <c r="O310" s="16"/>
      <c r="P310" s="18">
        <f t="shared" si="85"/>
        <v>11.975175019939545</v>
      </c>
      <c r="Q310" s="18">
        <f t="shared" si="78"/>
        <v>693.94687817831868</v>
      </c>
      <c r="R310" s="18">
        <f t="shared" si="79"/>
        <v>0</v>
      </c>
      <c r="S310" s="18">
        <f t="shared" si="80"/>
        <v>0</v>
      </c>
      <c r="T310" s="18">
        <f t="shared" si="81"/>
        <v>0</v>
      </c>
      <c r="U310" s="16"/>
      <c r="V310" s="18">
        <f t="shared" si="91"/>
        <v>705.92205319825825</v>
      </c>
      <c r="W310" s="16"/>
      <c r="X310" s="18">
        <f t="shared" si="92"/>
        <v>9.4737565143522406</v>
      </c>
      <c r="Y310" s="18">
        <f t="shared" si="93"/>
        <v>3.0779468017417457</v>
      </c>
      <c r="Z310" s="18"/>
      <c r="AA310" s="18">
        <f t="shared" si="94"/>
        <v>7.6022474504057675E-6</v>
      </c>
    </row>
    <row r="311" spans="2:27" x14ac:dyDescent="0.35">
      <c r="B311" s="26">
        <v>77.699999999999989</v>
      </c>
      <c r="C311" s="26">
        <v>673</v>
      </c>
      <c r="D311" s="18">
        <f t="shared" si="84"/>
        <v>-2.0947303203911112</v>
      </c>
      <c r="E311" s="18">
        <f t="shared" si="84"/>
        <v>-8.6258130626758049</v>
      </c>
      <c r="F311" s="18">
        <f t="shared" si="84"/>
        <v>1000013.8155105581</v>
      </c>
      <c r="G311" s="18">
        <f t="shared" si="84"/>
        <v>1000013.8155105581</v>
      </c>
      <c r="H311" s="18">
        <f t="shared" si="84"/>
        <v>1000013.8155105581</v>
      </c>
      <c r="I311" s="16"/>
      <c r="J311" s="18">
        <f t="shared" si="86"/>
        <v>0.11025242738737709</v>
      </c>
      <c r="K311" s="18">
        <f t="shared" si="87"/>
        <v>1.793820902391302E-4</v>
      </c>
      <c r="L311" s="18">
        <f t="shared" si="88"/>
        <v>999999.99999309238</v>
      </c>
      <c r="M311" s="18">
        <f t="shared" si="89"/>
        <v>999999.99999309238</v>
      </c>
      <c r="N311" s="18">
        <f t="shared" si="90"/>
        <v>999999.99999309238</v>
      </c>
      <c r="O311" s="16"/>
      <c r="P311" s="18">
        <f t="shared" si="85"/>
        <v>11.806976330710759</v>
      </c>
      <c r="Q311" s="18">
        <f t="shared" ref="Q311:Q374" si="95">(D$23*D$22)/(K311+K311^2)</f>
        <v>692.6543033234143</v>
      </c>
      <c r="R311" s="18">
        <f t="shared" ref="R311:R374" si="96">(E$23*E$22)/(L311+L311^2)</f>
        <v>0</v>
      </c>
      <c r="S311" s="18">
        <f t="shared" ref="S311:S374" si="97">(F$23*F$22)/(M311+M311^2)</f>
        <v>0</v>
      </c>
      <c r="T311" s="18">
        <f t="shared" ref="T311:T374" si="98">(G$23*G$22)/(N311+N311^2)</f>
        <v>0</v>
      </c>
      <c r="U311" s="16"/>
      <c r="V311" s="18">
        <f t="shared" si="91"/>
        <v>704.46127965412506</v>
      </c>
      <c r="W311" s="16"/>
      <c r="X311" s="18">
        <f t="shared" si="92"/>
        <v>989.8121174750637</v>
      </c>
      <c r="Y311" s="18">
        <f t="shared" si="93"/>
        <v>31.461279654125065</v>
      </c>
      <c r="Z311" s="18"/>
      <c r="AA311" s="18">
        <f t="shared" si="94"/>
        <v>7.7706486967783254E-5</v>
      </c>
    </row>
    <row r="312" spans="2:27" x14ac:dyDescent="0.35">
      <c r="B312" s="26">
        <v>78</v>
      </c>
      <c r="C312" s="26">
        <v>712</v>
      </c>
      <c r="D312" s="18">
        <f t="shared" si="84"/>
        <v>-2.0804458915682682</v>
      </c>
      <c r="E312" s="18">
        <f t="shared" si="84"/>
        <v>-8.6239486833747439</v>
      </c>
      <c r="F312" s="18">
        <f t="shared" si="84"/>
        <v>1000013.8155105581</v>
      </c>
      <c r="G312" s="18">
        <f t="shared" si="84"/>
        <v>1000013.8155105581</v>
      </c>
      <c r="H312" s="18">
        <f t="shared" si="84"/>
        <v>1000013.8155105581</v>
      </c>
      <c r="I312" s="16"/>
      <c r="J312" s="18">
        <f t="shared" si="86"/>
        <v>0.11167917104235654</v>
      </c>
      <c r="K312" s="18">
        <f t="shared" si="87"/>
        <v>1.7971677829793542E-4</v>
      </c>
      <c r="L312" s="18">
        <f t="shared" si="88"/>
        <v>999999.99999309238</v>
      </c>
      <c r="M312" s="18">
        <f t="shared" si="89"/>
        <v>999999.99999309238</v>
      </c>
      <c r="N312" s="18">
        <f t="shared" si="90"/>
        <v>999999.99999309238</v>
      </c>
      <c r="O312" s="16"/>
      <c r="P312" s="18">
        <f t="shared" si="85"/>
        <v>11.641178101524217</v>
      </c>
      <c r="Q312" s="18">
        <f t="shared" si="95"/>
        <v>691.36413607335135</v>
      </c>
      <c r="R312" s="18">
        <f t="shared" si="96"/>
        <v>0</v>
      </c>
      <c r="S312" s="18">
        <f t="shared" si="97"/>
        <v>0</v>
      </c>
      <c r="T312" s="18">
        <f t="shared" si="98"/>
        <v>0</v>
      </c>
      <c r="U312" s="16"/>
      <c r="V312" s="18">
        <f t="shared" si="91"/>
        <v>703.00531417487559</v>
      </c>
      <c r="W312" s="16"/>
      <c r="X312" s="18">
        <f t="shared" si="92"/>
        <v>80.90437309269393</v>
      </c>
      <c r="Y312" s="18">
        <f t="shared" si="93"/>
        <v>8.9946858251244066</v>
      </c>
      <c r="Z312" s="18"/>
      <c r="AA312" s="18">
        <f t="shared" si="94"/>
        <v>2.2216052383542886E-5</v>
      </c>
    </row>
    <row r="313" spans="2:27" x14ac:dyDescent="0.35">
      <c r="B313" s="26">
        <v>78.199999999999989</v>
      </c>
      <c r="C313" s="26">
        <v>683</v>
      </c>
      <c r="D313" s="18">
        <f t="shared" si="84"/>
        <v>-2.0709229390197073</v>
      </c>
      <c r="E313" s="18">
        <f t="shared" si="84"/>
        <v>-8.6227057638407025</v>
      </c>
      <c r="F313" s="18">
        <f t="shared" si="84"/>
        <v>1000013.8155105581</v>
      </c>
      <c r="G313" s="18">
        <f t="shared" si="84"/>
        <v>1000013.8155105581</v>
      </c>
      <c r="H313" s="18">
        <f t="shared" si="84"/>
        <v>1000013.8155105581</v>
      </c>
      <c r="I313" s="16"/>
      <c r="J313" s="18">
        <f t="shared" si="86"/>
        <v>0.11263953912611332</v>
      </c>
      <c r="K313" s="18">
        <f t="shared" si="87"/>
        <v>1.7994025045580702E-4</v>
      </c>
      <c r="L313" s="18">
        <f t="shared" si="88"/>
        <v>999999.99999309238</v>
      </c>
      <c r="M313" s="18">
        <f t="shared" si="89"/>
        <v>999999.99999309238</v>
      </c>
      <c r="N313" s="18">
        <f t="shared" si="90"/>
        <v>999999.99999309238</v>
      </c>
      <c r="O313" s="16"/>
      <c r="P313" s="18">
        <f t="shared" si="85"/>
        <v>11.531962725653957</v>
      </c>
      <c r="Q313" s="18">
        <f t="shared" si="95"/>
        <v>690.50535991663844</v>
      </c>
      <c r="R313" s="18">
        <f t="shared" si="96"/>
        <v>0</v>
      </c>
      <c r="S313" s="18">
        <f t="shared" si="97"/>
        <v>0</v>
      </c>
      <c r="T313" s="18">
        <f t="shared" si="98"/>
        <v>0</v>
      </c>
      <c r="U313" s="16"/>
      <c r="V313" s="18">
        <f t="shared" si="91"/>
        <v>702.03732264229245</v>
      </c>
      <c r="W313" s="16"/>
      <c r="X313" s="18">
        <f t="shared" si="92"/>
        <v>362.41965338674083</v>
      </c>
      <c r="Y313" s="18">
        <f t="shared" si="93"/>
        <v>19.037322642292452</v>
      </c>
      <c r="Z313" s="18"/>
      <c r="AA313" s="18">
        <f t="shared" si="94"/>
        <v>4.702044799410507E-5</v>
      </c>
    </row>
    <row r="314" spans="2:27" x14ac:dyDescent="0.35">
      <c r="B314" s="26">
        <v>78.5</v>
      </c>
      <c r="C314" s="26">
        <v>686</v>
      </c>
      <c r="D314" s="18">
        <f t="shared" si="84"/>
        <v>-2.0566385101968643</v>
      </c>
      <c r="E314" s="18">
        <f t="shared" si="84"/>
        <v>-8.6208413845396414</v>
      </c>
      <c r="F314" s="18">
        <f t="shared" si="84"/>
        <v>1000013.8155105581</v>
      </c>
      <c r="G314" s="18">
        <f t="shared" si="84"/>
        <v>1000013.8155105581</v>
      </c>
      <c r="H314" s="18">
        <f t="shared" si="84"/>
        <v>1000013.8155105581</v>
      </c>
      <c r="I314" s="16"/>
      <c r="J314" s="18">
        <f t="shared" si="86"/>
        <v>0.11409401011308493</v>
      </c>
      <c r="K314" s="18">
        <f t="shared" si="87"/>
        <v>1.8027597973276264E-4</v>
      </c>
      <c r="L314" s="18">
        <f t="shared" si="88"/>
        <v>999999.99999309238</v>
      </c>
      <c r="M314" s="18">
        <f t="shared" si="89"/>
        <v>999999.99999309238</v>
      </c>
      <c r="N314" s="18">
        <f t="shared" si="90"/>
        <v>999999.99999309238</v>
      </c>
      <c r="O314" s="16"/>
      <c r="P314" s="18">
        <f t="shared" si="85"/>
        <v>11.370089935997138</v>
      </c>
      <c r="Q314" s="18">
        <f t="shared" si="95"/>
        <v>689.21919537986423</v>
      </c>
      <c r="R314" s="18">
        <f t="shared" si="96"/>
        <v>0</v>
      </c>
      <c r="S314" s="18">
        <f t="shared" si="97"/>
        <v>0</v>
      </c>
      <c r="T314" s="18">
        <f t="shared" si="98"/>
        <v>0</v>
      </c>
      <c r="U314" s="16"/>
      <c r="V314" s="18">
        <f t="shared" si="91"/>
        <v>700.58928531586139</v>
      </c>
      <c r="W314" s="16"/>
      <c r="X314" s="18">
        <f t="shared" si="92"/>
        <v>212.84724602760875</v>
      </c>
      <c r="Y314" s="18">
        <f t="shared" si="93"/>
        <v>14.589285315861389</v>
      </c>
      <c r="Z314" s="18"/>
      <c r="AA314" s="18">
        <f t="shared" si="94"/>
        <v>3.6034202096341345E-5</v>
      </c>
    </row>
    <row r="315" spans="2:27" x14ac:dyDescent="0.35">
      <c r="B315" s="26">
        <v>78.799999999999983</v>
      </c>
      <c r="C315" s="26">
        <v>669</v>
      </c>
      <c r="D315" s="18">
        <f t="shared" si="84"/>
        <v>-2.0423540813740231</v>
      </c>
      <c r="E315" s="18">
        <f t="shared" si="84"/>
        <v>-8.6189770052385786</v>
      </c>
      <c r="F315" s="18">
        <f t="shared" si="84"/>
        <v>1000013.8155105581</v>
      </c>
      <c r="G315" s="18">
        <f t="shared" si="84"/>
        <v>1000013.8155105581</v>
      </c>
      <c r="H315" s="18">
        <f t="shared" si="84"/>
        <v>1000013.8155105581</v>
      </c>
      <c r="I315" s="16"/>
      <c r="J315" s="18">
        <f t="shared" si="86"/>
        <v>0.11556531651706617</v>
      </c>
      <c r="K315" s="18">
        <f t="shared" si="87"/>
        <v>1.8061233529423926E-4</v>
      </c>
      <c r="L315" s="18">
        <f t="shared" si="88"/>
        <v>999999.99999309238</v>
      </c>
      <c r="M315" s="18">
        <f t="shared" si="89"/>
        <v>999999.99999309238</v>
      </c>
      <c r="N315" s="18">
        <f t="shared" si="90"/>
        <v>999999.99999309238</v>
      </c>
      <c r="O315" s="16"/>
      <c r="P315" s="18">
        <f t="shared" si="85"/>
        <v>11.210527992722774</v>
      </c>
      <c r="Q315" s="18">
        <f t="shared" si="95"/>
        <v>687.93542650779909</v>
      </c>
      <c r="R315" s="18">
        <f t="shared" si="96"/>
        <v>0</v>
      </c>
      <c r="S315" s="18">
        <f t="shared" si="97"/>
        <v>0</v>
      </c>
      <c r="T315" s="18">
        <f t="shared" si="98"/>
        <v>0</v>
      </c>
      <c r="U315" s="16"/>
      <c r="V315" s="18">
        <f t="shared" si="91"/>
        <v>699.14595450052184</v>
      </c>
      <c r="W315" s="16"/>
      <c r="X315" s="18">
        <f t="shared" si="92"/>
        <v>908.77857274753296</v>
      </c>
      <c r="Y315" s="18">
        <f t="shared" si="93"/>
        <v>30.145954500521839</v>
      </c>
      <c r="Z315" s="18"/>
      <c r="AA315" s="18">
        <f t="shared" si="94"/>
        <v>7.4457753984556832E-5</v>
      </c>
    </row>
    <row r="316" spans="2:27" x14ac:dyDescent="0.35">
      <c r="B316" s="26">
        <v>79.099999999999994</v>
      </c>
      <c r="C316" s="26">
        <v>672</v>
      </c>
      <c r="D316" s="18">
        <f t="shared" si="84"/>
        <v>-2.0280696525511801</v>
      </c>
      <c r="E316" s="18">
        <f t="shared" si="84"/>
        <v>-8.6171126259375175</v>
      </c>
      <c r="F316" s="18">
        <f t="shared" si="84"/>
        <v>1000013.8155105581</v>
      </c>
      <c r="G316" s="18">
        <f t="shared" si="84"/>
        <v>1000013.8155105581</v>
      </c>
      <c r="H316" s="18">
        <f t="shared" si="84"/>
        <v>1000013.8155105581</v>
      </c>
      <c r="I316" s="16"/>
      <c r="J316" s="18">
        <f t="shared" si="86"/>
        <v>0.11705360805607171</v>
      </c>
      <c r="K316" s="18">
        <f t="shared" si="87"/>
        <v>1.8094931830811331E-4</v>
      </c>
      <c r="L316" s="18">
        <f t="shared" si="88"/>
        <v>999999.99999309238</v>
      </c>
      <c r="M316" s="18">
        <f t="shared" si="89"/>
        <v>999999.99999309238</v>
      </c>
      <c r="N316" s="18">
        <f t="shared" si="90"/>
        <v>999999.99999309238</v>
      </c>
      <c r="O316" s="16"/>
      <c r="P316" s="18">
        <f t="shared" si="85"/>
        <v>11.053244157357629</v>
      </c>
      <c r="Q316" s="18">
        <f t="shared" si="95"/>
        <v>686.6540488381786</v>
      </c>
      <c r="R316" s="18">
        <f t="shared" si="96"/>
        <v>0</v>
      </c>
      <c r="S316" s="18">
        <f t="shared" si="97"/>
        <v>0</v>
      </c>
      <c r="T316" s="18">
        <f t="shared" si="98"/>
        <v>0</v>
      </c>
      <c r="U316" s="16"/>
      <c r="V316" s="18">
        <f t="shared" si="91"/>
        <v>697.70729299553625</v>
      </c>
      <c r="W316" s="16"/>
      <c r="X316" s="18">
        <f t="shared" si="92"/>
        <v>660.86491315834712</v>
      </c>
      <c r="Y316" s="18">
        <f t="shared" si="93"/>
        <v>25.70729299553625</v>
      </c>
      <c r="Z316" s="18"/>
      <c r="AA316" s="18">
        <f t="shared" si="94"/>
        <v>6.3494665509344721E-5</v>
      </c>
    </row>
    <row r="317" spans="2:27" x14ac:dyDescent="0.35">
      <c r="B317" s="26">
        <v>79.400000000000006</v>
      </c>
      <c r="C317" s="26">
        <v>723</v>
      </c>
      <c r="D317" s="18">
        <f t="shared" si="84"/>
        <v>-2.0137852237283371</v>
      </c>
      <c r="E317" s="18">
        <f t="shared" si="84"/>
        <v>-8.6152482466364564</v>
      </c>
      <c r="F317" s="18">
        <f t="shared" si="84"/>
        <v>1000013.8155105581</v>
      </c>
      <c r="G317" s="18">
        <f t="shared" si="84"/>
        <v>1000013.8155105581</v>
      </c>
      <c r="H317" s="18">
        <f t="shared" si="84"/>
        <v>1000013.8155105581</v>
      </c>
      <c r="I317" s="16"/>
      <c r="J317" s="18">
        <f t="shared" si="86"/>
        <v>0.11855903479626935</v>
      </c>
      <c r="K317" s="18">
        <f t="shared" si="87"/>
        <v>1.812869299444382E-4</v>
      </c>
      <c r="L317" s="18">
        <f t="shared" si="88"/>
        <v>999999.99999309238</v>
      </c>
      <c r="M317" s="18">
        <f t="shared" si="89"/>
        <v>999999.99999309238</v>
      </c>
      <c r="N317" s="18">
        <f t="shared" si="90"/>
        <v>999999.99999309238</v>
      </c>
      <c r="O317" s="16"/>
      <c r="P317" s="18">
        <f t="shared" si="85"/>
        <v>10.898206153677872</v>
      </c>
      <c r="Q317" s="18">
        <f t="shared" si="95"/>
        <v>685.37505791704677</v>
      </c>
      <c r="R317" s="18">
        <f t="shared" si="96"/>
        <v>0</v>
      </c>
      <c r="S317" s="18">
        <f t="shared" si="97"/>
        <v>0</v>
      </c>
      <c r="T317" s="18">
        <f t="shared" si="98"/>
        <v>0</v>
      </c>
      <c r="U317" s="16"/>
      <c r="V317" s="18">
        <f t="shared" si="91"/>
        <v>696.27326407072462</v>
      </c>
      <c r="W317" s="16"/>
      <c r="X317" s="18">
        <f t="shared" si="92"/>
        <v>714.31841343321946</v>
      </c>
      <c r="Y317" s="18">
        <f t="shared" si="93"/>
        <v>26.726735929275378</v>
      </c>
      <c r="Z317" s="18"/>
      <c r="AA317" s="18">
        <f t="shared" si="94"/>
        <v>6.6012596436372721E-5</v>
      </c>
    </row>
    <row r="318" spans="2:27" x14ac:dyDescent="0.35">
      <c r="B318" s="26">
        <v>79.699999999999989</v>
      </c>
      <c r="C318" s="26">
        <v>717</v>
      </c>
      <c r="D318" s="18">
        <f t="shared" si="84"/>
        <v>-1.9995007949054955</v>
      </c>
      <c r="E318" s="18">
        <f t="shared" si="84"/>
        <v>-8.6133838673353935</v>
      </c>
      <c r="F318" s="18">
        <f t="shared" si="84"/>
        <v>1000013.8155105581</v>
      </c>
      <c r="G318" s="18">
        <f t="shared" si="84"/>
        <v>1000013.8155105581</v>
      </c>
      <c r="H318" s="18">
        <f t="shared" si="84"/>
        <v>1000013.8155105581</v>
      </c>
      <c r="I318" s="16"/>
      <c r="J318" s="18">
        <f t="shared" si="86"/>
        <v>0.12008174713111773</v>
      </c>
      <c r="K318" s="18">
        <f t="shared" si="87"/>
        <v>1.8162517137544781E-4</v>
      </c>
      <c r="L318" s="18">
        <f t="shared" si="88"/>
        <v>999999.99999309238</v>
      </c>
      <c r="M318" s="18">
        <f t="shared" si="89"/>
        <v>999999.99999309238</v>
      </c>
      <c r="N318" s="18">
        <f t="shared" si="90"/>
        <v>999999.99999309238</v>
      </c>
      <c r="O318" s="16"/>
      <c r="P318" s="18">
        <f t="shared" si="85"/>
        <v>10.745382161114938</v>
      </c>
      <c r="Q318" s="18">
        <f t="shared" si="95"/>
        <v>684.09844929874316</v>
      </c>
      <c r="R318" s="18">
        <f t="shared" si="96"/>
        <v>0</v>
      </c>
      <c r="S318" s="18">
        <f t="shared" si="97"/>
        <v>0</v>
      </c>
      <c r="T318" s="18">
        <f t="shared" si="98"/>
        <v>0</v>
      </c>
      <c r="U318" s="16"/>
      <c r="V318" s="18">
        <f t="shared" si="91"/>
        <v>694.84383145985805</v>
      </c>
      <c r="W318" s="16"/>
      <c r="X318" s="18">
        <f t="shared" si="92"/>
        <v>490.89580437917579</v>
      </c>
      <c r="Y318" s="18">
        <f t="shared" si="93"/>
        <v>22.156168540141948</v>
      </c>
      <c r="Z318" s="18"/>
      <c r="AA318" s="18">
        <f t="shared" si="94"/>
        <v>5.4723712476037536E-5</v>
      </c>
    </row>
    <row r="319" spans="2:27" x14ac:dyDescent="0.35">
      <c r="B319" s="26">
        <v>80</v>
      </c>
      <c r="C319" s="26">
        <v>670</v>
      </c>
      <c r="D319" s="18">
        <f t="shared" si="84"/>
        <v>-1.985216366082653</v>
      </c>
      <c r="E319" s="18">
        <f t="shared" si="84"/>
        <v>-8.6115194880343324</v>
      </c>
      <c r="F319" s="18">
        <f t="shared" si="84"/>
        <v>1000013.8155105581</v>
      </c>
      <c r="G319" s="18">
        <f t="shared" si="84"/>
        <v>1000013.8155105581</v>
      </c>
      <c r="H319" s="18">
        <f t="shared" si="84"/>
        <v>1000013.8155105581</v>
      </c>
      <c r="I319" s="16"/>
      <c r="J319" s="18">
        <f t="shared" si="86"/>
        <v>0.12162189576012698</v>
      </c>
      <c r="K319" s="18">
        <f t="shared" si="87"/>
        <v>1.819640437755593E-4</v>
      </c>
      <c r="L319" s="18">
        <f t="shared" si="88"/>
        <v>999999.99999309238</v>
      </c>
      <c r="M319" s="18">
        <f t="shared" si="89"/>
        <v>999999.99999309238</v>
      </c>
      <c r="N319" s="18">
        <f t="shared" si="90"/>
        <v>999999.99999309238</v>
      </c>
      <c r="O319" s="16"/>
      <c r="P319" s="18">
        <f t="shared" si="85"/>
        <v>10.594740808255244</v>
      </c>
      <c r="Q319" s="18">
        <f t="shared" si="95"/>
        <v>682.82421854589245</v>
      </c>
      <c r="R319" s="18">
        <f t="shared" si="96"/>
        <v>0</v>
      </c>
      <c r="S319" s="18">
        <f t="shared" si="97"/>
        <v>0</v>
      </c>
      <c r="T319" s="18">
        <f t="shared" si="98"/>
        <v>0</v>
      </c>
      <c r="U319" s="16"/>
      <c r="V319" s="18">
        <f t="shared" si="91"/>
        <v>693.41895935414766</v>
      </c>
      <c r="W319" s="16"/>
      <c r="X319" s="18">
        <f t="shared" si="92"/>
        <v>548.44765723122021</v>
      </c>
      <c r="Y319" s="18">
        <f t="shared" si="93"/>
        <v>23.41895935414766</v>
      </c>
      <c r="Z319" s="18"/>
      <c r="AA319" s="18">
        <f t="shared" si="94"/>
        <v>5.7842690439119376E-5</v>
      </c>
    </row>
    <row r="320" spans="2:27" x14ac:dyDescent="0.35">
      <c r="B320" s="26">
        <v>80.199999999999989</v>
      </c>
      <c r="C320" s="26">
        <v>676</v>
      </c>
      <c r="D320" s="18">
        <f t="shared" si="84"/>
        <v>-1.975693413534092</v>
      </c>
      <c r="E320" s="18">
        <f t="shared" si="84"/>
        <v>-8.6102765685002911</v>
      </c>
      <c r="F320" s="18">
        <f t="shared" si="84"/>
        <v>1000013.8155105581</v>
      </c>
      <c r="G320" s="18">
        <f t="shared" si="84"/>
        <v>1000013.8155105581</v>
      </c>
      <c r="H320" s="18">
        <f t="shared" si="84"/>
        <v>1000013.8155105581</v>
      </c>
      <c r="I320" s="16"/>
      <c r="J320" s="18">
        <f t="shared" si="86"/>
        <v>0.12265842289181889</v>
      </c>
      <c r="K320" s="18">
        <f t="shared" si="87"/>
        <v>1.821903098283071E-4</v>
      </c>
      <c r="L320" s="18">
        <f t="shared" si="88"/>
        <v>999999.99999309238</v>
      </c>
      <c r="M320" s="18">
        <f t="shared" si="89"/>
        <v>999999.99999309238</v>
      </c>
      <c r="N320" s="18">
        <f t="shared" si="90"/>
        <v>999999.99999309238</v>
      </c>
      <c r="O320" s="16"/>
      <c r="P320" s="18">
        <f t="shared" si="85"/>
        <v>10.495510525850841</v>
      </c>
      <c r="Q320" s="18">
        <f t="shared" si="95"/>
        <v>681.97605022613106</v>
      </c>
      <c r="R320" s="18">
        <f t="shared" si="96"/>
        <v>0</v>
      </c>
      <c r="S320" s="18">
        <f t="shared" si="97"/>
        <v>0</v>
      </c>
      <c r="T320" s="18">
        <f t="shared" si="98"/>
        <v>0</v>
      </c>
      <c r="U320" s="16"/>
      <c r="V320" s="18">
        <f t="shared" si="91"/>
        <v>692.47156075198188</v>
      </c>
      <c r="W320" s="16"/>
      <c r="X320" s="18">
        <f t="shared" si="92"/>
        <v>271.31231360622996</v>
      </c>
      <c r="Y320" s="18">
        <f t="shared" si="93"/>
        <v>16.471560751981883</v>
      </c>
      <c r="Z320" s="18"/>
      <c r="AA320" s="18">
        <f t="shared" si="94"/>
        <v>4.0683250490261268E-5</v>
      </c>
    </row>
    <row r="321" spans="2:27" x14ac:dyDescent="0.35">
      <c r="B321" s="26">
        <v>80.5</v>
      </c>
      <c r="C321" s="26">
        <v>731</v>
      </c>
      <c r="D321" s="18">
        <f t="shared" si="84"/>
        <v>-1.961408984711249</v>
      </c>
      <c r="E321" s="18">
        <f t="shared" si="84"/>
        <v>-8.60841218919923</v>
      </c>
      <c r="F321" s="18">
        <f t="shared" si="84"/>
        <v>1000013.8155105581</v>
      </c>
      <c r="G321" s="18">
        <f t="shared" si="84"/>
        <v>1000013.8155105581</v>
      </c>
      <c r="H321" s="18">
        <f t="shared" si="84"/>
        <v>1000013.8155105581</v>
      </c>
      <c r="I321" s="16"/>
      <c r="J321" s="18">
        <f t="shared" si="86"/>
        <v>0.12422796766150351</v>
      </c>
      <c r="K321" s="18">
        <f t="shared" si="87"/>
        <v>1.8253023645935205E-4</v>
      </c>
      <c r="L321" s="18">
        <f t="shared" si="88"/>
        <v>999999.99999309238</v>
      </c>
      <c r="M321" s="18">
        <f t="shared" si="89"/>
        <v>999999.99999309238</v>
      </c>
      <c r="N321" s="18">
        <f t="shared" si="90"/>
        <v>999999.99999309238</v>
      </c>
      <c r="O321" s="16"/>
      <c r="P321" s="18">
        <f t="shared" si="85"/>
        <v>10.348438391239576</v>
      </c>
      <c r="Q321" s="18">
        <f t="shared" si="95"/>
        <v>680.70577274396771</v>
      </c>
      <c r="R321" s="18">
        <f t="shared" si="96"/>
        <v>0</v>
      </c>
      <c r="S321" s="18">
        <f t="shared" si="97"/>
        <v>0</v>
      </c>
      <c r="T321" s="18">
        <f t="shared" si="98"/>
        <v>0</v>
      </c>
      <c r="U321" s="16"/>
      <c r="V321" s="18">
        <f t="shared" si="91"/>
        <v>691.05421113520731</v>
      </c>
      <c r="W321" s="16"/>
      <c r="X321" s="18">
        <f t="shared" si="92"/>
        <v>1595.6660480305957</v>
      </c>
      <c r="Y321" s="18">
        <f t="shared" si="93"/>
        <v>39.945788864792689</v>
      </c>
      <c r="Z321" s="18"/>
      <c r="AA321" s="18">
        <f t="shared" si="94"/>
        <v>9.8662449714846415E-5</v>
      </c>
    </row>
    <row r="322" spans="2:27" x14ac:dyDescent="0.35">
      <c r="B322" s="26">
        <v>80.799999999999983</v>
      </c>
      <c r="C322" s="26">
        <v>723</v>
      </c>
      <c r="D322" s="18">
        <f t="shared" si="84"/>
        <v>-1.9471245558884074</v>
      </c>
      <c r="E322" s="18">
        <f t="shared" si="84"/>
        <v>-8.6065478098981671</v>
      </c>
      <c r="F322" s="18">
        <f t="shared" si="84"/>
        <v>1000013.8155105581</v>
      </c>
      <c r="G322" s="18">
        <f t="shared" si="84"/>
        <v>1000013.8155105581</v>
      </c>
      <c r="H322" s="18">
        <f t="shared" si="84"/>
        <v>1000013.8155105581</v>
      </c>
      <c r="I322" s="16"/>
      <c r="J322" s="18">
        <f t="shared" si="86"/>
        <v>0.12581535192142501</v>
      </c>
      <c r="K322" s="18">
        <f t="shared" si="87"/>
        <v>1.8287079720199045E-4</v>
      </c>
      <c r="L322" s="18">
        <f t="shared" si="88"/>
        <v>999999.99999309238</v>
      </c>
      <c r="M322" s="18">
        <f t="shared" si="89"/>
        <v>999999.99999309238</v>
      </c>
      <c r="N322" s="18">
        <f t="shared" si="90"/>
        <v>999999.99999309238</v>
      </c>
      <c r="O322" s="16"/>
      <c r="P322" s="18">
        <f t="shared" si="85"/>
        <v>10.203467386657481</v>
      </c>
      <c r="Q322" s="18">
        <f t="shared" si="95"/>
        <v>679.43786133461242</v>
      </c>
      <c r="R322" s="18">
        <f t="shared" si="96"/>
        <v>0</v>
      </c>
      <c r="S322" s="18">
        <f t="shared" si="97"/>
        <v>0</v>
      </c>
      <c r="T322" s="18">
        <f t="shared" si="98"/>
        <v>0</v>
      </c>
      <c r="U322" s="16"/>
      <c r="V322" s="18">
        <f t="shared" si="91"/>
        <v>689.64132872126993</v>
      </c>
      <c r="W322" s="16"/>
      <c r="X322" s="18">
        <f t="shared" si="92"/>
        <v>1112.8009494823705</v>
      </c>
      <c r="Y322" s="18">
        <f t="shared" si="93"/>
        <v>33.358671278730071</v>
      </c>
      <c r="Z322" s="18"/>
      <c r="AA322" s="18">
        <f t="shared" si="94"/>
        <v>8.2392870966496997E-5</v>
      </c>
    </row>
    <row r="323" spans="2:27" x14ac:dyDescent="0.35">
      <c r="B323" s="26">
        <v>81.099999999999994</v>
      </c>
      <c r="C323" s="26">
        <v>712</v>
      </c>
      <c r="D323" s="18">
        <f t="shared" si="84"/>
        <v>-1.9328401270655649</v>
      </c>
      <c r="E323" s="18">
        <f t="shared" si="84"/>
        <v>-8.6046834305971061</v>
      </c>
      <c r="F323" s="18">
        <f t="shared" si="84"/>
        <v>1000013.8155105581</v>
      </c>
      <c r="G323" s="18">
        <f t="shared" si="84"/>
        <v>1000013.8155105581</v>
      </c>
      <c r="H323" s="18">
        <f t="shared" si="84"/>
        <v>1000013.8155105581</v>
      </c>
      <c r="I323" s="16"/>
      <c r="J323" s="18">
        <f t="shared" si="86"/>
        <v>0.1274207273055798</v>
      </c>
      <c r="K323" s="18">
        <f t="shared" si="87"/>
        <v>1.8321199323868359E-4</v>
      </c>
      <c r="L323" s="18">
        <f t="shared" si="88"/>
        <v>999999.99999309238</v>
      </c>
      <c r="M323" s="18">
        <f t="shared" si="89"/>
        <v>999999.99999309238</v>
      </c>
      <c r="N323" s="18">
        <f t="shared" si="90"/>
        <v>999999.99999309238</v>
      </c>
      <c r="O323" s="16"/>
      <c r="P323" s="18">
        <f t="shared" si="85"/>
        <v>10.060567733463017</v>
      </c>
      <c r="Q323" s="18">
        <f t="shared" si="95"/>
        <v>678.17231159092</v>
      </c>
      <c r="R323" s="18">
        <f t="shared" si="96"/>
        <v>0</v>
      </c>
      <c r="S323" s="18">
        <f t="shared" si="97"/>
        <v>0</v>
      </c>
      <c r="T323" s="18">
        <f t="shared" si="98"/>
        <v>0</v>
      </c>
      <c r="U323" s="16"/>
      <c r="V323" s="18">
        <f t="shared" si="91"/>
        <v>688.23287932438302</v>
      </c>
      <c r="W323" s="16"/>
      <c r="X323" s="18">
        <f t="shared" si="92"/>
        <v>564.87602520934013</v>
      </c>
      <c r="Y323" s="18">
        <f t="shared" si="93"/>
        <v>23.767120675616979</v>
      </c>
      <c r="Z323" s="18"/>
      <c r="AA323" s="18">
        <f t="shared" si="94"/>
        <v>5.8702617100935715E-5</v>
      </c>
    </row>
    <row r="324" spans="2:27" x14ac:dyDescent="0.35">
      <c r="B324" s="26">
        <v>81.400000000000006</v>
      </c>
      <c r="C324" s="26">
        <v>682</v>
      </c>
      <c r="D324" s="18">
        <f t="shared" si="84"/>
        <v>-1.9185556982427219</v>
      </c>
      <c r="E324" s="18">
        <f t="shared" si="84"/>
        <v>-8.602819051296045</v>
      </c>
      <c r="F324" s="18">
        <f t="shared" si="84"/>
        <v>1000013.8155105581</v>
      </c>
      <c r="G324" s="18">
        <f t="shared" si="84"/>
        <v>1000013.8155105581</v>
      </c>
      <c r="H324" s="18">
        <f t="shared" si="84"/>
        <v>1000013.8155105581</v>
      </c>
      <c r="I324" s="16"/>
      <c r="J324" s="18">
        <f t="shared" si="86"/>
        <v>0.12904424565003697</v>
      </c>
      <c r="K324" s="18">
        <f t="shared" si="87"/>
        <v>1.8355382575409716E-4</v>
      </c>
      <c r="L324" s="18">
        <f t="shared" si="88"/>
        <v>999999.99999309238</v>
      </c>
      <c r="M324" s="18">
        <f t="shared" si="89"/>
        <v>999999.99999309238</v>
      </c>
      <c r="N324" s="18">
        <f t="shared" si="90"/>
        <v>999999.99999309238</v>
      </c>
      <c r="O324" s="16"/>
      <c r="P324" s="18">
        <f t="shared" si="85"/>
        <v>9.9197100730396013</v>
      </c>
      <c r="Q324" s="18">
        <f t="shared" si="95"/>
        <v>676.90911911395074</v>
      </c>
      <c r="R324" s="18">
        <f t="shared" si="96"/>
        <v>0</v>
      </c>
      <c r="S324" s="18">
        <f t="shared" si="97"/>
        <v>0</v>
      </c>
      <c r="T324" s="18">
        <f t="shared" si="98"/>
        <v>0</v>
      </c>
      <c r="U324" s="16"/>
      <c r="V324" s="18">
        <f t="shared" si="91"/>
        <v>686.82882918699033</v>
      </c>
      <c r="W324" s="16"/>
      <c r="X324" s="18">
        <f t="shared" si="92"/>
        <v>23.317591317129722</v>
      </c>
      <c r="Y324" s="18">
        <f t="shared" si="93"/>
        <v>4.8288291869903333</v>
      </c>
      <c r="Z324" s="18"/>
      <c r="AA324" s="18">
        <f t="shared" si="94"/>
        <v>1.1926767010550287E-5</v>
      </c>
    </row>
    <row r="325" spans="2:27" x14ac:dyDescent="0.35">
      <c r="B325" s="26">
        <v>81.699999999999989</v>
      </c>
      <c r="C325" s="26">
        <v>698</v>
      </c>
      <c r="D325" s="18">
        <f t="shared" si="84"/>
        <v>-1.9042712694198802</v>
      </c>
      <c r="E325" s="18">
        <f t="shared" si="84"/>
        <v>-8.6009546719949821</v>
      </c>
      <c r="F325" s="18">
        <f t="shared" si="84"/>
        <v>1000013.8155105581</v>
      </c>
      <c r="G325" s="18">
        <f t="shared" si="84"/>
        <v>1000013.8155105581</v>
      </c>
      <c r="H325" s="18">
        <f t="shared" si="84"/>
        <v>1000013.8155105581</v>
      </c>
      <c r="I325" s="16"/>
      <c r="J325" s="18">
        <f t="shared" si="86"/>
        <v>0.13068605896964822</v>
      </c>
      <c r="K325" s="18">
        <f t="shared" si="87"/>
        <v>1.8389629593510435E-4</v>
      </c>
      <c r="L325" s="18">
        <f t="shared" si="88"/>
        <v>999999.99999309238</v>
      </c>
      <c r="M325" s="18">
        <f t="shared" si="89"/>
        <v>999999.99999309238</v>
      </c>
      <c r="N325" s="18">
        <f t="shared" si="90"/>
        <v>999999.99999309238</v>
      </c>
      <c r="O325" s="16"/>
      <c r="P325" s="18">
        <f t="shared" si="85"/>
        <v>9.7808654608036072</v>
      </c>
      <c r="Q325" s="18">
        <f t="shared" si="95"/>
        <v>675.64827951295842</v>
      </c>
      <c r="R325" s="18">
        <f t="shared" si="96"/>
        <v>0</v>
      </c>
      <c r="S325" s="18">
        <f t="shared" si="97"/>
        <v>0</v>
      </c>
      <c r="T325" s="18">
        <f t="shared" si="98"/>
        <v>0</v>
      </c>
      <c r="U325" s="16"/>
      <c r="V325" s="18">
        <f t="shared" si="91"/>
        <v>685.42914497376205</v>
      </c>
      <c r="W325" s="16"/>
      <c r="X325" s="18">
        <f t="shared" si="92"/>
        <v>158.02639609069195</v>
      </c>
      <c r="Y325" s="18">
        <f t="shared" si="93"/>
        <v>12.57085502623795</v>
      </c>
      <c r="Z325" s="18"/>
      <c r="AA325" s="18">
        <f t="shared" si="94"/>
        <v>3.1048863651106236E-5</v>
      </c>
    </row>
    <row r="326" spans="2:27" x14ac:dyDescent="0.35">
      <c r="B326" s="26">
        <v>82</v>
      </c>
      <c r="C326" s="26">
        <v>658</v>
      </c>
      <c r="D326" s="18">
        <f t="shared" si="84"/>
        <v>-1.8899868405970373</v>
      </c>
      <c r="E326" s="18">
        <f t="shared" si="84"/>
        <v>-8.599090292693921</v>
      </c>
      <c r="F326" s="18">
        <f t="shared" si="84"/>
        <v>1000013.8155105581</v>
      </c>
      <c r="G326" s="18">
        <f t="shared" si="84"/>
        <v>1000013.8155105581</v>
      </c>
      <c r="H326" s="18">
        <f t="shared" si="84"/>
        <v>1000013.8155105581</v>
      </c>
      <c r="I326" s="16"/>
      <c r="J326" s="18">
        <f t="shared" si="86"/>
        <v>0.13234631943441497</v>
      </c>
      <c r="K326" s="18">
        <f t="shared" si="87"/>
        <v>1.8423940497078886E-4</v>
      </c>
      <c r="L326" s="18">
        <f t="shared" si="88"/>
        <v>999999.99999309238</v>
      </c>
      <c r="M326" s="18">
        <f t="shared" si="89"/>
        <v>999999.99999309238</v>
      </c>
      <c r="N326" s="18">
        <f t="shared" si="90"/>
        <v>999999.99999309238</v>
      </c>
      <c r="O326" s="16"/>
      <c r="P326" s="18">
        <f t="shared" si="85"/>
        <v>9.6440053602979123</v>
      </c>
      <c r="Q326" s="18">
        <f t="shared" si="95"/>
        <v>674.38978840537948</v>
      </c>
      <c r="R326" s="18">
        <f t="shared" si="96"/>
        <v>0</v>
      </c>
      <c r="S326" s="18">
        <f t="shared" si="97"/>
        <v>0</v>
      </c>
      <c r="T326" s="18">
        <f t="shared" si="98"/>
        <v>0</v>
      </c>
      <c r="U326" s="16"/>
      <c r="V326" s="18">
        <f t="shared" si="91"/>
        <v>684.03379376567739</v>
      </c>
      <c r="W326" s="16"/>
      <c r="X326" s="18">
        <f t="shared" si="92"/>
        <v>677.75841783382282</v>
      </c>
      <c r="Y326" s="18">
        <f t="shared" si="93"/>
        <v>26.033793765677387</v>
      </c>
      <c r="Z326" s="18"/>
      <c r="AA326" s="18">
        <f t="shared" si="94"/>
        <v>6.4301092587927227E-5</v>
      </c>
    </row>
    <row r="327" spans="2:27" x14ac:dyDescent="0.35">
      <c r="B327" s="26">
        <v>82.199999999999989</v>
      </c>
      <c r="C327" s="26">
        <v>676</v>
      </c>
      <c r="D327" s="18">
        <f t="shared" si="84"/>
        <v>-1.8804638880484763</v>
      </c>
      <c r="E327" s="18">
        <f t="shared" si="84"/>
        <v>-8.5978473731598797</v>
      </c>
      <c r="F327" s="18">
        <f t="shared" si="84"/>
        <v>1000013.8155105581</v>
      </c>
      <c r="G327" s="18">
        <f t="shared" si="84"/>
        <v>1000013.8155105581</v>
      </c>
      <c r="H327" s="18">
        <f t="shared" si="84"/>
        <v>1000013.8155105581</v>
      </c>
      <c r="I327" s="16"/>
      <c r="J327" s="18">
        <f t="shared" si="86"/>
        <v>0.1334634833640263</v>
      </c>
      <c r="K327" s="18">
        <f t="shared" si="87"/>
        <v>1.8446849983538239E-4</v>
      </c>
      <c r="L327" s="18">
        <f t="shared" si="88"/>
        <v>999999.99999309238</v>
      </c>
      <c r="M327" s="18">
        <f t="shared" si="89"/>
        <v>999999.99999309238</v>
      </c>
      <c r="N327" s="18">
        <f t="shared" si="90"/>
        <v>999999.99999309238</v>
      </c>
      <c r="O327" s="16"/>
      <c r="P327" s="18">
        <f t="shared" si="85"/>
        <v>9.5538538900203296</v>
      </c>
      <c r="Q327" s="18">
        <f t="shared" si="95"/>
        <v>673.55209689168714</v>
      </c>
      <c r="R327" s="18">
        <f t="shared" si="96"/>
        <v>0</v>
      </c>
      <c r="S327" s="18">
        <f t="shared" si="97"/>
        <v>0</v>
      </c>
      <c r="T327" s="18">
        <f t="shared" si="98"/>
        <v>0</v>
      </c>
      <c r="U327" s="16"/>
      <c r="V327" s="18">
        <f t="shared" si="91"/>
        <v>683.10595078170752</v>
      </c>
      <c r="W327" s="16"/>
      <c r="X327" s="18">
        <f t="shared" si="92"/>
        <v>50.494536512049713</v>
      </c>
      <c r="Y327" s="18">
        <f t="shared" si="93"/>
        <v>7.10595078170752</v>
      </c>
      <c r="Z327" s="18"/>
      <c r="AA327" s="18">
        <f t="shared" si="94"/>
        <v>1.7551049349642884E-5</v>
      </c>
    </row>
    <row r="328" spans="2:27" x14ac:dyDescent="0.35">
      <c r="B328" s="26">
        <v>82.5</v>
      </c>
      <c r="C328" s="26">
        <v>649</v>
      </c>
      <c r="D328" s="18">
        <f t="shared" si="84"/>
        <v>-1.8661794592256338</v>
      </c>
      <c r="E328" s="18">
        <f t="shared" si="84"/>
        <v>-8.5959829938588186</v>
      </c>
      <c r="F328" s="18">
        <f t="shared" si="84"/>
        <v>1000013.8155105581</v>
      </c>
      <c r="G328" s="18">
        <f t="shared" si="84"/>
        <v>1000013.8155105581</v>
      </c>
      <c r="H328" s="18">
        <f t="shared" si="84"/>
        <v>1000013.8155105581</v>
      </c>
      <c r="I328" s="16"/>
      <c r="J328" s="18">
        <f t="shared" si="86"/>
        <v>0.13515482757157204</v>
      </c>
      <c r="K328" s="18">
        <f t="shared" si="87"/>
        <v>1.848126762772927E-4</v>
      </c>
      <c r="L328" s="18">
        <f t="shared" si="88"/>
        <v>999999.99999309238</v>
      </c>
      <c r="M328" s="18">
        <f t="shared" si="89"/>
        <v>999999.99999309238</v>
      </c>
      <c r="N328" s="18">
        <f t="shared" si="90"/>
        <v>999999.99999309238</v>
      </c>
      <c r="O328" s="16"/>
      <c r="P328" s="18">
        <f t="shared" si="85"/>
        <v>9.4202389847950112</v>
      </c>
      <c r="Q328" s="18">
        <f t="shared" si="95"/>
        <v>672.2975102229226</v>
      </c>
      <c r="R328" s="18">
        <f t="shared" si="96"/>
        <v>0</v>
      </c>
      <c r="S328" s="18">
        <f t="shared" si="97"/>
        <v>0</v>
      </c>
      <c r="T328" s="18">
        <f t="shared" si="98"/>
        <v>0</v>
      </c>
      <c r="U328" s="16"/>
      <c r="V328" s="18">
        <f t="shared" si="91"/>
        <v>681.71774920771759</v>
      </c>
      <c r="W328" s="16"/>
      <c r="X328" s="18">
        <f t="shared" si="92"/>
        <v>1070.4511132191049</v>
      </c>
      <c r="Y328" s="18">
        <f t="shared" si="93"/>
        <v>32.717749207717588</v>
      </c>
      <c r="Z328" s="18"/>
      <c r="AA328" s="18">
        <f t="shared" si="94"/>
        <v>8.0809851995049467E-5</v>
      </c>
    </row>
    <row r="329" spans="2:27" x14ac:dyDescent="0.35">
      <c r="B329" s="26">
        <v>82.799999999999983</v>
      </c>
      <c r="C329" s="26">
        <v>694</v>
      </c>
      <c r="D329" s="18">
        <f t="shared" si="84"/>
        <v>-1.8518950304027921</v>
      </c>
      <c r="E329" s="18">
        <f t="shared" si="84"/>
        <v>-8.5941186145577557</v>
      </c>
      <c r="F329" s="18">
        <f t="shared" si="84"/>
        <v>1000013.8155105581</v>
      </c>
      <c r="G329" s="18">
        <f t="shared" si="84"/>
        <v>1000013.8155105581</v>
      </c>
      <c r="H329" s="18">
        <f t="shared" si="84"/>
        <v>1000013.8155105581</v>
      </c>
      <c r="I329" s="16"/>
      <c r="J329" s="18">
        <f t="shared" si="86"/>
        <v>0.13686502528610775</v>
      </c>
      <c r="K329" s="18">
        <f t="shared" si="87"/>
        <v>1.8515749475561633E-4</v>
      </c>
      <c r="L329" s="18">
        <f t="shared" si="88"/>
        <v>999999.99999309238</v>
      </c>
      <c r="M329" s="18">
        <f t="shared" si="89"/>
        <v>999999.99999309238</v>
      </c>
      <c r="N329" s="18">
        <f t="shared" si="90"/>
        <v>999999.99999309238</v>
      </c>
      <c r="O329" s="16"/>
      <c r="P329" s="18">
        <f t="shared" si="85"/>
        <v>9.2885344453542604</v>
      </c>
      <c r="Q329" s="18">
        <f t="shared" si="95"/>
        <v>671.04526040059227</v>
      </c>
      <c r="R329" s="18">
        <f t="shared" si="96"/>
        <v>0</v>
      </c>
      <c r="S329" s="18">
        <f t="shared" si="97"/>
        <v>0</v>
      </c>
      <c r="T329" s="18">
        <f t="shared" si="98"/>
        <v>0</v>
      </c>
      <c r="U329" s="16"/>
      <c r="V329" s="18">
        <f t="shared" si="91"/>
        <v>680.3337948459465</v>
      </c>
      <c r="W329" s="16"/>
      <c r="X329" s="18">
        <f t="shared" si="92"/>
        <v>186.76516331267845</v>
      </c>
      <c r="Y329" s="18">
        <f t="shared" si="93"/>
        <v>13.6662051540535</v>
      </c>
      <c r="Z329" s="18"/>
      <c r="AA329" s="18">
        <f t="shared" si="94"/>
        <v>3.3754278413887467E-5</v>
      </c>
    </row>
    <row r="330" spans="2:27" x14ac:dyDescent="0.35">
      <c r="B330" s="26">
        <v>83.1</v>
      </c>
      <c r="C330" s="26">
        <v>694</v>
      </c>
      <c r="D330" s="18">
        <f t="shared" si="84"/>
        <v>-1.8376106015799492</v>
      </c>
      <c r="E330" s="18">
        <f t="shared" si="84"/>
        <v>-8.5922542352566946</v>
      </c>
      <c r="F330" s="18">
        <f t="shared" si="84"/>
        <v>1000013.8155105581</v>
      </c>
      <c r="G330" s="18">
        <f t="shared" si="84"/>
        <v>1000013.8155105581</v>
      </c>
      <c r="H330" s="18">
        <f t="shared" si="84"/>
        <v>1000013.8155105581</v>
      </c>
      <c r="I330" s="16"/>
      <c r="J330" s="18">
        <f t="shared" si="86"/>
        <v>0.13859422903893956</v>
      </c>
      <c r="K330" s="18">
        <f t="shared" si="87"/>
        <v>1.8550295646758147E-4</v>
      </c>
      <c r="L330" s="18">
        <f t="shared" si="88"/>
        <v>999999.99999309238</v>
      </c>
      <c r="M330" s="18">
        <f t="shared" si="89"/>
        <v>999999.99999309238</v>
      </c>
      <c r="N330" s="18">
        <f t="shared" si="90"/>
        <v>999999.99999309238</v>
      </c>
      <c r="O330" s="16"/>
      <c r="P330" s="18">
        <f t="shared" si="85"/>
        <v>9.1587131825245294</v>
      </c>
      <c r="Q330" s="18">
        <f t="shared" si="95"/>
        <v>669.79534307198946</v>
      </c>
      <c r="R330" s="18">
        <f t="shared" si="96"/>
        <v>0</v>
      </c>
      <c r="S330" s="18">
        <f t="shared" si="97"/>
        <v>0</v>
      </c>
      <c r="T330" s="18">
        <f t="shared" si="98"/>
        <v>0</v>
      </c>
      <c r="U330" s="16"/>
      <c r="V330" s="18">
        <f t="shared" si="91"/>
        <v>678.95405625451394</v>
      </c>
      <c r="W330" s="16"/>
      <c r="X330" s="18">
        <f t="shared" si="92"/>
        <v>226.38042319233097</v>
      </c>
      <c r="Y330" s="18">
        <f t="shared" si="93"/>
        <v>15.045943745486056</v>
      </c>
      <c r="Z330" s="18"/>
      <c r="AA330" s="18">
        <f t="shared" si="94"/>
        <v>3.7162106704814731E-5</v>
      </c>
    </row>
    <row r="331" spans="2:27" x14ac:dyDescent="0.35">
      <c r="B331" s="26">
        <v>83.4</v>
      </c>
      <c r="C331" s="26">
        <v>598</v>
      </c>
      <c r="D331" s="18">
        <f t="shared" si="84"/>
        <v>-1.8233261727571066</v>
      </c>
      <c r="E331" s="18">
        <f t="shared" si="84"/>
        <v>-8.5903898559556335</v>
      </c>
      <c r="F331" s="18">
        <f t="shared" si="84"/>
        <v>1000013.8155105581</v>
      </c>
      <c r="G331" s="18">
        <f t="shared" si="84"/>
        <v>1000013.8155105581</v>
      </c>
      <c r="H331" s="18">
        <f t="shared" si="84"/>
        <v>1000013.8155105581</v>
      </c>
      <c r="I331" s="16"/>
      <c r="J331" s="18">
        <f t="shared" si="86"/>
        <v>0.1403425914018851</v>
      </c>
      <c r="K331" s="18">
        <f t="shared" si="87"/>
        <v>1.8584906261264822E-4</v>
      </c>
      <c r="L331" s="18">
        <f t="shared" si="88"/>
        <v>999999.99999309238</v>
      </c>
      <c r="M331" s="18">
        <f t="shared" si="89"/>
        <v>999999.99999309238</v>
      </c>
      <c r="N331" s="18">
        <f t="shared" si="90"/>
        <v>999999.99999309238</v>
      </c>
      <c r="O331" s="16"/>
      <c r="P331" s="18">
        <f t="shared" si="85"/>
        <v>9.0307484887934155</v>
      </c>
      <c r="Q331" s="18">
        <f t="shared" si="95"/>
        <v>668.54775389251108</v>
      </c>
      <c r="R331" s="18">
        <f t="shared" si="96"/>
        <v>0</v>
      </c>
      <c r="S331" s="18">
        <f t="shared" si="97"/>
        <v>0</v>
      </c>
      <c r="T331" s="18">
        <f t="shared" si="98"/>
        <v>0</v>
      </c>
      <c r="U331" s="16"/>
      <c r="V331" s="18">
        <f t="shared" si="91"/>
        <v>677.57850238130447</v>
      </c>
      <c r="W331" s="16"/>
      <c r="X331" s="18">
        <f t="shared" si="92"/>
        <v>6332.7380412512821</v>
      </c>
      <c r="Y331" s="18">
        <f t="shared" si="93"/>
        <v>79.578502381304475</v>
      </c>
      <c r="Z331" s="18"/>
      <c r="AA331" s="18">
        <f t="shared" si="94"/>
        <v>1.9655163191678241E-4</v>
      </c>
    </row>
    <row r="332" spans="2:27" x14ac:dyDescent="0.35">
      <c r="B332" s="26">
        <v>83.699999999999989</v>
      </c>
      <c r="C332" s="26">
        <v>679</v>
      </c>
      <c r="D332" s="18">
        <f t="shared" si="84"/>
        <v>-1.809041743934265</v>
      </c>
      <c r="E332" s="18">
        <f t="shared" si="84"/>
        <v>-8.5885254766545707</v>
      </c>
      <c r="F332" s="18">
        <f t="shared" si="84"/>
        <v>1000013.8155105581</v>
      </c>
      <c r="G332" s="18">
        <f t="shared" si="84"/>
        <v>1000013.8155105581</v>
      </c>
      <c r="H332" s="18">
        <f t="shared" si="84"/>
        <v>1000013.8155105581</v>
      </c>
      <c r="I332" s="16"/>
      <c r="J332" s="18">
        <f t="shared" si="86"/>
        <v>0.14211026496182361</v>
      </c>
      <c r="K332" s="18">
        <f t="shared" si="87"/>
        <v>1.8619581439251155E-4</v>
      </c>
      <c r="L332" s="18">
        <f t="shared" si="88"/>
        <v>999999.99999309238</v>
      </c>
      <c r="M332" s="18">
        <f t="shared" si="89"/>
        <v>999999.99999309238</v>
      </c>
      <c r="N332" s="18">
        <f t="shared" si="90"/>
        <v>999999.99999309238</v>
      </c>
      <c r="O332" s="16"/>
      <c r="P332" s="18">
        <f t="shared" si="85"/>
        <v>8.9046140328665153</v>
      </c>
      <c r="Q332" s="18">
        <f t="shared" si="95"/>
        <v>667.30248852564694</v>
      </c>
      <c r="R332" s="18">
        <f t="shared" si="96"/>
        <v>0</v>
      </c>
      <c r="S332" s="18">
        <f t="shared" si="97"/>
        <v>0</v>
      </c>
      <c r="T332" s="18">
        <f t="shared" si="98"/>
        <v>0</v>
      </c>
      <c r="U332" s="16"/>
      <c r="V332" s="18">
        <f t="shared" si="91"/>
        <v>676.2071025585135</v>
      </c>
      <c r="W332" s="16"/>
      <c r="X332" s="18">
        <f t="shared" si="92"/>
        <v>7.8002761186618512</v>
      </c>
      <c r="Y332" s="18">
        <f t="shared" si="93"/>
        <v>2.7928974414865024</v>
      </c>
      <c r="Z332" s="18"/>
      <c r="AA332" s="18">
        <f t="shared" si="94"/>
        <v>6.8982015679317919E-6</v>
      </c>
    </row>
    <row r="333" spans="2:27" x14ac:dyDescent="0.35">
      <c r="B333" s="26">
        <v>84</v>
      </c>
      <c r="C333" s="26">
        <v>655</v>
      </c>
      <c r="D333" s="18">
        <f t="shared" si="84"/>
        <v>-1.794757315111422</v>
      </c>
      <c r="E333" s="18">
        <f t="shared" si="84"/>
        <v>-8.5866610973535096</v>
      </c>
      <c r="F333" s="18">
        <f t="shared" si="84"/>
        <v>1000013.8155105581</v>
      </c>
      <c r="G333" s="18">
        <f t="shared" si="84"/>
        <v>1000013.8155105581</v>
      </c>
      <c r="H333" s="18">
        <f t="shared" si="84"/>
        <v>1000013.8155105581</v>
      </c>
      <c r="I333" s="16"/>
      <c r="J333" s="18">
        <f t="shared" si="86"/>
        <v>0.14389740229495082</v>
      </c>
      <c r="K333" s="18">
        <f t="shared" si="87"/>
        <v>1.8654321301110469E-4</v>
      </c>
      <c r="L333" s="18">
        <f t="shared" si="88"/>
        <v>999999.99999309238</v>
      </c>
      <c r="M333" s="18">
        <f t="shared" si="89"/>
        <v>999999.99999309238</v>
      </c>
      <c r="N333" s="18">
        <f t="shared" si="90"/>
        <v>999999.99999309238</v>
      </c>
      <c r="O333" s="16"/>
      <c r="P333" s="18">
        <f t="shared" si="85"/>
        <v>8.7802838543023665</v>
      </c>
      <c r="Q333" s="18">
        <f t="shared" si="95"/>
        <v>666.05954264296781</v>
      </c>
      <c r="R333" s="18">
        <f t="shared" si="96"/>
        <v>0</v>
      </c>
      <c r="S333" s="18">
        <f t="shared" si="97"/>
        <v>0</v>
      </c>
      <c r="T333" s="18">
        <f t="shared" si="98"/>
        <v>0</v>
      </c>
      <c r="U333" s="16"/>
      <c r="V333" s="18">
        <f t="shared" si="91"/>
        <v>674.83982649727022</v>
      </c>
      <c r="W333" s="16"/>
      <c r="X333" s="18">
        <f t="shared" si="92"/>
        <v>393.6187154417857</v>
      </c>
      <c r="Y333" s="18">
        <f t="shared" si="93"/>
        <v>19.839826497270224</v>
      </c>
      <c r="Z333" s="18"/>
      <c r="AA333" s="18">
        <f t="shared" si="94"/>
        <v>4.9002559212529388E-5</v>
      </c>
    </row>
    <row r="334" spans="2:27" x14ac:dyDescent="0.35">
      <c r="B334" s="26">
        <v>84.199999999999989</v>
      </c>
      <c r="C334" s="26">
        <v>645</v>
      </c>
      <c r="D334" s="18">
        <f t="shared" si="84"/>
        <v>-1.7852343625628615</v>
      </c>
      <c r="E334" s="18">
        <f t="shared" si="84"/>
        <v>-8.5854181778194683</v>
      </c>
      <c r="F334" s="18">
        <f t="shared" si="84"/>
        <v>1000013.8155105581</v>
      </c>
      <c r="G334" s="18">
        <f t="shared" si="84"/>
        <v>1000013.8155105581</v>
      </c>
      <c r="H334" s="18">
        <f t="shared" si="84"/>
        <v>1000013.8155105581</v>
      </c>
      <c r="I334" s="16"/>
      <c r="J334" s="18">
        <f t="shared" si="86"/>
        <v>0.14509971572147037</v>
      </c>
      <c r="K334" s="18">
        <f t="shared" si="87"/>
        <v>1.8677517204056766E-4</v>
      </c>
      <c r="L334" s="18">
        <f t="shared" si="88"/>
        <v>999999.99999309238</v>
      </c>
      <c r="M334" s="18">
        <f t="shared" si="89"/>
        <v>999999.99999309238</v>
      </c>
      <c r="N334" s="18">
        <f t="shared" si="90"/>
        <v>999999.99999309238</v>
      </c>
      <c r="O334" s="16"/>
      <c r="P334" s="18">
        <f t="shared" si="85"/>
        <v>8.698386790574359</v>
      </c>
      <c r="Q334" s="18">
        <f t="shared" si="95"/>
        <v>665.23219852299167</v>
      </c>
      <c r="R334" s="18">
        <f t="shared" si="96"/>
        <v>0</v>
      </c>
      <c r="S334" s="18">
        <f t="shared" si="97"/>
        <v>0</v>
      </c>
      <c r="T334" s="18">
        <f t="shared" si="98"/>
        <v>0</v>
      </c>
      <c r="U334" s="16"/>
      <c r="V334" s="18">
        <f t="shared" si="91"/>
        <v>673.93058531356598</v>
      </c>
      <c r="W334" s="16"/>
      <c r="X334" s="18">
        <f t="shared" si="92"/>
        <v>836.97876658551979</v>
      </c>
      <c r="Y334" s="18">
        <f t="shared" si="93"/>
        <v>28.930585313565985</v>
      </c>
      <c r="Z334" s="18"/>
      <c r="AA334" s="18">
        <f t="shared" si="94"/>
        <v>7.1455903108639019E-5</v>
      </c>
    </row>
    <row r="335" spans="2:27" x14ac:dyDescent="0.35">
      <c r="B335" s="26">
        <v>84.5</v>
      </c>
      <c r="C335" s="26">
        <v>700</v>
      </c>
      <c r="D335" s="18">
        <f t="shared" si="84"/>
        <v>-1.7709499337400185</v>
      </c>
      <c r="E335" s="18">
        <f t="shared" si="84"/>
        <v>-8.5835537985184072</v>
      </c>
      <c r="F335" s="18">
        <f t="shared" si="84"/>
        <v>1000013.8155105581</v>
      </c>
      <c r="G335" s="18">
        <f t="shared" si="84"/>
        <v>1000013.8155105581</v>
      </c>
      <c r="H335" s="18">
        <f t="shared" si="84"/>
        <v>1000013.8155105581</v>
      </c>
      <c r="I335" s="16"/>
      <c r="J335" s="18">
        <f t="shared" si="86"/>
        <v>0.14691963162316848</v>
      </c>
      <c r="K335" s="18">
        <f t="shared" si="87"/>
        <v>1.8712365140521463E-4</v>
      </c>
      <c r="L335" s="18">
        <f t="shared" si="88"/>
        <v>999999.99999309238</v>
      </c>
      <c r="M335" s="18">
        <f t="shared" si="89"/>
        <v>999999.99999309238</v>
      </c>
      <c r="N335" s="18">
        <f t="shared" si="90"/>
        <v>999999.99999309238</v>
      </c>
      <c r="O335" s="16"/>
      <c r="P335" s="18">
        <f t="shared" si="85"/>
        <v>8.5770070416088782</v>
      </c>
      <c r="Q335" s="18">
        <f t="shared" si="95"/>
        <v>663.9931088504386</v>
      </c>
      <c r="R335" s="18">
        <f t="shared" si="96"/>
        <v>0</v>
      </c>
      <c r="S335" s="18">
        <f t="shared" si="97"/>
        <v>0</v>
      </c>
      <c r="T335" s="18">
        <f t="shared" si="98"/>
        <v>0</v>
      </c>
      <c r="U335" s="16"/>
      <c r="V335" s="18">
        <f t="shared" si="91"/>
        <v>672.57011589204751</v>
      </c>
      <c r="W335" s="16"/>
      <c r="X335" s="18">
        <f t="shared" si="92"/>
        <v>752.39854217570451</v>
      </c>
      <c r="Y335" s="18">
        <f t="shared" si="93"/>
        <v>27.429884107952489</v>
      </c>
      <c r="Z335" s="18"/>
      <c r="AA335" s="18">
        <f t="shared" si="94"/>
        <v>6.7749308209812277E-5</v>
      </c>
    </row>
    <row r="336" spans="2:27" x14ac:dyDescent="0.35">
      <c r="B336" s="26">
        <v>84.799999999999983</v>
      </c>
      <c r="C336" s="26">
        <v>683</v>
      </c>
      <c r="D336" s="18">
        <f t="shared" si="84"/>
        <v>-1.7566655049171764</v>
      </c>
      <c r="E336" s="18">
        <f t="shared" si="84"/>
        <v>-8.5816894192173443</v>
      </c>
      <c r="F336" s="18">
        <f t="shared" si="84"/>
        <v>1000013.8155105581</v>
      </c>
      <c r="G336" s="18">
        <f t="shared" si="84"/>
        <v>1000013.8155105581</v>
      </c>
      <c r="H336" s="18">
        <f t="shared" si="84"/>
        <v>1000013.8155105581</v>
      </c>
      <c r="I336" s="16"/>
      <c r="J336" s="18">
        <f t="shared" si="86"/>
        <v>0.14875941791683422</v>
      </c>
      <c r="K336" s="18">
        <f t="shared" si="87"/>
        <v>1.874727808300612E-4</v>
      </c>
      <c r="L336" s="18">
        <f t="shared" si="88"/>
        <v>999999.99999309238</v>
      </c>
      <c r="M336" s="18">
        <f t="shared" si="89"/>
        <v>999999.99999309238</v>
      </c>
      <c r="N336" s="18">
        <f t="shared" si="90"/>
        <v>999999.99999309238</v>
      </c>
      <c r="O336" s="16"/>
      <c r="P336" s="18">
        <f t="shared" si="85"/>
        <v>8.4573641152458592</v>
      </c>
      <c r="Q336" s="18">
        <f t="shared" si="95"/>
        <v>662.75632715895824</v>
      </c>
      <c r="R336" s="18">
        <f t="shared" si="96"/>
        <v>0</v>
      </c>
      <c r="S336" s="18">
        <f t="shared" si="97"/>
        <v>0</v>
      </c>
      <c r="T336" s="18">
        <f t="shared" si="98"/>
        <v>0</v>
      </c>
      <c r="U336" s="16"/>
      <c r="V336" s="18">
        <f t="shared" si="91"/>
        <v>671.21369127420405</v>
      </c>
      <c r="W336" s="16"/>
      <c r="X336" s="18">
        <f t="shared" si="92"/>
        <v>138.91707337977371</v>
      </c>
      <c r="Y336" s="18">
        <f t="shared" si="93"/>
        <v>11.786308725795948</v>
      </c>
      <c r="Z336" s="18"/>
      <c r="AA336" s="18">
        <f t="shared" si="94"/>
        <v>2.9111105952082522E-5</v>
      </c>
    </row>
    <row r="337" spans="2:27" x14ac:dyDescent="0.35">
      <c r="B337" s="26">
        <v>85.1</v>
      </c>
      <c r="C337" s="26">
        <v>650</v>
      </c>
      <c r="D337" s="18">
        <f t="shared" si="84"/>
        <v>-1.7423810760943335</v>
      </c>
      <c r="E337" s="18">
        <f t="shared" si="84"/>
        <v>-8.5798250399162832</v>
      </c>
      <c r="F337" s="18">
        <f t="shared" si="84"/>
        <v>1000013.8155105581</v>
      </c>
      <c r="G337" s="18">
        <f t="shared" si="84"/>
        <v>1000013.8155105581</v>
      </c>
      <c r="H337" s="18">
        <f t="shared" si="84"/>
        <v>1000013.8155105581</v>
      </c>
      <c r="I337" s="16"/>
      <c r="J337" s="18">
        <f t="shared" si="86"/>
        <v>0.15061922691469531</v>
      </c>
      <c r="K337" s="18">
        <f t="shared" si="87"/>
        <v>1.8782256152728664E-4</v>
      </c>
      <c r="L337" s="18">
        <f t="shared" si="88"/>
        <v>999999.99999309238</v>
      </c>
      <c r="M337" s="18">
        <f t="shared" si="89"/>
        <v>999999.99999309238</v>
      </c>
      <c r="N337" s="18">
        <f t="shared" si="90"/>
        <v>999999.99999309238</v>
      </c>
      <c r="O337" s="16"/>
      <c r="P337" s="18">
        <f t="shared" si="85"/>
        <v>8.3394333661696241</v>
      </c>
      <c r="Q337" s="18">
        <f t="shared" si="95"/>
        <v>661.52184914960935</v>
      </c>
      <c r="R337" s="18">
        <f t="shared" si="96"/>
        <v>0</v>
      </c>
      <c r="S337" s="18">
        <f t="shared" si="97"/>
        <v>0</v>
      </c>
      <c r="T337" s="18">
        <f t="shared" si="98"/>
        <v>0</v>
      </c>
      <c r="U337" s="16"/>
      <c r="V337" s="18">
        <f t="shared" si="91"/>
        <v>669.86128251577895</v>
      </c>
      <c r="W337" s="16"/>
      <c r="X337" s="18">
        <f t="shared" si="92"/>
        <v>394.47054317158671</v>
      </c>
      <c r="Y337" s="18">
        <f t="shared" si="93"/>
        <v>19.861282515778953</v>
      </c>
      <c r="Z337" s="18"/>
      <c r="AA337" s="18">
        <f t="shared" si="94"/>
        <v>4.9055553618381868E-5</v>
      </c>
    </row>
    <row r="338" spans="2:27" x14ac:dyDescent="0.35">
      <c r="B338" s="26">
        <v>85.4</v>
      </c>
      <c r="C338" s="26">
        <v>681</v>
      </c>
      <c r="D338" s="18">
        <f t="shared" si="84"/>
        <v>-1.7280966472714914</v>
      </c>
      <c r="E338" s="18">
        <f t="shared" si="84"/>
        <v>-8.5779606606152221</v>
      </c>
      <c r="F338" s="18">
        <f t="shared" si="84"/>
        <v>1000013.8155105581</v>
      </c>
      <c r="G338" s="18">
        <f t="shared" si="84"/>
        <v>1000013.8155105581</v>
      </c>
      <c r="H338" s="18">
        <f t="shared" si="84"/>
        <v>1000013.8155105581</v>
      </c>
      <c r="I338" s="16"/>
      <c r="J338" s="18">
        <f t="shared" si="86"/>
        <v>0.15249921079451367</v>
      </c>
      <c r="K338" s="18">
        <f t="shared" si="87"/>
        <v>1.8817299471132973E-4</v>
      </c>
      <c r="L338" s="18">
        <f t="shared" si="88"/>
        <v>999999.99999309238</v>
      </c>
      <c r="M338" s="18">
        <f t="shared" si="89"/>
        <v>999999.99999309238</v>
      </c>
      <c r="N338" s="18">
        <f t="shared" si="90"/>
        <v>999999.99999309238</v>
      </c>
      <c r="O338" s="16"/>
      <c r="P338" s="18">
        <f t="shared" si="85"/>
        <v>8.2231904958813775</v>
      </c>
      <c r="Q338" s="18">
        <f t="shared" si="95"/>
        <v>660.28967053145516</v>
      </c>
      <c r="R338" s="18">
        <f t="shared" si="96"/>
        <v>0</v>
      </c>
      <c r="S338" s="18">
        <f t="shared" si="97"/>
        <v>0</v>
      </c>
      <c r="T338" s="18">
        <f t="shared" si="98"/>
        <v>0</v>
      </c>
      <c r="U338" s="16"/>
      <c r="V338" s="18">
        <f t="shared" si="91"/>
        <v>668.5128610273365</v>
      </c>
      <c r="W338" s="16"/>
      <c r="X338" s="18">
        <f t="shared" si="92"/>
        <v>155.92863972261168</v>
      </c>
      <c r="Y338" s="18">
        <f t="shared" si="93"/>
        <v>12.487138972663502</v>
      </c>
      <c r="Z338" s="18"/>
      <c r="AA338" s="18">
        <f t="shared" si="94"/>
        <v>3.0842092645680075E-5</v>
      </c>
    </row>
    <row r="339" spans="2:27" x14ac:dyDescent="0.35">
      <c r="B339" s="26">
        <v>85.699999999999989</v>
      </c>
      <c r="C339" s="26">
        <v>644</v>
      </c>
      <c r="D339" s="18">
        <f t="shared" si="84"/>
        <v>-1.7138122184486493</v>
      </c>
      <c r="E339" s="18">
        <f t="shared" si="84"/>
        <v>-8.5760962813141592</v>
      </c>
      <c r="F339" s="18">
        <f t="shared" si="84"/>
        <v>1000013.8155105581</v>
      </c>
      <c r="G339" s="18">
        <f t="shared" si="84"/>
        <v>1000013.8155105581</v>
      </c>
      <c r="H339" s="18">
        <f t="shared" si="84"/>
        <v>1000013.8155105581</v>
      </c>
      <c r="I339" s="16"/>
      <c r="J339" s="18">
        <f t="shared" si="86"/>
        <v>0.15439952157234182</v>
      </c>
      <c r="K339" s="18">
        <f t="shared" si="87"/>
        <v>1.8852408159889233E-4</v>
      </c>
      <c r="L339" s="18">
        <f t="shared" si="88"/>
        <v>999999.99999309238</v>
      </c>
      <c r="M339" s="18">
        <f t="shared" si="89"/>
        <v>999999.99999309238</v>
      </c>
      <c r="N339" s="18">
        <f t="shared" si="90"/>
        <v>999999.99999309238</v>
      </c>
      <c r="O339" s="16"/>
      <c r="P339" s="18">
        <f t="shared" si="85"/>
        <v>8.1086115477565368</v>
      </c>
      <c r="Q339" s="18">
        <f t="shared" si="95"/>
        <v>659.05978702155073</v>
      </c>
      <c r="R339" s="18">
        <f t="shared" si="96"/>
        <v>0</v>
      </c>
      <c r="S339" s="18">
        <f t="shared" si="97"/>
        <v>0</v>
      </c>
      <c r="T339" s="18">
        <f t="shared" si="98"/>
        <v>0</v>
      </c>
      <c r="U339" s="16"/>
      <c r="V339" s="18">
        <f t="shared" si="91"/>
        <v>667.16839856930721</v>
      </c>
      <c r="W339" s="16"/>
      <c r="X339" s="18">
        <f t="shared" si="92"/>
        <v>536.77469226627659</v>
      </c>
      <c r="Y339" s="18">
        <f t="shared" si="93"/>
        <v>23.168398569307215</v>
      </c>
      <c r="Z339" s="18"/>
      <c r="AA339" s="18">
        <f t="shared" si="94"/>
        <v>5.722382818761879E-5</v>
      </c>
    </row>
    <row r="340" spans="2:27" x14ac:dyDescent="0.35">
      <c r="B340" s="26">
        <v>86</v>
      </c>
      <c r="C340" s="26">
        <v>695</v>
      </c>
      <c r="D340" s="18">
        <f t="shared" si="84"/>
        <v>-1.6995277896258063</v>
      </c>
      <c r="E340" s="18">
        <f t="shared" si="84"/>
        <v>-8.5742319020130981</v>
      </c>
      <c r="F340" s="18">
        <f t="shared" si="84"/>
        <v>1000013.8155105581</v>
      </c>
      <c r="G340" s="18">
        <f t="shared" si="84"/>
        <v>1000013.8155105581</v>
      </c>
      <c r="H340" s="18">
        <f t="shared" si="84"/>
        <v>1000013.8155105581</v>
      </c>
      <c r="I340" s="16"/>
      <c r="J340" s="18">
        <f t="shared" si="86"/>
        <v>0.15632031107504774</v>
      </c>
      <c r="K340" s="18">
        <f t="shared" si="87"/>
        <v>1.8887582340894216E-4</v>
      </c>
      <c r="L340" s="18">
        <f t="shared" si="88"/>
        <v>999999.99999309238</v>
      </c>
      <c r="M340" s="18">
        <f t="shared" si="89"/>
        <v>999999.99999309238</v>
      </c>
      <c r="N340" s="18">
        <f t="shared" si="90"/>
        <v>999999.99999309238</v>
      </c>
      <c r="O340" s="16"/>
      <c r="P340" s="18">
        <f t="shared" si="85"/>
        <v>7.995672902173256</v>
      </c>
      <c r="Q340" s="18">
        <f t="shared" si="95"/>
        <v>657.8321943449331</v>
      </c>
      <c r="R340" s="18">
        <f t="shared" si="96"/>
        <v>0</v>
      </c>
      <c r="S340" s="18">
        <f t="shared" si="97"/>
        <v>0</v>
      </c>
      <c r="T340" s="18">
        <f t="shared" si="98"/>
        <v>0</v>
      </c>
      <c r="U340" s="16"/>
      <c r="V340" s="18">
        <f t="shared" si="91"/>
        <v>665.82786724710638</v>
      </c>
      <c r="W340" s="16"/>
      <c r="X340" s="18">
        <f t="shared" si="92"/>
        <v>851.01332935244852</v>
      </c>
      <c r="Y340" s="18">
        <f t="shared" si="93"/>
        <v>29.172132752893617</v>
      </c>
      <c r="Z340" s="18"/>
      <c r="AA340" s="18">
        <f t="shared" si="94"/>
        <v>7.2052503220031922E-5</v>
      </c>
    </row>
    <row r="341" spans="2:27" x14ac:dyDescent="0.35">
      <c r="B341" s="26">
        <v>86.199999999999989</v>
      </c>
      <c r="C341" s="26">
        <v>671</v>
      </c>
      <c r="D341" s="18">
        <f t="shared" si="84"/>
        <v>-1.6900048370772458</v>
      </c>
      <c r="E341" s="18">
        <f t="shared" si="84"/>
        <v>-8.5729889824790568</v>
      </c>
      <c r="F341" s="18">
        <f t="shared" si="84"/>
        <v>1000013.8155105581</v>
      </c>
      <c r="G341" s="18">
        <f t="shared" si="84"/>
        <v>1000013.8155105581</v>
      </c>
      <c r="H341" s="18">
        <f t="shared" si="84"/>
        <v>1000013.8155105581</v>
      </c>
      <c r="I341" s="16"/>
      <c r="J341" s="18">
        <f t="shared" si="86"/>
        <v>0.15761228935845648</v>
      </c>
      <c r="K341" s="18">
        <f t="shared" si="87"/>
        <v>1.8911068239778976E-4</v>
      </c>
      <c r="L341" s="18">
        <f t="shared" si="88"/>
        <v>999999.99999309238</v>
      </c>
      <c r="M341" s="18">
        <f t="shared" si="89"/>
        <v>999999.99999309238</v>
      </c>
      <c r="N341" s="18">
        <f t="shared" si="90"/>
        <v>999999.99999309238</v>
      </c>
      <c r="O341" s="16"/>
      <c r="P341" s="18">
        <f t="shared" si="85"/>
        <v>7.9212802374859264</v>
      </c>
      <c r="Q341" s="18">
        <f t="shared" si="95"/>
        <v>657.01506980485681</v>
      </c>
      <c r="R341" s="18">
        <f t="shared" si="96"/>
        <v>0</v>
      </c>
      <c r="S341" s="18">
        <f t="shared" si="97"/>
        <v>0</v>
      </c>
      <c r="T341" s="18">
        <f t="shared" si="98"/>
        <v>0</v>
      </c>
      <c r="U341" s="16"/>
      <c r="V341" s="18">
        <f t="shared" si="91"/>
        <v>664.93635004234272</v>
      </c>
      <c r="W341" s="16"/>
      <c r="X341" s="18">
        <f t="shared" si="92"/>
        <v>36.767850808997082</v>
      </c>
      <c r="Y341" s="18">
        <f t="shared" si="93"/>
        <v>6.063649957657276</v>
      </c>
      <c r="Z341" s="18"/>
      <c r="AA341" s="18">
        <f t="shared" si="94"/>
        <v>1.4976661521462141E-5</v>
      </c>
    </row>
    <row r="342" spans="2:27" x14ac:dyDescent="0.35">
      <c r="B342" s="26">
        <v>86.5</v>
      </c>
      <c r="C342" s="26">
        <v>648</v>
      </c>
      <c r="D342" s="18">
        <f t="shared" si="84"/>
        <v>-1.6757204082544028</v>
      </c>
      <c r="E342" s="18">
        <f t="shared" si="84"/>
        <v>-8.5711246031779957</v>
      </c>
      <c r="F342" s="18">
        <f t="shared" si="84"/>
        <v>1000013.8155105581</v>
      </c>
      <c r="G342" s="18">
        <f t="shared" si="84"/>
        <v>1000013.8155105581</v>
      </c>
      <c r="H342" s="18">
        <f t="shared" si="84"/>
        <v>1000013.8155105581</v>
      </c>
      <c r="I342" s="16"/>
      <c r="J342" s="18">
        <f t="shared" si="86"/>
        <v>0.15956754686064595</v>
      </c>
      <c r="K342" s="18">
        <f t="shared" si="87"/>
        <v>1.8946351846030885E-4</v>
      </c>
      <c r="L342" s="18">
        <f t="shared" si="88"/>
        <v>999999.99999309238</v>
      </c>
      <c r="M342" s="18">
        <f t="shared" si="89"/>
        <v>999999.99999309238</v>
      </c>
      <c r="N342" s="18">
        <f t="shared" si="90"/>
        <v>999999.99999309238</v>
      </c>
      <c r="O342" s="16"/>
      <c r="P342" s="18">
        <f t="shared" si="85"/>
        <v>7.8110238415548423</v>
      </c>
      <c r="Q342" s="18">
        <f t="shared" si="95"/>
        <v>655.7912857054107</v>
      </c>
      <c r="R342" s="18">
        <f t="shared" si="96"/>
        <v>0</v>
      </c>
      <c r="S342" s="18">
        <f t="shared" si="97"/>
        <v>0</v>
      </c>
      <c r="T342" s="18">
        <f t="shared" si="98"/>
        <v>0</v>
      </c>
      <c r="U342" s="16"/>
      <c r="V342" s="18">
        <f t="shared" si="91"/>
        <v>663.60230954696556</v>
      </c>
      <c r="W342" s="16"/>
      <c r="X342" s="18">
        <f t="shared" si="92"/>
        <v>243.43206319933256</v>
      </c>
      <c r="Y342" s="18">
        <f t="shared" si="93"/>
        <v>15.602309546965557</v>
      </c>
      <c r="Z342" s="18"/>
      <c r="AA342" s="18">
        <f t="shared" si="94"/>
        <v>3.8536279414166634E-5</v>
      </c>
    </row>
    <row r="343" spans="2:27" x14ac:dyDescent="0.35">
      <c r="B343" s="26">
        <v>86.799999999999983</v>
      </c>
      <c r="C343" s="26">
        <v>693</v>
      </c>
      <c r="D343" s="18">
        <f t="shared" si="84"/>
        <v>-1.6614359794315616</v>
      </c>
      <c r="E343" s="18">
        <f t="shared" si="84"/>
        <v>-8.5692602238769329</v>
      </c>
      <c r="F343" s="18">
        <f t="shared" si="84"/>
        <v>1000013.8155105581</v>
      </c>
      <c r="G343" s="18">
        <f t="shared" si="84"/>
        <v>1000013.8155105581</v>
      </c>
      <c r="H343" s="18">
        <f t="shared" ref="E343:H358" si="99">G$23/(G$21*$A$21)-LN((G$21*$A$21)/G$23)+$B343*G$22</f>
        <v>1000013.8155105581</v>
      </c>
      <c r="I343" s="16"/>
      <c r="J343" s="18">
        <f t="shared" si="86"/>
        <v>0.16154368682317063</v>
      </c>
      <c r="K343" s="18">
        <f t="shared" si="87"/>
        <v>1.8981701270701426E-4</v>
      </c>
      <c r="L343" s="18">
        <f t="shared" si="88"/>
        <v>999999.99999309238</v>
      </c>
      <c r="M343" s="18">
        <f t="shared" si="89"/>
        <v>999999.99999309238</v>
      </c>
      <c r="N343" s="18">
        <f t="shared" si="90"/>
        <v>999999.99999309238</v>
      </c>
      <c r="O343" s="16"/>
      <c r="P343" s="18">
        <f t="shared" si="85"/>
        <v>7.702346373781582</v>
      </c>
      <c r="Q343" s="18">
        <f t="shared" si="95"/>
        <v>654.5697810782284</v>
      </c>
      <c r="R343" s="18">
        <f t="shared" si="96"/>
        <v>0</v>
      </c>
      <c r="S343" s="18">
        <f t="shared" si="97"/>
        <v>0</v>
      </c>
      <c r="T343" s="18">
        <f t="shared" si="98"/>
        <v>0</v>
      </c>
      <c r="U343" s="16"/>
      <c r="V343" s="18">
        <f t="shared" si="91"/>
        <v>662.27212745200995</v>
      </c>
      <c r="W343" s="16"/>
      <c r="X343" s="18">
        <f t="shared" si="92"/>
        <v>944.20215132552028</v>
      </c>
      <c r="Y343" s="18">
        <f t="shared" si="93"/>
        <v>30.727872547990046</v>
      </c>
      <c r="Z343" s="18"/>
      <c r="AA343" s="18">
        <f t="shared" si="94"/>
        <v>7.5895038407473725E-5</v>
      </c>
    </row>
    <row r="344" spans="2:27" x14ac:dyDescent="0.35">
      <c r="B344" s="26">
        <v>87.1</v>
      </c>
      <c r="C344" s="26">
        <v>656</v>
      </c>
      <c r="D344" s="18">
        <f t="shared" si="84"/>
        <v>-1.6471515506087187</v>
      </c>
      <c r="E344" s="18">
        <f t="shared" si="99"/>
        <v>-8.5673958445758718</v>
      </c>
      <c r="F344" s="18">
        <f t="shared" si="99"/>
        <v>1000013.8155105581</v>
      </c>
      <c r="G344" s="18">
        <f t="shared" si="99"/>
        <v>1000013.8155105581</v>
      </c>
      <c r="H344" s="18">
        <f t="shared" si="99"/>
        <v>1000013.8155105581</v>
      </c>
      <c r="I344" s="16"/>
      <c r="J344" s="18">
        <f t="shared" si="86"/>
        <v>0.16354086014070857</v>
      </c>
      <c r="K344" s="18">
        <f t="shared" si="87"/>
        <v>1.9017116636522262E-4</v>
      </c>
      <c r="L344" s="18">
        <f t="shared" si="88"/>
        <v>999999.99999309238</v>
      </c>
      <c r="M344" s="18">
        <f t="shared" si="89"/>
        <v>999999.99999309238</v>
      </c>
      <c r="N344" s="18">
        <f t="shared" si="90"/>
        <v>999999.99999309238</v>
      </c>
      <c r="O344" s="16"/>
      <c r="P344" s="18">
        <f t="shared" si="85"/>
        <v>7.5952254096667655</v>
      </c>
      <c r="Q344" s="18">
        <f t="shared" si="95"/>
        <v>653.35055167747078</v>
      </c>
      <c r="R344" s="18">
        <f t="shared" si="96"/>
        <v>0</v>
      </c>
      <c r="S344" s="18">
        <f t="shared" si="97"/>
        <v>0</v>
      </c>
      <c r="T344" s="18">
        <f t="shared" si="98"/>
        <v>0</v>
      </c>
      <c r="U344" s="16"/>
      <c r="V344" s="18">
        <f t="shared" si="91"/>
        <v>660.94577708713757</v>
      </c>
      <c r="W344" s="16"/>
      <c r="X344" s="18">
        <f t="shared" si="92"/>
        <v>24.460710995655003</v>
      </c>
      <c r="Y344" s="18">
        <f t="shared" si="93"/>
        <v>4.9457770871375715</v>
      </c>
      <c r="Z344" s="18"/>
      <c r="AA344" s="18">
        <f t="shared" si="94"/>
        <v>1.2215617641503864E-5</v>
      </c>
    </row>
    <row r="345" spans="2:27" x14ac:dyDescent="0.35">
      <c r="B345" s="26">
        <v>87.4</v>
      </c>
      <c r="C345" s="26">
        <v>664</v>
      </c>
      <c r="D345" s="18">
        <f t="shared" si="84"/>
        <v>-1.6328671217858757</v>
      </c>
      <c r="E345" s="18">
        <f t="shared" si="99"/>
        <v>-8.5655314652748089</v>
      </c>
      <c r="F345" s="18">
        <f t="shared" si="99"/>
        <v>1000013.8155105581</v>
      </c>
      <c r="G345" s="18">
        <f t="shared" si="99"/>
        <v>1000013.8155105581</v>
      </c>
      <c r="H345" s="18">
        <f t="shared" si="99"/>
        <v>1000013.8155105581</v>
      </c>
      <c r="I345" s="16"/>
      <c r="J345" s="18">
        <f t="shared" si="86"/>
        <v>0.16555921738779811</v>
      </c>
      <c r="K345" s="18">
        <f t="shared" si="87"/>
        <v>1.9052598066453873E-4</v>
      </c>
      <c r="L345" s="18">
        <f t="shared" si="88"/>
        <v>999999.99999309238</v>
      </c>
      <c r="M345" s="18">
        <f t="shared" si="89"/>
        <v>999999.99999309238</v>
      </c>
      <c r="N345" s="18">
        <f t="shared" si="90"/>
        <v>999999.99999309238</v>
      </c>
      <c r="O345" s="16"/>
      <c r="P345" s="18">
        <f t="shared" si="85"/>
        <v>7.4896388398928213</v>
      </c>
      <c r="Q345" s="18">
        <f t="shared" si="95"/>
        <v>652.13359326520231</v>
      </c>
      <c r="R345" s="18">
        <f t="shared" si="96"/>
        <v>0</v>
      </c>
      <c r="S345" s="18">
        <f t="shared" si="97"/>
        <v>0</v>
      </c>
      <c r="T345" s="18">
        <f t="shared" si="98"/>
        <v>0</v>
      </c>
      <c r="U345" s="16"/>
      <c r="V345" s="18">
        <f t="shared" si="91"/>
        <v>659.6232321050951</v>
      </c>
      <c r="W345" s="16"/>
      <c r="X345" s="18">
        <f t="shared" si="92"/>
        <v>19.156097205870282</v>
      </c>
      <c r="Y345" s="18">
        <f t="shared" si="93"/>
        <v>4.3767678949049014</v>
      </c>
      <c r="Z345" s="18"/>
      <c r="AA345" s="18">
        <f t="shared" si="94"/>
        <v>1.0810216911880984E-5</v>
      </c>
    </row>
    <row r="346" spans="2:27" x14ac:dyDescent="0.35">
      <c r="B346" s="26">
        <v>87.699999999999989</v>
      </c>
      <c r="C346" s="26">
        <v>635</v>
      </c>
      <c r="D346" s="18">
        <f t="shared" si="84"/>
        <v>-1.6185826929630345</v>
      </c>
      <c r="E346" s="18">
        <f t="shared" si="99"/>
        <v>-8.5636670859737478</v>
      </c>
      <c r="F346" s="18">
        <f t="shared" si="99"/>
        <v>1000013.8155105581</v>
      </c>
      <c r="G346" s="18">
        <f t="shared" si="99"/>
        <v>1000013.8155105581</v>
      </c>
      <c r="H346" s="18">
        <f t="shared" si="99"/>
        <v>1000013.8155105581</v>
      </c>
      <c r="I346" s="16"/>
      <c r="J346" s="18">
        <f t="shared" si="86"/>
        <v>0.16759890879026382</v>
      </c>
      <c r="K346" s="18">
        <f t="shared" si="87"/>
        <v>1.9088145683685727E-4</v>
      </c>
      <c r="L346" s="18">
        <f t="shared" si="88"/>
        <v>999999.99999309238</v>
      </c>
      <c r="M346" s="18">
        <f t="shared" si="89"/>
        <v>999999.99999309238</v>
      </c>
      <c r="N346" s="18">
        <f t="shared" si="90"/>
        <v>999999.99999309238</v>
      </c>
      <c r="O346" s="16"/>
      <c r="P346" s="18">
        <f t="shared" si="85"/>
        <v>7.3855648658376323</v>
      </c>
      <c r="Q346" s="18">
        <f t="shared" si="95"/>
        <v>650.91890161138576</v>
      </c>
      <c r="R346" s="18">
        <f t="shared" si="96"/>
        <v>0</v>
      </c>
      <c r="S346" s="18">
        <f t="shared" si="97"/>
        <v>0</v>
      </c>
      <c r="T346" s="18">
        <f t="shared" si="98"/>
        <v>0</v>
      </c>
      <c r="U346" s="16"/>
      <c r="V346" s="18">
        <f t="shared" si="91"/>
        <v>658.3044664772234</v>
      </c>
      <c r="W346" s="16"/>
      <c r="X346" s="18">
        <f t="shared" si="92"/>
        <v>543.0981577880292</v>
      </c>
      <c r="Y346" s="18">
        <f t="shared" si="93"/>
        <v>23.3044664772234</v>
      </c>
      <c r="Z346" s="18"/>
      <c r="AA346" s="18">
        <f t="shared" si="94"/>
        <v>5.7559903491276574E-5</v>
      </c>
    </row>
    <row r="347" spans="2:27" x14ac:dyDescent="0.35">
      <c r="B347" s="26">
        <v>88</v>
      </c>
      <c r="C347" s="26">
        <v>597</v>
      </c>
      <c r="D347" s="18">
        <f t="shared" si="84"/>
        <v>-1.6042982641401915</v>
      </c>
      <c r="E347" s="18">
        <f t="shared" si="99"/>
        <v>-8.5618027066726867</v>
      </c>
      <c r="F347" s="18">
        <f t="shared" si="99"/>
        <v>1000013.8155105581</v>
      </c>
      <c r="G347" s="18">
        <f t="shared" si="99"/>
        <v>1000013.8155105581</v>
      </c>
      <c r="H347" s="18">
        <f t="shared" si="99"/>
        <v>1000013.8155105581</v>
      </c>
      <c r="I347" s="16"/>
      <c r="J347" s="18">
        <f t="shared" si="86"/>
        <v>0.16966008419648818</v>
      </c>
      <c r="K347" s="18">
        <f t="shared" si="87"/>
        <v>1.9123759611636908E-4</v>
      </c>
      <c r="L347" s="18">
        <f t="shared" si="88"/>
        <v>999999.99999309238</v>
      </c>
      <c r="M347" s="18">
        <f t="shared" si="89"/>
        <v>999999.99999309238</v>
      </c>
      <c r="N347" s="18">
        <f t="shared" si="90"/>
        <v>999999.99999309238</v>
      </c>
      <c r="O347" s="16"/>
      <c r="P347" s="18">
        <f t="shared" si="85"/>
        <v>7.2829819951530705</v>
      </c>
      <c r="Q347" s="18">
        <f t="shared" si="95"/>
        <v>649.70647249386002</v>
      </c>
      <c r="R347" s="18">
        <f t="shared" si="96"/>
        <v>0</v>
      </c>
      <c r="S347" s="18">
        <f t="shared" si="97"/>
        <v>0</v>
      </c>
      <c r="T347" s="18">
        <f t="shared" si="98"/>
        <v>0</v>
      </c>
      <c r="U347" s="16"/>
      <c r="V347" s="18">
        <f t="shared" si="91"/>
        <v>656.98945448901304</v>
      </c>
      <c r="W347" s="16"/>
      <c r="X347" s="18">
        <f t="shared" si="92"/>
        <v>3598.7346498893671</v>
      </c>
      <c r="Y347" s="18">
        <f t="shared" si="93"/>
        <v>59.989454489013042</v>
      </c>
      <c r="Z347" s="18"/>
      <c r="AA347" s="18">
        <f t="shared" si="94"/>
        <v>1.481684729515989E-4</v>
      </c>
    </row>
    <row r="348" spans="2:27" x14ac:dyDescent="0.35">
      <c r="B348" s="26">
        <v>88.199999999999989</v>
      </c>
      <c r="C348" s="26">
        <v>652</v>
      </c>
      <c r="D348" s="18">
        <f t="shared" si="84"/>
        <v>-1.5947753115916301</v>
      </c>
      <c r="E348" s="18">
        <f t="shared" si="99"/>
        <v>-8.5605597871386454</v>
      </c>
      <c r="F348" s="18">
        <f t="shared" si="99"/>
        <v>1000013.8155105581</v>
      </c>
      <c r="G348" s="18">
        <f t="shared" si="99"/>
        <v>1000013.8155105581</v>
      </c>
      <c r="H348" s="18">
        <f t="shared" si="99"/>
        <v>1000013.8155105581</v>
      </c>
      <c r="I348" s="16"/>
      <c r="J348" s="18">
        <f t="shared" si="86"/>
        <v>0.17104621050776181</v>
      </c>
      <c r="K348" s="18">
        <f t="shared" si="87"/>
        <v>1.9147539130611328E-4</v>
      </c>
      <c r="L348" s="18">
        <f t="shared" si="88"/>
        <v>999999.99999309238</v>
      </c>
      <c r="M348" s="18">
        <f t="shared" si="89"/>
        <v>999999.99999309238</v>
      </c>
      <c r="N348" s="18">
        <f t="shared" si="90"/>
        <v>999999.99999309238</v>
      </c>
      <c r="O348" s="16"/>
      <c r="P348" s="18">
        <f t="shared" si="85"/>
        <v>7.2154113287530111</v>
      </c>
      <c r="Q348" s="18">
        <f t="shared" si="95"/>
        <v>648.89944129865796</v>
      </c>
      <c r="R348" s="18">
        <f t="shared" si="96"/>
        <v>0</v>
      </c>
      <c r="S348" s="18">
        <f t="shared" si="97"/>
        <v>0</v>
      </c>
      <c r="T348" s="18">
        <f t="shared" si="98"/>
        <v>0</v>
      </c>
      <c r="U348" s="16"/>
      <c r="V348" s="18">
        <f t="shared" si="91"/>
        <v>656.11485262741098</v>
      </c>
      <c r="W348" s="16"/>
      <c r="X348" s="18">
        <f t="shared" si="92"/>
        <v>16.932012145311067</v>
      </c>
      <c r="Y348" s="18">
        <f t="shared" si="93"/>
        <v>4.1148526274109827</v>
      </c>
      <c r="Z348" s="18"/>
      <c r="AA348" s="18">
        <f t="shared" si="94"/>
        <v>1.0163310125382517E-5</v>
      </c>
    </row>
    <row r="349" spans="2:27" x14ac:dyDescent="0.35">
      <c r="B349" s="26">
        <v>88.5</v>
      </c>
      <c r="C349" s="26">
        <v>636</v>
      </c>
      <c r="D349" s="18">
        <f t="shared" si="84"/>
        <v>-1.5804908827687871</v>
      </c>
      <c r="E349" s="18">
        <f t="shared" si="99"/>
        <v>-8.5586954078375843</v>
      </c>
      <c r="F349" s="18">
        <f t="shared" si="99"/>
        <v>1000013.8155105581</v>
      </c>
      <c r="G349" s="18">
        <f t="shared" si="99"/>
        <v>1000013.8155105581</v>
      </c>
      <c r="H349" s="18">
        <f t="shared" si="99"/>
        <v>1000013.8155105581</v>
      </c>
      <c r="I349" s="16"/>
      <c r="J349" s="18">
        <f t="shared" si="86"/>
        <v>0.1731435244666292</v>
      </c>
      <c r="K349" s="18">
        <f t="shared" si="87"/>
        <v>1.9183263851317426E-4</v>
      </c>
      <c r="L349" s="18">
        <f t="shared" si="88"/>
        <v>999999.99999309238</v>
      </c>
      <c r="M349" s="18">
        <f t="shared" si="89"/>
        <v>999999.99999309238</v>
      </c>
      <c r="N349" s="18">
        <f t="shared" si="90"/>
        <v>999999.99999309238</v>
      </c>
      <c r="O349" s="16"/>
      <c r="P349" s="18">
        <f t="shared" si="85"/>
        <v>7.1152666876538593</v>
      </c>
      <c r="Q349" s="18">
        <f t="shared" si="95"/>
        <v>647.69077371372475</v>
      </c>
      <c r="R349" s="18">
        <f t="shared" si="96"/>
        <v>0</v>
      </c>
      <c r="S349" s="18">
        <f t="shared" si="97"/>
        <v>0</v>
      </c>
      <c r="T349" s="18">
        <f t="shared" si="98"/>
        <v>0</v>
      </c>
      <c r="U349" s="16"/>
      <c r="V349" s="18">
        <f t="shared" si="91"/>
        <v>654.8060404013786</v>
      </c>
      <c r="W349" s="16"/>
      <c r="X349" s="18">
        <f t="shared" si="92"/>
        <v>353.667155578284</v>
      </c>
      <c r="Y349" s="18">
        <f t="shared" si="93"/>
        <v>18.806040401378596</v>
      </c>
      <c r="Z349" s="18"/>
      <c r="AA349" s="18">
        <f t="shared" si="94"/>
        <v>4.6449201985136843E-5</v>
      </c>
    </row>
    <row r="350" spans="2:27" x14ac:dyDescent="0.35">
      <c r="B350" s="26">
        <v>88.799999999999983</v>
      </c>
      <c r="C350" s="26">
        <v>629</v>
      </c>
      <c r="D350" s="18">
        <f t="shared" si="84"/>
        <v>-1.5662064539459459</v>
      </c>
      <c r="E350" s="18">
        <f t="shared" si="99"/>
        <v>-8.5568310285365214</v>
      </c>
      <c r="F350" s="18">
        <f t="shared" si="99"/>
        <v>1000013.8155105581</v>
      </c>
      <c r="G350" s="18">
        <f t="shared" si="99"/>
        <v>1000013.8155105581</v>
      </c>
      <c r="H350" s="18">
        <f t="shared" si="99"/>
        <v>1000013.8155105581</v>
      </c>
      <c r="I350" s="16"/>
      <c r="J350" s="18">
        <f t="shared" si="86"/>
        <v>0.17526271995970033</v>
      </c>
      <c r="K350" s="18">
        <f t="shared" si="87"/>
        <v>1.9219055212985807E-4</v>
      </c>
      <c r="L350" s="18">
        <f t="shared" si="88"/>
        <v>999999.99999309238</v>
      </c>
      <c r="M350" s="18">
        <f t="shared" si="89"/>
        <v>999999.99999309238</v>
      </c>
      <c r="N350" s="18">
        <f t="shared" si="90"/>
        <v>999999.99999309238</v>
      </c>
      <c r="O350" s="16"/>
      <c r="P350" s="18">
        <f t="shared" si="85"/>
        <v>7.0165573013983868</v>
      </c>
      <c r="Q350" s="18">
        <f t="shared" si="95"/>
        <v>646.48435744439507</v>
      </c>
      <c r="R350" s="18">
        <f t="shared" si="96"/>
        <v>0</v>
      </c>
      <c r="S350" s="18">
        <f t="shared" si="97"/>
        <v>0</v>
      </c>
      <c r="T350" s="18">
        <f t="shared" si="98"/>
        <v>0</v>
      </c>
      <c r="U350" s="16"/>
      <c r="V350" s="18">
        <f t="shared" si="91"/>
        <v>653.50091474579347</v>
      </c>
      <c r="W350" s="16"/>
      <c r="X350" s="18">
        <f t="shared" si="92"/>
        <v>600.29482338063974</v>
      </c>
      <c r="Y350" s="18">
        <f t="shared" si="93"/>
        <v>24.500914745793466</v>
      </c>
      <c r="Z350" s="18"/>
      <c r="AA350" s="18">
        <f t="shared" si="94"/>
        <v>6.051502142708109E-5</v>
      </c>
    </row>
    <row r="351" spans="2:27" x14ac:dyDescent="0.35">
      <c r="B351" s="26">
        <v>89.1</v>
      </c>
      <c r="C351" s="26">
        <v>605</v>
      </c>
      <c r="D351" s="18">
        <f t="shared" si="84"/>
        <v>-1.551922025123103</v>
      </c>
      <c r="E351" s="18">
        <f t="shared" si="99"/>
        <v>-8.5549666492354604</v>
      </c>
      <c r="F351" s="18">
        <f t="shared" si="99"/>
        <v>1000013.8155105581</v>
      </c>
      <c r="G351" s="18">
        <f t="shared" si="99"/>
        <v>1000013.8155105581</v>
      </c>
      <c r="H351" s="18">
        <f t="shared" si="99"/>
        <v>1000013.8155105581</v>
      </c>
      <c r="I351" s="16"/>
      <c r="J351" s="18">
        <f t="shared" si="86"/>
        <v>0.1774039452034574</v>
      </c>
      <c r="K351" s="18">
        <f t="shared" si="87"/>
        <v>1.9254913339880755E-4</v>
      </c>
      <c r="L351" s="18">
        <f t="shared" si="88"/>
        <v>999999.99999309238</v>
      </c>
      <c r="M351" s="18">
        <f t="shared" si="89"/>
        <v>999999.99999309238</v>
      </c>
      <c r="N351" s="18">
        <f t="shared" si="90"/>
        <v>999999.99999309238</v>
      </c>
      <c r="O351" s="16"/>
      <c r="P351" s="18">
        <f t="shared" si="85"/>
        <v>6.9192627638401536</v>
      </c>
      <c r="Q351" s="18">
        <f t="shared" si="95"/>
        <v>645.28018829727546</v>
      </c>
      <c r="R351" s="18">
        <f t="shared" si="96"/>
        <v>0</v>
      </c>
      <c r="S351" s="18">
        <f t="shared" si="97"/>
        <v>0</v>
      </c>
      <c r="T351" s="18">
        <f t="shared" si="98"/>
        <v>0</v>
      </c>
      <c r="U351" s="16"/>
      <c r="V351" s="18">
        <f t="shared" si="91"/>
        <v>652.19945106111561</v>
      </c>
      <c r="W351" s="16"/>
      <c r="X351" s="18">
        <f t="shared" si="92"/>
        <v>2227.7881804706476</v>
      </c>
      <c r="Y351" s="18">
        <f t="shared" si="93"/>
        <v>47.19945106111561</v>
      </c>
      <c r="Z351" s="18"/>
      <c r="AA351" s="18">
        <f t="shared" si="94"/>
        <v>1.1657833276613752E-4</v>
      </c>
    </row>
    <row r="352" spans="2:27" x14ac:dyDescent="0.35">
      <c r="B352" s="26">
        <v>89.4</v>
      </c>
      <c r="C352" s="26">
        <v>684</v>
      </c>
      <c r="D352" s="18">
        <f t="shared" si="84"/>
        <v>-1.53763759630026</v>
      </c>
      <c r="E352" s="18">
        <f t="shared" si="99"/>
        <v>-8.5531022699343993</v>
      </c>
      <c r="F352" s="18">
        <f t="shared" si="99"/>
        <v>1000013.8155105581</v>
      </c>
      <c r="G352" s="18">
        <f t="shared" si="99"/>
        <v>1000013.8155105581</v>
      </c>
      <c r="H352" s="18">
        <f t="shared" si="99"/>
        <v>1000013.8155105581</v>
      </c>
      <c r="I352" s="16"/>
      <c r="J352" s="18">
        <f t="shared" si="86"/>
        <v>0.17956734790120762</v>
      </c>
      <c r="K352" s="18">
        <f t="shared" si="87"/>
        <v>1.929083835649819E-4</v>
      </c>
      <c r="L352" s="18">
        <f t="shared" si="88"/>
        <v>999999.99999309238</v>
      </c>
      <c r="M352" s="18">
        <f t="shared" si="89"/>
        <v>999999.99999309238</v>
      </c>
      <c r="N352" s="18">
        <f t="shared" si="90"/>
        <v>999999.99999309238</v>
      </c>
      <c r="O352" s="16"/>
      <c r="P352" s="18">
        <f t="shared" si="85"/>
        <v>6.8233629553054387</v>
      </c>
      <c r="Q352" s="18">
        <f t="shared" si="95"/>
        <v>644.07826208677977</v>
      </c>
      <c r="R352" s="18">
        <f t="shared" si="96"/>
        <v>0</v>
      </c>
      <c r="S352" s="18">
        <f t="shared" si="97"/>
        <v>0</v>
      </c>
      <c r="T352" s="18">
        <f t="shared" si="98"/>
        <v>0</v>
      </c>
      <c r="U352" s="16"/>
      <c r="V352" s="18">
        <f t="shared" si="91"/>
        <v>650.90162504208524</v>
      </c>
      <c r="W352" s="16"/>
      <c r="X352" s="18">
        <f t="shared" si="92"/>
        <v>1095.5024248547186</v>
      </c>
      <c r="Y352" s="18">
        <f t="shared" si="93"/>
        <v>33.098374957914757</v>
      </c>
      <c r="Z352" s="18"/>
      <c r="AA352" s="18">
        <f t="shared" si="94"/>
        <v>8.1749962830414714E-5</v>
      </c>
    </row>
    <row r="353" spans="2:27" x14ac:dyDescent="0.35">
      <c r="B353" s="26">
        <v>89.699999999999989</v>
      </c>
      <c r="C353" s="26">
        <v>656</v>
      </c>
      <c r="D353" s="18">
        <f t="shared" si="84"/>
        <v>-1.5233531674774188</v>
      </c>
      <c r="E353" s="18">
        <f t="shared" si="99"/>
        <v>-8.5512378906333364</v>
      </c>
      <c r="F353" s="18">
        <f t="shared" si="99"/>
        <v>1000013.8155105581</v>
      </c>
      <c r="G353" s="18">
        <f t="shared" si="99"/>
        <v>1000013.8155105581</v>
      </c>
      <c r="H353" s="18">
        <f t="shared" si="99"/>
        <v>1000013.8155105581</v>
      </c>
      <c r="I353" s="16"/>
      <c r="J353" s="18">
        <f t="shared" si="86"/>
        <v>0.18175307521372672</v>
      </c>
      <c r="K353" s="18">
        <f t="shared" si="87"/>
        <v>1.9326830387565993E-4</v>
      </c>
      <c r="L353" s="18">
        <f t="shared" si="88"/>
        <v>999999.99999309238</v>
      </c>
      <c r="M353" s="18">
        <f t="shared" si="89"/>
        <v>999999.99999309238</v>
      </c>
      <c r="N353" s="18">
        <f t="shared" si="90"/>
        <v>999999.99999309238</v>
      </c>
      <c r="O353" s="16"/>
      <c r="P353" s="18">
        <f t="shared" si="85"/>
        <v>6.7288380385229072</v>
      </c>
      <c r="Q353" s="18">
        <f t="shared" si="95"/>
        <v>642.87857463511841</v>
      </c>
      <c r="R353" s="18">
        <f t="shared" si="96"/>
        <v>0</v>
      </c>
      <c r="S353" s="18">
        <f t="shared" si="97"/>
        <v>0</v>
      </c>
      <c r="T353" s="18">
        <f t="shared" si="98"/>
        <v>0</v>
      </c>
      <c r="U353" s="16"/>
      <c r="V353" s="18">
        <f t="shared" si="91"/>
        <v>649.60741267364131</v>
      </c>
      <c r="W353" s="16"/>
      <c r="X353" s="18">
        <f t="shared" si="92"/>
        <v>40.865172725121788</v>
      </c>
      <c r="Y353" s="18">
        <f t="shared" si="93"/>
        <v>6.3925873263586936</v>
      </c>
      <c r="Z353" s="18"/>
      <c r="AA353" s="18">
        <f t="shared" si="94"/>
        <v>1.578910677592153E-5</v>
      </c>
    </row>
    <row r="354" spans="2:27" x14ac:dyDescent="0.35">
      <c r="B354" s="26">
        <v>90</v>
      </c>
      <c r="C354" s="26">
        <v>638</v>
      </c>
      <c r="D354" s="18">
        <f t="shared" si="84"/>
        <v>-1.5090687386545758</v>
      </c>
      <c r="E354" s="18">
        <f t="shared" si="99"/>
        <v>-8.5493735113322753</v>
      </c>
      <c r="F354" s="18">
        <f t="shared" si="99"/>
        <v>1000013.8155105581</v>
      </c>
      <c r="G354" s="18">
        <f t="shared" si="99"/>
        <v>1000013.8155105581</v>
      </c>
      <c r="H354" s="18">
        <f t="shared" si="99"/>
        <v>1000013.8155105581</v>
      </c>
      <c r="I354" s="16"/>
      <c r="J354" s="18">
        <f t="shared" si="86"/>
        <v>0.18396127372983681</v>
      </c>
      <c r="K354" s="18">
        <f t="shared" si="87"/>
        <v>1.9362889558044351E-4</v>
      </c>
      <c r="L354" s="18">
        <f t="shared" si="88"/>
        <v>999999.99999309238</v>
      </c>
      <c r="M354" s="18">
        <f t="shared" si="89"/>
        <v>999999.99999309238</v>
      </c>
      <c r="N354" s="18">
        <f t="shared" si="90"/>
        <v>999999.99999309238</v>
      </c>
      <c r="O354" s="16"/>
      <c r="P354" s="18">
        <f t="shared" si="85"/>
        <v>6.6356684546124054</v>
      </c>
      <c r="Q354" s="18">
        <f t="shared" si="95"/>
        <v>641.68112177228602</v>
      </c>
      <c r="R354" s="18">
        <f t="shared" si="96"/>
        <v>0</v>
      </c>
      <c r="S354" s="18">
        <f t="shared" si="97"/>
        <v>0</v>
      </c>
      <c r="T354" s="18">
        <f t="shared" si="98"/>
        <v>0</v>
      </c>
      <c r="U354" s="16"/>
      <c r="V354" s="18">
        <f t="shared" si="91"/>
        <v>648.31679022689843</v>
      </c>
      <c r="W354" s="16"/>
      <c r="X354" s="18">
        <f t="shared" si="92"/>
        <v>106.43616058582703</v>
      </c>
      <c r="Y354" s="18">
        <f t="shared" si="93"/>
        <v>10.316790226898434</v>
      </c>
      <c r="Z354" s="18"/>
      <c r="AA354" s="18">
        <f t="shared" si="94"/>
        <v>2.548152949051212E-5</v>
      </c>
    </row>
    <row r="355" spans="2:27" x14ac:dyDescent="0.35">
      <c r="B355" s="26">
        <v>90.199999999999989</v>
      </c>
      <c r="C355" s="26">
        <v>588</v>
      </c>
      <c r="D355" s="18">
        <f t="shared" si="84"/>
        <v>-1.4995457861060153</v>
      </c>
      <c r="E355" s="18">
        <f t="shared" si="99"/>
        <v>-8.548130591798234</v>
      </c>
      <c r="F355" s="18">
        <f t="shared" si="99"/>
        <v>1000013.8155105581</v>
      </c>
      <c r="G355" s="18">
        <f t="shared" si="99"/>
        <v>1000013.8155105581</v>
      </c>
      <c r="H355" s="18">
        <f t="shared" si="99"/>
        <v>1000013.8155105581</v>
      </c>
      <c r="I355" s="16"/>
      <c r="J355" s="18">
        <f t="shared" si="86"/>
        <v>0.18544596219408499</v>
      </c>
      <c r="K355" s="18">
        <f t="shared" si="87"/>
        <v>1.938696636651663E-4</v>
      </c>
      <c r="L355" s="18">
        <f t="shared" si="88"/>
        <v>999999.99999309238</v>
      </c>
      <c r="M355" s="18">
        <f t="shared" si="89"/>
        <v>999999.99999309238</v>
      </c>
      <c r="N355" s="18">
        <f t="shared" si="90"/>
        <v>999999.99999309238</v>
      </c>
      <c r="O355" s="16"/>
      <c r="P355" s="18">
        <f t="shared" si="85"/>
        <v>6.5742988270218445</v>
      </c>
      <c r="Q355" s="18">
        <f t="shared" si="95"/>
        <v>640.88405924622236</v>
      </c>
      <c r="R355" s="18">
        <f t="shared" si="96"/>
        <v>0</v>
      </c>
      <c r="S355" s="18">
        <f t="shared" si="97"/>
        <v>0</v>
      </c>
      <c r="T355" s="18">
        <f t="shared" si="98"/>
        <v>0</v>
      </c>
      <c r="U355" s="16"/>
      <c r="V355" s="18">
        <f t="shared" si="91"/>
        <v>647.4583580732442</v>
      </c>
      <c r="W355" s="16"/>
      <c r="X355" s="18">
        <f t="shared" si="92"/>
        <v>3535.2963447661236</v>
      </c>
      <c r="Y355" s="18">
        <f t="shared" si="93"/>
        <v>59.458358073244199</v>
      </c>
      <c r="Z355" s="18"/>
      <c r="AA355" s="18">
        <f t="shared" si="94"/>
        <v>1.468567133167626E-4</v>
      </c>
    </row>
    <row r="356" spans="2:27" x14ac:dyDescent="0.35">
      <c r="B356" s="26">
        <v>90.5</v>
      </c>
      <c r="C356" s="26">
        <v>625</v>
      </c>
      <c r="D356" s="18">
        <f t="shared" si="84"/>
        <v>-1.4852613572831723</v>
      </c>
      <c r="E356" s="18">
        <f t="shared" si="99"/>
        <v>-8.5462662124971729</v>
      </c>
      <c r="F356" s="18">
        <f t="shared" si="99"/>
        <v>1000013.8155105581</v>
      </c>
      <c r="G356" s="18">
        <f t="shared" si="99"/>
        <v>1000013.8155105581</v>
      </c>
      <c r="H356" s="18">
        <f t="shared" si="99"/>
        <v>1000013.8155105581</v>
      </c>
      <c r="I356" s="16"/>
      <c r="J356" s="18">
        <f t="shared" si="86"/>
        <v>0.18769193682224758</v>
      </c>
      <c r="K356" s="18">
        <f t="shared" si="87"/>
        <v>1.9423137714334645E-4</v>
      </c>
      <c r="L356" s="18">
        <f t="shared" si="88"/>
        <v>999999.99999309238</v>
      </c>
      <c r="M356" s="18">
        <f t="shared" si="89"/>
        <v>999999.99999309238</v>
      </c>
      <c r="N356" s="18">
        <f t="shared" si="90"/>
        <v>999999.99999309238</v>
      </c>
      <c r="O356" s="16"/>
      <c r="P356" s="18">
        <f t="shared" si="85"/>
        <v>6.4833454106765602</v>
      </c>
      <c r="Q356" s="18">
        <f t="shared" si="95"/>
        <v>639.69032145251106</v>
      </c>
      <c r="R356" s="18">
        <f t="shared" si="96"/>
        <v>0</v>
      </c>
      <c r="S356" s="18">
        <f t="shared" si="97"/>
        <v>0</v>
      </c>
      <c r="T356" s="18">
        <f t="shared" si="98"/>
        <v>0</v>
      </c>
      <c r="U356" s="16"/>
      <c r="V356" s="18">
        <f t="shared" si="91"/>
        <v>646.17366686318758</v>
      </c>
      <c r="W356" s="16"/>
      <c r="X356" s="18">
        <f t="shared" si="92"/>
        <v>448.32416843324768</v>
      </c>
      <c r="Y356" s="18">
        <f t="shared" si="93"/>
        <v>21.173666863187577</v>
      </c>
      <c r="Z356" s="18"/>
      <c r="AA356" s="18">
        <f t="shared" si="94"/>
        <v>5.2297023078930644E-5</v>
      </c>
    </row>
    <row r="357" spans="2:27" x14ac:dyDescent="0.35">
      <c r="B357" s="26">
        <v>90.799999999999983</v>
      </c>
      <c r="C357" s="26">
        <v>655</v>
      </c>
      <c r="D357" s="18">
        <f t="shared" si="84"/>
        <v>-1.4709769284603302</v>
      </c>
      <c r="E357" s="18">
        <f t="shared" si="99"/>
        <v>-8.54440183319611</v>
      </c>
      <c r="F357" s="18">
        <f t="shared" si="99"/>
        <v>1000013.8155105581</v>
      </c>
      <c r="G357" s="18">
        <f t="shared" si="99"/>
        <v>1000013.8155105581</v>
      </c>
      <c r="H357" s="18">
        <f t="shared" si="99"/>
        <v>1000013.8155105581</v>
      </c>
      <c r="I357" s="16"/>
      <c r="J357" s="18">
        <f t="shared" si="86"/>
        <v>0.18996077053704108</v>
      </c>
      <c r="K357" s="18">
        <f t="shared" si="87"/>
        <v>1.9459376535930077E-4</v>
      </c>
      <c r="L357" s="18">
        <f t="shared" si="88"/>
        <v>999999.99999309238</v>
      </c>
      <c r="M357" s="18">
        <f t="shared" si="89"/>
        <v>999999.99999309238</v>
      </c>
      <c r="N357" s="18">
        <f t="shared" si="90"/>
        <v>999999.99999309238</v>
      </c>
      <c r="O357" s="16"/>
      <c r="P357" s="18">
        <f t="shared" si="85"/>
        <v>6.393696501334273</v>
      </c>
      <c r="Q357" s="18">
        <f t="shared" si="95"/>
        <v>638.49880716554162</v>
      </c>
      <c r="R357" s="18">
        <f t="shared" si="96"/>
        <v>0</v>
      </c>
      <c r="S357" s="18">
        <f t="shared" si="97"/>
        <v>0</v>
      </c>
      <c r="T357" s="18">
        <f t="shared" si="98"/>
        <v>0</v>
      </c>
      <c r="U357" s="16"/>
      <c r="V357" s="18">
        <f t="shared" si="91"/>
        <v>644.89250366687588</v>
      </c>
      <c r="W357" s="16"/>
      <c r="X357" s="18">
        <f t="shared" si="92"/>
        <v>102.16148212411748</v>
      </c>
      <c r="Y357" s="18">
        <f t="shared" si="93"/>
        <v>10.107496333124118</v>
      </c>
      <c r="Z357" s="18"/>
      <c r="AA357" s="18">
        <f t="shared" si="94"/>
        <v>2.496459269048981E-5</v>
      </c>
    </row>
    <row r="358" spans="2:27" x14ac:dyDescent="0.35">
      <c r="B358" s="26">
        <v>91.1</v>
      </c>
      <c r="C358" s="26">
        <v>628</v>
      </c>
      <c r="D358" s="18">
        <f t="shared" si="84"/>
        <v>-1.4566924996374881</v>
      </c>
      <c r="E358" s="18">
        <f t="shared" si="99"/>
        <v>-8.5425374538950489</v>
      </c>
      <c r="F358" s="18">
        <f t="shared" si="99"/>
        <v>1000013.8155105581</v>
      </c>
      <c r="G358" s="18">
        <f t="shared" si="99"/>
        <v>1000013.8155105581</v>
      </c>
      <c r="H358" s="18">
        <f t="shared" si="99"/>
        <v>1000013.8155105581</v>
      </c>
      <c r="I358" s="16"/>
      <c r="J358" s="18">
        <f t="shared" si="86"/>
        <v>0.19225260757771559</v>
      </c>
      <c r="K358" s="18">
        <f t="shared" si="87"/>
        <v>1.9495682957118915E-4</v>
      </c>
      <c r="L358" s="18">
        <f t="shared" si="88"/>
        <v>999999.99999309238</v>
      </c>
      <c r="M358" s="18">
        <f t="shared" si="89"/>
        <v>999999.99999309238</v>
      </c>
      <c r="N358" s="18">
        <f t="shared" si="90"/>
        <v>999999.99999309238</v>
      </c>
      <c r="O358" s="16"/>
      <c r="P358" s="18">
        <f t="shared" si="85"/>
        <v>6.3053335274988287</v>
      </c>
      <c r="Q358" s="18">
        <f t="shared" si="95"/>
        <v>637.30951224371904</v>
      </c>
      <c r="R358" s="18">
        <f t="shared" si="96"/>
        <v>0</v>
      </c>
      <c r="S358" s="18">
        <f t="shared" si="97"/>
        <v>0</v>
      </c>
      <c r="T358" s="18">
        <f t="shared" si="98"/>
        <v>0</v>
      </c>
      <c r="U358" s="16"/>
      <c r="V358" s="18">
        <f t="shared" si="91"/>
        <v>643.61484577121792</v>
      </c>
      <c r="W358" s="16"/>
      <c r="X358" s="18">
        <f t="shared" si="92"/>
        <v>243.82340845892202</v>
      </c>
      <c r="Y358" s="18">
        <f t="shared" si="93"/>
        <v>15.614845771217915</v>
      </c>
      <c r="Z358" s="18"/>
      <c r="AA358" s="18">
        <f t="shared" si="94"/>
        <v>3.856724274296955E-5</v>
      </c>
    </row>
    <row r="359" spans="2:27" x14ac:dyDescent="0.35">
      <c r="B359" s="26">
        <v>91.4</v>
      </c>
      <c r="C359" s="26">
        <v>646</v>
      </c>
      <c r="D359" s="18">
        <f t="shared" si="84"/>
        <v>-1.4424080708146452</v>
      </c>
      <c r="E359" s="18">
        <f t="shared" ref="E359:H359" si="100">D$23/(D$21*$A$21)-LN((D$21*$A$21)/D$23)+$B359*D$22</f>
        <v>-8.5406730745939861</v>
      </c>
      <c r="F359" s="18">
        <f t="shared" si="100"/>
        <v>1000013.8155105581</v>
      </c>
      <c r="G359" s="18">
        <f t="shared" si="100"/>
        <v>1000013.8155105581</v>
      </c>
      <c r="H359" s="18">
        <f t="shared" si="100"/>
        <v>1000013.8155105581</v>
      </c>
      <c r="I359" s="16"/>
      <c r="J359" s="18">
        <f t="shared" si="86"/>
        <v>0.19456759147381364</v>
      </c>
      <c r="K359" s="18">
        <f t="shared" si="87"/>
        <v>1.9532057103951745E-4</v>
      </c>
      <c r="L359" s="18">
        <f t="shared" si="88"/>
        <v>999999.99999309238</v>
      </c>
      <c r="M359" s="18">
        <f t="shared" si="89"/>
        <v>999999.99999309238</v>
      </c>
      <c r="N359" s="18">
        <f t="shared" si="90"/>
        <v>999999.99999309238</v>
      </c>
      <c r="O359" s="16"/>
      <c r="P359" s="18">
        <f t="shared" si="85"/>
        <v>6.2182381781047287</v>
      </c>
      <c r="Q359" s="18">
        <f t="shared" si="95"/>
        <v>636.12243255315707</v>
      </c>
      <c r="R359" s="18">
        <f t="shared" si="96"/>
        <v>0</v>
      </c>
      <c r="S359" s="18">
        <f t="shared" si="97"/>
        <v>0</v>
      </c>
      <c r="T359" s="18">
        <f t="shared" si="98"/>
        <v>0</v>
      </c>
      <c r="U359" s="16"/>
      <c r="V359" s="18">
        <f t="shared" si="91"/>
        <v>642.34067073126175</v>
      </c>
      <c r="W359" s="16"/>
      <c r="X359" s="18">
        <f t="shared" si="92"/>
        <v>13.390690697044395</v>
      </c>
      <c r="Y359" s="18">
        <f t="shared" si="93"/>
        <v>3.6593292687382473</v>
      </c>
      <c r="Z359" s="18"/>
      <c r="AA359" s="18">
        <f t="shared" si="94"/>
        <v>9.0382090384792488E-6</v>
      </c>
    </row>
    <row r="360" spans="2:27" x14ac:dyDescent="0.35">
      <c r="B360" s="26">
        <v>91.699999999999989</v>
      </c>
      <c r="C360" s="26">
        <v>616</v>
      </c>
      <c r="D360" s="18">
        <f t="shared" ref="D360:H423" si="101">C$23/(C$21*$A$21)-LN((C$21*$A$21)/C$23)+$B360*C$22</f>
        <v>-1.4281236419918031</v>
      </c>
      <c r="E360" s="18">
        <f t="shared" si="101"/>
        <v>-8.538808695292925</v>
      </c>
      <c r="F360" s="18">
        <f t="shared" si="101"/>
        <v>1000013.8155105581</v>
      </c>
      <c r="G360" s="18">
        <f t="shared" si="101"/>
        <v>1000013.8155105581</v>
      </c>
      <c r="H360" s="18">
        <f t="shared" si="101"/>
        <v>1000013.8155105581</v>
      </c>
      <c r="I360" s="16"/>
      <c r="J360" s="18">
        <f t="shared" si="86"/>
        <v>0.19690586501564769</v>
      </c>
      <c r="K360" s="18">
        <f t="shared" si="87"/>
        <v>1.9568499102713853E-4</v>
      </c>
      <c r="L360" s="18">
        <f t="shared" si="88"/>
        <v>999999.99999309238</v>
      </c>
      <c r="M360" s="18">
        <f t="shared" si="89"/>
        <v>999999.99999309238</v>
      </c>
      <c r="N360" s="18">
        <f t="shared" si="90"/>
        <v>999999.99999309238</v>
      </c>
      <c r="O360" s="16"/>
      <c r="P360" s="18">
        <f t="shared" ref="P360:P423" si="102">(C$23*C$22)/(J360+J360^2)</f>
        <v>6.1323923988259441</v>
      </c>
      <c r="Q360" s="18">
        <f t="shared" si="95"/>
        <v>634.93756396767446</v>
      </c>
      <c r="R360" s="18">
        <f t="shared" si="96"/>
        <v>0</v>
      </c>
      <c r="S360" s="18">
        <f t="shared" si="97"/>
        <v>0</v>
      </c>
      <c r="T360" s="18">
        <f t="shared" si="98"/>
        <v>0</v>
      </c>
      <c r="U360" s="16"/>
      <c r="V360" s="18">
        <f t="shared" si="91"/>
        <v>641.06995636650038</v>
      </c>
      <c r="W360" s="16"/>
      <c r="X360" s="18">
        <f t="shared" si="92"/>
        <v>628.50271221823289</v>
      </c>
      <c r="Y360" s="18">
        <f t="shared" si="93"/>
        <v>25.069956366500378</v>
      </c>
      <c r="Z360" s="18"/>
      <c r="AA360" s="18">
        <f t="shared" si="94"/>
        <v>6.1920502252073227E-5</v>
      </c>
    </row>
    <row r="361" spans="2:27" x14ac:dyDescent="0.35">
      <c r="B361" s="26">
        <v>92</v>
      </c>
      <c r="C361" s="26">
        <v>638</v>
      </c>
      <c r="D361" s="18">
        <f t="shared" si="101"/>
        <v>-1.413839213168961</v>
      </c>
      <c r="E361" s="18">
        <f t="shared" si="101"/>
        <v>-8.5369443159918639</v>
      </c>
      <c r="F361" s="18">
        <f t="shared" si="101"/>
        <v>1000013.8155105581</v>
      </c>
      <c r="G361" s="18">
        <f t="shared" si="101"/>
        <v>1000013.8155105581</v>
      </c>
      <c r="H361" s="18">
        <f t="shared" si="101"/>
        <v>1000013.8155105581</v>
      </c>
      <c r="I361" s="16"/>
      <c r="J361" s="18">
        <f t="shared" si="86"/>
        <v>0.19926757022481109</v>
      </c>
      <c r="K361" s="18">
        <f t="shared" si="87"/>
        <v>1.9605009079925919E-4</v>
      </c>
      <c r="L361" s="18">
        <f t="shared" si="88"/>
        <v>999999.99999309238</v>
      </c>
      <c r="M361" s="18">
        <f t="shared" si="89"/>
        <v>999999.99999309238</v>
      </c>
      <c r="N361" s="18">
        <f t="shared" si="90"/>
        <v>999999.99999309238</v>
      </c>
      <c r="O361" s="16"/>
      <c r="P361" s="18">
        <f t="shared" si="102"/>
        <v>6.0477783884385286</v>
      </c>
      <c r="Q361" s="18">
        <f t="shared" si="95"/>
        <v>633.75490236877226</v>
      </c>
      <c r="R361" s="18">
        <f t="shared" si="96"/>
        <v>0</v>
      </c>
      <c r="S361" s="18">
        <f t="shared" si="97"/>
        <v>0</v>
      </c>
      <c r="T361" s="18">
        <f t="shared" si="98"/>
        <v>0</v>
      </c>
      <c r="U361" s="16"/>
      <c r="V361" s="18">
        <f t="shared" si="91"/>
        <v>639.80268075721074</v>
      </c>
      <c r="W361" s="16"/>
      <c r="X361" s="18">
        <f t="shared" si="92"/>
        <v>3.2496579124178773</v>
      </c>
      <c r="Y361" s="18">
        <f t="shared" si="93"/>
        <v>1.8026807572107373</v>
      </c>
      <c r="Z361" s="18"/>
      <c r="AA361" s="18">
        <f t="shared" si="94"/>
        <v>4.4524568074554825E-6</v>
      </c>
    </row>
    <row r="362" spans="2:27" x14ac:dyDescent="0.35">
      <c r="B362" s="26">
        <v>92.199999999999989</v>
      </c>
      <c r="C362" s="26">
        <v>632</v>
      </c>
      <c r="D362" s="18">
        <f t="shared" si="101"/>
        <v>-1.4043162606203996</v>
      </c>
      <c r="E362" s="18">
        <f t="shared" si="101"/>
        <v>-8.5357013964578226</v>
      </c>
      <c r="F362" s="18">
        <f t="shared" si="101"/>
        <v>1000013.8155105581</v>
      </c>
      <c r="G362" s="18">
        <f t="shared" si="101"/>
        <v>1000013.8155105581</v>
      </c>
      <c r="H362" s="18">
        <f t="shared" si="101"/>
        <v>1000013.8155105581</v>
      </c>
      <c r="I362" s="16"/>
      <c r="J362" s="18">
        <f t="shared" si="86"/>
        <v>0.20085512773091307</v>
      </c>
      <c r="K362" s="18">
        <f t="shared" si="87"/>
        <v>1.9629386893125543E-4</v>
      </c>
      <c r="L362" s="18">
        <f t="shared" si="88"/>
        <v>999999.99999309238</v>
      </c>
      <c r="M362" s="18">
        <f t="shared" si="89"/>
        <v>999999.99999309238</v>
      </c>
      <c r="N362" s="18">
        <f t="shared" si="90"/>
        <v>999999.99999309238</v>
      </c>
      <c r="O362" s="16"/>
      <c r="P362" s="18">
        <f t="shared" si="102"/>
        <v>5.992044686560555</v>
      </c>
      <c r="Q362" s="18">
        <f t="shared" si="95"/>
        <v>632.96768537613968</v>
      </c>
      <c r="R362" s="18">
        <f t="shared" si="96"/>
        <v>0</v>
      </c>
      <c r="S362" s="18">
        <f t="shared" si="97"/>
        <v>0</v>
      </c>
      <c r="T362" s="18">
        <f t="shared" si="98"/>
        <v>0</v>
      </c>
      <c r="U362" s="16"/>
      <c r="V362" s="18">
        <f t="shared" si="91"/>
        <v>638.95973006270026</v>
      </c>
      <c r="W362" s="16"/>
      <c r="X362" s="18">
        <f t="shared" si="92"/>
        <v>48.437842545653758</v>
      </c>
      <c r="Y362" s="18">
        <f t="shared" si="93"/>
        <v>6.9597300627002596</v>
      </c>
      <c r="Z362" s="18"/>
      <c r="AA362" s="18">
        <f t="shared" si="94"/>
        <v>1.7189897529981672E-5</v>
      </c>
    </row>
    <row r="363" spans="2:27" x14ac:dyDescent="0.35">
      <c r="B363" s="26">
        <v>92.5</v>
      </c>
      <c r="C363" s="26">
        <v>587</v>
      </c>
      <c r="D363" s="18">
        <f t="shared" si="101"/>
        <v>-1.3900318317975566</v>
      </c>
      <c r="E363" s="18">
        <f t="shared" si="101"/>
        <v>-8.5338370171567597</v>
      </c>
      <c r="F363" s="18">
        <f t="shared" si="101"/>
        <v>1000013.8155105581</v>
      </c>
      <c r="G363" s="18">
        <f t="shared" si="101"/>
        <v>1000013.8155105581</v>
      </c>
      <c r="H363" s="18">
        <f t="shared" si="101"/>
        <v>1000013.8155105581</v>
      </c>
      <c r="I363" s="16"/>
      <c r="J363" s="18">
        <f t="shared" si="86"/>
        <v>0.20325619914134757</v>
      </c>
      <c r="K363" s="18">
        <f t="shared" si="87"/>
        <v>1.9666010449551712E-4</v>
      </c>
      <c r="L363" s="18">
        <f t="shared" si="88"/>
        <v>999999.99999309238</v>
      </c>
      <c r="M363" s="18">
        <f t="shared" si="89"/>
        <v>999999.99999309238</v>
      </c>
      <c r="N363" s="18">
        <f t="shared" si="90"/>
        <v>999999.99999309238</v>
      </c>
      <c r="O363" s="16"/>
      <c r="P363" s="18">
        <f t="shared" si="102"/>
        <v>5.909444742152532</v>
      </c>
      <c r="Q363" s="18">
        <f t="shared" si="95"/>
        <v>631.78869295681523</v>
      </c>
      <c r="R363" s="18">
        <f t="shared" si="96"/>
        <v>0</v>
      </c>
      <c r="S363" s="18">
        <f t="shared" si="97"/>
        <v>0</v>
      </c>
      <c r="T363" s="18">
        <f t="shared" si="98"/>
        <v>0</v>
      </c>
      <c r="U363" s="16"/>
      <c r="V363" s="18">
        <f t="shared" si="91"/>
        <v>637.6981376989678</v>
      </c>
      <c r="W363" s="16"/>
      <c r="X363" s="18">
        <f t="shared" si="92"/>
        <v>2570.3011661434998</v>
      </c>
      <c r="Y363" s="18">
        <f t="shared" si="93"/>
        <v>50.698137698967798</v>
      </c>
      <c r="Z363" s="18"/>
      <c r="AA363" s="18">
        <f t="shared" si="94"/>
        <v>1.2521976917996032E-4</v>
      </c>
    </row>
    <row r="364" spans="2:27" x14ac:dyDescent="0.35">
      <c r="B364" s="26">
        <v>92.799999999999983</v>
      </c>
      <c r="C364" s="26">
        <v>629</v>
      </c>
      <c r="D364" s="18">
        <f t="shared" si="101"/>
        <v>-1.3757474029747154</v>
      </c>
      <c r="E364" s="18">
        <f t="shared" si="101"/>
        <v>-8.5319726378556986</v>
      </c>
      <c r="F364" s="18">
        <f t="shared" si="101"/>
        <v>1000013.8155105581</v>
      </c>
      <c r="G364" s="18">
        <f t="shared" si="101"/>
        <v>1000013.8155105581</v>
      </c>
      <c r="H364" s="18">
        <f t="shared" si="101"/>
        <v>1000013.8155105581</v>
      </c>
      <c r="I364" s="16"/>
      <c r="J364" s="18">
        <f t="shared" si="86"/>
        <v>0.20568107696146559</v>
      </c>
      <c r="K364" s="18">
        <f t="shared" si="87"/>
        <v>1.9702702322969888E-4</v>
      </c>
      <c r="L364" s="18">
        <f t="shared" si="88"/>
        <v>999999.99999309238</v>
      </c>
      <c r="M364" s="18">
        <f t="shared" si="89"/>
        <v>999999.99999309238</v>
      </c>
      <c r="N364" s="18">
        <f t="shared" si="90"/>
        <v>999999.99999309238</v>
      </c>
      <c r="O364" s="16"/>
      <c r="P364" s="18">
        <f t="shared" si="102"/>
        <v>5.8280303070012653</v>
      </c>
      <c r="Q364" s="18">
        <f t="shared" si="95"/>
        <v>630.61189657887587</v>
      </c>
      <c r="R364" s="18">
        <f t="shared" si="96"/>
        <v>0</v>
      </c>
      <c r="S364" s="18">
        <f t="shared" si="97"/>
        <v>0</v>
      </c>
      <c r="T364" s="18">
        <f t="shared" si="98"/>
        <v>0</v>
      </c>
      <c r="U364" s="16"/>
      <c r="V364" s="18">
        <f t="shared" si="91"/>
        <v>636.43992688587718</v>
      </c>
      <c r="W364" s="16"/>
      <c r="X364" s="18">
        <f t="shared" si="92"/>
        <v>55.352512067198184</v>
      </c>
      <c r="Y364" s="18">
        <f t="shared" si="93"/>
        <v>7.4399268858771848</v>
      </c>
      <c r="Z364" s="18"/>
      <c r="AA364" s="18">
        <f t="shared" si="94"/>
        <v>1.837593982045399E-5</v>
      </c>
    </row>
    <row r="365" spans="2:27" x14ac:dyDescent="0.35">
      <c r="B365" s="26">
        <v>93.1</v>
      </c>
      <c r="C365" s="26">
        <v>649</v>
      </c>
      <c r="D365" s="18">
        <f t="shared" si="101"/>
        <v>-1.3614629741518725</v>
      </c>
      <c r="E365" s="18">
        <f t="shared" si="101"/>
        <v>-8.5301082585546375</v>
      </c>
      <c r="F365" s="18">
        <f t="shared" si="101"/>
        <v>1000013.8155105581</v>
      </c>
      <c r="G365" s="18">
        <f t="shared" si="101"/>
        <v>1000013.8155105581</v>
      </c>
      <c r="H365" s="18">
        <f t="shared" si="101"/>
        <v>1000013.8155105581</v>
      </c>
      <c r="I365" s="16"/>
      <c r="J365" s="18">
        <f t="shared" si="86"/>
        <v>0.20812990014284269</v>
      </c>
      <c r="K365" s="18">
        <f t="shared" si="87"/>
        <v>1.9739462640767241E-4</v>
      </c>
      <c r="L365" s="18">
        <f t="shared" si="88"/>
        <v>999999.99999309238</v>
      </c>
      <c r="M365" s="18">
        <f t="shared" si="89"/>
        <v>999999.99999309238</v>
      </c>
      <c r="N365" s="18">
        <f t="shared" si="90"/>
        <v>999999.99999309238</v>
      </c>
      <c r="O365" s="16"/>
      <c r="P365" s="18">
        <f t="shared" si="102"/>
        <v>5.7477844776547347</v>
      </c>
      <c r="Q365" s="18">
        <f t="shared" si="95"/>
        <v>629.43729215188148</v>
      </c>
      <c r="R365" s="18">
        <f t="shared" si="96"/>
        <v>0</v>
      </c>
      <c r="S365" s="18">
        <f t="shared" si="97"/>
        <v>0</v>
      </c>
      <c r="T365" s="18">
        <f t="shared" si="98"/>
        <v>0</v>
      </c>
      <c r="U365" s="16"/>
      <c r="V365" s="18">
        <f t="shared" si="91"/>
        <v>635.18507662953618</v>
      </c>
      <c r="W365" s="16"/>
      <c r="X365" s="18">
        <f t="shared" si="92"/>
        <v>190.85210773178733</v>
      </c>
      <c r="Y365" s="18">
        <f t="shared" si="93"/>
        <v>13.814923370463816</v>
      </c>
      <c r="Z365" s="18"/>
      <c r="AA365" s="18">
        <f t="shared" si="94"/>
        <v>3.412159882400451E-5</v>
      </c>
    </row>
    <row r="366" spans="2:27" x14ac:dyDescent="0.35">
      <c r="B366" s="26">
        <v>93.4</v>
      </c>
      <c r="C366" s="26">
        <v>650</v>
      </c>
      <c r="D366" s="18">
        <f t="shared" si="101"/>
        <v>-1.3471785453290295</v>
      </c>
      <c r="E366" s="18">
        <f t="shared" si="101"/>
        <v>-8.5282438792535746</v>
      </c>
      <c r="F366" s="18">
        <f t="shared" si="101"/>
        <v>1000013.8155105581</v>
      </c>
      <c r="G366" s="18">
        <f t="shared" si="101"/>
        <v>1000013.8155105581</v>
      </c>
      <c r="H366" s="18">
        <f t="shared" si="101"/>
        <v>1000013.8155105581</v>
      </c>
      <c r="I366" s="16"/>
      <c r="J366" s="18">
        <f t="shared" si="86"/>
        <v>0.21060280673158241</v>
      </c>
      <c r="K366" s="18">
        <f t="shared" si="87"/>
        <v>1.9776291530568317E-4</v>
      </c>
      <c r="L366" s="18">
        <f t="shared" si="88"/>
        <v>999999.99999309238</v>
      </c>
      <c r="M366" s="18">
        <f t="shared" si="89"/>
        <v>999999.99999309238</v>
      </c>
      <c r="N366" s="18">
        <f t="shared" si="90"/>
        <v>999999.99999309238</v>
      </c>
      <c r="O366" s="16"/>
      <c r="P366" s="18">
        <f t="shared" si="102"/>
        <v>5.6686905874791558</v>
      </c>
      <c r="Q366" s="18">
        <f t="shared" si="95"/>
        <v>628.26487559300983</v>
      </c>
      <c r="R366" s="18">
        <f t="shared" si="96"/>
        <v>0</v>
      </c>
      <c r="S366" s="18">
        <f t="shared" si="97"/>
        <v>0</v>
      </c>
      <c r="T366" s="18">
        <f t="shared" si="98"/>
        <v>0</v>
      </c>
      <c r="U366" s="16"/>
      <c r="V366" s="18">
        <f t="shared" si="91"/>
        <v>633.93356618048904</v>
      </c>
      <c r="W366" s="16"/>
      <c r="X366" s="18">
        <f t="shared" si="92"/>
        <v>258.13029567672561</v>
      </c>
      <c r="Y366" s="18">
        <f t="shared" si="93"/>
        <v>16.066433819510962</v>
      </c>
      <c r="Z366" s="18"/>
      <c r="AA366" s="18">
        <f t="shared" si="94"/>
        <v>3.9682623972699326E-5</v>
      </c>
    </row>
    <row r="367" spans="2:27" x14ac:dyDescent="0.35">
      <c r="B367" s="26">
        <v>93.699999999999989</v>
      </c>
      <c r="C367" s="26">
        <v>681</v>
      </c>
      <c r="D367" s="18">
        <f t="shared" si="101"/>
        <v>-1.3328941165061883</v>
      </c>
      <c r="E367" s="18">
        <f t="shared" si="101"/>
        <v>-8.5263794999525135</v>
      </c>
      <c r="F367" s="18">
        <f t="shared" si="101"/>
        <v>1000013.8155105581</v>
      </c>
      <c r="G367" s="18">
        <f t="shared" si="101"/>
        <v>1000013.8155105581</v>
      </c>
      <c r="H367" s="18">
        <f t="shared" si="101"/>
        <v>1000013.8155105581</v>
      </c>
      <c r="I367" s="16"/>
      <c r="J367" s="18">
        <f t="shared" si="86"/>
        <v>0.21309993383929668</v>
      </c>
      <c r="K367" s="18">
        <f t="shared" si="87"/>
        <v>1.9813189120235317E-4</v>
      </c>
      <c r="L367" s="18">
        <f t="shared" si="88"/>
        <v>999999.99999309238</v>
      </c>
      <c r="M367" s="18">
        <f t="shared" si="89"/>
        <v>999999.99999309238</v>
      </c>
      <c r="N367" s="18">
        <f t="shared" si="90"/>
        <v>999999.99999309238</v>
      </c>
      <c r="O367" s="16"/>
      <c r="P367" s="18">
        <f t="shared" si="102"/>
        <v>5.590732203312883</v>
      </c>
      <c r="Q367" s="18">
        <f t="shared" si="95"/>
        <v>627.09464282704755</v>
      </c>
      <c r="R367" s="18">
        <f t="shared" si="96"/>
        <v>0</v>
      </c>
      <c r="S367" s="18">
        <f t="shared" si="97"/>
        <v>0</v>
      </c>
      <c r="T367" s="18">
        <f t="shared" si="98"/>
        <v>0</v>
      </c>
      <c r="U367" s="16"/>
      <c r="V367" s="18">
        <f t="shared" si="91"/>
        <v>632.68537503036043</v>
      </c>
      <c r="W367" s="16"/>
      <c r="X367" s="18">
        <f t="shared" si="92"/>
        <v>2334.3029859569192</v>
      </c>
      <c r="Y367" s="18">
        <f t="shared" si="93"/>
        <v>48.314624969639567</v>
      </c>
      <c r="Z367" s="18"/>
      <c r="AA367" s="18">
        <f t="shared" si="94"/>
        <v>1.1933271045649847E-4</v>
      </c>
    </row>
    <row r="368" spans="2:27" x14ac:dyDescent="0.35">
      <c r="B368" s="26">
        <v>94</v>
      </c>
      <c r="C368" s="26">
        <v>605</v>
      </c>
      <c r="D368" s="18">
        <f t="shared" si="101"/>
        <v>-1.3186096876833453</v>
      </c>
      <c r="E368" s="18">
        <f t="shared" si="101"/>
        <v>-8.5245151206514524</v>
      </c>
      <c r="F368" s="18">
        <f t="shared" si="101"/>
        <v>1000013.8155105581</v>
      </c>
      <c r="G368" s="18">
        <f t="shared" si="101"/>
        <v>1000013.8155105581</v>
      </c>
      <c r="H368" s="18">
        <f t="shared" si="101"/>
        <v>1000013.8155105581</v>
      </c>
      <c r="I368" s="16"/>
      <c r="J368" s="18">
        <f t="shared" si="86"/>
        <v>0.21562141761421974</v>
      </c>
      <c r="K368" s="18">
        <f t="shared" si="87"/>
        <v>1.9850155537868793E-4</v>
      </c>
      <c r="L368" s="18">
        <f t="shared" si="88"/>
        <v>999999.99999309238</v>
      </c>
      <c r="M368" s="18">
        <f t="shared" si="89"/>
        <v>999999.99999309238</v>
      </c>
      <c r="N368" s="18">
        <f t="shared" si="90"/>
        <v>999999.99999309238</v>
      </c>
      <c r="O368" s="16"/>
      <c r="P368" s="18">
        <f t="shared" si="102"/>
        <v>5.5138931221693568</v>
      </c>
      <c r="Q368" s="18">
        <f t="shared" si="95"/>
        <v>625.92658978636837</v>
      </c>
      <c r="R368" s="18">
        <f t="shared" si="96"/>
        <v>0</v>
      </c>
      <c r="S368" s="18">
        <f t="shared" si="97"/>
        <v>0</v>
      </c>
      <c r="T368" s="18">
        <f t="shared" si="98"/>
        <v>0</v>
      </c>
      <c r="U368" s="16"/>
      <c r="V368" s="18">
        <f t="shared" si="91"/>
        <v>631.44048290853777</v>
      </c>
      <c r="W368" s="16"/>
      <c r="X368" s="18">
        <f t="shared" si="92"/>
        <v>699.09913643667812</v>
      </c>
      <c r="Y368" s="18">
        <f t="shared" si="93"/>
        <v>26.440482908537774</v>
      </c>
      <c r="Z368" s="18"/>
      <c r="AA368" s="18">
        <f t="shared" si="94"/>
        <v>6.5305577622453665E-5</v>
      </c>
    </row>
    <row r="369" spans="2:27" x14ac:dyDescent="0.35">
      <c r="B369" s="26">
        <v>94.199999999999989</v>
      </c>
      <c r="C369" s="26">
        <v>660</v>
      </c>
      <c r="D369" s="18">
        <f t="shared" si="101"/>
        <v>-1.3090867351347839</v>
      </c>
      <c r="E369" s="18">
        <f t="shared" si="101"/>
        <v>-8.5232722011174111</v>
      </c>
      <c r="F369" s="18">
        <f t="shared" si="101"/>
        <v>1000013.8155105581</v>
      </c>
      <c r="G369" s="18">
        <f t="shared" si="101"/>
        <v>1000013.8155105581</v>
      </c>
      <c r="H369" s="18">
        <f t="shared" si="101"/>
        <v>1000013.8155105581</v>
      </c>
      <c r="I369" s="16"/>
      <c r="J369" s="18">
        <f t="shared" si="86"/>
        <v>0.21731600506473772</v>
      </c>
      <c r="K369" s="18">
        <f t="shared" si="87"/>
        <v>1.9874838117417816E-4</v>
      </c>
      <c r="L369" s="18">
        <f t="shared" si="88"/>
        <v>999999.99999309238</v>
      </c>
      <c r="M369" s="18">
        <f t="shared" si="89"/>
        <v>999999.99999309238</v>
      </c>
      <c r="N369" s="18">
        <f t="shared" si="90"/>
        <v>999999.99999309238</v>
      </c>
      <c r="O369" s="16"/>
      <c r="P369" s="18">
        <f t="shared" si="102"/>
        <v>5.4632810044322806</v>
      </c>
      <c r="Q369" s="18">
        <f t="shared" si="95"/>
        <v>625.14909671246539</v>
      </c>
      <c r="R369" s="18">
        <f t="shared" si="96"/>
        <v>0</v>
      </c>
      <c r="S369" s="18">
        <f t="shared" si="97"/>
        <v>0</v>
      </c>
      <c r="T369" s="18">
        <f t="shared" si="98"/>
        <v>0</v>
      </c>
      <c r="U369" s="16"/>
      <c r="V369" s="18">
        <f t="shared" si="91"/>
        <v>630.61237771689764</v>
      </c>
      <c r="W369" s="16"/>
      <c r="X369" s="18">
        <f t="shared" si="92"/>
        <v>863.6323434542943</v>
      </c>
      <c r="Y369" s="18">
        <f t="shared" si="93"/>
        <v>29.38762228310236</v>
      </c>
      <c r="Z369" s="18"/>
      <c r="AA369" s="18">
        <f t="shared" si="94"/>
        <v>7.2584742676117228E-5</v>
      </c>
    </row>
    <row r="370" spans="2:27" x14ac:dyDescent="0.35">
      <c r="B370" s="26">
        <v>94.5</v>
      </c>
      <c r="C370" s="26">
        <v>570</v>
      </c>
      <c r="D370" s="18">
        <f t="shared" si="101"/>
        <v>-1.2948023063119409</v>
      </c>
      <c r="E370" s="18">
        <f t="shared" si="101"/>
        <v>-8.52140782181635</v>
      </c>
      <c r="F370" s="18">
        <f t="shared" si="101"/>
        <v>1000013.8155105581</v>
      </c>
      <c r="G370" s="18">
        <f t="shared" si="101"/>
        <v>1000013.8155105581</v>
      </c>
      <c r="H370" s="18">
        <f t="shared" si="101"/>
        <v>1000013.8155105581</v>
      </c>
      <c r="I370" s="16"/>
      <c r="J370" s="18">
        <f t="shared" ref="J370:J433" si="103">lmb_2(D370)</f>
        <v>0.21987838312906635</v>
      </c>
      <c r="K370" s="18">
        <f t="shared" ref="K370:K433" si="104">lmb_2(E370)</f>
        <v>1.9911919533645002E-4</v>
      </c>
      <c r="L370" s="18">
        <f t="shared" ref="L370:L433" si="105">lmb_2(F370)</f>
        <v>999999.99999309238</v>
      </c>
      <c r="M370" s="18">
        <f t="shared" ref="M370:M433" si="106">lmb_2(G370)</f>
        <v>999999.99999309238</v>
      </c>
      <c r="N370" s="18">
        <f t="shared" ref="N370:N433" si="107">lmb_2(H370)</f>
        <v>999999.99999309238</v>
      </c>
      <c r="O370" s="16"/>
      <c r="P370" s="18">
        <f t="shared" si="102"/>
        <v>5.3882720365827224</v>
      </c>
      <c r="Q370" s="18">
        <f t="shared" si="95"/>
        <v>623.98466752866261</v>
      </c>
      <c r="R370" s="18">
        <f t="shared" si="96"/>
        <v>0</v>
      </c>
      <c r="S370" s="18">
        <f t="shared" si="97"/>
        <v>0</v>
      </c>
      <c r="T370" s="18">
        <f t="shared" si="98"/>
        <v>0</v>
      </c>
      <c r="U370" s="16"/>
      <c r="V370" s="18">
        <f t="shared" ref="V370:V433" si="108">SUM(P370:T370)</f>
        <v>629.37293956524536</v>
      </c>
      <c r="W370" s="16"/>
      <c r="X370" s="18">
        <f t="shared" ref="X370:X433" si="109">(V370-C370)^2</f>
        <v>3525.145952618278</v>
      </c>
      <c r="Y370" s="18">
        <f t="shared" ref="Y370:Y433" si="110">ABS(V370-C370)</f>
        <v>59.37293956524536</v>
      </c>
      <c r="Z370" s="18"/>
      <c r="AA370" s="18">
        <f t="shared" ref="AA370:AA433" si="111">Y370/$Z$39</f>
        <v>1.4664573740441606E-4</v>
      </c>
    </row>
    <row r="371" spans="2:27" x14ac:dyDescent="0.35">
      <c r="B371" s="26">
        <v>94.799999999999983</v>
      </c>
      <c r="C371" s="26">
        <v>647</v>
      </c>
      <c r="D371" s="18">
        <f t="shared" si="101"/>
        <v>-1.2805178774890997</v>
      </c>
      <c r="E371" s="18">
        <f t="shared" si="101"/>
        <v>-8.5195434425152872</v>
      </c>
      <c r="F371" s="18">
        <f t="shared" si="101"/>
        <v>1000013.8155105581</v>
      </c>
      <c r="G371" s="18">
        <f t="shared" si="101"/>
        <v>1000013.8155105581</v>
      </c>
      <c r="H371" s="18">
        <f t="shared" si="101"/>
        <v>1000013.8155105581</v>
      </c>
      <c r="I371" s="16"/>
      <c r="J371" s="18">
        <f t="shared" si="103"/>
        <v>0.22246547599469926</v>
      </c>
      <c r="K371" s="18">
        <f t="shared" si="104"/>
        <v>1.9949070120608102E-4</v>
      </c>
      <c r="L371" s="18">
        <f t="shared" si="105"/>
        <v>999999.99999309238</v>
      </c>
      <c r="M371" s="18">
        <f t="shared" si="106"/>
        <v>999999.99999309238</v>
      </c>
      <c r="N371" s="18">
        <f t="shared" si="107"/>
        <v>999999.99999309238</v>
      </c>
      <c r="O371" s="16"/>
      <c r="P371" s="18">
        <f t="shared" si="102"/>
        <v>5.3143402645366855</v>
      </c>
      <c r="Q371" s="18">
        <f t="shared" si="95"/>
        <v>622.82240726014402</v>
      </c>
      <c r="R371" s="18">
        <f t="shared" si="96"/>
        <v>0</v>
      </c>
      <c r="S371" s="18">
        <f t="shared" si="97"/>
        <v>0</v>
      </c>
      <c r="T371" s="18">
        <f t="shared" si="98"/>
        <v>0</v>
      </c>
      <c r="U371" s="16"/>
      <c r="V371" s="18">
        <f t="shared" si="108"/>
        <v>628.13674752468069</v>
      </c>
      <c r="W371" s="16"/>
      <c r="X371" s="18">
        <f t="shared" si="109"/>
        <v>355.82229394764022</v>
      </c>
      <c r="Y371" s="18">
        <f t="shared" si="110"/>
        <v>18.863252475319314</v>
      </c>
      <c r="Z371" s="18"/>
      <c r="AA371" s="18">
        <f t="shared" si="111"/>
        <v>4.6590510581829325E-5</v>
      </c>
    </row>
    <row r="372" spans="2:27" x14ac:dyDescent="0.35">
      <c r="B372" s="26">
        <v>95.1</v>
      </c>
      <c r="C372" s="26">
        <v>627</v>
      </c>
      <c r="D372" s="18">
        <f t="shared" si="101"/>
        <v>-1.2662334486662568</v>
      </c>
      <c r="E372" s="18">
        <f t="shared" si="101"/>
        <v>-8.5176790632142261</v>
      </c>
      <c r="F372" s="18">
        <f t="shared" si="101"/>
        <v>1000013.8155105581</v>
      </c>
      <c r="G372" s="18">
        <f t="shared" si="101"/>
        <v>1000013.8155105581</v>
      </c>
      <c r="H372" s="18">
        <f t="shared" si="101"/>
        <v>1000013.8155105581</v>
      </c>
      <c r="I372" s="16"/>
      <c r="J372" s="18">
        <f t="shared" si="103"/>
        <v>0.22507741603293083</v>
      </c>
      <c r="K372" s="18">
        <f t="shared" si="104"/>
        <v>1.998629000728487E-4</v>
      </c>
      <c r="L372" s="18">
        <f t="shared" si="105"/>
        <v>999999.99999309238</v>
      </c>
      <c r="M372" s="18">
        <f t="shared" si="106"/>
        <v>999999.99999309238</v>
      </c>
      <c r="N372" s="18">
        <f t="shared" si="107"/>
        <v>999999.99999309238</v>
      </c>
      <c r="O372" s="16"/>
      <c r="P372" s="18">
        <f t="shared" si="102"/>
        <v>5.2414703018485271</v>
      </c>
      <c r="Q372" s="18">
        <f t="shared" si="95"/>
        <v>621.66231186699781</v>
      </c>
      <c r="R372" s="18">
        <f t="shared" si="96"/>
        <v>0</v>
      </c>
      <c r="S372" s="18">
        <f t="shared" si="97"/>
        <v>0</v>
      </c>
      <c r="T372" s="18">
        <f t="shared" si="98"/>
        <v>0</v>
      </c>
      <c r="U372" s="16"/>
      <c r="V372" s="18">
        <f t="shared" si="108"/>
        <v>626.90378216884631</v>
      </c>
      <c r="W372" s="16"/>
      <c r="X372" s="18">
        <f t="shared" si="109"/>
        <v>9.2578710319208696E-3</v>
      </c>
      <c r="Y372" s="18">
        <f t="shared" si="110"/>
        <v>9.6217831153694533E-2</v>
      </c>
      <c r="Z372" s="18"/>
      <c r="AA372" s="18">
        <f t="shared" si="111"/>
        <v>2.3764925409296299E-7</v>
      </c>
    </row>
    <row r="373" spans="2:27" x14ac:dyDescent="0.35">
      <c r="B373" s="26">
        <v>95.4</v>
      </c>
      <c r="C373" s="26">
        <v>620</v>
      </c>
      <c r="D373" s="18">
        <f t="shared" si="101"/>
        <v>-1.2519490198434138</v>
      </c>
      <c r="E373" s="18">
        <f t="shared" si="101"/>
        <v>-8.5158146839131632</v>
      </c>
      <c r="F373" s="18">
        <f t="shared" si="101"/>
        <v>1000013.8155105581</v>
      </c>
      <c r="G373" s="18">
        <f t="shared" si="101"/>
        <v>1000013.8155105581</v>
      </c>
      <c r="H373" s="18">
        <f t="shared" si="101"/>
        <v>1000013.8155105581</v>
      </c>
      <c r="I373" s="16"/>
      <c r="J373" s="18">
        <f t="shared" si="103"/>
        <v>0.22771433451910345</v>
      </c>
      <c r="K373" s="18">
        <f t="shared" si="104"/>
        <v>2.0023579322893476E-4</v>
      </c>
      <c r="L373" s="18">
        <f t="shared" si="105"/>
        <v>999999.99999309238</v>
      </c>
      <c r="M373" s="18">
        <f t="shared" si="106"/>
        <v>999999.99999309238</v>
      </c>
      <c r="N373" s="18">
        <f t="shared" si="107"/>
        <v>999999.99999309238</v>
      </c>
      <c r="O373" s="16"/>
      <c r="P373" s="18">
        <f t="shared" si="102"/>
        <v>5.1696469774894638</v>
      </c>
      <c r="Q373" s="18">
        <f t="shared" si="95"/>
        <v>620.50437731683394</v>
      </c>
      <c r="R373" s="18">
        <f t="shared" si="96"/>
        <v>0</v>
      </c>
      <c r="S373" s="18">
        <f t="shared" si="97"/>
        <v>0</v>
      </c>
      <c r="T373" s="18">
        <f t="shared" si="98"/>
        <v>0</v>
      </c>
      <c r="U373" s="16"/>
      <c r="V373" s="18">
        <f t="shared" si="108"/>
        <v>625.67402429432343</v>
      </c>
      <c r="W373" s="16"/>
      <c r="X373" s="18">
        <f t="shared" si="109"/>
        <v>32.194551692572503</v>
      </c>
      <c r="Y373" s="18">
        <f t="shared" si="110"/>
        <v>5.6740242943234307</v>
      </c>
      <c r="Z373" s="18"/>
      <c r="AA373" s="18">
        <f t="shared" si="111"/>
        <v>1.4014321722731302E-5</v>
      </c>
    </row>
    <row r="374" spans="2:27" x14ac:dyDescent="0.35">
      <c r="B374" s="26">
        <v>95.699999999999989</v>
      </c>
      <c r="C374" s="26">
        <v>623</v>
      </c>
      <c r="D374" s="18">
        <f t="shared" si="101"/>
        <v>-1.2376645910205726</v>
      </c>
      <c r="E374" s="18">
        <f t="shared" si="101"/>
        <v>-8.5139503046121021</v>
      </c>
      <c r="F374" s="18">
        <f t="shared" si="101"/>
        <v>1000013.8155105581</v>
      </c>
      <c r="G374" s="18">
        <f t="shared" si="101"/>
        <v>1000013.8155105581</v>
      </c>
      <c r="H374" s="18">
        <f t="shared" si="101"/>
        <v>1000013.8155105581</v>
      </c>
      <c r="I374" s="16"/>
      <c r="J374" s="18">
        <f t="shared" si="103"/>
        <v>0.23037636160477565</v>
      </c>
      <c r="K374" s="18">
        <f t="shared" si="104"/>
        <v>2.006093819689273E-4</v>
      </c>
      <c r="L374" s="18">
        <f t="shared" si="105"/>
        <v>999999.99999309238</v>
      </c>
      <c r="M374" s="18">
        <f t="shared" si="106"/>
        <v>999999.99999309238</v>
      </c>
      <c r="N374" s="18">
        <f t="shared" si="107"/>
        <v>999999.99999309238</v>
      </c>
      <c r="O374" s="16"/>
      <c r="P374" s="18">
        <f t="shared" si="102"/>
        <v>5.0988553328153792</v>
      </c>
      <c r="Q374" s="18">
        <f t="shared" si="95"/>
        <v>619.34859958477648</v>
      </c>
      <c r="R374" s="18">
        <f t="shared" si="96"/>
        <v>0</v>
      </c>
      <c r="S374" s="18">
        <f t="shared" si="97"/>
        <v>0</v>
      </c>
      <c r="T374" s="18">
        <f t="shared" si="98"/>
        <v>0</v>
      </c>
      <c r="U374" s="16"/>
      <c r="V374" s="18">
        <f t="shared" si="108"/>
        <v>624.44745491759181</v>
      </c>
      <c r="W374" s="16"/>
      <c r="X374" s="18">
        <f t="shared" si="109"/>
        <v>2.0951257384607214</v>
      </c>
      <c r="Y374" s="18">
        <f t="shared" si="110"/>
        <v>1.4474549175918128</v>
      </c>
      <c r="Z374" s="18"/>
      <c r="AA374" s="18">
        <f t="shared" si="111"/>
        <v>3.5750814311062056E-6</v>
      </c>
    </row>
    <row r="375" spans="2:27" x14ac:dyDescent="0.35">
      <c r="B375" s="26">
        <v>96</v>
      </c>
      <c r="C375" s="26">
        <v>657</v>
      </c>
      <c r="D375" s="18">
        <f t="shared" si="101"/>
        <v>-1.2233801621977296</v>
      </c>
      <c r="E375" s="18">
        <f t="shared" si="101"/>
        <v>-8.512085925311041</v>
      </c>
      <c r="F375" s="18">
        <f t="shared" si="101"/>
        <v>1000013.8155105581</v>
      </c>
      <c r="G375" s="18">
        <f t="shared" si="101"/>
        <v>1000013.8155105581</v>
      </c>
      <c r="H375" s="18">
        <f t="shared" si="101"/>
        <v>1000013.8155105581</v>
      </c>
      <c r="I375" s="16"/>
      <c r="J375" s="18">
        <f t="shared" si="103"/>
        <v>0.2330636262901272</v>
      </c>
      <c r="K375" s="18">
        <f t="shared" si="104"/>
        <v>2.0098366758982731E-4</v>
      </c>
      <c r="L375" s="18">
        <f t="shared" si="105"/>
        <v>999999.99999309238</v>
      </c>
      <c r="M375" s="18">
        <f t="shared" si="106"/>
        <v>999999.99999309238</v>
      </c>
      <c r="N375" s="18">
        <f t="shared" si="107"/>
        <v>999999.99999309238</v>
      </c>
      <c r="O375" s="16"/>
      <c r="P375" s="18">
        <f t="shared" si="102"/>
        <v>5.0290806185791839</v>
      </c>
      <c r="Q375" s="18">
        <f t="shared" ref="Q375:Q438" si="112">(D$23*D$22)/(K375+K375^2)</f>
        <v>618.19497465344352</v>
      </c>
      <c r="R375" s="18">
        <f t="shared" ref="R375:R438" si="113">(E$23*E$22)/(L375+L375^2)</f>
        <v>0</v>
      </c>
      <c r="S375" s="18">
        <f t="shared" ref="S375:S438" si="114">(F$23*F$22)/(M375+M375^2)</f>
        <v>0</v>
      </c>
      <c r="T375" s="18">
        <f t="shared" ref="T375:T438" si="115">(G$23*G$22)/(N375+N375^2)</f>
        <v>0</v>
      </c>
      <c r="U375" s="16"/>
      <c r="V375" s="18">
        <f t="shared" si="108"/>
        <v>623.22405527202272</v>
      </c>
      <c r="W375" s="16"/>
      <c r="X375" s="18">
        <f t="shared" si="109"/>
        <v>1140.8144422673759</v>
      </c>
      <c r="Y375" s="18">
        <f t="shared" si="110"/>
        <v>33.775944727977276</v>
      </c>
      <c r="Z375" s="18"/>
      <c r="AA375" s="18">
        <f t="shared" si="111"/>
        <v>8.3423498270993127E-5</v>
      </c>
    </row>
    <row r="376" spans="2:27" x14ac:dyDescent="0.35">
      <c r="B376" s="26">
        <v>96.199999999999989</v>
      </c>
      <c r="C376" s="26">
        <v>602</v>
      </c>
      <c r="D376" s="18">
        <f t="shared" si="101"/>
        <v>-1.2138572096491691</v>
      </c>
      <c r="E376" s="18">
        <f t="shared" si="101"/>
        <v>-8.5108430057769997</v>
      </c>
      <c r="F376" s="18">
        <f t="shared" si="101"/>
        <v>1000013.8155105581</v>
      </c>
      <c r="G376" s="18">
        <f t="shared" si="101"/>
        <v>1000013.8155105581</v>
      </c>
      <c r="H376" s="18">
        <f t="shared" si="101"/>
        <v>1000013.8155105581</v>
      </c>
      <c r="I376" s="16"/>
      <c r="J376" s="18">
        <f t="shared" si="103"/>
        <v>0.23486922014010478</v>
      </c>
      <c r="K376" s="18">
        <f t="shared" si="104"/>
        <v>2.0123357913474167E-4</v>
      </c>
      <c r="L376" s="18">
        <f t="shared" si="105"/>
        <v>999999.99999309238</v>
      </c>
      <c r="M376" s="18">
        <f t="shared" si="106"/>
        <v>999999.99999309238</v>
      </c>
      <c r="N376" s="18">
        <f t="shared" si="107"/>
        <v>999999.99999309238</v>
      </c>
      <c r="O376" s="16"/>
      <c r="P376" s="18">
        <f t="shared" si="102"/>
        <v>4.9831219137413694</v>
      </c>
      <c r="Q376" s="18">
        <f t="shared" si="112"/>
        <v>617.42708538578665</v>
      </c>
      <c r="R376" s="18">
        <f t="shared" si="113"/>
        <v>0</v>
      </c>
      <c r="S376" s="18">
        <f t="shared" si="114"/>
        <v>0</v>
      </c>
      <c r="T376" s="18">
        <f t="shared" si="115"/>
        <v>0</v>
      </c>
      <c r="U376" s="16"/>
      <c r="V376" s="18">
        <f t="shared" si="108"/>
        <v>622.410207299528</v>
      </c>
      <c r="W376" s="16"/>
      <c r="X376" s="18">
        <f t="shared" si="109"/>
        <v>416.57656200970592</v>
      </c>
      <c r="Y376" s="18">
        <f t="shared" si="110"/>
        <v>20.410207299527997</v>
      </c>
      <c r="Z376" s="18"/>
      <c r="AA376" s="18">
        <f t="shared" si="111"/>
        <v>5.0411347693626849E-5</v>
      </c>
    </row>
    <row r="377" spans="2:27" x14ac:dyDescent="0.35">
      <c r="B377" s="26">
        <v>96.5</v>
      </c>
      <c r="C377" s="26">
        <v>600</v>
      </c>
      <c r="D377" s="18">
        <f t="shared" si="101"/>
        <v>-1.1995727808263261</v>
      </c>
      <c r="E377" s="18">
        <f t="shared" si="101"/>
        <v>-8.5089786264759368</v>
      </c>
      <c r="F377" s="18">
        <f t="shared" si="101"/>
        <v>1000013.8155105581</v>
      </c>
      <c r="G377" s="18">
        <f t="shared" si="101"/>
        <v>1000013.8155105581</v>
      </c>
      <c r="H377" s="18">
        <f t="shared" si="101"/>
        <v>1000013.8155105581</v>
      </c>
      <c r="I377" s="16"/>
      <c r="J377" s="18">
        <f t="shared" si="103"/>
        <v>0.23759883094491882</v>
      </c>
      <c r="K377" s="18">
        <f t="shared" si="104"/>
        <v>2.0160902911261006E-4</v>
      </c>
      <c r="L377" s="18">
        <f t="shared" si="105"/>
        <v>999999.99999309238</v>
      </c>
      <c r="M377" s="18">
        <f t="shared" si="106"/>
        <v>999999.99999309238</v>
      </c>
      <c r="N377" s="18">
        <f t="shared" si="107"/>
        <v>999999.99999309238</v>
      </c>
      <c r="O377" s="16"/>
      <c r="P377" s="18">
        <f t="shared" si="102"/>
        <v>4.9150098668868925</v>
      </c>
      <c r="Q377" s="18">
        <f t="shared" si="112"/>
        <v>616.27703954846538</v>
      </c>
      <c r="R377" s="18">
        <f t="shared" si="113"/>
        <v>0</v>
      </c>
      <c r="S377" s="18">
        <f t="shared" si="114"/>
        <v>0</v>
      </c>
      <c r="T377" s="18">
        <f t="shared" si="115"/>
        <v>0</v>
      </c>
      <c r="U377" s="16"/>
      <c r="V377" s="18">
        <f t="shared" si="108"/>
        <v>621.19204941535224</v>
      </c>
      <c r="W377" s="16"/>
      <c r="X377" s="18">
        <f t="shared" si="109"/>
        <v>449.10295842273138</v>
      </c>
      <c r="Y377" s="18">
        <f t="shared" si="110"/>
        <v>21.192049415352244</v>
      </c>
      <c r="Z377" s="18"/>
      <c r="AA377" s="18">
        <f t="shared" si="111"/>
        <v>5.2342426303653925E-5</v>
      </c>
    </row>
    <row r="378" spans="2:27" x14ac:dyDescent="0.35">
      <c r="B378" s="26">
        <v>96.799999999999983</v>
      </c>
      <c r="C378" s="26">
        <v>661</v>
      </c>
      <c r="D378" s="18">
        <f t="shared" si="101"/>
        <v>-1.1852883520034849</v>
      </c>
      <c r="E378" s="18">
        <f t="shared" si="101"/>
        <v>-8.5071142471748757</v>
      </c>
      <c r="F378" s="18">
        <f t="shared" si="101"/>
        <v>1000013.8155105581</v>
      </c>
      <c r="G378" s="18">
        <f t="shared" si="101"/>
        <v>1000013.8155105581</v>
      </c>
      <c r="H378" s="18">
        <f t="shared" si="101"/>
        <v>1000013.8155105581</v>
      </c>
      <c r="I378" s="16"/>
      <c r="J378" s="18">
        <f t="shared" si="103"/>
        <v>0.2403540175138339</v>
      </c>
      <c r="K378" s="18">
        <f t="shared" si="104"/>
        <v>2.0198517944187993E-4</v>
      </c>
      <c r="L378" s="18">
        <f t="shared" si="105"/>
        <v>999999.99999309238</v>
      </c>
      <c r="M378" s="18">
        <f t="shared" si="106"/>
        <v>999999.99999309238</v>
      </c>
      <c r="N378" s="18">
        <f t="shared" si="107"/>
        <v>999999.99999309238</v>
      </c>
      <c r="O378" s="16"/>
      <c r="P378" s="18">
        <f t="shared" si="102"/>
        <v>4.8478764206136695</v>
      </c>
      <c r="Q378" s="18">
        <f t="shared" si="112"/>
        <v>615.12913583540023</v>
      </c>
      <c r="R378" s="18">
        <f t="shared" si="113"/>
        <v>0</v>
      </c>
      <c r="S378" s="18">
        <f t="shared" si="114"/>
        <v>0</v>
      </c>
      <c r="T378" s="18">
        <f t="shared" si="115"/>
        <v>0</v>
      </c>
      <c r="U378" s="16"/>
      <c r="V378" s="18">
        <f t="shared" si="108"/>
        <v>619.97701225601395</v>
      </c>
      <c r="W378" s="16"/>
      <c r="X378" s="18">
        <f t="shared" si="109"/>
        <v>1682.8855234432297</v>
      </c>
      <c r="Y378" s="18">
        <f t="shared" si="110"/>
        <v>41.02298774398605</v>
      </c>
      <c r="Z378" s="18"/>
      <c r="AA378" s="18">
        <f t="shared" si="111"/>
        <v>1.0132303255152625E-4</v>
      </c>
    </row>
    <row r="379" spans="2:27" x14ac:dyDescent="0.35">
      <c r="B379" s="26">
        <v>97.1</v>
      </c>
      <c r="C379" s="26">
        <v>655</v>
      </c>
      <c r="D379" s="18">
        <f t="shared" si="101"/>
        <v>-1.1710039231806419</v>
      </c>
      <c r="E379" s="18">
        <f t="shared" si="101"/>
        <v>-8.5052498678738147</v>
      </c>
      <c r="F379" s="18">
        <f t="shared" si="101"/>
        <v>1000013.8155105581</v>
      </c>
      <c r="G379" s="18">
        <f t="shared" si="101"/>
        <v>1000013.8155105581</v>
      </c>
      <c r="H379" s="18">
        <f t="shared" si="101"/>
        <v>1000013.8155105581</v>
      </c>
      <c r="I379" s="16"/>
      <c r="J379" s="18">
        <f t="shared" si="103"/>
        <v>0.2431349043934517</v>
      </c>
      <c r="K379" s="18">
        <f t="shared" si="104"/>
        <v>2.0236203142843479E-4</v>
      </c>
      <c r="L379" s="18">
        <f t="shared" si="105"/>
        <v>999999.99999309238</v>
      </c>
      <c r="M379" s="18">
        <f t="shared" si="106"/>
        <v>999999.99999309238</v>
      </c>
      <c r="N379" s="18">
        <f t="shared" si="107"/>
        <v>999999.99999309238</v>
      </c>
      <c r="O379" s="16"/>
      <c r="P379" s="18">
        <f t="shared" si="102"/>
        <v>4.7817075686056114</v>
      </c>
      <c r="Q379" s="18">
        <f t="shared" si="112"/>
        <v>613.98337025657827</v>
      </c>
      <c r="R379" s="18">
        <f t="shared" si="113"/>
        <v>0</v>
      </c>
      <c r="S379" s="18">
        <f t="shared" si="114"/>
        <v>0</v>
      </c>
      <c r="T379" s="18">
        <f t="shared" si="115"/>
        <v>0</v>
      </c>
      <c r="U379" s="16"/>
      <c r="V379" s="18">
        <f t="shared" si="108"/>
        <v>618.76507782518388</v>
      </c>
      <c r="W379" s="16"/>
      <c r="X379" s="18">
        <f t="shared" si="109"/>
        <v>1312.969585014981</v>
      </c>
      <c r="Y379" s="18">
        <f t="shared" si="110"/>
        <v>36.23492217481612</v>
      </c>
      <c r="Z379" s="18"/>
      <c r="AA379" s="18">
        <f t="shared" si="111"/>
        <v>8.9496947953507939E-5</v>
      </c>
    </row>
    <row r="380" spans="2:27" x14ac:dyDescent="0.35">
      <c r="B380" s="26">
        <v>97.4</v>
      </c>
      <c r="C380" s="26">
        <v>617</v>
      </c>
      <c r="D380" s="18">
        <f t="shared" si="101"/>
        <v>-1.156719494357799</v>
      </c>
      <c r="E380" s="18">
        <f t="shared" si="101"/>
        <v>-8.5033854885727518</v>
      </c>
      <c r="F380" s="18">
        <f t="shared" si="101"/>
        <v>1000013.8155105581</v>
      </c>
      <c r="G380" s="18">
        <f t="shared" si="101"/>
        <v>1000013.8155105581</v>
      </c>
      <c r="H380" s="18">
        <f t="shared" si="101"/>
        <v>1000013.8155105581</v>
      </c>
      <c r="I380" s="16"/>
      <c r="J380" s="18">
        <f t="shared" si="103"/>
        <v>0.24594161485379543</v>
      </c>
      <c r="K380" s="18">
        <f t="shared" si="104"/>
        <v>2.0273958638059099E-4</v>
      </c>
      <c r="L380" s="18">
        <f t="shared" si="105"/>
        <v>999999.99999309238</v>
      </c>
      <c r="M380" s="18">
        <f t="shared" si="106"/>
        <v>999999.99999309238</v>
      </c>
      <c r="N380" s="18">
        <f t="shared" si="107"/>
        <v>999999.99999309238</v>
      </c>
      <c r="O380" s="16"/>
      <c r="P380" s="18">
        <f t="shared" si="102"/>
        <v>4.7164895005717176</v>
      </c>
      <c r="Q380" s="18">
        <f t="shared" si="112"/>
        <v>612.83973882941939</v>
      </c>
      <c r="R380" s="18">
        <f t="shared" si="113"/>
        <v>0</v>
      </c>
      <c r="S380" s="18">
        <f t="shared" si="114"/>
        <v>0</v>
      </c>
      <c r="T380" s="18">
        <f t="shared" si="115"/>
        <v>0</v>
      </c>
      <c r="U380" s="16"/>
      <c r="V380" s="18">
        <f t="shared" si="108"/>
        <v>617.55622832999109</v>
      </c>
      <c r="W380" s="16"/>
      <c r="X380" s="18">
        <f t="shared" si="109"/>
        <v>0.30938995508467243</v>
      </c>
      <c r="Y380" s="18">
        <f t="shared" si="110"/>
        <v>0.55622832999108596</v>
      </c>
      <c r="Z380" s="18"/>
      <c r="AA380" s="18">
        <f t="shared" si="111"/>
        <v>1.3738331673326267E-6</v>
      </c>
    </row>
    <row r="381" spans="2:27" x14ac:dyDescent="0.35">
      <c r="B381" s="26">
        <v>97.699999999999989</v>
      </c>
      <c r="C381" s="26">
        <v>595</v>
      </c>
      <c r="D381" s="18">
        <f t="shared" si="101"/>
        <v>-1.1424350655349569</v>
      </c>
      <c r="E381" s="18">
        <f t="shared" si="101"/>
        <v>-8.5015211092716907</v>
      </c>
      <c r="F381" s="18">
        <f t="shared" si="101"/>
        <v>1000013.8155105581</v>
      </c>
      <c r="G381" s="18">
        <f t="shared" si="101"/>
        <v>1000013.8155105581</v>
      </c>
      <c r="H381" s="18">
        <f t="shared" si="101"/>
        <v>1000013.8155105581</v>
      </c>
      <c r="I381" s="16"/>
      <c r="J381" s="18">
        <f t="shared" si="103"/>
        <v>0.24877427086234374</v>
      </c>
      <c r="K381" s="18">
        <f t="shared" si="104"/>
        <v>2.0311784560910132E-4</v>
      </c>
      <c r="L381" s="18">
        <f t="shared" si="105"/>
        <v>999999.99999309238</v>
      </c>
      <c r="M381" s="18">
        <f t="shared" si="106"/>
        <v>999999.99999309238</v>
      </c>
      <c r="N381" s="18">
        <f t="shared" si="107"/>
        <v>999999.99999309238</v>
      </c>
      <c r="O381" s="16"/>
      <c r="P381" s="18">
        <f t="shared" si="102"/>
        <v>4.65220859949891</v>
      </c>
      <c r="Q381" s="18">
        <f t="shared" si="112"/>
        <v>611.69823757876441</v>
      </c>
      <c r="R381" s="18">
        <f t="shared" si="113"/>
        <v>0</v>
      </c>
      <c r="S381" s="18">
        <f t="shared" si="114"/>
        <v>0</v>
      </c>
      <c r="T381" s="18">
        <f t="shared" si="115"/>
        <v>0</v>
      </c>
      <c r="U381" s="16"/>
      <c r="V381" s="18">
        <f t="shared" si="108"/>
        <v>616.35044617826327</v>
      </c>
      <c r="W381" s="16"/>
      <c r="X381" s="18">
        <f t="shared" si="109"/>
        <v>455.84155201091664</v>
      </c>
      <c r="Y381" s="18">
        <f t="shared" si="110"/>
        <v>21.350446178263269</v>
      </c>
      <c r="Z381" s="18"/>
      <c r="AA381" s="18">
        <f t="shared" si="111"/>
        <v>5.2733651839557101E-5</v>
      </c>
    </row>
    <row r="382" spans="2:27" x14ac:dyDescent="0.35">
      <c r="B382" s="26">
        <v>98</v>
      </c>
      <c r="C382" s="26">
        <v>573</v>
      </c>
      <c r="D382" s="18">
        <f t="shared" si="101"/>
        <v>-1.1281506367121148</v>
      </c>
      <c r="E382" s="18">
        <f t="shared" si="101"/>
        <v>-8.4996567299706296</v>
      </c>
      <c r="F382" s="18">
        <f t="shared" si="101"/>
        <v>1000013.8155105581</v>
      </c>
      <c r="G382" s="18">
        <f t="shared" si="101"/>
        <v>1000013.8155105581</v>
      </c>
      <c r="H382" s="18">
        <f t="shared" si="101"/>
        <v>1000013.8155105581</v>
      </c>
      <c r="I382" s="16"/>
      <c r="J382" s="18">
        <f t="shared" si="103"/>
        <v>0.25163299305840059</v>
      </c>
      <c r="K382" s="18">
        <f t="shared" si="104"/>
        <v>2.034968104271618E-4</v>
      </c>
      <c r="L382" s="18">
        <f t="shared" si="105"/>
        <v>999999.99999309238</v>
      </c>
      <c r="M382" s="18">
        <f t="shared" si="106"/>
        <v>999999.99999309238</v>
      </c>
      <c r="N382" s="18">
        <f t="shared" si="107"/>
        <v>999999.99999309238</v>
      </c>
      <c r="O382" s="16"/>
      <c r="P382" s="18">
        <f t="shared" si="102"/>
        <v>4.5888514389452899</v>
      </c>
      <c r="Q382" s="18">
        <f t="shared" si="112"/>
        <v>610.55886253685514</v>
      </c>
      <c r="R382" s="18">
        <f t="shared" si="113"/>
        <v>0</v>
      </c>
      <c r="S382" s="18">
        <f t="shared" si="114"/>
        <v>0</v>
      </c>
      <c r="T382" s="18">
        <f t="shared" si="115"/>
        <v>0</v>
      </c>
      <c r="U382" s="16"/>
      <c r="V382" s="18">
        <f t="shared" si="108"/>
        <v>615.14771397580046</v>
      </c>
      <c r="W382" s="16"/>
      <c r="X382" s="18">
        <f t="shared" si="109"/>
        <v>1776.4297933858852</v>
      </c>
      <c r="Y382" s="18">
        <f t="shared" si="110"/>
        <v>42.147713975800457</v>
      </c>
      <c r="Z382" s="18"/>
      <c r="AA382" s="18">
        <f t="shared" si="111"/>
        <v>1.0410100360787363E-4</v>
      </c>
    </row>
    <row r="383" spans="2:27" x14ac:dyDescent="0.35">
      <c r="B383" s="26">
        <v>98.199999999999989</v>
      </c>
      <c r="C383" s="26">
        <v>597</v>
      </c>
      <c r="D383" s="18">
        <f t="shared" si="101"/>
        <v>-1.1186276841635534</v>
      </c>
      <c r="E383" s="18">
        <f t="shared" si="101"/>
        <v>-8.4984138104365883</v>
      </c>
      <c r="F383" s="18">
        <f t="shared" si="101"/>
        <v>1000013.8155105581</v>
      </c>
      <c r="G383" s="18">
        <f t="shared" si="101"/>
        <v>1000013.8155105581</v>
      </c>
      <c r="H383" s="18">
        <f t="shared" si="101"/>
        <v>1000013.8155105581</v>
      </c>
      <c r="I383" s="16"/>
      <c r="J383" s="18">
        <f t="shared" si="103"/>
        <v>0.25355334803409818</v>
      </c>
      <c r="K383" s="18">
        <f t="shared" si="104"/>
        <v>2.0374984628299578E-4</v>
      </c>
      <c r="L383" s="18">
        <f t="shared" si="105"/>
        <v>999999.99999309238</v>
      </c>
      <c r="M383" s="18">
        <f t="shared" si="106"/>
        <v>999999.99999309238</v>
      </c>
      <c r="N383" s="18">
        <f t="shared" si="107"/>
        <v>999999.99999309238</v>
      </c>
      <c r="O383" s="16"/>
      <c r="P383" s="18">
        <f t="shared" si="102"/>
        <v>4.5471199758843035</v>
      </c>
      <c r="Q383" s="18">
        <f t="shared" si="112"/>
        <v>609.80045844662266</v>
      </c>
      <c r="R383" s="18">
        <f t="shared" si="113"/>
        <v>0</v>
      </c>
      <c r="S383" s="18">
        <f t="shared" si="114"/>
        <v>0</v>
      </c>
      <c r="T383" s="18">
        <f t="shared" si="115"/>
        <v>0</v>
      </c>
      <c r="U383" s="16"/>
      <c r="V383" s="18">
        <f t="shared" si="108"/>
        <v>614.34757842250701</v>
      </c>
      <c r="W383" s="16"/>
      <c r="X383" s="18">
        <f t="shared" si="109"/>
        <v>300.93847712503089</v>
      </c>
      <c r="Y383" s="18">
        <f t="shared" si="110"/>
        <v>17.347578422507013</v>
      </c>
      <c r="Z383" s="18"/>
      <c r="AA383" s="18">
        <f t="shared" si="111"/>
        <v>4.2846934118091183E-5</v>
      </c>
    </row>
    <row r="384" spans="2:27" x14ac:dyDescent="0.35">
      <c r="B384" s="26">
        <v>98.5</v>
      </c>
      <c r="C384" s="26">
        <v>584</v>
      </c>
      <c r="D384" s="18">
        <f t="shared" si="101"/>
        <v>-1.1043432553407104</v>
      </c>
      <c r="E384" s="18">
        <f t="shared" si="101"/>
        <v>-8.4965494311355254</v>
      </c>
      <c r="F384" s="18">
        <f t="shared" si="101"/>
        <v>1000013.8155105581</v>
      </c>
      <c r="G384" s="18">
        <f t="shared" si="101"/>
        <v>1000013.8155105581</v>
      </c>
      <c r="H384" s="18">
        <f t="shared" si="101"/>
        <v>1000013.8155105581</v>
      </c>
      <c r="I384" s="16"/>
      <c r="J384" s="18">
        <f t="shared" si="103"/>
        <v>0.25645577827600258</v>
      </c>
      <c r="K384" s="18">
        <f t="shared" si="104"/>
        <v>2.0412999000849966E-4</v>
      </c>
      <c r="L384" s="18">
        <f t="shared" si="105"/>
        <v>999999.99999309238</v>
      </c>
      <c r="M384" s="18">
        <f t="shared" si="106"/>
        <v>999999.99999309238</v>
      </c>
      <c r="N384" s="18">
        <f t="shared" si="107"/>
        <v>999999.99999309238</v>
      </c>
      <c r="O384" s="16"/>
      <c r="P384" s="18">
        <f t="shared" si="102"/>
        <v>4.4852730554917306</v>
      </c>
      <c r="Q384" s="18">
        <f t="shared" si="112"/>
        <v>608.66461828878448</v>
      </c>
      <c r="R384" s="18">
        <f t="shared" si="113"/>
        <v>0</v>
      </c>
      <c r="S384" s="18">
        <f t="shared" si="114"/>
        <v>0</v>
      </c>
      <c r="T384" s="18">
        <f t="shared" si="115"/>
        <v>0</v>
      </c>
      <c r="U384" s="16"/>
      <c r="V384" s="18">
        <f t="shared" si="108"/>
        <v>613.14989134427617</v>
      </c>
      <c r="W384" s="16"/>
      <c r="X384" s="18">
        <f t="shared" si="109"/>
        <v>849.71616538310684</v>
      </c>
      <c r="Y384" s="18">
        <f t="shared" si="110"/>
        <v>29.14989134427617</v>
      </c>
      <c r="Z384" s="18"/>
      <c r="AA384" s="18">
        <f t="shared" si="111"/>
        <v>7.1997568972351054E-5</v>
      </c>
    </row>
    <row r="385" spans="2:27" x14ac:dyDescent="0.35">
      <c r="B385" s="26">
        <v>98.799999999999983</v>
      </c>
      <c r="C385" s="26">
        <v>620</v>
      </c>
      <c r="D385" s="18">
        <f t="shared" si="101"/>
        <v>-1.0900588265178692</v>
      </c>
      <c r="E385" s="18">
        <f t="shared" si="101"/>
        <v>-8.4946850518344643</v>
      </c>
      <c r="F385" s="18">
        <f t="shared" si="101"/>
        <v>1000013.8155105581</v>
      </c>
      <c r="G385" s="18">
        <f t="shared" si="101"/>
        <v>1000013.8155105581</v>
      </c>
      <c r="H385" s="18">
        <f t="shared" si="101"/>
        <v>1000013.8155105581</v>
      </c>
      <c r="I385" s="16"/>
      <c r="J385" s="18">
        <f t="shared" si="103"/>
        <v>0.25938458972583078</v>
      </c>
      <c r="K385" s="18">
        <f t="shared" si="104"/>
        <v>2.0451084283738173E-4</v>
      </c>
      <c r="L385" s="18">
        <f t="shared" si="105"/>
        <v>999999.99999309238</v>
      </c>
      <c r="M385" s="18">
        <f t="shared" si="106"/>
        <v>999999.99999309238</v>
      </c>
      <c r="N385" s="18">
        <f t="shared" si="107"/>
        <v>999999.99999309238</v>
      </c>
      <c r="O385" s="16"/>
      <c r="P385" s="18">
        <f t="shared" si="102"/>
        <v>4.4243149832969291</v>
      </c>
      <c r="Q385" s="18">
        <f t="shared" si="112"/>
        <v>607.53089379510197</v>
      </c>
      <c r="R385" s="18">
        <f t="shared" si="113"/>
        <v>0</v>
      </c>
      <c r="S385" s="18">
        <f t="shared" si="114"/>
        <v>0</v>
      </c>
      <c r="T385" s="18">
        <f t="shared" si="115"/>
        <v>0</v>
      </c>
      <c r="U385" s="16"/>
      <c r="V385" s="18">
        <f t="shared" si="108"/>
        <v>611.95520877839886</v>
      </c>
      <c r="W385" s="16"/>
      <c r="X385" s="18">
        <f t="shared" si="109"/>
        <v>64.718665799150841</v>
      </c>
      <c r="Y385" s="18">
        <f t="shared" si="110"/>
        <v>8.0447912216011446</v>
      </c>
      <c r="Z385" s="18"/>
      <c r="AA385" s="18">
        <f t="shared" si="111"/>
        <v>1.9869899479372318E-5</v>
      </c>
    </row>
    <row r="386" spans="2:27" x14ac:dyDescent="0.35">
      <c r="B386" s="26">
        <v>99.1</v>
      </c>
      <c r="C386" s="26">
        <v>614</v>
      </c>
      <c r="D386" s="18">
        <f t="shared" si="101"/>
        <v>-1.0757743976950263</v>
      </c>
      <c r="E386" s="18">
        <f t="shared" si="101"/>
        <v>-8.4928206725334032</v>
      </c>
      <c r="F386" s="18">
        <f t="shared" si="101"/>
        <v>1000013.8155105581</v>
      </c>
      <c r="G386" s="18">
        <f t="shared" si="101"/>
        <v>1000013.8155105581</v>
      </c>
      <c r="H386" s="18">
        <f t="shared" si="101"/>
        <v>1000013.8155105581</v>
      </c>
      <c r="I386" s="16"/>
      <c r="J386" s="18">
        <f t="shared" si="103"/>
        <v>0.26233989793944185</v>
      </c>
      <c r="K386" s="18">
        <f t="shared" si="104"/>
        <v>2.0489240609183106E-4</v>
      </c>
      <c r="L386" s="18">
        <f t="shared" si="105"/>
        <v>999999.99999309238</v>
      </c>
      <c r="M386" s="18">
        <f t="shared" si="106"/>
        <v>999999.99999309238</v>
      </c>
      <c r="N386" s="18">
        <f t="shared" si="107"/>
        <v>999999.99999309238</v>
      </c>
      <c r="O386" s="16"/>
      <c r="P386" s="18">
        <f t="shared" si="102"/>
        <v>4.3642330090984407</v>
      </c>
      <c r="Q386" s="18">
        <f t="shared" si="112"/>
        <v>606.39928102484828</v>
      </c>
      <c r="R386" s="18">
        <f t="shared" si="113"/>
        <v>0</v>
      </c>
      <c r="S386" s="18">
        <f t="shared" si="114"/>
        <v>0</v>
      </c>
      <c r="T386" s="18">
        <f t="shared" si="115"/>
        <v>0</v>
      </c>
      <c r="U386" s="16"/>
      <c r="V386" s="18">
        <f t="shared" si="108"/>
        <v>610.76351403394676</v>
      </c>
      <c r="W386" s="16"/>
      <c r="X386" s="18">
        <f t="shared" si="109"/>
        <v>10.474841408459557</v>
      </c>
      <c r="Y386" s="18">
        <f t="shared" si="110"/>
        <v>3.2364859660532375</v>
      </c>
      <c r="Z386" s="18"/>
      <c r="AA386" s="18">
        <f t="shared" si="111"/>
        <v>7.993824704760674E-6</v>
      </c>
    </row>
    <row r="387" spans="2:27" x14ac:dyDescent="0.35">
      <c r="B387" s="26">
        <v>99.4</v>
      </c>
      <c r="C387" s="26">
        <v>594</v>
      </c>
      <c r="D387" s="18">
        <f t="shared" si="101"/>
        <v>-1.0614899688721833</v>
      </c>
      <c r="E387" s="18">
        <f t="shared" si="101"/>
        <v>-8.4909562932323404</v>
      </c>
      <c r="F387" s="18">
        <f t="shared" si="101"/>
        <v>1000013.8155105581</v>
      </c>
      <c r="G387" s="18">
        <f t="shared" si="101"/>
        <v>1000013.8155105581</v>
      </c>
      <c r="H387" s="18">
        <f t="shared" si="101"/>
        <v>1000013.8155105581</v>
      </c>
      <c r="I387" s="16"/>
      <c r="J387" s="18">
        <f t="shared" si="103"/>
        <v>0.26532181702976743</v>
      </c>
      <c r="K387" s="18">
        <f t="shared" si="104"/>
        <v>2.0527468109649997E-4</v>
      </c>
      <c r="L387" s="18">
        <f t="shared" si="105"/>
        <v>999999.99999309238</v>
      </c>
      <c r="M387" s="18">
        <f t="shared" si="106"/>
        <v>999999.99999309238</v>
      </c>
      <c r="N387" s="18">
        <f t="shared" si="107"/>
        <v>999999.99999309238</v>
      </c>
      <c r="O387" s="16"/>
      <c r="P387" s="18">
        <f t="shared" si="102"/>
        <v>4.3050145611515465</v>
      </c>
      <c r="Q387" s="18">
        <f t="shared" si="112"/>
        <v>605.26977604463718</v>
      </c>
      <c r="R387" s="18">
        <f t="shared" si="113"/>
        <v>0</v>
      </c>
      <c r="S387" s="18">
        <f t="shared" si="114"/>
        <v>0</v>
      </c>
      <c r="T387" s="18">
        <f t="shared" si="115"/>
        <v>0</v>
      </c>
      <c r="U387" s="16"/>
      <c r="V387" s="18">
        <f t="shared" si="108"/>
        <v>609.57479060578873</v>
      </c>
      <c r="W387" s="16"/>
      <c r="X387" s="18">
        <f t="shared" si="109"/>
        <v>242.57410241416503</v>
      </c>
      <c r="Y387" s="18">
        <f t="shared" si="110"/>
        <v>15.574790605788735</v>
      </c>
      <c r="Z387" s="18"/>
      <c r="AA387" s="18">
        <f t="shared" si="111"/>
        <v>3.8468310143131485E-5</v>
      </c>
    </row>
    <row r="388" spans="2:27" x14ac:dyDescent="0.35">
      <c r="B388" s="26">
        <v>99.699999999999989</v>
      </c>
      <c r="C388" s="26">
        <v>587</v>
      </c>
      <c r="D388" s="18">
        <f t="shared" si="101"/>
        <v>-1.0472055400493421</v>
      </c>
      <c r="E388" s="18">
        <f t="shared" si="101"/>
        <v>-8.4890919139312793</v>
      </c>
      <c r="F388" s="18">
        <f t="shared" si="101"/>
        <v>1000013.8155105581</v>
      </c>
      <c r="G388" s="18">
        <f t="shared" si="101"/>
        <v>1000013.8155105581</v>
      </c>
      <c r="H388" s="18">
        <f t="shared" si="101"/>
        <v>1000013.8155105581</v>
      </c>
      <c r="I388" s="16"/>
      <c r="J388" s="18">
        <f t="shared" si="103"/>
        <v>0.26833045964335045</v>
      </c>
      <c r="K388" s="18">
        <f t="shared" si="104"/>
        <v>2.0565766917850779E-4</v>
      </c>
      <c r="L388" s="18">
        <f t="shared" si="105"/>
        <v>999999.99999309238</v>
      </c>
      <c r="M388" s="18">
        <f t="shared" si="106"/>
        <v>999999.99999309238</v>
      </c>
      <c r="N388" s="18">
        <f t="shared" si="107"/>
        <v>999999.99999309238</v>
      </c>
      <c r="O388" s="16"/>
      <c r="P388" s="18">
        <f t="shared" si="102"/>
        <v>4.2466472436794387</v>
      </c>
      <c r="Q388" s="18">
        <f t="shared" si="112"/>
        <v>604.1423749284113</v>
      </c>
      <c r="R388" s="18">
        <f t="shared" si="113"/>
        <v>0</v>
      </c>
      <c r="S388" s="18">
        <f t="shared" si="114"/>
        <v>0</v>
      </c>
      <c r="T388" s="18">
        <f t="shared" si="115"/>
        <v>0</v>
      </c>
      <c r="U388" s="16"/>
      <c r="V388" s="18">
        <f t="shared" si="108"/>
        <v>608.38902217209079</v>
      </c>
      <c r="W388" s="16"/>
      <c r="X388" s="18">
        <f t="shared" si="109"/>
        <v>457.49026947819141</v>
      </c>
      <c r="Y388" s="18">
        <f t="shared" si="110"/>
        <v>21.38902217209079</v>
      </c>
      <c r="Z388" s="18"/>
      <c r="AA388" s="18">
        <f t="shared" si="111"/>
        <v>5.282893102065152E-5</v>
      </c>
    </row>
    <row r="389" spans="2:27" x14ac:dyDescent="0.35">
      <c r="B389" s="26">
        <v>100</v>
      </c>
      <c r="C389" s="26">
        <v>611</v>
      </c>
      <c r="D389" s="18">
        <f t="shared" si="101"/>
        <v>-1.0329211112264991</v>
      </c>
      <c r="E389" s="18">
        <f t="shared" si="101"/>
        <v>-8.4872275346302182</v>
      </c>
      <c r="F389" s="18">
        <f t="shared" si="101"/>
        <v>1000013.8155105581</v>
      </c>
      <c r="G389" s="18">
        <f t="shared" si="101"/>
        <v>1000013.8155105581</v>
      </c>
      <c r="H389" s="18">
        <f t="shared" si="101"/>
        <v>1000013.8155105581</v>
      </c>
      <c r="I389" s="16"/>
      <c r="J389" s="18">
        <f t="shared" si="103"/>
        <v>0.27136593693730987</v>
      </c>
      <c r="K389" s="18">
        <f t="shared" si="104"/>
        <v>2.0604137166744721E-4</v>
      </c>
      <c r="L389" s="18">
        <f t="shared" si="105"/>
        <v>999999.99999309238</v>
      </c>
      <c r="M389" s="18">
        <f t="shared" si="106"/>
        <v>999999.99999309238</v>
      </c>
      <c r="N389" s="18">
        <f t="shared" si="107"/>
        <v>999999.99999309238</v>
      </c>
      <c r="O389" s="16"/>
      <c r="P389" s="18">
        <f t="shared" si="102"/>
        <v>4.1891188344209853</v>
      </c>
      <c r="Q389" s="18">
        <f t="shared" si="112"/>
        <v>603.01707375742387</v>
      </c>
      <c r="R389" s="18">
        <f t="shared" si="113"/>
        <v>0</v>
      </c>
      <c r="S389" s="18">
        <f t="shared" si="114"/>
        <v>0</v>
      </c>
      <c r="T389" s="18">
        <f t="shared" si="115"/>
        <v>0</v>
      </c>
      <c r="U389" s="16"/>
      <c r="V389" s="18">
        <f t="shared" si="108"/>
        <v>607.20619259184491</v>
      </c>
      <c r="W389" s="16"/>
      <c r="X389" s="18">
        <f t="shared" si="109"/>
        <v>14.392974650172437</v>
      </c>
      <c r="Y389" s="18">
        <f t="shared" si="110"/>
        <v>3.7938074081550894</v>
      </c>
      <c r="Z389" s="18"/>
      <c r="AA389" s="18">
        <f t="shared" si="111"/>
        <v>9.3703577591583984E-6</v>
      </c>
    </row>
    <row r="390" spans="2:27" x14ac:dyDescent="0.35">
      <c r="B390" s="26">
        <v>100.19999999999999</v>
      </c>
      <c r="C390" s="26">
        <v>630</v>
      </c>
      <c r="D390" s="18">
        <f t="shared" si="101"/>
        <v>-1.0233981586779377</v>
      </c>
      <c r="E390" s="18">
        <f t="shared" si="101"/>
        <v>-8.4859846150961769</v>
      </c>
      <c r="F390" s="18">
        <f t="shared" si="101"/>
        <v>1000013.8155105581</v>
      </c>
      <c r="G390" s="18">
        <f t="shared" si="101"/>
        <v>1000013.8155105581</v>
      </c>
      <c r="H390" s="18">
        <f t="shared" si="101"/>
        <v>1000013.8155105581</v>
      </c>
      <c r="I390" s="16"/>
      <c r="J390" s="18">
        <f t="shared" si="103"/>
        <v>0.27340455083100201</v>
      </c>
      <c r="K390" s="18">
        <f t="shared" si="104"/>
        <v>2.0629757087719006E-4</v>
      </c>
      <c r="L390" s="18">
        <f t="shared" si="105"/>
        <v>999999.99999309238</v>
      </c>
      <c r="M390" s="18">
        <f t="shared" si="106"/>
        <v>999999.99999309238</v>
      </c>
      <c r="N390" s="18">
        <f t="shared" si="107"/>
        <v>999999.99999309238</v>
      </c>
      <c r="O390" s="16"/>
      <c r="P390" s="18">
        <f t="shared" si="102"/>
        <v>4.1512266635407382</v>
      </c>
      <c r="Q390" s="18">
        <f t="shared" si="112"/>
        <v>602.26803768113018</v>
      </c>
      <c r="R390" s="18">
        <f t="shared" si="113"/>
        <v>0</v>
      </c>
      <c r="S390" s="18">
        <f t="shared" si="114"/>
        <v>0</v>
      </c>
      <c r="T390" s="18">
        <f t="shared" si="115"/>
        <v>0</v>
      </c>
      <c r="U390" s="16"/>
      <c r="V390" s="18">
        <f t="shared" si="108"/>
        <v>606.41926434467086</v>
      </c>
      <c r="W390" s="16"/>
      <c r="X390" s="18">
        <f t="shared" si="109"/>
        <v>556.0510940465108</v>
      </c>
      <c r="Y390" s="18">
        <f t="shared" si="110"/>
        <v>23.580735655329136</v>
      </c>
      <c r="Z390" s="18"/>
      <c r="AA390" s="18">
        <f t="shared" si="111"/>
        <v>5.8242263125852299E-5</v>
      </c>
    </row>
    <row r="391" spans="2:27" x14ac:dyDescent="0.35">
      <c r="B391" s="26">
        <v>100.5</v>
      </c>
      <c r="C391" s="26">
        <v>601</v>
      </c>
      <c r="D391" s="18">
        <f t="shared" si="101"/>
        <v>-1.0091137298550956</v>
      </c>
      <c r="E391" s="18">
        <f t="shared" si="101"/>
        <v>-8.484120235795114</v>
      </c>
      <c r="F391" s="18">
        <f t="shared" si="101"/>
        <v>1000013.8155105581</v>
      </c>
      <c r="G391" s="18">
        <f t="shared" si="101"/>
        <v>1000013.8155105581</v>
      </c>
      <c r="H391" s="18">
        <f t="shared" si="101"/>
        <v>1000013.8155105581</v>
      </c>
      <c r="I391" s="16"/>
      <c r="J391" s="18">
        <f t="shared" si="103"/>
        <v>0.27648499549131</v>
      </c>
      <c r="K391" s="18">
        <f t="shared" si="104"/>
        <v>2.0668246700572909E-4</v>
      </c>
      <c r="L391" s="18">
        <f t="shared" si="105"/>
        <v>999999.99999309238</v>
      </c>
      <c r="M391" s="18">
        <f t="shared" si="106"/>
        <v>999999.99999309238</v>
      </c>
      <c r="N391" s="18">
        <f t="shared" si="107"/>
        <v>999999.99999309238</v>
      </c>
      <c r="O391" s="16"/>
      <c r="P391" s="18">
        <f t="shared" si="102"/>
        <v>4.0950697376940433</v>
      </c>
      <c r="Q391" s="18">
        <f t="shared" si="112"/>
        <v>601.14622773036626</v>
      </c>
      <c r="R391" s="18">
        <f t="shared" si="113"/>
        <v>0</v>
      </c>
      <c r="S391" s="18">
        <f t="shared" si="114"/>
        <v>0</v>
      </c>
      <c r="T391" s="18">
        <f t="shared" si="115"/>
        <v>0</v>
      </c>
      <c r="U391" s="16"/>
      <c r="V391" s="18">
        <f t="shared" si="108"/>
        <v>605.24129746806034</v>
      </c>
      <c r="W391" s="16"/>
      <c r="X391" s="18">
        <f t="shared" si="109"/>
        <v>17.988604212575037</v>
      </c>
      <c r="Y391" s="18">
        <f t="shared" si="110"/>
        <v>4.2412974680603384</v>
      </c>
      <c r="Z391" s="18"/>
      <c r="AA391" s="18">
        <f t="shared" si="111"/>
        <v>1.0475617331894197E-5</v>
      </c>
    </row>
    <row r="392" spans="2:27" x14ac:dyDescent="0.35">
      <c r="B392" s="26">
        <v>100.79999999999998</v>
      </c>
      <c r="C392" s="26">
        <v>610</v>
      </c>
      <c r="D392" s="18">
        <f t="shared" si="101"/>
        <v>-0.99482930103225353</v>
      </c>
      <c r="E392" s="18">
        <f t="shared" si="101"/>
        <v>-8.4822558564940529</v>
      </c>
      <c r="F392" s="18">
        <f t="shared" si="101"/>
        <v>1000013.8155105581</v>
      </c>
      <c r="G392" s="18">
        <f t="shared" si="101"/>
        <v>1000013.8155105581</v>
      </c>
      <c r="H392" s="18">
        <f t="shared" si="101"/>
        <v>1000013.8155105581</v>
      </c>
      <c r="I392" s="16"/>
      <c r="J392" s="18">
        <f t="shared" si="103"/>
        <v>0.27959256379893377</v>
      </c>
      <c r="K392" s="18">
        <f t="shared" si="104"/>
        <v>2.070680810989019E-4</v>
      </c>
      <c r="L392" s="18">
        <f t="shared" si="105"/>
        <v>999999.99999309238</v>
      </c>
      <c r="M392" s="18">
        <f t="shared" si="106"/>
        <v>999999.99999309238</v>
      </c>
      <c r="N392" s="18">
        <f t="shared" si="107"/>
        <v>999999.99999309238</v>
      </c>
      <c r="O392" s="16"/>
      <c r="P392" s="18">
        <f t="shared" si="102"/>
        <v>4.039719957400794</v>
      </c>
      <c r="Q392" s="18">
        <f t="shared" si="112"/>
        <v>600.02650731050028</v>
      </c>
      <c r="R392" s="18">
        <f t="shared" si="113"/>
        <v>0</v>
      </c>
      <c r="S392" s="18">
        <f t="shared" si="114"/>
        <v>0</v>
      </c>
      <c r="T392" s="18">
        <f t="shared" si="115"/>
        <v>0</v>
      </c>
      <c r="U392" s="16"/>
      <c r="V392" s="18">
        <f t="shared" si="108"/>
        <v>604.06622726790113</v>
      </c>
      <c r="W392" s="16"/>
      <c r="X392" s="18">
        <f t="shared" si="109"/>
        <v>35.209658836200127</v>
      </c>
      <c r="Y392" s="18">
        <f t="shared" si="110"/>
        <v>5.9337727320988733</v>
      </c>
      <c r="Z392" s="18"/>
      <c r="AA392" s="18">
        <f t="shared" si="111"/>
        <v>1.4655876637750566E-5</v>
      </c>
    </row>
    <row r="393" spans="2:27" x14ac:dyDescent="0.35">
      <c r="B393" s="26">
        <v>101.1</v>
      </c>
      <c r="C393" s="26">
        <v>583</v>
      </c>
      <c r="D393" s="18">
        <f t="shared" si="101"/>
        <v>-0.98054487220941056</v>
      </c>
      <c r="E393" s="18">
        <f t="shared" si="101"/>
        <v>-8.4803914771929918</v>
      </c>
      <c r="F393" s="18">
        <f t="shared" si="101"/>
        <v>1000013.8155105581</v>
      </c>
      <c r="G393" s="18">
        <f t="shared" si="101"/>
        <v>1000013.8155105581</v>
      </c>
      <c r="H393" s="18">
        <f t="shared" si="101"/>
        <v>1000013.8155105581</v>
      </c>
      <c r="I393" s="16"/>
      <c r="J393" s="18">
        <f t="shared" si="103"/>
        <v>0.28272736125991238</v>
      </c>
      <c r="K393" s="18">
        <f t="shared" si="104"/>
        <v>2.0745441449540654E-4</v>
      </c>
      <c r="L393" s="18">
        <f t="shared" si="105"/>
        <v>999999.99999309238</v>
      </c>
      <c r="M393" s="18">
        <f t="shared" si="106"/>
        <v>999999.99999309238</v>
      </c>
      <c r="N393" s="18">
        <f t="shared" si="107"/>
        <v>999999.99999309238</v>
      </c>
      <c r="O393" s="16"/>
      <c r="P393" s="18">
        <f t="shared" si="102"/>
        <v>3.9851657162203127</v>
      </c>
      <c r="Q393" s="18">
        <f t="shared" si="112"/>
        <v>598.90887252948232</v>
      </c>
      <c r="R393" s="18">
        <f t="shared" si="113"/>
        <v>0</v>
      </c>
      <c r="S393" s="18">
        <f t="shared" si="114"/>
        <v>0</v>
      </c>
      <c r="T393" s="18">
        <f t="shared" si="115"/>
        <v>0</v>
      </c>
      <c r="U393" s="16"/>
      <c r="V393" s="18">
        <f t="shared" si="108"/>
        <v>602.89403824570263</v>
      </c>
      <c r="W393" s="16"/>
      <c r="X393" s="18">
        <f t="shared" si="109"/>
        <v>395.77275772147902</v>
      </c>
      <c r="Y393" s="18">
        <f t="shared" si="110"/>
        <v>19.894038245702632</v>
      </c>
      <c r="Z393" s="18"/>
      <c r="AA393" s="18">
        <f t="shared" si="111"/>
        <v>4.9136457279276055E-5</v>
      </c>
    </row>
    <row r="394" spans="2:27" x14ac:dyDescent="0.35">
      <c r="B394" s="26">
        <v>101.4</v>
      </c>
      <c r="C394" s="26">
        <v>576</v>
      </c>
      <c r="D394" s="18">
        <f t="shared" si="101"/>
        <v>-0.96626044338656847</v>
      </c>
      <c r="E394" s="18">
        <f t="shared" si="101"/>
        <v>-8.4785270978919289</v>
      </c>
      <c r="F394" s="18">
        <f t="shared" si="101"/>
        <v>1000013.8155105581</v>
      </c>
      <c r="G394" s="18">
        <f t="shared" si="101"/>
        <v>1000013.8155105581</v>
      </c>
      <c r="H394" s="18">
        <f t="shared" si="101"/>
        <v>1000013.8155105581</v>
      </c>
      <c r="I394" s="16"/>
      <c r="J394" s="18">
        <f t="shared" si="103"/>
        <v>0.28588949178936185</v>
      </c>
      <c r="K394" s="18">
        <f t="shared" si="104"/>
        <v>2.0784146853643508E-4</v>
      </c>
      <c r="L394" s="18">
        <f t="shared" si="105"/>
        <v>999999.99999309238</v>
      </c>
      <c r="M394" s="18">
        <f t="shared" si="106"/>
        <v>999999.99999309238</v>
      </c>
      <c r="N394" s="18">
        <f t="shared" si="107"/>
        <v>999999.99999309238</v>
      </c>
      <c r="O394" s="16"/>
      <c r="P394" s="18">
        <f t="shared" si="102"/>
        <v>3.9313955702515617</v>
      </c>
      <c r="Q394" s="18">
        <f t="shared" si="112"/>
        <v>597.79331950251196</v>
      </c>
      <c r="R394" s="18">
        <f t="shared" si="113"/>
        <v>0</v>
      </c>
      <c r="S394" s="18">
        <f t="shared" si="114"/>
        <v>0</v>
      </c>
      <c r="T394" s="18">
        <f t="shared" si="115"/>
        <v>0</v>
      </c>
      <c r="U394" s="16"/>
      <c r="V394" s="18">
        <f t="shared" si="108"/>
        <v>601.7247150727635</v>
      </c>
      <c r="W394" s="16"/>
      <c r="X394" s="18">
        <f t="shared" si="109"/>
        <v>661.76096557486574</v>
      </c>
      <c r="Y394" s="18">
        <f t="shared" si="110"/>
        <v>25.724715072763502</v>
      </c>
      <c r="Z394" s="18"/>
      <c r="AA394" s="18">
        <f t="shared" si="111"/>
        <v>6.3537696448705562E-5</v>
      </c>
    </row>
    <row r="395" spans="2:27" x14ac:dyDescent="0.35">
      <c r="B395" s="26">
        <v>101.69999999999999</v>
      </c>
      <c r="C395" s="26">
        <v>585</v>
      </c>
      <c r="D395" s="18">
        <f t="shared" si="101"/>
        <v>-0.95197601456372638</v>
      </c>
      <c r="E395" s="18">
        <f t="shared" si="101"/>
        <v>-8.4766627185908678</v>
      </c>
      <c r="F395" s="18">
        <f t="shared" si="101"/>
        <v>1000013.8155105581</v>
      </c>
      <c r="G395" s="18">
        <f t="shared" si="101"/>
        <v>1000013.8155105581</v>
      </c>
      <c r="H395" s="18">
        <f t="shared" si="101"/>
        <v>1000013.8155105581</v>
      </c>
      <c r="I395" s="16"/>
      <c r="J395" s="18">
        <f t="shared" si="103"/>
        <v>0.28907905769108611</v>
      </c>
      <c r="K395" s="18">
        <f t="shared" si="104"/>
        <v>2.0822924456567708E-4</v>
      </c>
      <c r="L395" s="18">
        <f t="shared" si="105"/>
        <v>999999.99999309238</v>
      </c>
      <c r="M395" s="18">
        <f t="shared" si="106"/>
        <v>999999.99999309238</v>
      </c>
      <c r="N395" s="18">
        <f t="shared" si="107"/>
        <v>999999.99999309238</v>
      </c>
      <c r="O395" s="16"/>
      <c r="P395" s="18">
        <f t="shared" si="102"/>
        <v>3.8783982358779912</v>
      </c>
      <c r="Q395" s="18">
        <f t="shared" si="112"/>
        <v>596.67984435202823</v>
      </c>
      <c r="R395" s="18">
        <f t="shared" si="113"/>
        <v>0</v>
      </c>
      <c r="S395" s="18">
        <f t="shared" si="114"/>
        <v>0</v>
      </c>
      <c r="T395" s="18">
        <f t="shared" si="115"/>
        <v>0</v>
      </c>
      <c r="U395" s="16"/>
      <c r="V395" s="18">
        <f t="shared" si="108"/>
        <v>600.55824258790619</v>
      </c>
      <c r="W395" s="16"/>
      <c r="X395" s="18">
        <f t="shared" si="109"/>
        <v>242.05891242413799</v>
      </c>
      <c r="Y395" s="18">
        <f t="shared" si="110"/>
        <v>15.558242587906193</v>
      </c>
      <c r="Z395" s="18"/>
      <c r="AA395" s="18">
        <f t="shared" si="111"/>
        <v>3.8427438050512588E-5</v>
      </c>
    </row>
    <row r="396" spans="2:27" x14ac:dyDescent="0.35">
      <c r="B396" s="26">
        <v>102</v>
      </c>
      <c r="C396" s="26">
        <v>595</v>
      </c>
      <c r="D396" s="18">
        <f t="shared" si="101"/>
        <v>-0.9376915857408834</v>
      </c>
      <c r="E396" s="18">
        <f t="shared" si="101"/>
        <v>-8.4747983392898067</v>
      </c>
      <c r="F396" s="18">
        <f t="shared" si="101"/>
        <v>1000013.8155105581</v>
      </c>
      <c r="G396" s="18">
        <f t="shared" si="101"/>
        <v>1000013.8155105581</v>
      </c>
      <c r="H396" s="18">
        <f t="shared" si="101"/>
        <v>1000013.8155105581</v>
      </c>
      <c r="I396" s="16"/>
      <c r="J396" s="18">
        <f t="shared" si="103"/>
        <v>0.29229615963769184</v>
      </c>
      <c r="K396" s="18">
        <f t="shared" si="104"/>
        <v>2.0861774392932653E-4</v>
      </c>
      <c r="L396" s="18">
        <f t="shared" si="105"/>
        <v>999999.99999309238</v>
      </c>
      <c r="M396" s="18">
        <f t="shared" si="106"/>
        <v>999999.99999309238</v>
      </c>
      <c r="N396" s="18">
        <f t="shared" si="107"/>
        <v>999999.99999309238</v>
      </c>
      <c r="O396" s="16"/>
      <c r="P396" s="18">
        <f t="shared" si="102"/>
        <v>3.8261625875454368</v>
      </c>
      <c r="Q396" s="18">
        <f t="shared" si="112"/>
        <v>595.56844320768937</v>
      </c>
      <c r="R396" s="18">
        <f t="shared" si="113"/>
        <v>0</v>
      </c>
      <c r="S396" s="18">
        <f t="shared" si="114"/>
        <v>0</v>
      </c>
      <c r="T396" s="18">
        <f t="shared" si="115"/>
        <v>0</v>
      </c>
      <c r="U396" s="16"/>
      <c r="V396" s="18">
        <f t="shared" si="108"/>
        <v>599.39460579523484</v>
      </c>
      <c r="W396" s="16"/>
      <c r="X396" s="18">
        <f t="shared" si="109"/>
        <v>19.312560095511625</v>
      </c>
      <c r="Y396" s="18">
        <f t="shared" si="110"/>
        <v>4.3946057952348383</v>
      </c>
      <c r="Z396" s="18"/>
      <c r="AA396" s="18">
        <f t="shared" si="111"/>
        <v>1.0854274896322793E-5</v>
      </c>
    </row>
    <row r="397" spans="2:27" x14ac:dyDescent="0.35">
      <c r="B397" s="26">
        <v>102.19999999999999</v>
      </c>
      <c r="C397" s="26">
        <v>584</v>
      </c>
      <c r="D397" s="18">
        <f t="shared" si="101"/>
        <v>-0.9281686331923229</v>
      </c>
      <c r="E397" s="18">
        <f t="shared" si="101"/>
        <v>-8.4735554197557654</v>
      </c>
      <c r="F397" s="18">
        <f t="shared" si="101"/>
        <v>1000013.8155105581</v>
      </c>
      <c r="G397" s="18">
        <f t="shared" si="101"/>
        <v>1000013.8155105581</v>
      </c>
      <c r="H397" s="18">
        <f t="shared" si="101"/>
        <v>1000013.8155105581</v>
      </c>
      <c r="I397" s="16"/>
      <c r="J397" s="18">
        <f t="shared" si="103"/>
        <v>0.29445624103974266</v>
      </c>
      <c r="K397" s="18">
        <f t="shared" si="104"/>
        <v>2.0887714602346372E-4</v>
      </c>
      <c r="L397" s="18">
        <f t="shared" si="105"/>
        <v>999999.99999309238</v>
      </c>
      <c r="M397" s="18">
        <f t="shared" si="106"/>
        <v>999999.99999309238</v>
      </c>
      <c r="N397" s="18">
        <f t="shared" si="107"/>
        <v>999999.99999309238</v>
      </c>
      <c r="O397" s="16"/>
      <c r="P397" s="18">
        <f t="shared" si="102"/>
        <v>3.7917565574263019</v>
      </c>
      <c r="Q397" s="18">
        <f t="shared" si="112"/>
        <v>594.82865942908347</v>
      </c>
      <c r="R397" s="18">
        <f t="shared" si="113"/>
        <v>0</v>
      </c>
      <c r="S397" s="18">
        <f t="shared" si="114"/>
        <v>0</v>
      </c>
      <c r="T397" s="18">
        <f t="shared" si="115"/>
        <v>0</v>
      </c>
      <c r="U397" s="16"/>
      <c r="V397" s="18">
        <f t="shared" si="108"/>
        <v>598.62041598650978</v>
      </c>
      <c r="W397" s="16"/>
      <c r="X397" s="18">
        <f t="shared" si="109"/>
        <v>213.75656361859086</v>
      </c>
      <c r="Y397" s="18">
        <f t="shared" si="110"/>
        <v>14.620415986509784</v>
      </c>
      <c r="Z397" s="18"/>
      <c r="AA397" s="18">
        <f t="shared" si="111"/>
        <v>3.6111092009263896E-5</v>
      </c>
    </row>
    <row r="398" spans="2:27" x14ac:dyDescent="0.35">
      <c r="B398" s="26">
        <v>102.5</v>
      </c>
      <c r="C398" s="26">
        <v>619</v>
      </c>
      <c r="D398" s="18">
        <f t="shared" si="101"/>
        <v>-0.91388420436947992</v>
      </c>
      <c r="E398" s="18">
        <f t="shared" si="101"/>
        <v>-8.4716910404547026</v>
      </c>
      <c r="F398" s="18">
        <f t="shared" si="101"/>
        <v>1000013.8155105581</v>
      </c>
      <c r="G398" s="18">
        <f t="shared" si="101"/>
        <v>1000013.8155105581</v>
      </c>
      <c r="H398" s="18">
        <f t="shared" si="101"/>
        <v>1000013.8155105581</v>
      </c>
      <c r="I398" s="16"/>
      <c r="J398" s="18">
        <f t="shared" si="103"/>
        <v>0.29771945561981483</v>
      </c>
      <c r="K398" s="18">
        <f t="shared" si="104"/>
        <v>2.0926685394281473E-4</v>
      </c>
      <c r="L398" s="18">
        <f t="shared" si="105"/>
        <v>999999.99999309238</v>
      </c>
      <c r="M398" s="18">
        <f t="shared" si="106"/>
        <v>999999.99999309238</v>
      </c>
      <c r="N398" s="18">
        <f t="shared" si="107"/>
        <v>999999.99999309238</v>
      </c>
      <c r="O398" s="16"/>
      <c r="P398" s="18">
        <f t="shared" si="102"/>
        <v>3.7407660847557631</v>
      </c>
      <c r="Q398" s="18">
        <f t="shared" si="112"/>
        <v>593.72070638046841</v>
      </c>
      <c r="R398" s="18">
        <f t="shared" si="113"/>
        <v>0</v>
      </c>
      <c r="S398" s="18">
        <f t="shared" si="114"/>
        <v>0</v>
      </c>
      <c r="T398" s="18">
        <f t="shared" si="115"/>
        <v>0</v>
      </c>
      <c r="U398" s="16"/>
      <c r="V398" s="18">
        <f t="shared" si="108"/>
        <v>597.46147246522423</v>
      </c>
      <c r="W398" s="16"/>
      <c r="X398" s="18">
        <f t="shared" si="109"/>
        <v>463.90816836629386</v>
      </c>
      <c r="Y398" s="18">
        <f t="shared" si="110"/>
        <v>21.538527534775767</v>
      </c>
      <c r="Z398" s="18"/>
      <c r="AA398" s="18">
        <f t="shared" si="111"/>
        <v>5.3198195610166412E-5</v>
      </c>
    </row>
    <row r="399" spans="2:27" x14ac:dyDescent="0.35">
      <c r="B399" s="26">
        <v>102.79999999999998</v>
      </c>
      <c r="C399" s="26">
        <v>549</v>
      </c>
      <c r="D399" s="18">
        <f t="shared" si="101"/>
        <v>-0.89959977554663872</v>
      </c>
      <c r="E399" s="18">
        <f t="shared" si="101"/>
        <v>-8.4698266611536415</v>
      </c>
      <c r="F399" s="18">
        <f t="shared" si="101"/>
        <v>1000013.8155105581</v>
      </c>
      <c r="G399" s="18">
        <f t="shared" si="101"/>
        <v>1000013.8155105581</v>
      </c>
      <c r="H399" s="18">
        <f t="shared" si="101"/>
        <v>1000013.8155105581</v>
      </c>
      <c r="I399" s="16"/>
      <c r="J399" s="18">
        <f t="shared" si="103"/>
        <v>0.30101046658466174</v>
      </c>
      <c r="K399" s="18">
        <f t="shared" si="104"/>
        <v>2.0965728879869641E-4</v>
      </c>
      <c r="L399" s="18">
        <f t="shared" si="105"/>
        <v>999999.99999309238</v>
      </c>
      <c r="M399" s="18">
        <f t="shared" si="106"/>
        <v>999999.99999309238</v>
      </c>
      <c r="N399" s="18">
        <f t="shared" si="107"/>
        <v>999999.99999309238</v>
      </c>
      <c r="O399" s="16"/>
      <c r="P399" s="18">
        <f t="shared" si="102"/>
        <v>3.6905083861810541</v>
      </c>
      <c r="Q399" s="18">
        <f t="shared" si="112"/>
        <v>592.61481705229846</v>
      </c>
      <c r="R399" s="18">
        <f t="shared" si="113"/>
        <v>0</v>
      </c>
      <c r="S399" s="18">
        <f t="shared" si="114"/>
        <v>0</v>
      </c>
      <c r="T399" s="18">
        <f t="shared" si="115"/>
        <v>0</v>
      </c>
      <c r="U399" s="16"/>
      <c r="V399" s="18">
        <f t="shared" si="108"/>
        <v>596.30532543847949</v>
      </c>
      <c r="W399" s="16"/>
      <c r="X399" s="18">
        <f t="shared" si="109"/>
        <v>2237.7938148404542</v>
      </c>
      <c r="Y399" s="18">
        <f t="shared" si="110"/>
        <v>47.305325438479485</v>
      </c>
      <c r="Z399" s="18"/>
      <c r="AA399" s="18">
        <f t="shared" si="111"/>
        <v>1.1683983280730859E-4</v>
      </c>
    </row>
    <row r="400" spans="2:27" x14ac:dyDescent="0.35">
      <c r="B400" s="26">
        <v>103.1</v>
      </c>
      <c r="C400" s="26">
        <v>608</v>
      </c>
      <c r="D400" s="18">
        <f t="shared" si="101"/>
        <v>-0.88531534672379575</v>
      </c>
      <c r="E400" s="18">
        <f t="shared" si="101"/>
        <v>-8.4679622818525804</v>
      </c>
      <c r="F400" s="18">
        <f t="shared" si="101"/>
        <v>1000013.8155105581</v>
      </c>
      <c r="G400" s="18">
        <f t="shared" si="101"/>
        <v>1000013.8155105581</v>
      </c>
      <c r="H400" s="18">
        <f t="shared" si="101"/>
        <v>1000013.8155105581</v>
      </c>
      <c r="I400" s="16"/>
      <c r="J400" s="18">
        <f t="shared" si="103"/>
        <v>0.30432936846412623</v>
      </c>
      <c r="K400" s="18">
        <f t="shared" si="104"/>
        <v>2.1004845194652158E-4</v>
      </c>
      <c r="L400" s="18">
        <f t="shared" si="105"/>
        <v>999999.99999309238</v>
      </c>
      <c r="M400" s="18">
        <f t="shared" si="106"/>
        <v>999999.99999309238</v>
      </c>
      <c r="N400" s="18">
        <f t="shared" si="107"/>
        <v>999999.99999309238</v>
      </c>
      <c r="O400" s="16"/>
      <c r="P400" s="18">
        <f t="shared" si="102"/>
        <v>3.6409728972191675</v>
      </c>
      <c r="Q400" s="18">
        <f t="shared" si="112"/>
        <v>591.51098760059949</v>
      </c>
      <c r="R400" s="18">
        <f t="shared" si="113"/>
        <v>0</v>
      </c>
      <c r="S400" s="18">
        <f t="shared" si="114"/>
        <v>0</v>
      </c>
      <c r="T400" s="18">
        <f t="shared" si="115"/>
        <v>0</v>
      </c>
      <c r="U400" s="16"/>
      <c r="V400" s="18">
        <f t="shared" si="108"/>
        <v>595.15196049781866</v>
      </c>
      <c r="W400" s="16"/>
      <c r="X400" s="18">
        <f t="shared" si="109"/>
        <v>165.07211904961204</v>
      </c>
      <c r="Y400" s="18">
        <f t="shared" si="110"/>
        <v>12.848039502181337</v>
      </c>
      <c r="Z400" s="18"/>
      <c r="AA400" s="18">
        <f t="shared" si="111"/>
        <v>3.173348398773461E-5</v>
      </c>
    </row>
    <row r="401" spans="2:27" x14ac:dyDescent="0.35">
      <c r="B401" s="26">
        <v>103.4</v>
      </c>
      <c r="C401" s="26">
        <v>540</v>
      </c>
      <c r="D401" s="18">
        <f t="shared" si="101"/>
        <v>-0.87103091790095277</v>
      </c>
      <c r="E401" s="18">
        <f t="shared" si="101"/>
        <v>-8.4660979025515175</v>
      </c>
      <c r="F401" s="18">
        <f t="shared" si="101"/>
        <v>1000013.8155105581</v>
      </c>
      <c r="G401" s="18">
        <f t="shared" si="101"/>
        <v>1000013.8155105581</v>
      </c>
      <c r="H401" s="18">
        <f t="shared" si="101"/>
        <v>1000013.8155105581</v>
      </c>
      <c r="I401" s="16"/>
      <c r="J401" s="18">
        <f t="shared" si="103"/>
        <v>0.30767625407101595</v>
      </c>
      <c r="K401" s="18">
        <f t="shared" si="104"/>
        <v>2.1044034474422804E-4</v>
      </c>
      <c r="L401" s="18">
        <f t="shared" si="105"/>
        <v>999999.99999309238</v>
      </c>
      <c r="M401" s="18">
        <f t="shared" si="106"/>
        <v>999999.99999309238</v>
      </c>
      <c r="N401" s="18">
        <f t="shared" si="107"/>
        <v>999999.99999309238</v>
      </c>
      <c r="O401" s="16"/>
      <c r="P401" s="18">
        <f t="shared" si="102"/>
        <v>3.5921492015018286</v>
      </c>
      <c r="Q401" s="18">
        <f t="shared" si="112"/>
        <v>590.40921418855714</v>
      </c>
      <c r="R401" s="18">
        <f t="shared" si="113"/>
        <v>0</v>
      </c>
      <c r="S401" s="18">
        <f t="shared" si="114"/>
        <v>0</v>
      </c>
      <c r="T401" s="18">
        <f t="shared" si="115"/>
        <v>0</v>
      </c>
      <c r="U401" s="16"/>
      <c r="V401" s="18">
        <f t="shared" si="108"/>
        <v>594.00136339005894</v>
      </c>
      <c r="W401" s="16"/>
      <c r="X401" s="18">
        <f t="shared" si="109"/>
        <v>2916.1472479851982</v>
      </c>
      <c r="Y401" s="18">
        <f t="shared" si="110"/>
        <v>54.001363390058941</v>
      </c>
      <c r="Z401" s="18"/>
      <c r="AA401" s="18">
        <f t="shared" si="111"/>
        <v>1.3337843490933619E-4</v>
      </c>
    </row>
    <row r="402" spans="2:27" x14ac:dyDescent="0.35">
      <c r="B402" s="26">
        <v>103.69999999999999</v>
      </c>
      <c r="C402" s="26">
        <v>590</v>
      </c>
      <c r="D402" s="18">
        <f t="shared" si="101"/>
        <v>-0.85674648907811157</v>
      </c>
      <c r="E402" s="18">
        <f t="shared" si="101"/>
        <v>-8.4642335232504564</v>
      </c>
      <c r="F402" s="18">
        <f t="shared" si="101"/>
        <v>1000013.8155105581</v>
      </c>
      <c r="G402" s="18">
        <f t="shared" si="101"/>
        <v>1000013.8155105581</v>
      </c>
      <c r="H402" s="18">
        <f t="shared" si="101"/>
        <v>1000013.8155105581</v>
      </c>
      <c r="I402" s="16"/>
      <c r="J402" s="18">
        <f t="shared" si="103"/>
        <v>0.31105121448426076</v>
      </c>
      <c r="K402" s="18">
        <f t="shared" si="104"/>
        <v>2.1083296855228228E-4</v>
      </c>
      <c r="L402" s="18">
        <f t="shared" si="105"/>
        <v>999999.99999309238</v>
      </c>
      <c r="M402" s="18">
        <f t="shared" si="106"/>
        <v>999999.99999309238</v>
      </c>
      <c r="N402" s="18">
        <f t="shared" si="107"/>
        <v>999999.99999309238</v>
      </c>
      <c r="O402" s="16"/>
      <c r="P402" s="18">
        <f t="shared" si="102"/>
        <v>3.5440270287312172</v>
      </c>
      <c r="Q402" s="18">
        <f t="shared" si="112"/>
        <v>589.30949298650739</v>
      </c>
      <c r="R402" s="18">
        <f t="shared" si="113"/>
        <v>0</v>
      </c>
      <c r="S402" s="18">
        <f t="shared" si="114"/>
        <v>0</v>
      </c>
      <c r="T402" s="18">
        <f t="shared" si="115"/>
        <v>0</v>
      </c>
      <c r="U402" s="16"/>
      <c r="V402" s="18">
        <f t="shared" si="108"/>
        <v>592.85352001523859</v>
      </c>
      <c r="W402" s="16"/>
      <c r="X402" s="18">
        <f t="shared" si="109"/>
        <v>8.1425764773672249</v>
      </c>
      <c r="Y402" s="18">
        <f t="shared" si="110"/>
        <v>2.8535200152385869</v>
      </c>
      <c r="Z402" s="18"/>
      <c r="AA402" s="18">
        <f t="shared" si="111"/>
        <v>7.0479337876319583E-6</v>
      </c>
    </row>
    <row r="403" spans="2:27" x14ac:dyDescent="0.35">
      <c r="B403" s="26">
        <v>104</v>
      </c>
      <c r="C403" s="26">
        <v>592</v>
      </c>
      <c r="D403" s="18">
        <f t="shared" si="101"/>
        <v>-0.8424620602552686</v>
      </c>
      <c r="E403" s="18">
        <f t="shared" si="101"/>
        <v>-8.4623691439493953</v>
      </c>
      <c r="F403" s="18">
        <f t="shared" si="101"/>
        <v>1000013.8155105581</v>
      </c>
      <c r="G403" s="18">
        <f t="shared" si="101"/>
        <v>1000013.8155105581</v>
      </c>
      <c r="H403" s="18">
        <f t="shared" si="101"/>
        <v>1000013.8155105581</v>
      </c>
      <c r="I403" s="16"/>
      <c r="J403" s="18">
        <f t="shared" si="103"/>
        <v>0.31445433903263575</v>
      </c>
      <c r="K403" s="18">
        <f t="shared" si="104"/>
        <v>2.1122632473368654E-4</v>
      </c>
      <c r="L403" s="18">
        <f t="shared" si="105"/>
        <v>999999.99999309238</v>
      </c>
      <c r="M403" s="18">
        <f t="shared" si="106"/>
        <v>999999.99999309238</v>
      </c>
      <c r="N403" s="18">
        <f t="shared" si="107"/>
        <v>999999.99999309238</v>
      </c>
      <c r="O403" s="16"/>
      <c r="P403" s="18">
        <f t="shared" si="102"/>
        <v>3.4965962526654577</v>
      </c>
      <c r="Q403" s="18">
        <f t="shared" si="112"/>
        <v>588.21182017191563</v>
      </c>
      <c r="R403" s="18">
        <f t="shared" si="113"/>
        <v>0</v>
      </c>
      <c r="S403" s="18">
        <f t="shared" si="114"/>
        <v>0</v>
      </c>
      <c r="T403" s="18">
        <f t="shared" si="115"/>
        <v>0</v>
      </c>
      <c r="U403" s="16"/>
      <c r="V403" s="18">
        <f t="shared" si="108"/>
        <v>591.70841642458106</v>
      </c>
      <c r="W403" s="16"/>
      <c r="X403" s="18">
        <f t="shared" si="109"/>
        <v>8.5020981454092787E-2</v>
      </c>
      <c r="Y403" s="18">
        <f t="shared" si="110"/>
        <v>0.2915835754189402</v>
      </c>
      <c r="Z403" s="18"/>
      <c r="AA403" s="18">
        <f t="shared" si="111"/>
        <v>7.2018479707136498E-7</v>
      </c>
    </row>
    <row r="404" spans="2:27" x14ac:dyDescent="0.35">
      <c r="B404" s="26">
        <v>104.19999999999999</v>
      </c>
      <c r="C404" s="26">
        <v>599</v>
      </c>
      <c r="D404" s="18">
        <f t="shared" si="101"/>
        <v>-0.8329391077067072</v>
      </c>
      <c r="E404" s="18">
        <f t="shared" si="101"/>
        <v>-8.461126224415354</v>
      </c>
      <c r="F404" s="18">
        <f t="shared" si="101"/>
        <v>1000013.8155105581</v>
      </c>
      <c r="G404" s="18">
        <f t="shared" si="101"/>
        <v>1000013.8155105581</v>
      </c>
      <c r="H404" s="18">
        <f t="shared" si="101"/>
        <v>1000013.8155105581</v>
      </c>
      <c r="I404" s="16"/>
      <c r="J404" s="18">
        <f t="shared" si="103"/>
        <v>0.3167387787873655</v>
      </c>
      <c r="K404" s="18">
        <f t="shared" si="104"/>
        <v>2.1148896973627619E-4</v>
      </c>
      <c r="L404" s="18">
        <f t="shared" si="105"/>
        <v>999999.99999309238</v>
      </c>
      <c r="M404" s="18">
        <f t="shared" si="106"/>
        <v>999999.99999309238</v>
      </c>
      <c r="N404" s="18">
        <f t="shared" si="107"/>
        <v>999999.99999309238</v>
      </c>
      <c r="O404" s="16"/>
      <c r="P404" s="18">
        <f t="shared" si="102"/>
        <v>3.465354908326606</v>
      </c>
      <c r="Q404" s="18">
        <f t="shared" si="112"/>
        <v>587.48117440410556</v>
      </c>
      <c r="R404" s="18">
        <f t="shared" si="113"/>
        <v>0</v>
      </c>
      <c r="S404" s="18">
        <f t="shared" si="114"/>
        <v>0</v>
      </c>
      <c r="T404" s="18">
        <f t="shared" si="115"/>
        <v>0</v>
      </c>
      <c r="U404" s="16"/>
      <c r="V404" s="18">
        <f t="shared" si="108"/>
        <v>590.94652931243218</v>
      </c>
      <c r="W404" s="16"/>
      <c r="X404" s="18">
        <f t="shared" si="109"/>
        <v>64.858390115514155</v>
      </c>
      <c r="Y404" s="18">
        <f t="shared" si="110"/>
        <v>8.0534706875678239</v>
      </c>
      <c r="Z404" s="18"/>
      <c r="AA404" s="18">
        <f t="shared" si="111"/>
        <v>1.9891336967498731E-5</v>
      </c>
    </row>
    <row r="405" spans="2:27" x14ac:dyDescent="0.35">
      <c r="B405" s="26">
        <v>104.5</v>
      </c>
      <c r="C405" s="26">
        <v>577</v>
      </c>
      <c r="D405" s="18">
        <f t="shared" si="101"/>
        <v>-0.81865467888386423</v>
      </c>
      <c r="E405" s="18">
        <f t="shared" si="101"/>
        <v>-8.4592618451142911</v>
      </c>
      <c r="F405" s="18">
        <f t="shared" si="101"/>
        <v>1000013.8155105581</v>
      </c>
      <c r="G405" s="18">
        <f t="shared" si="101"/>
        <v>1000013.8155105581</v>
      </c>
      <c r="H405" s="18">
        <f t="shared" si="101"/>
        <v>1000013.8155105581</v>
      </c>
      <c r="I405" s="16"/>
      <c r="J405" s="18">
        <f t="shared" si="103"/>
        <v>0.32018903726631454</v>
      </c>
      <c r="K405" s="18">
        <f t="shared" si="104"/>
        <v>2.1188354957572264E-4</v>
      </c>
      <c r="L405" s="18">
        <f t="shared" si="105"/>
        <v>999999.99999309238</v>
      </c>
      <c r="M405" s="18">
        <f t="shared" si="106"/>
        <v>999999.99999309238</v>
      </c>
      <c r="N405" s="18">
        <f t="shared" si="107"/>
        <v>999999.99999309238</v>
      </c>
      <c r="O405" s="16"/>
      <c r="P405" s="18">
        <f t="shared" si="102"/>
        <v>3.4190543423274193</v>
      </c>
      <c r="Q405" s="18">
        <f t="shared" si="112"/>
        <v>586.38690709342336</v>
      </c>
      <c r="R405" s="18">
        <f t="shared" si="113"/>
        <v>0</v>
      </c>
      <c r="S405" s="18">
        <f t="shared" si="114"/>
        <v>0</v>
      </c>
      <c r="T405" s="18">
        <f t="shared" si="115"/>
        <v>0</v>
      </c>
      <c r="U405" s="16"/>
      <c r="V405" s="18">
        <f t="shared" si="108"/>
        <v>589.80596143575076</v>
      </c>
      <c r="W405" s="16"/>
      <c r="X405" s="18">
        <f t="shared" si="109"/>
        <v>163.99264829393567</v>
      </c>
      <c r="Y405" s="18">
        <f t="shared" si="110"/>
        <v>12.80596143575076</v>
      </c>
      <c r="Z405" s="18"/>
      <c r="AA405" s="18">
        <f t="shared" si="111"/>
        <v>3.1629555007201606E-5</v>
      </c>
    </row>
    <row r="406" spans="2:27" x14ac:dyDescent="0.35">
      <c r="B406" s="26">
        <v>104.79999999999998</v>
      </c>
      <c r="C406" s="26">
        <v>605</v>
      </c>
      <c r="D406" s="18">
        <f t="shared" si="101"/>
        <v>-0.80437025006102303</v>
      </c>
      <c r="E406" s="18">
        <f t="shared" si="101"/>
        <v>-8.45739746581323</v>
      </c>
      <c r="F406" s="18">
        <f t="shared" si="101"/>
        <v>1000013.8155105581</v>
      </c>
      <c r="G406" s="18">
        <f t="shared" si="101"/>
        <v>1000013.8155105581</v>
      </c>
      <c r="H406" s="18">
        <f t="shared" si="101"/>
        <v>1000013.8155105581</v>
      </c>
      <c r="I406" s="16"/>
      <c r="J406" s="18">
        <f t="shared" si="103"/>
        <v>0.32366768941654683</v>
      </c>
      <c r="K406" s="18">
        <f t="shared" si="104"/>
        <v>2.1227886543561701E-4</v>
      </c>
      <c r="L406" s="18">
        <f t="shared" si="105"/>
        <v>999999.99999309238</v>
      </c>
      <c r="M406" s="18">
        <f t="shared" si="106"/>
        <v>999999.99999309238</v>
      </c>
      <c r="N406" s="18">
        <f t="shared" si="107"/>
        <v>999999.99999309238</v>
      </c>
      <c r="O406" s="16"/>
      <c r="P406" s="18">
        <f t="shared" si="102"/>
        <v>3.3734188589891616</v>
      </c>
      <c r="Q406" s="18">
        <f t="shared" si="112"/>
        <v>585.29467801155135</v>
      </c>
      <c r="R406" s="18">
        <f t="shared" si="113"/>
        <v>0</v>
      </c>
      <c r="S406" s="18">
        <f t="shared" si="114"/>
        <v>0</v>
      </c>
      <c r="T406" s="18">
        <f t="shared" si="115"/>
        <v>0</v>
      </c>
      <c r="U406" s="16"/>
      <c r="V406" s="18">
        <f t="shared" si="108"/>
        <v>588.66809687054047</v>
      </c>
      <c r="W406" s="16"/>
      <c r="X406" s="18">
        <f t="shared" si="109"/>
        <v>266.73105983005007</v>
      </c>
      <c r="Y406" s="18">
        <f t="shared" si="110"/>
        <v>16.331903129459533</v>
      </c>
      <c r="Z406" s="18"/>
      <c r="AA406" s="18">
        <f t="shared" si="111"/>
        <v>4.0338308919422722E-5</v>
      </c>
    </row>
    <row r="407" spans="2:27" x14ac:dyDescent="0.35">
      <c r="B407" s="26">
        <v>105.1</v>
      </c>
      <c r="C407" s="26">
        <v>577</v>
      </c>
      <c r="D407" s="18">
        <f t="shared" si="101"/>
        <v>-0.79008582123818005</v>
      </c>
      <c r="E407" s="18">
        <f t="shared" si="101"/>
        <v>-8.4555330865121689</v>
      </c>
      <c r="F407" s="18">
        <f t="shared" si="101"/>
        <v>1000013.8155105581</v>
      </c>
      <c r="G407" s="18">
        <f t="shared" si="101"/>
        <v>1000013.8155105581</v>
      </c>
      <c r="H407" s="18">
        <f t="shared" ref="E407:H422" si="116">G$23/(G$21*$A$21)-LN((G$21*$A$21)/G$23)+$B407*G$22</f>
        <v>1000013.8155105581</v>
      </c>
      <c r="I407" s="16"/>
      <c r="J407" s="18">
        <f t="shared" si="103"/>
        <v>0.32717481801966958</v>
      </c>
      <c r="K407" s="18">
        <f t="shared" si="104"/>
        <v>2.1267491868829519E-4</v>
      </c>
      <c r="L407" s="18">
        <f t="shared" si="105"/>
        <v>999999.99999309238</v>
      </c>
      <c r="M407" s="18">
        <f t="shared" si="106"/>
        <v>999999.99999309238</v>
      </c>
      <c r="N407" s="18">
        <f t="shared" si="107"/>
        <v>999999.99999309238</v>
      </c>
      <c r="O407" s="16"/>
      <c r="P407" s="18">
        <f t="shared" si="102"/>
        <v>3.3284388435088799</v>
      </c>
      <c r="Q407" s="18">
        <f t="shared" si="112"/>
        <v>584.20448336199718</v>
      </c>
      <c r="R407" s="18">
        <f t="shared" si="113"/>
        <v>0</v>
      </c>
      <c r="S407" s="18">
        <f t="shared" si="114"/>
        <v>0</v>
      </c>
      <c r="T407" s="18">
        <f t="shared" si="115"/>
        <v>0</v>
      </c>
      <c r="U407" s="16"/>
      <c r="V407" s="18">
        <f t="shared" si="108"/>
        <v>587.53292220550611</v>
      </c>
      <c r="W407" s="16"/>
      <c r="X407" s="18">
        <f t="shared" si="109"/>
        <v>110.94245018724372</v>
      </c>
      <c r="Y407" s="18">
        <f t="shared" si="110"/>
        <v>10.532922205506111</v>
      </c>
      <c r="Z407" s="18"/>
      <c r="AA407" s="18">
        <f t="shared" si="111"/>
        <v>2.6015355735459428E-5</v>
      </c>
    </row>
    <row r="408" spans="2:27" x14ac:dyDescent="0.35">
      <c r="B408" s="26">
        <v>105.4</v>
      </c>
      <c r="C408" s="26">
        <v>572</v>
      </c>
      <c r="D408" s="18">
        <f t="shared" si="101"/>
        <v>-0.77580139241533708</v>
      </c>
      <c r="E408" s="18">
        <f t="shared" si="116"/>
        <v>-8.4536687072111061</v>
      </c>
      <c r="F408" s="18">
        <f t="shared" si="116"/>
        <v>1000013.8155105581</v>
      </c>
      <c r="G408" s="18">
        <f t="shared" si="116"/>
        <v>1000013.8155105581</v>
      </c>
      <c r="H408" s="18">
        <f t="shared" si="116"/>
        <v>1000013.8155105581</v>
      </c>
      <c r="I408" s="16"/>
      <c r="J408" s="18">
        <f t="shared" si="103"/>
        <v>0.33071050403885877</v>
      </c>
      <c r="K408" s="18">
        <f t="shared" si="104"/>
        <v>2.1307171070864949E-4</v>
      </c>
      <c r="L408" s="18">
        <f t="shared" si="105"/>
        <v>999999.99999309238</v>
      </c>
      <c r="M408" s="18">
        <f t="shared" si="106"/>
        <v>999999.99999309238</v>
      </c>
      <c r="N408" s="18">
        <f t="shared" si="107"/>
        <v>999999.99999309238</v>
      </c>
      <c r="O408" s="16"/>
      <c r="P408" s="18">
        <f t="shared" si="102"/>
        <v>3.2841048161188691</v>
      </c>
      <c r="Q408" s="18">
        <f t="shared" si="112"/>
        <v>583.1163193553399</v>
      </c>
      <c r="R408" s="18">
        <f t="shared" si="113"/>
        <v>0</v>
      </c>
      <c r="S408" s="18">
        <f t="shared" si="114"/>
        <v>0</v>
      </c>
      <c r="T408" s="18">
        <f t="shared" si="115"/>
        <v>0</v>
      </c>
      <c r="U408" s="16"/>
      <c r="V408" s="18">
        <f t="shared" si="108"/>
        <v>586.40042417145878</v>
      </c>
      <c r="W408" s="16"/>
      <c r="X408" s="18">
        <f t="shared" si="109"/>
        <v>207.37221631793432</v>
      </c>
      <c r="Y408" s="18">
        <f t="shared" si="110"/>
        <v>14.400424171458781</v>
      </c>
      <c r="Z408" s="18"/>
      <c r="AA408" s="18">
        <f t="shared" si="111"/>
        <v>3.5567732320871872E-5</v>
      </c>
    </row>
    <row r="409" spans="2:27" x14ac:dyDescent="0.35">
      <c r="B409" s="26">
        <v>105.69999999999999</v>
      </c>
      <c r="C409" s="26">
        <v>642</v>
      </c>
      <c r="D409" s="18">
        <f t="shared" si="101"/>
        <v>-0.76151696359249588</v>
      </c>
      <c r="E409" s="18">
        <f t="shared" si="116"/>
        <v>-8.451804327910045</v>
      </c>
      <c r="F409" s="18">
        <f t="shared" si="116"/>
        <v>1000013.8155105581</v>
      </c>
      <c r="G409" s="18">
        <f t="shared" si="116"/>
        <v>1000013.8155105581</v>
      </c>
      <c r="H409" s="18">
        <f t="shared" si="116"/>
        <v>1000013.8155105581</v>
      </c>
      <c r="I409" s="16"/>
      <c r="J409" s="18">
        <f t="shared" si="103"/>
        <v>0.33427482660591784</v>
      </c>
      <c r="K409" s="18">
        <f t="shared" si="104"/>
        <v>2.1346924287413257E-4</v>
      </c>
      <c r="L409" s="18">
        <f t="shared" si="105"/>
        <v>999999.99999309238</v>
      </c>
      <c r="M409" s="18">
        <f t="shared" si="106"/>
        <v>999999.99999309238</v>
      </c>
      <c r="N409" s="18">
        <f t="shared" si="107"/>
        <v>999999.99999309238</v>
      </c>
      <c r="O409" s="16"/>
      <c r="P409" s="18">
        <f t="shared" si="102"/>
        <v>3.2404074302322963</v>
      </c>
      <c r="Q409" s="18">
        <f t="shared" si="112"/>
        <v>582.03018220922024</v>
      </c>
      <c r="R409" s="18">
        <f t="shared" si="113"/>
        <v>0</v>
      </c>
      <c r="S409" s="18">
        <f t="shared" si="114"/>
        <v>0</v>
      </c>
      <c r="T409" s="18">
        <f t="shared" si="115"/>
        <v>0</v>
      </c>
      <c r="U409" s="16"/>
      <c r="V409" s="18">
        <f t="shared" si="108"/>
        <v>585.27058963945251</v>
      </c>
      <c r="W409" s="16"/>
      <c r="X409" s="18">
        <f t="shared" si="109"/>
        <v>3218.2259998553927</v>
      </c>
      <c r="Y409" s="18">
        <f t="shared" si="110"/>
        <v>56.72941036054749</v>
      </c>
      <c r="Z409" s="18"/>
      <c r="AA409" s="18">
        <f t="shared" si="111"/>
        <v>1.401164617375607E-4</v>
      </c>
    </row>
    <row r="410" spans="2:27" x14ac:dyDescent="0.35">
      <c r="B410" s="26">
        <v>106</v>
      </c>
      <c r="C410" s="26">
        <v>609</v>
      </c>
      <c r="D410" s="18">
        <f t="shared" si="101"/>
        <v>-0.7472325347696529</v>
      </c>
      <c r="E410" s="18">
        <f t="shared" si="116"/>
        <v>-8.4499399486089839</v>
      </c>
      <c r="F410" s="18">
        <f t="shared" si="116"/>
        <v>1000013.8155105581</v>
      </c>
      <c r="G410" s="18">
        <f t="shared" si="116"/>
        <v>1000013.8155105581</v>
      </c>
      <c r="H410" s="18">
        <f t="shared" si="116"/>
        <v>1000013.8155105581</v>
      </c>
      <c r="I410" s="16"/>
      <c r="J410" s="18">
        <f t="shared" si="103"/>
        <v>0.33786786300894478</v>
      </c>
      <c r="K410" s="18">
        <f t="shared" si="104"/>
        <v>2.1386751656476429E-4</v>
      </c>
      <c r="L410" s="18">
        <f t="shared" si="105"/>
        <v>999999.99999309238</v>
      </c>
      <c r="M410" s="18">
        <f t="shared" si="106"/>
        <v>999999.99999309238</v>
      </c>
      <c r="N410" s="18">
        <f t="shared" si="107"/>
        <v>999999.99999309238</v>
      </c>
      <c r="O410" s="16"/>
      <c r="P410" s="18">
        <f t="shared" si="102"/>
        <v>3.1973374706156039</v>
      </c>
      <c r="Q410" s="18">
        <f t="shared" si="112"/>
        <v>580.94606814832082</v>
      </c>
      <c r="R410" s="18">
        <f t="shared" si="113"/>
        <v>0</v>
      </c>
      <c r="S410" s="18">
        <f t="shared" si="114"/>
        <v>0</v>
      </c>
      <c r="T410" s="18">
        <f t="shared" si="115"/>
        <v>0</v>
      </c>
      <c r="U410" s="16"/>
      <c r="V410" s="18">
        <f t="shared" si="108"/>
        <v>584.14340561893641</v>
      </c>
      <c r="W410" s="16"/>
      <c r="X410" s="18">
        <f t="shared" si="109"/>
        <v>617.85028422472192</v>
      </c>
      <c r="Y410" s="18">
        <f t="shared" si="110"/>
        <v>24.856594381063587</v>
      </c>
      <c r="Z410" s="18"/>
      <c r="AA410" s="18">
        <f t="shared" si="111"/>
        <v>6.1393517637237612E-5</v>
      </c>
    </row>
    <row r="411" spans="2:27" x14ac:dyDescent="0.35">
      <c r="B411" s="26">
        <v>106.19999999999999</v>
      </c>
      <c r="C411" s="26">
        <v>601</v>
      </c>
      <c r="D411" s="18">
        <f t="shared" si="101"/>
        <v>-0.73770958222109151</v>
      </c>
      <c r="E411" s="18">
        <f t="shared" si="116"/>
        <v>-8.4486970290749426</v>
      </c>
      <c r="F411" s="18">
        <f t="shared" si="116"/>
        <v>1000013.8155105581</v>
      </c>
      <c r="G411" s="18">
        <f t="shared" si="116"/>
        <v>1000013.8155105581</v>
      </c>
      <c r="H411" s="18">
        <f t="shared" si="116"/>
        <v>1000013.8155105581</v>
      </c>
      <c r="I411" s="16"/>
      <c r="J411" s="18">
        <f t="shared" si="103"/>
        <v>0.34027921006945033</v>
      </c>
      <c r="K411" s="18">
        <f t="shared" si="104"/>
        <v>2.1413344499958948E-4</v>
      </c>
      <c r="L411" s="18">
        <f t="shared" si="105"/>
        <v>999999.99999309238</v>
      </c>
      <c r="M411" s="18">
        <f t="shared" si="106"/>
        <v>999999.99999309238</v>
      </c>
      <c r="N411" s="18">
        <f t="shared" si="107"/>
        <v>999999.99999309238</v>
      </c>
      <c r="O411" s="16"/>
      <c r="P411" s="18">
        <f t="shared" si="102"/>
        <v>3.1689682423205161</v>
      </c>
      <c r="Q411" s="18">
        <f t="shared" si="112"/>
        <v>580.22444751611772</v>
      </c>
      <c r="R411" s="18">
        <f t="shared" si="113"/>
        <v>0</v>
      </c>
      <c r="S411" s="18">
        <f t="shared" si="114"/>
        <v>0</v>
      </c>
      <c r="T411" s="18">
        <f t="shared" si="115"/>
        <v>0</v>
      </c>
      <c r="U411" s="16"/>
      <c r="V411" s="18">
        <f t="shared" si="108"/>
        <v>583.39341575843821</v>
      </c>
      <c r="W411" s="16"/>
      <c r="X411" s="18">
        <f t="shared" si="109"/>
        <v>309.99180865521197</v>
      </c>
      <c r="Y411" s="18">
        <f t="shared" si="110"/>
        <v>17.606584241561791</v>
      </c>
      <c r="Z411" s="18"/>
      <c r="AA411" s="18">
        <f t="shared" si="111"/>
        <v>4.348665483270367E-5</v>
      </c>
    </row>
    <row r="412" spans="2:27" x14ac:dyDescent="0.35">
      <c r="B412" s="26">
        <v>106.5</v>
      </c>
      <c r="C412" s="26">
        <v>605</v>
      </c>
      <c r="D412" s="18">
        <f t="shared" si="101"/>
        <v>-0.72342515339824942</v>
      </c>
      <c r="E412" s="18">
        <f t="shared" si="116"/>
        <v>-8.4468326497738797</v>
      </c>
      <c r="F412" s="18">
        <f t="shared" si="116"/>
        <v>1000013.8155105581</v>
      </c>
      <c r="G412" s="18">
        <f t="shared" si="116"/>
        <v>1000013.8155105581</v>
      </c>
      <c r="H412" s="18">
        <f t="shared" si="116"/>
        <v>1000013.8155105581</v>
      </c>
      <c r="I412" s="16"/>
      <c r="J412" s="18">
        <f t="shared" si="103"/>
        <v>0.3439202695726013</v>
      </c>
      <c r="K412" s="18">
        <f t="shared" si="104"/>
        <v>2.1453295763916396E-4</v>
      </c>
      <c r="L412" s="18">
        <f t="shared" si="105"/>
        <v>999999.99999309238</v>
      </c>
      <c r="M412" s="18">
        <f t="shared" si="106"/>
        <v>999999.99999309238</v>
      </c>
      <c r="N412" s="18">
        <f t="shared" si="107"/>
        <v>999999.99999309238</v>
      </c>
      <c r="O412" s="16"/>
      <c r="P412" s="18">
        <f t="shared" si="102"/>
        <v>3.1269238659222851</v>
      </c>
      <c r="Q412" s="18">
        <f t="shared" si="112"/>
        <v>579.14369689341959</v>
      </c>
      <c r="R412" s="18">
        <f t="shared" si="113"/>
        <v>0</v>
      </c>
      <c r="S412" s="18">
        <f t="shared" si="114"/>
        <v>0</v>
      </c>
      <c r="T412" s="18">
        <f t="shared" si="115"/>
        <v>0</v>
      </c>
      <c r="U412" s="16"/>
      <c r="V412" s="18">
        <f t="shared" si="108"/>
        <v>582.27062075934191</v>
      </c>
      <c r="W412" s="16"/>
      <c r="X412" s="18">
        <f t="shared" si="109"/>
        <v>516.62468066565896</v>
      </c>
      <c r="Y412" s="18">
        <f t="shared" si="110"/>
        <v>22.729379240658091</v>
      </c>
      <c r="Z412" s="18"/>
      <c r="AA412" s="18">
        <f t="shared" si="111"/>
        <v>5.6139490547340852E-5</v>
      </c>
    </row>
    <row r="413" spans="2:27" x14ac:dyDescent="0.35">
      <c r="B413" s="26">
        <v>106.79999999999998</v>
      </c>
      <c r="C413" s="26">
        <v>572</v>
      </c>
      <c r="D413" s="18">
        <f t="shared" si="101"/>
        <v>-0.70914072457540733</v>
      </c>
      <c r="E413" s="18">
        <f t="shared" si="116"/>
        <v>-8.4449682704728186</v>
      </c>
      <c r="F413" s="18">
        <f t="shared" si="116"/>
        <v>1000013.8155105581</v>
      </c>
      <c r="G413" s="18">
        <f t="shared" si="116"/>
        <v>1000013.8155105581</v>
      </c>
      <c r="H413" s="18">
        <f t="shared" si="116"/>
        <v>1000013.8155105581</v>
      </c>
      <c r="I413" s="16"/>
      <c r="J413" s="18">
        <f t="shared" si="103"/>
        <v>0.34759023991244592</v>
      </c>
      <c r="K413" s="18">
        <f t="shared" si="104"/>
        <v>2.1493321549652028E-4</v>
      </c>
      <c r="L413" s="18">
        <f t="shared" si="105"/>
        <v>999999.99999309238</v>
      </c>
      <c r="M413" s="18">
        <f t="shared" si="106"/>
        <v>999999.99999309238</v>
      </c>
      <c r="N413" s="18">
        <f t="shared" si="107"/>
        <v>999999.99999309238</v>
      </c>
      <c r="O413" s="16"/>
      <c r="P413" s="18">
        <f t="shared" si="102"/>
        <v>3.0854829703932962</v>
      </c>
      <c r="Q413" s="18">
        <f t="shared" si="112"/>
        <v>578.0649593227763</v>
      </c>
      <c r="R413" s="18">
        <f t="shared" si="113"/>
        <v>0</v>
      </c>
      <c r="S413" s="18">
        <f t="shared" si="114"/>
        <v>0</v>
      </c>
      <c r="T413" s="18">
        <f t="shared" si="115"/>
        <v>0</v>
      </c>
      <c r="U413" s="16"/>
      <c r="V413" s="18">
        <f t="shared" si="108"/>
        <v>581.15044229316959</v>
      </c>
      <c r="W413" s="16"/>
      <c r="X413" s="18">
        <f t="shared" si="109"/>
        <v>83.730594160626737</v>
      </c>
      <c r="Y413" s="18">
        <f t="shared" si="110"/>
        <v>9.1504422931695899</v>
      </c>
      <c r="Z413" s="18"/>
      <c r="AA413" s="18">
        <f t="shared" si="111"/>
        <v>2.2600756632300742E-5</v>
      </c>
    </row>
    <row r="414" spans="2:27" x14ac:dyDescent="0.35">
      <c r="B414" s="26">
        <v>107.1</v>
      </c>
      <c r="C414" s="26">
        <v>576</v>
      </c>
      <c r="D414" s="18">
        <f t="shared" si="101"/>
        <v>-0.69485629575256436</v>
      </c>
      <c r="E414" s="18">
        <f t="shared" si="116"/>
        <v>-8.4431038911717575</v>
      </c>
      <c r="F414" s="18">
        <f t="shared" si="116"/>
        <v>1000013.8155105581</v>
      </c>
      <c r="G414" s="18">
        <f t="shared" si="116"/>
        <v>1000013.8155105581</v>
      </c>
      <c r="H414" s="18">
        <f t="shared" si="116"/>
        <v>1000013.8155105581</v>
      </c>
      <c r="I414" s="16"/>
      <c r="J414" s="18">
        <f t="shared" si="103"/>
        <v>0.3512891915212375</v>
      </c>
      <c r="K414" s="18">
        <f t="shared" si="104"/>
        <v>2.1533421996112833E-4</v>
      </c>
      <c r="L414" s="18">
        <f t="shared" si="105"/>
        <v>999999.99999309238</v>
      </c>
      <c r="M414" s="18">
        <f t="shared" si="106"/>
        <v>999999.99999309238</v>
      </c>
      <c r="N414" s="18">
        <f t="shared" si="107"/>
        <v>999999.99999309238</v>
      </c>
      <c r="O414" s="16"/>
      <c r="P414" s="18">
        <f t="shared" si="102"/>
        <v>3.0446368069142276</v>
      </c>
      <c r="Q414" s="18">
        <f t="shared" si="112"/>
        <v>576.98823105459053</v>
      </c>
      <c r="R414" s="18">
        <f t="shared" si="113"/>
        <v>0</v>
      </c>
      <c r="S414" s="18">
        <f t="shared" si="114"/>
        <v>0</v>
      </c>
      <c r="T414" s="18">
        <f t="shared" si="115"/>
        <v>0</v>
      </c>
      <c r="U414" s="16"/>
      <c r="V414" s="18">
        <f t="shared" si="108"/>
        <v>580.03286786150477</v>
      </c>
      <c r="W414" s="16"/>
      <c r="X414" s="18">
        <f t="shared" si="109"/>
        <v>16.264023188358053</v>
      </c>
      <c r="Y414" s="18">
        <f t="shared" si="110"/>
        <v>4.0328678615047693</v>
      </c>
      <c r="Z414" s="18"/>
      <c r="AA414" s="18">
        <f t="shared" si="111"/>
        <v>9.9608152423553206E-6</v>
      </c>
    </row>
    <row r="415" spans="2:27" x14ac:dyDescent="0.35">
      <c r="B415" s="26">
        <v>107.4</v>
      </c>
      <c r="C415" s="26">
        <v>534</v>
      </c>
      <c r="D415" s="18">
        <f t="shared" si="101"/>
        <v>-0.68057186692972227</v>
      </c>
      <c r="E415" s="18">
        <f t="shared" si="116"/>
        <v>-8.4412395118706947</v>
      </c>
      <c r="F415" s="18">
        <f t="shared" si="116"/>
        <v>1000013.8155105581</v>
      </c>
      <c r="G415" s="18">
        <f t="shared" si="116"/>
        <v>1000013.8155105581</v>
      </c>
      <c r="H415" s="18">
        <f t="shared" si="116"/>
        <v>1000013.8155105581</v>
      </c>
      <c r="I415" s="16"/>
      <c r="J415" s="18">
        <f t="shared" si="103"/>
        <v>0.35501719293812189</v>
      </c>
      <c r="K415" s="18">
        <f t="shared" si="104"/>
        <v>2.1573597242504616E-4</v>
      </c>
      <c r="L415" s="18">
        <f t="shared" si="105"/>
        <v>999999.99999309238</v>
      </c>
      <c r="M415" s="18">
        <f t="shared" si="106"/>
        <v>999999.99999309238</v>
      </c>
      <c r="N415" s="18">
        <f t="shared" si="107"/>
        <v>999999.99999309238</v>
      </c>
      <c r="O415" s="16"/>
      <c r="P415" s="18">
        <f t="shared" si="102"/>
        <v>3.0043767498321365</v>
      </c>
      <c r="Q415" s="18">
        <f t="shared" si="112"/>
        <v>575.91350834624996</v>
      </c>
      <c r="R415" s="18">
        <f t="shared" si="113"/>
        <v>0</v>
      </c>
      <c r="S415" s="18">
        <f t="shared" si="114"/>
        <v>0</v>
      </c>
      <c r="T415" s="18">
        <f t="shared" si="115"/>
        <v>0</v>
      </c>
      <c r="U415" s="16"/>
      <c r="V415" s="18">
        <f t="shared" si="108"/>
        <v>578.91788509608205</v>
      </c>
      <c r="W415" s="16"/>
      <c r="X415" s="18">
        <f t="shared" si="109"/>
        <v>2017.6164015048296</v>
      </c>
      <c r="Y415" s="18">
        <f t="shared" si="110"/>
        <v>44.917885096082045</v>
      </c>
      <c r="Z415" s="18"/>
      <c r="AA415" s="18">
        <f t="shared" si="111"/>
        <v>1.1094307323832704E-4</v>
      </c>
    </row>
    <row r="416" spans="2:27" x14ac:dyDescent="0.35">
      <c r="B416" s="26">
        <v>107.69999999999999</v>
      </c>
      <c r="C416" s="26">
        <v>592</v>
      </c>
      <c r="D416" s="18">
        <f t="shared" si="101"/>
        <v>-0.66628743810688018</v>
      </c>
      <c r="E416" s="18">
        <f t="shared" si="116"/>
        <v>-8.4393751325696336</v>
      </c>
      <c r="F416" s="18">
        <f t="shared" si="116"/>
        <v>1000013.8155105581</v>
      </c>
      <c r="G416" s="18">
        <f t="shared" si="116"/>
        <v>1000013.8155105581</v>
      </c>
      <c r="H416" s="18">
        <f t="shared" si="116"/>
        <v>1000013.8155105581</v>
      </c>
      <c r="I416" s="16"/>
      <c r="J416" s="18">
        <f t="shared" si="103"/>
        <v>0.35877431080032285</v>
      </c>
      <c r="K416" s="18">
        <f t="shared" si="104"/>
        <v>2.1613847428292435E-4</v>
      </c>
      <c r="L416" s="18">
        <f t="shared" si="105"/>
        <v>999999.99999309238</v>
      </c>
      <c r="M416" s="18">
        <f t="shared" si="106"/>
        <v>999999.99999309238</v>
      </c>
      <c r="N416" s="18">
        <f t="shared" si="107"/>
        <v>999999.99999309238</v>
      </c>
      <c r="O416" s="16"/>
      <c r="P416" s="18">
        <f t="shared" si="102"/>
        <v>2.9646942949767556</v>
      </c>
      <c r="Q416" s="18">
        <f t="shared" si="112"/>
        <v>574.84078746211526</v>
      </c>
      <c r="R416" s="18">
        <f t="shared" si="113"/>
        <v>0</v>
      </c>
      <c r="S416" s="18">
        <f t="shared" si="114"/>
        <v>0</v>
      </c>
      <c r="T416" s="18">
        <f t="shared" si="115"/>
        <v>0</v>
      </c>
      <c r="U416" s="16"/>
      <c r="V416" s="18">
        <f t="shared" si="108"/>
        <v>577.80548175709202</v>
      </c>
      <c r="W416" s="16"/>
      <c r="X416" s="18">
        <f t="shared" si="109"/>
        <v>201.48434814824731</v>
      </c>
      <c r="Y416" s="18">
        <f t="shared" si="110"/>
        <v>14.194518242907975</v>
      </c>
      <c r="Z416" s="18"/>
      <c r="AA416" s="18">
        <f t="shared" si="111"/>
        <v>3.5059163485483619E-5</v>
      </c>
    </row>
    <row r="417" spans="2:27" x14ac:dyDescent="0.35">
      <c r="B417" s="26">
        <v>108</v>
      </c>
      <c r="C417" s="26">
        <v>549</v>
      </c>
      <c r="D417" s="18">
        <f t="shared" si="101"/>
        <v>-0.6520030092840372</v>
      </c>
      <c r="E417" s="18">
        <f t="shared" si="116"/>
        <v>-8.4375107532685725</v>
      </c>
      <c r="F417" s="18">
        <f t="shared" si="116"/>
        <v>1000013.8155105581</v>
      </c>
      <c r="G417" s="18">
        <f t="shared" si="116"/>
        <v>1000013.8155105581</v>
      </c>
      <c r="H417" s="18">
        <f t="shared" si="116"/>
        <v>1000013.8155105581</v>
      </c>
      <c r="I417" s="16"/>
      <c r="J417" s="18">
        <f t="shared" si="103"/>
        <v>0.36256060983495447</v>
      </c>
      <c r="K417" s="18">
        <f t="shared" si="104"/>
        <v>2.1654172693201241E-4</v>
      </c>
      <c r="L417" s="18">
        <f t="shared" si="105"/>
        <v>999999.99999309238</v>
      </c>
      <c r="M417" s="18">
        <f t="shared" si="106"/>
        <v>999999.99999309238</v>
      </c>
      <c r="N417" s="18">
        <f t="shared" si="107"/>
        <v>999999.99999309238</v>
      </c>
      <c r="O417" s="16"/>
      <c r="P417" s="18">
        <f t="shared" si="102"/>
        <v>2.9255810580008745</v>
      </c>
      <c r="Q417" s="18">
        <f t="shared" si="112"/>
        <v>573.7700646735035</v>
      </c>
      <c r="R417" s="18">
        <f t="shared" si="113"/>
        <v>0</v>
      </c>
      <c r="S417" s="18">
        <f t="shared" si="114"/>
        <v>0</v>
      </c>
      <c r="T417" s="18">
        <f t="shared" si="115"/>
        <v>0</v>
      </c>
      <c r="U417" s="16"/>
      <c r="V417" s="18">
        <f t="shared" si="108"/>
        <v>576.69564573150433</v>
      </c>
      <c r="W417" s="16"/>
      <c r="X417" s="18">
        <f t="shared" si="109"/>
        <v>767.0487924849939</v>
      </c>
      <c r="Y417" s="18">
        <f t="shared" si="110"/>
        <v>27.695645731504328</v>
      </c>
      <c r="Z417" s="18"/>
      <c r="AA417" s="18">
        <f t="shared" si="111"/>
        <v>6.8405715144434848E-5</v>
      </c>
    </row>
    <row r="418" spans="2:27" x14ac:dyDescent="0.35">
      <c r="B418" s="26">
        <v>108.19999999999999</v>
      </c>
      <c r="C418" s="26">
        <v>577</v>
      </c>
      <c r="D418" s="18">
        <f t="shared" si="101"/>
        <v>-0.6424800567354767</v>
      </c>
      <c r="E418" s="18">
        <f t="shared" si="116"/>
        <v>-8.4362678337345312</v>
      </c>
      <c r="F418" s="18">
        <f t="shared" si="116"/>
        <v>1000013.8155105581</v>
      </c>
      <c r="G418" s="18">
        <f t="shared" si="116"/>
        <v>1000013.8155105581</v>
      </c>
      <c r="H418" s="18">
        <f t="shared" si="116"/>
        <v>1000013.8155105581</v>
      </c>
      <c r="I418" s="16"/>
      <c r="J418" s="18">
        <f t="shared" si="103"/>
        <v>0.36510105204997767</v>
      </c>
      <c r="K418" s="18">
        <f t="shared" si="104"/>
        <v>2.1681097982881005E-4</v>
      </c>
      <c r="L418" s="18">
        <f t="shared" si="105"/>
        <v>999999.99999309238</v>
      </c>
      <c r="M418" s="18">
        <f t="shared" si="106"/>
        <v>999999.99999309238</v>
      </c>
      <c r="N418" s="18">
        <f t="shared" si="107"/>
        <v>999999.99999309238</v>
      </c>
      <c r="O418" s="16"/>
      <c r="P418" s="18">
        <f t="shared" si="102"/>
        <v>2.8998177119696797</v>
      </c>
      <c r="Q418" s="18">
        <f t="shared" si="112"/>
        <v>573.057357695983</v>
      </c>
      <c r="R418" s="18">
        <f t="shared" si="113"/>
        <v>0</v>
      </c>
      <c r="S418" s="18">
        <f t="shared" si="114"/>
        <v>0</v>
      </c>
      <c r="T418" s="18">
        <f t="shared" si="115"/>
        <v>0</v>
      </c>
      <c r="U418" s="16"/>
      <c r="V418" s="18">
        <f t="shared" si="108"/>
        <v>575.95717540795272</v>
      </c>
      <c r="W418" s="16"/>
      <c r="X418" s="18">
        <f t="shared" si="109"/>
        <v>1.0874831297785799</v>
      </c>
      <c r="Y418" s="18">
        <f t="shared" si="110"/>
        <v>1.0428245920472818</v>
      </c>
      <c r="Z418" s="18"/>
      <c r="AA418" s="18">
        <f t="shared" si="111"/>
        <v>2.5756814872907161E-6</v>
      </c>
    </row>
    <row r="419" spans="2:27" x14ac:dyDescent="0.35">
      <c r="B419" s="26">
        <v>108.5</v>
      </c>
      <c r="C419" s="26">
        <v>581</v>
      </c>
      <c r="D419" s="18">
        <f t="shared" si="101"/>
        <v>-0.62819562791263373</v>
      </c>
      <c r="E419" s="18">
        <f t="shared" si="116"/>
        <v>-8.4344034544334683</v>
      </c>
      <c r="F419" s="18">
        <f t="shared" si="116"/>
        <v>1000013.8155105581</v>
      </c>
      <c r="G419" s="18">
        <f t="shared" si="116"/>
        <v>1000013.8155105581</v>
      </c>
      <c r="H419" s="18">
        <f t="shared" si="116"/>
        <v>1000013.8155105581</v>
      </c>
      <c r="I419" s="16"/>
      <c r="J419" s="18">
        <f t="shared" si="103"/>
        <v>0.36893612499839812</v>
      </c>
      <c r="K419" s="18">
        <f t="shared" si="104"/>
        <v>2.1721548690865178E-4</v>
      </c>
      <c r="L419" s="18">
        <f t="shared" si="105"/>
        <v>999999.99999309238</v>
      </c>
      <c r="M419" s="18">
        <f t="shared" si="106"/>
        <v>999999.99999309238</v>
      </c>
      <c r="N419" s="18">
        <f t="shared" si="107"/>
        <v>999999.99999309238</v>
      </c>
      <c r="O419" s="16"/>
      <c r="P419" s="18">
        <f t="shared" si="102"/>
        <v>2.8616348598481984</v>
      </c>
      <c r="Q419" s="18">
        <f t="shared" si="112"/>
        <v>571.98995679947109</v>
      </c>
      <c r="R419" s="18">
        <f t="shared" si="113"/>
        <v>0</v>
      </c>
      <c r="S419" s="18">
        <f t="shared" si="114"/>
        <v>0</v>
      </c>
      <c r="T419" s="18">
        <f t="shared" si="115"/>
        <v>0</v>
      </c>
      <c r="U419" s="16"/>
      <c r="V419" s="18">
        <f t="shared" si="108"/>
        <v>574.8515916593193</v>
      </c>
      <c r="W419" s="16"/>
      <c r="X419" s="18">
        <f t="shared" si="109"/>
        <v>37.80292512375204</v>
      </c>
      <c r="Y419" s="18">
        <f t="shared" si="110"/>
        <v>6.1484083406807031</v>
      </c>
      <c r="Z419" s="18"/>
      <c r="AA419" s="18">
        <f t="shared" si="111"/>
        <v>1.5186006985417444E-5</v>
      </c>
    </row>
    <row r="420" spans="2:27" x14ac:dyDescent="0.35">
      <c r="B420" s="26">
        <v>108.79999999999998</v>
      </c>
      <c r="C420" s="26">
        <v>564</v>
      </c>
      <c r="D420" s="18">
        <f t="shared" si="101"/>
        <v>-0.61391119908979253</v>
      </c>
      <c r="E420" s="18">
        <f t="shared" si="116"/>
        <v>-8.4325390751324072</v>
      </c>
      <c r="F420" s="18">
        <f t="shared" si="116"/>
        <v>1000013.8155105581</v>
      </c>
      <c r="G420" s="18">
        <f t="shared" si="116"/>
        <v>1000013.8155105581</v>
      </c>
      <c r="H420" s="18">
        <f t="shared" si="116"/>
        <v>1000013.8155105581</v>
      </c>
      <c r="I420" s="16"/>
      <c r="J420" s="18">
        <f t="shared" si="103"/>
        <v>0.37280054233111681</v>
      </c>
      <c r="K420" s="18">
        <f t="shared" si="104"/>
        <v>2.176207485184395E-4</v>
      </c>
      <c r="L420" s="18">
        <f t="shared" si="105"/>
        <v>999999.99999309238</v>
      </c>
      <c r="M420" s="18">
        <f t="shared" si="106"/>
        <v>999999.99999309238</v>
      </c>
      <c r="N420" s="18">
        <f t="shared" si="107"/>
        <v>999999.99999309238</v>
      </c>
      <c r="O420" s="16"/>
      <c r="P420" s="18">
        <f t="shared" si="102"/>
        <v>2.8239994407807787</v>
      </c>
      <c r="Q420" s="18">
        <f t="shared" si="112"/>
        <v>570.92454408924868</v>
      </c>
      <c r="R420" s="18">
        <f t="shared" si="113"/>
        <v>0</v>
      </c>
      <c r="S420" s="18">
        <f t="shared" si="114"/>
        <v>0</v>
      </c>
      <c r="T420" s="18">
        <f t="shared" si="115"/>
        <v>0</v>
      </c>
      <c r="U420" s="16"/>
      <c r="V420" s="18">
        <f t="shared" si="108"/>
        <v>573.74854353002945</v>
      </c>
      <c r="W420" s="16"/>
      <c r="X420" s="18">
        <f t="shared" si="109"/>
        <v>95.034100956879072</v>
      </c>
      <c r="Y420" s="18">
        <f t="shared" si="110"/>
        <v>9.7485435300294512</v>
      </c>
      <c r="Z420" s="18"/>
      <c r="AA420" s="18">
        <f t="shared" si="111"/>
        <v>2.4078012054788685E-5</v>
      </c>
    </row>
    <row r="421" spans="2:27" x14ac:dyDescent="0.35">
      <c r="B421" s="26">
        <v>109.1</v>
      </c>
      <c r="C421" s="26">
        <v>564</v>
      </c>
      <c r="D421" s="18">
        <f t="shared" si="101"/>
        <v>-0.59962677026694955</v>
      </c>
      <c r="E421" s="18">
        <f t="shared" si="116"/>
        <v>-8.4306746958313461</v>
      </c>
      <c r="F421" s="18">
        <f t="shared" si="116"/>
        <v>1000013.8155105581</v>
      </c>
      <c r="G421" s="18">
        <f t="shared" si="116"/>
        <v>1000013.8155105581</v>
      </c>
      <c r="H421" s="18">
        <f t="shared" si="116"/>
        <v>1000013.8155105581</v>
      </c>
      <c r="I421" s="16"/>
      <c r="J421" s="18">
        <f t="shared" si="103"/>
        <v>0.37669436171168197</v>
      </c>
      <c r="K421" s="18">
        <f t="shared" si="104"/>
        <v>2.1802676606499051E-4</v>
      </c>
      <c r="L421" s="18">
        <f t="shared" si="105"/>
        <v>999999.99999309238</v>
      </c>
      <c r="M421" s="18">
        <f t="shared" si="106"/>
        <v>999999.99999309238</v>
      </c>
      <c r="N421" s="18">
        <f t="shared" si="107"/>
        <v>999999.99999309238</v>
      </c>
      <c r="O421" s="16"/>
      <c r="P421" s="18">
        <f t="shared" si="102"/>
        <v>2.7869034959506425</v>
      </c>
      <c r="Q421" s="18">
        <f t="shared" si="112"/>
        <v>569.86111586203492</v>
      </c>
      <c r="R421" s="18">
        <f t="shared" si="113"/>
        <v>0</v>
      </c>
      <c r="S421" s="18">
        <f t="shared" si="114"/>
        <v>0</v>
      </c>
      <c r="T421" s="18">
        <f t="shared" si="115"/>
        <v>0</v>
      </c>
      <c r="U421" s="16"/>
      <c r="V421" s="18">
        <f t="shared" si="108"/>
        <v>572.64801935798562</v>
      </c>
      <c r="W421" s="16"/>
      <c r="X421" s="18">
        <f t="shared" si="109"/>
        <v>74.78823881609398</v>
      </c>
      <c r="Y421" s="18">
        <f t="shared" si="110"/>
        <v>8.6480193579856177</v>
      </c>
      <c r="Z421" s="18"/>
      <c r="AA421" s="18">
        <f t="shared" si="111"/>
        <v>2.1359817875377998E-5</v>
      </c>
    </row>
    <row r="422" spans="2:27" x14ac:dyDescent="0.35">
      <c r="B422" s="26">
        <v>109.4</v>
      </c>
      <c r="C422" s="26">
        <v>546</v>
      </c>
      <c r="D422" s="18">
        <f t="shared" si="101"/>
        <v>-0.58534234144410657</v>
      </c>
      <c r="E422" s="18">
        <f t="shared" si="116"/>
        <v>-8.4288103165302832</v>
      </c>
      <c r="F422" s="18">
        <f t="shared" si="116"/>
        <v>1000013.8155105581</v>
      </c>
      <c r="G422" s="18">
        <f t="shared" si="116"/>
        <v>1000013.8155105581</v>
      </c>
      <c r="H422" s="18">
        <f t="shared" si="116"/>
        <v>1000013.8155105581</v>
      </c>
      <c r="I422" s="16"/>
      <c r="J422" s="18">
        <f t="shared" si="103"/>
        <v>0.38061763886368349</v>
      </c>
      <c r="K422" s="18">
        <f t="shared" si="104"/>
        <v>2.1843354095774293E-4</v>
      </c>
      <c r="L422" s="18">
        <f t="shared" si="105"/>
        <v>999999.99999309238</v>
      </c>
      <c r="M422" s="18">
        <f t="shared" si="106"/>
        <v>999999.99999309238</v>
      </c>
      <c r="N422" s="18">
        <f t="shared" si="107"/>
        <v>999999.99999309238</v>
      </c>
      <c r="O422" s="16"/>
      <c r="P422" s="18">
        <f t="shared" si="102"/>
        <v>2.7503391789258989</v>
      </c>
      <c r="Q422" s="18">
        <f t="shared" si="112"/>
        <v>568.79966842144654</v>
      </c>
      <c r="R422" s="18">
        <f t="shared" si="113"/>
        <v>0</v>
      </c>
      <c r="S422" s="18">
        <f t="shared" si="114"/>
        <v>0</v>
      </c>
      <c r="T422" s="18">
        <f t="shared" si="115"/>
        <v>0</v>
      </c>
      <c r="U422" s="16"/>
      <c r="V422" s="18">
        <f t="shared" si="108"/>
        <v>571.5500076003724</v>
      </c>
      <c r="W422" s="16"/>
      <c r="X422" s="18">
        <f t="shared" si="109"/>
        <v>652.80288837908722</v>
      </c>
      <c r="Y422" s="18">
        <f t="shared" si="110"/>
        <v>25.550007600372396</v>
      </c>
      <c r="Z422" s="18"/>
      <c r="AA422" s="18">
        <f t="shared" si="111"/>
        <v>6.3106184950261027E-5</v>
      </c>
    </row>
    <row r="423" spans="2:27" x14ac:dyDescent="0.35">
      <c r="B423" s="26">
        <v>109.69999999999999</v>
      </c>
      <c r="C423" s="26">
        <v>540</v>
      </c>
      <c r="D423" s="18">
        <f t="shared" si="101"/>
        <v>-0.57105791262126537</v>
      </c>
      <c r="E423" s="18">
        <f t="shared" ref="E423:H423" si="117">D$23/(D$21*$A$21)-LN((D$21*$A$21)/D$23)+$B423*D$22</f>
        <v>-8.4269459372292221</v>
      </c>
      <c r="F423" s="18">
        <f t="shared" si="117"/>
        <v>1000013.8155105581</v>
      </c>
      <c r="G423" s="18">
        <f t="shared" si="117"/>
        <v>1000013.8155105581</v>
      </c>
      <c r="H423" s="18">
        <f t="shared" si="117"/>
        <v>1000013.8155105581</v>
      </c>
      <c r="I423" s="16"/>
      <c r="J423" s="18">
        <f t="shared" si="103"/>
        <v>0.38457042756615112</v>
      </c>
      <c r="K423" s="18">
        <f t="shared" si="104"/>
        <v>2.1884107460875919E-4</v>
      </c>
      <c r="L423" s="18">
        <f t="shared" si="105"/>
        <v>999999.99999309238</v>
      </c>
      <c r="M423" s="18">
        <f t="shared" si="106"/>
        <v>999999.99999309238</v>
      </c>
      <c r="N423" s="18">
        <f t="shared" si="107"/>
        <v>999999.99999309238</v>
      </c>
      <c r="O423" s="16"/>
      <c r="P423" s="18">
        <f t="shared" si="102"/>
        <v>2.7142987541290169</v>
      </c>
      <c r="Q423" s="18">
        <f t="shared" si="112"/>
        <v>567.74019807798857</v>
      </c>
      <c r="R423" s="18">
        <f t="shared" si="113"/>
        <v>0</v>
      </c>
      <c r="S423" s="18">
        <f t="shared" si="114"/>
        <v>0</v>
      </c>
      <c r="T423" s="18">
        <f t="shared" si="115"/>
        <v>0</v>
      </c>
      <c r="U423" s="16"/>
      <c r="V423" s="18">
        <f t="shared" si="108"/>
        <v>570.45449683211757</v>
      </c>
      <c r="W423" s="16"/>
      <c r="X423" s="18">
        <f t="shared" si="109"/>
        <v>927.47637729745907</v>
      </c>
      <c r="Y423" s="18">
        <f t="shared" si="110"/>
        <v>30.45449683211757</v>
      </c>
      <c r="Z423" s="18"/>
      <c r="AA423" s="18">
        <f t="shared" si="111"/>
        <v>7.5219825360315682E-5</v>
      </c>
    </row>
    <row r="424" spans="2:27" x14ac:dyDescent="0.35">
      <c r="B424" s="26">
        <v>110</v>
      </c>
      <c r="C424" s="26">
        <v>543</v>
      </c>
      <c r="D424" s="18">
        <f t="shared" ref="D424:H487" si="118">C$23/(C$21*$A$21)-LN((C$21*$A$21)/C$23)+$B424*C$22</f>
        <v>-0.5567734837984224</v>
      </c>
      <c r="E424" s="18">
        <f t="shared" si="118"/>
        <v>-8.425081557928161</v>
      </c>
      <c r="F424" s="18">
        <f t="shared" si="118"/>
        <v>1000013.8155105581</v>
      </c>
      <c r="G424" s="18">
        <f t="shared" si="118"/>
        <v>1000013.8155105581</v>
      </c>
      <c r="H424" s="18">
        <f t="shared" si="118"/>
        <v>1000013.8155105581</v>
      </c>
      <c r="I424" s="16"/>
      <c r="J424" s="18">
        <f t="shared" si="103"/>
        <v>0.38855277964958196</v>
      </c>
      <c r="K424" s="18">
        <f t="shared" si="104"/>
        <v>2.1924936843273343E-4</v>
      </c>
      <c r="L424" s="18">
        <f t="shared" si="105"/>
        <v>999999.99999309238</v>
      </c>
      <c r="M424" s="18">
        <f t="shared" si="106"/>
        <v>999999.99999309238</v>
      </c>
      <c r="N424" s="18">
        <f t="shared" si="107"/>
        <v>999999.99999309238</v>
      </c>
      <c r="O424" s="16"/>
      <c r="P424" s="18">
        <f t="shared" ref="P424:P487" si="119">(C$23*C$22)/(J424+J424^2)</f>
        <v>2.6787745953278823</v>
      </c>
      <c r="Q424" s="18">
        <f t="shared" si="112"/>
        <v>566.68270114903532</v>
      </c>
      <c r="R424" s="18">
        <f t="shared" si="113"/>
        <v>0</v>
      </c>
      <c r="S424" s="18">
        <f t="shared" si="114"/>
        <v>0</v>
      </c>
      <c r="T424" s="18">
        <f t="shared" si="115"/>
        <v>0</v>
      </c>
      <c r="U424" s="16"/>
      <c r="V424" s="18">
        <f t="shared" si="108"/>
        <v>569.36147574436325</v>
      </c>
      <c r="W424" s="16"/>
      <c r="X424" s="18">
        <f t="shared" si="109"/>
        <v>694.92740342065179</v>
      </c>
      <c r="Y424" s="18">
        <f t="shared" si="110"/>
        <v>26.361475744363247</v>
      </c>
      <c r="Z424" s="18"/>
      <c r="AA424" s="18">
        <f t="shared" si="111"/>
        <v>6.5110437143719692E-5</v>
      </c>
    </row>
    <row r="425" spans="2:27" x14ac:dyDescent="0.35">
      <c r="B425" s="26">
        <v>110.19999999999999</v>
      </c>
      <c r="C425" s="26">
        <v>567</v>
      </c>
      <c r="D425" s="18">
        <f t="shared" si="118"/>
        <v>-0.54725053124986101</v>
      </c>
      <c r="E425" s="18">
        <f t="shared" si="118"/>
        <v>-8.4238386383941197</v>
      </c>
      <c r="F425" s="18">
        <f t="shared" si="118"/>
        <v>1000013.8155105581</v>
      </c>
      <c r="G425" s="18">
        <f t="shared" si="118"/>
        <v>1000013.8155105581</v>
      </c>
      <c r="H425" s="18">
        <f t="shared" si="118"/>
        <v>1000013.8155105581</v>
      </c>
      <c r="I425" s="16"/>
      <c r="J425" s="18">
        <f t="shared" si="103"/>
        <v>0.39122412985089772</v>
      </c>
      <c r="K425" s="18">
        <f t="shared" si="104"/>
        <v>2.1952198733350006E-4</v>
      </c>
      <c r="L425" s="18">
        <f t="shared" si="105"/>
        <v>999999.99999309238</v>
      </c>
      <c r="M425" s="18">
        <f t="shared" si="106"/>
        <v>999999.99999309238</v>
      </c>
      <c r="N425" s="18">
        <f t="shared" si="107"/>
        <v>999999.99999309238</v>
      </c>
      <c r="O425" s="16"/>
      <c r="P425" s="18">
        <f t="shared" si="119"/>
        <v>2.6553749200642169</v>
      </c>
      <c r="Q425" s="18">
        <f t="shared" si="112"/>
        <v>565.97879772231624</v>
      </c>
      <c r="R425" s="18">
        <f t="shared" si="113"/>
        <v>0</v>
      </c>
      <c r="S425" s="18">
        <f t="shared" si="114"/>
        <v>0</v>
      </c>
      <c r="T425" s="18">
        <f t="shared" si="115"/>
        <v>0</v>
      </c>
      <c r="U425" s="16"/>
      <c r="V425" s="18">
        <f t="shared" si="108"/>
        <v>568.63417264238046</v>
      </c>
      <c r="W425" s="16"/>
      <c r="X425" s="18">
        <f t="shared" si="109"/>
        <v>2.6705202251047444</v>
      </c>
      <c r="Y425" s="18">
        <f t="shared" si="110"/>
        <v>1.634172642380463</v>
      </c>
      <c r="Z425" s="18"/>
      <c r="AA425" s="18">
        <f t="shared" si="111"/>
        <v>4.036257155916274E-6</v>
      </c>
    </row>
    <row r="426" spans="2:27" x14ac:dyDescent="0.35">
      <c r="B426" s="26">
        <v>110.5</v>
      </c>
      <c r="C426" s="26">
        <v>556</v>
      </c>
      <c r="D426" s="18">
        <f t="shared" si="118"/>
        <v>-0.53296610242701803</v>
      </c>
      <c r="E426" s="18">
        <f t="shared" si="118"/>
        <v>-8.4219742590930569</v>
      </c>
      <c r="F426" s="18">
        <f t="shared" si="118"/>
        <v>1000013.8155105581</v>
      </c>
      <c r="G426" s="18">
        <f t="shared" si="118"/>
        <v>1000013.8155105581</v>
      </c>
      <c r="H426" s="18">
        <f t="shared" si="118"/>
        <v>1000013.8155105581</v>
      </c>
      <c r="I426" s="16"/>
      <c r="J426" s="18">
        <f t="shared" si="103"/>
        <v>0.39525586411216956</v>
      </c>
      <c r="K426" s="18">
        <f t="shared" si="104"/>
        <v>2.1993155126332848E-4</v>
      </c>
      <c r="L426" s="18">
        <f t="shared" si="105"/>
        <v>999999.99999309238</v>
      </c>
      <c r="M426" s="18">
        <f t="shared" si="106"/>
        <v>999999.99999309238</v>
      </c>
      <c r="N426" s="18">
        <f t="shared" si="107"/>
        <v>999999.99999309238</v>
      </c>
      <c r="O426" s="16"/>
      <c r="P426" s="18">
        <f t="shared" si="119"/>
        <v>2.6206945496891314</v>
      </c>
      <c r="Q426" s="18">
        <f t="shared" si="112"/>
        <v>564.92458165255027</v>
      </c>
      <c r="R426" s="18">
        <f t="shared" si="113"/>
        <v>0</v>
      </c>
      <c r="S426" s="18">
        <f t="shared" si="114"/>
        <v>0</v>
      </c>
      <c r="T426" s="18">
        <f t="shared" si="115"/>
        <v>0</v>
      </c>
      <c r="U426" s="16"/>
      <c r="V426" s="18">
        <f t="shared" si="108"/>
        <v>567.54527620223939</v>
      </c>
      <c r="W426" s="16"/>
      <c r="X426" s="18">
        <f t="shared" si="109"/>
        <v>133.29340258599527</v>
      </c>
      <c r="Y426" s="18">
        <f t="shared" si="110"/>
        <v>11.545276202239393</v>
      </c>
      <c r="Z426" s="18"/>
      <c r="AA426" s="18">
        <f t="shared" si="111"/>
        <v>2.8515777635610067E-5</v>
      </c>
    </row>
    <row r="427" spans="2:27" x14ac:dyDescent="0.35">
      <c r="B427" s="26">
        <v>110.79999999999998</v>
      </c>
      <c r="C427" s="26">
        <v>533</v>
      </c>
      <c r="D427" s="18">
        <f t="shared" si="118"/>
        <v>-0.51868167360417683</v>
      </c>
      <c r="E427" s="18">
        <f t="shared" si="118"/>
        <v>-8.4201098797919958</v>
      </c>
      <c r="F427" s="18">
        <f t="shared" si="118"/>
        <v>1000013.8155105581</v>
      </c>
      <c r="G427" s="18">
        <f t="shared" si="118"/>
        <v>1000013.8155105581</v>
      </c>
      <c r="H427" s="18">
        <f t="shared" si="118"/>
        <v>1000013.8155105581</v>
      </c>
      <c r="I427" s="16"/>
      <c r="J427" s="18">
        <f t="shared" si="103"/>
        <v>0.39931729041945274</v>
      </c>
      <c r="K427" s="18">
        <f t="shared" si="104"/>
        <v>2.2034187915152842E-4</v>
      </c>
      <c r="L427" s="18">
        <f t="shared" si="105"/>
        <v>999999.99999309238</v>
      </c>
      <c r="M427" s="18">
        <f t="shared" si="106"/>
        <v>999999.99999309238</v>
      </c>
      <c r="N427" s="18">
        <f t="shared" si="107"/>
        <v>999999.99999309238</v>
      </c>
      <c r="O427" s="16"/>
      <c r="P427" s="18">
        <f t="shared" si="119"/>
        <v>2.5865106320205267</v>
      </c>
      <c r="Q427" s="18">
        <f t="shared" si="112"/>
        <v>563.87232921045734</v>
      </c>
      <c r="R427" s="18">
        <f t="shared" si="113"/>
        <v>0</v>
      </c>
      <c r="S427" s="18">
        <f t="shared" si="114"/>
        <v>0</v>
      </c>
      <c r="T427" s="18">
        <f t="shared" si="115"/>
        <v>0</v>
      </c>
      <c r="U427" s="16"/>
      <c r="V427" s="18">
        <f t="shared" si="108"/>
        <v>566.45883984247791</v>
      </c>
      <c r="W427" s="16"/>
      <c r="X427" s="18">
        <f t="shared" si="109"/>
        <v>1119.4939636045874</v>
      </c>
      <c r="Y427" s="18">
        <f t="shared" si="110"/>
        <v>33.458839842477914</v>
      </c>
      <c r="Z427" s="18"/>
      <c r="AA427" s="18">
        <f t="shared" si="111"/>
        <v>8.2640278169224466E-5</v>
      </c>
    </row>
    <row r="428" spans="2:27" x14ac:dyDescent="0.35">
      <c r="B428" s="26">
        <v>111.1</v>
      </c>
      <c r="C428" s="26">
        <v>539</v>
      </c>
      <c r="D428" s="18">
        <f t="shared" si="118"/>
        <v>-0.50439724478133385</v>
      </c>
      <c r="E428" s="18">
        <f t="shared" si="118"/>
        <v>-8.4182455004909347</v>
      </c>
      <c r="F428" s="18">
        <f t="shared" si="118"/>
        <v>1000013.8155105581</v>
      </c>
      <c r="G428" s="18">
        <f t="shared" si="118"/>
        <v>1000013.8155105581</v>
      </c>
      <c r="H428" s="18">
        <f t="shared" si="118"/>
        <v>1000013.8155105581</v>
      </c>
      <c r="I428" s="16"/>
      <c r="J428" s="18">
        <f t="shared" si="103"/>
        <v>0.40340845343477466</v>
      </c>
      <c r="K428" s="18">
        <f t="shared" si="104"/>
        <v>2.2075297242248089E-4</v>
      </c>
      <c r="L428" s="18">
        <f t="shared" si="105"/>
        <v>999999.99999309238</v>
      </c>
      <c r="M428" s="18">
        <f t="shared" si="106"/>
        <v>999999.99999309238</v>
      </c>
      <c r="N428" s="18">
        <f t="shared" si="107"/>
        <v>999999.99999309238</v>
      </c>
      <c r="O428" s="16"/>
      <c r="P428" s="18">
        <f t="shared" si="119"/>
        <v>2.5528159291889772</v>
      </c>
      <c r="Q428" s="18">
        <f t="shared" si="112"/>
        <v>562.8220367385004</v>
      </c>
      <c r="R428" s="18">
        <f t="shared" si="113"/>
        <v>0</v>
      </c>
      <c r="S428" s="18">
        <f t="shared" si="114"/>
        <v>0</v>
      </c>
      <c r="T428" s="18">
        <f t="shared" si="115"/>
        <v>0</v>
      </c>
      <c r="U428" s="16"/>
      <c r="V428" s="18">
        <f t="shared" si="108"/>
        <v>565.37485266768942</v>
      </c>
      <c r="W428" s="16"/>
      <c r="X428" s="18">
        <f t="shared" si="109"/>
        <v>695.6328532423239</v>
      </c>
      <c r="Y428" s="18">
        <f t="shared" si="110"/>
        <v>26.374852667689424</v>
      </c>
      <c r="Z428" s="18"/>
      <c r="AA428" s="18">
        <f t="shared" si="111"/>
        <v>6.5143476922442683E-5</v>
      </c>
    </row>
    <row r="429" spans="2:27" x14ac:dyDescent="0.35">
      <c r="B429" s="26">
        <v>111.4</v>
      </c>
      <c r="C429" s="26">
        <v>545</v>
      </c>
      <c r="D429" s="18">
        <f t="shared" si="118"/>
        <v>-0.49011281595849088</v>
      </c>
      <c r="E429" s="18">
        <f t="shared" si="118"/>
        <v>-8.4163811211898718</v>
      </c>
      <c r="F429" s="18">
        <f t="shared" si="118"/>
        <v>1000013.8155105581</v>
      </c>
      <c r="G429" s="18">
        <f t="shared" si="118"/>
        <v>1000013.8155105581</v>
      </c>
      <c r="H429" s="18">
        <f t="shared" si="118"/>
        <v>1000013.8155105581</v>
      </c>
      <c r="I429" s="16"/>
      <c r="J429" s="18">
        <f t="shared" si="103"/>
        <v>0.40752939586136894</v>
      </c>
      <c r="K429" s="18">
        <f t="shared" si="104"/>
        <v>2.2116483250322048E-4</v>
      </c>
      <c r="L429" s="18">
        <f t="shared" si="105"/>
        <v>999999.99999309238</v>
      </c>
      <c r="M429" s="18">
        <f t="shared" si="106"/>
        <v>999999.99999309238</v>
      </c>
      <c r="N429" s="18">
        <f t="shared" si="107"/>
        <v>999999.99999309238</v>
      </c>
      <c r="O429" s="16"/>
      <c r="P429" s="18">
        <f t="shared" si="119"/>
        <v>2.5196033059038596</v>
      </c>
      <c r="Q429" s="18">
        <f t="shared" si="112"/>
        <v>561.773700585955</v>
      </c>
      <c r="R429" s="18">
        <f t="shared" si="113"/>
        <v>0</v>
      </c>
      <c r="S429" s="18">
        <f t="shared" si="114"/>
        <v>0</v>
      </c>
      <c r="T429" s="18">
        <f t="shared" si="115"/>
        <v>0</v>
      </c>
      <c r="U429" s="16"/>
      <c r="V429" s="18">
        <f t="shared" si="108"/>
        <v>564.29330389185884</v>
      </c>
      <c r="W429" s="16"/>
      <c r="X429" s="18">
        <f t="shared" si="109"/>
        <v>372.23157506361548</v>
      </c>
      <c r="Y429" s="18">
        <f t="shared" si="110"/>
        <v>19.293303891858841</v>
      </c>
      <c r="Z429" s="18"/>
      <c r="AA429" s="18">
        <f t="shared" si="111"/>
        <v>4.765269829835547E-5</v>
      </c>
    </row>
    <row r="430" spans="2:27" x14ac:dyDescent="0.35">
      <c r="B430" s="26">
        <v>111.69999999999999</v>
      </c>
      <c r="C430" s="26">
        <v>581</v>
      </c>
      <c r="D430" s="18">
        <f t="shared" si="118"/>
        <v>-0.47582838713564968</v>
      </c>
      <c r="E430" s="18">
        <f t="shared" si="118"/>
        <v>-8.4145167418888107</v>
      </c>
      <c r="F430" s="18">
        <f t="shared" si="118"/>
        <v>1000013.8155105581</v>
      </c>
      <c r="G430" s="18">
        <f t="shared" si="118"/>
        <v>1000013.8155105581</v>
      </c>
      <c r="H430" s="18">
        <f t="shared" si="118"/>
        <v>1000013.8155105581</v>
      </c>
      <c r="I430" s="16"/>
      <c r="J430" s="18">
        <f t="shared" si="103"/>
        <v>0.41168015844323663</v>
      </c>
      <c r="K430" s="18">
        <f t="shared" si="104"/>
        <v>2.2157746082343866E-4</v>
      </c>
      <c r="L430" s="18">
        <f t="shared" si="105"/>
        <v>999999.99999309238</v>
      </c>
      <c r="M430" s="18">
        <f t="shared" si="106"/>
        <v>999999.99999309238</v>
      </c>
      <c r="N430" s="18">
        <f t="shared" si="107"/>
        <v>999999.99999309238</v>
      </c>
      <c r="O430" s="16"/>
      <c r="P430" s="18">
        <f t="shared" si="119"/>
        <v>2.4868657280601729</v>
      </c>
      <c r="Q430" s="18">
        <f t="shared" si="112"/>
        <v>560.72731710889991</v>
      </c>
      <c r="R430" s="18">
        <f t="shared" si="113"/>
        <v>0</v>
      </c>
      <c r="S430" s="18">
        <f t="shared" si="114"/>
        <v>0</v>
      </c>
      <c r="T430" s="18">
        <f t="shared" si="115"/>
        <v>0</v>
      </c>
      <c r="U430" s="16"/>
      <c r="V430" s="18">
        <f t="shared" si="108"/>
        <v>563.21418283696005</v>
      </c>
      <c r="W430" s="16"/>
      <c r="X430" s="18">
        <f t="shared" si="109"/>
        <v>316.33529215708649</v>
      </c>
      <c r="Y430" s="18">
        <f t="shared" si="110"/>
        <v>17.785817163039951</v>
      </c>
      <c r="Z430" s="18"/>
      <c r="AA430" s="18">
        <f t="shared" si="111"/>
        <v>4.3929343777023652E-5</v>
      </c>
    </row>
    <row r="431" spans="2:27" x14ac:dyDescent="0.35">
      <c r="B431" s="26">
        <v>112</v>
      </c>
      <c r="C431" s="26">
        <v>536</v>
      </c>
      <c r="D431" s="18">
        <f t="shared" si="118"/>
        <v>-0.4615439583128067</v>
      </c>
      <c r="E431" s="18">
        <f t="shared" si="118"/>
        <v>-8.4126523625877496</v>
      </c>
      <c r="F431" s="18">
        <f t="shared" si="118"/>
        <v>1000013.8155105581</v>
      </c>
      <c r="G431" s="18">
        <f t="shared" si="118"/>
        <v>1000013.8155105581</v>
      </c>
      <c r="H431" s="18">
        <f t="shared" si="118"/>
        <v>1000013.8155105581</v>
      </c>
      <c r="I431" s="16"/>
      <c r="J431" s="18">
        <f t="shared" si="103"/>
        <v>0.41586077996531778</v>
      </c>
      <c r="K431" s="18">
        <f t="shared" si="104"/>
        <v>2.2199085881549155E-4</v>
      </c>
      <c r="L431" s="18">
        <f t="shared" si="105"/>
        <v>999999.99999309238</v>
      </c>
      <c r="M431" s="18">
        <f t="shared" si="106"/>
        <v>999999.99999309238</v>
      </c>
      <c r="N431" s="18">
        <f t="shared" si="107"/>
        <v>999999.99999309238</v>
      </c>
      <c r="O431" s="16"/>
      <c r="P431" s="18">
        <f t="shared" si="119"/>
        <v>2.4545962613647054</v>
      </c>
      <c r="Q431" s="18">
        <f t="shared" si="112"/>
        <v>559.68288267019807</v>
      </c>
      <c r="R431" s="18">
        <f t="shared" si="113"/>
        <v>0</v>
      </c>
      <c r="S431" s="18">
        <f t="shared" si="114"/>
        <v>0</v>
      </c>
      <c r="T431" s="18">
        <f t="shared" si="115"/>
        <v>0</v>
      </c>
      <c r="U431" s="16"/>
      <c r="V431" s="18">
        <f t="shared" si="108"/>
        <v>562.13747893156278</v>
      </c>
      <c r="W431" s="16"/>
      <c r="X431" s="18">
        <f t="shared" si="109"/>
        <v>683.16780489788835</v>
      </c>
      <c r="Y431" s="18">
        <f t="shared" si="110"/>
        <v>26.137478931562782</v>
      </c>
      <c r="Z431" s="18"/>
      <c r="AA431" s="18">
        <f t="shared" si="111"/>
        <v>6.45571854767163E-5</v>
      </c>
    </row>
    <row r="432" spans="2:27" x14ac:dyDescent="0.35">
      <c r="B432" s="26">
        <v>112.19999999999999</v>
      </c>
      <c r="C432" s="26">
        <v>528</v>
      </c>
      <c r="D432" s="18">
        <f t="shared" si="118"/>
        <v>-0.4520210057642462</v>
      </c>
      <c r="E432" s="18">
        <f t="shared" si="118"/>
        <v>-8.4114094430537083</v>
      </c>
      <c r="F432" s="18">
        <f t="shared" si="118"/>
        <v>1000013.8155105581</v>
      </c>
      <c r="G432" s="18">
        <f t="shared" si="118"/>
        <v>1000013.8155105581</v>
      </c>
      <c r="H432" s="18">
        <f t="shared" si="118"/>
        <v>1000013.8155105581</v>
      </c>
      <c r="I432" s="16"/>
      <c r="J432" s="18">
        <f t="shared" si="103"/>
        <v>0.41866446754670933</v>
      </c>
      <c r="K432" s="18">
        <f t="shared" si="104"/>
        <v>2.2226688578086772E-4</v>
      </c>
      <c r="L432" s="18">
        <f t="shared" si="105"/>
        <v>999999.99999309238</v>
      </c>
      <c r="M432" s="18">
        <f t="shared" si="106"/>
        <v>999999.99999309238</v>
      </c>
      <c r="N432" s="18">
        <f t="shared" si="107"/>
        <v>999999.99999309238</v>
      </c>
      <c r="O432" s="16"/>
      <c r="P432" s="18">
        <f t="shared" si="119"/>
        <v>2.4333399655838757</v>
      </c>
      <c r="Q432" s="18">
        <f t="shared" si="112"/>
        <v>558.98767405043225</v>
      </c>
      <c r="R432" s="18">
        <f t="shared" si="113"/>
        <v>0</v>
      </c>
      <c r="S432" s="18">
        <f t="shared" si="114"/>
        <v>0</v>
      </c>
      <c r="T432" s="18">
        <f t="shared" si="115"/>
        <v>0</v>
      </c>
      <c r="U432" s="16"/>
      <c r="V432" s="18">
        <f t="shared" si="108"/>
        <v>561.4210140160161</v>
      </c>
      <c r="W432" s="16"/>
      <c r="X432" s="18">
        <f t="shared" si="109"/>
        <v>1116.9641778587447</v>
      </c>
      <c r="Y432" s="18">
        <f t="shared" si="110"/>
        <v>33.421014016016102</v>
      </c>
      <c r="Z432" s="18"/>
      <c r="AA432" s="18">
        <f t="shared" si="111"/>
        <v>8.2546851833000559E-5</v>
      </c>
    </row>
    <row r="433" spans="2:27" x14ac:dyDescent="0.35">
      <c r="B433" s="26">
        <v>112.5</v>
      </c>
      <c r="C433" s="26">
        <v>555</v>
      </c>
      <c r="D433" s="18">
        <f t="shared" si="118"/>
        <v>-0.43773657694140322</v>
      </c>
      <c r="E433" s="18">
        <f t="shared" si="118"/>
        <v>-8.4095450637526454</v>
      </c>
      <c r="F433" s="18">
        <f t="shared" si="118"/>
        <v>1000013.8155105581</v>
      </c>
      <c r="G433" s="18">
        <f t="shared" si="118"/>
        <v>1000013.8155105581</v>
      </c>
      <c r="H433" s="18">
        <f t="shared" si="118"/>
        <v>1000013.8155105581</v>
      </c>
      <c r="I433" s="16"/>
      <c r="J433" s="18">
        <f t="shared" si="103"/>
        <v>0.42289493483971213</v>
      </c>
      <c r="K433" s="18">
        <f t="shared" si="104"/>
        <v>2.2268156974957393E-4</v>
      </c>
      <c r="L433" s="18">
        <f t="shared" si="105"/>
        <v>999999.99999309238</v>
      </c>
      <c r="M433" s="18">
        <f t="shared" si="106"/>
        <v>999999.99999309238</v>
      </c>
      <c r="N433" s="18">
        <f t="shared" si="107"/>
        <v>999999.99999309238</v>
      </c>
      <c r="O433" s="16"/>
      <c r="P433" s="18">
        <f t="shared" si="119"/>
        <v>2.4018355414036767</v>
      </c>
      <c r="Q433" s="18">
        <f t="shared" si="112"/>
        <v>557.94647994485479</v>
      </c>
      <c r="R433" s="18">
        <f t="shared" si="113"/>
        <v>0</v>
      </c>
      <c r="S433" s="18">
        <f t="shared" si="114"/>
        <v>0</v>
      </c>
      <c r="T433" s="18">
        <f t="shared" si="115"/>
        <v>0</v>
      </c>
      <c r="U433" s="16"/>
      <c r="V433" s="18">
        <f t="shared" si="108"/>
        <v>560.34831548625846</v>
      </c>
      <c r="W433" s="16"/>
      <c r="X433" s="18">
        <f t="shared" si="109"/>
        <v>28.604478540552034</v>
      </c>
      <c r="Y433" s="18">
        <f t="shared" si="110"/>
        <v>5.348315486258457</v>
      </c>
      <c r="Z433" s="18"/>
      <c r="AA433" s="18">
        <f t="shared" si="111"/>
        <v>1.3209850718136466E-5</v>
      </c>
    </row>
    <row r="434" spans="2:27" x14ac:dyDescent="0.35">
      <c r="B434" s="26">
        <v>112.79999999999998</v>
      </c>
      <c r="C434" s="26">
        <v>563</v>
      </c>
      <c r="D434" s="18">
        <f t="shared" si="118"/>
        <v>-0.42345214811856113</v>
      </c>
      <c r="E434" s="18">
        <f t="shared" si="118"/>
        <v>-8.4076806844515843</v>
      </c>
      <c r="F434" s="18">
        <f t="shared" si="118"/>
        <v>1000013.8155105581</v>
      </c>
      <c r="G434" s="18">
        <f t="shared" si="118"/>
        <v>1000013.8155105581</v>
      </c>
      <c r="H434" s="18">
        <f t="shared" si="118"/>
        <v>1000013.8155105581</v>
      </c>
      <c r="I434" s="16"/>
      <c r="J434" s="18">
        <f t="shared" ref="J434:J497" si="120">lmb_2(D434)</f>
        <v>0.42715535492962564</v>
      </c>
      <c r="K434" s="18">
        <f t="shared" ref="K434:K497" si="121">lmb_2(E434)</f>
        <v>2.2309702722278737E-4</v>
      </c>
      <c r="L434" s="18">
        <f t="shared" ref="L434:L497" si="122">lmb_2(F434)</f>
        <v>999999.99999309238</v>
      </c>
      <c r="M434" s="18">
        <f t="shared" ref="M434:M497" si="123">lmb_2(G434)</f>
        <v>999999.99999309238</v>
      </c>
      <c r="N434" s="18">
        <f t="shared" ref="N434:N497" si="124">lmb_2(H434)</f>
        <v>999999.99999309238</v>
      </c>
      <c r="O434" s="16"/>
      <c r="P434" s="18">
        <f t="shared" si="119"/>
        <v>2.370781214647911</v>
      </c>
      <c r="Q434" s="18">
        <f t="shared" si="112"/>
        <v>556.90722521168868</v>
      </c>
      <c r="R434" s="18">
        <f t="shared" si="113"/>
        <v>0</v>
      </c>
      <c r="S434" s="18">
        <f t="shared" si="114"/>
        <v>0</v>
      </c>
      <c r="T434" s="18">
        <f t="shared" si="115"/>
        <v>0</v>
      </c>
      <c r="U434" s="16"/>
      <c r="V434" s="18">
        <f t="shared" ref="V434:V497" si="125">SUM(P434:T434)</f>
        <v>559.27800642633656</v>
      </c>
      <c r="W434" s="16"/>
      <c r="X434" s="18">
        <f t="shared" ref="X434:X497" si="126">(V434-C434)^2</f>
        <v>13.853236162391942</v>
      </c>
      <c r="Y434" s="18">
        <f t="shared" ref="Y434:Y497" si="127">ABS(V434-C434)</f>
        <v>3.7219935736634397</v>
      </c>
      <c r="Z434" s="18"/>
      <c r="AA434" s="18">
        <f t="shared" ref="AA434:AA497" si="128">Y434/$Z$39</f>
        <v>9.192984147678476E-6</v>
      </c>
    </row>
    <row r="435" spans="2:27" x14ac:dyDescent="0.35">
      <c r="B435" s="26">
        <v>113.1</v>
      </c>
      <c r="C435" s="26">
        <v>549</v>
      </c>
      <c r="D435" s="18">
        <f t="shared" si="118"/>
        <v>-0.40916771929571905</v>
      </c>
      <c r="E435" s="18">
        <f t="shared" si="118"/>
        <v>-8.4058163051505232</v>
      </c>
      <c r="F435" s="18">
        <f t="shared" si="118"/>
        <v>1000013.8155105581</v>
      </c>
      <c r="G435" s="18">
        <f t="shared" si="118"/>
        <v>1000013.8155105581</v>
      </c>
      <c r="H435" s="18">
        <f t="shared" si="118"/>
        <v>1000013.8155105581</v>
      </c>
      <c r="I435" s="16"/>
      <c r="J435" s="18">
        <f t="shared" si="120"/>
        <v>0.43144575942939317</v>
      </c>
      <c r="K435" s="18">
        <f t="shared" si="121"/>
        <v>2.2351325964267192E-4</v>
      </c>
      <c r="L435" s="18">
        <f t="shared" si="122"/>
        <v>999999.99999309238</v>
      </c>
      <c r="M435" s="18">
        <f t="shared" si="123"/>
        <v>999999.99999309238</v>
      </c>
      <c r="N435" s="18">
        <f t="shared" si="124"/>
        <v>999999.99999309238</v>
      </c>
      <c r="O435" s="16"/>
      <c r="P435" s="18">
        <f t="shared" si="119"/>
        <v>2.3401704055502077</v>
      </c>
      <c r="Q435" s="18">
        <f t="shared" si="112"/>
        <v>555.8699062385756</v>
      </c>
      <c r="R435" s="18">
        <f t="shared" si="113"/>
        <v>0</v>
      </c>
      <c r="S435" s="18">
        <f t="shared" si="114"/>
        <v>0</v>
      </c>
      <c r="T435" s="18">
        <f t="shared" si="115"/>
        <v>0</v>
      </c>
      <c r="U435" s="16"/>
      <c r="V435" s="18">
        <f t="shared" si="125"/>
        <v>558.21007664412582</v>
      </c>
      <c r="W435" s="16"/>
      <c r="X435" s="18">
        <f t="shared" si="126"/>
        <v>84.825511790671925</v>
      </c>
      <c r="Y435" s="18">
        <f t="shared" si="127"/>
        <v>9.2100766441258202</v>
      </c>
      <c r="Z435" s="18"/>
      <c r="AA435" s="18">
        <f t="shared" si="128"/>
        <v>2.2748048031962705E-5</v>
      </c>
    </row>
    <row r="436" spans="2:27" x14ac:dyDescent="0.35">
      <c r="B436" s="26">
        <v>113.4</v>
      </c>
      <c r="C436" s="26">
        <v>568</v>
      </c>
      <c r="D436" s="18">
        <f t="shared" si="118"/>
        <v>-0.39488329047287607</v>
      </c>
      <c r="E436" s="18">
        <f t="shared" si="118"/>
        <v>-8.4039519258494604</v>
      </c>
      <c r="F436" s="18">
        <f t="shared" si="118"/>
        <v>1000013.8155105581</v>
      </c>
      <c r="G436" s="18">
        <f t="shared" si="118"/>
        <v>1000013.8155105581</v>
      </c>
      <c r="H436" s="18">
        <f t="shared" si="118"/>
        <v>1000013.8155105581</v>
      </c>
      <c r="I436" s="16"/>
      <c r="J436" s="18">
        <f t="shared" si="120"/>
        <v>0.43576617800164719</v>
      </c>
      <c r="K436" s="18">
        <f t="shared" si="121"/>
        <v>2.2393026845407769E-4</v>
      </c>
      <c r="L436" s="18">
        <f t="shared" si="122"/>
        <v>999999.99999309238</v>
      </c>
      <c r="M436" s="18">
        <f t="shared" si="123"/>
        <v>999999.99999309238</v>
      </c>
      <c r="N436" s="18">
        <f t="shared" si="124"/>
        <v>999999.99999309238</v>
      </c>
      <c r="O436" s="16"/>
      <c r="P436" s="18">
        <f t="shared" si="119"/>
        <v>2.3099966279913806</v>
      </c>
      <c r="Q436" s="18">
        <f t="shared" si="112"/>
        <v>554.83451941988585</v>
      </c>
      <c r="R436" s="18">
        <f t="shared" si="113"/>
        <v>0</v>
      </c>
      <c r="S436" s="18">
        <f t="shared" si="114"/>
        <v>0</v>
      </c>
      <c r="T436" s="18">
        <f t="shared" si="115"/>
        <v>0</v>
      </c>
      <c r="U436" s="16"/>
      <c r="V436" s="18">
        <f t="shared" si="125"/>
        <v>557.14451604787723</v>
      </c>
      <c r="W436" s="16"/>
      <c r="X436" s="18">
        <f t="shared" si="126"/>
        <v>117.84153183479495</v>
      </c>
      <c r="Y436" s="18">
        <f t="shared" si="127"/>
        <v>10.855483952122768</v>
      </c>
      <c r="Z436" s="18"/>
      <c r="AA436" s="18">
        <f t="shared" si="128"/>
        <v>2.6812053785739978E-5</v>
      </c>
    </row>
    <row r="437" spans="2:27" x14ac:dyDescent="0.35">
      <c r="B437" s="26">
        <v>113.69999999999999</v>
      </c>
      <c r="C437" s="26">
        <v>555</v>
      </c>
      <c r="D437" s="18">
        <f t="shared" si="118"/>
        <v>-0.38059886165003398</v>
      </c>
      <c r="E437" s="18">
        <f t="shared" si="118"/>
        <v>-8.4020875465483993</v>
      </c>
      <c r="F437" s="18">
        <f t="shared" si="118"/>
        <v>1000013.8155105581</v>
      </c>
      <c r="G437" s="18">
        <f t="shared" si="118"/>
        <v>1000013.8155105581</v>
      </c>
      <c r="H437" s="18">
        <f t="shared" si="118"/>
        <v>1000013.8155105581</v>
      </c>
      <c r="I437" s="16"/>
      <c r="J437" s="18">
        <f t="shared" si="120"/>
        <v>0.44011663836225451</v>
      </c>
      <c r="K437" s="18">
        <f t="shared" si="121"/>
        <v>2.2434805510454503E-4</v>
      </c>
      <c r="L437" s="18">
        <f t="shared" si="122"/>
        <v>999999.99999309238</v>
      </c>
      <c r="M437" s="18">
        <f t="shared" si="123"/>
        <v>999999.99999309238</v>
      </c>
      <c r="N437" s="18">
        <f t="shared" si="124"/>
        <v>999999.99999309238</v>
      </c>
      <c r="O437" s="16"/>
      <c r="P437" s="18">
        <f t="shared" si="119"/>
        <v>2.2802534882293939</v>
      </c>
      <c r="Q437" s="18">
        <f t="shared" si="112"/>
        <v>553.80106115670924</v>
      </c>
      <c r="R437" s="18">
        <f t="shared" si="113"/>
        <v>0</v>
      </c>
      <c r="S437" s="18">
        <f t="shared" si="114"/>
        <v>0</v>
      </c>
      <c r="T437" s="18">
        <f t="shared" si="115"/>
        <v>0</v>
      </c>
      <c r="U437" s="16"/>
      <c r="V437" s="18">
        <f t="shared" si="125"/>
        <v>556.08131464493863</v>
      </c>
      <c r="W437" s="16"/>
      <c r="X437" s="18">
        <f t="shared" si="126"/>
        <v>1.1692413613587544</v>
      </c>
      <c r="Y437" s="18">
        <f t="shared" si="127"/>
        <v>1.0813146449386295</v>
      </c>
      <c r="Z437" s="18"/>
      <c r="AA437" s="18">
        <f t="shared" si="128"/>
        <v>2.6707484021229182E-6</v>
      </c>
    </row>
    <row r="438" spans="2:27" x14ac:dyDescent="0.35">
      <c r="B438" s="26">
        <v>114</v>
      </c>
      <c r="C438" s="26">
        <v>552</v>
      </c>
      <c r="D438" s="18">
        <f t="shared" si="118"/>
        <v>-0.36631443282719101</v>
      </c>
      <c r="E438" s="18">
        <f t="shared" si="118"/>
        <v>-8.4002231672473364</v>
      </c>
      <c r="F438" s="18">
        <f t="shared" si="118"/>
        <v>1000013.8155105581</v>
      </c>
      <c r="G438" s="18">
        <f t="shared" si="118"/>
        <v>1000013.8155105581</v>
      </c>
      <c r="H438" s="18">
        <f t="shared" si="118"/>
        <v>1000013.8155105581</v>
      </c>
      <c r="I438" s="16"/>
      <c r="J438" s="18">
        <f t="shared" si="120"/>
        <v>0.44449716628443836</v>
      </c>
      <c r="K438" s="18">
        <f t="shared" si="121"/>
        <v>2.2476662104431254E-4</v>
      </c>
      <c r="L438" s="18">
        <f t="shared" si="122"/>
        <v>999999.99999309238</v>
      </c>
      <c r="M438" s="18">
        <f t="shared" si="123"/>
        <v>999999.99999309238</v>
      </c>
      <c r="N438" s="18">
        <f t="shared" si="124"/>
        <v>999999.99999309238</v>
      </c>
      <c r="O438" s="16"/>
      <c r="P438" s="18">
        <f t="shared" si="119"/>
        <v>2.2509346836466557</v>
      </c>
      <c r="Q438" s="18">
        <f t="shared" si="112"/>
        <v>552.76952785683397</v>
      </c>
      <c r="R438" s="18">
        <f t="shared" si="113"/>
        <v>0</v>
      </c>
      <c r="S438" s="18">
        <f t="shared" si="114"/>
        <v>0</v>
      </c>
      <c r="T438" s="18">
        <f t="shared" si="115"/>
        <v>0</v>
      </c>
      <c r="U438" s="16"/>
      <c r="V438" s="18">
        <f t="shared" si="125"/>
        <v>555.02046254048059</v>
      </c>
      <c r="W438" s="16"/>
      <c r="X438" s="18">
        <f t="shared" si="126"/>
        <v>9.1231939584464836</v>
      </c>
      <c r="Y438" s="18">
        <f t="shared" si="127"/>
        <v>3.0204625404805938</v>
      </c>
      <c r="Z438" s="18"/>
      <c r="AA438" s="18">
        <f t="shared" si="128"/>
        <v>7.460266575894305E-6</v>
      </c>
    </row>
    <row r="439" spans="2:27" x14ac:dyDescent="0.35">
      <c r="B439" s="26">
        <v>114.19999999999999</v>
      </c>
      <c r="C439" s="26">
        <v>582</v>
      </c>
      <c r="D439" s="18">
        <f t="shared" si="118"/>
        <v>-0.3567914802786305</v>
      </c>
      <c r="E439" s="18">
        <f t="shared" si="118"/>
        <v>-8.3989802477132969</v>
      </c>
      <c r="F439" s="18">
        <f t="shared" si="118"/>
        <v>1000013.8155105581</v>
      </c>
      <c r="G439" s="18">
        <f t="shared" si="118"/>
        <v>1000013.8155105581</v>
      </c>
      <c r="H439" s="18">
        <f t="shared" si="118"/>
        <v>1000013.8155105581</v>
      </c>
      <c r="I439" s="16"/>
      <c r="J439" s="18">
        <f t="shared" si="120"/>
        <v>0.44743423428353529</v>
      </c>
      <c r="K439" s="18">
        <f t="shared" si="121"/>
        <v>2.2504609866004624E-4</v>
      </c>
      <c r="L439" s="18">
        <f t="shared" si="122"/>
        <v>999999.99999309238</v>
      </c>
      <c r="M439" s="18">
        <f t="shared" si="123"/>
        <v>999999.99999309238</v>
      </c>
      <c r="N439" s="18">
        <f t="shared" si="124"/>
        <v>999999.99999309238</v>
      </c>
      <c r="O439" s="16"/>
      <c r="P439" s="18">
        <f t="shared" si="119"/>
        <v>2.2316214840146391</v>
      </c>
      <c r="Q439" s="18">
        <f t="shared" ref="Q439:Q502" si="129">(D$23*D$22)/(K439+K439^2)</f>
        <v>552.0829066434078</v>
      </c>
      <c r="R439" s="18">
        <f t="shared" ref="R439:R502" si="130">(E$23*E$22)/(L439+L439^2)</f>
        <v>0</v>
      </c>
      <c r="S439" s="18">
        <f t="shared" ref="S439:S502" si="131">(F$23*F$22)/(M439+M439^2)</f>
        <v>0</v>
      </c>
      <c r="T439" s="18">
        <f t="shared" ref="T439:T502" si="132">(G$23*G$22)/(N439+N439^2)</f>
        <v>0</v>
      </c>
      <c r="U439" s="16"/>
      <c r="V439" s="18">
        <f t="shared" si="125"/>
        <v>554.31452812742248</v>
      </c>
      <c r="W439" s="16"/>
      <c r="X439" s="18">
        <f t="shared" si="126"/>
        <v>766.48535280728117</v>
      </c>
      <c r="Y439" s="18">
        <f t="shared" si="127"/>
        <v>27.685471872577523</v>
      </c>
      <c r="Z439" s="18"/>
      <c r="AA439" s="18">
        <f t="shared" si="128"/>
        <v>6.8380586642199749E-5</v>
      </c>
    </row>
    <row r="440" spans="2:27" x14ac:dyDescent="0.35">
      <c r="B440" s="26">
        <v>114.5</v>
      </c>
      <c r="C440" s="26">
        <v>545</v>
      </c>
      <c r="D440" s="18">
        <f t="shared" si="118"/>
        <v>-0.34250705145578753</v>
      </c>
      <c r="E440" s="18">
        <f t="shared" si="118"/>
        <v>-8.397115868412234</v>
      </c>
      <c r="F440" s="18">
        <f t="shared" si="118"/>
        <v>1000013.8155105581</v>
      </c>
      <c r="G440" s="18">
        <f t="shared" si="118"/>
        <v>1000013.8155105581</v>
      </c>
      <c r="H440" s="18">
        <f t="shared" si="118"/>
        <v>1000013.8155105581</v>
      </c>
      <c r="I440" s="16"/>
      <c r="J440" s="18">
        <f t="shared" si="120"/>
        <v>0.45186492682095308</v>
      </c>
      <c r="K440" s="18">
        <f t="shared" si="121"/>
        <v>2.2546596664540307E-4</v>
      </c>
      <c r="L440" s="18">
        <f t="shared" si="122"/>
        <v>999999.99999309238</v>
      </c>
      <c r="M440" s="18">
        <f t="shared" si="123"/>
        <v>999999.99999309238</v>
      </c>
      <c r="N440" s="18">
        <f t="shared" si="124"/>
        <v>999999.99999309238</v>
      </c>
      <c r="O440" s="16"/>
      <c r="P440" s="18">
        <f t="shared" si="119"/>
        <v>2.2029961425040003</v>
      </c>
      <c r="Q440" s="18">
        <f t="shared" si="129"/>
        <v>551.05457365118434</v>
      </c>
      <c r="R440" s="18">
        <f t="shared" si="130"/>
        <v>0</v>
      </c>
      <c r="S440" s="18">
        <f t="shared" si="131"/>
        <v>0</v>
      </c>
      <c r="T440" s="18">
        <f t="shared" si="132"/>
        <v>0</v>
      </c>
      <c r="U440" s="16"/>
      <c r="V440" s="18">
        <f t="shared" si="125"/>
        <v>553.25756979368839</v>
      </c>
      <c r="W440" s="16"/>
      <c r="X440" s="18">
        <f t="shared" si="126"/>
        <v>68.187458897634912</v>
      </c>
      <c r="Y440" s="18">
        <f t="shared" si="127"/>
        <v>8.2575697936883898</v>
      </c>
      <c r="Z440" s="18"/>
      <c r="AA440" s="18">
        <f t="shared" si="128"/>
        <v>2.0395443116525461E-5</v>
      </c>
    </row>
    <row r="441" spans="2:27" x14ac:dyDescent="0.35">
      <c r="B441" s="26">
        <v>114.79999999999998</v>
      </c>
      <c r="C441" s="26">
        <v>577</v>
      </c>
      <c r="D441" s="18">
        <f t="shared" si="118"/>
        <v>-0.32822262263294633</v>
      </c>
      <c r="E441" s="18">
        <f t="shared" si="118"/>
        <v>-8.3952514891111729</v>
      </c>
      <c r="F441" s="18">
        <f t="shared" si="118"/>
        <v>1000013.8155105581</v>
      </c>
      <c r="G441" s="18">
        <f t="shared" si="118"/>
        <v>1000013.8155105581</v>
      </c>
      <c r="H441" s="18">
        <f t="shared" si="118"/>
        <v>1000013.8155105581</v>
      </c>
      <c r="I441" s="16"/>
      <c r="J441" s="18">
        <f t="shared" si="120"/>
        <v>0.45632574618860594</v>
      </c>
      <c r="K441" s="18">
        <f t="shared" si="121"/>
        <v>2.2588661780058035E-4</v>
      </c>
      <c r="L441" s="18">
        <f t="shared" si="122"/>
        <v>999999.99999309238</v>
      </c>
      <c r="M441" s="18">
        <f t="shared" si="123"/>
        <v>999999.99999309238</v>
      </c>
      <c r="N441" s="18">
        <f t="shared" si="124"/>
        <v>999999.99999309238</v>
      </c>
      <c r="O441" s="16"/>
      <c r="P441" s="18">
        <f t="shared" si="119"/>
        <v>2.1747787653458284</v>
      </c>
      <c r="Q441" s="18">
        <f t="shared" si="129"/>
        <v>550.0281560757179</v>
      </c>
      <c r="R441" s="18">
        <f t="shared" si="130"/>
        <v>0</v>
      </c>
      <c r="S441" s="18">
        <f t="shared" si="131"/>
        <v>0</v>
      </c>
      <c r="T441" s="18">
        <f t="shared" si="132"/>
        <v>0</v>
      </c>
      <c r="U441" s="16"/>
      <c r="V441" s="18">
        <f t="shared" si="125"/>
        <v>552.20293484106378</v>
      </c>
      <c r="W441" s="16"/>
      <c r="X441" s="18">
        <f t="shared" si="126"/>
        <v>614.89444049652866</v>
      </c>
      <c r="Y441" s="18">
        <f t="shared" si="127"/>
        <v>24.797065158936221</v>
      </c>
      <c r="Z441" s="18"/>
      <c r="AA441" s="18">
        <f t="shared" si="128"/>
        <v>6.1246485896180133E-5</v>
      </c>
    </row>
    <row r="442" spans="2:27" x14ac:dyDescent="0.35">
      <c r="B442" s="26">
        <v>115.1</v>
      </c>
      <c r="C442" s="26">
        <v>577</v>
      </c>
      <c r="D442" s="18">
        <f t="shared" si="118"/>
        <v>-0.31393819381010335</v>
      </c>
      <c r="E442" s="18">
        <f t="shared" si="118"/>
        <v>-8.3933871098101118</v>
      </c>
      <c r="F442" s="18">
        <f t="shared" si="118"/>
        <v>1000013.8155105581</v>
      </c>
      <c r="G442" s="18">
        <f t="shared" si="118"/>
        <v>1000013.8155105581</v>
      </c>
      <c r="H442" s="18">
        <f t="shared" si="118"/>
        <v>1000013.8155105581</v>
      </c>
      <c r="I442" s="16"/>
      <c r="J442" s="18">
        <f t="shared" si="120"/>
        <v>0.46081671108105399</v>
      </c>
      <c r="K442" s="18">
        <f t="shared" si="121"/>
        <v>2.2630805358574599E-4</v>
      </c>
      <c r="L442" s="18">
        <f t="shared" si="122"/>
        <v>999999.99999309238</v>
      </c>
      <c r="M442" s="18">
        <f t="shared" si="123"/>
        <v>999999.99999309238</v>
      </c>
      <c r="N442" s="18">
        <f t="shared" si="124"/>
        <v>999999.99999309238</v>
      </c>
      <c r="O442" s="16"/>
      <c r="P442" s="18">
        <f t="shared" si="119"/>
        <v>2.1469633736007649</v>
      </c>
      <c r="Q442" s="18">
        <f t="shared" si="129"/>
        <v>549.00365034927108</v>
      </c>
      <c r="R442" s="18">
        <f t="shared" si="130"/>
        <v>0</v>
      </c>
      <c r="S442" s="18">
        <f t="shared" si="131"/>
        <v>0</v>
      </c>
      <c r="T442" s="18">
        <f t="shared" si="132"/>
        <v>0</v>
      </c>
      <c r="U442" s="16"/>
      <c r="V442" s="18">
        <f t="shared" si="125"/>
        <v>551.15061372287187</v>
      </c>
      <c r="W442" s="16"/>
      <c r="X442" s="18">
        <f t="shared" si="126"/>
        <v>668.19077090418023</v>
      </c>
      <c r="Y442" s="18">
        <f t="shared" si="127"/>
        <v>25.849386277128133</v>
      </c>
      <c r="Z442" s="18"/>
      <c r="AA442" s="18">
        <f t="shared" si="128"/>
        <v>6.3845622935603812E-5</v>
      </c>
    </row>
    <row r="443" spans="2:27" x14ac:dyDescent="0.35">
      <c r="B443" s="26">
        <v>115.4</v>
      </c>
      <c r="C443" s="26">
        <v>578</v>
      </c>
      <c r="D443" s="18">
        <f t="shared" si="118"/>
        <v>-0.29965376498726037</v>
      </c>
      <c r="E443" s="18">
        <f t="shared" si="118"/>
        <v>-8.391522730509049</v>
      </c>
      <c r="F443" s="18">
        <f t="shared" si="118"/>
        <v>1000013.8155105581</v>
      </c>
      <c r="G443" s="18">
        <f t="shared" si="118"/>
        <v>1000013.8155105581</v>
      </c>
      <c r="H443" s="18">
        <f t="shared" si="118"/>
        <v>1000013.8155105581</v>
      </c>
      <c r="I443" s="16"/>
      <c r="J443" s="18">
        <f t="shared" si="120"/>
        <v>0.46533783827684078</v>
      </c>
      <c r="K443" s="18">
        <f t="shared" si="121"/>
        <v>2.2673027546378789E-4</v>
      </c>
      <c r="L443" s="18">
        <f t="shared" si="122"/>
        <v>999999.99999309238</v>
      </c>
      <c r="M443" s="18">
        <f t="shared" si="123"/>
        <v>999999.99999309238</v>
      </c>
      <c r="N443" s="18">
        <f t="shared" si="124"/>
        <v>999999.99999309238</v>
      </c>
      <c r="O443" s="16"/>
      <c r="P443" s="18">
        <f t="shared" si="119"/>
        <v>2.1195440738291866</v>
      </c>
      <c r="Q443" s="18">
        <f t="shared" si="129"/>
        <v>547.98105291075217</v>
      </c>
      <c r="R443" s="18">
        <f t="shared" si="130"/>
        <v>0</v>
      </c>
      <c r="S443" s="18">
        <f t="shared" si="131"/>
        <v>0</v>
      </c>
      <c r="T443" s="18">
        <f t="shared" si="132"/>
        <v>0</v>
      </c>
      <c r="U443" s="16"/>
      <c r="V443" s="18">
        <f t="shared" si="125"/>
        <v>550.10059698458133</v>
      </c>
      <c r="W443" s="16"/>
      <c r="X443" s="18">
        <f t="shared" si="126"/>
        <v>778.3766886167524</v>
      </c>
      <c r="Y443" s="18">
        <f t="shared" si="127"/>
        <v>27.89940301541867</v>
      </c>
      <c r="Z443" s="18"/>
      <c r="AA443" s="18">
        <f t="shared" si="128"/>
        <v>6.8908977023835383E-5</v>
      </c>
    </row>
    <row r="444" spans="2:27" x14ac:dyDescent="0.35">
      <c r="B444" s="26">
        <v>115.69999999999999</v>
      </c>
      <c r="C444" s="26">
        <v>534</v>
      </c>
      <c r="D444" s="18">
        <f t="shared" si="118"/>
        <v>-0.28536933616441917</v>
      </c>
      <c r="E444" s="18">
        <f t="shared" si="118"/>
        <v>-8.3896583512079879</v>
      </c>
      <c r="F444" s="18">
        <f t="shared" si="118"/>
        <v>1000013.8155105581</v>
      </c>
      <c r="G444" s="18">
        <f t="shared" si="118"/>
        <v>1000013.8155105581</v>
      </c>
      <c r="H444" s="18">
        <f t="shared" si="118"/>
        <v>1000013.8155105581</v>
      </c>
      <c r="I444" s="16"/>
      <c r="J444" s="18">
        <f t="shared" si="120"/>
        <v>0.46988914264573767</v>
      </c>
      <c r="K444" s="18">
        <f t="shared" si="121"/>
        <v>2.2715328490031779E-4</v>
      </c>
      <c r="L444" s="18">
        <f t="shared" si="122"/>
        <v>999999.99999309238</v>
      </c>
      <c r="M444" s="18">
        <f t="shared" si="123"/>
        <v>999999.99999309238</v>
      </c>
      <c r="N444" s="18">
        <f t="shared" si="124"/>
        <v>999999.99999309238</v>
      </c>
      <c r="O444" s="16"/>
      <c r="P444" s="18">
        <f t="shared" si="119"/>
        <v>2.0925150569316311</v>
      </c>
      <c r="Q444" s="18">
        <f t="shared" si="129"/>
        <v>546.960360205705</v>
      </c>
      <c r="R444" s="18">
        <f t="shared" si="130"/>
        <v>0</v>
      </c>
      <c r="S444" s="18">
        <f t="shared" si="131"/>
        <v>0</v>
      </c>
      <c r="T444" s="18">
        <f t="shared" si="132"/>
        <v>0</v>
      </c>
      <c r="U444" s="16"/>
      <c r="V444" s="18">
        <f t="shared" si="125"/>
        <v>549.05287526263658</v>
      </c>
      <c r="W444" s="16"/>
      <c r="X444" s="18">
        <f t="shared" si="126"/>
        <v>226.58905367249616</v>
      </c>
      <c r="Y444" s="18">
        <f t="shared" si="127"/>
        <v>15.052875262636576</v>
      </c>
      <c r="Z444" s="18"/>
      <c r="AA444" s="18">
        <f t="shared" si="128"/>
        <v>3.7179226919028684E-5</v>
      </c>
    </row>
    <row r="445" spans="2:27" x14ac:dyDescent="0.35">
      <c r="B445" s="26">
        <v>116</v>
      </c>
      <c r="C445" s="26">
        <v>525</v>
      </c>
      <c r="D445" s="18">
        <f t="shared" si="118"/>
        <v>-0.2710849073415762</v>
      </c>
      <c r="E445" s="18">
        <f t="shared" si="118"/>
        <v>-8.3877939719069268</v>
      </c>
      <c r="F445" s="18">
        <f t="shared" si="118"/>
        <v>1000013.8155105581</v>
      </c>
      <c r="G445" s="18">
        <f t="shared" si="118"/>
        <v>1000013.8155105581</v>
      </c>
      <c r="H445" s="18">
        <f t="shared" si="118"/>
        <v>1000013.8155105581</v>
      </c>
      <c r="I445" s="16"/>
      <c r="J445" s="18">
        <f t="shared" si="120"/>
        <v>0.47447063715651239</v>
      </c>
      <c r="K445" s="18">
        <f t="shared" si="121"/>
        <v>2.2757708336367842E-4</v>
      </c>
      <c r="L445" s="18">
        <f t="shared" si="122"/>
        <v>999999.99999309238</v>
      </c>
      <c r="M445" s="18">
        <f t="shared" si="123"/>
        <v>999999.99999309238</v>
      </c>
      <c r="N445" s="18">
        <f t="shared" si="124"/>
        <v>999999.99999309238</v>
      </c>
      <c r="O445" s="16"/>
      <c r="P445" s="18">
        <f t="shared" si="119"/>
        <v>2.0658705970047859</v>
      </c>
      <c r="Q445" s="18">
        <f t="shared" si="129"/>
        <v>545.94156868629182</v>
      </c>
      <c r="R445" s="18">
        <f t="shared" si="130"/>
        <v>0</v>
      </c>
      <c r="S445" s="18">
        <f t="shared" si="131"/>
        <v>0</v>
      </c>
      <c r="T445" s="18">
        <f t="shared" si="132"/>
        <v>0</v>
      </c>
      <c r="U445" s="16"/>
      <c r="V445" s="18">
        <f t="shared" si="125"/>
        <v>548.00743928329655</v>
      </c>
      <c r="W445" s="16"/>
      <c r="X445" s="18">
        <f t="shared" si="126"/>
        <v>529.34226237457722</v>
      </c>
      <c r="Y445" s="18">
        <f t="shared" si="127"/>
        <v>23.007439283296549</v>
      </c>
      <c r="Z445" s="18"/>
      <c r="AA445" s="18">
        <f t="shared" si="128"/>
        <v>5.6826273453728886E-5</v>
      </c>
    </row>
    <row r="446" spans="2:27" x14ac:dyDescent="0.35">
      <c r="B446" s="26">
        <v>116.19999999999999</v>
      </c>
      <c r="C446" s="26">
        <v>548</v>
      </c>
      <c r="D446" s="18">
        <f t="shared" si="118"/>
        <v>-0.26156195479301481</v>
      </c>
      <c r="E446" s="18">
        <f t="shared" si="118"/>
        <v>-8.3865510523728855</v>
      </c>
      <c r="F446" s="18">
        <f t="shared" si="118"/>
        <v>1000013.8155105581</v>
      </c>
      <c r="G446" s="18">
        <f t="shared" si="118"/>
        <v>1000013.8155105581</v>
      </c>
      <c r="H446" s="18">
        <f t="shared" si="118"/>
        <v>1000013.8155105581</v>
      </c>
      <c r="I446" s="16"/>
      <c r="J446" s="18">
        <f t="shared" si="120"/>
        <v>0.47754174467868415</v>
      </c>
      <c r="K446" s="18">
        <f t="shared" si="121"/>
        <v>2.2786005474717042E-4</v>
      </c>
      <c r="L446" s="18">
        <f t="shared" si="122"/>
        <v>999999.99999309238</v>
      </c>
      <c r="M446" s="18">
        <f t="shared" si="123"/>
        <v>999999.99999309238</v>
      </c>
      <c r="N446" s="18">
        <f t="shared" si="124"/>
        <v>999999.99999309238</v>
      </c>
      <c r="O446" s="16"/>
      <c r="P446" s="18">
        <f t="shared" si="119"/>
        <v>2.0483184760587543</v>
      </c>
      <c r="Q446" s="18">
        <f t="shared" si="129"/>
        <v>545.26342880523032</v>
      </c>
      <c r="R446" s="18">
        <f t="shared" si="130"/>
        <v>0</v>
      </c>
      <c r="S446" s="18">
        <f t="shared" si="131"/>
        <v>0</v>
      </c>
      <c r="T446" s="18">
        <f t="shared" si="132"/>
        <v>0</v>
      </c>
      <c r="U446" s="16"/>
      <c r="V446" s="18">
        <f t="shared" si="125"/>
        <v>547.31174728128906</v>
      </c>
      <c r="W446" s="16"/>
      <c r="X446" s="18">
        <f t="shared" si="126"/>
        <v>0.47369180481300271</v>
      </c>
      <c r="Y446" s="18">
        <f t="shared" si="127"/>
        <v>0.68825271871094174</v>
      </c>
      <c r="Z446" s="18"/>
      <c r="AA446" s="18">
        <f t="shared" si="128"/>
        <v>1.699921347923968E-6</v>
      </c>
    </row>
    <row r="447" spans="2:27" x14ac:dyDescent="0.35">
      <c r="B447" s="26">
        <v>116.5</v>
      </c>
      <c r="C447" s="26">
        <v>536</v>
      </c>
      <c r="D447" s="18">
        <f t="shared" si="118"/>
        <v>-0.24727752597017183</v>
      </c>
      <c r="E447" s="18">
        <f t="shared" si="118"/>
        <v>-8.3846866730718226</v>
      </c>
      <c r="F447" s="18">
        <f t="shared" si="118"/>
        <v>1000013.8155105581</v>
      </c>
      <c r="G447" s="18">
        <f t="shared" si="118"/>
        <v>1000013.8155105581</v>
      </c>
      <c r="H447" s="18">
        <f t="shared" si="118"/>
        <v>1000013.8155105581</v>
      </c>
      <c r="I447" s="16"/>
      <c r="J447" s="18">
        <f t="shared" si="120"/>
        <v>0.4821735797753029</v>
      </c>
      <c r="K447" s="18">
        <f t="shared" si="121"/>
        <v>2.282851715256639E-4</v>
      </c>
      <c r="L447" s="18">
        <f t="shared" si="122"/>
        <v>999999.99999309238</v>
      </c>
      <c r="M447" s="18">
        <f t="shared" si="123"/>
        <v>999999.99999309238</v>
      </c>
      <c r="N447" s="18">
        <f t="shared" si="124"/>
        <v>999999.99999309238</v>
      </c>
      <c r="O447" s="16"/>
      <c r="P447" s="18">
        <f t="shared" si="119"/>
        <v>2.0223024425816467</v>
      </c>
      <c r="Q447" s="18">
        <f t="shared" si="129"/>
        <v>544.24779806239928</v>
      </c>
      <c r="R447" s="18">
        <f t="shared" si="130"/>
        <v>0</v>
      </c>
      <c r="S447" s="18">
        <f t="shared" si="131"/>
        <v>0</v>
      </c>
      <c r="T447" s="18">
        <f t="shared" si="132"/>
        <v>0</v>
      </c>
      <c r="U447" s="16"/>
      <c r="V447" s="18">
        <f t="shared" si="125"/>
        <v>546.27010050498097</v>
      </c>
      <c r="W447" s="16"/>
      <c r="X447" s="18">
        <f t="shared" si="126"/>
        <v>105.47496438241045</v>
      </c>
      <c r="Y447" s="18">
        <f t="shared" si="127"/>
        <v>10.270100504980974</v>
      </c>
      <c r="Z447" s="18"/>
      <c r="AA447" s="18">
        <f t="shared" si="128"/>
        <v>2.5366210142170457E-5</v>
      </c>
    </row>
    <row r="448" spans="2:27" x14ac:dyDescent="0.35">
      <c r="B448" s="26">
        <v>116.79999999999998</v>
      </c>
      <c r="C448" s="26">
        <v>533</v>
      </c>
      <c r="D448" s="18">
        <f t="shared" si="118"/>
        <v>-0.23299309714733063</v>
      </c>
      <c r="E448" s="18">
        <f t="shared" si="118"/>
        <v>-8.3828222937707615</v>
      </c>
      <c r="F448" s="18">
        <f t="shared" si="118"/>
        <v>1000013.8155105581</v>
      </c>
      <c r="G448" s="18">
        <f t="shared" si="118"/>
        <v>1000013.8155105581</v>
      </c>
      <c r="H448" s="18">
        <f t="shared" si="118"/>
        <v>1000013.8155105581</v>
      </c>
      <c r="I448" s="16"/>
      <c r="J448" s="18">
        <f t="shared" si="120"/>
        <v>0.48683563036795668</v>
      </c>
      <c r="K448" s="18">
        <f t="shared" si="121"/>
        <v>2.2871108125995331E-4</v>
      </c>
      <c r="L448" s="18">
        <f t="shared" si="122"/>
        <v>999999.99999309238</v>
      </c>
      <c r="M448" s="18">
        <f t="shared" si="123"/>
        <v>999999.99999309238</v>
      </c>
      <c r="N448" s="18">
        <f t="shared" si="124"/>
        <v>999999.99999309238</v>
      </c>
      <c r="O448" s="16"/>
      <c r="P448" s="18">
        <f t="shared" si="119"/>
        <v>1.9966560952007189</v>
      </c>
      <c r="Q448" s="18">
        <f t="shared" si="129"/>
        <v>543.23405907657798</v>
      </c>
      <c r="R448" s="18">
        <f t="shared" si="130"/>
        <v>0</v>
      </c>
      <c r="S448" s="18">
        <f t="shared" si="131"/>
        <v>0</v>
      </c>
      <c r="T448" s="18">
        <f t="shared" si="132"/>
        <v>0</v>
      </c>
      <c r="U448" s="16"/>
      <c r="V448" s="18">
        <f t="shared" si="125"/>
        <v>545.23071517177868</v>
      </c>
      <c r="W448" s="16"/>
      <c r="X448" s="18">
        <f t="shared" si="126"/>
        <v>149.59039361317727</v>
      </c>
      <c r="Y448" s="18">
        <f t="shared" si="127"/>
        <v>12.230715171778684</v>
      </c>
      <c r="Z448" s="18"/>
      <c r="AA448" s="18">
        <f t="shared" si="128"/>
        <v>3.0208749280097263E-5</v>
      </c>
    </row>
    <row r="449" spans="2:27" x14ac:dyDescent="0.35">
      <c r="B449" s="26">
        <v>117.1</v>
      </c>
      <c r="C449" s="26">
        <v>574</v>
      </c>
      <c r="D449" s="18">
        <f t="shared" si="118"/>
        <v>-0.21870866832448765</v>
      </c>
      <c r="E449" s="18">
        <f t="shared" si="118"/>
        <v>-8.3809579144697004</v>
      </c>
      <c r="F449" s="18">
        <f t="shared" si="118"/>
        <v>1000013.8155105581</v>
      </c>
      <c r="G449" s="18">
        <f t="shared" si="118"/>
        <v>1000013.8155105581</v>
      </c>
      <c r="H449" s="18">
        <f t="shared" si="118"/>
        <v>1000013.8155105581</v>
      </c>
      <c r="I449" s="16"/>
      <c r="J449" s="18">
        <f t="shared" si="120"/>
        <v>0.49152790252973577</v>
      </c>
      <c r="K449" s="18">
        <f t="shared" si="121"/>
        <v>2.2913778542843518E-4</v>
      </c>
      <c r="L449" s="18">
        <f t="shared" si="122"/>
        <v>999999.99999309238</v>
      </c>
      <c r="M449" s="18">
        <f t="shared" si="123"/>
        <v>999999.99999309238</v>
      </c>
      <c r="N449" s="18">
        <f t="shared" si="124"/>
        <v>999999.99999309238</v>
      </c>
      <c r="O449" s="16"/>
      <c r="P449" s="18">
        <f t="shared" si="119"/>
        <v>1.9713740035227281</v>
      </c>
      <c r="Q449" s="18">
        <f t="shared" si="129"/>
        <v>542.22220832409846</v>
      </c>
      <c r="R449" s="18">
        <f t="shared" si="130"/>
        <v>0</v>
      </c>
      <c r="S449" s="18">
        <f t="shared" si="131"/>
        <v>0</v>
      </c>
      <c r="T449" s="18">
        <f t="shared" si="132"/>
        <v>0</v>
      </c>
      <c r="U449" s="16"/>
      <c r="V449" s="18">
        <f t="shared" si="125"/>
        <v>544.19358232762124</v>
      </c>
      <c r="W449" s="16"/>
      <c r="X449" s="18">
        <f t="shared" si="126"/>
        <v>888.4225344602927</v>
      </c>
      <c r="Y449" s="18">
        <f t="shared" si="127"/>
        <v>29.806417672378757</v>
      </c>
      <c r="Z449" s="18"/>
      <c r="AA449" s="18">
        <f t="shared" si="128"/>
        <v>7.3619129033466408E-5</v>
      </c>
    </row>
    <row r="450" spans="2:27" x14ac:dyDescent="0.35">
      <c r="B450" s="26">
        <v>117.4</v>
      </c>
      <c r="C450" s="26">
        <v>608</v>
      </c>
      <c r="D450" s="18">
        <f t="shared" si="118"/>
        <v>-0.20442423950164468</v>
      </c>
      <c r="E450" s="18">
        <f t="shared" si="118"/>
        <v>-8.3790935351686375</v>
      </c>
      <c r="F450" s="18">
        <f t="shared" si="118"/>
        <v>1000013.8155105581</v>
      </c>
      <c r="G450" s="18">
        <f t="shared" si="118"/>
        <v>1000013.8155105581</v>
      </c>
      <c r="H450" s="18">
        <f t="shared" si="118"/>
        <v>1000013.8155105581</v>
      </c>
      <c r="I450" s="16"/>
      <c r="J450" s="18">
        <f t="shared" si="120"/>
        <v>0.49625040047562979</v>
      </c>
      <c r="K450" s="18">
        <f t="shared" si="121"/>
        <v>2.2956528551225987E-4</v>
      </c>
      <c r="L450" s="18">
        <f t="shared" si="122"/>
        <v>999999.99999309238</v>
      </c>
      <c r="M450" s="18">
        <f t="shared" si="123"/>
        <v>999999.99999309238</v>
      </c>
      <c r="N450" s="18">
        <f t="shared" si="124"/>
        <v>999999.99999309238</v>
      </c>
      <c r="O450" s="16"/>
      <c r="P450" s="18">
        <f t="shared" si="119"/>
        <v>1.9464508152106799</v>
      </c>
      <c r="Q450" s="18">
        <f t="shared" si="129"/>
        <v>541.21224228785684</v>
      </c>
      <c r="R450" s="18">
        <f t="shared" si="130"/>
        <v>0</v>
      </c>
      <c r="S450" s="18">
        <f t="shared" si="131"/>
        <v>0</v>
      </c>
      <c r="T450" s="18">
        <f t="shared" si="132"/>
        <v>0</v>
      </c>
      <c r="U450" s="16"/>
      <c r="V450" s="18">
        <f t="shared" si="125"/>
        <v>543.15869310306755</v>
      </c>
      <c r="W450" s="16"/>
      <c r="X450" s="18">
        <f t="shared" si="126"/>
        <v>4204.3950801021801</v>
      </c>
      <c r="Y450" s="18">
        <f t="shared" si="127"/>
        <v>64.841306896932451</v>
      </c>
      <c r="Z450" s="18"/>
      <c r="AA450" s="18">
        <f t="shared" si="128"/>
        <v>1.6015210521482646E-4</v>
      </c>
    </row>
    <row r="451" spans="2:27" x14ac:dyDescent="0.35">
      <c r="B451" s="26">
        <v>117.69999999999999</v>
      </c>
      <c r="C451" s="26">
        <v>512</v>
      </c>
      <c r="D451" s="18">
        <f t="shared" si="118"/>
        <v>-0.19013981067880348</v>
      </c>
      <c r="E451" s="18">
        <f t="shared" si="118"/>
        <v>-8.3772291558675764</v>
      </c>
      <c r="F451" s="18">
        <f t="shared" si="118"/>
        <v>1000013.8155105581</v>
      </c>
      <c r="G451" s="18">
        <f t="shared" si="118"/>
        <v>1000013.8155105581</v>
      </c>
      <c r="H451" s="18">
        <f t="shared" si="118"/>
        <v>1000013.8155105581</v>
      </c>
      <c r="I451" s="16"/>
      <c r="J451" s="18">
        <f t="shared" si="120"/>
        <v>0.50100312657309043</v>
      </c>
      <c r="K451" s="18">
        <f t="shared" si="121"/>
        <v>2.2999358299533555E-4</v>
      </c>
      <c r="L451" s="18">
        <f t="shared" si="122"/>
        <v>999999.99999309238</v>
      </c>
      <c r="M451" s="18">
        <f t="shared" si="123"/>
        <v>999999.99999309238</v>
      </c>
      <c r="N451" s="18">
        <f t="shared" si="124"/>
        <v>999999.99999309238</v>
      </c>
      <c r="O451" s="16"/>
      <c r="P451" s="18">
        <f t="shared" si="119"/>
        <v>1.9218812549235256</v>
      </c>
      <c r="Q451" s="18">
        <f t="shared" si="129"/>
        <v>540.20415745730236</v>
      </c>
      <c r="R451" s="18">
        <f t="shared" si="130"/>
        <v>0</v>
      </c>
      <c r="S451" s="18">
        <f t="shared" si="131"/>
        <v>0</v>
      </c>
      <c r="T451" s="18">
        <f t="shared" si="132"/>
        <v>0</v>
      </c>
      <c r="U451" s="16"/>
      <c r="V451" s="18">
        <f t="shared" si="125"/>
        <v>542.12603871222586</v>
      </c>
      <c r="W451" s="16"/>
      <c r="X451" s="18">
        <f t="shared" si="126"/>
        <v>907.57820849053132</v>
      </c>
      <c r="Y451" s="18">
        <f t="shared" si="127"/>
        <v>30.126038712225863</v>
      </c>
      <c r="Z451" s="18"/>
      <c r="AA451" s="18">
        <f t="shared" si="128"/>
        <v>7.4408563806640097E-5</v>
      </c>
    </row>
    <row r="452" spans="2:27" x14ac:dyDescent="0.35">
      <c r="B452" s="26">
        <v>118</v>
      </c>
      <c r="C452" s="26">
        <v>567</v>
      </c>
      <c r="D452" s="18">
        <f t="shared" si="118"/>
        <v>-0.1758553818559605</v>
      </c>
      <c r="E452" s="18">
        <f t="shared" si="118"/>
        <v>-8.3753647765665136</v>
      </c>
      <c r="F452" s="18">
        <f t="shared" si="118"/>
        <v>1000013.8155105581</v>
      </c>
      <c r="G452" s="18">
        <f t="shared" si="118"/>
        <v>1000013.8155105581</v>
      </c>
      <c r="H452" s="18">
        <f t="shared" si="118"/>
        <v>1000013.8155105581</v>
      </c>
      <c r="I452" s="16"/>
      <c r="J452" s="18">
        <f t="shared" si="120"/>
        <v>0.50578608135305514</v>
      </c>
      <c r="K452" s="18">
        <f t="shared" si="121"/>
        <v>2.304226793643359E-4</v>
      </c>
      <c r="L452" s="18">
        <f t="shared" si="122"/>
        <v>999999.99999309238</v>
      </c>
      <c r="M452" s="18">
        <f t="shared" si="123"/>
        <v>999999.99999309238</v>
      </c>
      <c r="N452" s="18">
        <f t="shared" si="124"/>
        <v>999999.99999309238</v>
      </c>
      <c r="O452" s="16"/>
      <c r="P452" s="18">
        <f t="shared" si="119"/>
        <v>1.8976601232698718</v>
      </c>
      <c r="Q452" s="18">
        <f t="shared" si="129"/>
        <v>539.19795032841989</v>
      </c>
      <c r="R452" s="18">
        <f t="shared" si="130"/>
        <v>0</v>
      </c>
      <c r="S452" s="18">
        <f t="shared" si="131"/>
        <v>0</v>
      </c>
      <c r="T452" s="18">
        <f t="shared" si="132"/>
        <v>0</v>
      </c>
      <c r="U452" s="16"/>
      <c r="V452" s="18">
        <f t="shared" si="125"/>
        <v>541.09561045168971</v>
      </c>
      <c r="W452" s="16"/>
      <c r="X452" s="18">
        <f t="shared" si="126"/>
        <v>671.03739787060749</v>
      </c>
      <c r="Y452" s="18">
        <f t="shared" si="127"/>
        <v>25.904389548310292</v>
      </c>
      <c r="Z452" s="18"/>
      <c r="AA452" s="18">
        <f t="shared" si="128"/>
        <v>6.3981475991242037E-5</v>
      </c>
    </row>
    <row r="453" spans="2:27" x14ac:dyDescent="0.35">
      <c r="B453" s="26">
        <v>118.19999999999999</v>
      </c>
      <c r="C453" s="26">
        <v>551</v>
      </c>
      <c r="D453" s="18">
        <f t="shared" si="118"/>
        <v>-0.1663324293074</v>
      </c>
      <c r="E453" s="18">
        <f t="shared" si="118"/>
        <v>-8.374121857032474</v>
      </c>
      <c r="F453" s="18">
        <f t="shared" si="118"/>
        <v>1000013.8155105581</v>
      </c>
      <c r="G453" s="18">
        <f t="shared" si="118"/>
        <v>1000013.8155105581</v>
      </c>
      <c r="H453" s="18">
        <f t="shared" si="118"/>
        <v>1000013.8155105581</v>
      </c>
      <c r="I453" s="16"/>
      <c r="J453" s="18">
        <f t="shared" si="120"/>
        <v>0.50899151102121565</v>
      </c>
      <c r="K453" s="18">
        <f t="shared" si="121"/>
        <v>2.30709188171262E-4</v>
      </c>
      <c r="L453" s="18">
        <f t="shared" si="122"/>
        <v>999999.99999309238</v>
      </c>
      <c r="M453" s="18">
        <f t="shared" si="123"/>
        <v>999999.99999309238</v>
      </c>
      <c r="N453" s="18">
        <f t="shared" si="124"/>
        <v>999999.99999309238</v>
      </c>
      <c r="O453" s="16"/>
      <c r="P453" s="18">
        <f t="shared" si="119"/>
        <v>1.8817037399737746</v>
      </c>
      <c r="Q453" s="18">
        <f t="shared" si="129"/>
        <v>538.52818701600688</v>
      </c>
      <c r="R453" s="18">
        <f t="shared" si="130"/>
        <v>0</v>
      </c>
      <c r="S453" s="18">
        <f t="shared" si="131"/>
        <v>0</v>
      </c>
      <c r="T453" s="18">
        <f t="shared" si="132"/>
        <v>0</v>
      </c>
      <c r="U453" s="16"/>
      <c r="V453" s="18">
        <f t="shared" si="125"/>
        <v>540.40989075598065</v>
      </c>
      <c r="W453" s="16"/>
      <c r="X453" s="18">
        <f t="shared" si="126"/>
        <v>112.15041380026399</v>
      </c>
      <c r="Y453" s="18">
        <f t="shared" si="127"/>
        <v>10.590109244019345</v>
      </c>
      <c r="Z453" s="18"/>
      <c r="AA453" s="18">
        <f t="shared" si="128"/>
        <v>2.6156602496932846E-5</v>
      </c>
    </row>
    <row r="454" spans="2:27" x14ac:dyDescent="0.35">
      <c r="B454" s="26">
        <v>118.5</v>
      </c>
      <c r="C454" s="26">
        <v>526</v>
      </c>
      <c r="D454" s="18">
        <f t="shared" si="118"/>
        <v>-0.15204800048455702</v>
      </c>
      <c r="E454" s="18">
        <f t="shared" si="118"/>
        <v>-8.3722574777314112</v>
      </c>
      <c r="F454" s="18">
        <f t="shared" si="118"/>
        <v>1000013.8155105581</v>
      </c>
      <c r="G454" s="18">
        <f t="shared" si="118"/>
        <v>1000013.8155105581</v>
      </c>
      <c r="H454" s="18">
        <f t="shared" si="118"/>
        <v>1000013.8155105581</v>
      </c>
      <c r="I454" s="16"/>
      <c r="J454" s="18">
        <f t="shared" si="120"/>
        <v>0.51382484316701416</v>
      </c>
      <c r="K454" s="18">
        <f t="shared" si="121"/>
        <v>2.3113961932804411E-4</v>
      </c>
      <c r="L454" s="18">
        <f t="shared" si="122"/>
        <v>999999.99999309238</v>
      </c>
      <c r="M454" s="18">
        <f t="shared" si="123"/>
        <v>999999.99999309238</v>
      </c>
      <c r="N454" s="18">
        <f t="shared" si="124"/>
        <v>999999.99999309238</v>
      </c>
      <c r="O454" s="16"/>
      <c r="P454" s="18">
        <f t="shared" si="119"/>
        <v>1.8580519715233266</v>
      </c>
      <c r="Q454" s="18">
        <f t="shared" si="129"/>
        <v>537.52510162093802</v>
      </c>
      <c r="R454" s="18">
        <f t="shared" si="130"/>
        <v>0</v>
      </c>
      <c r="S454" s="18">
        <f t="shared" si="131"/>
        <v>0</v>
      </c>
      <c r="T454" s="18">
        <f t="shared" si="132"/>
        <v>0</v>
      </c>
      <c r="U454" s="16"/>
      <c r="V454" s="18">
        <f t="shared" si="125"/>
        <v>539.38315359246133</v>
      </c>
      <c r="W454" s="16"/>
      <c r="X454" s="18">
        <f t="shared" si="126"/>
        <v>179.10880007941051</v>
      </c>
      <c r="Y454" s="18">
        <f t="shared" si="127"/>
        <v>13.383153592461326</v>
      </c>
      <c r="Z454" s="18"/>
      <c r="AA454" s="18">
        <f t="shared" si="128"/>
        <v>3.3055166911625703E-5</v>
      </c>
    </row>
    <row r="455" spans="2:27" x14ac:dyDescent="0.35">
      <c r="B455" s="26">
        <v>118.79999999999998</v>
      </c>
      <c r="C455" s="26">
        <v>553</v>
      </c>
      <c r="D455" s="18">
        <f t="shared" si="118"/>
        <v>-0.13776357166171493</v>
      </c>
      <c r="E455" s="18">
        <f t="shared" si="118"/>
        <v>-8.3703930984303501</v>
      </c>
      <c r="F455" s="18">
        <f t="shared" si="118"/>
        <v>1000013.8155105581</v>
      </c>
      <c r="G455" s="18">
        <f t="shared" si="118"/>
        <v>1000013.8155105581</v>
      </c>
      <c r="H455" s="18">
        <f t="shared" si="118"/>
        <v>1000013.8155105581</v>
      </c>
      <c r="I455" s="16"/>
      <c r="J455" s="18">
        <f t="shared" si="120"/>
        <v>0.5186883965212562</v>
      </c>
      <c r="K455" s="18">
        <f t="shared" si="121"/>
        <v>2.3157085334876362E-4</v>
      </c>
      <c r="L455" s="18">
        <f t="shared" si="122"/>
        <v>999999.99999309238</v>
      </c>
      <c r="M455" s="18">
        <f t="shared" si="123"/>
        <v>999999.99999309238</v>
      </c>
      <c r="N455" s="18">
        <f t="shared" si="124"/>
        <v>999999.99999309238</v>
      </c>
      <c r="O455" s="16"/>
      <c r="P455" s="18">
        <f t="shared" si="119"/>
        <v>1.8347351301631116</v>
      </c>
      <c r="Q455" s="18">
        <f t="shared" si="129"/>
        <v>536.52388461538305</v>
      </c>
      <c r="R455" s="18">
        <f t="shared" si="130"/>
        <v>0</v>
      </c>
      <c r="S455" s="18">
        <f t="shared" si="131"/>
        <v>0</v>
      </c>
      <c r="T455" s="18">
        <f t="shared" si="132"/>
        <v>0</v>
      </c>
      <c r="U455" s="16"/>
      <c r="V455" s="18">
        <f t="shared" si="125"/>
        <v>538.35861974554621</v>
      </c>
      <c r="W455" s="16"/>
      <c r="X455" s="18">
        <f t="shared" si="126"/>
        <v>214.37001575550943</v>
      </c>
      <c r="Y455" s="18">
        <f t="shared" si="127"/>
        <v>14.641380254453793</v>
      </c>
      <c r="Z455" s="18"/>
      <c r="AA455" s="18">
        <f t="shared" si="128"/>
        <v>3.6162871836139649E-5</v>
      </c>
    </row>
    <row r="456" spans="2:27" x14ac:dyDescent="0.35">
      <c r="B456" s="26">
        <v>119.1</v>
      </c>
      <c r="C456" s="26">
        <v>536</v>
      </c>
      <c r="D456" s="18">
        <f t="shared" si="118"/>
        <v>-0.12347914283887285</v>
      </c>
      <c r="E456" s="18">
        <f t="shared" si="118"/>
        <v>-8.3685287191292872</v>
      </c>
      <c r="F456" s="18">
        <f t="shared" si="118"/>
        <v>1000013.8155105581</v>
      </c>
      <c r="G456" s="18">
        <f t="shared" si="118"/>
        <v>1000013.8155105581</v>
      </c>
      <c r="H456" s="18">
        <f t="shared" si="118"/>
        <v>1000013.8155105581</v>
      </c>
      <c r="I456" s="16"/>
      <c r="J456" s="18">
        <f t="shared" si="120"/>
        <v>0.52358216498244603</v>
      </c>
      <c r="K456" s="18">
        <f t="shared" si="121"/>
        <v>2.3200289173027323E-4</v>
      </c>
      <c r="L456" s="18">
        <f t="shared" si="122"/>
        <v>999999.99999309238</v>
      </c>
      <c r="M456" s="18">
        <f t="shared" si="123"/>
        <v>999999.99999309238</v>
      </c>
      <c r="N456" s="18">
        <f t="shared" si="124"/>
        <v>999999.99999309238</v>
      </c>
      <c r="O456" s="16"/>
      <c r="P456" s="18">
        <f t="shared" si="119"/>
        <v>1.8117482862529946</v>
      </c>
      <c r="Q456" s="18">
        <f t="shared" si="129"/>
        <v>535.52453251919849</v>
      </c>
      <c r="R456" s="18">
        <f t="shared" si="130"/>
        <v>0</v>
      </c>
      <c r="S456" s="18">
        <f t="shared" si="131"/>
        <v>0</v>
      </c>
      <c r="T456" s="18">
        <f t="shared" si="132"/>
        <v>0</v>
      </c>
      <c r="U456" s="16"/>
      <c r="V456" s="18">
        <f t="shared" si="125"/>
        <v>537.33628080545145</v>
      </c>
      <c r="W456" s="16"/>
      <c r="X456" s="18">
        <f t="shared" si="126"/>
        <v>1.7856463910179805</v>
      </c>
      <c r="Y456" s="18">
        <f t="shared" si="127"/>
        <v>1.3362808054514517</v>
      </c>
      <c r="Z456" s="18"/>
      <c r="AA456" s="18">
        <f t="shared" si="128"/>
        <v>3.3004915291326175E-6</v>
      </c>
    </row>
    <row r="457" spans="2:27" x14ac:dyDescent="0.35">
      <c r="B457" s="26">
        <v>119.4</v>
      </c>
      <c r="C457" s="26">
        <v>496</v>
      </c>
      <c r="D457" s="18">
        <f t="shared" si="118"/>
        <v>-0.10919471401602987</v>
      </c>
      <c r="E457" s="18">
        <f t="shared" si="118"/>
        <v>-8.3666643398282261</v>
      </c>
      <c r="F457" s="18">
        <f t="shared" si="118"/>
        <v>1000013.8155105581</v>
      </c>
      <c r="G457" s="18">
        <f t="shared" si="118"/>
        <v>1000013.8155105581</v>
      </c>
      <c r="H457" s="18">
        <f t="shared" si="118"/>
        <v>1000013.8155105581</v>
      </c>
      <c r="I457" s="16"/>
      <c r="J457" s="18">
        <f t="shared" si="120"/>
        <v>0.52850614066978885</v>
      </c>
      <c r="K457" s="18">
        <f t="shared" si="121"/>
        <v>2.3243573597221218E-4</v>
      </c>
      <c r="L457" s="18">
        <f t="shared" si="122"/>
        <v>999999.99999309238</v>
      </c>
      <c r="M457" s="18">
        <f t="shared" si="123"/>
        <v>999999.99999309238</v>
      </c>
      <c r="N457" s="18">
        <f t="shared" si="124"/>
        <v>999999.99999309238</v>
      </c>
      <c r="O457" s="16"/>
      <c r="P457" s="18">
        <f t="shared" si="119"/>
        <v>1.7890865813988821</v>
      </c>
      <c r="Q457" s="18">
        <f t="shared" si="129"/>
        <v>534.52704185872722</v>
      </c>
      <c r="R457" s="18">
        <f t="shared" si="130"/>
        <v>0</v>
      </c>
      <c r="S457" s="18">
        <f t="shared" si="131"/>
        <v>0</v>
      </c>
      <c r="T457" s="18">
        <f t="shared" si="132"/>
        <v>0</v>
      </c>
      <c r="U457" s="16"/>
      <c r="V457" s="18">
        <f t="shared" si="125"/>
        <v>536.31612844012614</v>
      </c>
      <c r="W457" s="16"/>
      <c r="X457" s="18">
        <f t="shared" si="126"/>
        <v>1625.3902124007475</v>
      </c>
      <c r="Y457" s="18">
        <f t="shared" si="127"/>
        <v>40.316128440126136</v>
      </c>
      <c r="Z457" s="18"/>
      <c r="AA457" s="18">
        <f t="shared" si="128"/>
        <v>9.957715463787168E-5</v>
      </c>
    </row>
    <row r="458" spans="2:27" x14ac:dyDescent="0.35">
      <c r="B458" s="26">
        <v>119.69999999999999</v>
      </c>
      <c r="C458" s="26">
        <v>547</v>
      </c>
      <c r="D458" s="18">
        <f t="shared" si="118"/>
        <v>-9.4910285193187782E-2</v>
      </c>
      <c r="E458" s="18">
        <f t="shared" si="118"/>
        <v>-8.364799960527165</v>
      </c>
      <c r="F458" s="18">
        <f t="shared" si="118"/>
        <v>1000013.8155105581</v>
      </c>
      <c r="G458" s="18">
        <f t="shared" si="118"/>
        <v>1000013.8155105581</v>
      </c>
      <c r="H458" s="18">
        <f t="shared" si="118"/>
        <v>1000013.8155105581</v>
      </c>
      <c r="I458" s="16"/>
      <c r="J458" s="18">
        <f t="shared" si="120"/>
        <v>0.53346031393662141</v>
      </c>
      <c r="K458" s="18">
        <f t="shared" si="121"/>
        <v>2.3286938757701407E-4</v>
      </c>
      <c r="L458" s="18">
        <f t="shared" si="122"/>
        <v>999999.99999309238</v>
      </c>
      <c r="M458" s="18">
        <f t="shared" si="123"/>
        <v>999999.99999309238</v>
      </c>
      <c r="N458" s="18">
        <f t="shared" si="124"/>
        <v>999999.99999309238</v>
      </c>
      <c r="O458" s="16"/>
      <c r="P458" s="18">
        <f t="shared" si="119"/>
        <v>1.7667452274818847</v>
      </c>
      <c r="Q458" s="18">
        <f t="shared" si="129"/>
        <v>533.53140916677944</v>
      </c>
      <c r="R458" s="18">
        <f t="shared" si="130"/>
        <v>0</v>
      </c>
      <c r="S458" s="18">
        <f t="shared" si="131"/>
        <v>0</v>
      </c>
      <c r="T458" s="18">
        <f t="shared" si="132"/>
        <v>0</v>
      </c>
      <c r="U458" s="16"/>
      <c r="V458" s="18">
        <f t="shared" si="125"/>
        <v>535.29815439426136</v>
      </c>
      <c r="W458" s="16"/>
      <c r="X458" s="18">
        <f t="shared" si="126"/>
        <v>136.93319058054473</v>
      </c>
      <c r="Y458" s="18">
        <f t="shared" si="127"/>
        <v>11.70184560573864</v>
      </c>
      <c r="Z458" s="18"/>
      <c r="AA458" s="18">
        <f t="shared" si="128"/>
        <v>2.8902489760683234E-5</v>
      </c>
    </row>
    <row r="459" spans="2:27" x14ac:dyDescent="0.35">
      <c r="B459" s="26">
        <v>120</v>
      </c>
      <c r="C459" s="26">
        <v>546</v>
      </c>
      <c r="D459" s="18">
        <f t="shared" si="118"/>
        <v>-8.0625856370345694E-2</v>
      </c>
      <c r="E459" s="18">
        <f t="shared" si="118"/>
        <v>-8.3629355812261021</v>
      </c>
      <c r="F459" s="18">
        <f t="shared" si="118"/>
        <v>1000013.8155105581</v>
      </c>
      <c r="G459" s="18">
        <f t="shared" si="118"/>
        <v>1000013.8155105581</v>
      </c>
      <c r="H459" s="18">
        <f t="shared" si="118"/>
        <v>1000013.8155105581</v>
      </c>
      <c r="I459" s="16"/>
      <c r="J459" s="18">
        <f t="shared" si="120"/>
        <v>0.53844467338423518</v>
      </c>
      <c r="K459" s="18">
        <f t="shared" si="121"/>
        <v>2.3330384804991122E-4</v>
      </c>
      <c r="L459" s="18">
        <f t="shared" si="122"/>
        <v>999999.99999309238</v>
      </c>
      <c r="M459" s="18">
        <f t="shared" si="123"/>
        <v>999999.99999309238</v>
      </c>
      <c r="N459" s="18">
        <f t="shared" si="124"/>
        <v>999999.99999309238</v>
      </c>
      <c r="O459" s="16"/>
      <c r="P459" s="18">
        <f t="shared" si="119"/>
        <v>1.7447195057001146</v>
      </c>
      <c r="Q459" s="18">
        <f t="shared" si="129"/>
        <v>532.53763098262334</v>
      </c>
      <c r="R459" s="18">
        <f t="shared" si="130"/>
        <v>0</v>
      </c>
      <c r="S459" s="18">
        <f t="shared" si="131"/>
        <v>0</v>
      </c>
      <c r="T459" s="18">
        <f t="shared" si="132"/>
        <v>0</v>
      </c>
      <c r="U459" s="16"/>
      <c r="V459" s="18">
        <f t="shared" si="125"/>
        <v>534.28235048832346</v>
      </c>
      <c r="W459" s="16"/>
      <c r="X459" s="18">
        <f t="shared" si="126"/>
        <v>137.30331007849347</v>
      </c>
      <c r="Y459" s="18">
        <f t="shared" si="127"/>
        <v>11.717649511676541</v>
      </c>
      <c r="Z459" s="18"/>
      <c r="AA459" s="18">
        <f t="shared" si="128"/>
        <v>2.8941523964768525E-5</v>
      </c>
    </row>
    <row r="460" spans="2:27" x14ac:dyDescent="0.35">
      <c r="B460" s="26">
        <v>120.19999999999999</v>
      </c>
      <c r="C460" s="26">
        <v>552</v>
      </c>
      <c r="D460" s="18">
        <f t="shared" si="118"/>
        <v>-7.1102903821784302E-2</v>
      </c>
      <c r="E460" s="18">
        <f t="shared" si="118"/>
        <v>-8.3616926616920626</v>
      </c>
      <c r="F460" s="18">
        <f t="shared" si="118"/>
        <v>1000013.8155105581</v>
      </c>
      <c r="G460" s="18">
        <f t="shared" si="118"/>
        <v>1000013.8155105581</v>
      </c>
      <c r="H460" s="18">
        <f t="shared" si="118"/>
        <v>1000013.8155105581</v>
      </c>
      <c r="I460" s="16"/>
      <c r="J460" s="18">
        <f t="shared" si="120"/>
        <v>0.54178434336696901</v>
      </c>
      <c r="K460" s="18">
        <f t="shared" si="121"/>
        <v>2.335939384809326E-4</v>
      </c>
      <c r="L460" s="18">
        <f t="shared" si="122"/>
        <v>999999.99999309238</v>
      </c>
      <c r="M460" s="18">
        <f t="shared" si="123"/>
        <v>999999.99999309238</v>
      </c>
      <c r="N460" s="18">
        <f t="shared" si="124"/>
        <v>999999.99999309238</v>
      </c>
      <c r="O460" s="16"/>
      <c r="P460" s="18">
        <f t="shared" si="119"/>
        <v>1.7302087430708457</v>
      </c>
      <c r="Q460" s="18">
        <f t="shared" si="129"/>
        <v>531.87614076920966</v>
      </c>
      <c r="R460" s="18">
        <f t="shared" si="130"/>
        <v>0</v>
      </c>
      <c r="S460" s="18">
        <f t="shared" si="131"/>
        <v>0</v>
      </c>
      <c r="T460" s="18">
        <f t="shared" si="132"/>
        <v>0</v>
      </c>
      <c r="U460" s="16"/>
      <c r="V460" s="18">
        <f t="shared" si="125"/>
        <v>533.60634951228053</v>
      </c>
      <c r="W460" s="16"/>
      <c r="X460" s="18">
        <f t="shared" si="126"/>
        <v>338.3263782643827</v>
      </c>
      <c r="Y460" s="18">
        <f t="shared" si="127"/>
        <v>18.393650487719469</v>
      </c>
      <c r="Z460" s="18"/>
      <c r="AA460" s="18">
        <f t="shared" si="128"/>
        <v>4.5430636567464882E-5</v>
      </c>
    </row>
    <row r="461" spans="2:27" x14ac:dyDescent="0.35">
      <c r="B461" s="26">
        <v>120.5</v>
      </c>
      <c r="C461" s="26">
        <v>518</v>
      </c>
      <c r="D461" s="18">
        <f t="shared" si="118"/>
        <v>-5.6818474998941326E-2</v>
      </c>
      <c r="E461" s="18">
        <f t="shared" si="118"/>
        <v>-8.3598282823909997</v>
      </c>
      <c r="F461" s="18">
        <f t="shared" si="118"/>
        <v>1000013.8155105581</v>
      </c>
      <c r="G461" s="18">
        <f t="shared" si="118"/>
        <v>1000013.8155105581</v>
      </c>
      <c r="H461" s="18">
        <f t="shared" si="118"/>
        <v>1000013.8155105581</v>
      </c>
      <c r="I461" s="16"/>
      <c r="J461" s="18">
        <f t="shared" si="120"/>
        <v>0.54681898307192311</v>
      </c>
      <c r="K461" s="18">
        <f t="shared" si="121"/>
        <v>2.3402975041989811E-4</v>
      </c>
      <c r="L461" s="18">
        <f t="shared" si="122"/>
        <v>999999.99999309238</v>
      </c>
      <c r="M461" s="18">
        <f t="shared" si="123"/>
        <v>999999.99999309238</v>
      </c>
      <c r="N461" s="18">
        <f t="shared" si="124"/>
        <v>999999.99999309238</v>
      </c>
      <c r="O461" s="16"/>
      <c r="P461" s="18">
        <f t="shared" si="119"/>
        <v>1.7086987738982007</v>
      </c>
      <c r="Q461" s="18">
        <f t="shared" si="129"/>
        <v>530.88544575836409</v>
      </c>
      <c r="R461" s="18">
        <f t="shared" si="130"/>
        <v>0</v>
      </c>
      <c r="S461" s="18">
        <f t="shared" si="131"/>
        <v>0</v>
      </c>
      <c r="T461" s="18">
        <f t="shared" si="132"/>
        <v>0</v>
      </c>
      <c r="U461" s="16"/>
      <c r="V461" s="18">
        <f t="shared" si="125"/>
        <v>532.59414453226225</v>
      </c>
      <c r="W461" s="16"/>
      <c r="X461" s="18">
        <f t="shared" si="126"/>
        <v>212.9890546285601</v>
      </c>
      <c r="Y461" s="18">
        <f t="shared" si="127"/>
        <v>14.594144532262249</v>
      </c>
      <c r="Z461" s="18"/>
      <c r="AA461" s="18">
        <f t="shared" si="128"/>
        <v>3.6046203916994483E-5</v>
      </c>
    </row>
    <row r="462" spans="2:27" x14ac:dyDescent="0.35">
      <c r="B462" s="26">
        <v>120.79999999999998</v>
      </c>
      <c r="C462" s="26">
        <v>546</v>
      </c>
      <c r="D462" s="18">
        <f t="shared" si="118"/>
        <v>-4.2534046176100127E-2</v>
      </c>
      <c r="E462" s="18">
        <f t="shared" si="118"/>
        <v>-8.3579639030899386</v>
      </c>
      <c r="F462" s="18">
        <f t="shared" si="118"/>
        <v>1000013.8155105581</v>
      </c>
      <c r="G462" s="18">
        <f t="shared" si="118"/>
        <v>1000013.8155105581</v>
      </c>
      <c r="H462" s="18">
        <f t="shared" si="118"/>
        <v>1000013.8155105581</v>
      </c>
      <c r="I462" s="16"/>
      <c r="J462" s="18">
        <f t="shared" si="120"/>
        <v>0.55188377010467704</v>
      </c>
      <c r="K462" s="18">
        <f t="shared" si="121"/>
        <v>2.3446637525463066E-4</v>
      </c>
      <c r="L462" s="18">
        <f t="shared" si="122"/>
        <v>999999.99999309238</v>
      </c>
      <c r="M462" s="18">
        <f t="shared" si="123"/>
        <v>999999.99999309238</v>
      </c>
      <c r="N462" s="18">
        <f t="shared" si="124"/>
        <v>999999.99999309238</v>
      </c>
      <c r="O462" s="16"/>
      <c r="P462" s="18">
        <f t="shared" si="119"/>
        <v>1.6874921851187954</v>
      </c>
      <c r="Q462" s="18">
        <f t="shared" si="129"/>
        <v>529.89659605817837</v>
      </c>
      <c r="R462" s="18">
        <f t="shared" si="130"/>
        <v>0</v>
      </c>
      <c r="S462" s="18">
        <f t="shared" si="131"/>
        <v>0</v>
      </c>
      <c r="T462" s="18">
        <f t="shared" si="132"/>
        <v>0</v>
      </c>
      <c r="U462" s="16"/>
      <c r="V462" s="18">
        <f t="shared" si="125"/>
        <v>531.58408824329717</v>
      </c>
      <c r="W462" s="16"/>
      <c r="X462" s="18">
        <f t="shared" si="126"/>
        <v>207.81851177704277</v>
      </c>
      <c r="Y462" s="18">
        <f t="shared" si="127"/>
        <v>14.415911756702826</v>
      </c>
      <c r="Z462" s="18"/>
      <c r="AA462" s="18">
        <f t="shared" si="128"/>
        <v>3.5605985241737128E-5</v>
      </c>
    </row>
    <row r="463" spans="2:27" x14ac:dyDescent="0.35">
      <c r="B463" s="26">
        <v>121.1</v>
      </c>
      <c r="C463" s="26">
        <v>583</v>
      </c>
      <c r="D463" s="18">
        <f t="shared" si="118"/>
        <v>-2.824961735325715E-2</v>
      </c>
      <c r="E463" s="18">
        <f t="shared" si="118"/>
        <v>-8.3560995237888775</v>
      </c>
      <c r="F463" s="18">
        <f t="shared" si="118"/>
        <v>1000013.8155105581</v>
      </c>
      <c r="G463" s="18">
        <f t="shared" si="118"/>
        <v>1000013.8155105581</v>
      </c>
      <c r="H463" s="18">
        <f t="shared" si="118"/>
        <v>1000013.8155105581</v>
      </c>
      <c r="I463" s="16"/>
      <c r="J463" s="18">
        <f t="shared" si="120"/>
        <v>0.55697868676658169</v>
      </c>
      <c r="K463" s="18">
        <f t="shared" si="121"/>
        <v>2.3490381450066834E-4</v>
      </c>
      <c r="L463" s="18">
        <f t="shared" si="122"/>
        <v>999999.99999309238</v>
      </c>
      <c r="M463" s="18">
        <f t="shared" si="123"/>
        <v>999999.99999309238</v>
      </c>
      <c r="N463" s="18">
        <f t="shared" si="124"/>
        <v>999999.99999309238</v>
      </c>
      <c r="O463" s="16"/>
      <c r="P463" s="18">
        <f t="shared" si="119"/>
        <v>1.6665845040945879</v>
      </c>
      <c r="Q463" s="18">
        <f t="shared" si="129"/>
        <v>528.90958823149765</v>
      </c>
      <c r="R463" s="18">
        <f t="shared" si="130"/>
        <v>0</v>
      </c>
      <c r="S463" s="18">
        <f t="shared" si="131"/>
        <v>0</v>
      </c>
      <c r="T463" s="18">
        <f t="shared" si="132"/>
        <v>0</v>
      </c>
      <c r="U463" s="16"/>
      <c r="V463" s="18">
        <f t="shared" si="125"/>
        <v>530.57617273559219</v>
      </c>
      <c r="W463" s="16"/>
      <c r="X463" s="18">
        <f t="shared" si="126"/>
        <v>2748.2576650484671</v>
      </c>
      <c r="Y463" s="18">
        <f t="shared" si="127"/>
        <v>52.423827264407805</v>
      </c>
      <c r="Z463" s="18"/>
      <c r="AA463" s="18">
        <f t="shared" si="128"/>
        <v>1.2948206477637357E-4</v>
      </c>
    </row>
    <row r="464" spans="2:27" x14ac:dyDescent="0.35">
      <c r="B464" s="26">
        <v>121.4</v>
      </c>
      <c r="C464" s="26">
        <v>513</v>
      </c>
      <c r="D464" s="18">
        <f t="shared" si="118"/>
        <v>-1.3965188530414174E-2</v>
      </c>
      <c r="E464" s="18">
        <f t="shared" si="118"/>
        <v>-8.3542351444878147</v>
      </c>
      <c r="F464" s="18">
        <f t="shared" si="118"/>
        <v>1000013.8155105581</v>
      </c>
      <c r="G464" s="18">
        <f t="shared" si="118"/>
        <v>1000013.8155105581</v>
      </c>
      <c r="H464" s="18">
        <f t="shared" si="118"/>
        <v>1000013.8155105581</v>
      </c>
      <c r="I464" s="16"/>
      <c r="J464" s="18">
        <f t="shared" si="120"/>
        <v>0.56210371367624856</v>
      </c>
      <c r="K464" s="18">
        <f t="shared" si="121"/>
        <v>2.3534206967637192E-4</v>
      </c>
      <c r="L464" s="18">
        <f t="shared" si="122"/>
        <v>999999.99999309238</v>
      </c>
      <c r="M464" s="18">
        <f t="shared" si="123"/>
        <v>999999.99999309238</v>
      </c>
      <c r="N464" s="18">
        <f t="shared" si="124"/>
        <v>999999.99999309238</v>
      </c>
      <c r="O464" s="16"/>
      <c r="P464" s="18">
        <f t="shared" si="119"/>
        <v>1.6459713231947786</v>
      </c>
      <c r="Q464" s="18">
        <f t="shared" si="129"/>
        <v>527.92441884756943</v>
      </c>
      <c r="R464" s="18">
        <f t="shared" si="130"/>
        <v>0</v>
      </c>
      <c r="S464" s="18">
        <f t="shared" si="131"/>
        <v>0</v>
      </c>
      <c r="T464" s="18">
        <f t="shared" si="132"/>
        <v>0</v>
      </c>
      <c r="U464" s="16"/>
      <c r="V464" s="18">
        <f t="shared" si="125"/>
        <v>529.5703901707642</v>
      </c>
      <c r="W464" s="16"/>
      <c r="X464" s="18">
        <f t="shared" si="126"/>
        <v>274.57783041135878</v>
      </c>
      <c r="Y464" s="18">
        <f t="shared" si="127"/>
        <v>16.570390170764199</v>
      </c>
      <c r="Z464" s="18"/>
      <c r="AA464" s="18">
        <f t="shared" si="128"/>
        <v>4.092735012724583E-5</v>
      </c>
    </row>
    <row r="465" spans="2:27" x14ac:dyDescent="0.35">
      <c r="B465" s="26">
        <v>121.69999999999999</v>
      </c>
      <c r="C465" s="26">
        <v>527</v>
      </c>
      <c r="D465" s="18">
        <f t="shared" si="118"/>
        <v>3.1924029242702545E-4</v>
      </c>
      <c r="E465" s="18">
        <f t="shared" si="118"/>
        <v>-8.3523707651867536</v>
      </c>
      <c r="F465" s="18">
        <f t="shared" si="118"/>
        <v>1000013.8155105581</v>
      </c>
      <c r="G465" s="18">
        <f t="shared" si="118"/>
        <v>1000013.8155105581</v>
      </c>
      <c r="H465" s="18">
        <f t="shared" si="118"/>
        <v>1000013.8155105581</v>
      </c>
      <c r="I465" s="16"/>
      <c r="J465" s="18">
        <f t="shared" si="120"/>
        <v>0.56725882978536324</v>
      </c>
      <c r="K465" s="18">
        <f t="shared" si="121"/>
        <v>2.3578114230292919E-4</v>
      </c>
      <c r="L465" s="18">
        <f t="shared" si="122"/>
        <v>999999.99999309238</v>
      </c>
      <c r="M465" s="18">
        <f t="shared" si="123"/>
        <v>999999.99999309238</v>
      </c>
      <c r="N465" s="18">
        <f t="shared" si="124"/>
        <v>999999.99999309238</v>
      </c>
      <c r="O465" s="16"/>
      <c r="P465" s="18">
        <f t="shared" si="119"/>
        <v>1.6256482989058281</v>
      </c>
      <c r="Q465" s="18">
        <f t="shared" si="129"/>
        <v>526.9410844820344</v>
      </c>
      <c r="R465" s="18">
        <f t="shared" si="130"/>
        <v>0</v>
      </c>
      <c r="S465" s="18">
        <f t="shared" si="131"/>
        <v>0</v>
      </c>
      <c r="T465" s="18">
        <f t="shared" si="132"/>
        <v>0</v>
      </c>
      <c r="U465" s="16"/>
      <c r="V465" s="18">
        <f t="shared" si="125"/>
        <v>528.56673278094024</v>
      </c>
      <c r="W465" s="16"/>
      <c r="X465" s="18">
        <f t="shared" si="126"/>
        <v>2.4546516068727451</v>
      </c>
      <c r="Y465" s="18">
        <f t="shared" si="127"/>
        <v>1.5667327809402423</v>
      </c>
      <c r="Z465" s="18"/>
      <c r="AA465" s="18">
        <f t="shared" si="128"/>
        <v>3.8696868583401387E-6</v>
      </c>
    </row>
    <row r="466" spans="2:27" x14ac:dyDescent="0.35">
      <c r="B466" s="26">
        <v>122</v>
      </c>
      <c r="C466" s="26">
        <v>516</v>
      </c>
      <c r="D466" s="18">
        <f t="shared" si="118"/>
        <v>1.4603669115270002E-2</v>
      </c>
      <c r="E466" s="18">
        <f t="shared" si="118"/>
        <v>-8.3505063858856907</v>
      </c>
      <c r="F466" s="18">
        <f t="shared" si="118"/>
        <v>1000013.8155105581</v>
      </c>
      <c r="G466" s="18">
        <f t="shared" si="118"/>
        <v>1000013.8155105581</v>
      </c>
      <c r="H466" s="18">
        <f t="shared" si="118"/>
        <v>1000013.8155105581</v>
      </c>
      <c r="I466" s="16"/>
      <c r="J466" s="18">
        <f t="shared" si="120"/>
        <v>0.57244401239481102</v>
      </c>
      <c r="K466" s="18">
        <f t="shared" si="121"/>
        <v>2.3622103390436285E-4</v>
      </c>
      <c r="L466" s="18">
        <f t="shared" si="122"/>
        <v>999999.99999309238</v>
      </c>
      <c r="M466" s="18">
        <f t="shared" si="123"/>
        <v>999999.99999309238</v>
      </c>
      <c r="N466" s="18">
        <f t="shared" si="124"/>
        <v>999999.99999309238</v>
      </c>
      <c r="O466" s="16"/>
      <c r="P466" s="18">
        <f t="shared" si="119"/>
        <v>1.6056111509529396</v>
      </c>
      <c r="Q466" s="18">
        <f t="shared" si="129"/>
        <v>525.95958171690791</v>
      </c>
      <c r="R466" s="18">
        <f t="shared" si="130"/>
        <v>0</v>
      </c>
      <c r="S466" s="18">
        <f t="shared" si="131"/>
        <v>0</v>
      </c>
      <c r="T466" s="18">
        <f t="shared" si="132"/>
        <v>0</v>
      </c>
      <c r="U466" s="16"/>
      <c r="V466" s="18">
        <f t="shared" si="125"/>
        <v>527.5651928678609</v>
      </c>
      <c r="W466" s="16"/>
      <c r="X466" s="18">
        <f t="shared" si="126"/>
        <v>133.75368607082066</v>
      </c>
      <c r="Y466" s="18">
        <f t="shared" si="127"/>
        <v>11.565192867860901</v>
      </c>
      <c r="Z466" s="18"/>
      <c r="AA466" s="18">
        <f t="shared" si="128"/>
        <v>2.8564969980440725E-5</v>
      </c>
    </row>
    <row r="467" spans="2:27" x14ac:dyDescent="0.35">
      <c r="B467" s="26">
        <v>122.19999999999999</v>
      </c>
      <c r="C467" s="26">
        <v>515</v>
      </c>
      <c r="D467" s="18">
        <f t="shared" si="118"/>
        <v>2.4126621663831394E-2</v>
      </c>
      <c r="E467" s="18">
        <f t="shared" si="118"/>
        <v>-8.3492634663516512</v>
      </c>
      <c r="F467" s="18">
        <f t="shared" si="118"/>
        <v>1000013.8155105581</v>
      </c>
      <c r="G467" s="18">
        <f t="shared" si="118"/>
        <v>1000013.8155105581</v>
      </c>
      <c r="H467" s="18">
        <f t="shared" si="118"/>
        <v>1000013.8155105581</v>
      </c>
      <c r="I467" s="16"/>
      <c r="J467" s="18">
        <f t="shared" si="120"/>
        <v>0.57591749246262158</v>
      </c>
      <c r="K467" s="18">
        <f t="shared" si="121"/>
        <v>2.3651475071191514E-4</v>
      </c>
      <c r="L467" s="18">
        <f t="shared" si="122"/>
        <v>999999.99999309238</v>
      </c>
      <c r="M467" s="18">
        <f t="shared" si="123"/>
        <v>999999.99999309238</v>
      </c>
      <c r="N467" s="18">
        <f t="shared" si="124"/>
        <v>999999.99999309238</v>
      </c>
      <c r="O467" s="16"/>
      <c r="P467" s="18">
        <f t="shared" si="119"/>
        <v>1.5924097870483742</v>
      </c>
      <c r="Q467" s="18">
        <f t="shared" si="129"/>
        <v>525.30626241093057</v>
      </c>
      <c r="R467" s="18">
        <f t="shared" si="130"/>
        <v>0</v>
      </c>
      <c r="S467" s="18">
        <f t="shared" si="131"/>
        <v>0</v>
      </c>
      <c r="T467" s="18">
        <f t="shared" si="132"/>
        <v>0</v>
      </c>
      <c r="U467" s="16"/>
      <c r="V467" s="18">
        <f t="shared" si="125"/>
        <v>526.89867219797895</v>
      </c>
      <c r="W467" s="16"/>
      <c r="X467" s="18">
        <f t="shared" si="126"/>
        <v>141.5784000749573</v>
      </c>
      <c r="Y467" s="18">
        <f t="shared" si="127"/>
        <v>11.898672197978954</v>
      </c>
      <c r="Z467" s="18"/>
      <c r="AA467" s="18">
        <f t="shared" si="128"/>
        <v>2.9388633464721339E-5</v>
      </c>
    </row>
    <row r="468" spans="2:27" x14ac:dyDescent="0.35">
      <c r="B468" s="26">
        <v>122.5</v>
      </c>
      <c r="C468" s="26">
        <v>562</v>
      </c>
      <c r="D468" s="18">
        <f t="shared" si="118"/>
        <v>3.8411050486673481E-2</v>
      </c>
      <c r="E468" s="18">
        <f t="shared" si="118"/>
        <v>-8.3473990870505883</v>
      </c>
      <c r="F468" s="18">
        <f t="shared" si="118"/>
        <v>1000013.8155105581</v>
      </c>
      <c r="G468" s="18">
        <f t="shared" si="118"/>
        <v>1000013.8155105581</v>
      </c>
      <c r="H468" s="18">
        <f t="shared" si="118"/>
        <v>1000013.8155105581</v>
      </c>
      <c r="I468" s="16"/>
      <c r="J468" s="18">
        <f t="shared" si="120"/>
        <v>0.58115273103198761</v>
      </c>
      <c r="K468" s="18">
        <f t="shared" si="121"/>
        <v>2.3695601066590314E-4</v>
      </c>
      <c r="L468" s="18">
        <f t="shared" si="122"/>
        <v>999999.99999309238</v>
      </c>
      <c r="M468" s="18">
        <f t="shared" si="123"/>
        <v>999999.99999309238</v>
      </c>
      <c r="N468" s="18">
        <f t="shared" si="124"/>
        <v>999999.99999309238</v>
      </c>
      <c r="O468" s="16"/>
      <c r="P468" s="18">
        <f t="shared" si="119"/>
        <v>1.5728397569501462</v>
      </c>
      <c r="Q468" s="18">
        <f t="shared" si="129"/>
        <v>524.32780473492153</v>
      </c>
      <c r="R468" s="18">
        <f t="shared" si="130"/>
        <v>0</v>
      </c>
      <c r="S468" s="18">
        <f t="shared" si="131"/>
        <v>0</v>
      </c>
      <c r="T468" s="18">
        <f t="shared" si="132"/>
        <v>0</v>
      </c>
      <c r="U468" s="16"/>
      <c r="V468" s="18">
        <f t="shared" si="125"/>
        <v>525.90064449187173</v>
      </c>
      <c r="W468" s="16"/>
      <c r="X468" s="18">
        <f t="shared" si="126"/>
        <v>1303.1634681022308</v>
      </c>
      <c r="Y468" s="18">
        <f t="shared" si="127"/>
        <v>36.099355508128269</v>
      </c>
      <c r="Z468" s="18"/>
      <c r="AA468" s="18">
        <f t="shared" si="128"/>
        <v>8.9162110669899105E-5</v>
      </c>
    </row>
    <row r="469" spans="2:27" x14ac:dyDescent="0.35">
      <c r="B469" s="26">
        <v>122.79999999999998</v>
      </c>
      <c r="C469" s="26">
        <v>560</v>
      </c>
      <c r="D469" s="18">
        <f t="shared" si="118"/>
        <v>5.2695479309515569E-2</v>
      </c>
      <c r="E469" s="18">
        <f t="shared" si="118"/>
        <v>-8.3455347077495272</v>
      </c>
      <c r="F469" s="18">
        <f t="shared" si="118"/>
        <v>1000013.8155105581</v>
      </c>
      <c r="G469" s="18">
        <f t="shared" si="118"/>
        <v>1000013.8155105581</v>
      </c>
      <c r="H469" s="18">
        <f t="shared" si="118"/>
        <v>1000013.8155105581</v>
      </c>
      <c r="I469" s="16"/>
      <c r="J469" s="18">
        <f t="shared" si="120"/>
        <v>0.58641796762595111</v>
      </c>
      <c r="K469" s="18">
        <f t="shared" si="121"/>
        <v>2.373980936727172E-4</v>
      </c>
      <c r="L469" s="18">
        <f t="shared" si="122"/>
        <v>999999.99999309238</v>
      </c>
      <c r="M469" s="18">
        <f t="shared" si="123"/>
        <v>999999.99999309238</v>
      </c>
      <c r="N469" s="18">
        <f t="shared" si="124"/>
        <v>999999.99999309238</v>
      </c>
      <c r="O469" s="16"/>
      <c r="P469" s="18">
        <f t="shared" si="119"/>
        <v>1.5535444917291985</v>
      </c>
      <c r="Q469" s="18">
        <f t="shared" si="129"/>
        <v>523.35116957579453</v>
      </c>
      <c r="R469" s="18">
        <f t="shared" si="130"/>
        <v>0</v>
      </c>
      <c r="S469" s="18">
        <f t="shared" si="131"/>
        <v>0</v>
      </c>
      <c r="T469" s="18">
        <f t="shared" si="132"/>
        <v>0</v>
      </c>
      <c r="U469" s="16"/>
      <c r="V469" s="18">
        <f t="shared" si="125"/>
        <v>524.90471406752374</v>
      </c>
      <c r="W469" s="16"/>
      <c r="X469" s="18">
        <f t="shared" si="126"/>
        <v>1231.6790946822659</v>
      </c>
      <c r="Y469" s="18">
        <f t="shared" si="127"/>
        <v>35.095285932476258</v>
      </c>
      <c r="Z469" s="18"/>
      <c r="AA469" s="18">
        <f t="shared" si="128"/>
        <v>8.6682150533092631E-5</v>
      </c>
    </row>
    <row r="470" spans="2:27" x14ac:dyDescent="0.35">
      <c r="B470" s="26">
        <v>123.1</v>
      </c>
      <c r="C470" s="26">
        <v>540</v>
      </c>
      <c r="D470" s="18">
        <f t="shared" si="118"/>
        <v>6.6979908132358545E-2</v>
      </c>
      <c r="E470" s="18">
        <f t="shared" si="118"/>
        <v>-8.3436703284484643</v>
      </c>
      <c r="F470" s="18">
        <f t="shared" si="118"/>
        <v>1000013.8155105581</v>
      </c>
      <c r="G470" s="18">
        <f t="shared" si="118"/>
        <v>1000013.8155105581</v>
      </c>
      <c r="H470" s="18">
        <f t="shared" si="118"/>
        <v>1000013.8155105581</v>
      </c>
      <c r="I470" s="16"/>
      <c r="J470" s="18">
        <f t="shared" si="120"/>
        <v>0.59171317363515175</v>
      </c>
      <c r="K470" s="18">
        <f t="shared" si="121"/>
        <v>2.3784100126681437E-4</v>
      </c>
      <c r="L470" s="18">
        <f t="shared" si="122"/>
        <v>999999.99999309238</v>
      </c>
      <c r="M470" s="18">
        <f t="shared" si="123"/>
        <v>999999.99999309238</v>
      </c>
      <c r="N470" s="18">
        <f t="shared" si="124"/>
        <v>999999.99999309238</v>
      </c>
      <c r="O470" s="16"/>
      <c r="P470" s="18">
        <f t="shared" si="119"/>
        <v>1.5345199356508423</v>
      </c>
      <c r="Q470" s="18">
        <f t="shared" si="129"/>
        <v>522.37635353885048</v>
      </c>
      <c r="R470" s="18">
        <f t="shared" si="130"/>
        <v>0</v>
      </c>
      <c r="S470" s="18">
        <f t="shared" si="131"/>
        <v>0</v>
      </c>
      <c r="T470" s="18">
        <f t="shared" si="132"/>
        <v>0</v>
      </c>
      <c r="U470" s="16"/>
      <c r="V470" s="18">
        <f t="shared" si="125"/>
        <v>523.91087347450127</v>
      </c>
      <c r="W470" s="16"/>
      <c r="X470" s="18">
        <f t="shared" si="126"/>
        <v>258.85999235350675</v>
      </c>
      <c r="Y470" s="18">
        <f t="shared" si="127"/>
        <v>16.089126525498727</v>
      </c>
      <c r="Z470" s="18"/>
      <c r="AA470" s="18">
        <f t="shared" si="128"/>
        <v>3.9738672883661874E-5</v>
      </c>
    </row>
    <row r="471" spans="2:27" x14ac:dyDescent="0.35">
      <c r="B471" s="26">
        <v>123.4</v>
      </c>
      <c r="C471" s="26">
        <v>561</v>
      </c>
      <c r="D471" s="18">
        <f t="shared" si="118"/>
        <v>8.1264336955201522E-2</v>
      </c>
      <c r="E471" s="18">
        <f t="shared" si="118"/>
        <v>-8.3418059491474033</v>
      </c>
      <c r="F471" s="18">
        <f t="shared" si="118"/>
        <v>1000013.8155105581</v>
      </c>
      <c r="G471" s="18">
        <f t="shared" si="118"/>
        <v>1000013.8155105581</v>
      </c>
      <c r="H471" s="18">
        <f t="shared" ref="E471:H486" si="133">G$23/(G$21*$A$21)-LN((G$21*$A$21)/G$23)+$B471*G$22</f>
        <v>1000013.8155105581</v>
      </c>
      <c r="I471" s="16"/>
      <c r="J471" s="18">
        <f t="shared" si="120"/>
        <v>0.59703831887847059</v>
      </c>
      <c r="K471" s="18">
        <f t="shared" si="121"/>
        <v>2.3828473498550793E-4</v>
      </c>
      <c r="L471" s="18">
        <f t="shared" si="122"/>
        <v>999999.99999309238</v>
      </c>
      <c r="M471" s="18">
        <f t="shared" si="123"/>
        <v>999999.99999309238</v>
      </c>
      <c r="N471" s="18">
        <f t="shared" si="124"/>
        <v>999999.99999309238</v>
      </c>
      <c r="O471" s="16"/>
      <c r="P471" s="18">
        <f t="shared" si="119"/>
        <v>1.515762092266226</v>
      </c>
      <c r="Q471" s="18">
        <f t="shared" si="129"/>
        <v>521.4033532357173</v>
      </c>
      <c r="R471" s="18">
        <f t="shared" si="130"/>
        <v>0</v>
      </c>
      <c r="S471" s="18">
        <f t="shared" si="131"/>
        <v>0</v>
      </c>
      <c r="T471" s="18">
        <f t="shared" si="132"/>
        <v>0</v>
      </c>
      <c r="U471" s="16"/>
      <c r="V471" s="18">
        <f t="shared" si="125"/>
        <v>522.91911532798349</v>
      </c>
      <c r="W471" s="16"/>
      <c r="X471" s="18">
        <f t="shared" si="126"/>
        <v>1450.1537774034218</v>
      </c>
      <c r="Y471" s="18">
        <f t="shared" si="127"/>
        <v>38.080884672016509</v>
      </c>
      <c r="Z471" s="18"/>
      <c r="AA471" s="18">
        <f t="shared" si="128"/>
        <v>9.4056306705239814E-5</v>
      </c>
    </row>
    <row r="472" spans="2:27" x14ac:dyDescent="0.35">
      <c r="B472" s="26">
        <v>123.69999999999999</v>
      </c>
      <c r="C472" s="26">
        <v>500</v>
      </c>
      <c r="D472" s="18">
        <f t="shared" si="118"/>
        <v>9.5548765778042721E-2</v>
      </c>
      <c r="E472" s="18">
        <f t="shared" si="133"/>
        <v>-8.3399415698463422</v>
      </c>
      <c r="F472" s="18">
        <f t="shared" si="133"/>
        <v>1000013.8155105581</v>
      </c>
      <c r="G472" s="18">
        <f t="shared" si="133"/>
        <v>1000013.8155105581</v>
      </c>
      <c r="H472" s="18">
        <f t="shared" si="133"/>
        <v>1000013.8155105581</v>
      </c>
      <c r="I472" s="16"/>
      <c r="J472" s="18">
        <f t="shared" si="120"/>
        <v>0.60239337162070861</v>
      </c>
      <c r="K472" s="18">
        <f t="shared" si="121"/>
        <v>2.3872929636897569E-4</v>
      </c>
      <c r="L472" s="18">
        <f t="shared" si="122"/>
        <v>999999.99999309238</v>
      </c>
      <c r="M472" s="18">
        <f t="shared" si="123"/>
        <v>999999.99999309238</v>
      </c>
      <c r="N472" s="18">
        <f t="shared" si="124"/>
        <v>999999.99999309238</v>
      </c>
      <c r="O472" s="16"/>
      <c r="P472" s="18">
        <f t="shared" si="119"/>
        <v>1.4972670235957635</v>
      </c>
      <c r="Q472" s="18">
        <f t="shared" si="129"/>
        <v>520.43216528433163</v>
      </c>
      <c r="R472" s="18">
        <f t="shared" si="130"/>
        <v>0</v>
      </c>
      <c r="S472" s="18">
        <f t="shared" si="131"/>
        <v>0</v>
      </c>
      <c r="T472" s="18">
        <f t="shared" si="132"/>
        <v>0</v>
      </c>
      <c r="U472" s="16"/>
      <c r="V472" s="18">
        <f t="shared" si="125"/>
        <v>521.92943230792741</v>
      </c>
      <c r="W472" s="16"/>
      <c r="X472" s="18">
        <f t="shared" si="126"/>
        <v>480.90000134797066</v>
      </c>
      <c r="Y472" s="18">
        <f t="shared" si="127"/>
        <v>21.929432307927414</v>
      </c>
      <c r="Z472" s="18"/>
      <c r="AA472" s="18">
        <f t="shared" si="128"/>
        <v>5.4163694693309079E-5</v>
      </c>
    </row>
    <row r="473" spans="2:27" x14ac:dyDescent="0.35">
      <c r="B473" s="26">
        <v>124</v>
      </c>
      <c r="C473" s="26">
        <v>525</v>
      </c>
      <c r="D473" s="18">
        <f t="shared" si="118"/>
        <v>0.1098331946008857</v>
      </c>
      <c r="E473" s="18">
        <f t="shared" si="133"/>
        <v>-8.3380771905452793</v>
      </c>
      <c r="F473" s="18">
        <f t="shared" si="133"/>
        <v>1000013.8155105581</v>
      </c>
      <c r="G473" s="18">
        <f t="shared" si="133"/>
        <v>1000013.8155105581</v>
      </c>
      <c r="H473" s="18">
        <f t="shared" si="133"/>
        <v>1000013.8155105581</v>
      </c>
      <c r="I473" s="16"/>
      <c r="J473" s="18">
        <f t="shared" si="120"/>
        <v>0.60777829859050414</v>
      </c>
      <c r="K473" s="18">
        <f t="shared" si="121"/>
        <v>2.3917468696026426E-4</v>
      </c>
      <c r="L473" s="18">
        <f t="shared" si="122"/>
        <v>999999.99999309238</v>
      </c>
      <c r="M473" s="18">
        <f t="shared" si="123"/>
        <v>999999.99999309238</v>
      </c>
      <c r="N473" s="18">
        <f t="shared" si="124"/>
        <v>999999.99999309238</v>
      </c>
      <c r="O473" s="16"/>
      <c r="P473" s="18">
        <f t="shared" si="119"/>
        <v>1.4790308493229842</v>
      </c>
      <c r="Q473" s="18">
        <f t="shared" si="129"/>
        <v>519.46278630892914</v>
      </c>
      <c r="R473" s="18">
        <f t="shared" si="130"/>
        <v>0</v>
      </c>
      <c r="S473" s="18">
        <f t="shared" si="131"/>
        <v>0</v>
      </c>
      <c r="T473" s="18">
        <f t="shared" si="132"/>
        <v>0</v>
      </c>
      <c r="U473" s="16"/>
      <c r="V473" s="18">
        <f t="shared" si="125"/>
        <v>520.94181715825209</v>
      </c>
      <c r="W473" s="16"/>
      <c r="X473" s="18">
        <f t="shared" si="126"/>
        <v>16.46884797705712</v>
      </c>
      <c r="Y473" s="18">
        <f t="shared" si="127"/>
        <v>4.0581828417479073</v>
      </c>
      <c r="Z473" s="18"/>
      <c r="AA473" s="18">
        <f t="shared" si="128"/>
        <v>1.0023340931201394E-5</v>
      </c>
    </row>
    <row r="474" spans="2:27" x14ac:dyDescent="0.35">
      <c r="B474" s="26">
        <v>124.19999999999999</v>
      </c>
      <c r="C474" s="26">
        <v>512</v>
      </c>
      <c r="D474" s="18">
        <f t="shared" si="118"/>
        <v>0.1193561471494462</v>
      </c>
      <c r="E474" s="18">
        <f t="shared" si="133"/>
        <v>-8.336834271011238</v>
      </c>
      <c r="F474" s="18">
        <f t="shared" si="133"/>
        <v>1000013.8155105581</v>
      </c>
      <c r="G474" s="18">
        <f t="shared" si="133"/>
        <v>1000013.8155105581</v>
      </c>
      <c r="H474" s="18">
        <f t="shared" si="133"/>
        <v>1000013.8155105581</v>
      </c>
      <c r="I474" s="16"/>
      <c r="J474" s="18">
        <f t="shared" si="120"/>
        <v>0.6113848295787605</v>
      </c>
      <c r="K474" s="18">
        <f t="shared" si="121"/>
        <v>2.3947207545543339E-4</v>
      </c>
      <c r="L474" s="18">
        <f t="shared" si="122"/>
        <v>999999.99999309238</v>
      </c>
      <c r="M474" s="18">
        <f t="shared" si="123"/>
        <v>999999.99999309238</v>
      </c>
      <c r="N474" s="18">
        <f t="shared" si="124"/>
        <v>999999.99999309238</v>
      </c>
      <c r="O474" s="16"/>
      <c r="P474" s="18">
        <f t="shared" si="119"/>
        <v>1.4670153395892374</v>
      </c>
      <c r="Q474" s="18">
        <f t="shared" si="129"/>
        <v>518.81753698112232</v>
      </c>
      <c r="R474" s="18">
        <f t="shared" si="130"/>
        <v>0</v>
      </c>
      <c r="S474" s="18">
        <f t="shared" si="131"/>
        <v>0</v>
      </c>
      <c r="T474" s="18">
        <f t="shared" si="132"/>
        <v>0</v>
      </c>
      <c r="U474" s="16"/>
      <c r="V474" s="18">
        <f t="shared" si="125"/>
        <v>520.28455232071155</v>
      </c>
      <c r="W474" s="16"/>
      <c r="X474" s="18">
        <f t="shared" si="126"/>
        <v>68.633807154607211</v>
      </c>
      <c r="Y474" s="18">
        <f t="shared" si="127"/>
        <v>8.2845523207115548</v>
      </c>
      <c r="Z474" s="18"/>
      <c r="AA474" s="18">
        <f t="shared" si="128"/>
        <v>2.0462087493598929E-5</v>
      </c>
    </row>
    <row r="475" spans="2:27" x14ac:dyDescent="0.35">
      <c r="B475" s="26">
        <v>124.5</v>
      </c>
      <c r="C475" s="26">
        <v>540</v>
      </c>
      <c r="D475" s="18">
        <f t="shared" si="118"/>
        <v>0.13364057597228918</v>
      </c>
      <c r="E475" s="18">
        <f t="shared" si="133"/>
        <v>-8.3349698917101769</v>
      </c>
      <c r="F475" s="18">
        <f t="shared" si="133"/>
        <v>1000013.8155105581</v>
      </c>
      <c r="G475" s="18">
        <f t="shared" si="133"/>
        <v>1000013.8155105581</v>
      </c>
      <c r="H475" s="18">
        <f t="shared" si="133"/>
        <v>1000013.8155105581</v>
      </c>
      <c r="I475" s="16"/>
      <c r="J475" s="18">
        <f t="shared" si="120"/>
        <v>0.61681946887672412</v>
      </c>
      <c r="K475" s="18">
        <f t="shared" si="121"/>
        <v>2.399188514965553E-4</v>
      </c>
      <c r="L475" s="18">
        <f t="shared" si="122"/>
        <v>999999.99999309238</v>
      </c>
      <c r="M475" s="18">
        <f t="shared" si="123"/>
        <v>999999.99999309238</v>
      </c>
      <c r="N475" s="18">
        <f t="shared" si="124"/>
        <v>999999.99999309238</v>
      </c>
      <c r="O475" s="16"/>
      <c r="P475" s="18">
        <f t="shared" si="119"/>
        <v>1.4492021871521188</v>
      </c>
      <c r="Q475" s="18">
        <f t="shared" si="129"/>
        <v>517.85116548107169</v>
      </c>
      <c r="R475" s="18">
        <f t="shared" si="130"/>
        <v>0</v>
      </c>
      <c r="S475" s="18">
        <f t="shared" si="131"/>
        <v>0</v>
      </c>
      <c r="T475" s="18">
        <f t="shared" si="132"/>
        <v>0</v>
      </c>
      <c r="U475" s="16"/>
      <c r="V475" s="18">
        <f t="shared" si="125"/>
        <v>519.30036766822377</v>
      </c>
      <c r="W475" s="16"/>
      <c r="X475" s="18">
        <f t="shared" si="126"/>
        <v>428.47477867071581</v>
      </c>
      <c r="Y475" s="18">
        <f t="shared" si="127"/>
        <v>20.699632331776229</v>
      </c>
      <c r="Z475" s="18"/>
      <c r="AA475" s="18">
        <f t="shared" si="128"/>
        <v>5.1126201086235077E-5</v>
      </c>
    </row>
    <row r="476" spans="2:27" x14ac:dyDescent="0.35">
      <c r="B476" s="26">
        <v>124.79999999999998</v>
      </c>
      <c r="C476" s="26">
        <v>547</v>
      </c>
      <c r="D476" s="18">
        <f t="shared" si="118"/>
        <v>0.14792500479513038</v>
      </c>
      <c r="E476" s="18">
        <f t="shared" si="133"/>
        <v>-8.3331055124091158</v>
      </c>
      <c r="F476" s="18">
        <f t="shared" si="133"/>
        <v>1000013.8155105581</v>
      </c>
      <c r="G476" s="18">
        <f t="shared" si="133"/>
        <v>1000013.8155105581</v>
      </c>
      <c r="H476" s="18">
        <f t="shared" si="133"/>
        <v>1000013.8155105581</v>
      </c>
      <c r="I476" s="16"/>
      <c r="J476" s="18">
        <f t="shared" si="120"/>
        <v>0.62228388630708842</v>
      </c>
      <c r="K476" s="18">
        <f t="shared" si="121"/>
        <v>2.4036646087435246E-4</v>
      </c>
      <c r="L476" s="18">
        <f t="shared" si="122"/>
        <v>999999.99999309238</v>
      </c>
      <c r="M476" s="18">
        <f t="shared" si="123"/>
        <v>999999.99999309238</v>
      </c>
      <c r="N476" s="18">
        <f t="shared" si="124"/>
        <v>999999.99999309238</v>
      </c>
      <c r="O476" s="16"/>
      <c r="P476" s="18">
        <f t="shared" si="119"/>
        <v>1.431637857490365</v>
      </c>
      <c r="Q476" s="18">
        <f t="shared" si="129"/>
        <v>516.88659398567927</v>
      </c>
      <c r="R476" s="18">
        <f t="shared" si="130"/>
        <v>0</v>
      </c>
      <c r="S476" s="18">
        <f t="shared" si="131"/>
        <v>0</v>
      </c>
      <c r="T476" s="18">
        <f t="shared" si="132"/>
        <v>0</v>
      </c>
      <c r="U476" s="16"/>
      <c r="V476" s="18">
        <f t="shared" si="125"/>
        <v>518.31823184316966</v>
      </c>
      <c r="W476" s="16"/>
      <c r="X476" s="18">
        <f t="shared" si="126"/>
        <v>822.64382460216711</v>
      </c>
      <c r="Y476" s="18">
        <f t="shared" si="127"/>
        <v>28.681768156830344</v>
      </c>
      <c r="Z476" s="18"/>
      <c r="AA476" s="18">
        <f t="shared" si="128"/>
        <v>7.0841347459288509E-5</v>
      </c>
    </row>
    <row r="477" spans="2:27" x14ac:dyDescent="0.35">
      <c r="B477" s="26">
        <v>125.1</v>
      </c>
      <c r="C477" s="26">
        <v>535</v>
      </c>
      <c r="D477" s="18">
        <f t="shared" si="118"/>
        <v>0.16220943361797335</v>
      </c>
      <c r="E477" s="18">
        <f t="shared" si="133"/>
        <v>-8.3312411331080529</v>
      </c>
      <c r="F477" s="18">
        <f t="shared" si="133"/>
        <v>1000013.8155105581</v>
      </c>
      <c r="G477" s="18">
        <f t="shared" si="133"/>
        <v>1000013.8155105581</v>
      </c>
      <c r="H477" s="18">
        <f t="shared" si="133"/>
        <v>1000013.8155105581</v>
      </c>
      <c r="I477" s="16"/>
      <c r="J477" s="18">
        <f t="shared" si="120"/>
        <v>0.62777804312266328</v>
      </c>
      <c r="K477" s="18">
        <f t="shared" si="121"/>
        <v>2.4081490514243564E-4</v>
      </c>
      <c r="L477" s="18">
        <f t="shared" si="122"/>
        <v>999999.99999309238</v>
      </c>
      <c r="M477" s="18">
        <f t="shared" si="123"/>
        <v>999999.99999309238</v>
      </c>
      <c r="N477" s="18">
        <f t="shared" si="124"/>
        <v>999999.99999309238</v>
      </c>
      <c r="O477" s="16"/>
      <c r="P477" s="18">
        <f t="shared" si="119"/>
        <v>1.414318674986683</v>
      </c>
      <c r="Q477" s="18">
        <f t="shared" si="129"/>
        <v>515.92381914217913</v>
      </c>
      <c r="R477" s="18">
        <f t="shared" si="130"/>
        <v>0</v>
      </c>
      <c r="S477" s="18">
        <f t="shared" si="131"/>
        <v>0</v>
      </c>
      <c r="T477" s="18">
        <f t="shared" si="132"/>
        <v>0</v>
      </c>
      <c r="U477" s="16"/>
      <c r="V477" s="18">
        <f t="shared" si="125"/>
        <v>517.33813781716583</v>
      </c>
      <c r="W477" s="16"/>
      <c r="X477" s="18">
        <f t="shared" si="126"/>
        <v>311.94137576542778</v>
      </c>
      <c r="Y477" s="18">
        <f t="shared" si="127"/>
        <v>17.66186218283417</v>
      </c>
      <c r="Z477" s="18"/>
      <c r="AA477" s="18">
        <f t="shared" si="128"/>
        <v>4.3623186298375468E-5</v>
      </c>
    </row>
    <row r="478" spans="2:27" x14ac:dyDescent="0.35">
      <c r="B478" s="26">
        <v>125.4</v>
      </c>
      <c r="C478" s="26">
        <v>542</v>
      </c>
      <c r="D478" s="18">
        <f t="shared" si="118"/>
        <v>0.17649386244081633</v>
      </c>
      <c r="E478" s="18">
        <f t="shared" si="133"/>
        <v>-8.3293767538069918</v>
      </c>
      <c r="F478" s="18">
        <f t="shared" si="133"/>
        <v>1000013.8155105581</v>
      </c>
      <c r="G478" s="18">
        <f t="shared" si="133"/>
        <v>1000013.8155105581</v>
      </c>
      <c r="H478" s="18">
        <f t="shared" si="133"/>
        <v>1000013.8155105581</v>
      </c>
      <c r="I478" s="16"/>
      <c r="J478" s="18">
        <f t="shared" si="120"/>
        <v>0.63330189912647883</v>
      </c>
      <c r="K478" s="18">
        <f t="shared" si="121"/>
        <v>2.4126418585730791E-4</v>
      </c>
      <c r="L478" s="18">
        <f t="shared" si="122"/>
        <v>999999.99999309238</v>
      </c>
      <c r="M478" s="18">
        <f t="shared" si="123"/>
        <v>999999.99999309238</v>
      </c>
      <c r="N478" s="18">
        <f t="shared" si="124"/>
        <v>999999.99999309238</v>
      </c>
      <c r="O478" s="16"/>
      <c r="P478" s="18">
        <f t="shared" si="119"/>
        <v>1.397241018058677</v>
      </c>
      <c r="Q478" s="18">
        <f t="shared" si="129"/>
        <v>514.96283760405356</v>
      </c>
      <c r="R478" s="18">
        <f t="shared" si="130"/>
        <v>0</v>
      </c>
      <c r="S478" s="18">
        <f t="shared" si="131"/>
        <v>0</v>
      </c>
      <c r="T478" s="18">
        <f t="shared" si="132"/>
        <v>0</v>
      </c>
      <c r="U478" s="16"/>
      <c r="V478" s="18">
        <f t="shared" si="125"/>
        <v>516.36007862211227</v>
      </c>
      <c r="W478" s="16"/>
      <c r="X478" s="18">
        <f t="shared" si="126"/>
        <v>657.40556826426428</v>
      </c>
      <c r="Y478" s="18">
        <f t="shared" si="127"/>
        <v>25.639921377887731</v>
      </c>
      <c r="Z478" s="18"/>
      <c r="AA478" s="18">
        <f t="shared" si="128"/>
        <v>6.3328263767700472E-5</v>
      </c>
    </row>
    <row r="479" spans="2:27" x14ac:dyDescent="0.35">
      <c r="B479" s="26">
        <v>125.69999999999999</v>
      </c>
      <c r="C479" s="26">
        <v>503</v>
      </c>
      <c r="D479" s="18">
        <f t="shared" si="118"/>
        <v>0.19077829126365842</v>
      </c>
      <c r="E479" s="18">
        <f t="shared" si="133"/>
        <v>-8.3275123745059307</v>
      </c>
      <c r="F479" s="18">
        <f t="shared" si="133"/>
        <v>1000013.8155105581</v>
      </c>
      <c r="G479" s="18">
        <f t="shared" si="133"/>
        <v>1000013.8155105581</v>
      </c>
      <c r="H479" s="18">
        <f t="shared" si="133"/>
        <v>1000013.8155105581</v>
      </c>
      <c r="I479" s="16"/>
      <c r="J479" s="18">
        <f t="shared" si="120"/>
        <v>0.63885541269082369</v>
      </c>
      <c r="K479" s="18">
        <f t="shared" si="121"/>
        <v>2.4171430457837264E-4</v>
      </c>
      <c r="L479" s="18">
        <f t="shared" si="122"/>
        <v>999999.99999309238</v>
      </c>
      <c r="M479" s="18">
        <f t="shared" si="123"/>
        <v>999999.99999309238</v>
      </c>
      <c r="N479" s="18">
        <f t="shared" si="124"/>
        <v>999999.99999309238</v>
      </c>
      <c r="O479" s="16"/>
      <c r="P479" s="18">
        <f t="shared" si="119"/>
        <v>1.3804013184091797</v>
      </c>
      <c r="Q479" s="18">
        <f t="shared" si="129"/>
        <v>514.00364603101491</v>
      </c>
      <c r="R479" s="18">
        <f t="shared" si="130"/>
        <v>0</v>
      </c>
      <c r="S479" s="18">
        <f t="shared" si="131"/>
        <v>0</v>
      </c>
      <c r="T479" s="18">
        <f t="shared" si="132"/>
        <v>0</v>
      </c>
      <c r="U479" s="16"/>
      <c r="V479" s="18">
        <f t="shared" si="125"/>
        <v>515.38404734942412</v>
      </c>
      <c r="W479" s="16"/>
      <c r="X479" s="18">
        <f t="shared" si="126"/>
        <v>153.36462875277863</v>
      </c>
      <c r="Y479" s="18">
        <f t="shared" si="127"/>
        <v>12.384047349424122</v>
      </c>
      <c r="Z479" s="18"/>
      <c r="AA479" s="18">
        <f t="shared" si="128"/>
        <v>3.0587465753010497E-5</v>
      </c>
    </row>
    <row r="480" spans="2:27" x14ac:dyDescent="0.35">
      <c r="B480" s="26">
        <v>126</v>
      </c>
      <c r="C480" s="26">
        <v>482</v>
      </c>
      <c r="D480" s="18">
        <f t="shared" si="118"/>
        <v>0.20506272008650051</v>
      </c>
      <c r="E480" s="18">
        <f t="shared" si="133"/>
        <v>-8.3256479952048679</v>
      </c>
      <c r="F480" s="18">
        <f t="shared" si="133"/>
        <v>1000013.8155105581</v>
      </c>
      <c r="G480" s="18">
        <f t="shared" si="133"/>
        <v>1000013.8155105581</v>
      </c>
      <c r="H480" s="18">
        <f t="shared" si="133"/>
        <v>1000013.8155105581</v>
      </c>
      <c r="I480" s="16"/>
      <c r="J480" s="18">
        <f t="shared" si="120"/>
        <v>0.64443854077644469</v>
      </c>
      <c r="K480" s="18">
        <f t="shared" si="121"/>
        <v>2.4216526286793767E-4</v>
      </c>
      <c r="L480" s="18">
        <f t="shared" si="122"/>
        <v>999999.99999309238</v>
      </c>
      <c r="M480" s="18">
        <f t="shared" si="123"/>
        <v>999999.99999309238</v>
      </c>
      <c r="N480" s="18">
        <f t="shared" si="124"/>
        <v>999999.99999309238</v>
      </c>
      <c r="O480" s="16"/>
      <c r="P480" s="18">
        <f t="shared" si="119"/>
        <v>1.363796060286115</v>
      </c>
      <c r="Q480" s="18">
        <f t="shared" si="129"/>
        <v>513.0462410889977</v>
      </c>
      <c r="R480" s="18">
        <f t="shared" si="130"/>
        <v>0</v>
      </c>
      <c r="S480" s="18">
        <f t="shared" si="131"/>
        <v>0</v>
      </c>
      <c r="T480" s="18">
        <f t="shared" si="132"/>
        <v>0</v>
      </c>
      <c r="U480" s="16"/>
      <c r="V480" s="18">
        <f t="shared" si="125"/>
        <v>514.41003714928377</v>
      </c>
      <c r="W480" s="16"/>
      <c r="X480" s="18">
        <f t="shared" si="126"/>
        <v>1050.4105080179538</v>
      </c>
      <c r="Y480" s="18">
        <f t="shared" si="127"/>
        <v>32.410037149283767</v>
      </c>
      <c r="Z480" s="18"/>
      <c r="AA480" s="18">
        <f t="shared" si="128"/>
        <v>8.0049831318160624E-5</v>
      </c>
    </row>
    <row r="481" spans="2:27" x14ac:dyDescent="0.35">
      <c r="B481" s="26">
        <v>126.19999999999999</v>
      </c>
      <c r="C481" s="26">
        <v>503</v>
      </c>
      <c r="D481" s="18">
        <f t="shared" si="118"/>
        <v>0.2145856726350619</v>
      </c>
      <c r="E481" s="18">
        <f t="shared" si="133"/>
        <v>-8.3244050756708283</v>
      </c>
      <c r="F481" s="18">
        <f t="shared" si="133"/>
        <v>1000013.8155105581</v>
      </c>
      <c r="G481" s="18">
        <f t="shared" si="133"/>
        <v>1000013.8155105581</v>
      </c>
      <c r="H481" s="18">
        <f t="shared" si="133"/>
        <v>1000013.8155105581</v>
      </c>
      <c r="I481" s="16"/>
      <c r="J481" s="18">
        <f t="shared" si="120"/>
        <v>0.64817705679392745</v>
      </c>
      <c r="K481" s="18">
        <f t="shared" si="121"/>
        <v>2.4246636892741826E-4</v>
      </c>
      <c r="L481" s="18">
        <f t="shared" si="122"/>
        <v>999999.99999309238</v>
      </c>
      <c r="M481" s="18">
        <f t="shared" si="123"/>
        <v>999999.99999309238</v>
      </c>
      <c r="N481" s="18">
        <f t="shared" si="124"/>
        <v>999999.99999309238</v>
      </c>
      <c r="O481" s="16"/>
      <c r="P481" s="18">
        <f t="shared" si="119"/>
        <v>1.3528544207995656</v>
      </c>
      <c r="Q481" s="18">
        <f t="shared" si="129"/>
        <v>512.40896205680428</v>
      </c>
      <c r="R481" s="18">
        <f t="shared" si="130"/>
        <v>0</v>
      </c>
      <c r="S481" s="18">
        <f t="shared" si="131"/>
        <v>0</v>
      </c>
      <c r="T481" s="18">
        <f t="shared" si="132"/>
        <v>0</v>
      </c>
      <c r="U481" s="16"/>
      <c r="V481" s="18">
        <f t="shared" si="125"/>
        <v>513.76181647760382</v>
      </c>
      <c r="W481" s="16"/>
      <c r="X481" s="18">
        <f t="shared" si="126"/>
        <v>115.816693897625</v>
      </c>
      <c r="Y481" s="18">
        <f t="shared" si="127"/>
        <v>10.761816477603816</v>
      </c>
      <c r="Z481" s="18"/>
      <c r="AA481" s="18">
        <f t="shared" si="128"/>
        <v>2.6580703679576776E-5</v>
      </c>
    </row>
    <row r="482" spans="2:27" x14ac:dyDescent="0.35">
      <c r="B482" s="26">
        <v>126.5</v>
      </c>
      <c r="C482" s="26">
        <v>531</v>
      </c>
      <c r="D482" s="18">
        <f t="shared" si="118"/>
        <v>0.22887010145790487</v>
      </c>
      <c r="E482" s="18">
        <f t="shared" si="133"/>
        <v>-8.3225406963697655</v>
      </c>
      <c r="F482" s="18">
        <f t="shared" si="133"/>
        <v>1000013.8155105581</v>
      </c>
      <c r="G482" s="18">
        <f t="shared" si="133"/>
        <v>1000013.8155105581</v>
      </c>
      <c r="H482" s="18">
        <f t="shared" si="133"/>
        <v>1000013.8155105581</v>
      </c>
      <c r="I482" s="16"/>
      <c r="J482" s="18">
        <f t="shared" si="120"/>
        <v>0.6538094429997694</v>
      </c>
      <c r="K482" s="18">
        <f t="shared" si="121"/>
        <v>2.4291872997751621E-4</v>
      </c>
      <c r="L482" s="18">
        <f t="shared" si="122"/>
        <v>999999.99999309238</v>
      </c>
      <c r="M482" s="18">
        <f t="shared" si="123"/>
        <v>999999.99999309238</v>
      </c>
      <c r="N482" s="18">
        <f t="shared" si="124"/>
        <v>999999.99999309238</v>
      </c>
      <c r="O482" s="16"/>
      <c r="P482" s="18">
        <f t="shared" si="119"/>
        <v>1.3366322261750119</v>
      </c>
      <c r="Q482" s="18">
        <f t="shared" si="129"/>
        <v>511.45452744098651</v>
      </c>
      <c r="R482" s="18">
        <f t="shared" si="130"/>
        <v>0</v>
      </c>
      <c r="S482" s="18">
        <f t="shared" si="131"/>
        <v>0</v>
      </c>
      <c r="T482" s="18">
        <f t="shared" si="132"/>
        <v>0</v>
      </c>
      <c r="U482" s="16"/>
      <c r="V482" s="18">
        <f t="shared" si="125"/>
        <v>512.79115966716154</v>
      </c>
      <c r="W482" s="16"/>
      <c r="X482" s="18">
        <f t="shared" si="126"/>
        <v>331.56186626680477</v>
      </c>
      <c r="Y482" s="18">
        <f t="shared" si="127"/>
        <v>18.208840332838463</v>
      </c>
      <c r="Z482" s="18"/>
      <c r="AA482" s="18">
        <f t="shared" si="128"/>
        <v>4.4974172366082914E-5</v>
      </c>
    </row>
    <row r="483" spans="2:27" x14ac:dyDescent="0.35">
      <c r="B483" s="26">
        <v>126.79999999999998</v>
      </c>
      <c r="C483" s="26">
        <v>551</v>
      </c>
      <c r="D483" s="18">
        <f t="shared" si="118"/>
        <v>0.24315453028074607</v>
      </c>
      <c r="E483" s="18">
        <f t="shared" si="133"/>
        <v>-8.3206763170687044</v>
      </c>
      <c r="F483" s="18">
        <f t="shared" si="133"/>
        <v>1000013.8155105581</v>
      </c>
      <c r="G483" s="18">
        <f t="shared" si="133"/>
        <v>1000013.8155105581</v>
      </c>
      <c r="H483" s="18">
        <f t="shared" si="133"/>
        <v>1000013.8155105581</v>
      </c>
      <c r="I483" s="16"/>
      <c r="J483" s="18">
        <f t="shared" si="120"/>
        <v>0.65947132220224125</v>
      </c>
      <c r="K483" s="18">
        <f t="shared" si="121"/>
        <v>2.4337193477650689E-4</v>
      </c>
      <c r="L483" s="18">
        <f t="shared" si="122"/>
        <v>999999.99999309238</v>
      </c>
      <c r="M483" s="18">
        <f t="shared" si="123"/>
        <v>999999.99999309238</v>
      </c>
      <c r="N483" s="18">
        <f t="shared" si="124"/>
        <v>999999.99999309238</v>
      </c>
      <c r="O483" s="16"/>
      <c r="P483" s="18">
        <f t="shared" si="119"/>
        <v>1.3206353490973641</v>
      </c>
      <c r="Q483" s="18">
        <f t="shared" si="129"/>
        <v>510.50187059568248</v>
      </c>
      <c r="R483" s="18">
        <f t="shared" si="130"/>
        <v>0</v>
      </c>
      <c r="S483" s="18">
        <f t="shared" si="131"/>
        <v>0</v>
      </c>
      <c r="T483" s="18">
        <f t="shared" si="132"/>
        <v>0</v>
      </c>
      <c r="U483" s="16"/>
      <c r="V483" s="18">
        <f t="shared" si="125"/>
        <v>511.82250594477983</v>
      </c>
      <c r="W483" s="16"/>
      <c r="X483" s="18">
        <f t="shared" si="126"/>
        <v>1534.8760404468114</v>
      </c>
      <c r="Y483" s="18">
        <f t="shared" si="127"/>
        <v>39.177494055220166</v>
      </c>
      <c r="Z483" s="18"/>
      <c r="AA483" s="18">
        <f t="shared" si="128"/>
        <v>9.6764831713805084E-5</v>
      </c>
    </row>
    <row r="484" spans="2:27" x14ac:dyDescent="0.35">
      <c r="B484" s="26">
        <v>127.1</v>
      </c>
      <c r="C484" s="26">
        <v>517</v>
      </c>
      <c r="D484" s="18">
        <f t="shared" si="118"/>
        <v>0.25743895910358905</v>
      </c>
      <c r="E484" s="18">
        <f t="shared" si="133"/>
        <v>-8.3188119377676415</v>
      </c>
      <c r="F484" s="18">
        <f t="shared" si="133"/>
        <v>1000013.8155105581</v>
      </c>
      <c r="G484" s="18">
        <f t="shared" si="133"/>
        <v>1000013.8155105581</v>
      </c>
      <c r="H484" s="18">
        <f t="shared" si="133"/>
        <v>1000013.8155105581</v>
      </c>
      <c r="I484" s="16"/>
      <c r="J484" s="18">
        <f t="shared" si="120"/>
        <v>0.66516264635298772</v>
      </c>
      <c r="K484" s="18">
        <f t="shared" si="121"/>
        <v>2.4382598489739447E-4</v>
      </c>
      <c r="L484" s="18">
        <f t="shared" si="122"/>
        <v>999999.99999309238</v>
      </c>
      <c r="M484" s="18">
        <f t="shared" si="123"/>
        <v>999999.99999309238</v>
      </c>
      <c r="N484" s="18">
        <f t="shared" si="124"/>
        <v>999999.99999309238</v>
      </c>
      <c r="O484" s="16"/>
      <c r="P484" s="18">
        <f t="shared" si="119"/>
        <v>1.3048604602983072</v>
      </c>
      <c r="Q484" s="18">
        <f t="shared" si="129"/>
        <v>509.5509882095393</v>
      </c>
      <c r="R484" s="18">
        <f t="shared" si="130"/>
        <v>0</v>
      </c>
      <c r="S484" s="18">
        <f t="shared" si="131"/>
        <v>0</v>
      </c>
      <c r="T484" s="18">
        <f t="shared" si="132"/>
        <v>0</v>
      </c>
      <c r="U484" s="16"/>
      <c r="V484" s="18">
        <f t="shared" si="125"/>
        <v>510.8558486698376</v>
      </c>
      <c r="W484" s="16"/>
      <c r="X484" s="18">
        <f t="shared" si="126"/>
        <v>37.750595567936408</v>
      </c>
      <c r="Y484" s="18">
        <f t="shared" si="127"/>
        <v>6.1441513301624013</v>
      </c>
      <c r="Z484" s="18"/>
      <c r="AA484" s="18">
        <f t="shared" si="128"/>
        <v>1.5175492558286736E-5</v>
      </c>
    </row>
    <row r="485" spans="2:27" x14ac:dyDescent="0.35">
      <c r="B485" s="26">
        <v>127.4</v>
      </c>
      <c r="C485" s="26">
        <v>502</v>
      </c>
      <c r="D485" s="18">
        <f t="shared" si="118"/>
        <v>0.27172338792643203</v>
      </c>
      <c r="E485" s="18">
        <f t="shared" si="133"/>
        <v>-8.3169475584665804</v>
      </c>
      <c r="F485" s="18">
        <f t="shared" si="133"/>
        <v>1000013.8155105581</v>
      </c>
      <c r="G485" s="18">
        <f t="shared" si="133"/>
        <v>1000013.8155105581</v>
      </c>
      <c r="H485" s="18">
        <f t="shared" si="133"/>
        <v>1000013.8155105581</v>
      </c>
      <c r="I485" s="16"/>
      <c r="J485" s="18">
        <f t="shared" si="120"/>
        <v>0.67088336608350707</v>
      </c>
      <c r="K485" s="18">
        <f t="shared" si="121"/>
        <v>2.4428088191611087E-4</v>
      </c>
      <c r="L485" s="18">
        <f t="shared" si="122"/>
        <v>999999.99999309238</v>
      </c>
      <c r="M485" s="18">
        <f t="shared" si="123"/>
        <v>999999.99999309238</v>
      </c>
      <c r="N485" s="18">
        <f t="shared" si="124"/>
        <v>999999.99999309238</v>
      </c>
      <c r="O485" s="16"/>
      <c r="P485" s="18">
        <f t="shared" si="119"/>
        <v>1.2893042797230714</v>
      </c>
      <c r="Q485" s="18">
        <f t="shared" si="129"/>
        <v>508.60187697737615</v>
      </c>
      <c r="R485" s="18">
        <f t="shared" si="130"/>
        <v>0</v>
      </c>
      <c r="S485" s="18">
        <f t="shared" si="131"/>
        <v>0</v>
      </c>
      <c r="T485" s="18">
        <f t="shared" si="132"/>
        <v>0</v>
      </c>
      <c r="U485" s="16"/>
      <c r="V485" s="18">
        <f t="shared" si="125"/>
        <v>509.89118125709922</v>
      </c>
      <c r="W485" s="16"/>
      <c r="X485" s="18">
        <f t="shared" si="126"/>
        <v>62.270741632394021</v>
      </c>
      <c r="Y485" s="18">
        <f t="shared" si="127"/>
        <v>7.8911812570992197</v>
      </c>
      <c r="Z485" s="18"/>
      <c r="AA485" s="18">
        <f t="shared" si="128"/>
        <v>1.9490496898297538E-5</v>
      </c>
    </row>
    <row r="486" spans="2:27" x14ac:dyDescent="0.35">
      <c r="B486" s="26">
        <v>127.69999999999999</v>
      </c>
      <c r="C486" s="26">
        <v>498</v>
      </c>
      <c r="D486" s="18">
        <f t="shared" si="118"/>
        <v>0.28600781674927322</v>
      </c>
      <c r="E486" s="18">
        <f t="shared" si="133"/>
        <v>-8.3150831791655193</v>
      </c>
      <c r="F486" s="18">
        <f t="shared" si="133"/>
        <v>1000013.8155105581</v>
      </c>
      <c r="G486" s="18">
        <f t="shared" si="133"/>
        <v>1000013.8155105581</v>
      </c>
      <c r="H486" s="18">
        <f t="shared" si="133"/>
        <v>1000013.8155105581</v>
      </c>
      <c r="I486" s="16"/>
      <c r="J486" s="18">
        <f t="shared" si="120"/>
        <v>0.67663343072505899</v>
      </c>
      <c r="K486" s="18">
        <f t="shared" si="121"/>
        <v>2.4473662741152449E-4</v>
      </c>
      <c r="L486" s="18">
        <f t="shared" si="122"/>
        <v>999999.99999309238</v>
      </c>
      <c r="M486" s="18">
        <f t="shared" si="123"/>
        <v>999999.99999309238</v>
      </c>
      <c r="N486" s="18">
        <f t="shared" si="124"/>
        <v>999999.99999309238</v>
      </c>
      <c r="O486" s="16"/>
      <c r="P486" s="18">
        <f t="shared" si="119"/>
        <v>1.2739635758420105</v>
      </c>
      <c r="Q486" s="18">
        <f t="shared" si="129"/>
        <v>507.65453360016585</v>
      </c>
      <c r="R486" s="18">
        <f t="shared" si="130"/>
        <v>0</v>
      </c>
      <c r="S486" s="18">
        <f t="shared" si="131"/>
        <v>0</v>
      </c>
      <c r="T486" s="18">
        <f t="shared" si="132"/>
        <v>0</v>
      </c>
      <c r="U486" s="16"/>
      <c r="V486" s="18">
        <f t="shared" si="125"/>
        <v>508.92849717600785</v>
      </c>
      <c r="W486" s="16"/>
      <c r="X486" s="18">
        <f t="shared" si="126"/>
        <v>119.43205052601159</v>
      </c>
      <c r="Y486" s="18">
        <f t="shared" si="127"/>
        <v>10.928497176007852</v>
      </c>
      <c r="Z486" s="18"/>
      <c r="AA486" s="18">
        <f t="shared" si="128"/>
        <v>2.6992389779465467E-5</v>
      </c>
    </row>
    <row r="487" spans="2:27" x14ac:dyDescent="0.35">
      <c r="B487" s="26">
        <v>128</v>
      </c>
      <c r="C487" s="26">
        <v>487</v>
      </c>
      <c r="D487" s="18">
        <f t="shared" si="118"/>
        <v>0.3002922455721162</v>
      </c>
      <c r="E487" s="18">
        <f t="shared" ref="E487:H487" si="134">D$23/(D$21*$A$21)-LN((D$21*$A$21)/D$23)+$B487*D$22</f>
        <v>-8.3132187998644564</v>
      </c>
      <c r="F487" s="18">
        <f t="shared" si="134"/>
        <v>1000013.8155105581</v>
      </c>
      <c r="G487" s="18">
        <f t="shared" si="134"/>
        <v>1000013.8155105581</v>
      </c>
      <c r="H487" s="18">
        <f t="shared" si="134"/>
        <v>1000013.8155105581</v>
      </c>
      <c r="I487" s="16"/>
      <c r="J487" s="18">
        <f t="shared" si="120"/>
        <v>0.68241278832866381</v>
      </c>
      <c r="K487" s="18">
        <f t="shared" si="121"/>
        <v>2.4519322296544423E-4</v>
      </c>
      <c r="L487" s="18">
        <f t="shared" si="122"/>
        <v>999999.99999309238</v>
      </c>
      <c r="M487" s="18">
        <f t="shared" si="123"/>
        <v>999999.99999309238</v>
      </c>
      <c r="N487" s="18">
        <f t="shared" si="124"/>
        <v>999999.99999309238</v>
      </c>
      <c r="O487" s="16"/>
      <c r="P487" s="18">
        <f t="shared" si="119"/>
        <v>1.2588351649709189</v>
      </c>
      <c r="Q487" s="18">
        <f t="shared" si="129"/>
        <v>506.70895478502626</v>
      </c>
      <c r="R487" s="18">
        <f t="shared" si="130"/>
        <v>0</v>
      </c>
      <c r="S487" s="18">
        <f t="shared" si="131"/>
        <v>0</v>
      </c>
      <c r="T487" s="18">
        <f t="shared" si="132"/>
        <v>0</v>
      </c>
      <c r="U487" s="16"/>
      <c r="V487" s="18">
        <f t="shared" si="125"/>
        <v>507.96778994999721</v>
      </c>
      <c r="W487" s="16"/>
      <c r="X487" s="18">
        <f t="shared" si="126"/>
        <v>439.64821538720406</v>
      </c>
      <c r="Y487" s="18">
        <f t="shared" si="127"/>
        <v>20.967789949997211</v>
      </c>
      <c r="Z487" s="18"/>
      <c r="AA487" s="18">
        <f t="shared" si="128"/>
        <v>5.1788525908832318E-5</v>
      </c>
    </row>
    <row r="488" spans="2:27" x14ac:dyDescent="0.35">
      <c r="B488" s="26">
        <v>128.19999999999999</v>
      </c>
      <c r="C488" s="26">
        <v>528</v>
      </c>
      <c r="D488" s="18">
        <f t="shared" ref="D488:H532" si="135">C$23/(C$21*$A$21)-LN((C$21*$A$21)/C$23)+$B488*C$22</f>
        <v>0.30981519812067759</v>
      </c>
      <c r="E488" s="18">
        <f t="shared" si="135"/>
        <v>-8.3119758803304151</v>
      </c>
      <c r="F488" s="18">
        <f t="shared" si="135"/>
        <v>1000013.8155105581</v>
      </c>
      <c r="G488" s="18">
        <f t="shared" si="135"/>
        <v>1000013.8155105581</v>
      </c>
      <c r="H488" s="18">
        <f t="shared" si="135"/>
        <v>1000013.8155105581</v>
      </c>
      <c r="I488" s="16"/>
      <c r="J488" s="18">
        <f t="shared" si="120"/>
        <v>0.68628194104066931</v>
      </c>
      <c r="K488" s="18">
        <f t="shared" si="121"/>
        <v>2.454980930385895E-4</v>
      </c>
      <c r="L488" s="18">
        <f t="shared" si="122"/>
        <v>999999.99999309238</v>
      </c>
      <c r="M488" s="18">
        <f t="shared" si="123"/>
        <v>999999.99999309238</v>
      </c>
      <c r="N488" s="18">
        <f t="shared" si="124"/>
        <v>999999.99999309238</v>
      </c>
      <c r="O488" s="16"/>
      <c r="P488" s="18">
        <f t="shared" ref="P488:P532" si="136">(C$23*C$22)/(J488+J488^2)</f>
        <v>1.2488659474696142</v>
      </c>
      <c r="Q488" s="18">
        <f t="shared" si="129"/>
        <v>506.07954759719115</v>
      </c>
      <c r="R488" s="18">
        <f t="shared" si="130"/>
        <v>0</v>
      </c>
      <c r="S488" s="18">
        <f t="shared" si="131"/>
        <v>0</v>
      </c>
      <c r="T488" s="18">
        <f t="shared" si="132"/>
        <v>0</v>
      </c>
      <c r="U488" s="16"/>
      <c r="V488" s="18">
        <f t="shared" si="125"/>
        <v>507.32841354466075</v>
      </c>
      <c r="W488" s="16"/>
      <c r="X488" s="18">
        <f t="shared" si="126"/>
        <v>427.31448658056524</v>
      </c>
      <c r="Y488" s="18">
        <f t="shared" si="127"/>
        <v>20.671586455339252</v>
      </c>
      <c r="Z488" s="18"/>
      <c r="AA488" s="18">
        <f t="shared" si="128"/>
        <v>5.1056930333239368E-5</v>
      </c>
    </row>
    <row r="489" spans="2:27" x14ac:dyDescent="0.35">
      <c r="B489" s="26">
        <v>128.5</v>
      </c>
      <c r="C489" s="26">
        <v>532</v>
      </c>
      <c r="D489" s="18">
        <f t="shared" si="135"/>
        <v>0.32409962694351968</v>
      </c>
      <c r="E489" s="18">
        <f t="shared" si="135"/>
        <v>-8.310111501029354</v>
      </c>
      <c r="F489" s="18">
        <f t="shared" si="135"/>
        <v>1000013.8155105581</v>
      </c>
      <c r="G489" s="18">
        <f t="shared" si="135"/>
        <v>1000013.8155105581</v>
      </c>
      <c r="H489" s="18">
        <f t="shared" si="135"/>
        <v>1000013.8155105581</v>
      </c>
      <c r="I489" s="16"/>
      <c r="J489" s="18">
        <f t="shared" si="120"/>
        <v>0.69211000139196011</v>
      </c>
      <c r="K489" s="18">
        <f t="shared" si="121"/>
        <v>2.4595610887981941E-4</v>
      </c>
      <c r="L489" s="18">
        <f t="shared" si="122"/>
        <v>999999.99999309238</v>
      </c>
      <c r="M489" s="18">
        <f t="shared" si="123"/>
        <v>999999.99999309238</v>
      </c>
      <c r="N489" s="18">
        <f t="shared" si="124"/>
        <v>999999.99999309238</v>
      </c>
      <c r="O489" s="16"/>
      <c r="P489" s="18">
        <f t="shared" si="136"/>
        <v>1.2340844112559048</v>
      </c>
      <c r="Q489" s="18">
        <f t="shared" si="129"/>
        <v>505.13690241797718</v>
      </c>
      <c r="R489" s="18">
        <f t="shared" si="130"/>
        <v>0</v>
      </c>
      <c r="S489" s="18">
        <f t="shared" si="131"/>
        <v>0</v>
      </c>
      <c r="T489" s="18">
        <f t="shared" si="132"/>
        <v>0</v>
      </c>
      <c r="U489" s="16"/>
      <c r="V489" s="18">
        <f t="shared" si="125"/>
        <v>506.37098682923306</v>
      </c>
      <c r="W489" s="16"/>
      <c r="X489" s="18">
        <f t="shared" si="126"/>
        <v>656.84631610734527</v>
      </c>
      <c r="Y489" s="18">
        <f t="shared" si="127"/>
        <v>25.629013170766939</v>
      </c>
      <c r="Z489" s="18"/>
      <c r="AA489" s="18">
        <f t="shared" si="128"/>
        <v>6.3301321492504028E-5</v>
      </c>
    </row>
    <row r="490" spans="2:27" x14ac:dyDescent="0.35">
      <c r="B490" s="26">
        <v>128.79999999999998</v>
      </c>
      <c r="C490" s="26">
        <v>527</v>
      </c>
      <c r="D490" s="18">
        <f t="shared" si="135"/>
        <v>0.33838405576636177</v>
      </c>
      <c r="E490" s="18">
        <f t="shared" si="135"/>
        <v>-8.3082471217282929</v>
      </c>
      <c r="F490" s="18">
        <f t="shared" si="135"/>
        <v>1000013.8155105581</v>
      </c>
      <c r="G490" s="18">
        <f t="shared" si="135"/>
        <v>1000013.8155105581</v>
      </c>
      <c r="H490" s="18">
        <f t="shared" si="135"/>
        <v>1000013.8155105581</v>
      </c>
      <c r="I490" s="16"/>
      <c r="J490" s="18">
        <f t="shared" si="120"/>
        <v>0.69796721006862561</v>
      </c>
      <c r="K490" s="18">
        <f t="shared" si="121"/>
        <v>2.464149790121291E-4</v>
      </c>
      <c r="L490" s="18">
        <f t="shared" si="122"/>
        <v>999999.99999309238</v>
      </c>
      <c r="M490" s="18">
        <f t="shared" si="123"/>
        <v>999999.99999309238</v>
      </c>
      <c r="N490" s="18">
        <f t="shared" si="124"/>
        <v>999999.99999309238</v>
      </c>
      <c r="O490" s="16"/>
      <c r="P490" s="18">
        <f t="shared" si="136"/>
        <v>1.2195069070624895</v>
      </c>
      <c r="Q490" s="18">
        <f t="shared" si="129"/>
        <v>504.19601304977232</v>
      </c>
      <c r="R490" s="18">
        <f t="shared" si="130"/>
        <v>0</v>
      </c>
      <c r="S490" s="18">
        <f t="shared" si="131"/>
        <v>0</v>
      </c>
      <c r="T490" s="18">
        <f t="shared" si="132"/>
        <v>0</v>
      </c>
      <c r="U490" s="16"/>
      <c r="V490" s="18">
        <f t="shared" si="125"/>
        <v>505.41551995683483</v>
      </c>
      <c r="W490" s="16"/>
      <c r="X490" s="18">
        <f t="shared" si="126"/>
        <v>465.88977873379559</v>
      </c>
      <c r="Y490" s="18">
        <f t="shared" si="127"/>
        <v>21.584480043165172</v>
      </c>
      <c r="Z490" s="18"/>
      <c r="AA490" s="18">
        <f t="shared" si="128"/>
        <v>5.3311694108433319E-5</v>
      </c>
    </row>
    <row r="491" spans="2:27" x14ac:dyDescent="0.35">
      <c r="B491" s="26">
        <v>129.1</v>
      </c>
      <c r="C491" s="26">
        <v>488</v>
      </c>
      <c r="D491" s="18">
        <f t="shared" si="135"/>
        <v>0.35266848458920474</v>
      </c>
      <c r="E491" s="18">
        <f t="shared" si="135"/>
        <v>-8.3063827424272301</v>
      </c>
      <c r="F491" s="18">
        <f t="shared" si="135"/>
        <v>1000013.8155105581</v>
      </c>
      <c r="G491" s="18">
        <f t="shared" si="135"/>
        <v>1000013.8155105581</v>
      </c>
      <c r="H491" s="18">
        <f t="shared" si="135"/>
        <v>1000013.8155105581</v>
      </c>
      <c r="I491" s="16"/>
      <c r="J491" s="18">
        <f t="shared" si="120"/>
        <v>0.70385351059973411</v>
      </c>
      <c r="K491" s="18">
        <f t="shared" si="121"/>
        <v>2.4687470502815663E-4</v>
      </c>
      <c r="L491" s="18">
        <f t="shared" si="122"/>
        <v>999999.99999309238</v>
      </c>
      <c r="M491" s="18">
        <f t="shared" si="123"/>
        <v>999999.99999309238</v>
      </c>
      <c r="N491" s="18">
        <f t="shared" si="124"/>
        <v>999999.99999309238</v>
      </c>
      <c r="O491" s="16"/>
      <c r="P491" s="18">
        <f t="shared" si="136"/>
        <v>1.2051304209618925</v>
      </c>
      <c r="Q491" s="18">
        <f t="shared" si="129"/>
        <v>503.25687622212757</v>
      </c>
      <c r="R491" s="18">
        <f t="shared" si="130"/>
        <v>0</v>
      </c>
      <c r="S491" s="18">
        <f t="shared" si="131"/>
        <v>0</v>
      </c>
      <c r="T491" s="18">
        <f t="shared" si="132"/>
        <v>0</v>
      </c>
      <c r="U491" s="16"/>
      <c r="V491" s="18">
        <f t="shared" si="125"/>
        <v>504.46200664308947</v>
      </c>
      <c r="W491" s="16"/>
      <c r="X491" s="18">
        <f t="shared" si="126"/>
        <v>270.99766271712173</v>
      </c>
      <c r="Y491" s="18">
        <f t="shared" si="127"/>
        <v>16.462006643089467</v>
      </c>
      <c r="Z491" s="18"/>
      <c r="AA491" s="18">
        <f t="shared" si="128"/>
        <v>4.0659652714001078E-5</v>
      </c>
    </row>
    <row r="492" spans="2:27" x14ac:dyDescent="0.35">
      <c r="B492" s="26">
        <v>129.4</v>
      </c>
      <c r="C492" s="26">
        <v>485</v>
      </c>
      <c r="D492" s="18">
        <f t="shared" si="135"/>
        <v>0.36695291341204683</v>
      </c>
      <c r="E492" s="18">
        <f t="shared" si="135"/>
        <v>-8.304518363126169</v>
      </c>
      <c r="F492" s="18">
        <f t="shared" si="135"/>
        <v>1000013.8155105581</v>
      </c>
      <c r="G492" s="18">
        <f t="shared" si="135"/>
        <v>1000013.8155105581</v>
      </c>
      <c r="H492" s="18">
        <f t="shared" si="135"/>
        <v>1000013.8155105581</v>
      </c>
      <c r="I492" s="16"/>
      <c r="J492" s="18">
        <f t="shared" si="120"/>
        <v>0.70976884532832862</v>
      </c>
      <c r="K492" s="18">
        <f t="shared" si="121"/>
        <v>2.4733528852350484E-4</v>
      </c>
      <c r="L492" s="18">
        <f t="shared" si="122"/>
        <v>999999.99999309238</v>
      </c>
      <c r="M492" s="18">
        <f t="shared" si="123"/>
        <v>999999.99999309238</v>
      </c>
      <c r="N492" s="18">
        <f t="shared" si="124"/>
        <v>999999.99999309238</v>
      </c>
      <c r="O492" s="16"/>
      <c r="P492" s="18">
        <f t="shared" si="136"/>
        <v>1.1909519838127414</v>
      </c>
      <c r="Q492" s="18">
        <f t="shared" si="129"/>
        <v>502.31948867068849</v>
      </c>
      <c r="R492" s="18">
        <f t="shared" si="130"/>
        <v>0</v>
      </c>
      <c r="S492" s="18">
        <f t="shared" si="131"/>
        <v>0</v>
      </c>
      <c r="T492" s="18">
        <f t="shared" si="132"/>
        <v>0</v>
      </c>
      <c r="U492" s="16"/>
      <c r="V492" s="18">
        <f t="shared" si="125"/>
        <v>503.51044065450122</v>
      </c>
      <c r="W492" s="16"/>
      <c r="X492" s="18">
        <f t="shared" si="126"/>
        <v>342.6364132238117</v>
      </c>
      <c r="Y492" s="18">
        <f t="shared" si="127"/>
        <v>18.510440654501224</v>
      </c>
      <c r="Z492" s="18"/>
      <c r="AA492" s="18">
        <f t="shared" si="128"/>
        <v>4.5719097611413609E-5</v>
      </c>
    </row>
    <row r="493" spans="2:27" x14ac:dyDescent="0.35">
      <c r="B493" s="26">
        <v>129.69999999999999</v>
      </c>
      <c r="C493" s="26">
        <v>493</v>
      </c>
      <c r="D493" s="18">
        <f t="shared" si="135"/>
        <v>0.38123734223488892</v>
      </c>
      <c r="E493" s="18">
        <f t="shared" si="135"/>
        <v>-8.3026539838251079</v>
      </c>
      <c r="F493" s="18">
        <f t="shared" si="135"/>
        <v>1000013.8155105581</v>
      </c>
      <c r="G493" s="18">
        <f t="shared" si="135"/>
        <v>1000013.8155105581</v>
      </c>
      <c r="H493" s="18">
        <f t="shared" si="135"/>
        <v>1000013.8155105581</v>
      </c>
      <c r="I493" s="16"/>
      <c r="J493" s="18">
        <f t="shared" si="120"/>
        <v>0.71571315543175063</v>
      </c>
      <c r="K493" s="18">
        <f t="shared" si="121"/>
        <v>2.4779673109674954E-4</v>
      </c>
      <c r="L493" s="18">
        <f t="shared" si="122"/>
        <v>999999.99999309238</v>
      </c>
      <c r="M493" s="18">
        <f t="shared" si="123"/>
        <v>999999.99999309238</v>
      </c>
      <c r="N493" s="18">
        <f t="shared" si="124"/>
        <v>999999.99999309238</v>
      </c>
      <c r="O493" s="16"/>
      <c r="P493" s="18">
        <f t="shared" si="136"/>
        <v>1.1769686706276323</v>
      </c>
      <c r="Q493" s="18">
        <f t="shared" si="129"/>
        <v>501.3838471371788</v>
      </c>
      <c r="R493" s="18">
        <f t="shared" si="130"/>
        <v>0</v>
      </c>
      <c r="S493" s="18">
        <f t="shared" si="131"/>
        <v>0</v>
      </c>
      <c r="T493" s="18">
        <f t="shared" si="132"/>
        <v>0</v>
      </c>
      <c r="U493" s="16"/>
      <c r="V493" s="18">
        <f t="shared" si="125"/>
        <v>502.56081580780642</v>
      </c>
      <c r="W493" s="16"/>
      <c r="X493" s="18">
        <f t="shared" si="126"/>
        <v>91.409198910801138</v>
      </c>
      <c r="Y493" s="18">
        <f t="shared" si="127"/>
        <v>9.5608158078064207</v>
      </c>
      <c r="Z493" s="18"/>
      <c r="AA493" s="18">
        <f t="shared" si="128"/>
        <v>2.3614341728572222E-5</v>
      </c>
    </row>
    <row r="494" spans="2:27" x14ac:dyDescent="0.35">
      <c r="B494" s="26">
        <v>130</v>
      </c>
      <c r="C494" s="26">
        <v>480</v>
      </c>
      <c r="D494" s="18">
        <f t="shared" si="135"/>
        <v>0.3955217710577319</v>
      </c>
      <c r="E494" s="18">
        <f t="shared" si="135"/>
        <v>-8.300789604524045</v>
      </c>
      <c r="F494" s="18">
        <f t="shared" si="135"/>
        <v>1000013.8155105581</v>
      </c>
      <c r="G494" s="18">
        <f t="shared" si="135"/>
        <v>1000013.8155105581</v>
      </c>
      <c r="H494" s="18">
        <f t="shared" si="135"/>
        <v>1000013.8155105581</v>
      </c>
      <c r="I494" s="16"/>
      <c r="J494" s="18">
        <f t="shared" si="120"/>
        <v>0.72168638094198734</v>
      </c>
      <c r="K494" s="18">
        <f t="shared" si="121"/>
        <v>2.482590343494441E-4</v>
      </c>
      <c r="L494" s="18">
        <f t="shared" si="122"/>
        <v>999999.99999309238</v>
      </c>
      <c r="M494" s="18">
        <f t="shared" si="123"/>
        <v>999999.99999309238</v>
      </c>
      <c r="N494" s="18">
        <f t="shared" si="124"/>
        <v>999999.99999309238</v>
      </c>
      <c r="O494" s="16"/>
      <c r="P494" s="18">
        <f t="shared" si="136"/>
        <v>1.1631775999490568</v>
      </c>
      <c r="Q494" s="18">
        <f t="shared" si="129"/>
        <v>500.44994836938997</v>
      </c>
      <c r="R494" s="18">
        <f t="shared" si="130"/>
        <v>0</v>
      </c>
      <c r="S494" s="18">
        <f t="shared" si="131"/>
        <v>0</v>
      </c>
      <c r="T494" s="18">
        <f t="shared" si="132"/>
        <v>0</v>
      </c>
      <c r="U494" s="16"/>
      <c r="V494" s="18">
        <f t="shared" si="125"/>
        <v>501.61312596933902</v>
      </c>
      <c r="W494" s="16"/>
      <c r="X494" s="18">
        <f t="shared" si="126"/>
        <v>467.12721416651692</v>
      </c>
      <c r="Y494" s="18">
        <f t="shared" si="127"/>
        <v>21.613125969339023</v>
      </c>
      <c r="Z494" s="18"/>
      <c r="AA494" s="18">
        <f t="shared" si="128"/>
        <v>5.3382446929468577E-5</v>
      </c>
    </row>
    <row r="495" spans="2:27" x14ac:dyDescent="0.35">
      <c r="B495" s="26">
        <v>130.19999999999999</v>
      </c>
      <c r="C495" s="26">
        <v>503</v>
      </c>
      <c r="D495" s="18">
        <f t="shared" si="135"/>
        <v>0.4050447236062924</v>
      </c>
      <c r="E495" s="18">
        <f t="shared" si="135"/>
        <v>-8.2995466849900037</v>
      </c>
      <c r="F495" s="18">
        <f t="shared" si="135"/>
        <v>1000013.8155105581</v>
      </c>
      <c r="G495" s="18">
        <f t="shared" si="135"/>
        <v>1000013.8155105581</v>
      </c>
      <c r="H495" s="18">
        <f t="shared" si="135"/>
        <v>1000013.8155105581</v>
      </c>
      <c r="I495" s="16"/>
      <c r="J495" s="18">
        <f t="shared" si="120"/>
        <v>0.72568456527333791</v>
      </c>
      <c r="K495" s="18">
        <f t="shared" si="121"/>
        <v>2.4856771546539677E-4</v>
      </c>
      <c r="L495" s="18">
        <f t="shared" si="122"/>
        <v>999999.99999309238</v>
      </c>
      <c r="M495" s="18">
        <f t="shared" si="123"/>
        <v>999999.99999309238</v>
      </c>
      <c r="N495" s="18">
        <f t="shared" si="124"/>
        <v>999999.99999309238</v>
      </c>
      <c r="O495" s="16"/>
      <c r="P495" s="18">
        <f t="shared" si="136"/>
        <v>1.1540889507249459</v>
      </c>
      <c r="Q495" s="18">
        <f t="shared" si="129"/>
        <v>499.82831579075798</v>
      </c>
      <c r="R495" s="18">
        <f t="shared" si="130"/>
        <v>0</v>
      </c>
      <c r="S495" s="18">
        <f t="shared" si="131"/>
        <v>0</v>
      </c>
      <c r="T495" s="18">
        <f t="shared" si="132"/>
        <v>0</v>
      </c>
      <c r="U495" s="16"/>
      <c r="V495" s="18">
        <f t="shared" si="125"/>
        <v>500.98240474148292</v>
      </c>
      <c r="W495" s="16"/>
      <c r="X495" s="18">
        <f t="shared" si="126"/>
        <v>4.0706906271905874</v>
      </c>
      <c r="Y495" s="18">
        <f t="shared" si="127"/>
        <v>2.0175952585170762</v>
      </c>
      <c r="Z495" s="18"/>
      <c r="AA495" s="18">
        <f t="shared" si="128"/>
        <v>4.9832759946769091E-6</v>
      </c>
    </row>
    <row r="496" spans="2:27" x14ac:dyDescent="0.35">
      <c r="B496" s="26">
        <v>130.5</v>
      </c>
      <c r="C496" s="26">
        <v>519</v>
      </c>
      <c r="D496" s="18">
        <f t="shared" si="135"/>
        <v>0.41932915242913538</v>
      </c>
      <c r="E496" s="18">
        <f t="shared" si="135"/>
        <v>-8.2976823056889426</v>
      </c>
      <c r="F496" s="18">
        <f t="shared" si="135"/>
        <v>1000013.8155105581</v>
      </c>
      <c r="G496" s="18">
        <f t="shared" si="135"/>
        <v>1000013.8155105581</v>
      </c>
      <c r="H496" s="18">
        <f t="shared" si="135"/>
        <v>1000013.8155105581</v>
      </c>
      <c r="I496" s="16"/>
      <c r="J496" s="18">
        <f t="shared" si="120"/>
        <v>0.73170584681970696</v>
      </c>
      <c r="K496" s="18">
        <f t="shared" si="121"/>
        <v>2.4903145675094938E-4</v>
      </c>
      <c r="L496" s="18">
        <f t="shared" si="122"/>
        <v>999999.99999309238</v>
      </c>
      <c r="M496" s="18">
        <f t="shared" si="123"/>
        <v>999999.99999309238</v>
      </c>
      <c r="N496" s="18">
        <f t="shared" si="124"/>
        <v>999999.99999309238</v>
      </c>
      <c r="O496" s="16"/>
      <c r="P496" s="18">
        <f t="shared" si="136"/>
        <v>1.1406119972653803</v>
      </c>
      <c r="Q496" s="18">
        <f t="shared" si="129"/>
        <v>498.89731442182887</v>
      </c>
      <c r="R496" s="18">
        <f t="shared" si="130"/>
        <v>0</v>
      </c>
      <c r="S496" s="18">
        <f t="shared" si="131"/>
        <v>0</v>
      </c>
      <c r="T496" s="18">
        <f t="shared" si="132"/>
        <v>0</v>
      </c>
      <c r="U496" s="16"/>
      <c r="V496" s="18">
        <f t="shared" si="125"/>
        <v>500.03792641909422</v>
      </c>
      <c r="W496" s="16"/>
      <c r="X496" s="18">
        <f t="shared" si="126"/>
        <v>359.56023448768497</v>
      </c>
      <c r="Y496" s="18">
        <f t="shared" si="127"/>
        <v>18.962073580905781</v>
      </c>
      <c r="Z496" s="18"/>
      <c r="AA496" s="18">
        <f t="shared" si="128"/>
        <v>4.6834589685979496E-5</v>
      </c>
    </row>
    <row r="497" spans="2:27" x14ac:dyDescent="0.35">
      <c r="B497" s="26">
        <v>130.79999999999998</v>
      </c>
      <c r="C497" s="26">
        <v>469</v>
      </c>
      <c r="D497" s="18">
        <f t="shared" si="135"/>
        <v>0.43361358125197658</v>
      </c>
      <c r="E497" s="18">
        <f t="shared" si="135"/>
        <v>-8.2958179263878815</v>
      </c>
      <c r="F497" s="18">
        <f t="shared" si="135"/>
        <v>1000013.8155105581</v>
      </c>
      <c r="G497" s="18">
        <f t="shared" si="135"/>
        <v>1000013.8155105581</v>
      </c>
      <c r="H497" s="18">
        <f t="shared" si="135"/>
        <v>1000013.8155105581</v>
      </c>
      <c r="I497" s="16"/>
      <c r="J497" s="18">
        <f t="shared" si="120"/>
        <v>0.73775587841357082</v>
      </c>
      <c r="K497" s="18">
        <f t="shared" si="121"/>
        <v>2.4949606300135591E-4</v>
      </c>
      <c r="L497" s="18">
        <f t="shared" si="122"/>
        <v>999999.99999309238</v>
      </c>
      <c r="M497" s="18">
        <f t="shared" si="123"/>
        <v>999999.99999309238</v>
      </c>
      <c r="N497" s="18">
        <f t="shared" si="124"/>
        <v>999999.99999309238</v>
      </c>
      <c r="O497" s="16"/>
      <c r="P497" s="18">
        <f t="shared" si="136"/>
        <v>1.1273198105778097</v>
      </c>
      <c r="Q497" s="18">
        <f t="shared" si="129"/>
        <v>497.96804717565487</v>
      </c>
      <c r="R497" s="18">
        <f t="shared" si="130"/>
        <v>0</v>
      </c>
      <c r="S497" s="18">
        <f t="shared" si="131"/>
        <v>0</v>
      </c>
      <c r="T497" s="18">
        <f t="shared" si="132"/>
        <v>0</v>
      </c>
      <c r="U497" s="16"/>
      <c r="V497" s="18">
        <f t="shared" si="125"/>
        <v>499.0953669862327</v>
      </c>
      <c r="W497" s="16"/>
      <c r="X497" s="18">
        <f t="shared" si="126"/>
        <v>905.73111403602536</v>
      </c>
      <c r="Y497" s="18">
        <f t="shared" si="127"/>
        <v>30.095366986232705</v>
      </c>
      <c r="Z497" s="18"/>
      <c r="AA497" s="18">
        <f t="shared" si="128"/>
        <v>7.4332807445094448E-5</v>
      </c>
    </row>
    <row r="498" spans="2:27" x14ac:dyDescent="0.35">
      <c r="B498" s="26">
        <v>131.1</v>
      </c>
      <c r="C498" s="26">
        <v>507</v>
      </c>
      <c r="D498" s="18">
        <f t="shared" si="135"/>
        <v>0.44789801007481955</v>
      </c>
      <c r="E498" s="18">
        <f t="shared" si="135"/>
        <v>-8.2939535470868186</v>
      </c>
      <c r="F498" s="18">
        <f t="shared" si="135"/>
        <v>1000013.8155105581</v>
      </c>
      <c r="G498" s="18">
        <f t="shared" si="135"/>
        <v>1000013.8155105581</v>
      </c>
      <c r="H498" s="18">
        <f t="shared" si="135"/>
        <v>1000013.8155105581</v>
      </c>
      <c r="I498" s="16"/>
      <c r="J498" s="18">
        <f t="shared" ref="J498:J520" si="137">lmb_2(D498)</f>
        <v>0.74383459606155089</v>
      </c>
      <c r="K498" s="18">
        <f t="shared" ref="K498:K520" si="138">lmb_2(E498)</f>
        <v>2.4996153582913344E-4</v>
      </c>
      <c r="L498" s="18">
        <f t="shared" ref="L498:L520" si="139">lmb_2(F498)</f>
        <v>999999.99999309238</v>
      </c>
      <c r="M498" s="18">
        <f t="shared" ref="M498:M520" si="140">lmb_2(G498)</f>
        <v>999999.99999309238</v>
      </c>
      <c r="N498" s="18">
        <f t="shared" ref="N498:N520" si="141">lmb_2(H498)</f>
        <v>999999.99999309238</v>
      </c>
      <c r="O498" s="16"/>
      <c r="P498" s="18">
        <f t="shared" si="136"/>
        <v>1.1142096636025889</v>
      </c>
      <c r="Q498" s="18">
        <f t="shared" si="129"/>
        <v>497.04051082218473</v>
      </c>
      <c r="R498" s="18">
        <f t="shared" si="130"/>
        <v>0</v>
      </c>
      <c r="S498" s="18">
        <f t="shared" si="131"/>
        <v>0</v>
      </c>
      <c r="T498" s="18">
        <f t="shared" si="132"/>
        <v>0</v>
      </c>
      <c r="U498" s="16"/>
      <c r="V498" s="18">
        <f t="shared" ref="V498:V520" si="142">SUM(P498:T498)</f>
        <v>498.15472048578732</v>
      </c>
      <c r="W498" s="16"/>
      <c r="X498" s="18">
        <f t="shared" ref="X498:X520" si="143">(V498-C498)^2</f>
        <v>78.238969684550455</v>
      </c>
      <c r="Y498" s="18">
        <f t="shared" ref="Y498:Y520" si="144">ABS(V498-C498)</f>
        <v>8.8452795142126774</v>
      </c>
      <c r="Z498" s="18"/>
      <c r="AA498" s="18">
        <f t="shared" ref="AA498:AA520" si="145">Y498/$Z$39</f>
        <v>2.1847032442860196E-5</v>
      </c>
    </row>
    <row r="499" spans="2:27" x14ac:dyDescent="0.35">
      <c r="B499" s="26">
        <v>131.4</v>
      </c>
      <c r="C499" s="26">
        <v>543</v>
      </c>
      <c r="D499" s="18">
        <f t="shared" si="135"/>
        <v>0.46218243889766253</v>
      </c>
      <c r="E499" s="18">
        <f t="shared" si="135"/>
        <v>-8.2920891677857576</v>
      </c>
      <c r="F499" s="18">
        <f t="shared" si="135"/>
        <v>1000013.8155105581</v>
      </c>
      <c r="G499" s="18">
        <f t="shared" si="135"/>
        <v>1000013.8155105581</v>
      </c>
      <c r="H499" s="18">
        <f t="shared" si="135"/>
        <v>1000013.8155105581</v>
      </c>
      <c r="I499" s="16"/>
      <c r="J499" s="18">
        <f t="shared" si="137"/>
        <v>0.74994193471995219</v>
      </c>
      <c r="K499" s="18">
        <f t="shared" si="138"/>
        <v>2.5042787684980067E-4</v>
      </c>
      <c r="L499" s="18">
        <f t="shared" si="139"/>
        <v>999999.99999309238</v>
      </c>
      <c r="M499" s="18">
        <f t="shared" si="140"/>
        <v>999999.99999309238</v>
      </c>
      <c r="N499" s="18">
        <f t="shared" si="141"/>
        <v>999999.99999309238</v>
      </c>
      <c r="O499" s="16"/>
      <c r="P499" s="18">
        <f t="shared" si="136"/>
        <v>1.1012788700013061</v>
      </c>
      <c r="Q499" s="18">
        <f t="shared" si="129"/>
        <v>496.11470213738659</v>
      </c>
      <c r="R499" s="18">
        <f t="shared" si="130"/>
        <v>0</v>
      </c>
      <c r="S499" s="18">
        <f t="shared" si="131"/>
        <v>0</v>
      </c>
      <c r="T499" s="18">
        <f t="shared" si="132"/>
        <v>0</v>
      </c>
      <c r="U499" s="16"/>
      <c r="V499" s="18">
        <f t="shared" si="142"/>
        <v>497.21598100738788</v>
      </c>
      <c r="W499" s="16"/>
      <c r="X499" s="18">
        <f t="shared" si="143"/>
        <v>2096.1763951158673</v>
      </c>
      <c r="Y499" s="18">
        <f t="shared" si="144"/>
        <v>45.784018992612118</v>
      </c>
      <c r="Z499" s="18"/>
      <c r="AA499" s="18">
        <f t="shared" si="145"/>
        <v>1.1308234484720594E-4</v>
      </c>
    </row>
    <row r="500" spans="2:27" x14ac:dyDescent="0.35">
      <c r="B500" s="26">
        <v>131.69999999999999</v>
      </c>
      <c r="C500" s="26">
        <v>485</v>
      </c>
      <c r="D500" s="18">
        <f t="shared" si="135"/>
        <v>0.47646686772050373</v>
      </c>
      <c r="E500" s="18">
        <f t="shared" si="135"/>
        <v>-8.2902247884846965</v>
      </c>
      <c r="F500" s="18">
        <f t="shared" si="135"/>
        <v>1000013.8155105581</v>
      </c>
      <c r="G500" s="18">
        <f t="shared" si="135"/>
        <v>1000013.8155105581</v>
      </c>
      <c r="H500" s="18">
        <f t="shared" si="135"/>
        <v>1000013.8155105581</v>
      </c>
      <c r="I500" s="16"/>
      <c r="J500" s="18">
        <f t="shared" si="137"/>
        <v>0.75607782831509673</v>
      </c>
      <c r="K500" s="18">
        <f t="shared" si="138"/>
        <v>2.508950876818866E-4</v>
      </c>
      <c r="L500" s="18">
        <f t="shared" si="139"/>
        <v>999999.99999309238</v>
      </c>
      <c r="M500" s="18">
        <f t="shared" si="140"/>
        <v>999999.99999309238</v>
      </c>
      <c r="N500" s="18">
        <f t="shared" si="141"/>
        <v>999999.99999309238</v>
      </c>
      <c r="O500" s="16"/>
      <c r="P500" s="18">
        <f t="shared" si="136"/>
        <v>1.0885247835765575</v>
      </c>
      <c r="Q500" s="18">
        <f t="shared" si="129"/>
        <v>495.19061790323059</v>
      </c>
      <c r="R500" s="18">
        <f t="shared" si="130"/>
        <v>0</v>
      </c>
      <c r="S500" s="18">
        <f t="shared" si="131"/>
        <v>0</v>
      </c>
      <c r="T500" s="18">
        <f t="shared" si="132"/>
        <v>0</v>
      </c>
      <c r="U500" s="16"/>
      <c r="V500" s="18">
        <f t="shared" si="142"/>
        <v>496.27914268680712</v>
      </c>
      <c r="W500" s="16"/>
      <c r="X500" s="18">
        <f t="shared" si="143"/>
        <v>127.21905974935453</v>
      </c>
      <c r="Y500" s="18">
        <f t="shared" si="144"/>
        <v>11.27914268680712</v>
      </c>
      <c r="Z500" s="18"/>
      <c r="AA500" s="18">
        <f t="shared" si="145"/>
        <v>2.7858452162012659E-5</v>
      </c>
    </row>
    <row r="501" spans="2:27" x14ac:dyDescent="0.35">
      <c r="B501" s="26">
        <v>132</v>
      </c>
      <c r="C501" s="26">
        <v>469</v>
      </c>
      <c r="D501" s="18">
        <f t="shared" si="135"/>
        <v>0.4907512965433467</v>
      </c>
      <c r="E501" s="18">
        <f t="shared" si="135"/>
        <v>-8.2883604091836336</v>
      </c>
      <c r="F501" s="18">
        <f t="shared" si="135"/>
        <v>1000013.8155105581</v>
      </c>
      <c r="G501" s="18">
        <f t="shared" si="135"/>
        <v>1000013.8155105581</v>
      </c>
      <c r="H501" s="18">
        <f t="shared" si="135"/>
        <v>1000013.8155105581</v>
      </c>
      <c r="I501" s="16"/>
      <c r="J501" s="18">
        <f t="shared" si="137"/>
        <v>0.762242209763625</v>
      </c>
      <c r="K501" s="18">
        <f t="shared" si="138"/>
        <v>2.5136316994693445E-4</v>
      </c>
      <c r="L501" s="18">
        <f t="shared" si="139"/>
        <v>999999.99999309238</v>
      </c>
      <c r="M501" s="18">
        <f t="shared" si="140"/>
        <v>999999.99999309238</v>
      </c>
      <c r="N501" s="18">
        <f t="shared" si="141"/>
        <v>999999.99999309238</v>
      </c>
      <c r="O501" s="16"/>
      <c r="P501" s="18">
        <f t="shared" si="136"/>
        <v>1.0759447976991661</v>
      </c>
      <c r="Q501" s="18">
        <f t="shared" si="129"/>
        <v>494.26825490768096</v>
      </c>
      <c r="R501" s="18">
        <f t="shared" si="130"/>
        <v>0</v>
      </c>
      <c r="S501" s="18">
        <f t="shared" si="131"/>
        <v>0</v>
      </c>
      <c r="T501" s="18">
        <f t="shared" si="132"/>
        <v>0</v>
      </c>
      <c r="U501" s="16"/>
      <c r="V501" s="18">
        <f t="shared" si="142"/>
        <v>495.34419970538011</v>
      </c>
      <c r="W501" s="16"/>
      <c r="X501" s="18">
        <f t="shared" si="143"/>
        <v>694.01685811694927</v>
      </c>
      <c r="Y501" s="18">
        <f t="shared" si="144"/>
        <v>26.344199705380106</v>
      </c>
      <c r="Z501" s="18"/>
      <c r="AA501" s="18">
        <f t="shared" si="145"/>
        <v>6.5067766905482186E-5</v>
      </c>
    </row>
    <row r="502" spans="2:27" x14ac:dyDescent="0.35">
      <c r="B502" s="26">
        <v>132.19999999999999</v>
      </c>
      <c r="C502" s="26">
        <v>466</v>
      </c>
      <c r="D502" s="18">
        <f t="shared" si="135"/>
        <v>0.5002742490919081</v>
      </c>
      <c r="E502" s="18">
        <f t="shared" si="135"/>
        <v>-8.2871174896495923</v>
      </c>
      <c r="F502" s="18">
        <f t="shared" si="135"/>
        <v>1000013.8155105581</v>
      </c>
      <c r="G502" s="18">
        <f t="shared" si="135"/>
        <v>1000013.8155105581</v>
      </c>
      <c r="H502" s="18">
        <f t="shared" si="135"/>
        <v>1000013.8155105581</v>
      </c>
      <c r="I502" s="16"/>
      <c r="J502" s="18">
        <f t="shared" si="137"/>
        <v>0.7663675904051066</v>
      </c>
      <c r="K502" s="18">
        <f t="shared" si="138"/>
        <v>2.5167570972185131E-4</v>
      </c>
      <c r="L502" s="18">
        <f t="shared" si="139"/>
        <v>999999.99999309238</v>
      </c>
      <c r="M502" s="18">
        <f t="shared" si="140"/>
        <v>999999.99999309238</v>
      </c>
      <c r="N502" s="18">
        <f t="shared" si="141"/>
        <v>999999.99999309238</v>
      </c>
      <c r="O502" s="16"/>
      <c r="P502" s="18">
        <f t="shared" si="136"/>
        <v>1.0676535934220839</v>
      </c>
      <c r="Q502" s="18">
        <f t="shared" si="129"/>
        <v>493.65430090417101</v>
      </c>
      <c r="R502" s="18">
        <f t="shared" si="130"/>
        <v>0</v>
      </c>
      <c r="S502" s="18">
        <f t="shared" si="131"/>
        <v>0</v>
      </c>
      <c r="T502" s="18">
        <f t="shared" si="132"/>
        <v>0</v>
      </c>
      <c r="U502" s="16"/>
      <c r="V502" s="18">
        <f t="shared" si="142"/>
        <v>494.72195449759312</v>
      </c>
      <c r="W502" s="16"/>
      <c r="X502" s="18">
        <f t="shared" si="143"/>
        <v>824.95067016180951</v>
      </c>
      <c r="Y502" s="18">
        <f t="shared" si="144"/>
        <v>28.721954497593117</v>
      </c>
      <c r="Z502" s="18"/>
      <c r="AA502" s="18">
        <f t="shared" si="145"/>
        <v>7.0940604050218558E-5</v>
      </c>
    </row>
    <row r="503" spans="2:27" x14ac:dyDescent="0.35">
      <c r="B503" s="26">
        <v>132.5</v>
      </c>
      <c r="C503" s="26">
        <v>526</v>
      </c>
      <c r="D503" s="18">
        <f t="shared" si="135"/>
        <v>0.51455867791475107</v>
      </c>
      <c r="E503" s="18">
        <f t="shared" si="135"/>
        <v>-8.2852531103485312</v>
      </c>
      <c r="F503" s="18">
        <f t="shared" si="135"/>
        <v>1000013.8155105581</v>
      </c>
      <c r="G503" s="18">
        <f t="shared" si="135"/>
        <v>1000013.8155105581</v>
      </c>
      <c r="H503" s="18">
        <f t="shared" si="135"/>
        <v>1000013.8155105581</v>
      </c>
      <c r="I503" s="16"/>
      <c r="J503" s="18">
        <f t="shared" si="137"/>
        <v>0.77257929985697027</v>
      </c>
      <c r="K503" s="18">
        <f t="shared" si="138"/>
        <v>2.5214524798680097E-4</v>
      </c>
      <c r="L503" s="18">
        <f t="shared" si="139"/>
        <v>999999.99999309238</v>
      </c>
      <c r="M503" s="18">
        <f t="shared" si="140"/>
        <v>999999.99999309238</v>
      </c>
      <c r="N503" s="18">
        <f t="shared" si="141"/>
        <v>999999.99999309238</v>
      </c>
      <c r="O503" s="16"/>
      <c r="P503" s="18">
        <f t="shared" si="136"/>
        <v>1.0553580882950151</v>
      </c>
      <c r="Q503" s="18">
        <f t="shared" ref="Q503:Q532" si="146">(D$23*D$22)/(K503+K503^2)</f>
        <v>492.73479951802443</v>
      </c>
      <c r="R503" s="18">
        <f t="shared" ref="R503:R532" si="147">(E$23*E$22)/(L503+L503^2)</f>
        <v>0</v>
      </c>
      <c r="S503" s="18">
        <f t="shared" ref="S503:S532" si="148">(F$23*F$22)/(M503+M503^2)</f>
        <v>0</v>
      </c>
      <c r="T503" s="18">
        <f t="shared" ref="T503:T532" si="149">(G$23*G$22)/(N503+N503^2)</f>
        <v>0</v>
      </c>
      <c r="U503" s="16"/>
      <c r="V503" s="18">
        <f t="shared" si="142"/>
        <v>493.79015760631944</v>
      </c>
      <c r="W503" s="16"/>
      <c r="X503" s="18">
        <f t="shared" si="143"/>
        <v>1037.4739470257414</v>
      </c>
      <c r="Y503" s="18">
        <f t="shared" si="144"/>
        <v>32.20984239368056</v>
      </c>
      <c r="Z503" s="18"/>
      <c r="AA503" s="18">
        <f t="shared" si="145"/>
        <v>7.9555368558275417E-5</v>
      </c>
    </row>
    <row r="504" spans="2:27" x14ac:dyDescent="0.35">
      <c r="B504" s="26">
        <v>132.79999999999998</v>
      </c>
      <c r="C504" s="26">
        <v>474</v>
      </c>
      <c r="D504" s="18">
        <f t="shared" si="135"/>
        <v>0.52884310673759227</v>
      </c>
      <c r="E504" s="18">
        <f t="shared" si="135"/>
        <v>-8.2833887310474701</v>
      </c>
      <c r="F504" s="18">
        <f t="shared" si="135"/>
        <v>1000013.8155105581</v>
      </c>
      <c r="G504" s="18">
        <f t="shared" si="135"/>
        <v>1000013.8155105581</v>
      </c>
      <c r="H504" s="18">
        <f t="shared" si="135"/>
        <v>1000013.8155105581</v>
      </c>
      <c r="I504" s="16"/>
      <c r="J504" s="18">
        <f t="shared" si="137"/>
        <v>0.77881931349096134</v>
      </c>
      <c r="K504" s="18">
        <f t="shared" si="138"/>
        <v>2.5261566202360546E-4</v>
      </c>
      <c r="L504" s="18">
        <f t="shared" si="139"/>
        <v>999999.99999309238</v>
      </c>
      <c r="M504" s="18">
        <f t="shared" si="140"/>
        <v>999999.99999309238</v>
      </c>
      <c r="N504" s="18">
        <f t="shared" si="141"/>
        <v>999999.99999309238</v>
      </c>
      <c r="O504" s="16"/>
      <c r="P504" s="18">
        <f t="shared" si="136"/>
        <v>1.0432299218718344</v>
      </c>
      <c r="Q504" s="18">
        <f t="shared" si="146"/>
        <v>491.81701083427851</v>
      </c>
      <c r="R504" s="18">
        <f t="shared" si="147"/>
        <v>0</v>
      </c>
      <c r="S504" s="18">
        <f t="shared" si="148"/>
        <v>0</v>
      </c>
      <c r="T504" s="18">
        <f t="shared" si="149"/>
        <v>0</v>
      </c>
      <c r="U504" s="16"/>
      <c r="V504" s="18">
        <f t="shared" si="142"/>
        <v>492.86024075615035</v>
      </c>
      <c r="W504" s="16"/>
      <c r="X504" s="18">
        <f t="shared" si="143"/>
        <v>355.70868137995461</v>
      </c>
      <c r="Y504" s="18">
        <f t="shared" si="144"/>
        <v>18.860240756150347</v>
      </c>
      <c r="Z504" s="18"/>
      <c r="AA504" s="18">
        <f t="shared" si="145"/>
        <v>4.6583071910582419E-5</v>
      </c>
    </row>
    <row r="505" spans="2:27" x14ac:dyDescent="0.35">
      <c r="B505" s="26">
        <v>133.1</v>
      </c>
      <c r="C505" s="26">
        <v>494</v>
      </c>
      <c r="D505" s="18">
        <f t="shared" si="135"/>
        <v>0.54312753556043525</v>
      </c>
      <c r="E505" s="18">
        <f t="shared" si="135"/>
        <v>-8.2815243517464072</v>
      </c>
      <c r="F505" s="18">
        <f t="shared" si="135"/>
        <v>1000013.8155105581</v>
      </c>
      <c r="G505" s="18">
        <f t="shared" si="135"/>
        <v>1000013.8155105581</v>
      </c>
      <c r="H505" s="18">
        <f t="shared" si="135"/>
        <v>1000013.8155105581</v>
      </c>
      <c r="I505" s="16"/>
      <c r="J505" s="18">
        <f t="shared" si="137"/>
        <v>0.78508756069452412</v>
      </c>
      <c r="K505" s="18">
        <f t="shared" si="138"/>
        <v>2.5308695346490834E-4</v>
      </c>
      <c r="L505" s="18">
        <f t="shared" si="139"/>
        <v>999999.99999309238</v>
      </c>
      <c r="M505" s="18">
        <f t="shared" si="140"/>
        <v>999999.99999309238</v>
      </c>
      <c r="N505" s="18">
        <f t="shared" si="141"/>
        <v>999999.99999309238</v>
      </c>
      <c r="O505" s="16"/>
      <c r="P505" s="18">
        <f t="shared" si="136"/>
        <v>1.031266627824363</v>
      </c>
      <c r="Q505" s="18">
        <f t="shared" si="146"/>
        <v>490.90093166278081</v>
      </c>
      <c r="R505" s="18">
        <f t="shared" si="147"/>
        <v>0</v>
      </c>
      <c r="S505" s="18">
        <f t="shared" si="148"/>
        <v>0</v>
      </c>
      <c r="T505" s="18">
        <f t="shared" si="149"/>
        <v>0</v>
      </c>
      <c r="U505" s="16"/>
      <c r="V505" s="18">
        <f t="shared" si="142"/>
        <v>491.93219829060519</v>
      </c>
      <c r="W505" s="16"/>
      <c r="X505" s="18">
        <f t="shared" si="143"/>
        <v>4.2758039093761155</v>
      </c>
      <c r="Y505" s="18">
        <f t="shared" si="144"/>
        <v>2.0678017093948142</v>
      </c>
      <c r="Z505" s="18"/>
      <c r="AA505" s="18">
        <f t="shared" si="145"/>
        <v>5.1072813423207405E-6</v>
      </c>
    </row>
    <row r="506" spans="2:27" x14ac:dyDescent="0.35">
      <c r="B506" s="26">
        <v>133.4</v>
      </c>
      <c r="C506" s="26">
        <v>482</v>
      </c>
      <c r="D506" s="18">
        <f t="shared" si="135"/>
        <v>0.55741196438327822</v>
      </c>
      <c r="E506" s="18">
        <f t="shared" si="135"/>
        <v>-8.2796599724453461</v>
      </c>
      <c r="F506" s="18">
        <f t="shared" si="135"/>
        <v>1000013.8155105581</v>
      </c>
      <c r="G506" s="18">
        <f t="shared" si="135"/>
        <v>1000013.8155105581</v>
      </c>
      <c r="H506" s="18">
        <f t="shared" si="135"/>
        <v>1000013.8155105581</v>
      </c>
      <c r="I506" s="16"/>
      <c r="J506" s="18">
        <f t="shared" si="137"/>
        <v>0.79138396993952287</v>
      </c>
      <c r="K506" s="18">
        <f t="shared" si="138"/>
        <v>2.5355912394639269E-4</v>
      </c>
      <c r="L506" s="18">
        <f t="shared" si="139"/>
        <v>999999.99999309238</v>
      </c>
      <c r="M506" s="18">
        <f t="shared" si="140"/>
        <v>999999.99999309238</v>
      </c>
      <c r="N506" s="18">
        <f t="shared" si="141"/>
        <v>999999.99999309238</v>
      </c>
      <c r="O506" s="16"/>
      <c r="P506" s="18">
        <f t="shared" si="136"/>
        <v>1.0194657768155595</v>
      </c>
      <c r="Q506" s="18">
        <f t="shared" si="146"/>
        <v>489.98655881932285</v>
      </c>
      <c r="R506" s="18">
        <f t="shared" si="147"/>
        <v>0</v>
      </c>
      <c r="S506" s="18">
        <f t="shared" si="148"/>
        <v>0</v>
      </c>
      <c r="T506" s="18">
        <f t="shared" si="149"/>
        <v>0</v>
      </c>
      <c r="U506" s="16"/>
      <c r="V506" s="18">
        <f t="shared" si="142"/>
        <v>491.00602459613839</v>
      </c>
      <c r="W506" s="16"/>
      <c r="X506" s="18">
        <f t="shared" si="143"/>
        <v>81.108479026249626</v>
      </c>
      <c r="Y506" s="18">
        <f t="shared" si="144"/>
        <v>9.0060245961383885</v>
      </c>
      <c r="Z506" s="18"/>
      <c r="AA506" s="18">
        <f t="shared" si="145"/>
        <v>2.2244058112226371E-5</v>
      </c>
    </row>
    <row r="507" spans="2:27" x14ac:dyDescent="0.35">
      <c r="B507" s="26">
        <v>133.69999999999999</v>
      </c>
      <c r="C507" s="26">
        <v>480</v>
      </c>
      <c r="D507" s="18">
        <f t="shared" si="135"/>
        <v>0.57169639320611942</v>
      </c>
      <c r="E507" s="18">
        <f t="shared" si="135"/>
        <v>-8.277795593144285</v>
      </c>
      <c r="F507" s="18">
        <f t="shared" si="135"/>
        <v>1000013.8155105581</v>
      </c>
      <c r="G507" s="18">
        <f t="shared" si="135"/>
        <v>1000013.8155105581</v>
      </c>
      <c r="H507" s="18">
        <f t="shared" si="135"/>
        <v>1000013.8155105581</v>
      </c>
      <c r="I507" s="16"/>
      <c r="J507" s="18">
        <f t="shared" si="137"/>
        <v>0.79770846880223001</v>
      </c>
      <c r="K507" s="18">
        <f t="shared" si="138"/>
        <v>2.5403217510678883E-4</v>
      </c>
      <c r="L507" s="18">
        <f t="shared" si="139"/>
        <v>999999.99999309238</v>
      </c>
      <c r="M507" s="18">
        <f t="shared" si="140"/>
        <v>999999.99999309238</v>
      </c>
      <c r="N507" s="18">
        <f t="shared" si="141"/>
        <v>999999.99999309238</v>
      </c>
      <c r="O507" s="16"/>
      <c r="P507" s="18">
        <f t="shared" si="136"/>
        <v>1.0078249759673059</v>
      </c>
      <c r="Q507" s="18">
        <f t="shared" si="146"/>
        <v>489.07388912562516</v>
      </c>
      <c r="R507" s="18">
        <f t="shared" si="147"/>
        <v>0</v>
      </c>
      <c r="S507" s="18">
        <f t="shared" si="148"/>
        <v>0</v>
      </c>
      <c r="T507" s="18">
        <f t="shared" si="149"/>
        <v>0</v>
      </c>
      <c r="U507" s="16"/>
      <c r="V507" s="18">
        <f t="shared" si="142"/>
        <v>490.08171410159247</v>
      </c>
      <c r="W507" s="16"/>
      <c r="X507" s="18">
        <f t="shared" si="143"/>
        <v>101.64095922624841</v>
      </c>
      <c r="Y507" s="18">
        <f t="shared" si="144"/>
        <v>10.081714101592468</v>
      </c>
      <c r="Z507" s="18"/>
      <c r="AA507" s="18">
        <f t="shared" si="145"/>
        <v>2.4900912933641399E-5</v>
      </c>
    </row>
    <row r="508" spans="2:27" x14ac:dyDescent="0.35">
      <c r="B508" s="26">
        <v>134</v>
      </c>
      <c r="C508" s="26">
        <v>494</v>
      </c>
      <c r="D508" s="18">
        <f t="shared" si="135"/>
        <v>0.5859808220289624</v>
      </c>
      <c r="E508" s="18">
        <f t="shared" si="135"/>
        <v>-8.2759312138432222</v>
      </c>
      <c r="F508" s="18">
        <f t="shared" si="135"/>
        <v>1000013.8155105581</v>
      </c>
      <c r="G508" s="18">
        <f t="shared" si="135"/>
        <v>1000013.8155105581</v>
      </c>
      <c r="H508" s="18">
        <f t="shared" si="135"/>
        <v>1000013.8155105581</v>
      </c>
      <c r="I508" s="16"/>
      <c r="J508" s="18">
        <f t="shared" si="137"/>
        <v>0.804060983983236</v>
      </c>
      <c r="K508" s="18">
        <f t="shared" si="138"/>
        <v>2.5450610858787908E-4</v>
      </c>
      <c r="L508" s="18">
        <f t="shared" si="139"/>
        <v>999999.99999309238</v>
      </c>
      <c r="M508" s="18">
        <f t="shared" si="140"/>
        <v>999999.99999309238</v>
      </c>
      <c r="N508" s="18">
        <f t="shared" si="141"/>
        <v>999999.99999309238</v>
      </c>
      <c r="O508" s="16"/>
      <c r="P508" s="18">
        <f t="shared" si="136"/>
        <v>0.99634186833507776</v>
      </c>
      <c r="Q508" s="18">
        <f t="shared" si="146"/>
        <v>488.16291940932803</v>
      </c>
      <c r="R508" s="18">
        <f t="shared" si="147"/>
        <v>0</v>
      </c>
      <c r="S508" s="18">
        <f t="shared" si="148"/>
        <v>0</v>
      </c>
      <c r="T508" s="18">
        <f t="shared" si="149"/>
        <v>0</v>
      </c>
      <c r="U508" s="16"/>
      <c r="V508" s="18">
        <f t="shared" si="142"/>
        <v>489.15926127766312</v>
      </c>
      <c r="W508" s="16"/>
      <c r="X508" s="18">
        <f t="shared" si="143"/>
        <v>23.432751377931691</v>
      </c>
      <c r="Y508" s="18">
        <f t="shared" si="144"/>
        <v>4.8407387223368801</v>
      </c>
      <c r="Z508" s="18"/>
      <c r="AA508" s="18">
        <f t="shared" si="145"/>
        <v>1.1956182474999695E-5</v>
      </c>
    </row>
    <row r="509" spans="2:27" x14ac:dyDescent="0.35">
      <c r="B509" s="26">
        <v>134.19999999999999</v>
      </c>
      <c r="C509" s="26">
        <v>482</v>
      </c>
      <c r="D509" s="18">
        <f t="shared" si="135"/>
        <v>0.5955037745775229</v>
      </c>
      <c r="E509" s="18">
        <f t="shared" si="135"/>
        <v>-8.2746882943091808</v>
      </c>
      <c r="F509" s="18">
        <f t="shared" si="135"/>
        <v>1000013.8155105581</v>
      </c>
      <c r="G509" s="18">
        <f t="shared" si="135"/>
        <v>1000013.8155105581</v>
      </c>
      <c r="H509" s="18">
        <f t="shared" si="135"/>
        <v>1000013.8155105581</v>
      </c>
      <c r="I509" s="16"/>
      <c r="J509" s="18">
        <f t="shared" si="137"/>
        <v>0.80831152213991919</v>
      </c>
      <c r="K509" s="18">
        <f t="shared" si="138"/>
        <v>2.5482255523224265E-4</v>
      </c>
      <c r="L509" s="18">
        <f t="shared" si="139"/>
        <v>999999.99999309238</v>
      </c>
      <c r="M509" s="18">
        <f t="shared" si="140"/>
        <v>999999.99999309238</v>
      </c>
      <c r="N509" s="18">
        <f t="shared" si="141"/>
        <v>999999.99999309238</v>
      </c>
      <c r="O509" s="16"/>
      <c r="P509" s="18">
        <f t="shared" si="136"/>
        <v>0.98877292271295381</v>
      </c>
      <c r="Q509" s="18">
        <f t="shared" si="146"/>
        <v>487.55654913309809</v>
      </c>
      <c r="R509" s="18">
        <f t="shared" si="147"/>
        <v>0</v>
      </c>
      <c r="S509" s="18">
        <f t="shared" si="148"/>
        <v>0</v>
      </c>
      <c r="T509" s="18">
        <f t="shared" si="149"/>
        <v>0</v>
      </c>
      <c r="U509" s="16"/>
      <c r="V509" s="18">
        <f t="shared" si="142"/>
        <v>488.54532205581103</v>
      </c>
      <c r="W509" s="16"/>
      <c r="X509" s="18">
        <f t="shared" si="143"/>
        <v>42.841240814286294</v>
      </c>
      <c r="Y509" s="18">
        <f t="shared" si="144"/>
        <v>6.5453220558110274</v>
      </c>
      <c r="Z509" s="18"/>
      <c r="AA509" s="18">
        <f t="shared" si="145"/>
        <v>1.61663476063707E-5</v>
      </c>
    </row>
    <row r="510" spans="2:27" x14ac:dyDescent="0.35">
      <c r="B510" s="26">
        <v>134.5</v>
      </c>
      <c r="C510" s="26">
        <v>490</v>
      </c>
      <c r="D510" s="18">
        <f t="shared" si="135"/>
        <v>0.60978820340036588</v>
      </c>
      <c r="E510" s="18">
        <f t="shared" si="135"/>
        <v>-8.2728239150081198</v>
      </c>
      <c r="F510" s="18">
        <f t="shared" si="135"/>
        <v>1000013.8155105581</v>
      </c>
      <c r="G510" s="18">
        <f t="shared" si="135"/>
        <v>1000013.8155105581</v>
      </c>
      <c r="H510" s="18">
        <f t="shared" si="135"/>
        <v>1000013.8155105581</v>
      </c>
      <c r="I510" s="16"/>
      <c r="J510" s="18">
        <f t="shared" si="137"/>
        <v>0.81471056598154501</v>
      </c>
      <c r="K510" s="18">
        <f t="shared" si="138"/>
        <v>2.5529796290453305E-4</v>
      </c>
      <c r="L510" s="18">
        <f t="shared" si="139"/>
        <v>999999.99999309238</v>
      </c>
      <c r="M510" s="18">
        <f t="shared" si="140"/>
        <v>999999.99999309238</v>
      </c>
      <c r="N510" s="18">
        <f t="shared" si="141"/>
        <v>999999.99999309238</v>
      </c>
      <c r="O510" s="16"/>
      <c r="P510" s="18">
        <f t="shared" si="136"/>
        <v>0.97754749541020058</v>
      </c>
      <c r="Q510" s="18">
        <f t="shared" si="146"/>
        <v>486.64840567882857</v>
      </c>
      <c r="R510" s="18">
        <f t="shared" si="147"/>
        <v>0</v>
      </c>
      <c r="S510" s="18">
        <f t="shared" si="148"/>
        <v>0</v>
      </c>
      <c r="T510" s="18">
        <f t="shared" si="149"/>
        <v>0</v>
      </c>
      <c r="U510" s="16"/>
      <c r="V510" s="18">
        <f t="shared" si="142"/>
        <v>487.62595317423876</v>
      </c>
      <c r="W510" s="16"/>
      <c r="X510" s="18">
        <f t="shared" si="143"/>
        <v>5.6360983309070223</v>
      </c>
      <c r="Y510" s="18">
        <f t="shared" si="144"/>
        <v>2.3740468257612406</v>
      </c>
      <c r="Z510" s="18"/>
      <c r="AA510" s="18">
        <f t="shared" si="145"/>
        <v>5.8636788062984909E-6</v>
      </c>
    </row>
    <row r="511" spans="2:27" x14ac:dyDescent="0.35">
      <c r="B511" s="26">
        <v>134.79999999999998</v>
      </c>
      <c r="C511" s="26">
        <v>512</v>
      </c>
      <c r="D511" s="18">
        <f t="shared" si="135"/>
        <v>0.62407263222320797</v>
      </c>
      <c r="E511" s="18">
        <f t="shared" si="135"/>
        <v>-8.2709595357070587</v>
      </c>
      <c r="F511" s="18">
        <f t="shared" si="135"/>
        <v>1000013.8155105581</v>
      </c>
      <c r="G511" s="18">
        <f t="shared" si="135"/>
        <v>1000013.8155105581</v>
      </c>
      <c r="H511" s="18">
        <f t="shared" si="135"/>
        <v>1000013.8155105581</v>
      </c>
      <c r="I511" s="16"/>
      <c r="J511" s="18">
        <f t="shared" si="137"/>
        <v>0.82113742654570132</v>
      </c>
      <c r="K511" s="18">
        <f t="shared" si="138"/>
        <v>2.5577425729056533E-4</v>
      </c>
      <c r="L511" s="18">
        <f t="shared" si="139"/>
        <v>999999.99999309238</v>
      </c>
      <c r="M511" s="18">
        <f t="shared" si="140"/>
        <v>999999.99999309238</v>
      </c>
      <c r="N511" s="18">
        <f t="shared" si="141"/>
        <v>999999.99999309238</v>
      </c>
      <c r="O511" s="16"/>
      <c r="P511" s="18">
        <f t="shared" si="136"/>
        <v>0.96647364789151458</v>
      </c>
      <c r="Q511" s="18">
        <f t="shared" si="146"/>
        <v>485.74195377119565</v>
      </c>
      <c r="R511" s="18">
        <f t="shared" si="147"/>
        <v>0</v>
      </c>
      <c r="S511" s="18">
        <f t="shared" si="148"/>
        <v>0</v>
      </c>
      <c r="T511" s="18">
        <f t="shared" si="149"/>
        <v>0</v>
      </c>
      <c r="U511" s="16"/>
      <c r="V511" s="18">
        <f t="shared" si="142"/>
        <v>486.70842741908717</v>
      </c>
      <c r="W511" s="16"/>
      <c r="X511" s="18">
        <f t="shared" si="143"/>
        <v>639.66364361558158</v>
      </c>
      <c r="Y511" s="18">
        <f t="shared" si="144"/>
        <v>25.291572580912828</v>
      </c>
      <c r="Z511" s="18"/>
      <c r="AA511" s="18">
        <f t="shared" si="145"/>
        <v>6.2467874058509974E-5</v>
      </c>
    </row>
    <row r="512" spans="2:27" x14ac:dyDescent="0.35">
      <c r="B512" s="26">
        <v>135.1</v>
      </c>
      <c r="C512" s="26">
        <v>523</v>
      </c>
      <c r="D512" s="18">
        <f t="shared" si="135"/>
        <v>0.63835706104605094</v>
      </c>
      <c r="E512" s="18">
        <f t="shared" si="135"/>
        <v>-8.2690951564059958</v>
      </c>
      <c r="F512" s="18">
        <f t="shared" si="135"/>
        <v>1000013.8155105581</v>
      </c>
      <c r="G512" s="18">
        <f t="shared" si="135"/>
        <v>1000013.8155105581</v>
      </c>
      <c r="H512" s="18">
        <f t="shared" si="135"/>
        <v>1000013.8155105581</v>
      </c>
      <c r="I512" s="16"/>
      <c r="J512" s="18">
        <f t="shared" si="137"/>
        <v>0.82759202749100935</v>
      </c>
      <c r="K512" s="18">
        <f t="shared" si="138"/>
        <v>2.5625144004336062E-4</v>
      </c>
      <c r="L512" s="18">
        <f t="shared" si="139"/>
        <v>999999.99999309238</v>
      </c>
      <c r="M512" s="18">
        <f t="shared" si="140"/>
        <v>999999.99999309238</v>
      </c>
      <c r="N512" s="18">
        <f t="shared" si="141"/>
        <v>999999.99999309238</v>
      </c>
      <c r="O512" s="16"/>
      <c r="P512" s="18">
        <f t="shared" si="136"/>
        <v>0.95554915058371903</v>
      </c>
      <c r="Q512" s="18">
        <f t="shared" si="146"/>
        <v>484.83719025945192</v>
      </c>
      <c r="R512" s="18">
        <f t="shared" si="147"/>
        <v>0</v>
      </c>
      <c r="S512" s="18">
        <f t="shared" si="148"/>
        <v>0</v>
      </c>
      <c r="T512" s="18">
        <f t="shared" si="149"/>
        <v>0</v>
      </c>
      <c r="U512" s="16"/>
      <c r="V512" s="18">
        <f t="shared" si="142"/>
        <v>485.79273941003561</v>
      </c>
      <c r="W512" s="16"/>
      <c r="X512" s="18">
        <f t="shared" si="143"/>
        <v>1384.3802406095174</v>
      </c>
      <c r="Y512" s="18">
        <f t="shared" si="144"/>
        <v>37.207260589964392</v>
      </c>
      <c r="Z512" s="18"/>
      <c r="AA512" s="18">
        <f t="shared" si="145"/>
        <v>9.1898535022299908E-5</v>
      </c>
    </row>
    <row r="513" spans="2:27" x14ac:dyDescent="0.35">
      <c r="B513" s="26">
        <v>135.4</v>
      </c>
      <c r="C513" s="26">
        <v>546</v>
      </c>
      <c r="D513" s="18">
        <f t="shared" si="135"/>
        <v>0.65264148986889303</v>
      </c>
      <c r="E513" s="18">
        <f t="shared" si="135"/>
        <v>-8.2672307771049347</v>
      </c>
      <c r="F513" s="18">
        <f t="shared" si="135"/>
        <v>1000013.8155105581</v>
      </c>
      <c r="G513" s="18">
        <f t="shared" si="135"/>
        <v>1000013.8155105581</v>
      </c>
      <c r="H513" s="18">
        <f t="shared" si="135"/>
        <v>1000013.8155105581</v>
      </c>
      <c r="I513" s="16"/>
      <c r="J513" s="18">
        <f t="shared" si="137"/>
        <v>0.83407429169207958</v>
      </c>
      <c r="K513" s="18">
        <f t="shared" si="138"/>
        <v>2.567295128190171E-4</v>
      </c>
      <c r="L513" s="18">
        <f t="shared" si="139"/>
        <v>999999.99999309238</v>
      </c>
      <c r="M513" s="18">
        <f t="shared" si="140"/>
        <v>999999.99999309238</v>
      </c>
      <c r="N513" s="18">
        <f t="shared" si="141"/>
        <v>999999.99999309238</v>
      </c>
      <c r="O513" s="16"/>
      <c r="P513" s="18">
        <f t="shared" si="136"/>
        <v>0.94477180748455736</v>
      </c>
      <c r="Q513" s="18">
        <f t="shared" si="146"/>
        <v>483.93411199872133</v>
      </c>
      <c r="R513" s="18">
        <f t="shared" si="147"/>
        <v>0</v>
      </c>
      <c r="S513" s="18">
        <f t="shared" si="148"/>
        <v>0</v>
      </c>
      <c r="T513" s="18">
        <f t="shared" si="149"/>
        <v>0</v>
      </c>
      <c r="U513" s="16"/>
      <c r="V513" s="18">
        <f t="shared" si="142"/>
        <v>484.87888380620592</v>
      </c>
      <c r="W513" s="16"/>
      <c r="X513" s="18">
        <f t="shared" si="143"/>
        <v>3735.790844775277</v>
      </c>
      <c r="Y513" s="18">
        <f t="shared" si="144"/>
        <v>61.12111619379408</v>
      </c>
      <c r="Z513" s="18"/>
      <c r="AA513" s="18">
        <f t="shared" si="145"/>
        <v>1.509635739926647E-4</v>
      </c>
    </row>
    <row r="514" spans="2:27" x14ac:dyDescent="0.35">
      <c r="B514" s="26">
        <v>135.69999999999999</v>
      </c>
      <c r="C514" s="26">
        <v>510</v>
      </c>
      <c r="D514" s="18">
        <f t="shared" si="135"/>
        <v>0.66692591869173512</v>
      </c>
      <c r="E514" s="18">
        <f t="shared" si="135"/>
        <v>-8.2653663978038736</v>
      </c>
      <c r="F514" s="18">
        <f t="shared" si="135"/>
        <v>1000013.8155105581</v>
      </c>
      <c r="G514" s="18">
        <f t="shared" si="135"/>
        <v>1000013.8155105581</v>
      </c>
      <c r="H514" s="18">
        <f t="shared" si="135"/>
        <v>1000013.8155105581</v>
      </c>
      <c r="I514" s="16"/>
      <c r="J514" s="18">
        <f t="shared" si="137"/>
        <v>0.84058414125886005</v>
      </c>
      <c r="K514" s="18">
        <f t="shared" si="138"/>
        <v>2.5720847727671829E-4</v>
      </c>
      <c r="L514" s="18">
        <f t="shared" si="139"/>
        <v>999999.99999309238</v>
      </c>
      <c r="M514" s="18">
        <f t="shared" si="140"/>
        <v>999999.99999309238</v>
      </c>
      <c r="N514" s="18">
        <f t="shared" si="141"/>
        <v>999999.99999309238</v>
      </c>
      <c r="O514" s="16"/>
      <c r="P514" s="18">
        <f t="shared" si="136"/>
        <v>0.93413945567496137</v>
      </c>
      <c r="Q514" s="18">
        <f t="shared" si="146"/>
        <v>483.03271584998339</v>
      </c>
      <c r="R514" s="18">
        <f t="shared" si="147"/>
        <v>0</v>
      </c>
      <c r="S514" s="18">
        <f t="shared" si="148"/>
        <v>0</v>
      </c>
      <c r="T514" s="18">
        <f t="shared" si="149"/>
        <v>0</v>
      </c>
      <c r="U514" s="16"/>
      <c r="V514" s="18">
        <f t="shared" si="142"/>
        <v>483.96685530565833</v>
      </c>
      <c r="W514" s="16"/>
      <c r="X514" s="18">
        <f t="shared" si="143"/>
        <v>677.72462267652998</v>
      </c>
      <c r="Y514" s="18">
        <f t="shared" si="144"/>
        <v>26.033144694341672</v>
      </c>
      <c r="Z514" s="18"/>
      <c r="AA514" s="18">
        <f t="shared" si="145"/>
        <v>6.429948944101635E-5</v>
      </c>
    </row>
    <row r="515" spans="2:27" x14ac:dyDescent="0.35">
      <c r="B515" s="26">
        <v>136</v>
      </c>
      <c r="C515" s="26">
        <v>482</v>
      </c>
      <c r="D515" s="18">
        <f t="shared" si="135"/>
        <v>0.6812103475145781</v>
      </c>
      <c r="E515" s="18">
        <f t="shared" si="135"/>
        <v>-8.2635020185028107</v>
      </c>
      <c r="F515" s="18">
        <f t="shared" si="135"/>
        <v>1000013.8155105581</v>
      </c>
      <c r="G515" s="18">
        <f t="shared" si="135"/>
        <v>1000013.8155105581</v>
      </c>
      <c r="H515" s="18">
        <f t="shared" si="135"/>
        <v>1000013.8155105581</v>
      </c>
      <c r="I515" s="16"/>
      <c r="J515" s="18">
        <f t="shared" si="137"/>
        <v>0.84712149755586197</v>
      </c>
      <c r="K515" s="18">
        <f t="shared" si="138"/>
        <v>2.5768833507873765E-4</v>
      </c>
      <c r="L515" s="18">
        <f t="shared" si="139"/>
        <v>999999.99999309238</v>
      </c>
      <c r="M515" s="18">
        <f t="shared" si="140"/>
        <v>999999.99999309238</v>
      </c>
      <c r="N515" s="18">
        <f t="shared" si="141"/>
        <v>999999.99999309238</v>
      </c>
      <c r="O515" s="16"/>
      <c r="P515" s="18">
        <f t="shared" si="136"/>
        <v>0.92364996483771433</v>
      </c>
      <c r="Q515" s="18">
        <f t="shared" si="146"/>
        <v>482.13299868006436</v>
      </c>
      <c r="R515" s="18">
        <f t="shared" si="147"/>
        <v>0</v>
      </c>
      <c r="S515" s="18">
        <f t="shared" si="148"/>
        <v>0</v>
      </c>
      <c r="T515" s="18">
        <f t="shared" si="149"/>
        <v>0</v>
      </c>
      <c r="U515" s="16"/>
      <c r="V515" s="18">
        <f t="shared" si="142"/>
        <v>483.05664864490205</v>
      </c>
      <c r="W515" s="16"/>
      <c r="X515" s="18">
        <f t="shared" si="143"/>
        <v>1.1165063587733479</v>
      </c>
      <c r="Y515" s="18">
        <f t="shared" si="144"/>
        <v>1.0566486449020545</v>
      </c>
      <c r="Z515" s="18"/>
      <c r="AA515" s="18">
        <f t="shared" si="145"/>
        <v>2.6098256351070462E-6</v>
      </c>
    </row>
    <row r="516" spans="2:27" x14ac:dyDescent="0.35">
      <c r="B516" s="26">
        <v>136.19999999999999</v>
      </c>
      <c r="C516" s="26">
        <v>472</v>
      </c>
      <c r="D516" s="18">
        <f t="shared" si="135"/>
        <v>0.6907333000631386</v>
      </c>
      <c r="E516" s="18">
        <f t="shared" si="135"/>
        <v>-8.2622590989687694</v>
      </c>
      <c r="F516" s="18">
        <f t="shared" si="135"/>
        <v>1000013.8155105581</v>
      </c>
      <c r="G516" s="18">
        <f t="shared" si="135"/>
        <v>1000013.8155105581</v>
      </c>
      <c r="H516" s="18">
        <f t="shared" si="135"/>
        <v>1000013.8155105581</v>
      </c>
      <c r="I516" s="16"/>
      <c r="J516" s="18">
        <f t="shared" si="137"/>
        <v>0.85149497744227887</v>
      </c>
      <c r="K516" s="18">
        <f t="shared" si="138"/>
        <v>2.5800873740475922E-4</v>
      </c>
      <c r="L516" s="18">
        <f t="shared" si="139"/>
        <v>999999.99999309238</v>
      </c>
      <c r="M516" s="18">
        <f t="shared" si="140"/>
        <v>999999.99999309238</v>
      </c>
      <c r="N516" s="18">
        <f t="shared" si="141"/>
        <v>999999.99999309238</v>
      </c>
      <c r="O516" s="16"/>
      <c r="P516" s="18">
        <f t="shared" si="136"/>
        <v>0.91673530070177434</v>
      </c>
      <c r="Q516" s="18">
        <f t="shared" si="146"/>
        <v>481.53411845485903</v>
      </c>
      <c r="R516" s="18">
        <f t="shared" si="147"/>
        <v>0</v>
      </c>
      <c r="S516" s="18">
        <f t="shared" si="148"/>
        <v>0</v>
      </c>
      <c r="T516" s="18">
        <f t="shared" si="149"/>
        <v>0</v>
      </c>
      <c r="U516" s="16"/>
      <c r="V516" s="18">
        <f t="shared" si="142"/>
        <v>482.45085375556079</v>
      </c>
      <c r="W516" s="16"/>
      <c r="X516" s="18">
        <f t="shared" si="143"/>
        <v>109.22034422011899</v>
      </c>
      <c r="Y516" s="18">
        <f t="shared" si="144"/>
        <v>10.450853755560786</v>
      </c>
      <c r="Z516" s="18"/>
      <c r="AA516" s="18">
        <f t="shared" si="145"/>
        <v>2.5812654160499606E-5</v>
      </c>
    </row>
    <row r="517" spans="2:27" x14ac:dyDescent="0.35">
      <c r="B517" s="26">
        <v>136.5</v>
      </c>
      <c r="C517" s="26">
        <v>500</v>
      </c>
      <c r="D517" s="18">
        <f t="shared" si="135"/>
        <v>0.70501772888598158</v>
      </c>
      <c r="E517" s="18">
        <f t="shared" si="135"/>
        <v>-8.2603947196677083</v>
      </c>
      <c r="F517" s="18">
        <f t="shared" si="135"/>
        <v>1000013.8155105581</v>
      </c>
      <c r="G517" s="18">
        <f t="shared" si="135"/>
        <v>1000013.8155105581</v>
      </c>
      <c r="H517" s="18">
        <f t="shared" si="135"/>
        <v>1000013.8155105581</v>
      </c>
      <c r="I517" s="16"/>
      <c r="J517" s="18">
        <f t="shared" si="137"/>
        <v>0.85807800157995562</v>
      </c>
      <c r="K517" s="18">
        <f t="shared" si="138"/>
        <v>2.584900878163249E-4</v>
      </c>
      <c r="L517" s="18">
        <f t="shared" si="139"/>
        <v>999999.99999309238</v>
      </c>
      <c r="M517" s="18">
        <f t="shared" si="140"/>
        <v>999999.99999309238</v>
      </c>
      <c r="N517" s="18">
        <f t="shared" si="141"/>
        <v>999999.99999309238</v>
      </c>
      <c r="O517" s="16"/>
      <c r="P517" s="18">
        <f t="shared" si="136"/>
        <v>0.90647926449251925</v>
      </c>
      <c r="Q517" s="18">
        <f t="shared" si="146"/>
        <v>480.63719263621283</v>
      </c>
      <c r="R517" s="18">
        <f t="shared" si="147"/>
        <v>0</v>
      </c>
      <c r="S517" s="18">
        <f t="shared" si="148"/>
        <v>0</v>
      </c>
      <c r="T517" s="18">
        <f t="shared" si="149"/>
        <v>0</v>
      </c>
      <c r="U517" s="16"/>
      <c r="V517" s="18">
        <f t="shared" si="142"/>
        <v>481.54367190070536</v>
      </c>
      <c r="W517" s="16"/>
      <c r="X517" s="18">
        <f t="shared" si="143"/>
        <v>340.63604690881283</v>
      </c>
      <c r="Y517" s="18">
        <f t="shared" si="144"/>
        <v>18.456328099294637</v>
      </c>
      <c r="Z517" s="18"/>
      <c r="AA517" s="18">
        <f t="shared" si="145"/>
        <v>4.5585444542874074E-5</v>
      </c>
    </row>
    <row r="518" spans="2:27" x14ac:dyDescent="0.35">
      <c r="B518" s="26">
        <v>136.79999999999998</v>
      </c>
      <c r="C518" s="26">
        <v>467</v>
      </c>
      <c r="D518" s="18">
        <f t="shared" si="135"/>
        <v>0.71930215770882278</v>
      </c>
      <c r="E518" s="18">
        <f t="shared" si="135"/>
        <v>-8.2585303403666472</v>
      </c>
      <c r="F518" s="18">
        <f t="shared" si="135"/>
        <v>1000013.8155105581</v>
      </c>
      <c r="G518" s="18">
        <f t="shared" si="135"/>
        <v>1000013.8155105581</v>
      </c>
      <c r="H518" s="18">
        <f t="shared" si="135"/>
        <v>1000013.8155105581</v>
      </c>
      <c r="I518" s="16"/>
      <c r="J518" s="18">
        <f t="shared" si="137"/>
        <v>0.86468831925373257</v>
      </c>
      <c r="K518" s="18">
        <f t="shared" si="138"/>
        <v>2.5897233602008605E-4</v>
      </c>
      <c r="L518" s="18">
        <f t="shared" si="139"/>
        <v>999999.99999309238</v>
      </c>
      <c r="M518" s="18">
        <f t="shared" si="140"/>
        <v>999999.99999309238</v>
      </c>
      <c r="N518" s="18">
        <f t="shared" si="141"/>
        <v>999999.99999309238</v>
      </c>
      <c r="O518" s="16"/>
      <c r="P518" s="18">
        <f t="shared" si="136"/>
        <v>0.89636056420379218</v>
      </c>
      <c r="Q518" s="18">
        <f t="shared" si="146"/>
        <v>479.74193746976039</v>
      </c>
      <c r="R518" s="18">
        <f t="shared" si="147"/>
        <v>0</v>
      </c>
      <c r="S518" s="18">
        <f t="shared" si="148"/>
        <v>0</v>
      </c>
      <c r="T518" s="18">
        <f t="shared" si="149"/>
        <v>0</v>
      </c>
      <c r="U518" s="16"/>
      <c r="V518" s="18">
        <f t="shared" si="142"/>
        <v>480.63829803396419</v>
      </c>
      <c r="W518" s="16"/>
      <c r="X518" s="18">
        <f t="shared" si="143"/>
        <v>186.0031732632315</v>
      </c>
      <c r="Y518" s="18">
        <f t="shared" si="144"/>
        <v>13.63829803396419</v>
      </c>
      <c r="Z518" s="18"/>
      <c r="AA518" s="18">
        <f t="shared" si="145"/>
        <v>3.3685350376396028E-5</v>
      </c>
    </row>
    <row r="519" spans="2:27" x14ac:dyDescent="0.35">
      <c r="B519" s="26">
        <v>137.1</v>
      </c>
      <c r="C519" s="26">
        <v>520</v>
      </c>
      <c r="D519" s="18">
        <f t="shared" si="135"/>
        <v>0.73358658653166575</v>
      </c>
      <c r="E519" s="18">
        <f t="shared" si="135"/>
        <v>-8.2566659610655844</v>
      </c>
      <c r="F519" s="18">
        <f t="shared" si="135"/>
        <v>1000013.8155105581</v>
      </c>
      <c r="G519" s="18">
        <f t="shared" si="135"/>
        <v>1000013.8155105581</v>
      </c>
      <c r="H519" s="18">
        <f t="shared" si="135"/>
        <v>1000013.8155105581</v>
      </c>
      <c r="I519" s="16"/>
      <c r="J519" s="18">
        <f t="shared" si="137"/>
        <v>0.87132584925730849</v>
      </c>
      <c r="K519" s="18">
        <f t="shared" si="138"/>
        <v>2.5945548368969503E-4</v>
      </c>
      <c r="L519" s="18">
        <f t="shared" si="139"/>
        <v>999999.99999309238</v>
      </c>
      <c r="M519" s="18">
        <f t="shared" si="140"/>
        <v>999999.99999309238</v>
      </c>
      <c r="N519" s="18">
        <f t="shared" si="141"/>
        <v>999999.99999309238</v>
      </c>
      <c r="O519" s="16"/>
      <c r="P519" s="18">
        <f t="shared" si="136"/>
        <v>0.88637718504171092</v>
      </c>
      <c r="Q519" s="18">
        <f t="shared" si="146"/>
        <v>478.8483498436733</v>
      </c>
      <c r="R519" s="18">
        <f t="shared" si="147"/>
        <v>0</v>
      </c>
      <c r="S519" s="18">
        <f t="shared" si="148"/>
        <v>0</v>
      </c>
      <c r="T519" s="18">
        <f t="shared" si="149"/>
        <v>0</v>
      </c>
      <c r="U519" s="16"/>
      <c r="V519" s="18">
        <f t="shared" si="142"/>
        <v>479.73472702871504</v>
      </c>
      <c r="W519" s="16"/>
      <c r="X519" s="18">
        <f t="shared" si="143"/>
        <v>1621.2922074520909</v>
      </c>
      <c r="Y519" s="18">
        <f t="shared" si="144"/>
        <v>40.265272971284958</v>
      </c>
      <c r="Z519" s="18"/>
      <c r="AA519" s="18">
        <f t="shared" si="145"/>
        <v>9.9451546275141611E-5</v>
      </c>
    </row>
    <row r="520" spans="2:27" x14ac:dyDescent="0.35">
      <c r="B520" s="26">
        <v>137.4</v>
      </c>
      <c r="C520" s="26">
        <v>477</v>
      </c>
      <c r="D520" s="18">
        <f t="shared" si="135"/>
        <v>0.74787101535450873</v>
      </c>
      <c r="E520" s="18">
        <f t="shared" si="135"/>
        <v>-8.2548015817645233</v>
      </c>
      <c r="F520" s="18">
        <f t="shared" si="135"/>
        <v>1000013.8155105581</v>
      </c>
      <c r="G520" s="18">
        <f t="shared" si="135"/>
        <v>1000013.8155105581</v>
      </c>
      <c r="H520" s="18">
        <f t="shared" si="135"/>
        <v>1000013.8155105581</v>
      </c>
      <c r="I520" s="16"/>
      <c r="J520" s="18">
        <f t="shared" si="137"/>
        <v>0.87799050972696113</v>
      </c>
      <c r="K520" s="18">
        <f t="shared" si="138"/>
        <v>2.5993953250191929E-4</v>
      </c>
      <c r="L520" s="18">
        <f t="shared" si="139"/>
        <v>999999.99999309238</v>
      </c>
      <c r="M520" s="18">
        <f t="shared" si="140"/>
        <v>999999.99999309238</v>
      </c>
      <c r="N520" s="18">
        <f t="shared" si="141"/>
        <v>999999.99999309238</v>
      </c>
      <c r="O520" s="16"/>
      <c r="P520" s="18">
        <f t="shared" si="136"/>
        <v>0.8765271426504021</v>
      </c>
      <c r="Q520" s="18">
        <f t="shared" si="146"/>
        <v>477.95642665192213</v>
      </c>
      <c r="R520" s="18">
        <f t="shared" si="147"/>
        <v>0</v>
      </c>
      <c r="S520" s="18">
        <f t="shared" si="148"/>
        <v>0</v>
      </c>
      <c r="T520" s="18">
        <f t="shared" si="149"/>
        <v>0</v>
      </c>
      <c r="U520" s="16"/>
      <c r="V520" s="18">
        <f t="shared" si="142"/>
        <v>478.83295379457252</v>
      </c>
      <c r="W520" s="16"/>
      <c r="X520" s="18">
        <f t="shared" si="143"/>
        <v>3.3597196130377918</v>
      </c>
      <c r="Y520" s="18">
        <f t="shared" si="144"/>
        <v>1.8329537945725178</v>
      </c>
      <c r="Z520" s="18"/>
      <c r="AA520" s="18">
        <f t="shared" si="145"/>
        <v>4.5272284444991767E-6</v>
      </c>
    </row>
    <row r="521" spans="2:27" x14ac:dyDescent="0.35">
      <c r="B521" s="26">
        <v>137.69999999999999</v>
      </c>
      <c r="C521" s="26">
        <v>502</v>
      </c>
      <c r="D521" s="18">
        <f t="shared" si="135"/>
        <v>0.76215544417734993</v>
      </c>
      <c r="E521" s="18">
        <f t="shared" si="135"/>
        <v>-8.2529372024634622</v>
      </c>
      <c r="F521" s="18">
        <f t="shared" si="135"/>
        <v>1000013.8155105581</v>
      </c>
      <c r="G521" s="18">
        <f t="shared" si="135"/>
        <v>1000013.8155105581</v>
      </c>
      <c r="H521" s="18">
        <f t="shared" si="135"/>
        <v>1000013.8155105581</v>
      </c>
      <c r="I521" s="16"/>
      <c r="J521" s="18">
        <f t="shared" ref="J521:J531" si="150">lmb_2(D521)</f>
        <v>0.88468221816001613</v>
      </c>
      <c r="K521" s="18">
        <f t="shared" ref="K521:K531" si="151">lmb_2(E521)</f>
        <v>2.6042448413665035E-4</v>
      </c>
      <c r="L521" s="18">
        <f t="shared" ref="L521:L531" si="152">lmb_2(F521)</f>
        <v>999999.99999309238</v>
      </c>
      <c r="M521" s="18">
        <f t="shared" ref="M521:M531" si="153">lmb_2(G521)</f>
        <v>999999.99999309238</v>
      </c>
      <c r="N521" s="18">
        <f t="shared" ref="N521:N531" si="154">lmb_2(H521)</f>
        <v>999999.99999309238</v>
      </c>
      <c r="O521" s="16"/>
      <c r="P521" s="18">
        <f t="shared" si="136"/>
        <v>0.86680848266553756</v>
      </c>
      <c r="Q521" s="18">
        <f t="shared" si="146"/>
        <v>477.06616479426037</v>
      </c>
      <c r="R521" s="18">
        <f t="shared" si="147"/>
        <v>0</v>
      </c>
      <c r="S521" s="18">
        <f t="shared" si="148"/>
        <v>0</v>
      </c>
      <c r="T521" s="18">
        <f t="shared" si="149"/>
        <v>0</v>
      </c>
      <c r="U521" s="16"/>
      <c r="V521" s="18">
        <f t="shared" ref="V521:V531" si="155">SUM(P521:T521)</f>
        <v>477.93297327692591</v>
      </c>
      <c r="W521" s="16"/>
      <c r="X521" s="18">
        <f t="shared" ref="X521:X531" si="156">(V521-C521)^2</f>
        <v>579.22177528916257</v>
      </c>
      <c r="Y521" s="18">
        <f t="shared" ref="Y521:Y531" si="157">ABS(V521-C521)</f>
        <v>24.067026723074093</v>
      </c>
      <c r="Z521" s="18"/>
      <c r="AA521" s="18">
        <f t="shared" ref="AA521:AA531" si="158">Y521/$Z$39</f>
        <v>5.9443357643739094E-5</v>
      </c>
    </row>
    <row r="522" spans="2:27" x14ac:dyDescent="0.35">
      <c r="B522" s="26">
        <v>138</v>
      </c>
      <c r="C522" s="26">
        <v>486</v>
      </c>
      <c r="D522" s="18">
        <f t="shared" si="135"/>
        <v>0.7764398730001929</v>
      </c>
      <c r="E522" s="18">
        <f t="shared" si="135"/>
        <v>-8.2510728231623993</v>
      </c>
      <c r="F522" s="18">
        <f t="shared" si="135"/>
        <v>1000013.8155105581</v>
      </c>
      <c r="G522" s="18">
        <f t="shared" si="135"/>
        <v>1000013.8155105581</v>
      </c>
      <c r="H522" s="18">
        <f t="shared" si="135"/>
        <v>1000013.8155105581</v>
      </c>
      <c r="I522" s="16"/>
      <c r="J522" s="18">
        <f t="shared" si="150"/>
        <v>0.89140089143316692</v>
      </c>
      <c r="K522" s="18">
        <f t="shared" si="151"/>
        <v>2.6091034027690821E-4</v>
      </c>
      <c r="L522" s="18">
        <f t="shared" si="152"/>
        <v>999999.99999309238</v>
      </c>
      <c r="M522" s="18">
        <f t="shared" si="153"/>
        <v>999999.99999309238</v>
      </c>
      <c r="N522" s="18">
        <f t="shared" si="154"/>
        <v>999999.99999309238</v>
      </c>
      <c r="O522" s="16"/>
      <c r="P522" s="18">
        <f t="shared" si="136"/>
        <v>0.85721928027380112</v>
      </c>
      <c r="Q522" s="18">
        <f t="shared" si="146"/>
        <v>476.17756117621565</v>
      </c>
      <c r="R522" s="18">
        <f t="shared" si="147"/>
        <v>0</v>
      </c>
      <c r="S522" s="18">
        <f t="shared" si="148"/>
        <v>0</v>
      </c>
      <c r="T522" s="18">
        <f t="shared" si="149"/>
        <v>0</v>
      </c>
      <c r="U522" s="16"/>
      <c r="V522" s="18">
        <f t="shared" si="155"/>
        <v>477.03478045648944</v>
      </c>
      <c r="W522" s="16"/>
      <c r="X522" s="18">
        <f t="shared" si="156"/>
        <v>80.37516146334363</v>
      </c>
      <c r="Y522" s="18">
        <f t="shared" si="157"/>
        <v>8.9652195435105568</v>
      </c>
      <c r="Z522" s="18"/>
      <c r="AA522" s="18">
        <f t="shared" si="158"/>
        <v>2.214327335950483E-5</v>
      </c>
    </row>
    <row r="523" spans="2:27" x14ac:dyDescent="0.35">
      <c r="B523" s="26">
        <v>138.19999999999999</v>
      </c>
      <c r="C523" s="26">
        <v>488</v>
      </c>
      <c r="D523" s="18">
        <f t="shared" si="135"/>
        <v>0.7859628255487543</v>
      </c>
      <c r="E523" s="18">
        <f t="shared" si="135"/>
        <v>-8.249829903628358</v>
      </c>
      <c r="F523" s="18">
        <f t="shared" si="135"/>
        <v>1000013.8155105581</v>
      </c>
      <c r="G523" s="18">
        <f t="shared" si="135"/>
        <v>1000013.8155105581</v>
      </c>
      <c r="H523" s="18">
        <f t="shared" si="135"/>
        <v>1000013.8155105581</v>
      </c>
      <c r="I523" s="16"/>
      <c r="J523" s="18">
        <f t="shared" si="150"/>
        <v>0.89589494609350473</v>
      </c>
      <c r="K523" s="18">
        <f t="shared" si="151"/>
        <v>2.6123474770602264E-4</v>
      </c>
      <c r="L523" s="18">
        <f t="shared" si="152"/>
        <v>999999.99999309238</v>
      </c>
      <c r="M523" s="18">
        <f t="shared" si="153"/>
        <v>999999.99999309238</v>
      </c>
      <c r="N523" s="18">
        <f t="shared" si="154"/>
        <v>999999.99999309238</v>
      </c>
      <c r="O523" s="16"/>
      <c r="P523" s="18">
        <f t="shared" si="136"/>
        <v>0.85089746223251062</v>
      </c>
      <c r="Q523" s="18">
        <f t="shared" si="146"/>
        <v>475.5860784828941</v>
      </c>
      <c r="R523" s="18">
        <f t="shared" si="147"/>
        <v>0</v>
      </c>
      <c r="S523" s="18">
        <f t="shared" si="148"/>
        <v>0</v>
      </c>
      <c r="T523" s="18">
        <f t="shared" si="149"/>
        <v>0</v>
      </c>
      <c r="U523" s="16"/>
      <c r="V523" s="18">
        <f t="shared" si="155"/>
        <v>476.43697594512662</v>
      </c>
      <c r="W523" s="16"/>
      <c r="X523" s="18">
        <f t="shared" si="156"/>
        <v>133.70352529358044</v>
      </c>
      <c r="Y523" s="18">
        <f t="shared" si="157"/>
        <v>11.563024054873381</v>
      </c>
      <c r="Z523" s="18"/>
      <c r="AA523" s="18">
        <f t="shared" si="158"/>
        <v>2.855961321046814E-5</v>
      </c>
    </row>
    <row r="524" spans="2:27" x14ac:dyDescent="0.35">
      <c r="B524" s="26">
        <v>138.5</v>
      </c>
      <c r="C524" s="26">
        <v>518</v>
      </c>
      <c r="D524" s="18">
        <f t="shared" si="135"/>
        <v>0.80024725437159727</v>
      </c>
      <c r="E524" s="18">
        <f t="shared" si="135"/>
        <v>-8.2479655243272969</v>
      </c>
      <c r="F524" s="18">
        <f t="shared" si="135"/>
        <v>1000013.8155105581</v>
      </c>
      <c r="G524" s="18">
        <f t="shared" si="135"/>
        <v>1000013.8155105581</v>
      </c>
      <c r="H524" s="18">
        <f t="shared" si="135"/>
        <v>1000013.8155105581</v>
      </c>
      <c r="I524" s="16"/>
      <c r="J524" s="18">
        <f t="shared" si="150"/>
        <v>0.90265837442016705</v>
      </c>
      <c r="K524" s="18">
        <f t="shared" si="151"/>
        <v>2.6172211510404878E-4</v>
      </c>
      <c r="L524" s="18">
        <f t="shared" si="152"/>
        <v>999999.99999309238</v>
      </c>
      <c r="M524" s="18">
        <f t="shared" si="153"/>
        <v>999999.99999309238</v>
      </c>
      <c r="N524" s="18">
        <f t="shared" si="154"/>
        <v>999999.99999309238</v>
      </c>
      <c r="O524" s="16"/>
      <c r="P524" s="18">
        <f t="shared" si="136"/>
        <v>0.84151982402020042</v>
      </c>
      <c r="Q524" s="18">
        <f t="shared" si="146"/>
        <v>474.70023173659473</v>
      </c>
      <c r="R524" s="18">
        <f t="shared" si="147"/>
        <v>0</v>
      </c>
      <c r="S524" s="18">
        <f t="shared" si="148"/>
        <v>0</v>
      </c>
      <c r="T524" s="18">
        <f t="shared" si="149"/>
        <v>0</v>
      </c>
      <c r="U524" s="16"/>
      <c r="V524" s="18">
        <f t="shared" si="155"/>
        <v>475.54175156061495</v>
      </c>
      <c r="W524" s="16"/>
      <c r="X524" s="18">
        <f t="shared" si="156"/>
        <v>1802.7028605405426</v>
      </c>
      <c r="Y524" s="18">
        <f t="shared" si="157"/>
        <v>42.458248439385045</v>
      </c>
      <c r="Z524" s="18"/>
      <c r="AA524" s="18">
        <f t="shared" si="158"/>
        <v>1.0486799536767699E-4</v>
      </c>
    </row>
    <row r="525" spans="2:27" x14ac:dyDescent="0.35">
      <c r="B525" s="26">
        <v>138.79999999999998</v>
      </c>
      <c r="C525" s="26">
        <v>516</v>
      </c>
      <c r="D525" s="18">
        <f t="shared" si="135"/>
        <v>0.81453168319443847</v>
      </c>
      <c r="E525" s="18">
        <f t="shared" si="135"/>
        <v>-8.2461011450262358</v>
      </c>
      <c r="F525" s="18">
        <f t="shared" si="135"/>
        <v>1000013.8155105581</v>
      </c>
      <c r="G525" s="18">
        <f t="shared" si="135"/>
        <v>1000013.8155105581</v>
      </c>
      <c r="H525" s="18">
        <f t="shared" si="135"/>
        <v>1000013.8155105581</v>
      </c>
      <c r="I525" s="16"/>
      <c r="J525" s="18">
        <f t="shared" si="150"/>
        <v>0.90944854302819289</v>
      </c>
      <c r="K525" s="18">
        <f t="shared" si="151"/>
        <v>2.622103915109913E-4</v>
      </c>
      <c r="L525" s="18">
        <f t="shared" si="152"/>
        <v>999999.99999309238</v>
      </c>
      <c r="M525" s="18">
        <f t="shared" si="153"/>
        <v>999999.99999309238</v>
      </c>
      <c r="N525" s="18">
        <f t="shared" si="154"/>
        <v>999999.99999309238</v>
      </c>
      <c r="O525" s="16"/>
      <c r="P525" s="18">
        <f t="shared" si="136"/>
        <v>0.83226665174988113</v>
      </c>
      <c r="Q525" s="18">
        <f t="shared" si="146"/>
        <v>473.81603500614028</v>
      </c>
      <c r="R525" s="18">
        <f t="shared" si="147"/>
        <v>0</v>
      </c>
      <c r="S525" s="18">
        <f t="shared" si="148"/>
        <v>0</v>
      </c>
      <c r="T525" s="18">
        <f t="shared" si="149"/>
        <v>0</v>
      </c>
      <c r="U525" s="16"/>
      <c r="V525" s="18">
        <f t="shared" si="155"/>
        <v>474.64830165789016</v>
      </c>
      <c r="W525" s="16"/>
      <c r="X525" s="18">
        <f t="shared" si="156"/>
        <v>1709.9629557768499</v>
      </c>
      <c r="Y525" s="18">
        <f t="shared" si="157"/>
        <v>41.351698342109842</v>
      </c>
      <c r="Z525" s="18"/>
      <c r="AA525" s="18">
        <f t="shared" si="158"/>
        <v>1.0213491770337287E-4</v>
      </c>
    </row>
    <row r="526" spans="2:27" x14ac:dyDescent="0.35">
      <c r="B526" s="26">
        <v>139.1</v>
      </c>
      <c r="C526" s="26">
        <v>507</v>
      </c>
      <c r="D526" s="18">
        <f t="shared" si="135"/>
        <v>0.82881611201728145</v>
      </c>
      <c r="E526" s="18">
        <f t="shared" si="135"/>
        <v>-8.2442367657251729</v>
      </c>
      <c r="F526" s="18">
        <f t="shared" si="135"/>
        <v>1000013.8155105581</v>
      </c>
      <c r="G526" s="18">
        <f t="shared" si="135"/>
        <v>1000013.8155105581</v>
      </c>
      <c r="H526" s="18">
        <f t="shared" si="135"/>
        <v>1000013.8155105581</v>
      </c>
      <c r="I526" s="16"/>
      <c r="J526" s="18">
        <f t="shared" si="150"/>
        <v>0.91626536667281722</v>
      </c>
      <c r="K526" s="18">
        <f t="shared" si="151"/>
        <v>2.6269957862139047E-4</v>
      </c>
      <c r="L526" s="18">
        <f t="shared" si="152"/>
        <v>999999.99999309238</v>
      </c>
      <c r="M526" s="18">
        <f t="shared" si="153"/>
        <v>999999.99999309238</v>
      </c>
      <c r="N526" s="18">
        <f t="shared" si="154"/>
        <v>999999.99999309238</v>
      </c>
      <c r="O526" s="16"/>
      <c r="P526" s="18">
        <f t="shared" si="136"/>
        <v>0.82313612528703417</v>
      </c>
      <c r="Q526" s="18">
        <f t="shared" si="146"/>
        <v>472.93348521814079</v>
      </c>
      <c r="R526" s="18">
        <f t="shared" si="147"/>
        <v>0</v>
      </c>
      <c r="S526" s="18">
        <f t="shared" si="148"/>
        <v>0</v>
      </c>
      <c r="T526" s="18">
        <f t="shared" si="149"/>
        <v>0</v>
      </c>
      <c r="U526" s="16"/>
      <c r="V526" s="18">
        <f t="shared" si="155"/>
        <v>473.75662134342781</v>
      </c>
      <c r="W526" s="16"/>
      <c r="X526" s="18">
        <f t="shared" si="156"/>
        <v>1105.1222245042395</v>
      </c>
      <c r="Y526" s="18">
        <f t="shared" si="157"/>
        <v>33.24337865657219</v>
      </c>
      <c r="Z526" s="18"/>
      <c r="AA526" s="18">
        <f t="shared" si="158"/>
        <v>8.2108108720978544E-5</v>
      </c>
    </row>
    <row r="527" spans="2:27" x14ac:dyDescent="0.35">
      <c r="B527" s="26">
        <v>139.4</v>
      </c>
      <c r="C527" s="26">
        <v>455</v>
      </c>
      <c r="D527" s="18">
        <f t="shared" si="135"/>
        <v>0.84310054084012442</v>
      </c>
      <c r="E527" s="18">
        <f t="shared" si="135"/>
        <v>-8.2423723864241119</v>
      </c>
      <c r="F527" s="18">
        <f t="shared" si="135"/>
        <v>1000013.8155105581</v>
      </c>
      <c r="G527" s="18">
        <f t="shared" si="135"/>
        <v>1000013.8155105581</v>
      </c>
      <c r="H527" s="18">
        <f t="shared" si="135"/>
        <v>1000013.8155105581</v>
      </c>
      <c r="I527" s="16"/>
      <c r="J527" s="18">
        <f t="shared" si="150"/>
        <v>0.92310875957203742</v>
      </c>
      <c r="K527" s="18">
        <f t="shared" si="151"/>
        <v>2.6318967813294096E-4</v>
      </c>
      <c r="L527" s="18">
        <f t="shared" si="152"/>
        <v>999999.99999309238</v>
      </c>
      <c r="M527" s="18">
        <f t="shared" si="153"/>
        <v>999999.99999309238</v>
      </c>
      <c r="N527" s="18">
        <f t="shared" si="154"/>
        <v>999999.99999309238</v>
      </c>
      <c r="O527" s="16"/>
      <c r="P527" s="18">
        <f t="shared" si="136"/>
        <v>0.8141264520688295</v>
      </c>
      <c r="Q527" s="18">
        <f t="shared" si="146"/>
        <v>472.05257930493286</v>
      </c>
      <c r="R527" s="18">
        <f t="shared" si="147"/>
        <v>0</v>
      </c>
      <c r="S527" s="18">
        <f t="shared" si="148"/>
        <v>0</v>
      </c>
      <c r="T527" s="18">
        <f t="shared" si="149"/>
        <v>0</v>
      </c>
      <c r="U527" s="16"/>
      <c r="V527" s="18">
        <f t="shared" si="155"/>
        <v>472.86670575700168</v>
      </c>
      <c r="W527" s="16"/>
      <c r="X527" s="18">
        <f t="shared" si="156"/>
        <v>319.21917460727707</v>
      </c>
      <c r="Y527" s="18">
        <f t="shared" si="157"/>
        <v>17.866705757001682</v>
      </c>
      <c r="Z527" s="18"/>
      <c r="AA527" s="18">
        <f t="shared" si="158"/>
        <v>4.4129131215475968E-5</v>
      </c>
    </row>
    <row r="528" spans="2:27" x14ac:dyDescent="0.35">
      <c r="B528" s="26">
        <v>139.69999999999999</v>
      </c>
      <c r="C528" s="26">
        <v>521</v>
      </c>
      <c r="D528" s="18">
        <f t="shared" si="135"/>
        <v>0.85738496966296562</v>
      </c>
      <c r="E528" s="18">
        <f t="shared" si="135"/>
        <v>-8.2405080071230508</v>
      </c>
      <c r="F528" s="18">
        <f t="shared" si="135"/>
        <v>1000013.8155105581</v>
      </c>
      <c r="G528" s="18">
        <f t="shared" si="135"/>
        <v>1000013.8155105581</v>
      </c>
      <c r="H528" s="18">
        <f t="shared" si="135"/>
        <v>1000013.8155105581</v>
      </c>
      <c r="I528" s="16"/>
      <c r="J528" s="18">
        <f t="shared" si="150"/>
        <v>0.92997863542402037</v>
      </c>
      <c r="K528" s="18">
        <f t="shared" si="151"/>
        <v>2.6368069174649995E-4</v>
      </c>
      <c r="L528" s="18">
        <f t="shared" si="152"/>
        <v>999999.99999309238</v>
      </c>
      <c r="M528" s="18">
        <f t="shared" si="153"/>
        <v>999999.99999309238</v>
      </c>
      <c r="N528" s="18">
        <f t="shared" si="154"/>
        <v>999999.99999309238</v>
      </c>
      <c r="O528" s="16"/>
      <c r="P528" s="18">
        <f t="shared" si="136"/>
        <v>0.80523586669596525</v>
      </c>
      <c r="Q528" s="18">
        <f t="shared" si="146"/>
        <v>471.17331420456526</v>
      </c>
      <c r="R528" s="18">
        <f t="shared" si="147"/>
        <v>0</v>
      </c>
      <c r="S528" s="18">
        <f t="shared" si="148"/>
        <v>0</v>
      </c>
      <c r="T528" s="18">
        <f t="shared" si="149"/>
        <v>0</v>
      </c>
      <c r="U528" s="16"/>
      <c r="V528" s="18">
        <f t="shared" si="155"/>
        <v>471.97855007126122</v>
      </c>
      <c r="W528" s="16"/>
      <c r="X528" s="18">
        <f t="shared" si="156"/>
        <v>2403.102553115843</v>
      </c>
      <c r="Y528" s="18">
        <f t="shared" si="157"/>
        <v>49.021449928738775</v>
      </c>
      <c r="Z528" s="18"/>
      <c r="AA528" s="18">
        <f t="shared" si="158"/>
        <v>1.2107850354173126E-4</v>
      </c>
    </row>
    <row r="529" spans="2:28" x14ac:dyDescent="0.35">
      <c r="B529" s="26">
        <v>140</v>
      </c>
      <c r="C529" s="26">
        <v>488</v>
      </c>
      <c r="D529" s="18">
        <f t="shared" si="135"/>
        <v>0.8716693984858086</v>
      </c>
      <c r="E529" s="18">
        <f t="shared" si="135"/>
        <v>-8.2386436278219879</v>
      </c>
      <c r="F529" s="18">
        <f t="shared" si="135"/>
        <v>1000013.8155105581</v>
      </c>
      <c r="G529" s="18">
        <f t="shared" si="135"/>
        <v>1000013.8155105581</v>
      </c>
      <c r="H529" s="18">
        <f t="shared" si="135"/>
        <v>1000013.8155105581</v>
      </c>
      <c r="I529" s="16"/>
      <c r="J529" s="18">
        <f t="shared" si="150"/>
        <v>0.93687490742433743</v>
      </c>
      <c r="K529" s="18">
        <f t="shared" si="151"/>
        <v>2.6417262116609221E-4</v>
      </c>
      <c r="L529" s="18">
        <f t="shared" si="152"/>
        <v>999999.99999309238</v>
      </c>
      <c r="M529" s="18">
        <f t="shared" si="153"/>
        <v>999999.99999309238</v>
      </c>
      <c r="N529" s="18">
        <f t="shared" si="154"/>
        <v>999999.99999309238</v>
      </c>
      <c r="O529" s="16"/>
      <c r="P529" s="18">
        <f t="shared" si="136"/>
        <v>0.79646263053000821</v>
      </c>
      <c r="Q529" s="18">
        <f t="shared" si="146"/>
        <v>470.2956868607896</v>
      </c>
      <c r="R529" s="18">
        <f t="shared" si="147"/>
        <v>0</v>
      </c>
      <c r="S529" s="18">
        <f t="shared" si="148"/>
        <v>0</v>
      </c>
      <c r="T529" s="18">
        <f t="shared" si="149"/>
        <v>0</v>
      </c>
      <c r="U529" s="16"/>
      <c r="V529" s="18">
        <f t="shared" si="155"/>
        <v>471.09214949131962</v>
      </c>
      <c r="W529" s="16"/>
      <c r="X529" s="18">
        <f t="shared" si="156"/>
        <v>285.8754088238835</v>
      </c>
      <c r="Y529" s="18">
        <f t="shared" si="157"/>
        <v>16.907850508680383</v>
      </c>
      <c r="Z529" s="18"/>
      <c r="AA529" s="18">
        <f t="shared" si="158"/>
        <v>4.1760846337149336E-5</v>
      </c>
    </row>
    <row r="530" spans="2:28" x14ac:dyDescent="0.35">
      <c r="B530" s="26">
        <v>140.19999999999999</v>
      </c>
      <c r="C530" s="26">
        <v>487</v>
      </c>
      <c r="D530" s="18">
        <f t="shared" si="135"/>
        <v>0.8811923510343691</v>
      </c>
      <c r="E530" s="18">
        <f t="shared" si="135"/>
        <v>-8.2374007082879466</v>
      </c>
      <c r="F530" s="18">
        <f t="shared" si="135"/>
        <v>1000013.8155105581</v>
      </c>
      <c r="G530" s="18">
        <f t="shared" si="135"/>
        <v>1000013.8155105581</v>
      </c>
      <c r="H530" s="18">
        <f t="shared" si="135"/>
        <v>1000013.8155105581</v>
      </c>
      <c r="I530" s="16"/>
      <c r="J530" s="18">
        <f t="shared" si="150"/>
        <v>0.94148704353137846</v>
      </c>
      <c r="K530" s="18">
        <f t="shared" si="151"/>
        <v>2.645010837365459E-4</v>
      </c>
      <c r="L530" s="18">
        <f t="shared" si="152"/>
        <v>999999.99999309238</v>
      </c>
      <c r="M530" s="18">
        <f t="shared" si="153"/>
        <v>999999.99999309238</v>
      </c>
      <c r="N530" s="18">
        <f t="shared" si="154"/>
        <v>999999.99999309238</v>
      </c>
      <c r="O530" s="16"/>
      <c r="P530" s="18">
        <f t="shared" si="136"/>
        <v>0.79067815378235629</v>
      </c>
      <c r="Q530" s="18">
        <f t="shared" si="146"/>
        <v>469.71151032303243</v>
      </c>
      <c r="R530" s="18">
        <f t="shared" si="147"/>
        <v>0</v>
      </c>
      <c r="S530" s="18">
        <f t="shared" si="148"/>
        <v>0</v>
      </c>
      <c r="T530" s="18">
        <f t="shared" si="149"/>
        <v>0</v>
      </c>
      <c r="U530" s="16"/>
      <c r="V530" s="18">
        <f t="shared" si="155"/>
        <v>470.50218847681481</v>
      </c>
      <c r="W530" s="16"/>
      <c r="X530" s="18">
        <f t="shared" si="156"/>
        <v>272.17778505454208</v>
      </c>
      <c r="Y530" s="18">
        <f t="shared" si="157"/>
        <v>16.497811523185192</v>
      </c>
      <c r="Z530" s="18"/>
      <c r="AA530" s="18">
        <f t="shared" si="158"/>
        <v>4.0748087497300702E-5</v>
      </c>
    </row>
    <row r="531" spans="2:28" x14ac:dyDescent="0.35">
      <c r="B531" s="26">
        <v>140.5</v>
      </c>
      <c r="C531" s="26">
        <v>487</v>
      </c>
      <c r="D531" s="18">
        <f t="shared" si="135"/>
        <v>0.89547677985721208</v>
      </c>
      <c r="E531" s="18">
        <f t="shared" si="135"/>
        <v>-8.2355363289868855</v>
      </c>
      <c r="F531" s="18">
        <f t="shared" si="135"/>
        <v>1000013.8155105581</v>
      </c>
      <c r="G531" s="18">
        <f t="shared" si="135"/>
        <v>1000013.8155105581</v>
      </c>
      <c r="H531" s="18">
        <f t="shared" si="135"/>
        <v>1000013.8155105581</v>
      </c>
      <c r="I531" s="16"/>
      <c r="J531" s="18">
        <f t="shared" si="150"/>
        <v>0.94842711490241161</v>
      </c>
      <c r="K531" s="18">
        <f t="shared" si="151"/>
        <v>2.6499454329486716E-4</v>
      </c>
      <c r="L531" s="18">
        <f t="shared" si="152"/>
        <v>999999.99999309238</v>
      </c>
      <c r="M531" s="18">
        <f t="shared" si="153"/>
        <v>999999.99999309238</v>
      </c>
      <c r="N531" s="18">
        <f t="shared" si="154"/>
        <v>999999.99999309238</v>
      </c>
      <c r="O531" s="16"/>
      <c r="P531" s="18">
        <f t="shared" si="136"/>
        <v>0.78209670741441628</v>
      </c>
      <c r="Q531" s="18">
        <f t="shared" si="146"/>
        <v>468.83660579737506</v>
      </c>
      <c r="R531" s="18">
        <f t="shared" si="147"/>
        <v>0</v>
      </c>
      <c r="S531" s="18">
        <f t="shared" si="148"/>
        <v>0</v>
      </c>
      <c r="T531" s="18">
        <f t="shared" si="149"/>
        <v>0</v>
      </c>
      <c r="U531" s="16"/>
      <c r="V531" s="18">
        <f t="shared" si="155"/>
        <v>469.6187025047895</v>
      </c>
      <c r="W531" s="16"/>
      <c r="X531" s="18">
        <f t="shared" si="156"/>
        <v>302.10950261701095</v>
      </c>
      <c r="Y531" s="18">
        <f t="shared" si="157"/>
        <v>17.381297495210504</v>
      </c>
      <c r="Z531" s="18"/>
      <c r="AA531" s="18">
        <f t="shared" si="158"/>
        <v>4.2930217147656577E-5</v>
      </c>
    </row>
    <row r="532" spans="2:28" x14ac:dyDescent="0.35">
      <c r="B532" s="26">
        <v>140.79999999999998</v>
      </c>
      <c r="C532" s="26">
        <v>484</v>
      </c>
      <c r="D532" s="18">
        <f t="shared" si="135"/>
        <v>0.90976120868005417</v>
      </c>
      <c r="E532" s="18">
        <f t="shared" si="135"/>
        <v>-8.2336719496858244</v>
      </c>
      <c r="F532" s="18">
        <f t="shared" si="135"/>
        <v>1000013.8155105581</v>
      </c>
      <c r="G532" s="18">
        <f t="shared" si="135"/>
        <v>1000013.8155105581</v>
      </c>
      <c r="H532" s="18">
        <f t="shared" si="135"/>
        <v>1000013.8155105581</v>
      </c>
      <c r="I532" s="16"/>
      <c r="J532" s="18">
        <f t="shared" ref="J532" si="159">lmb_2(D532)</f>
        <v>0.95539334861531189</v>
      </c>
      <c r="K532" s="18">
        <f t="shared" ref="K532" si="160">lmb_2(E532)</f>
        <v>2.6548892321881512E-4</v>
      </c>
      <c r="L532" s="18">
        <f t="shared" ref="L532" si="161">lmb_2(F532)</f>
        <v>999999.99999309238</v>
      </c>
      <c r="M532" s="18">
        <f t="shared" ref="M532" si="162">lmb_2(G532)</f>
        <v>999999.99999309238</v>
      </c>
      <c r="N532" s="18">
        <f t="shared" ref="N532" si="163">lmb_2(H532)</f>
        <v>999999.99999309238</v>
      </c>
      <c r="O532" s="16"/>
      <c r="P532" s="18">
        <f t="shared" si="136"/>
        <v>0.77362810171139185</v>
      </c>
      <c r="Q532" s="18">
        <f t="shared" si="146"/>
        <v>467.96333090611961</v>
      </c>
      <c r="R532" s="18">
        <f t="shared" si="147"/>
        <v>0</v>
      </c>
      <c r="S532" s="18">
        <f t="shared" si="148"/>
        <v>0</v>
      </c>
      <c r="T532" s="18">
        <f t="shared" si="149"/>
        <v>0</v>
      </c>
      <c r="U532" s="16"/>
      <c r="V532" s="18">
        <f t="shared" ref="V532" si="164">SUM(P532:T532)</f>
        <v>468.73695900783099</v>
      </c>
      <c r="W532" s="16"/>
      <c r="X532" s="18">
        <f t="shared" ref="X532" si="165">(V532-C532)^2</f>
        <v>232.96042032863156</v>
      </c>
      <c r="Y532" s="18">
        <f t="shared" ref="Y532" si="166">ABS(V532-C532)</f>
        <v>15.26304099216901</v>
      </c>
      <c r="Z532" s="18"/>
      <c r="AA532" s="18">
        <f t="shared" ref="AA532" si="167">Y532/$Z$39</f>
        <v>3.769831707373717E-5</v>
      </c>
    </row>
    <row r="533" spans="2:28" x14ac:dyDescent="0.35">
      <c r="B533" s="26"/>
      <c r="C533" s="26"/>
      <c r="D533" s="18"/>
      <c r="E533" s="18"/>
      <c r="F533" s="18"/>
      <c r="G533" s="18"/>
      <c r="H533" s="18"/>
      <c r="I533" s="16"/>
      <c r="J533" s="18"/>
      <c r="K533" s="18"/>
      <c r="L533" s="18"/>
      <c r="M533" s="18"/>
      <c r="N533" s="18"/>
      <c r="O533" s="16"/>
      <c r="P533" s="18"/>
      <c r="Q533" s="18"/>
      <c r="R533" s="18"/>
      <c r="S533" s="18"/>
      <c r="T533" s="18"/>
      <c r="U533" s="16"/>
      <c r="V533" s="18"/>
      <c r="W533" s="16"/>
      <c r="X533" s="18"/>
      <c r="Y533" s="18"/>
      <c r="Z533" s="18"/>
      <c r="AA533" s="18"/>
    </row>
    <row r="534" spans="2:28" x14ac:dyDescent="0.35">
      <c r="B534" s="26"/>
      <c r="C534" s="26"/>
      <c r="D534" s="18"/>
      <c r="E534" s="18"/>
      <c r="F534" s="18"/>
      <c r="G534" s="18"/>
      <c r="H534" s="18"/>
      <c r="I534" s="16"/>
      <c r="J534" s="18"/>
      <c r="K534" s="18"/>
      <c r="L534" s="18"/>
      <c r="M534" s="18"/>
      <c r="N534" s="18"/>
      <c r="O534" s="16"/>
      <c r="P534" s="18"/>
      <c r="Q534" s="18"/>
      <c r="R534" s="18"/>
      <c r="S534" s="18"/>
      <c r="T534" s="18"/>
      <c r="U534" s="16"/>
      <c r="V534" s="18"/>
      <c r="W534" s="16"/>
      <c r="X534" s="18"/>
      <c r="Y534" s="18"/>
      <c r="Z534" s="18"/>
      <c r="AA534" s="18"/>
    </row>
    <row r="535" spans="2:28" x14ac:dyDescent="0.35">
      <c r="B535" s="26"/>
      <c r="C535" s="26"/>
      <c r="D535" s="18"/>
      <c r="E535" s="18"/>
      <c r="F535" s="18"/>
      <c r="G535" s="18"/>
      <c r="H535" s="18"/>
      <c r="I535" s="16"/>
      <c r="J535" s="18"/>
      <c r="K535" s="18"/>
      <c r="L535" s="18"/>
      <c r="M535" s="18"/>
      <c r="N535" s="18"/>
      <c r="O535" s="16"/>
      <c r="P535" s="18"/>
      <c r="Q535" s="18"/>
      <c r="R535" s="18"/>
      <c r="S535" s="18"/>
      <c r="T535" s="18"/>
      <c r="U535" s="16"/>
      <c r="V535" s="18"/>
      <c r="W535" s="16"/>
      <c r="X535" s="18"/>
      <c r="Y535" s="18"/>
      <c r="Z535" s="18"/>
      <c r="AA535" s="18"/>
    </row>
    <row r="536" spans="2:28" x14ac:dyDescent="0.35">
      <c r="B536" s="26"/>
      <c r="C536" s="26"/>
      <c r="D536" s="18"/>
      <c r="E536" s="18"/>
      <c r="F536" s="18"/>
      <c r="G536" s="18"/>
      <c r="H536" s="18"/>
      <c r="I536" s="16"/>
      <c r="J536" s="18"/>
      <c r="K536" s="18"/>
      <c r="L536" s="18"/>
      <c r="M536" s="18"/>
      <c r="N536" s="18"/>
      <c r="O536" s="16"/>
      <c r="P536" s="18"/>
      <c r="Q536" s="18"/>
      <c r="R536" s="18"/>
      <c r="S536" s="18"/>
      <c r="T536" s="18"/>
      <c r="U536" s="16"/>
      <c r="V536" s="18"/>
      <c r="W536" s="16"/>
      <c r="X536" s="18"/>
      <c r="Y536" s="18"/>
      <c r="Z536" s="18"/>
      <c r="AA536" s="18"/>
    </row>
    <row r="537" spans="2:28" x14ac:dyDescent="0.35">
      <c r="B537" s="26"/>
      <c r="C537" s="26"/>
      <c r="D537" s="18"/>
      <c r="E537" s="18"/>
      <c r="F537" s="18"/>
      <c r="G537" s="18"/>
      <c r="H537" s="18"/>
      <c r="I537" s="16"/>
      <c r="J537" s="18"/>
      <c r="K537" s="18"/>
      <c r="L537" s="18"/>
      <c r="M537" s="18"/>
      <c r="N537" s="18"/>
      <c r="O537" s="16"/>
      <c r="P537" s="18"/>
      <c r="Q537" s="18"/>
      <c r="R537" s="18"/>
      <c r="S537" s="18"/>
      <c r="T537" s="18"/>
      <c r="U537" s="16"/>
      <c r="V537" s="18"/>
      <c r="W537" s="16"/>
      <c r="X537" s="18"/>
      <c r="Y537" s="18"/>
      <c r="Z537" s="18"/>
      <c r="AA537" s="18"/>
      <c r="AB537" s="18"/>
    </row>
    <row r="538" spans="2:28" x14ac:dyDescent="0.35">
      <c r="B538" s="26"/>
      <c r="C538" s="26"/>
      <c r="D538" s="18"/>
      <c r="E538" s="18"/>
      <c r="F538" s="18"/>
      <c r="G538" s="18"/>
      <c r="H538" s="18"/>
      <c r="I538" s="16"/>
      <c r="J538" s="18"/>
      <c r="K538" s="18"/>
      <c r="L538" s="18"/>
      <c r="M538" s="18"/>
      <c r="N538" s="18"/>
      <c r="O538" s="16"/>
      <c r="P538" s="18"/>
      <c r="Q538" s="18"/>
      <c r="R538" s="18"/>
      <c r="S538" s="18"/>
      <c r="T538" s="18"/>
      <c r="U538" s="16"/>
      <c r="V538" s="18"/>
      <c r="W538" s="16"/>
      <c r="X538" s="18"/>
      <c r="Y538" s="18"/>
      <c r="Z538" s="18"/>
      <c r="AA538" s="18"/>
      <c r="AB538" s="18"/>
    </row>
    <row r="539" spans="2:28" x14ac:dyDescent="0.35">
      <c r="B539" s="26"/>
      <c r="C539" s="18"/>
      <c r="D539" s="18"/>
      <c r="E539" s="18"/>
      <c r="F539" s="18"/>
      <c r="G539" s="18"/>
      <c r="H539" s="18"/>
      <c r="I539" s="16"/>
      <c r="J539" s="18"/>
      <c r="K539" s="18"/>
      <c r="L539" s="18"/>
      <c r="M539" s="18"/>
      <c r="N539" s="18"/>
      <c r="O539" s="16"/>
      <c r="P539" s="18"/>
      <c r="Q539" s="18"/>
      <c r="R539" s="18"/>
      <c r="S539" s="18"/>
      <c r="T539" s="18"/>
      <c r="U539" s="16"/>
      <c r="V539" s="18"/>
      <c r="W539" s="16"/>
      <c r="X539" s="18"/>
      <c r="Y539" s="18"/>
      <c r="Z539" s="18"/>
      <c r="AA539" s="18"/>
    </row>
    <row r="540" spans="2:28" x14ac:dyDescent="0.35">
      <c r="B540" s="26"/>
      <c r="C540" s="18"/>
      <c r="D540" s="18"/>
      <c r="E540" s="18"/>
      <c r="F540" s="18"/>
      <c r="G540" s="18"/>
      <c r="H540" s="18"/>
      <c r="I540" s="16"/>
      <c r="J540" s="18"/>
      <c r="K540" s="18"/>
      <c r="L540" s="18"/>
      <c r="M540" s="18"/>
      <c r="N540" s="18"/>
      <c r="O540" s="16"/>
      <c r="P540" s="18"/>
      <c r="Q540" s="18"/>
      <c r="R540" s="18"/>
      <c r="S540" s="18"/>
      <c r="T540" s="18"/>
      <c r="U540" s="16"/>
      <c r="V540" s="18"/>
      <c r="W540" s="16"/>
      <c r="X540" s="18"/>
      <c r="Y540" s="18"/>
      <c r="Z540" s="18"/>
      <c r="AA540" s="18"/>
    </row>
    <row r="541" spans="2:28" x14ac:dyDescent="0.35">
      <c r="B541" s="26"/>
      <c r="C541" s="18"/>
      <c r="D541" s="18"/>
      <c r="E541" s="18"/>
      <c r="F541" s="18"/>
      <c r="G541" s="18"/>
      <c r="H541" s="18"/>
      <c r="I541" s="16"/>
      <c r="J541" s="18"/>
      <c r="K541" s="18"/>
      <c r="L541" s="18"/>
      <c r="M541" s="18"/>
      <c r="N541" s="18"/>
      <c r="O541" s="16"/>
      <c r="P541" s="18"/>
      <c r="Q541" s="18"/>
      <c r="R541" s="18"/>
      <c r="S541" s="18"/>
      <c r="T541" s="18"/>
      <c r="U541" s="16"/>
      <c r="V541" s="18"/>
      <c r="W541" s="16"/>
      <c r="X541" s="18"/>
      <c r="Y541" s="18"/>
      <c r="Z541" s="18"/>
      <c r="AA541" s="18"/>
    </row>
    <row r="542" spans="2:28" x14ac:dyDescent="0.35">
      <c r="B542" s="26"/>
      <c r="C542" s="18"/>
      <c r="D542" s="18"/>
      <c r="E542" s="18"/>
      <c r="F542" s="18"/>
      <c r="G542" s="18"/>
      <c r="H542" s="18"/>
      <c r="I542" s="16"/>
      <c r="J542" s="18"/>
      <c r="K542" s="18"/>
      <c r="L542" s="18"/>
      <c r="M542" s="18"/>
      <c r="N542" s="18"/>
      <c r="O542" s="16"/>
      <c r="P542" s="18"/>
      <c r="Q542" s="18"/>
      <c r="R542" s="18"/>
      <c r="S542" s="18"/>
      <c r="T542" s="18"/>
      <c r="U542" s="16"/>
      <c r="V542" s="18"/>
      <c r="W542" s="16"/>
      <c r="X542" s="18"/>
      <c r="Y542" s="18"/>
      <c r="Z542" s="18"/>
      <c r="AA542" s="18"/>
    </row>
    <row r="543" spans="2:28" x14ac:dyDescent="0.35">
      <c r="B543" s="26"/>
      <c r="C543" s="18"/>
      <c r="D543" s="18"/>
      <c r="E543" s="18"/>
      <c r="F543" s="18"/>
      <c r="G543" s="18"/>
      <c r="H543" s="18"/>
      <c r="I543" s="16"/>
      <c r="J543" s="18"/>
      <c r="K543" s="18"/>
      <c r="L543" s="18"/>
      <c r="M543" s="18"/>
      <c r="N543" s="18"/>
      <c r="O543" s="16"/>
      <c r="P543" s="18"/>
      <c r="Q543" s="18"/>
      <c r="R543" s="18"/>
      <c r="S543" s="18"/>
      <c r="T543" s="18"/>
      <c r="U543" s="16"/>
      <c r="V543" s="18"/>
      <c r="W543" s="16"/>
      <c r="X543" s="18"/>
      <c r="Y543" s="18"/>
      <c r="Z543" s="18"/>
      <c r="AA543" s="18"/>
    </row>
    <row r="544" spans="2:28" x14ac:dyDescent="0.35">
      <c r="B544" s="26"/>
      <c r="C544" s="18"/>
      <c r="D544" s="18"/>
      <c r="E544" s="18"/>
      <c r="F544" s="18"/>
      <c r="G544" s="18"/>
      <c r="H544" s="18"/>
      <c r="I544" s="16"/>
      <c r="J544" s="18"/>
      <c r="K544" s="18"/>
      <c r="L544" s="18"/>
      <c r="M544" s="18"/>
      <c r="N544" s="18"/>
      <c r="O544" s="16"/>
      <c r="P544" s="18"/>
      <c r="Q544" s="18"/>
      <c r="R544" s="18"/>
      <c r="S544" s="18"/>
      <c r="T544" s="18"/>
      <c r="U544" s="16"/>
      <c r="V544" s="18"/>
      <c r="W544" s="16"/>
      <c r="X544" s="18"/>
      <c r="Y544" s="18"/>
      <c r="Z544" s="18"/>
      <c r="AA544" s="18"/>
    </row>
    <row r="545" spans="2:27" x14ac:dyDescent="0.35">
      <c r="B545" s="26"/>
      <c r="C545" s="18"/>
      <c r="D545" s="18"/>
      <c r="E545" s="18"/>
      <c r="F545" s="18"/>
      <c r="G545" s="18"/>
      <c r="H545" s="18"/>
      <c r="I545" s="16"/>
      <c r="J545" s="18"/>
      <c r="K545" s="18"/>
      <c r="L545" s="18"/>
      <c r="M545" s="18"/>
      <c r="N545" s="18"/>
      <c r="O545" s="16"/>
      <c r="P545" s="18"/>
      <c r="Q545" s="18"/>
      <c r="R545" s="18"/>
      <c r="S545" s="18"/>
      <c r="T545" s="18"/>
      <c r="U545" s="16"/>
      <c r="V545" s="18"/>
      <c r="W545" s="16"/>
      <c r="X545" s="18"/>
      <c r="Y545" s="18"/>
      <c r="Z545" s="18"/>
      <c r="AA545" s="18"/>
    </row>
    <row r="546" spans="2:27" x14ac:dyDescent="0.35">
      <c r="B546" s="26"/>
      <c r="C546" s="18"/>
      <c r="D546" s="18"/>
      <c r="E546" s="18"/>
      <c r="F546" s="18"/>
      <c r="G546" s="18"/>
      <c r="H546" s="18"/>
      <c r="I546" s="16"/>
      <c r="J546" s="18"/>
      <c r="K546" s="18"/>
      <c r="L546" s="18"/>
      <c r="M546" s="18"/>
      <c r="N546" s="18"/>
      <c r="O546" s="16"/>
      <c r="P546" s="18"/>
      <c r="Q546" s="18"/>
      <c r="R546" s="18"/>
      <c r="S546" s="18"/>
      <c r="T546" s="18"/>
      <c r="U546" s="16"/>
      <c r="V546" s="18"/>
      <c r="W546" s="16"/>
      <c r="X546" s="18"/>
      <c r="Y546" s="18"/>
      <c r="Z546" s="18"/>
      <c r="AA546" s="18"/>
    </row>
    <row r="547" spans="2:27" x14ac:dyDescent="0.35">
      <c r="B547" s="26"/>
      <c r="C547" s="18"/>
      <c r="D547" s="18"/>
      <c r="E547" s="18"/>
      <c r="F547" s="18"/>
      <c r="G547" s="18"/>
      <c r="H547" s="18"/>
      <c r="I547" s="16"/>
      <c r="J547" s="18"/>
      <c r="K547" s="18"/>
      <c r="L547" s="18"/>
      <c r="M547" s="18"/>
      <c r="N547" s="18"/>
      <c r="O547" s="16"/>
      <c r="P547" s="18"/>
      <c r="Q547" s="18"/>
      <c r="R547" s="18"/>
      <c r="S547" s="18"/>
      <c r="T547" s="18"/>
      <c r="U547" s="16"/>
      <c r="V547" s="18"/>
      <c r="W547" s="16"/>
      <c r="X547" s="18"/>
      <c r="Y547" s="18"/>
      <c r="Z547" s="18"/>
      <c r="AA547" s="18"/>
    </row>
    <row r="548" spans="2:27" x14ac:dyDescent="0.35">
      <c r="B548" s="26"/>
      <c r="C548" s="18"/>
      <c r="D548" s="18"/>
      <c r="E548" s="18"/>
      <c r="F548" s="18"/>
      <c r="G548" s="18"/>
      <c r="H548" s="18"/>
      <c r="I548" s="16"/>
      <c r="J548" s="18"/>
      <c r="K548" s="18"/>
      <c r="L548" s="18"/>
      <c r="M548" s="18"/>
      <c r="N548" s="18"/>
      <c r="O548" s="16"/>
      <c r="P548" s="18"/>
      <c r="Q548" s="18"/>
      <c r="R548" s="18"/>
      <c r="S548" s="18"/>
      <c r="T548" s="18"/>
      <c r="U548" s="16"/>
      <c r="V548" s="18"/>
      <c r="W548" s="16"/>
      <c r="X548" s="18"/>
      <c r="Y548" s="18"/>
      <c r="Z548" s="18"/>
      <c r="AA548" s="18"/>
    </row>
    <row r="549" spans="2:27" x14ac:dyDescent="0.35">
      <c r="B549" s="26"/>
      <c r="C549" s="18"/>
      <c r="D549" s="18"/>
      <c r="E549" s="18"/>
      <c r="F549" s="18"/>
      <c r="G549" s="18"/>
      <c r="H549" s="18"/>
      <c r="I549" s="16"/>
      <c r="J549" s="18"/>
      <c r="K549" s="18"/>
      <c r="L549" s="18"/>
      <c r="M549" s="18"/>
      <c r="N549" s="18"/>
      <c r="O549" s="16"/>
      <c r="P549" s="18"/>
      <c r="Q549" s="18"/>
      <c r="R549" s="18"/>
      <c r="S549" s="18"/>
      <c r="T549" s="18"/>
      <c r="U549" s="16"/>
      <c r="V549" s="18"/>
      <c r="W549" s="16"/>
      <c r="X549" s="18"/>
      <c r="Y549" s="18"/>
      <c r="Z549" s="18"/>
      <c r="AA549" s="18"/>
    </row>
    <row r="550" spans="2:27" x14ac:dyDescent="0.35">
      <c r="B550" s="26"/>
      <c r="C550" s="18"/>
      <c r="D550" s="18"/>
      <c r="E550" s="18"/>
      <c r="F550" s="18"/>
      <c r="G550" s="18"/>
      <c r="H550" s="18"/>
      <c r="I550" s="16"/>
      <c r="J550" s="18"/>
      <c r="K550" s="18"/>
      <c r="L550" s="18"/>
      <c r="M550" s="18"/>
      <c r="N550" s="18"/>
      <c r="O550" s="16"/>
      <c r="P550" s="18"/>
      <c r="Q550" s="18"/>
      <c r="R550" s="18"/>
      <c r="S550" s="18"/>
      <c r="T550" s="18"/>
      <c r="U550" s="16"/>
      <c r="V550" s="18"/>
      <c r="W550" s="16"/>
      <c r="X550" s="18"/>
      <c r="Y550" s="18"/>
      <c r="Z550" s="18"/>
      <c r="AA550" s="18"/>
    </row>
    <row r="551" spans="2:27" x14ac:dyDescent="0.35">
      <c r="B551" s="18"/>
      <c r="C551" s="18"/>
      <c r="D551" s="18"/>
      <c r="E551" s="18"/>
      <c r="F551" s="18"/>
      <c r="G551" s="18"/>
      <c r="H551" s="18"/>
      <c r="I551" s="16"/>
      <c r="J551" s="18"/>
      <c r="K551" s="18"/>
      <c r="L551" s="18"/>
      <c r="M551" s="18"/>
      <c r="N551" s="18"/>
      <c r="O551" s="16"/>
      <c r="P551" s="18"/>
      <c r="Q551" s="18"/>
      <c r="R551" s="18"/>
      <c r="S551" s="18"/>
      <c r="T551" s="18"/>
      <c r="U551" s="16"/>
      <c r="V551" s="18"/>
      <c r="W551" s="16"/>
      <c r="X551" s="18"/>
      <c r="Y551" s="18"/>
      <c r="Z551" s="18"/>
      <c r="AA551" s="18"/>
    </row>
    <row r="552" spans="2:27" x14ac:dyDescent="0.35">
      <c r="B552" s="18"/>
      <c r="C552" s="18"/>
      <c r="D552" s="18"/>
      <c r="E552" s="18"/>
      <c r="F552" s="18"/>
      <c r="G552" s="18"/>
      <c r="H552" s="18"/>
      <c r="I552" s="16"/>
      <c r="J552" s="18"/>
      <c r="K552" s="18"/>
      <c r="L552" s="18"/>
      <c r="M552" s="18"/>
      <c r="N552" s="18"/>
      <c r="O552" s="16"/>
      <c r="P552" s="18"/>
      <c r="Q552" s="18"/>
      <c r="R552" s="18"/>
      <c r="S552" s="18"/>
      <c r="T552" s="18"/>
      <c r="U552" s="16"/>
      <c r="V552" s="18"/>
      <c r="W552" s="16"/>
      <c r="X552" s="18"/>
      <c r="Y552" s="18"/>
      <c r="Z552" s="18"/>
      <c r="AA552" s="18"/>
    </row>
    <row r="553" spans="2:27" x14ac:dyDescent="0.35">
      <c r="B553" s="18"/>
      <c r="C553" s="18"/>
      <c r="D553" s="18"/>
      <c r="E553" s="18"/>
      <c r="F553" s="18"/>
      <c r="G553" s="18"/>
      <c r="H553" s="18"/>
      <c r="I553" s="16"/>
      <c r="J553" s="18"/>
      <c r="K553" s="18"/>
      <c r="L553" s="18"/>
      <c r="M553" s="18"/>
      <c r="N553" s="18"/>
      <c r="O553" s="16"/>
      <c r="P553" s="18"/>
      <c r="Q553" s="18"/>
      <c r="R553" s="18"/>
      <c r="S553" s="18"/>
      <c r="T553" s="18"/>
      <c r="U553" s="16"/>
      <c r="V553" s="18"/>
      <c r="W553" s="16"/>
      <c r="X553" s="18"/>
      <c r="Y553" s="18"/>
      <c r="Z553" s="18"/>
      <c r="AA553" s="18"/>
    </row>
    <row r="554" spans="2:27" x14ac:dyDescent="0.35">
      <c r="B554" s="18"/>
      <c r="C554" s="18"/>
      <c r="D554" s="18"/>
      <c r="E554" s="18"/>
      <c r="F554" s="18"/>
      <c r="G554" s="18"/>
      <c r="H554" s="18"/>
      <c r="I554" s="16"/>
      <c r="J554" s="18"/>
      <c r="K554" s="18"/>
      <c r="L554" s="18"/>
      <c r="M554" s="18"/>
      <c r="N554" s="18"/>
      <c r="O554" s="16"/>
      <c r="P554" s="18"/>
      <c r="Q554" s="18"/>
      <c r="R554" s="18"/>
      <c r="S554" s="18"/>
      <c r="T554" s="18"/>
      <c r="U554" s="16"/>
      <c r="V554" s="18"/>
      <c r="W554" s="16"/>
      <c r="X554" s="18"/>
      <c r="Y554" s="18"/>
      <c r="Z554" s="18"/>
      <c r="AA554" s="18"/>
    </row>
    <row r="555" spans="2:27" x14ac:dyDescent="0.35">
      <c r="B555" s="18"/>
      <c r="C555" s="18"/>
      <c r="D555" s="18"/>
      <c r="E555" s="18"/>
      <c r="F555" s="18"/>
      <c r="G555" s="18"/>
      <c r="H555" s="18"/>
      <c r="I555" s="16"/>
      <c r="J555" s="18"/>
      <c r="K555" s="18"/>
      <c r="L555" s="18"/>
      <c r="M555" s="18"/>
      <c r="N555" s="18"/>
      <c r="O555" s="16"/>
      <c r="P555" s="18"/>
      <c r="Q555" s="18"/>
      <c r="R555" s="18"/>
      <c r="S555" s="18"/>
      <c r="T555" s="18"/>
      <c r="U555" s="16"/>
      <c r="V555" s="18"/>
      <c r="W555" s="16"/>
      <c r="X555" s="18"/>
      <c r="Y555" s="18"/>
      <c r="Z555" s="18"/>
      <c r="AA555" s="18"/>
    </row>
    <row r="556" spans="2:27" x14ac:dyDescent="0.35">
      <c r="B556" s="18"/>
      <c r="C556" s="18"/>
      <c r="D556" s="18"/>
      <c r="E556" s="18"/>
      <c r="F556" s="18"/>
      <c r="G556" s="18"/>
      <c r="H556" s="18"/>
      <c r="I556" s="16"/>
      <c r="J556" s="18"/>
      <c r="K556" s="18"/>
      <c r="L556" s="18"/>
      <c r="M556" s="18"/>
      <c r="N556" s="18"/>
      <c r="O556" s="16"/>
      <c r="P556" s="18"/>
      <c r="Q556" s="18"/>
      <c r="R556" s="18"/>
      <c r="S556" s="18"/>
      <c r="T556" s="18"/>
      <c r="U556" s="16"/>
      <c r="V556" s="18"/>
      <c r="W556" s="16"/>
      <c r="X556" s="18"/>
      <c r="Y556" s="18"/>
      <c r="Z556" s="18"/>
      <c r="AA556" s="18"/>
    </row>
    <row r="557" spans="2:27" x14ac:dyDescent="0.35">
      <c r="B557" s="18"/>
      <c r="C557" s="18"/>
      <c r="D557" s="18"/>
      <c r="E557" s="18"/>
      <c r="F557" s="18"/>
      <c r="G557" s="18"/>
      <c r="H557" s="18"/>
      <c r="I557" s="16"/>
      <c r="J557" s="18"/>
      <c r="K557" s="18"/>
      <c r="L557" s="18"/>
      <c r="M557" s="18"/>
      <c r="N557" s="18"/>
      <c r="O557" s="16"/>
      <c r="P557" s="18"/>
      <c r="Q557" s="18"/>
      <c r="R557" s="18"/>
      <c r="S557" s="18"/>
      <c r="T557" s="18"/>
      <c r="U557" s="16"/>
      <c r="V557" s="18"/>
      <c r="W557" s="16"/>
      <c r="X557" s="18"/>
      <c r="Y557" s="18"/>
      <c r="Z557" s="18"/>
      <c r="AA557" s="18"/>
    </row>
    <row r="558" spans="2:27" x14ac:dyDescent="0.35">
      <c r="B558" s="18"/>
      <c r="C558" s="18"/>
      <c r="D558" s="18"/>
      <c r="E558" s="18"/>
      <c r="F558" s="18"/>
      <c r="G558" s="18"/>
      <c r="H558" s="18"/>
      <c r="I558" s="16"/>
      <c r="J558" s="18"/>
      <c r="K558" s="18"/>
      <c r="L558" s="18"/>
      <c r="M558" s="18"/>
      <c r="N558" s="18"/>
      <c r="O558" s="16"/>
      <c r="P558" s="18"/>
      <c r="Q558" s="18"/>
      <c r="R558" s="18"/>
      <c r="S558" s="18"/>
      <c r="T558" s="18"/>
      <c r="U558" s="16"/>
      <c r="V558" s="18"/>
      <c r="W558" s="16"/>
      <c r="X558" s="18"/>
      <c r="Y558" s="18"/>
      <c r="Z558" s="18"/>
      <c r="AA558" s="18"/>
    </row>
    <row r="559" spans="2:27" x14ac:dyDescent="0.35">
      <c r="B559" s="18"/>
      <c r="C559" s="18"/>
      <c r="D559" s="18"/>
      <c r="E559" s="18"/>
      <c r="F559" s="18"/>
      <c r="G559" s="18"/>
      <c r="H559" s="18"/>
      <c r="I559" s="16"/>
      <c r="J559" s="18"/>
      <c r="K559" s="18"/>
      <c r="L559" s="18"/>
      <c r="M559" s="18"/>
      <c r="N559" s="18"/>
      <c r="O559" s="16"/>
      <c r="P559" s="18"/>
      <c r="Q559" s="18"/>
      <c r="R559" s="18"/>
      <c r="S559" s="18"/>
      <c r="T559" s="18"/>
      <c r="U559" s="16"/>
      <c r="V559" s="18"/>
      <c r="W559" s="16"/>
      <c r="X559" s="18"/>
      <c r="Y559" s="18"/>
      <c r="Z559" s="18"/>
      <c r="AA559" s="18"/>
    </row>
    <row r="560" spans="2:27" x14ac:dyDescent="0.35">
      <c r="B560" s="18"/>
      <c r="C560" s="18"/>
      <c r="D560" s="18"/>
      <c r="E560" s="18"/>
      <c r="F560" s="18"/>
      <c r="G560" s="18"/>
      <c r="H560" s="18"/>
      <c r="I560" s="16"/>
      <c r="J560" s="18"/>
      <c r="K560" s="18"/>
      <c r="L560" s="18"/>
      <c r="M560" s="18"/>
      <c r="N560" s="18"/>
      <c r="O560" s="16"/>
      <c r="P560" s="18"/>
      <c r="Q560" s="18"/>
      <c r="R560" s="18"/>
      <c r="S560" s="18"/>
      <c r="T560" s="18"/>
      <c r="U560" s="16"/>
      <c r="V560" s="18"/>
      <c r="W560" s="16"/>
      <c r="X560" s="18"/>
      <c r="Y560" s="18"/>
      <c r="Z560" s="18"/>
      <c r="AA560" s="18"/>
    </row>
    <row r="561" spans="2:27" x14ac:dyDescent="0.35">
      <c r="B561" s="18"/>
      <c r="C561" s="18"/>
      <c r="D561" s="18"/>
      <c r="E561" s="18"/>
      <c r="F561" s="18"/>
      <c r="G561" s="18"/>
      <c r="H561" s="18"/>
      <c r="I561" s="16"/>
      <c r="J561" s="18"/>
      <c r="K561" s="18"/>
      <c r="L561" s="18"/>
      <c r="M561" s="18"/>
      <c r="N561" s="18"/>
      <c r="O561" s="16"/>
      <c r="P561" s="18"/>
      <c r="Q561" s="18"/>
      <c r="R561" s="18"/>
      <c r="S561" s="18"/>
      <c r="T561" s="18"/>
      <c r="U561" s="16"/>
      <c r="V561" s="18"/>
      <c r="W561" s="16"/>
      <c r="X561" s="18"/>
      <c r="Y561" s="18"/>
      <c r="Z561" s="18"/>
      <c r="AA561" s="18"/>
    </row>
    <row r="562" spans="2:27" x14ac:dyDescent="0.35">
      <c r="B562" s="18"/>
      <c r="C562" s="18"/>
      <c r="D562" s="18"/>
      <c r="E562" s="18"/>
      <c r="F562" s="18"/>
      <c r="G562" s="18"/>
      <c r="H562" s="18"/>
      <c r="I562" s="16"/>
      <c r="J562" s="18"/>
      <c r="K562" s="18"/>
      <c r="L562" s="18"/>
      <c r="M562" s="18"/>
      <c r="N562" s="18"/>
      <c r="O562" s="16"/>
      <c r="P562" s="18"/>
      <c r="Q562" s="18"/>
      <c r="R562" s="18"/>
      <c r="S562" s="18"/>
      <c r="T562" s="18"/>
      <c r="U562" s="16"/>
      <c r="V562" s="18"/>
      <c r="W562" s="16"/>
      <c r="X562" s="18"/>
      <c r="Y562" s="18"/>
      <c r="Z562" s="18"/>
      <c r="AA562" s="18"/>
    </row>
    <row r="563" spans="2:27" x14ac:dyDescent="0.35">
      <c r="B563" s="18"/>
      <c r="C563" s="18"/>
      <c r="D563" s="18"/>
      <c r="E563" s="18"/>
      <c r="F563" s="18"/>
      <c r="G563" s="18"/>
      <c r="H563" s="18"/>
      <c r="I563" s="16"/>
      <c r="J563" s="18"/>
      <c r="K563" s="18"/>
      <c r="L563" s="18"/>
      <c r="M563" s="18"/>
      <c r="N563" s="18"/>
      <c r="O563" s="16"/>
      <c r="P563" s="18"/>
      <c r="Q563" s="18"/>
      <c r="R563" s="18"/>
      <c r="S563" s="18"/>
      <c r="T563" s="18"/>
      <c r="U563" s="16"/>
      <c r="V563" s="18"/>
      <c r="W563" s="16"/>
      <c r="X563" s="18"/>
      <c r="Y563" s="18"/>
      <c r="Z563" s="18"/>
      <c r="AA563" s="18"/>
    </row>
    <row r="564" spans="2:27" x14ac:dyDescent="0.35">
      <c r="B564" s="18"/>
      <c r="C564" s="18"/>
      <c r="D564" s="18"/>
      <c r="E564" s="18"/>
      <c r="F564" s="18"/>
      <c r="G564" s="18"/>
      <c r="H564" s="18"/>
      <c r="I564" s="16"/>
      <c r="J564" s="18"/>
      <c r="K564" s="18"/>
      <c r="L564" s="18"/>
      <c r="M564" s="18"/>
      <c r="N564" s="18"/>
      <c r="O564" s="16"/>
      <c r="P564" s="18"/>
      <c r="Q564" s="18"/>
      <c r="R564" s="18"/>
      <c r="S564" s="18"/>
      <c r="T564" s="18"/>
      <c r="U564" s="16"/>
      <c r="V564" s="18"/>
      <c r="W564" s="16"/>
      <c r="X564" s="18"/>
      <c r="Y564" s="18"/>
      <c r="Z564" s="18"/>
      <c r="AA564" s="18"/>
    </row>
    <row r="565" spans="2:27" x14ac:dyDescent="0.35">
      <c r="B565" s="18"/>
      <c r="C565" s="18"/>
      <c r="D565" s="18"/>
      <c r="E565" s="18"/>
      <c r="F565" s="18"/>
      <c r="G565" s="18"/>
      <c r="H565" s="18"/>
      <c r="I565" s="16"/>
      <c r="J565" s="18"/>
      <c r="K565" s="18"/>
      <c r="L565" s="18"/>
      <c r="M565" s="18"/>
      <c r="N565" s="18"/>
      <c r="O565" s="16"/>
      <c r="P565" s="18"/>
      <c r="Q565" s="18"/>
      <c r="R565" s="18"/>
      <c r="S565" s="18"/>
      <c r="T565" s="18"/>
      <c r="U565" s="16"/>
      <c r="V565" s="18"/>
      <c r="W565" s="16"/>
      <c r="X565" s="18"/>
      <c r="Y565" s="18"/>
      <c r="Z565" s="18"/>
      <c r="AA565" s="18"/>
    </row>
    <row r="566" spans="2:27" x14ac:dyDescent="0.35">
      <c r="B566" s="18"/>
      <c r="C566" s="18"/>
      <c r="D566" s="18"/>
      <c r="E566" s="18"/>
      <c r="F566" s="18"/>
      <c r="G566" s="18"/>
      <c r="H566" s="18"/>
      <c r="I566" s="16"/>
      <c r="J566" s="18"/>
      <c r="K566" s="18"/>
      <c r="L566" s="18"/>
      <c r="M566" s="18"/>
      <c r="N566" s="18"/>
      <c r="O566" s="16"/>
      <c r="P566" s="18"/>
      <c r="Q566" s="18"/>
      <c r="R566" s="18"/>
      <c r="S566" s="18"/>
      <c r="T566" s="18"/>
      <c r="U566" s="16"/>
      <c r="V566" s="18"/>
      <c r="W566" s="16"/>
      <c r="X566" s="18"/>
      <c r="Y566" s="18"/>
      <c r="Z566" s="18"/>
      <c r="AA566" s="18"/>
    </row>
    <row r="567" spans="2:27" x14ac:dyDescent="0.35">
      <c r="B567" s="18"/>
      <c r="C567" s="18"/>
      <c r="D567" s="18"/>
      <c r="E567" s="18"/>
      <c r="F567" s="18"/>
      <c r="G567" s="18"/>
      <c r="H567" s="18"/>
      <c r="I567" s="16"/>
      <c r="J567" s="18"/>
      <c r="K567" s="18"/>
      <c r="L567" s="18"/>
      <c r="M567" s="18"/>
      <c r="N567" s="18"/>
      <c r="O567" s="16"/>
      <c r="P567" s="18"/>
      <c r="Q567" s="18"/>
      <c r="R567" s="18"/>
      <c r="S567" s="18"/>
      <c r="T567" s="18"/>
      <c r="U567" s="16"/>
      <c r="V567" s="18"/>
      <c r="W567" s="16"/>
      <c r="X567" s="18"/>
      <c r="Y567" s="18"/>
      <c r="Z567" s="18"/>
      <c r="AA567" s="18"/>
    </row>
    <row r="568" spans="2:27" x14ac:dyDescent="0.35">
      <c r="B568" s="18"/>
      <c r="C568" s="18"/>
      <c r="D568" s="18"/>
      <c r="E568" s="18"/>
      <c r="F568" s="18"/>
      <c r="G568" s="18"/>
      <c r="H568" s="18"/>
      <c r="I568" s="16"/>
      <c r="J568" s="18"/>
      <c r="K568" s="18"/>
      <c r="L568" s="18"/>
      <c r="M568" s="18"/>
      <c r="N568" s="18"/>
      <c r="O568" s="16"/>
      <c r="P568" s="18"/>
      <c r="Q568" s="18"/>
      <c r="R568" s="18"/>
      <c r="S568" s="18"/>
      <c r="T568" s="18"/>
      <c r="U568" s="16"/>
      <c r="V568" s="18"/>
      <c r="W568" s="16"/>
      <c r="X568" s="18"/>
      <c r="Y568" s="18"/>
      <c r="Z568" s="18"/>
      <c r="AA568" s="18"/>
    </row>
    <row r="569" spans="2:27" x14ac:dyDescent="0.35">
      <c r="B569" s="18"/>
      <c r="C569" s="18"/>
      <c r="D569" s="18"/>
      <c r="E569" s="18"/>
      <c r="F569" s="18"/>
      <c r="G569" s="18"/>
      <c r="H569" s="18"/>
      <c r="I569" s="16"/>
      <c r="J569" s="18"/>
      <c r="K569" s="18"/>
      <c r="L569" s="18"/>
      <c r="M569" s="18"/>
      <c r="N569" s="18"/>
      <c r="O569" s="16"/>
      <c r="P569" s="18"/>
      <c r="Q569" s="18"/>
      <c r="R569" s="18"/>
      <c r="S569" s="18"/>
      <c r="T569" s="18"/>
      <c r="U569" s="16"/>
      <c r="V569" s="18"/>
      <c r="W569" s="16"/>
      <c r="X569" s="18"/>
      <c r="Y569" s="18"/>
      <c r="Z569" s="18"/>
      <c r="AA569" s="18"/>
    </row>
    <row r="570" spans="2:27" x14ac:dyDescent="0.35">
      <c r="B570" s="18"/>
      <c r="C570" s="18"/>
      <c r="D570" s="18"/>
      <c r="E570" s="18"/>
      <c r="F570" s="18"/>
      <c r="G570" s="18"/>
      <c r="H570" s="18"/>
      <c r="I570" s="16"/>
      <c r="J570" s="18"/>
      <c r="K570" s="18"/>
      <c r="L570" s="18"/>
      <c r="M570" s="18"/>
      <c r="N570" s="18"/>
      <c r="O570" s="16"/>
      <c r="P570" s="18"/>
      <c r="Q570" s="18"/>
      <c r="R570" s="18"/>
      <c r="S570" s="18"/>
      <c r="T570" s="18"/>
      <c r="U570" s="16"/>
      <c r="V570" s="18"/>
      <c r="W570" s="16"/>
      <c r="X570" s="18"/>
      <c r="Y570" s="18"/>
      <c r="Z570" s="18"/>
      <c r="AA570" s="18"/>
    </row>
    <row r="571" spans="2:27" x14ac:dyDescent="0.35">
      <c r="B571" s="18"/>
      <c r="C571" s="18"/>
      <c r="D571" s="18"/>
      <c r="E571" s="18"/>
      <c r="F571" s="18"/>
      <c r="G571" s="18"/>
      <c r="H571" s="18"/>
      <c r="I571" s="16"/>
      <c r="J571" s="18"/>
      <c r="K571" s="18"/>
      <c r="L571" s="18"/>
      <c r="M571" s="18"/>
      <c r="N571" s="18"/>
      <c r="O571" s="16"/>
      <c r="P571" s="18"/>
      <c r="Q571" s="18"/>
      <c r="R571" s="18"/>
      <c r="S571" s="18"/>
      <c r="T571" s="18"/>
      <c r="U571" s="16"/>
      <c r="V571" s="18"/>
      <c r="W571" s="16"/>
      <c r="X571" s="18"/>
      <c r="Y571" s="18"/>
      <c r="Z571" s="18"/>
      <c r="AA571" s="18"/>
    </row>
    <row r="572" spans="2:27" x14ac:dyDescent="0.35">
      <c r="B572" s="18"/>
      <c r="C572" s="18"/>
      <c r="D572" s="18"/>
      <c r="E572" s="18"/>
      <c r="F572" s="18"/>
      <c r="G572" s="18"/>
      <c r="H572" s="18"/>
      <c r="I572" s="16"/>
      <c r="J572" s="18"/>
      <c r="K572" s="18"/>
      <c r="L572" s="18"/>
      <c r="M572" s="18"/>
      <c r="N572" s="18"/>
      <c r="O572" s="16"/>
      <c r="P572" s="18"/>
      <c r="Q572" s="18"/>
      <c r="R572" s="18"/>
      <c r="S572" s="18"/>
      <c r="T572" s="18"/>
      <c r="U572" s="16"/>
      <c r="V572" s="18"/>
      <c r="W572" s="16"/>
      <c r="X572" s="18"/>
      <c r="Y572" s="18"/>
      <c r="Z572" s="18"/>
      <c r="AA572" s="18"/>
    </row>
    <row r="573" spans="2:27" x14ac:dyDescent="0.35">
      <c r="B573" s="18"/>
      <c r="C573" s="18"/>
      <c r="D573" s="18"/>
      <c r="E573" s="18"/>
      <c r="F573" s="18"/>
      <c r="G573" s="18"/>
      <c r="H573" s="18"/>
      <c r="I573" s="16"/>
      <c r="J573" s="18"/>
      <c r="K573" s="18"/>
      <c r="L573" s="18"/>
      <c r="M573" s="18"/>
      <c r="N573" s="18"/>
      <c r="O573" s="16"/>
      <c r="P573" s="18"/>
      <c r="Q573" s="18"/>
      <c r="R573" s="18"/>
      <c r="S573" s="18"/>
      <c r="T573" s="18"/>
      <c r="U573" s="16"/>
      <c r="V573" s="18"/>
      <c r="W573" s="16"/>
      <c r="X573" s="18"/>
      <c r="Y573" s="18"/>
      <c r="Z573" s="18"/>
      <c r="AA573" s="18"/>
    </row>
    <row r="574" spans="2:27" x14ac:dyDescent="0.35">
      <c r="B574" s="18"/>
      <c r="C574" s="18"/>
      <c r="D574" s="18"/>
      <c r="E574" s="18"/>
      <c r="F574" s="18"/>
      <c r="G574" s="18"/>
      <c r="H574" s="18"/>
      <c r="I574" s="16"/>
      <c r="J574" s="18"/>
      <c r="K574" s="18"/>
      <c r="L574" s="18"/>
      <c r="M574" s="18"/>
      <c r="N574" s="18"/>
      <c r="O574" s="16"/>
      <c r="P574" s="18"/>
      <c r="Q574" s="18"/>
      <c r="R574" s="18"/>
      <c r="S574" s="18"/>
      <c r="T574" s="18"/>
      <c r="U574" s="16"/>
      <c r="V574" s="18"/>
      <c r="W574" s="16"/>
      <c r="X574" s="18"/>
      <c r="Y574" s="18"/>
      <c r="Z574" s="18"/>
      <c r="AA574" s="18"/>
    </row>
    <row r="575" spans="2:27" x14ac:dyDescent="0.35">
      <c r="B575" s="18"/>
      <c r="C575" s="18"/>
      <c r="D575" s="18"/>
      <c r="E575" s="18"/>
      <c r="F575" s="18"/>
      <c r="G575" s="18"/>
      <c r="H575" s="18"/>
      <c r="I575" s="16"/>
      <c r="J575" s="18"/>
      <c r="K575" s="18"/>
      <c r="L575" s="18"/>
      <c r="M575" s="18"/>
      <c r="N575" s="18"/>
      <c r="O575" s="16"/>
      <c r="P575" s="18"/>
      <c r="Q575" s="18"/>
      <c r="R575" s="18"/>
      <c r="S575" s="18"/>
      <c r="T575" s="18"/>
      <c r="U575" s="16"/>
      <c r="V575" s="18"/>
      <c r="W575" s="16"/>
      <c r="X575" s="18"/>
      <c r="Y575" s="18"/>
      <c r="Z575" s="18"/>
      <c r="AA575" s="18"/>
    </row>
    <row r="576" spans="2:27" x14ac:dyDescent="0.35">
      <c r="B576" s="18"/>
      <c r="C576" s="18"/>
      <c r="D576" s="18"/>
      <c r="E576" s="18"/>
      <c r="F576" s="18"/>
      <c r="G576" s="18"/>
      <c r="H576" s="18"/>
      <c r="I576" s="16"/>
      <c r="J576" s="18"/>
      <c r="K576" s="18"/>
      <c r="L576" s="18"/>
      <c r="M576" s="18"/>
      <c r="N576" s="18"/>
      <c r="O576" s="16"/>
      <c r="P576" s="18"/>
      <c r="Q576" s="18"/>
      <c r="R576" s="18"/>
      <c r="S576" s="18"/>
      <c r="T576" s="18"/>
      <c r="U576" s="16"/>
      <c r="V576" s="18"/>
      <c r="W576" s="16"/>
      <c r="X576" s="18"/>
      <c r="Y576" s="18"/>
      <c r="Z576" s="18"/>
      <c r="AA576" s="18"/>
    </row>
    <row r="577" spans="2:27" x14ac:dyDescent="0.35">
      <c r="B577" s="18"/>
      <c r="C577" s="18"/>
      <c r="D577" s="18"/>
      <c r="E577" s="18"/>
      <c r="F577" s="18"/>
      <c r="G577" s="18"/>
      <c r="H577" s="18"/>
      <c r="I577" s="16"/>
      <c r="J577" s="18"/>
      <c r="K577" s="18"/>
      <c r="L577" s="18"/>
      <c r="M577" s="18"/>
      <c r="N577" s="18"/>
      <c r="O577" s="16"/>
      <c r="P577" s="18"/>
      <c r="Q577" s="18"/>
      <c r="R577" s="18"/>
      <c r="S577" s="18"/>
      <c r="T577" s="18"/>
      <c r="U577" s="16"/>
      <c r="V577" s="18"/>
      <c r="W577" s="16"/>
      <c r="X577" s="18"/>
      <c r="Y577" s="18"/>
      <c r="Z577" s="18"/>
      <c r="AA577" s="18"/>
    </row>
    <row r="578" spans="2:27" x14ac:dyDescent="0.35">
      <c r="B578" s="18"/>
      <c r="C578" s="18"/>
      <c r="D578" s="18"/>
      <c r="E578" s="18"/>
      <c r="F578" s="18"/>
      <c r="G578" s="18"/>
      <c r="H578" s="18"/>
      <c r="I578" s="16"/>
      <c r="J578" s="18"/>
      <c r="K578" s="18"/>
      <c r="L578" s="18"/>
      <c r="M578" s="18"/>
      <c r="N578" s="18"/>
      <c r="O578" s="16"/>
      <c r="P578" s="18"/>
      <c r="Q578" s="18"/>
      <c r="R578" s="18"/>
      <c r="S578" s="18"/>
      <c r="T578" s="18"/>
      <c r="U578" s="16"/>
      <c r="V578" s="18"/>
      <c r="W578" s="16"/>
      <c r="X578" s="18"/>
      <c r="Y578" s="18"/>
      <c r="Z578" s="18"/>
      <c r="AA578" s="18"/>
    </row>
    <row r="579" spans="2:27" x14ac:dyDescent="0.35">
      <c r="B579" s="18"/>
      <c r="C579" s="18"/>
      <c r="D579" s="18"/>
      <c r="E579" s="18"/>
      <c r="F579" s="18"/>
      <c r="G579" s="18"/>
      <c r="H579" s="18"/>
      <c r="I579" s="16"/>
      <c r="J579" s="18"/>
      <c r="K579" s="18"/>
      <c r="L579" s="18"/>
      <c r="M579" s="18"/>
      <c r="N579" s="18"/>
      <c r="O579" s="16"/>
      <c r="P579" s="18"/>
      <c r="Q579" s="18"/>
      <c r="R579" s="18"/>
      <c r="S579" s="18"/>
      <c r="T579" s="18"/>
      <c r="U579" s="16"/>
      <c r="V579" s="18"/>
      <c r="W579" s="16"/>
      <c r="X579" s="18"/>
      <c r="Y579" s="18"/>
      <c r="Z579" s="18"/>
      <c r="AA579" s="18"/>
    </row>
    <row r="580" spans="2:27" x14ac:dyDescent="0.35">
      <c r="B580" s="18"/>
      <c r="C580" s="18"/>
      <c r="D580" s="18"/>
      <c r="E580" s="18"/>
      <c r="F580" s="18"/>
      <c r="G580" s="18"/>
      <c r="H580" s="18"/>
      <c r="I580" s="16"/>
      <c r="J580" s="18"/>
      <c r="K580" s="18"/>
      <c r="L580" s="18"/>
      <c r="M580" s="18"/>
      <c r="N580" s="18"/>
      <c r="O580" s="16"/>
      <c r="P580" s="18"/>
      <c r="Q580" s="18"/>
      <c r="R580" s="18"/>
      <c r="S580" s="18"/>
      <c r="T580" s="18"/>
      <c r="U580" s="16"/>
      <c r="V580" s="18"/>
      <c r="W580" s="16"/>
      <c r="X580" s="18"/>
      <c r="Y580" s="18"/>
      <c r="Z580" s="18"/>
      <c r="AA580" s="18"/>
    </row>
    <row r="581" spans="2:27" x14ac:dyDescent="0.35">
      <c r="B581" s="18"/>
      <c r="C581" s="18"/>
      <c r="D581" s="18"/>
      <c r="E581" s="18"/>
      <c r="F581" s="18"/>
      <c r="G581" s="18"/>
      <c r="H581" s="18"/>
      <c r="I581" s="16"/>
      <c r="J581" s="18"/>
      <c r="K581" s="18"/>
      <c r="L581" s="18"/>
      <c r="M581" s="18"/>
      <c r="N581" s="18"/>
      <c r="O581" s="16"/>
      <c r="P581" s="18"/>
      <c r="Q581" s="18"/>
      <c r="R581" s="18"/>
      <c r="S581" s="18"/>
      <c r="T581" s="18"/>
      <c r="U581" s="16"/>
      <c r="V581" s="18"/>
      <c r="W581" s="16"/>
      <c r="X581" s="18"/>
      <c r="Y581" s="18"/>
      <c r="Z581" s="18"/>
      <c r="AA581" s="18"/>
    </row>
    <row r="582" spans="2:27" x14ac:dyDescent="0.35">
      <c r="B582" s="18"/>
      <c r="C582" s="18"/>
      <c r="D582" s="18"/>
      <c r="E582" s="18"/>
      <c r="F582" s="18"/>
      <c r="G582" s="18"/>
      <c r="H582" s="18"/>
      <c r="I582" s="16"/>
      <c r="J582" s="18"/>
      <c r="K582" s="18"/>
      <c r="L582" s="18"/>
      <c r="M582" s="18"/>
      <c r="N582" s="18"/>
      <c r="O582" s="16"/>
      <c r="P582" s="18"/>
      <c r="Q582" s="18"/>
      <c r="R582" s="18"/>
      <c r="S582" s="18"/>
      <c r="T582" s="18"/>
      <c r="U582" s="16"/>
      <c r="V582" s="18"/>
      <c r="W582" s="16"/>
      <c r="X582" s="18"/>
      <c r="Y582" s="18"/>
      <c r="Z582" s="18"/>
      <c r="AA582" s="18"/>
    </row>
    <row r="583" spans="2:27" x14ac:dyDescent="0.35">
      <c r="B583" s="18"/>
      <c r="C583" s="18"/>
      <c r="D583" s="18"/>
      <c r="E583" s="18"/>
      <c r="F583" s="18"/>
      <c r="G583" s="18"/>
      <c r="H583" s="18"/>
      <c r="I583" s="16"/>
      <c r="J583" s="18"/>
      <c r="K583" s="18"/>
      <c r="L583" s="18"/>
      <c r="M583" s="18"/>
      <c r="N583" s="18"/>
      <c r="O583" s="16"/>
      <c r="P583" s="18"/>
      <c r="Q583" s="18"/>
      <c r="R583" s="18"/>
      <c r="S583" s="18"/>
      <c r="T583" s="18"/>
      <c r="U583" s="16"/>
      <c r="V583" s="18"/>
      <c r="W583" s="16"/>
      <c r="X583" s="18"/>
      <c r="Y583" s="18"/>
      <c r="Z583" s="18"/>
      <c r="AA583" s="18"/>
    </row>
    <row r="584" spans="2:27" x14ac:dyDescent="0.35">
      <c r="B584" s="18"/>
      <c r="C584" s="18"/>
      <c r="D584" s="18"/>
      <c r="E584" s="18"/>
      <c r="F584" s="18"/>
      <c r="G584" s="18"/>
      <c r="H584" s="18"/>
      <c r="I584" s="16"/>
      <c r="J584" s="18"/>
      <c r="K584" s="18"/>
      <c r="L584" s="18"/>
      <c r="M584" s="18"/>
      <c r="N584" s="18"/>
      <c r="O584" s="16"/>
      <c r="P584" s="18"/>
      <c r="Q584" s="18"/>
      <c r="R584" s="18"/>
      <c r="S584" s="18"/>
      <c r="T584" s="18"/>
      <c r="U584" s="16"/>
      <c r="V584" s="18"/>
      <c r="W584" s="16"/>
      <c r="X584" s="18"/>
      <c r="Y584" s="18"/>
      <c r="Z584" s="18"/>
      <c r="AA584" s="18"/>
    </row>
    <row r="585" spans="2:27" x14ac:dyDescent="0.35">
      <c r="B585" s="18"/>
      <c r="C585" s="18"/>
      <c r="D585" s="18"/>
      <c r="E585" s="18"/>
      <c r="F585" s="18"/>
      <c r="G585" s="18"/>
      <c r="H585" s="18"/>
      <c r="I585" s="16"/>
      <c r="J585" s="18"/>
      <c r="K585" s="18"/>
      <c r="L585" s="18"/>
      <c r="M585" s="18"/>
      <c r="N585" s="18"/>
      <c r="O585" s="16"/>
      <c r="P585" s="18"/>
      <c r="Q585" s="18"/>
      <c r="R585" s="18"/>
      <c r="S585" s="18"/>
      <c r="T585" s="18"/>
      <c r="U585" s="16"/>
      <c r="V585" s="18"/>
      <c r="W585" s="16"/>
      <c r="X585" s="18"/>
      <c r="Y585" s="18"/>
      <c r="Z585" s="18"/>
      <c r="AA585" s="18"/>
    </row>
    <row r="586" spans="2:27" x14ac:dyDescent="0.35">
      <c r="B586" s="18"/>
      <c r="C586" s="18"/>
      <c r="D586" s="18"/>
      <c r="E586" s="18"/>
      <c r="F586" s="18"/>
      <c r="G586" s="18"/>
      <c r="H586" s="18"/>
      <c r="I586" s="16"/>
      <c r="J586" s="18"/>
      <c r="K586" s="18"/>
      <c r="L586" s="18"/>
      <c r="M586" s="18"/>
      <c r="N586" s="18"/>
      <c r="O586" s="16"/>
      <c r="P586" s="18"/>
      <c r="Q586" s="18"/>
      <c r="R586" s="18"/>
      <c r="S586" s="18"/>
      <c r="T586" s="18"/>
      <c r="U586" s="16"/>
      <c r="V586" s="18"/>
      <c r="W586" s="16"/>
      <c r="X586" s="18"/>
      <c r="Y586" s="18"/>
      <c r="Z586" s="18"/>
      <c r="AA586" s="18"/>
    </row>
    <row r="587" spans="2:27" x14ac:dyDescent="0.35">
      <c r="B587" s="18"/>
      <c r="C587" s="18"/>
      <c r="D587" s="18"/>
      <c r="E587" s="18"/>
      <c r="F587" s="18"/>
      <c r="G587" s="18"/>
      <c r="H587" s="18"/>
      <c r="I587" s="16"/>
      <c r="J587" s="18"/>
      <c r="K587" s="18"/>
      <c r="L587" s="18"/>
      <c r="M587" s="18"/>
      <c r="N587" s="18"/>
      <c r="O587" s="16"/>
      <c r="P587" s="18"/>
      <c r="Q587" s="18"/>
      <c r="R587" s="18"/>
      <c r="S587" s="18"/>
      <c r="T587" s="18"/>
      <c r="U587" s="16"/>
      <c r="V587" s="18"/>
      <c r="W587" s="16"/>
      <c r="X587" s="18"/>
      <c r="Y587" s="18"/>
      <c r="Z587" s="18"/>
      <c r="AA587" s="18"/>
    </row>
    <row r="588" spans="2:27" x14ac:dyDescent="0.35">
      <c r="B588" s="18"/>
      <c r="C588" s="18"/>
      <c r="D588" s="18"/>
      <c r="E588" s="18"/>
      <c r="F588" s="18"/>
      <c r="G588" s="18"/>
      <c r="H588" s="18"/>
      <c r="I588" s="16"/>
      <c r="J588" s="18"/>
      <c r="K588" s="18"/>
      <c r="L588" s="18"/>
      <c r="M588" s="18"/>
      <c r="N588" s="18"/>
      <c r="O588" s="16"/>
      <c r="P588" s="18"/>
      <c r="Q588" s="18"/>
      <c r="R588" s="18"/>
      <c r="S588" s="18"/>
      <c r="T588" s="18"/>
      <c r="U588" s="16"/>
      <c r="V588" s="18"/>
      <c r="W588" s="16"/>
      <c r="X588" s="18"/>
      <c r="Y588" s="18"/>
      <c r="Z588" s="18"/>
      <c r="AA588" s="18"/>
    </row>
    <row r="589" spans="2:27" x14ac:dyDescent="0.35">
      <c r="B589" s="18"/>
      <c r="C589" s="18"/>
      <c r="D589" s="18"/>
      <c r="E589" s="18"/>
      <c r="F589" s="18"/>
      <c r="G589" s="18"/>
      <c r="H589" s="18"/>
      <c r="I589" s="16"/>
      <c r="J589" s="18"/>
      <c r="K589" s="18"/>
      <c r="L589" s="18"/>
      <c r="M589" s="18"/>
      <c r="N589" s="18"/>
      <c r="O589" s="16"/>
      <c r="P589" s="18"/>
      <c r="Q589" s="18"/>
      <c r="R589" s="18"/>
      <c r="S589" s="18"/>
      <c r="T589" s="18"/>
      <c r="U589" s="16"/>
      <c r="V589" s="18"/>
      <c r="W589" s="16"/>
      <c r="X589" s="18"/>
      <c r="Y589" s="18"/>
      <c r="Z589" s="18"/>
      <c r="AA589" s="18"/>
    </row>
    <row r="590" spans="2:27" x14ac:dyDescent="0.35">
      <c r="B590" s="18"/>
      <c r="C590" s="18"/>
      <c r="D590" s="18"/>
      <c r="E590" s="18"/>
      <c r="F590" s="18"/>
      <c r="G590" s="18"/>
      <c r="H590" s="18"/>
      <c r="I590" s="16"/>
      <c r="J590" s="18"/>
      <c r="K590" s="18"/>
      <c r="L590" s="18"/>
      <c r="M590" s="18"/>
      <c r="N590" s="18"/>
      <c r="O590" s="16"/>
      <c r="P590" s="18"/>
      <c r="Q590" s="18"/>
      <c r="R590" s="18"/>
      <c r="S590" s="18"/>
      <c r="T590" s="18"/>
      <c r="U590" s="16"/>
      <c r="V590" s="18"/>
      <c r="W590" s="16"/>
      <c r="X590" s="18"/>
      <c r="Y590" s="18"/>
      <c r="Z590" s="18"/>
      <c r="AA590" s="18"/>
    </row>
    <row r="591" spans="2:27" x14ac:dyDescent="0.35">
      <c r="B591" s="18"/>
      <c r="C591" s="18"/>
      <c r="D591" s="18"/>
      <c r="E591" s="18"/>
      <c r="F591" s="18"/>
      <c r="G591" s="18"/>
      <c r="H591" s="18"/>
      <c r="I591" s="16"/>
      <c r="J591" s="18"/>
      <c r="K591" s="18"/>
      <c r="L591" s="18"/>
      <c r="M591" s="18"/>
      <c r="N591" s="18"/>
      <c r="O591" s="16"/>
      <c r="P591" s="18"/>
      <c r="Q591" s="18"/>
      <c r="R591" s="18"/>
      <c r="S591" s="18"/>
      <c r="T591" s="18"/>
      <c r="U591" s="16"/>
      <c r="V591" s="18"/>
      <c r="W591" s="16"/>
      <c r="X591" s="18"/>
      <c r="Y591" s="18"/>
      <c r="Z591" s="18"/>
      <c r="AA591" s="18"/>
    </row>
    <row r="592" spans="2:27" x14ac:dyDescent="0.35">
      <c r="B592" s="18"/>
      <c r="C592" s="18"/>
      <c r="D592" s="18"/>
      <c r="E592" s="18"/>
      <c r="F592" s="18"/>
      <c r="G592" s="18"/>
      <c r="H592" s="18"/>
      <c r="I592" s="16"/>
      <c r="J592" s="18"/>
      <c r="K592" s="18"/>
      <c r="L592" s="18"/>
      <c r="M592" s="18"/>
      <c r="N592" s="18"/>
      <c r="O592" s="16"/>
      <c r="P592" s="18"/>
      <c r="Q592" s="18"/>
      <c r="R592" s="18"/>
      <c r="S592" s="18"/>
      <c r="T592" s="18"/>
      <c r="U592" s="16"/>
      <c r="V592" s="18"/>
      <c r="W592" s="16"/>
      <c r="X592" s="18"/>
      <c r="Y592" s="18"/>
      <c r="Z592" s="18"/>
      <c r="AA592" s="18"/>
    </row>
    <row r="593" spans="2:27" x14ac:dyDescent="0.35">
      <c r="B593" s="18"/>
      <c r="C593" s="18"/>
      <c r="D593" s="18"/>
      <c r="E593" s="18"/>
      <c r="F593" s="18"/>
      <c r="G593" s="18"/>
      <c r="H593" s="18"/>
      <c r="I593" s="16"/>
      <c r="J593" s="18"/>
      <c r="K593" s="18"/>
      <c r="L593" s="18"/>
      <c r="M593" s="18"/>
      <c r="N593" s="18"/>
      <c r="O593" s="16"/>
      <c r="P593" s="18"/>
      <c r="Q593" s="18"/>
      <c r="R593" s="18"/>
      <c r="S593" s="18"/>
      <c r="T593" s="18"/>
      <c r="U593" s="16"/>
      <c r="V593" s="18"/>
      <c r="W593" s="16"/>
      <c r="X593" s="18"/>
      <c r="Y593" s="18"/>
      <c r="Z593" s="18"/>
      <c r="AA593" s="18"/>
    </row>
    <row r="594" spans="2:27" x14ac:dyDescent="0.35">
      <c r="B594" s="18"/>
      <c r="C594" s="18"/>
      <c r="D594" s="18"/>
      <c r="E594" s="18"/>
      <c r="F594" s="18"/>
      <c r="G594" s="18"/>
      <c r="H594" s="18"/>
      <c r="I594" s="16"/>
      <c r="J594" s="18"/>
      <c r="K594" s="18"/>
      <c r="L594" s="18"/>
      <c r="M594" s="18"/>
      <c r="N594" s="18"/>
      <c r="O594" s="16"/>
      <c r="P594" s="18"/>
      <c r="Q594" s="18"/>
      <c r="R594" s="18"/>
      <c r="S594" s="18"/>
      <c r="T594" s="18"/>
      <c r="U594" s="16"/>
      <c r="V594" s="18"/>
      <c r="W594" s="16"/>
      <c r="X594" s="18"/>
      <c r="Y594" s="18"/>
      <c r="Z594" s="18"/>
      <c r="AA594" s="18"/>
    </row>
    <row r="595" spans="2:27" x14ac:dyDescent="0.35">
      <c r="B595" s="18"/>
      <c r="C595" s="18"/>
      <c r="D595" s="18"/>
      <c r="E595" s="18"/>
      <c r="F595" s="18"/>
      <c r="G595" s="18"/>
      <c r="H595" s="18"/>
      <c r="I595" s="16"/>
      <c r="J595" s="18"/>
      <c r="K595" s="18"/>
      <c r="L595" s="18"/>
      <c r="M595" s="18"/>
      <c r="N595" s="18"/>
      <c r="O595" s="16"/>
      <c r="P595" s="18"/>
      <c r="Q595" s="18"/>
      <c r="R595" s="18"/>
      <c r="S595" s="18"/>
      <c r="T595" s="18"/>
      <c r="U595" s="16"/>
      <c r="V595" s="18"/>
      <c r="W595" s="16"/>
      <c r="X595" s="18"/>
      <c r="Y595" s="18"/>
      <c r="Z595" s="18"/>
      <c r="AA595" s="18"/>
    </row>
    <row r="596" spans="2:27" x14ac:dyDescent="0.35">
      <c r="B596" s="18"/>
      <c r="C596" s="18"/>
      <c r="D596" s="18"/>
      <c r="E596" s="18"/>
      <c r="F596" s="18"/>
      <c r="G596" s="18"/>
      <c r="H596" s="18"/>
      <c r="I596" s="16"/>
      <c r="J596" s="18"/>
      <c r="K596" s="18"/>
      <c r="L596" s="18"/>
      <c r="M596" s="18"/>
      <c r="N596" s="18"/>
      <c r="O596" s="16"/>
      <c r="P596" s="18"/>
      <c r="Q596" s="18"/>
      <c r="R596" s="18"/>
      <c r="S596" s="18"/>
      <c r="T596" s="18"/>
      <c r="U596" s="16"/>
      <c r="V596" s="18"/>
      <c r="W596" s="16"/>
      <c r="X596" s="18"/>
      <c r="Y596" s="18"/>
      <c r="Z596" s="18"/>
      <c r="AA596" s="18"/>
    </row>
    <row r="597" spans="2:27" x14ac:dyDescent="0.35">
      <c r="B597" s="18"/>
      <c r="C597" s="18"/>
      <c r="D597" s="18"/>
      <c r="E597" s="18"/>
      <c r="F597" s="18"/>
      <c r="G597" s="18"/>
      <c r="H597" s="18"/>
      <c r="I597" s="16"/>
      <c r="J597" s="18"/>
      <c r="K597" s="18"/>
      <c r="L597" s="18"/>
      <c r="M597" s="18"/>
      <c r="N597" s="18"/>
      <c r="O597" s="16"/>
      <c r="P597" s="18"/>
      <c r="Q597" s="18"/>
      <c r="R597" s="18"/>
      <c r="S597" s="18"/>
      <c r="T597" s="18"/>
      <c r="U597" s="16"/>
      <c r="V597" s="18"/>
      <c r="W597" s="16"/>
      <c r="X597" s="18"/>
      <c r="Y597" s="18"/>
      <c r="Z597" s="18"/>
      <c r="AA597" s="18"/>
    </row>
    <row r="598" spans="2:27" x14ac:dyDescent="0.35">
      <c r="B598" s="18"/>
      <c r="C598" s="18"/>
      <c r="D598" s="18"/>
      <c r="E598" s="18"/>
      <c r="F598" s="18"/>
      <c r="G598" s="18"/>
      <c r="H598" s="18"/>
      <c r="I598" s="16"/>
      <c r="J598" s="18"/>
      <c r="K598" s="18"/>
      <c r="L598" s="18"/>
      <c r="M598" s="18"/>
      <c r="N598" s="18"/>
      <c r="O598" s="16"/>
      <c r="P598" s="18"/>
      <c r="Q598" s="18"/>
      <c r="R598" s="18"/>
      <c r="S598" s="18"/>
      <c r="T598" s="18"/>
      <c r="U598" s="16"/>
      <c r="V598" s="18"/>
      <c r="W598" s="16"/>
      <c r="X598" s="18"/>
      <c r="Y598" s="18"/>
      <c r="Z598" s="18"/>
      <c r="AA598" s="18"/>
    </row>
    <row r="599" spans="2:27" x14ac:dyDescent="0.35">
      <c r="B599" s="18"/>
      <c r="C599" s="18"/>
      <c r="D599" s="18"/>
      <c r="E599" s="18"/>
      <c r="F599" s="18"/>
      <c r="G599" s="18"/>
      <c r="H599" s="18"/>
      <c r="I599" s="16"/>
      <c r="J599" s="18"/>
      <c r="K599" s="18"/>
      <c r="L599" s="18"/>
      <c r="M599" s="18"/>
      <c r="N599" s="18"/>
      <c r="O599" s="16"/>
      <c r="P599" s="18"/>
      <c r="Q599" s="18"/>
      <c r="R599" s="18"/>
      <c r="S599" s="18"/>
      <c r="T599" s="18"/>
      <c r="U599" s="16"/>
      <c r="V599" s="18"/>
      <c r="W599" s="16"/>
      <c r="X599" s="18"/>
      <c r="Y599" s="18"/>
      <c r="Z599" s="18"/>
      <c r="AA599" s="18"/>
    </row>
    <row r="600" spans="2:27" x14ac:dyDescent="0.35">
      <c r="B600" s="18"/>
      <c r="C600" s="18"/>
      <c r="D600" s="18"/>
      <c r="E600" s="18"/>
      <c r="F600" s="18"/>
      <c r="G600" s="18"/>
      <c r="H600" s="18"/>
      <c r="I600" s="16"/>
      <c r="J600" s="18"/>
      <c r="K600" s="18"/>
      <c r="L600" s="18"/>
      <c r="M600" s="18"/>
      <c r="N600" s="18"/>
      <c r="O600" s="16"/>
      <c r="P600" s="18"/>
      <c r="Q600" s="18"/>
      <c r="R600" s="18"/>
      <c r="S600" s="18"/>
      <c r="T600" s="18"/>
      <c r="U600" s="16"/>
      <c r="V600" s="18"/>
      <c r="W600" s="16"/>
      <c r="X600" s="18"/>
      <c r="Y600" s="18"/>
      <c r="Z600" s="18"/>
      <c r="AA600" s="18"/>
    </row>
    <row r="601" spans="2:27" x14ac:dyDescent="0.35">
      <c r="B601" s="18"/>
      <c r="C601" s="18"/>
      <c r="D601" s="18"/>
      <c r="E601" s="18"/>
      <c r="F601" s="18"/>
      <c r="G601" s="18"/>
      <c r="H601" s="18"/>
      <c r="I601" s="16"/>
      <c r="J601" s="18"/>
      <c r="K601" s="18"/>
      <c r="L601" s="18"/>
      <c r="M601" s="18"/>
      <c r="N601" s="18"/>
      <c r="O601" s="16"/>
      <c r="P601" s="18"/>
      <c r="Q601" s="18"/>
      <c r="R601" s="18"/>
      <c r="S601" s="18"/>
      <c r="T601" s="18"/>
      <c r="U601" s="16"/>
      <c r="V601" s="18"/>
      <c r="W601" s="16"/>
      <c r="X601" s="18"/>
      <c r="Y601" s="18"/>
      <c r="Z601" s="18"/>
      <c r="AA601" s="18"/>
    </row>
    <row r="602" spans="2:27" x14ac:dyDescent="0.35">
      <c r="B602" s="18"/>
      <c r="C602" s="18"/>
      <c r="D602" s="18"/>
      <c r="E602" s="18"/>
      <c r="F602" s="18"/>
      <c r="G602" s="18"/>
      <c r="H602" s="18"/>
      <c r="I602" s="16"/>
      <c r="J602" s="18"/>
      <c r="K602" s="18"/>
      <c r="L602" s="18"/>
      <c r="M602" s="18"/>
      <c r="N602" s="18"/>
      <c r="O602" s="16"/>
      <c r="P602" s="18"/>
      <c r="Q602" s="18"/>
      <c r="R602" s="18"/>
      <c r="S602" s="18"/>
      <c r="T602" s="18"/>
      <c r="U602" s="16"/>
      <c r="V602" s="18"/>
      <c r="W602" s="16"/>
      <c r="X602" s="18"/>
      <c r="Y602" s="18"/>
      <c r="Z602" s="18"/>
      <c r="AA602" s="18"/>
    </row>
    <row r="603" spans="2:27" x14ac:dyDescent="0.35">
      <c r="B603" s="18"/>
      <c r="C603" s="18"/>
      <c r="D603" s="18"/>
      <c r="E603" s="18"/>
      <c r="F603" s="18"/>
      <c r="G603" s="18"/>
      <c r="H603" s="18"/>
      <c r="I603" s="16"/>
      <c r="J603" s="18"/>
      <c r="K603" s="18"/>
      <c r="L603" s="18"/>
      <c r="M603" s="18"/>
      <c r="N603" s="18"/>
      <c r="O603" s="16"/>
      <c r="P603" s="18"/>
      <c r="Q603" s="18"/>
      <c r="R603" s="18"/>
      <c r="S603" s="18"/>
      <c r="T603" s="18"/>
      <c r="U603" s="16"/>
      <c r="V603" s="18"/>
      <c r="W603" s="16"/>
      <c r="X603" s="18"/>
      <c r="Y603" s="18"/>
      <c r="Z603" s="18"/>
      <c r="AA603" s="18"/>
    </row>
    <row r="604" spans="2:27" x14ac:dyDescent="0.35">
      <c r="B604" s="18"/>
      <c r="C604" s="18"/>
      <c r="D604" s="18"/>
      <c r="E604" s="18"/>
      <c r="F604" s="18"/>
      <c r="G604" s="18"/>
      <c r="H604" s="18"/>
      <c r="I604" s="16"/>
      <c r="J604" s="18"/>
      <c r="K604" s="18"/>
      <c r="L604" s="18"/>
      <c r="M604" s="18"/>
      <c r="N604" s="18"/>
      <c r="O604" s="16"/>
      <c r="P604" s="18"/>
      <c r="Q604" s="18"/>
      <c r="R604" s="18"/>
      <c r="S604" s="18"/>
      <c r="T604" s="18"/>
      <c r="U604" s="16"/>
      <c r="V604" s="18"/>
      <c r="W604" s="16"/>
      <c r="X604" s="18"/>
      <c r="Y604" s="18"/>
      <c r="Z604" s="18"/>
      <c r="AA604" s="18"/>
    </row>
    <row r="605" spans="2:27" x14ac:dyDescent="0.35">
      <c r="B605" s="18"/>
      <c r="C605" s="18"/>
      <c r="D605" s="18"/>
      <c r="E605" s="18"/>
      <c r="F605" s="18"/>
      <c r="G605" s="18"/>
      <c r="H605" s="18"/>
      <c r="I605" s="16"/>
      <c r="J605" s="18"/>
      <c r="K605" s="18"/>
      <c r="L605" s="18"/>
      <c r="M605" s="18"/>
      <c r="N605" s="18"/>
      <c r="O605" s="16"/>
      <c r="P605" s="18"/>
      <c r="Q605" s="18"/>
      <c r="R605" s="18"/>
      <c r="S605" s="18"/>
      <c r="T605" s="18"/>
      <c r="U605" s="16"/>
      <c r="V605" s="18"/>
      <c r="W605" s="16"/>
      <c r="X605" s="18"/>
      <c r="Y605" s="18"/>
      <c r="Z605" s="18"/>
      <c r="AA605" s="18"/>
    </row>
    <row r="606" spans="2:27" x14ac:dyDescent="0.35">
      <c r="B606" s="18"/>
      <c r="C606" s="18"/>
      <c r="D606" s="18"/>
      <c r="E606" s="18"/>
      <c r="F606" s="18"/>
      <c r="G606" s="18"/>
      <c r="H606" s="18"/>
      <c r="I606" s="16"/>
      <c r="J606" s="18"/>
      <c r="K606" s="18"/>
      <c r="L606" s="18"/>
      <c r="M606" s="18"/>
      <c r="N606" s="18"/>
      <c r="O606" s="16"/>
      <c r="P606" s="18"/>
      <c r="Q606" s="18"/>
      <c r="R606" s="18"/>
      <c r="S606" s="18"/>
      <c r="T606" s="18"/>
      <c r="U606" s="16"/>
      <c r="V606" s="18"/>
      <c r="W606" s="16"/>
      <c r="X606" s="18"/>
      <c r="Y606" s="18"/>
      <c r="Z606" s="18"/>
      <c r="AA606" s="18"/>
    </row>
    <row r="607" spans="2:27" x14ac:dyDescent="0.35">
      <c r="B607" s="18"/>
      <c r="C607" s="18"/>
      <c r="D607" s="18"/>
      <c r="E607" s="18"/>
      <c r="F607" s="18"/>
      <c r="G607" s="18"/>
      <c r="H607" s="18"/>
      <c r="I607" s="16"/>
      <c r="J607" s="18"/>
      <c r="K607" s="18"/>
      <c r="L607" s="18"/>
      <c r="M607" s="18"/>
      <c r="N607" s="18"/>
      <c r="O607" s="16"/>
      <c r="P607" s="18"/>
      <c r="Q607" s="18"/>
      <c r="R607" s="18"/>
      <c r="S607" s="18"/>
      <c r="T607" s="18"/>
      <c r="U607" s="16"/>
      <c r="V607" s="18"/>
      <c r="W607" s="16"/>
      <c r="X607" s="18"/>
      <c r="Y607" s="18"/>
      <c r="Z607" s="18"/>
      <c r="AA607" s="18"/>
    </row>
    <row r="608" spans="2:27" x14ac:dyDescent="0.35">
      <c r="B608" s="18"/>
      <c r="C608" s="18"/>
      <c r="D608" s="18"/>
      <c r="E608" s="18"/>
      <c r="F608" s="18"/>
      <c r="G608" s="18"/>
      <c r="H608" s="18"/>
      <c r="I608" s="16"/>
      <c r="J608" s="18"/>
      <c r="K608" s="18"/>
      <c r="L608" s="18"/>
      <c r="M608" s="18"/>
      <c r="N608" s="18"/>
      <c r="O608" s="16"/>
      <c r="P608" s="18"/>
      <c r="Q608" s="18"/>
      <c r="R608" s="18"/>
      <c r="S608" s="18"/>
      <c r="T608" s="18"/>
      <c r="U608" s="16"/>
      <c r="V608" s="18"/>
      <c r="W608" s="16"/>
      <c r="X608" s="18"/>
      <c r="Y608" s="18"/>
      <c r="Z608" s="18"/>
      <c r="AA608" s="18"/>
    </row>
    <row r="609" spans="2:27" x14ac:dyDescent="0.35">
      <c r="B609" s="18"/>
      <c r="C609" s="18"/>
      <c r="D609" s="18"/>
      <c r="E609" s="18"/>
      <c r="F609" s="18"/>
      <c r="G609" s="18"/>
      <c r="H609" s="18"/>
      <c r="I609" s="16"/>
      <c r="J609" s="18"/>
      <c r="K609" s="18"/>
      <c r="L609" s="18"/>
      <c r="M609" s="18"/>
      <c r="N609" s="18"/>
      <c r="O609" s="16"/>
      <c r="P609" s="18"/>
      <c r="Q609" s="18"/>
      <c r="R609" s="18"/>
      <c r="S609" s="18"/>
      <c r="T609" s="18"/>
      <c r="U609" s="16"/>
      <c r="V609" s="18"/>
      <c r="W609" s="16"/>
      <c r="X609" s="18"/>
      <c r="Y609" s="18"/>
      <c r="Z609" s="18"/>
      <c r="AA609" s="18"/>
    </row>
    <row r="610" spans="2:27" x14ac:dyDescent="0.35">
      <c r="B610" s="18"/>
      <c r="C610" s="18"/>
      <c r="D610" s="18"/>
      <c r="E610" s="18"/>
      <c r="F610" s="18"/>
      <c r="G610" s="18"/>
      <c r="H610" s="18"/>
      <c r="I610" s="16"/>
      <c r="J610" s="18"/>
      <c r="K610" s="18"/>
      <c r="L610" s="18"/>
      <c r="M610" s="18"/>
      <c r="N610" s="18"/>
      <c r="O610" s="16"/>
      <c r="P610" s="18"/>
      <c r="Q610" s="18"/>
      <c r="R610" s="18"/>
      <c r="S610" s="18"/>
      <c r="T610" s="18"/>
      <c r="U610" s="16"/>
      <c r="V610" s="18"/>
      <c r="W610" s="16"/>
      <c r="X610" s="18"/>
      <c r="Y610" s="18"/>
      <c r="Z610" s="18"/>
      <c r="AA610" s="18"/>
    </row>
    <row r="611" spans="2:27" x14ac:dyDescent="0.35">
      <c r="B611" s="18"/>
      <c r="C611" s="18"/>
      <c r="D611" s="18"/>
      <c r="E611" s="18"/>
      <c r="F611" s="18"/>
      <c r="G611" s="18"/>
      <c r="H611" s="18"/>
      <c r="I611" s="16"/>
      <c r="J611" s="18"/>
      <c r="K611" s="18"/>
      <c r="L611" s="18"/>
      <c r="M611" s="18"/>
      <c r="N611" s="18"/>
      <c r="O611" s="16"/>
      <c r="P611" s="18"/>
      <c r="Q611" s="18"/>
      <c r="R611" s="18"/>
      <c r="S611" s="18"/>
      <c r="T611" s="18"/>
      <c r="U611" s="16"/>
      <c r="V611" s="18"/>
      <c r="W611" s="16"/>
      <c r="X611" s="18"/>
      <c r="Y611" s="18"/>
      <c r="Z611" s="18"/>
      <c r="AA611" s="18"/>
    </row>
    <row r="612" spans="2:27" x14ac:dyDescent="0.35">
      <c r="B612" s="18"/>
      <c r="C612" s="18"/>
      <c r="D612" s="18"/>
      <c r="E612" s="18"/>
      <c r="F612" s="18"/>
      <c r="G612" s="18"/>
      <c r="H612" s="18"/>
      <c r="I612" s="16"/>
      <c r="J612" s="18"/>
      <c r="K612" s="18"/>
      <c r="L612" s="18"/>
      <c r="M612" s="18"/>
      <c r="N612" s="18"/>
      <c r="O612" s="16"/>
      <c r="P612" s="18"/>
      <c r="Q612" s="18"/>
      <c r="R612" s="18"/>
      <c r="S612" s="18"/>
      <c r="T612" s="18"/>
      <c r="U612" s="16"/>
      <c r="V612" s="18"/>
      <c r="W612" s="16"/>
      <c r="X612" s="18"/>
      <c r="Y612" s="18"/>
      <c r="Z612" s="18"/>
      <c r="AA612" s="18"/>
    </row>
    <row r="613" spans="2:27" x14ac:dyDescent="0.35">
      <c r="B613" s="18"/>
      <c r="C613" s="18"/>
      <c r="D613" s="18"/>
      <c r="E613" s="18"/>
      <c r="F613" s="18"/>
      <c r="G613" s="18"/>
      <c r="H613" s="18"/>
      <c r="I613" s="16"/>
      <c r="J613" s="18"/>
      <c r="K613" s="18"/>
      <c r="L613" s="18"/>
      <c r="M613" s="18"/>
      <c r="N613" s="18"/>
      <c r="O613" s="16"/>
      <c r="P613" s="18"/>
      <c r="Q613" s="18"/>
      <c r="R613" s="18"/>
      <c r="S613" s="18"/>
      <c r="T613" s="18"/>
      <c r="U613" s="16"/>
      <c r="V613" s="18"/>
      <c r="W613" s="16"/>
      <c r="X613" s="18"/>
      <c r="Y613" s="18"/>
      <c r="Z613" s="18"/>
      <c r="AA613" s="18"/>
    </row>
    <row r="614" spans="2:27" x14ac:dyDescent="0.35">
      <c r="B614" s="18"/>
      <c r="C614" s="18"/>
      <c r="D614" s="18"/>
      <c r="E614" s="18"/>
      <c r="F614" s="18"/>
      <c r="G614" s="18"/>
      <c r="H614" s="18"/>
      <c r="I614" s="16"/>
      <c r="J614" s="18"/>
      <c r="K614" s="18"/>
      <c r="L614" s="18"/>
      <c r="M614" s="18"/>
      <c r="N614" s="18"/>
      <c r="O614" s="16"/>
      <c r="P614" s="18"/>
      <c r="Q614" s="18"/>
      <c r="R614" s="18"/>
      <c r="S614" s="18"/>
      <c r="T614" s="18"/>
      <c r="U614" s="16"/>
      <c r="V614" s="18"/>
      <c r="W614" s="16"/>
      <c r="X614" s="18"/>
      <c r="Y614" s="18"/>
      <c r="Z614" s="18"/>
      <c r="AA614" s="18"/>
    </row>
    <row r="615" spans="2:27" x14ac:dyDescent="0.35">
      <c r="B615" s="18"/>
      <c r="C615" s="18"/>
      <c r="D615" s="18"/>
      <c r="E615" s="18"/>
      <c r="F615" s="18"/>
      <c r="G615" s="18"/>
      <c r="H615" s="18"/>
      <c r="I615" s="16"/>
      <c r="J615" s="18"/>
      <c r="K615" s="18"/>
      <c r="L615" s="18"/>
      <c r="M615" s="18"/>
      <c r="N615" s="18"/>
      <c r="O615" s="16"/>
      <c r="P615" s="18"/>
      <c r="Q615" s="18"/>
      <c r="R615" s="18"/>
      <c r="S615" s="18"/>
      <c r="T615" s="18"/>
      <c r="U615" s="16"/>
      <c r="V615" s="18"/>
      <c r="W615" s="16"/>
      <c r="X615" s="18"/>
      <c r="Y615" s="18"/>
      <c r="Z615" s="18"/>
      <c r="AA615" s="18"/>
    </row>
    <row r="616" spans="2:27" x14ac:dyDescent="0.35">
      <c r="B616" s="18"/>
      <c r="C616" s="18"/>
      <c r="D616" s="18"/>
      <c r="E616" s="18"/>
      <c r="F616" s="18"/>
      <c r="G616" s="18"/>
      <c r="H616" s="18"/>
      <c r="I616" s="16"/>
      <c r="J616" s="18"/>
      <c r="K616" s="18"/>
      <c r="L616" s="18"/>
      <c r="M616" s="18"/>
      <c r="N616" s="18"/>
      <c r="O616" s="16"/>
      <c r="P616" s="18"/>
      <c r="Q616" s="18"/>
      <c r="R616" s="18"/>
      <c r="S616" s="18"/>
      <c r="T616" s="18"/>
      <c r="U616" s="16"/>
      <c r="V616" s="18"/>
      <c r="W616" s="16"/>
      <c r="X616" s="18"/>
      <c r="Y616" s="18"/>
      <c r="Z616" s="18"/>
      <c r="AA616" s="18"/>
    </row>
    <row r="617" spans="2:27" x14ac:dyDescent="0.35">
      <c r="B617" s="18"/>
      <c r="C617" s="18"/>
      <c r="D617" s="18"/>
      <c r="E617" s="18"/>
      <c r="F617" s="18"/>
      <c r="G617" s="18"/>
      <c r="H617" s="18"/>
      <c r="I617" s="16"/>
      <c r="J617" s="18"/>
      <c r="K617" s="18"/>
      <c r="L617" s="18"/>
      <c r="M617" s="18"/>
      <c r="N617" s="18"/>
      <c r="O617" s="16"/>
      <c r="P617" s="18"/>
      <c r="Q617" s="18"/>
      <c r="R617" s="18"/>
      <c r="S617" s="18"/>
      <c r="T617" s="18"/>
      <c r="U617" s="16"/>
      <c r="V617" s="18"/>
      <c r="W617" s="16"/>
      <c r="X617" s="18"/>
      <c r="Y617" s="18"/>
      <c r="Z617" s="18"/>
      <c r="AA617" s="18"/>
    </row>
    <row r="618" spans="2:27" x14ac:dyDescent="0.35">
      <c r="B618" s="18"/>
      <c r="C618" s="18"/>
      <c r="D618" s="18"/>
      <c r="E618" s="18"/>
      <c r="F618" s="18"/>
      <c r="G618" s="18"/>
      <c r="H618" s="18"/>
      <c r="I618" s="16"/>
      <c r="J618" s="18"/>
      <c r="K618" s="18"/>
      <c r="L618" s="18"/>
      <c r="M618" s="18"/>
      <c r="N618" s="18"/>
      <c r="O618" s="16"/>
      <c r="P618" s="18"/>
      <c r="Q618" s="18"/>
      <c r="R618" s="18"/>
      <c r="S618" s="18"/>
      <c r="T618" s="18"/>
      <c r="U618" s="16"/>
      <c r="V618" s="18"/>
      <c r="W618" s="16"/>
      <c r="X618" s="18"/>
      <c r="Y618" s="18"/>
      <c r="Z618" s="18"/>
      <c r="AA618" s="18"/>
    </row>
    <row r="619" spans="2:27" x14ac:dyDescent="0.35">
      <c r="B619" s="18"/>
      <c r="C619" s="18"/>
      <c r="D619" s="18"/>
      <c r="E619" s="18"/>
      <c r="F619" s="18"/>
      <c r="G619" s="18"/>
      <c r="H619" s="18"/>
      <c r="I619" s="16"/>
      <c r="J619" s="18"/>
      <c r="K619" s="18"/>
      <c r="L619" s="18"/>
      <c r="M619" s="18"/>
      <c r="N619" s="18"/>
      <c r="O619" s="16"/>
      <c r="P619" s="18"/>
      <c r="Q619" s="18"/>
      <c r="R619" s="18"/>
      <c r="S619" s="18"/>
      <c r="T619" s="18"/>
      <c r="U619" s="16"/>
      <c r="V619" s="18"/>
      <c r="W619" s="16"/>
      <c r="X619" s="18"/>
      <c r="Y619" s="18"/>
      <c r="Z619" s="18"/>
      <c r="AA619" s="18"/>
    </row>
    <row r="620" spans="2:27" x14ac:dyDescent="0.35">
      <c r="B620" s="18"/>
      <c r="C620" s="18"/>
      <c r="D620" s="18"/>
      <c r="E620" s="18"/>
      <c r="F620" s="18"/>
      <c r="G620" s="18"/>
      <c r="H620" s="18"/>
      <c r="I620" s="16"/>
      <c r="J620" s="18"/>
      <c r="K620" s="18"/>
      <c r="L620" s="18"/>
      <c r="M620" s="18"/>
      <c r="N620" s="18"/>
      <c r="O620" s="16"/>
      <c r="P620" s="18"/>
      <c r="Q620" s="18"/>
      <c r="R620" s="18"/>
      <c r="S620" s="18"/>
      <c r="T620" s="18"/>
      <c r="U620" s="16"/>
      <c r="V620" s="18"/>
      <c r="W620" s="16"/>
      <c r="X620" s="18"/>
      <c r="Y620" s="18"/>
      <c r="Z620" s="18"/>
      <c r="AA620" s="18"/>
    </row>
    <row r="621" spans="2:27" x14ac:dyDescent="0.35">
      <c r="B621" s="18"/>
      <c r="C621" s="18"/>
      <c r="D621" s="18"/>
      <c r="E621" s="18"/>
      <c r="F621" s="18"/>
      <c r="G621" s="18"/>
      <c r="H621" s="18"/>
      <c r="I621" s="16"/>
      <c r="J621" s="18"/>
      <c r="K621" s="18"/>
      <c r="L621" s="18"/>
      <c r="M621" s="18"/>
      <c r="N621" s="18"/>
      <c r="O621" s="16"/>
      <c r="P621" s="18"/>
      <c r="Q621" s="18"/>
      <c r="R621" s="18"/>
      <c r="S621" s="18"/>
      <c r="T621" s="18"/>
      <c r="U621" s="16"/>
      <c r="V621" s="18"/>
      <c r="W621" s="16"/>
      <c r="X621" s="18"/>
      <c r="Y621" s="18"/>
      <c r="Z621" s="18"/>
      <c r="AA621" s="18"/>
    </row>
    <row r="622" spans="2:27" x14ac:dyDescent="0.35">
      <c r="B622" s="18"/>
      <c r="C622" s="18"/>
      <c r="D622" s="18"/>
      <c r="E622" s="18"/>
      <c r="F622" s="18"/>
      <c r="G622" s="18"/>
      <c r="H622" s="18"/>
      <c r="I622" s="16"/>
      <c r="J622" s="18"/>
      <c r="K622" s="18"/>
      <c r="L622" s="18"/>
      <c r="M622" s="18"/>
      <c r="N622" s="18"/>
      <c r="O622" s="16"/>
      <c r="P622" s="18"/>
      <c r="Q622" s="18"/>
      <c r="R622" s="18"/>
      <c r="S622" s="18"/>
      <c r="T622" s="18"/>
      <c r="U622" s="16"/>
      <c r="V622" s="18"/>
      <c r="W622" s="16"/>
      <c r="X622" s="18"/>
      <c r="Y622" s="18"/>
      <c r="Z622" s="18"/>
      <c r="AA622" s="18"/>
    </row>
    <row r="623" spans="2:27" x14ac:dyDescent="0.35">
      <c r="B623" s="18"/>
      <c r="C623" s="18"/>
      <c r="D623" s="18"/>
      <c r="E623" s="18"/>
      <c r="F623" s="18"/>
      <c r="G623" s="18"/>
      <c r="H623" s="18"/>
      <c r="I623" s="16"/>
      <c r="J623" s="18"/>
      <c r="K623" s="18"/>
      <c r="L623" s="18"/>
      <c r="M623" s="18"/>
      <c r="N623" s="18"/>
      <c r="O623" s="16"/>
      <c r="P623" s="18"/>
      <c r="Q623" s="18"/>
      <c r="R623" s="18"/>
      <c r="S623" s="18"/>
      <c r="T623" s="18"/>
      <c r="U623" s="16"/>
      <c r="V623" s="18"/>
      <c r="W623" s="16"/>
      <c r="X623" s="18"/>
      <c r="Y623" s="18"/>
      <c r="Z623" s="18"/>
      <c r="AA623" s="18"/>
    </row>
    <row r="624" spans="2:27" x14ac:dyDescent="0.35">
      <c r="B624" s="18"/>
      <c r="C624" s="18"/>
      <c r="D624" s="18"/>
      <c r="E624" s="18"/>
      <c r="F624" s="18"/>
      <c r="G624" s="18"/>
      <c r="H624" s="18"/>
      <c r="I624" s="16"/>
      <c r="J624" s="18"/>
      <c r="K624" s="18"/>
      <c r="L624" s="18"/>
      <c r="M624" s="18"/>
      <c r="N624" s="18"/>
      <c r="O624" s="16"/>
      <c r="P624" s="18"/>
      <c r="Q624" s="18"/>
      <c r="R624" s="18"/>
      <c r="S624" s="18"/>
      <c r="T624" s="18"/>
      <c r="U624" s="16"/>
      <c r="V624" s="18"/>
      <c r="W624" s="16"/>
      <c r="X624" s="18"/>
      <c r="Y624" s="18"/>
      <c r="Z624" s="18"/>
      <c r="AA624" s="18"/>
    </row>
    <row r="625" spans="2:27" x14ac:dyDescent="0.35">
      <c r="B625" s="18"/>
      <c r="C625" s="18"/>
      <c r="D625" s="18"/>
      <c r="E625" s="18"/>
      <c r="F625" s="18"/>
      <c r="G625" s="18"/>
      <c r="H625" s="18"/>
      <c r="I625" s="16"/>
      <c r="J625" s="18"/>
      <c r="K625" s="18"/>
      <c r="L625" s="18"/>
      <c r="M625" s="18"/>
      <c r="N625" s="18"/>
      <c r="O625" s="16"/>
      <c r="P625" s="18"/>
      <c r="Q625" s="18"/>
      <c r="R625" s="18"/>
      <c r="S625" s="18"/>
      <c r="T625" s="18"/>
      <c r="U625" s="16"/>
      <c r="V625" s="18"/>
      <c r="W625" s="16"/>
      <c r="X625" s="18"/>
      <c r="Y625" s="18"/>
      <c r="Z625" s="18"/>
      <c r="AA625" s="18"/>
    </row>
    <row r="626" spans="2:27" x14ac:dyDescent="0.35">
      <c r="B626" s="18"/>
      <c r="C626" s="18"/>
      <c r="D626" s="18"/>
      <c r="E626" s="18"/>
      <c r="F626" s="18"/>
      <c r="G626" s="18"/>
      <c r="H626" s="18"/>
      <c r="I626" s="16"/>
      <c r="J626" s="18"/>
      <c r="K626" s="18"/>
      <c r="L626" s="18"/>
      <c r="M626" s="18"/>
      <c r="N626" s="18"/>
      <c r="O626" s="16"/>
      <c r="P626" s="18"/>
      <c r="Q626" s="18"/>
      <c r="R626" s="18"/>
      <c r="S626" s="18"/>
      <c r="T626" s="18"/>
      <c r="U626" s="16"/>
      <c r="V626" s="18"/>
      <c r="W626" s="16"/>
      <c r="X626" s="18"/>
      <c r="Y626" s="18"/>
      <c r="Z626" s="18"/>
      <c r="AA626" s="18"/>
    </row>
    <row r="627" spans="2:27" x14ac:dyDescent="0.35">
      <c r="B627" s="18"/>
      <c r="C627" s="18"/>
      <c r="D627" s="18"/>
      <c r="E627" s="18"/>
      <c r="F627" s="18"/>
      <c r="G627" s="18"/>
      <c r="H627" s="18"/>
      <c r="I627" s="16"/>
      <c r="J627" s="18"/>
      <c r="K627" s="18"/>
      <c r="L627" s="18"/>
      <c r="M627" s="18"/>
      <c r="N627" s="18"/>
      <c r="O627" s="16"/>
      <c r="P627" s="18"/>
      <c r="Q627" s="18"/>
      <c r="R627" s="18"/>
      <c r="S627" s="18"/>
      <c r="T627" s="18"/>
      <c r="U627" s="16"/>
      <c r="V627" s="18"/>
      <c r="W627" s="16"/>
      <c r="X627" s="18"/>
      <c r="Y627" s="18"/>
      <c r="Z627" s="18"/>
      <c r="AA627" s="18"/>
    </row>
    <row r="628" spans="2:27" x14ac:dyDescent="0.35">
      <c r="B628" s="18"/>
      <c r="C628" s="18"/>
      <c r="D628" s="18"/>
      <c r="E628" s="18"/>
      <c r="F628" s="18"/>
      <c r="G628" s="18"/>
      <c r="H628" s="18"/>
      <c r="I628" s="16"/>
      <c r="J628" s="18"/>
      <c r="K628" s="18"/>
      <c r="L628" s="18"/>
      <c r="M628" s="18"/>
      <c r="N628" s="18"/>
      <c r="O628" s="16"/>
      <c r="P628" s="18"/>
      <c r="Q628" s="18"/>
      <c r="R628" s="18"/>
      <c r="S628" s="18"/>
      <c r="T628" s="18"/>
      <c r="U628" s="16"/>
      <c r="V628" s="18"/>
      <c r="W628" s="16"/>
      <c r="X628" s="18"/>
      <c r="Y628" s="18"/>
      <c r="Z628" s="18"/>
      <c r="AA628" s="18"/>
    </row>
    <row r="629" spans="2:27" x14ac:dyDescent="0.35">
      <c r="B629" s="18"/>
      <c r="C629" s="18"/>
      <c r="D629" s="18"/>
      <c r="E629" s="18"/>
      <c r="F629" s="18"/>
      <c r="G629" s="18"/>
      <c r="H629" s="18"/>
      <c r="I629" s="16"/>
      <c r="J629" s="18"/>
      <c r="K629" s="18"/>
      <c r="L629" s="18"/>
      <c r="M629" s="18"/>
      <c r="N629" s="18"/>
      <c r="O629" s="16"/>
      <c r="P629" s="18"/>
      <c r="Q629" s="18"/>
      <c r="R629" s="18"/>
      <c r="S629" s="18"/>
      <c r="T629" s="18"/>
      <c r="U629" s="16"/>
      <c r="V629" s="18"/>
      <c r="W629" s="16"/>
      <c r="X629" s="18"/>
      <c r="Y629" s="18"/>
      <c r="Z629" s="18"/>
      <c r="AA629" s="18"/>
    </row>
    <row r="630" spans="2:27" x14ac:dyDescent="0.35">
      <c r="B630" s="18"/>
      <c r="C630" s="18"/>
      <c r="D630" s="18"/>
      <c r="E630" s="18"/>
      <c r="F630" s="18"/>
      <c r="G630" s="18"/>
      <c r="H630" s="18"/>
      <c r="I630" s="16"/>
      <c r="J630" s="18"/>
      <c r="K630" s="18"/>
      <c r="L630" s="18"/>
      <c r="M630" s="18"/>
      <c r="N630" s="18"/>
      <c r="O630" s="16"/>
      <c r="P630" s="18"/>
      <c r="Q630" s="18"/>
      <c r="R630" s="18"/>
      <c r="S630" s="18"/>
      <c r="T630" s="18"/>
      <c r="U630" s="16"/>
      <c r="V630" s="18"/>
      <c r="W630" s="16"/>
      <c r="X630" s="18"/>
      <c r="Y630" s="18"/>
      <c r="Z630" s="18"/>
      <c r="AA630" s="18"/>
    </row>
    <row r="631" spans="2:27" x14ac:dyDescent="0.35">
      <c r="B631" s="18"/>
      <c r="C631" s="18"/>
      <c r="D631" s="18"/>
      <c r="E631" s="18"/>
      <c r="F631" s="18"/>
      <c r="G631" s="18"/>
      <c r="H631" s="18"/>
      <c r="I631" s="16"/>
      <c r="J631" s="18"/>
      <c r="K631" s="18"/>
      <c r="L631" s="18"/>
      <c r="M631" s="18"/>
      <c r="N631" s="18"/>
      <c r="O631" s="16"/>
      <c r="P631" s="18"/>
      <c r="Q631" s="18"/>
      <c r="R631" s="18"/>
      <c r="S631" s="18"/>
      <c r="T631" s="18"/>
      <c r="U631" s="16"/>
      <c r="V631" s="18"/>
      <c r="W631" s="16"/>
      <c r="X631" s="18"/>
      <c r="Y631" s="18"/>
      <c r="Z631" s="18"/>
      <c r="AA631" s="18"/>
    </row>
    <row r="632" spans="2:27" x14ac:dyDescent="0.35">
      <c r="B632" s="18"/>
      <c r="C632" s="18"/>
      <c r="D632" s="18"/>
      <c r="E632" s="18"/>
      <c r="F632" s="18"/>
      <c r="G632" s="18"/>
      <c r="H632" s="18"/>
      <c r="I632" s="16"/>
      <c r="J632" s="18"/>
      <c r="K632" s="18"/>
      <c r="L632" s="18"/>
      <c r="M632" s="18"/>
      <c r="N632" s="18"/>
      <c r="O632" s="16"/>
      <c r="P632" s="18"/>
      <c r="Q632" s="18"/>
      <c r="R632" s="18"/>
      <c r="S632" s="18"/>
      <c r="T632" s="18"/>
      <c r="U632" s="16"/>
      <c r="V632" s="18"/>
      <c r="W632" s="16"/>
      <c r="X632" s="18"/>
      <c r="Y632" s="18"/>
      <c r="Z632" s="18"/>
      <c r="AA632" s="18"/>
    </row>
    <row r="633" spans="2:27" x14ac:dyDescent="0.35">
      <c r="B633" s="18"/>
      <c r="C633" s="18"/>
      <c r="D633" s="18"/>
      <c r="E633" s="18"/>
      <c r="F633" s="18"/>
      <c r="G633" s="18"/>
      <c r="H633" s="18"/>
      <c r="I633" s="16"/>
      <c r="J633" s="18"/>
      <c r="K633" s="18"/>
      <c r="L633" s="18"/>
      <c r="M633" s="18"/>
      <c r="N633" s="18"/>
      <c r="O633" s="16"/>
      <c r="P633" s="18"/>
      <c r="Q633" s="18"/>
      <c r="R633" s="18"/>
      <c r="S633" s="18"/>
      <c r="T633" s="18"/>
      <c r="U633" s="16"/>
      <c r="V633" s="18"/>
      <c r="W633" s="16"/>
      <c r="X633" s="18"/>
      <c r="Y633" s="18"/>
      <c r="Z633" s="18"/>
      <c r="AA633" s="18"/>
    </row>
    <row r="634" spans="2:27" x14ac:dyDescent="0.35">
      <c r="B634" s="18"/>
      <c r="C634" s="18"/>
      <c r="D634" s="18"/>
      <c r="E634" s="18"/>
      <c r="F634" s="18"/>
      <c r="G634" s="18"/>
      <c r="H634" s="18"/>
      <c r="I634" s="16"/>
      <c r="J634" s="18"/>
      <c r="K634" s="18"/>
      <c r="L634" s="18"/>
      <c r="M634" s="18"/>
      <c r="N634" s="18"/>
      <c r="O634" s="16"/>
      <c r="P634" s="18"/>
      <c r="Q634" s="18"/>
      <c r="R634" s="18"/>
      <c r="S634" s="18"/>
      <c r="T634" s="18"/>
      <c r="U634" s="16"/>
      <c r="V634" s="18"/>
      <c r="W634" s="16"/>
      <c r="X634" s="18"/>
      <c r="Y634" s="18"/>
      <c r="Z634" s="18"/>
      <c r="AA634" s="18"/>
    </row>
    <row r="635" spans="2:27" x14ac:dyDescent="0.35">
      <c r="B635" s="18"/>
      <c r="C635" s="18"/>
      <c r="D635" s="18"/>
      <c r="E635" s="18"/>
      <c r="F635" s="18"/>
      <c r="G635" s="18"/>
      <c r="H635" s="18"/>
      <c r="I635" s="16"/>
      <c r="J635" s="18"/>
      <c r="K635" s="18"/>
      <c r="L635" s="18"/>
      <c r="M635" s="18"/>
      <c r="N635" s="18"/>
      <c r="O635" s="16"/>
      <c r="P635" s="18"/>
      <c r="Q635" s="18"/>
      <c r="R635" s="18"/>
      <c r="S635" s="18"/>
      <c r="T635" s="18"/>
      <c r="U635" s="16"/>
      <c r="V635" s="18"/>
      <c r="W635" s="16"/>
      <c r="X635" s="18"/>
      <c r="Y635" s="18"/>
      <c r="Z635" s="18"/>
      <c r="AA635" s="18"/>
    </row>
    <row r="636" spans="2:27" x14ac:dyDescent="0.35">
      <c r="B636" s="18"/>
      <c r="C636" s="18"/>
      <c r="D636" s="18"/>
      <c r="E636" s="18"/>
      <c r="F636" s="18"/>
      <c r="G636" s="18"/>
      <c r="H636" s="18"/>
      <c r="I636" s="16"/>
      <c r="J636" s="18"/>
      <c r="K636" s="18"/>
      <c r="L636" s="18"/>
      <c r="M636" s="18"/>
      <c r="N636" s="18"/>
      <c r="O636" s="16"/>
      <c r="P636" s="18"/>
      <c r="Q636" s="18"/>
      <c r="R636" s="18"/>
      <c r="S636" s="18"/>
      <c r="T636" s="18"/>
      <c r="U636" s="16"/>
      <c r="V636" s="18"/>
      <c r="W636" s="16"/>
      <c r="X636" s="18"/>
      <c r="Y636" s="18"/>
      <c r="Z636" s="18"/>
      <c r="AA636" s="18"/>
    </row>
    <row r="637" spans="2:27" x14ac:dyDescent="0.35">
      <c r="B637" s="18"/>
      <c r="C637" s="18"/>
      <c r="D637" s="18"/>
      <c r="E637" s="18"/>
      <c r="F637" s="18"/>
      <c r="G637" s="18"/>
      <c r="H637" s="18"/>
      <c r="I637" s="16"/>
      <c r="J637" s="18"/>
      <c r="K637" s="18"/>
      <c r="L637" s="18"/>
      <c r="M637" s="18"/>
      <c r="N637" s="18"/>
      <c r="O637" s="16"/>
      <c r="P637" s="18"/>
      <c r="Q637" s="18"/>
      <c r="R637" s="18"/>
      <c r="S637" s="18"/>
      <c r="T637" s="18"/>
      <c r="U637" s="16"/>
      <c r="V637" s="18"/>
      <c r="W637" s="16"/>
      <c r="X637" s="18"/>
      <c r="Y637" s="18"/>
      <c r="Z637" s="18"/>
      <c r="AA637" s="18"/>
    </row>
    <row r="638" spans="2:27" x14ac:dyDescent="0.35">
      <c r="B638" s="18"/>
      <c r="C638" s="18"/>
      <c r="D638" s="18"/>
      <c r="E638" s="18"/>
      <c r="F638" s="18"/>
      <c r="G638" s="18"/>
      <c r="H638" s="18"/>
      <c r="I638" s="16"/>
      <c r="J638" s="18"/>
      <c r="K638" s="18"/>
      <c r="L638" s="18"/>
      <c r="M638" s="18"/>
      <c r="N638" s="18"/>
      <c r="O638" s="16"/>
      <c r="P638" s="18"/>
      <c r="Q638" s="18"/>
      <c r="R638" s="18"/>
      <c r="S638" s="18"/>
      <c r="T638" s="18"/>
      <c r="U638" s="16"/>
      <c r="V638" s="18"/>
      <c r="W638" s="16"/>
      <c r="X638" s="18"/>
      <c r="Y638" s="18"/>
      <c r="Z638" s="18"/>
      <c r="AA638" s="18"/>
    </row>
    <row r="639" spans="2:27" x14ac:dyDescent="0.35">
      <c r="B639" s="18"/>
      <c r="C639" s="18"/>
      <c r="D639" s="18"/>
      <c r="E639" s="18"/>
      <c r="F639" s="18"/>
      <c r="G639" s="18"/>
      <c r="H639" s="18"/>
      <c r="I639" s="16"/>
      <c r="J639" s="18"/>
      <c r="K639" s="18"/>
      <c r="L639" s="18"/>
      <c r="M639" s="18"/>
      <c r="N639" s="18"/>
      <c r="O639" s="16"/>
      <c r="P639" s="18"/>
      <c r="Q639" s="18"/>
      <c r="R639" s="18"/>
      <c r="S639" s="18"/>
      <c r="T639" s="18"/>
      <c r="U639" s="16"/>
      <c r="V639" s="18"/>
      <c r="W639" s="16"/>
      <c r="X639" s="18"/>
      <c r="Y639" s="18"/>
      <c r="Z639" s="18"/>
      <c r="AA639" s="18"/>
    </row>
    <row r="640" spans="2:27" x14ac:dyDescent="0.35">
      <c r="B640" s="18"/>
      <c r="C640" s="18"/>
      <c r="D640" s="18"/>
      <c r="E640" s="18"/>
      <c r="F640" s="18"/>
      <c r="G640" s="18"/>
      <c r="H640" s="18"/>
      <c r="I640" s="16"/>
      <c r="J640" s="18"/>
      <c r="K640" s="18"/>
      <c r="L640" s="18"/>
      <c r="M640" s="18"/>
      <c r="N640" s="18"/>
      <c r="O640" s="16"/>
      <c r="P640" s="18"/>
      <c r="Q640" s="18"/>
      <c r="R640" s="18"/>
      <c r="S640" s="18"/>
      <c r="T640" s="18"/>
      <c r="U640" s="16"/>
      <c r="V640" s="18"/>
      <c r="W640" s="16"/>
      <c r="X640" s="18"/>
      <c r="Y640" s="18"/>
      <c r="Z640" s="18"/>
      <c r="AA640" s="18"/>
    </row>
    <row r="641" spans="2:27" x14ac:dyDescent="0.35">
      <c r="B641" s="18"/>
      <c r="C641" s="18"/>
      <c r="D641" s="18"/>
      <c r="E641" s="18"/>
      <c r="F641" s="18"/>
      <c r="G641" s="18"/>
      <c r="H641" s="18"/>
      <c r="I641" s="16"/>
      <c r="J641" s="18"/>
      <c r="K641" s="18"/>
      <c r="L641" s="18"/>
      <c r="M641" s="18"/>
      <c r="N641" s="18"/>
      <c r="O641" s="16"/>
      <c r="P641" s="18"/>
      <c r="Q641" s="18"/>
      <c r="R641" s="18"/>
      <c r="S641" s="18"/>
      <c r="T641" s="18"/>
      <c r="U641" s="16"/>
      <c r="V641" s="18"/>
      <c r="W641" s="16"/>
      <c r="X641" s="18"/>
      <c r="Y641" s="18"/>
      <c r="Z641" s="18"/>
      <c r="AA641" s="18"/>
    </row>
    <row r="642" spans="2:27" x14ac:dyDescent="0.35">
      <c r="B642" s="18"/>
      <c r="C642" s="18"/>
      <c r="D642" s="18"/>
      <c r="E642" s="18"/>
      <c r="F642" s="18"/>
      <c r="G642" s="18"/>
      <c r="H642" s="18"/>
      <c r="I642" s="16"/>
      <c r="J642" s="18"/>
      <c r="K642" s="18"/>
      <c r="L642" s="18"/>
      <c r="M642" s="18"/>
      <c r="N642" s="18"/>
      <c r="O642" s="16"/>
      <c r="P642" s="18"/>
      <c r="Q642" s="18"/>
      <c r="R642" s="18"/>
      <c r="S642" s="18"/>
      <c r="T642" s="18"/>
      <c r="U642" s="16"/>
      <c r="V642" s="18"/>
      <c r="W642" s="16"/>
      <c r="X642" s="18"/>
      <c r="Y642" s="18"/>
      <c r="Z642" s="18"/>
      <c r="AA642" s="18"/>
    </row>
    <row r="643" spans="2:27" x14ac:dyDescent="0.35">
      <c r="B643" s="18"/>
      <c r="C643" s="18"/>
      <c r="D643" s="18"/>
      <c r="E643" s="18"/>
      <c r="F643" s="18"/>
      <c r="G643" s="18"/>
      <c r="H643" s="18"/>
      <c r="I643" s="16"/>
      <c r="J643" s="18"/>
      <c r="K643" s="18"/>
      <c r="L643" s="18"/>
      <c r="M643" s="18"/>
      <c r="N643" s="18"/>
      <c r="O643" s="16"/>
      <c r="P643" s="18"/>
      <c r="Q643" s="18"/>
      <c r="R643" s="18"/>
      <c r="S643" s="18"/>
      <c r="T643" s="18"/>
      <c r="U643" s="16"/>
      <c r="V643" s="18"/>
      <c r="W643" s="16"/>
      <c r="X643" s="18"/>
      <c r="Y643" s="18"/>
      <c r="Z643" s="18"/>
      <c r="AA643" s="18"/>
    </row>
    <row r="644" spans="2:27" x14ac:dyDescent="0.35">
      <c r="B644" s="18"/>
      <c r="C644" s="18"/>
      <c r="D644" s="18"/>
      <c r="E644" s="18"/>
      <c r="F644" s="18"/>
      <c r="G644" s="18"/>
      <c r="H644" s="18"/>
      <c r="I644" s="16"/>
      <c r="J644" s="18"/>
      <c r="K644" s="18"/>
      <c r="L644" s="18"/>
      <c r="M644" s="18"/>
      <c r="N644" s="18"/>
      <c r="O644" s="16"/>
      <c r="P644" s="18"/>
      <c r="Q644" s="18"/>
      <c r="R644" s="18"/>
      <c r="S644" s="18"/>
      <c r="T644" s="18"/>
      <c r="U644" s="16"/>
      <c r="V644" s="18"/>
      <c r="W644" s="16"/>
      <c r="X644" s="18"/>
      <c r="Y644" s="18"/>
      <c r="Z644" s="18"/>
      <c r="AA644" s="18"/>
    </row>
    <row r="645" spans="2:27" x14ac:dyDescent="0.35">
      <c r="B645" s="18"/>
      <c r="C645" s="18"/>
      <c r="D645" s="18"/>
      <c r="E645" s="18"/>
      <c r="F645" s="18"/>
      <c r="G645" s="18"/>
      <c r="H645" s="18"/>
      <c r="I645" s="16"/>
      <c r="J645" s="18"/>
      <c r="K645" s="18"/>
      <c r="L645" s="18"/>
      <c r="M645" s="18"/>
      <c r="N645" s="18"/>
      <c r="O645" s="16"/>
      <c r="P645" s="18"/>
      <c r="Q645" s="18"/>
      <c r="R645" s="18"/>
      <c r="S645" s="18"/>
      <c r="T645" s="18"/>
      <c r="U645" s="16"/>
      <c r="V645" s="18"/>
      <c r="W645" s="16"/>
      <c r="X645" s="18"/>
      <c r="Y645" s="18"/>
      <c r="Z645" s="18"/>
      <c r="AA645" s="18"/>
    </row>
    <row r="646" spans="2:27" x14ac:dyDescent="0.35">
      <c r="B646" s="18"/>
      <c r="C646" s="18"/>
      <c r="D646" s="18"/>
      <c r="E646" s="18"/>
      <c r="F646" s="18"/>
      <c r="G646" s="18"/>
      <c r="H646" s="18"/>
      <c r="I646" s="16"/>
      <c r="J646" s="18"/>
      <c r="K646" s="18"/>
      <c r="L646" s="18"/>
      <c r="M646" s="18"/>
      <c r="N646" s="18"/>
      <c r="O646" s="16"/>
      <c r="P646" s="18"/>
      <c r="Q646" s="18"/>
      <c r="R646" s="18"/>
      <c r="S646" s="18"/>
      <c r="T646" s="18"/>
      <c r="U646" s="16"/>
      <c r="V646" s="18"/>
      <c r="W646" s="16"/>
      <c r="X646" s="18"/>
      <c r="Y646" s="18"/>
      <c r="Z646" s="18"/>
      <c r="AA646" s="18"/>
    </row>
    <row r="647" spans="2:27" x14ac:dyDescent="0.35">
      <c r="B647" s="18"/>
      <c r="C647" s="18"/>
      <c r="D647" s="18"/>
      <c r="E647" s="18"/>
      <c r="F647" s="18"/>
      <c r="G647" s="18"/>
      <c r="H647" s="18"/>
      <c r="I647" s="16"/>
      <c r="J647" s="18"/>
      <c r="K647" s="18"/>
      <c r="L647" s="18"/>
      <c r="M647" s="18"/>
      <c r="N647" s="18"/>
      <c r="O647" s="16"/>
      <c r="P647" s="18"/>
      <c r="Q647" s="18"/>
      <c r="R647" s="18"/>
      <c r="S647" s="18"/>
      <c r="T647" s="18"/>
      <c r="U647" s="16"/>
      <c r="V647" s="18"/>
      <c r="W647" s="16"/>
      <c r="X647" s="18"/>
      <c r="Y647" s="18"/>
      <c r="Z647" s="18"/>
      <c r="AA647" s="18"/>
    </row>
    <row r="648" spans="2:27" x14ac:dyDescent="0.35">
      <c r="B648" s="18"/>
      <c r="C648" s="18"/>
      <c r="D648" s="18"/>
      <c r="E648" s="18"/>
      <c r="F648" s="18"/>
      <c r="G648" s="18"/>
      <c r="H648" s="18"/>
      <c r="I648" s="16"/>
      <c r="J648" s="18"/>
      <c r="K648" s="18"/>
      <c r="L648" s="18"/>
      <c r="M648" s="18"/>
      <c r="N648" s="18"/>
      <c r="O648" s="16"/>
      <c r="P648" s="18"/>
      <c r="Q648" s="18"/>
      <c r="R648" s="18"/>
      <c r="S648" s="18"/>
      <c r="T648" s="18"/>
      <c r="U648" s="16"/>
      <c r="V648" s="18"/>
      <c r="W648" s="16"/>
      <c r="X648" s="18"/>
      <c r="Y648" s="18"/>
      <c r="Z648" s="18"/>
      <c r="AA648" s="18"/>
    </row>
    <row r="649" spans="2:27" x14ac:dyDescent="0.35">
      <c r="B649" s="18"/>
      <c r="C649" s="18"/>
      <c r="D649" s="18"/>
      <c r="E649" s="18"/>
      <c r="F649" s="18"/>
      <c r="G649" s="18"/>
      <c r="H649" s="18"/>
      <c r="I649" s="16"/>
      <c r="J649" s="18"/>
      <c r="K649" s="18"/>
      <c r="L649" s="18"/>
      <c r="M649" s="18"/>
      <c r="N649" s="18"/>
      <c r="O649" s="16"/>
      <c r="P649" s="18"/>
      <c r="Q649" s="18"/>
      <c r="R649" s="18"/>
      <c r="S649" s="18"/>
      <c r="T649" s="18"/>
      <c r="U649" s="16"/>
      <c r="V649" s="18"/>
      <c r="W649" s="16"/>
      <c r="X649" s="18"/>
      <c r="Y649" s="18"/>
      <c r="Z649" s="18"/>
      <c r="AA649" s="18"/>
    </row>
    <row r="650" spans="2:27" x14ac:dyDescent="0.35">
      <c r="B650" s="18"/>
      <c r="C650" s="18"/>
      <c r="D650" s="18"/>
      <c r="E650" s="18"/>
      <c r="F650" s="18"/>
      <c r="G650" s="18"/>
      <c r="H650" s="18"/>
      <c r="I650" s="16"/>
      <c r="J650" s="18"/>
      <c r="K650" s="18"/>
      <c r="L650" s="18"/>
      <c r="M650" s="18"/>
      <c r="N650" s="18"/>
      <c r="O650" s="16"/>
      <c r="P650" s="18"/>
      <c r="Q650" s="18"/>
      <c r="R650" s="18"/>
      <c r="S650" s="18"/>
      <c r="T650" s="18"/>
      <c r="U650" s="16"/>
      <c r="V650" s="18"/>
      <c r="W650" s="16"/>
      <c r="X650" s="18"/>
      <c r="Y650" s="18"/>
      <c r="Z650" s="18"/>
      <c r="AA650" s="18"/>
    </row>
    <row r="651" spans="2:27" x14ac:dyDescent="0.35">
      <c r="B651" s="18"/>
      <c r="C651" s="18"/>
      <c r="D651" s="18"/>
      <c r="E651" s="18"/>
      <c r="F651" s="18"/>
      <c r="G651" s="18"/>
      <c r="H651" s="18"/>
      <c r="I651" s="16"/>
      <c r="J651" s="18"/>
      <c r="K651" s="18"/>
      <c r="L651" s="18"/>
      <c r="M651" s="18"/>
      <c r="N651" s="18"/>
      <c r="O651" s="16"/>
      <c r="P651" s="18"/>
      <c r="Q651" s="18"/>
      <c r="R651" s="18"/>
      <c r="S651" s="18"/>
      <c r="T651" s="18"/>
      <c r="U651" s="16"/>
      <c r="V651" s="18"/>
      <c r="W651" s="16"/>
      <c r="X651" s="18"/>
      <c r="Y651" s="18"/>
      <c r="Z651" s="18"/>
      <c r="AA651" s="18"/>
    </row>
    <row r="652" spans="2:27" x14ac:dyDescent="0.35">
      <c r="B652" s="18"/>
      <c r="C652" s="18"/>
      <c r="D652" s="18"/>
      <c r="E652" s="18"/>
      <c r="F652" s="18"/>
      <c r="G652" s="18"/>
      <c r="H652" s="18"/>
      <c r="I652" s="16"/>
      <c r="J652" s="18"/>
      <c r="K652" s="18"/>
      <c r="L652" s="18"/>
      <c r="M652" s="18"/>
      <c r="N652" s="18"/>
      <c r="O652" s="16"/>
      <c r="P652" s="18"/>
      <c r="Q652" s="18"/>
      <c r="R652" s="18"/>
      <c r="S652" s="18"/>
      <c r="T652" s="18"/>
      <c r="U652" s="16"/>
      <c r="V652" s="18"/>
      <c r="W652" s="16"/>
      <c r="X652" s="18"/>
      <c r="Y652" s="18"/>
      <c r="Z652" s="18"/>
      <c r="AA652" s="18"/>
    </row>
    <row r="653" spans="2:27" x14ac:dyDescent="0.35">
      <c r="B653" s="18"/>
      <c r="C653" s="18"/>
      <c r="D653" s="18"/>
      <c r="E653" s="18"/>
      <c r="F653" s="18"/>
      <c r="G653" s="18"/>
      <c r="H653" s="18"/>
      <c r="I653" s="16"/>
      <c r="J653" s="18"/>
      <c r="K653" s="18"/>
      <c r="L653" s="18"/>
      <c r="M653" s="18"/>
      <c r="N653" s="18"/>
      <c r="O653" s="16"/>
      <c r="P653" s="18"/>
      <c r="Q653" s="18"/>
      <c r="R653" s="18"/>
      <c r="S653" s="18"/>
      <c r="T653" s="18"/>
      <c r="U653" s="16"/>
      <c r="V653" s="18"/>
      <c r="W653" s="16"/>
      <c r="X653" s="18"/>
      <c r="Y653" s="18"/>
      <c r="Z653" s="18"/>
      <c r="AA653" s="18"/>
    </row>
    <row r="654" spans="2:27" x14ac:dyDescent="0.35">
      <c r="B654" s="18"/>
      <c r="C654" s="18"/>
      <c r="D654" s="18"/>
      <c r="E654" s="18"/>
      <c r="F654" s="18"/>
      <c r="G654" s="18"/>
      <c r="H654" s="18"/>
      <c r="I654" s="16"/>
      <c r="J654" s="18"/>
      <c r="K654" s="18"/>
      <c r="L654" s="18"/>
      <c r="M654" s="18"/>
      <c r="N654" s="18"/>
      <c r="O654" s="16"/>
      <c r="P654" s="18"/>
      <c r="Q654" s="18"/>
      <c r="R654" s="18"/>
      <c r="S654" s="18"/>
      <c r="T654" s="18"/>
      <c r="U654" s="16"/>
      <c r="V654" s="18"/>
      <c r="W654" s="16"/>
      <c r="X654" s="18"/>
      <c r="Y654" s="18"/>
      <c r="Z654" s="18"/>
      <c r="AA654" s="18"/>
    </row>
    <row r="655" spans="2:27" x14ac:dyDescent="0.35">
      <c r="B655" s="18"/>
      <c r="C655" s="18"/>
      <c r="D655" s="18"/>
      <c r="E655" s="18"/>
      <c r="F655" s="18"/>
      <c r="G655" s="18"/>
      <c r="H655" s="18"/>
      <c r="I655" s="16"/>
      <c r="J655" s="18"/>
      <c r="K655" s="18"/>
      <c r="L655" s="18"/>
      <c r="M655" s="18"/>
      <c r="N655" s="18"/>
      <c r="O655" s="16"/>
      <c r="P655" s="18"/>
      <c r="Q655" s="18"/>
      <c r="R655" s="18"/>
      <c r="S655" s="18"/>
      <c r="T655" s="18"/>
      <c r="U655" s="16"/>
      <c r="V655" s="18"/>
      <c r="W655" s="16"/>
      <c r="X655" s="18"/>
      <c r="Y655" s="18"/>
      <c r="Z655" s="18"/>
      <c r="AA655" s="18"/>
    </row>
    <row r="656" spans="2:27" x14ac:dyDescent="0.35">
      <c r="B656" s="18"/>
      <c r="C656" s="18"/>
      <c r="D656" s="18"/>
      <c r="E656" s="18"/>
      <c r="F656" s="18"/>
      <c r="G656" s="18"/>
      <c r="H656" s="18"/>
      <c r="I656" s="16"/>
      <c r="J656" s="18"/>
      <c r="K656" s="18"/>
      <c r="L656" s="18"/>
      <c r="M656" s="18"/>
      <c r="N656" s="18"/>
      <c r="O656" s="16"/>
      <c r="P656" s="18"/>
      <c r="Q656" s="18"/>
      <c r="R656" s="18"/>
      <c r="S656" s="18"/>
      <c r="T656" s="18"/>
      <c r="U656" s="16"/>
      <c r="V656" s="18"/>
      <c r="W656" s="16"/>
      <c r="X656" s="18"/>
      <c r="Y656" s="18"/>
      <c r="Z656" s="18"/>
      <c r="AA656" s="18"/>
    </row>
    <row r="657" spans="2:27" x14ac:dyDescent="0.35">
      <c r="B657" s="18"/>
      <c r="C657" s="18"/>
      <c r="D657" s="18"/>
      <c r="E657" s="18"/>
      <c r="F657" s="18"/>
      <c r="G657" s="18"/>
      <c r="H657" s="18"/>
      <c r="I657" s="16"/>
      <c r="J657" s="18"/>
      <c r="K657" s="18"/>
      <c r="L657" s="18"/>
      <c r="M657" s="18"/>
      <c r="N657" s="18"/>
      <c r="O657" s="16"/>
      <c r="P657" s="18"/>
      <c r="Q657" s="18"/>
      <c r="R657" s="18"/>
      <c r="S657" s="18"/>
      <c r="T657" s="18"/>
      <c r="U657" s="16"/>
      <c r="V657" s="18"/>
      <c r="W657" s="16"/>
      <c r="X657" s="18"/>
      <c r="Y657" s="18"/>
      <c r="Z657" s="18"/>
      <c r="AA657" s="18"/>
    </row>
    <row r="658" spans="2:27" x14ac:dyDescent="0.35">
      <c r="B658" s="18"/>
      <c r="C658" s="18"/>
      <c r="D658" s="18"/>
      <c r="E658" s="18"/>
      <c r="F658" s="18"/>
      <c r="G658" s="18"/>
      <c r="H658" s="18"/>
      <c r="I658" s="16"/>
      <c r="J658" s="18"/>
      <c r="K658" s="18"/>
      <c r="L658" s="18"/>
      <c r="M658" s="18"/>
      <c r="N658" s="18"/>
      <c r="O658" s="16"/>
      <c r="P658" s="18"/>
      <c r="Q658" s="18"/>
      <c r="R658" s="18"/>
      <c r="S658" s="18"/>
      <c r="T658" s="18"/>
      <c r="U658" s="16"/>
      <c r="V658" s="18"/>
      <c r="W658" s="16"/>
      <c r="X658" s="18"/>
      <c r="Y658" s="18"/>
      <c r="Z658" s="18"/>
      <c r="AA658" s="18"/>
    </row>
    <row r="659" spans="2:27" x14ac:dyDescent="0.35">
      <c r="B659" s="18"/>
      <c r="C659" s="18"/>
      <c r="D659" s="18"/>
      <c r="E659" s="18"/>
      <c r="F659" s="18"/>
      <c r="G659" s="18"/>
      <c r="H659" s="18"/>
      <c r="I659" s="16"/>
      <c r="J659" s="18"/>
      <c r="K659" s="18"/>
      <c r="L659" s="18"/>
      <c r="M659" s="18"/>
      <c r="N659" s="18"/>
      <c r="O659" s="16"/>
      <c r="P659" s="18"/>
      <c r="Q659" s="18"/>
      <c r="R659" s="18"/>
      <c r="S659" s="18"/>
      <c r="T659" s="18"/>
      <c r="U659" s="16"/>
      <c r="V659" s="18"/>
      <c r="W659" s="16"/>
      <c r="X659" s="18"/>
      <c r="Y659" s="18"/>
      <c r="Z659" s="18"/>
      <c r="AA659" s="18"/>
    </row>
    <row r="660" spans="2:27" x14ac:dyDescent="0.35">
      <c r="B660" s="18"/>
      <c r="C660" s="18"/>
      <c r="D660" s="18"/>
      <c r="E660" s="18"/>
      <c r="F660" s="18"/>
      <c r="G660" s="18"/>
      <c r="H660" s="18"/>
      <c r="I660" s="16"/>
      <c r="J660" s="18"/>
      <c r="K660" s="18"/>
      <c r="L660" s="18"/>
      <c r="M660" s="18"/>
      <c r="N660" s="18"/>
      <c r="O660" s="16"/>
      <c r="P660" s="18"/>
      <c r="Q660" s="18"/>
      <c r="R660" s="18"/>
      <c r="S660" s="18"/>
      <c r="T660" s="18"/>
      <c r="U660" s="16"/>
      <c r="V660" s="18"/>
      <c r="W660" s="16"/>
      <c r="X660" s="18"/>
      <c r="Y660" s="18"/>
      <c r="Z660" s="18"/>
      <c r="AA660" s="18"/>
    </row>
    <row r="661" spans="2:27" x14ac:dyDescent="0.35">
      <c r="B661" s="18"/>
      <c r="C661" s="18"/>
      <c r="D661" s="18"/>
      <c r="E661" s="18"/>
      <c r="F661" s="18"/>
      <c r="G661" s="18"/>
      <c r="H661" s="18"/>
      <c r="I661" s="16"/>
      <c r="J661" s="18"/>
      <c r="K661" s="18"/>
      <c r="L661" s="18"/>
      <c r="M661" s="18"/>
      <c r="N661" s="18"/>
      <c r="O661" s="16"/>
      <c r="P661" s="18"/>
      <c r="Q661" s="18"/>
      <c r="R661" s="18"/>
      <c r="S661" s="18"/>
      <c r="T661" s="18"/>
      <c r="U661" s="16"/>
      <c r="V661" s="18"/>
      <c r="W661" s="16"/>
      <c r="X661" s="18"/>
      <c r="Y661" s="18"/>
      <c r="Z661" s="18"/>
      <c r="AA661" s="18"/>
    </row>
    <row r="662" spans="2:27" x14ac:dyDescent="0.35">
      <c r="B662" s="18"/>
      <c r="C662" s="18"/>
      <c r="D662" s="18"/>
      <c r="E662" s="18"/>
      <c r="F662" s="18"/>
      <c r="G662" s="18"/>
      <c r="H662" s="18"/>
      <c r="I662" s="16"/>
      <c r="J662" s="18"/>
      <c r="K662" s="18"/>
      <c r="L662" s="18"/>
      <c r="M662" s="18"/>
      <c r="N662" s="18"/>
      <c r="O662" s="16"/>
      <c r="P662" s="18"/>
      <c r="Q662" s="18"/>
      <c r="R662" s="18"/>
      <c r="S662" s="18"/>
      <c r="T662" s="18"/>
      <c r="U662" s="16"/>
      <c r="V662" s="18"/>
      <c r="W662" s="16"/>
      <c r="X662" s="18"/>
      <c r="Y662" s="18"/>
      <c r="Z662" s="18"/>
      <c r="AA662" s="18"/>
    </row>
    <row r="663" spans="2:27" x14ac:dyDescent="0.35">
      <c r="B663" s="18"/>
      <c r="C663" s="18"/>
      <c r="D663" s="18"/>
      <c r="E663" s="18"/>
      <c r="F663" s="18"/>
      <c r="G663" s="18"/>
      <c r="H663" s="18"/>
      <c r="I663" s="16"/>
      <c r="J663" s="18"/>
      <c r="K663" s="18"/>
      <c r="L663" s="18"/>
      <c r="M663" s="18"/>
      <c r="N663" s="18"/>
      <c r="O663" s="16"/>
      <c r="P663" s="18"/>
      <c r="Q663" s="18"/>
      <c r="R663" s="18"/>
      <c r="S663" s="18"/>
      <c r="T663" s="18"/>
      <c r="U663" s="16"/>
      <c r="V663" s="18"/>
      <c r="W663" s="16"/>
      <c r="X663" s="18"/>
      <c r="Y663" s="18"/>
      <c r="Z663" s="18"/>
      <c r="AA663" s="18"/>
    </row>
    <row r="664" spans="2:27" x14ac:dyDescent="0.35">
      <c r="B664" s="18"/>
      <c r="C664" s="18"/>
      <c r="D664" s="18"/>
      <c r="E664" s="18"/>
      <c r="F664" s="18"/>
      <c r="G664" s="18"/>
      <c r="H664" s="18"/>
      <c r="I664" s="16"/>
      <c r="J664" s="18"/>
      <c r="K664" s="18"/>
      <c r="L664" s="18"/>
      <c r="M664" s="18"/>
      <c r="N664" s="18"/>
      <c r="O664" s="16"/>
      <c r="P664" s="18"/>
      <c r="Q664" s="18"/>
      <c r="R664" s="18"/>
      <c r="S664" s="18"/>
      <c r="T664" s="18"/>
      <c r="U664" s="16"/>
      <c r="V664" s="18"/>
      <c r="W664" s="16"/>
      <c r="X664" s="18"/>
      <c r="Y664" s="18"/>
      <c r="Z664" s="18"/>
      <c r="AA664" s="18"/>
    </row>
    <row r="665" spans="2:27" x14ac:dyDescent="0.35">
      <c r="B665" s="18"/>
      <c r="C665" s="18"/>
      <c r="D665" s="18"/>
      <c r="E665" s="18"/>
      <c r="F665" s="18"/>
      <c r="G665" s="18"/>
      <c r="H665" s="18"/>
      <c r="I665" s="16"/>
      <c r="J665" s="18"/>
      <c r="K665" s="18"/>
      <c r="L665" s="18"/>
      <c r="M665" s="18"/>
      <c r="N665" s="18"/>
      <c r="O665" s="16"/>
      <c r="P665" s="18"/>
      <c r="Q665" s="18"/>
      <c r="R665" s="18"/>
      <c r="S665" s="18"/>
      <c r="T665" s="18"/>
      <c r="U665" s="16"/>
      <c r="V665" s="18"/>
      <c r="W665" s="16"/>
      <c r="X665" s="18"/>
      <c r="Y665" s="18"/>
      <c r="Z665" s="18"/>
      <c r="AA665" s="18"/>
    </row>
    <row r="666" spans="2:27" x14ac:dyDescent="0.35">
      <c r="B666" s="18"/>
      <c r="C666" s="18"/>
      <c r="D666" s="18"/>
      <c r="E666" s="18"/>
      <c r="F666" s="18"/>
      <c r="G666" s="18"/>
      <c r="H666" s="18"/>
      <c r="I666" s="16"/>
      <c r="J666" s="18"/>
      <c r="K666" s="18"/>
      <c r="L666" s="18"/>
      <c r="M666" s="18"/>
      <c r="N666" s="18"/>
      <c r="O666" s="16"/>
      <c r="P666" s="18"/>
      <c r="Q666" s="18"/>
      <c r="R666" s="18"/>
      <c r="S666" s="18"/>
      <c r="T666" s="18"/>
      <c r="U666" s="16"/>
      <c r="V666" s="18"/>
      <c r="W666" s="16"/>
      <c r="X666" s="18"/>
      <c r="Y666" s="18"/>
      <c r="Z666" s="18"/>
      <c r="AA666" s="18"/>
    </row>
    <row r="667" spans="2:27" x14ac:dyDescent="0.35">
      <c r="B667" s="18"/>
      <c r="C667" s="18"/>
      <c r="D667" s="18"/>
      <c r="E667" s="18"/>
      <c r="F667" s="18"/>
      <c r="G667" s="18"/>
      <c r="H667" s="18"/>
      <c r="I667" s="16"/>
      <c r="J667" s="18"/>
      <c r="K667" s="18"/>
      <c r="L667" s="18"/>
      <c r="M667" s="18"/>
      <c r="N667" s="18"/>
      <c r="O667" s="16"/>
      <c r="P667" s="18"/>
      <c r="Q667" s="18"/>
      <c r="R667" s="18"/>
      <c r="S667" s="18"/>
      <c r="T667" s="18"/>
      <c r="U667" s="16"/>
      <c r="V667" s="18"/>
      <c r="W667" s="16"/>
      <c r="X667" s="18"/>
      <c r="Y667" s="18"/>
      <c r="Z667" s="18"/>
      <c r="AA667" s="18"/>
    </row>
    <row r="668" spans="2:27" x14ac:dyDescent="0.35">
      <c r="B668" s="18"/>
      <c r="C668" s="18"/>
      <c r="D668" s="18"/>
      <c r="E668" s="18"/>
      <c r="F668" s="18"/>
      <c r="G668" s="18"/>
      <c r="H668" s="18"/>
      <c r="I668" s="16"/>
      <c r="J668" s="18"/>
      <c r="K668" s="18"/>
      <c r="L668" s="18"/>
      <c r="M668" s="18"/>
      <c r="N668" s="18"/>
      <c r="O668" s="16"/>
      <c r="P668" s="18"/>
      <c r="Q668" s="18"/>
      <c r="R668" s="18"/>
      <c r="S668" s="18"/>
      <c r="T668" s="18"/>
      <c r="U668" s="16"/>
      <c r="V668" s="18"/>
      <c r="W668" s="16"/>
      <c r="X668" s="18"/>
      <c r="Y668" s="18"/>
      <c r="Z668" s="18"/>
      <c r="AA668" s="18"/>
    </row>
    <row r="669" spans="2:27" x14ac:dyDescent="0.35">
      <c r="B669" s="18"/>
      <c r="C669" s="18"/>
      <c r="D669" s="18"/>
      <c r="E669" s="18"/>
      <c r="F669" s="18"/>
      <c r="G669" s="18"/>
      <c r="H669" s="18"/>
      <c r="I669" s="16"/>
      <c r="J669" s="18"/>
      <c r="K669" s="18"/>
      <c r="L669" s="18"/>
      <c r="M669" s="18"/>
      <c r="N669" s="18"/>
      <c r="O669" s="16"/>
      <c r="P669" s="18"/>
      <c r="Q669" s="18"/>
      <c r="R669" s="18"/>
      <c r="S669" s="18"/>
      <c r="T669" s="18"/>
      <c r="U669" s="16"/>
      <c r="V669" s="18"/>
      <c r="W669" s="16"/>
      <c r="X669" s="18"/>
      <c r="Y669" s="18"/>
      <c r="Z669" s="18"/>
      <c r="AA669" s="18"/>
    </row>
    <row r="670" spans="2:27" x14ac:dyDescent="0.35">
      <c r="B670" s="18"/>
      <c r="C670" s="18"/>
      <c r="D670" s="18"/>
      <c r="E670" s="18"/>
      <c r="F670" s="18"/>
      <c r="G670" s="18"/>
      <c r="H670" s="18"/>
      <c r="I670" s="16"/>
      <c r="J670" s="18"/>
      <c r="K670" s="18"/>
      <c r="L670" s="18"/>
      <c r="M670" s="18"/>
      <c r="N670" s="18"/>
      <c r="O670" s="16"/>
      <c r="P670" s="18"/>
      <c r="Q670" s="18"/>
      <c r="R670" s="18"/>
      <c r="S670" s="18"/>
      <c r="T670" s="18"/>
      <c r="U670" s="16"/>
      <c r="V670" s="18"/>
      <c r="W670" s="16"/>
      <c r="X670" s="18"/>
      <c r="Y670" s="18"/>
      <c r="Z670" s="18"/>
      <c r="AA670" s="18"/>
    </row>
    <row r="671" spans="2:27" x14ac:dyDescent="0.35">
      <c r="B671" s="18"/>
      <c r="C671" s="18"/>
      <c r="D671" s="18"/>
      <c r="E671" s="18"/>
      <c r="F671" s="18"/>
      <c r="G671" s="18"/>
      <c r="H671" s="18"/>
      <c r="I671" s="16"/>
      <c r="J671" s="18"/>
      <c r="K671" s="18"/>
      <c r="L671" s="18"/>
      <c r="M671" s="18"/>
      <c r="N671" s="18"/>
      <c r="O671" s="16"/>
      <c r="P671" s="18"/>
      <c r="Q671" s="18"/>
      <c r="R671" s="18"/>
      <c r="S671" s="18"/>
      <c r="T671" s="18"/>
      <c r="U671" s="16"/>
      <c r="V671" s="18"/>
      <c r="W671" s="16"/>
      <c r="X671" s="18"/>
      <c r="Y671" s="18"/>
      <c r="Z671" s="18"/>
      <c r="AA671" s="18"/>
    </row>
    <row r="672" spans="2:27" x14ac:dyDescent="0.35">
      <c r="B672" s="18"/>
      <c r="C672" s="18"/>
      <c r="D672" s="18"/>
      <c r="E672" s="18"/>
      <c r="F672" s="18"/>
      <c r="G672" s="18"/>
      <c r="H672" s="18"/>
      <c r="I672" s="16"/>
      <c r="J672" s="18"/>
      <c r="K672" s="18"/>
      <c r="L672" s="18"/>
      <c r="M672" s="18"/>
      <c r="N672" s="18"/>
      <c r="O672" s="16"/>
      <c r="P672" s="18"/>
      <c r="Q672" s="18"/>
      <c r="R672" s="18"/>
      <c r="S672" s="18"/>
      <c r="T672" s="18"/>
      <c r="U672" s="16"/>
      <c r="V672" s="18"/>
      <c r="W672" s="16"/>
      <c r="X672" s="18"/>
      <c r="Y672" s="18"/>
      <c r="Z672" s="18"/>
      <c r="AA672" s="18"/>
    </row>
    <row r="673" spans="2:27" x14ac:dyDescent="0.35">
      <c r="B673" s="18"/>
      <c r="C673" s="18"/>
      <c r="D673" s="18"/>
      <c r="E673" s="18"/>
      <c r="F673" s="18"/>
      <c r="G673" s="18"/>
      <c r="H673" s="18"/>
      <c r="I673" s="16"/>
      <c r="J673" s="18"/>
      <c r="K673" s="18"/>
      <c r="L673" s="18"/>
      <c r="M673" s="18"/>
      <c r="N673" s="18"/>
      <c r="O673" s="16"/>
      <c r="P673" s="18"/>
      <c r="Q673" s="18"/>
      <c r="R673" s="18"/>
      <c r="S673" s="18"/>
      <c r="T673" s="18"/>
      <c r="U673" s="16"/>
      <c r="V673" s="18"/>
      <c r="W673" s="16"/>
      <c r="X673" s="18"/>
      <c r="Y673" s="18"/>
      <c r="Z673" s="18"/>
      <c r="AA673" s="18"/>
    </row>
    <row r="674" spans="2:27" x14ac:dyDescent="0.35">
      <c r="B674" s="18"/>
      <c r="C674" s="18"/>
      <c r="D674" s="18"/>
      <c r="E674" s="18"/>
      <c r="F674" s="18"/>
      <c r="G674" s="18"/>
      <c r="H674" s="18"/>
      <c r="I674" s="16"/>
      <c r="J674" s="18"/>
      <c r="K674" s="18"/>
      <c r="L674" s="18"/>
      <c r="M674" s="18"/>
      <c r="N674" s="18"/>
      <c r="O674" s="16"/>
      <c r="P674" s="18"/>
      <c r="Q674" s="18"/>
      <c r="R674" s="18"/>
      <c r="S674" s="18"/>
      <c r="T674" s="18"/>
      <c r="U674" s="16"/>
      <c r="V674" s="18"/>
      <c r="W674" s="16"/>
      <c r="X674" s="18"/>
      <c r="Y674" s="18"/>
      <c r="Z674" s="18"/>
      <c r="AA674" s="18"/>
    </row>
    <row r="675" spans="2:27" x14ac:dyDescent="0.35">
      <c r="B675" s="18"/>
      <c r="C675" s="18"/>
      <c r="D675" s="18"/>
      <c r="E675" s="18"/>
      <c r="F675" s="18"/>
      <c r="G675" s="18"/>
      <c r="H675" s="18"/>
      <c r="I675" s="16"/>
      <c r="J675" s="18"/>
      <c r="K675" s="18"/>
      <c r="L675" s="18"/>
      <c r="M675" s="18"/>
      <c r="N675" s="18"/>
      <c r="O675" s="16"/>
      <c r="P675" s="18"/>
      <c r="Q675" s="18"/>
      <c r="R675" s="18"/>
      <c r="S675" s="18"/>
      <c r="T675" s="18"/>
      <c r="U675" s="16"/>
      <c r="V675" s="18"/>
      <c r="W675" s="16"/>
      <c r="X675" s="18"/>
      <c r="Y675" s="18"/>
      <c r="Z675" s="18"/>
      <c r="AA675" s="18"/>
    </row>
    <row r="676" spans="2:27" x14ac:dyDescent="0.35">
      <c r="B676" s="18"/>
      <c r="C676" s="18"/>
      <c r="D676" s="18"/>
      <c r="E676" s="18"/>
      <c r="F676" s="18"/>
      <c r="G676" s="18"/>
      <c r="H676" s="18"/>
      <c r="I676" s="16"/>
      <c r="J676" s="18"/>
      <c r="K676" s="18"/>
      <c r="L676" s="18"/>
      <c r="M676" s="18"/>
      <c r="N676" s="18"/>
      <c r="O676" s="16"/>
      <c r="P676" s="18"/>
      <c r="Q676" s="18"/>
      <c r="R676" s="18"/>
      <c r="S676" s="18"/>
      <c r="T676" s="18"/>
      <c r="U676" s="16"/>
      <c r="V676" s="18"/>
      <c r="W676" s="16"/>
      <c r="X676" s="18"/>
      <c r="Y676" s="18"/>
      <c r="Z676" s="18"/>
      <c r="AA676" s="18"/>
    </row>
    <row r="677" spans="2:27" x14ac:dyDescent="0.35">
      <c r="B677" s="18"/>
      <c r="C677" s="18"/>
      <c r="D677" s="18"/>
      <c r="E677" s="18"/>
      <c r="F677" s="18"/>
      <c r="G677" s="18"/>
      <c r="H677" s="18"/>
      <c r="I677" s="16"/>
      <c r="J677" s="18"/>
      <c r="K677" s="18"/>
      <c r="L677" s="18"/>
      <c r="M677" s="18"/>
      <c r="N677" s="18"/>
      <c r="O677" s="16"/>
      <c r="P677" s="18"/>
      <c r="Q677" s="18"/>
      <c r="R677" s="18"/>
      <c r="S677" s="18"/>
      <c r="T677" s="18"/>
      <c r="U677" s="16"/>
      <c r="V677" s="18"/>
      <c r="W677" s="16"/>
      <c r="X677" s="18"/>
      <c r="Y677" s="18"/>
      <c r="Z677" s="18"/>
      <c r="AA677" s="18"/>
    </row>
    <row r="678" spans="2:27" x14ac:dyDescent="0.35">
      <c r="B678" s="18"/>
      <c r="C678" s="18"/>
      <c r="D678" s="18"/>
      <c r="E678" s="18"/>
      <c r="F678" s="18"/>
      <c r="G678" s="18"/>
      <c r="H678" s="18"/>
      <c r="I678" s="16"/>
      <c r="J678" s="18"/>
      <c r="K678" s="18"/>
      <c r="L678" s="18"/>
      <c r="M678" s="18"/>
      <c r="N678" s="18"/>
      <c r="O678" s="16"/>
      <c r="P678" s="18"/>
      <c r="Q678" s="18"/>
      <c r="R678" s="18"/>
      <c r="S678" s="18"/>
      <c r="T678" s="18"/>
      <c r="U678" s="16"/>
      <c r="V678" s="18"/>
      <c r="W678" s="16"/>
      <c r="X678" s="18"/>
      <c r="Y678" s="18"/>
      <c r="Z678" s="18"/>
      <c r="AA678" s="18"/>
    </row>
    <row r="679" spans="2:27" x14ac:dyDescent="0.35">
      <c r="B679" s="18"/>
      <c r="C679" s="18"/>
      <c r="D679" s="18"/>
      <c r="E679" s="18"/>
      <c r="F679" s="18"/>
      <c r="G679" s="18"/>
      <c r="H679" s="18"/>
      <c r="I679" s="16"/>
      <c r="J679" s="18"/>
      <c r="K679" s="18"/>
      <c r="L679" s="18"/>
      <c r="M679" s="18"/>
      <c r="N679" s="18"/>
      <c r="O679" s="16"/>
      <c r="P679" s="18"/>
      <c r="Q679" s="18"/>
      <c r="R679" s="18"/>
      <c r="S679" s="18"/>
      <c r="T679" s="18"/>
      <c r="U679" s="16"/>
      <c r="V679" s="18"/>
      <c r="W679" s="16"/>
      <c r="X679" s="18"/>
      <c r="Y679" s="18"/>
      <c r="Z679" s="18"/>
      <c r="AA679" s="18"/>
    </row>
    <row r="680" spans="2:27" x14ac:dyDescent="0.35">
      <c r="B680" s="18"/>
      <c r="C680" s="18"/>
      <c r="D680" s="18"/>
      <c r="E680" s="18"/>
      <c r="F680" s="18"/>
      <c r="G680" s="18"/>
      <c r="H680" s="18"/>
      <c r="I680" s="16"/>
      <c r="J680" s="18"/>
      <c r="K680" s="18"/>
      <c r="L680" s="18"/>
      <c r="M680" s="18"/>
      <c r="N680" s="18"/>
      <c r="O680" s="16"/>
      <c r="P680" s="18"/>
      <c r="Q680" s="18"/>
      <c r="R680" s="18"/>
      <c r="S680" s="18"/>
      <c r="T680" s="18"/>
      <c r="U680" s="16"/>
      <c r="V680" s="18"/>
      <c r="W680" s="16"/>
      <c r="X680" s="18"/>
      <c r="Y680" s="18"/>
      <c r="Z680" s="18"/>
      <c r="AA680" s="18"/>
    </row>
    <row r="681" spans="2:27" x14ac:dyDescent="0.35">
      <c r="B681" s="18"/>
      <c r="C681" s="18"/>
      <c r="D681" s="18"/>
      <c r="E681" s="18"/>
      <c r="F681" s="18"/>
      <c r="G681" s="18"/>
      <c r="H681" s="18"/>
      <c r="I681" s="16"/>
      <c r="J681" s="18"/>
      <c r="K681" s="18"/>
      <c r="L681" s="18"/>
      <c r="M681" s="18"/>
      <c r="N681" s="18"/>
      <c r="O681" s="16"/>
      <c r="P681" s="18"/>
      <c r="Q681" s="18"/>
      <c r="R681" s="18"/>
      <c r="S681" s="18"/>
      <c r="T681" s="18"/>
      <c r="U681" s="16"/>
      <c r="V681" s="18"/>
      <c r="W681" s="16"/>
      <c r="X681" s="18"/>
      <c r="Y681" s="18"/>
      <c r="Z681" s="18"/>
      <c r="AA681" s="18"/>
    </row>
    <row r="682" spans="2:27" x14ac:dyDescent="0.35">
      <c r="B682" s="18"/>
      <c r="C682" s="18"/>
      <c r="D682" s="18"/>
      <c r="E682" s="18"/>
      <c r="F682" s="18"/>
      <c r="G682" s="18"/>
      <c r="H682" s="18"/>
      <c r="I682" s="16"/>
      <c r="J682" s="18"/>
      <c r="K682" s="18"/>
      <c r="L682" s="18"/>
      <c r="M682" s="18"/>
      <c r="N682" s="18"/>
      <c r="O682" s="16"/>
      <c r="P682" s="18"/>
      <c r="Q682" s="18"/>
      <c r="R682" s="18"/>
      <c r="S682" s="18"/>
      <c r="T682" s="18"/>
      <c r="U682" s="16"/>
      <c r="V682" s="18"/>
      <c r="W682" s="16"/>
      <c r="X682" s="18"/>
      <c r="Y682" s="18"/>
      <c r="Z682" s="18"/>
      <c r="AA682" s="18"/>
    </row>
    <row r="683" spans="2:27" x14ac:dyDescent="0.35">
      <c r="B683" s="18"/>
      <c r="C683" s="18"/>
      <c r="D683" s="18"/>
      <c r="E683" s="18"/>
      <c r="F683" s="18"/>
      <c r="G683" s="18"/>
      <c r="H683" s="18"/>
      <c r="I683" s="16"/>
      <c r="J683" s="18"/>
      <c r="K683" s="18"/>
      <c r="L683" s="18"/>
      <c r="M683" s="18"/>
      <c r="N683" s="18"/>
      <c r="O683" s="16"/>
      <c r="P683" s="18"/>
      <c r="Q683" s="18"/>
      <c r="R683" s="18"/>
      <c r="S683" s="18"/>
      <c r="T683" s="18"/>
      <c r="U683" s="16"/>
      <c r="V683" s="18"/>
      <c r="W683" s="16"/>
      <c r="X683" s="18"/>
      <c r="Y683" s="18"/>
      <c r="Z683" s="18"/>
      <c r="AA683" s="18"/>
    </row>
    <row r="684" spans="2:27" x14ac:dyDescent="0.35">
      <c r="B684" s="18"/>
      <c r="C684" s="18"/>
      <c r="D684" s="18"/>
      <c r="E684" s="18"/>
      <c r="F684" s="18"/>
      <c r="G684" s="18"/>
      <c r="H684" s="18"/>
      <c r="I684" s="16"/>
      <c r="J684" s="18"/>
      <c r="K684" s="18"/>
      <c r="L684" s="18"/>
      <c r="M684" s="18"/>
      <c r="N684" s="18"/>
      <c r="O684" s="16"/>
      <c r="P684" s="18"/>
      <c r="Q684" s="18"/>
      <c r="R684" s="18"/>
      <c r="S684" s="18"/>
      <c r="T684" s="18"/>
      <c r="U684" s="16"/>
      <c r="V684" s="18"/>
      <c r="W684" s="16"/>
      <c r="X684" s="18"/>
      <c r="Y684" s="18"/>
      <c r="Z684" s="18"/>
      <c r="AA684" s="18"/>
    </row>
    <row r="685" spans="2:27" x14ac:dyDescent="0.35">
      <c r="B685" s="18"/>
      <c r="C685" s="18"/>
      <c r="D685" s="18"/>
      <c r="E685" s="18"/>
      <c r="F685" s="18"/>
      <c r="G685" s="18"/>
      <c r="H685" s="18"/>
      <c r="I685" s="16"/>
      <c r="J685" s="18"/>
      <c r="K685" s="18"/>
      <c r="L685" s="18"/>
      <c r="M685" s="18"/>
      <c r="N685" s="18"/>
      <c r="O685" s="16"/>
      <c r="P685" s="18"/>
      <c r="Q685" s="18"/>
      <c r="R685" s="18"/>
      <c r="S685" s="18"/>
      <c r="T685" s="18"/>
      <c r="U685" s="16"/>
      <c r="V685" s="18"/>
      <c r="W685" s="16"/>
      <c r="X685" s="18"/>
      <c r="Y685" s="18"/>
      <c r="Z685" s="18"/>
      <c r="AA685" s="18"/>
    </row>
    <row r="686" spans="2:27" x14ac:dyDescent="0.35">
      <c r="B686" s="18"/>
      <c r="C686" s="18"/>
      <c r="D686" s="18"/>
      <c r="E686" s="18"/>
      <c r="F686" s="18"/>
      <c r="G686" s="18"/>
      <c r="H686" s="18"/>
      <c r="I686" s="16"/>
      <c r="J686" s="18"/>
      <c r="K686" s="18"/>
      <c r="L686" s="18"/>
      <c r="M686" s="18"/>
      <c r="N686" s="18"/>
      <c r="O686" s="16"/>
      <c r="P686" s="18"/>
      <c r="Q686" s="18"/>
      <c r="R686" s="18"/>
      <c r="S686" s="18"/>
      <c r="T686" s="18"/>
      <c r="U686" s="16"/>
      <c r="V686" s="18"/>
      <c r="W686" s="16"/>
      <c r="X686" s="18"/>
      <c r="Y686" s="18"/>
      <c r="Z686" s="18"/>
      <c r="AA686" s="18"/>
    </row>
    <row r="687" spans="2:27" x14ac:dyDescent="0.35">
      <c r="B687" s="18"/>
      <c r="C687" s="18"/>
      <c r="D687" s="18"/>
      <c r="E687" s="18"/>
      <c r="F687" s="18"/>
      <c r="G687" s="18"/>
      <c r="H687" s="18"/>
      <c r="I687" s="16"/>
      <c r="J687" s="18"/>
      <c r="K687" s="18"/>
      <c r="L687" s="18"/>
      <c r="M687" s="18"/>
      <c r="N687" s="18"/>
      <c r="O687" s="16"/>
      <c r="P687" s="18"/>
      <c r="Q687" s="18"/>
      <c r="R687" s="18"/>
      <c r="S687" s="18"/>
      <c r="T687" s="18"/>
      <c r="U687" s="16"/>
      <c r="V687" s="18"/>
      <c r="W687" s="16"/>
      <c r="X687" s="18"/>
      <c r="Y687" s="18"/>
      <c r="Z687" s="18"/>
      <c r="AA687" s="18"/>
    </row>
    <row r="688" spans="2:27" x14ac:dyDescent="0.35">
      <c r="B688" s="18"/>
      <c r="C688" s="18"/>
      <c r="D688" s="18"/>
      <c r="E688" s="18"/>
      <c r="F688" s="18"/>
      <c r="G688" s="18"/>
      <c r="H688" s="18"/>
      <c r="I688" s="16"/>
      <c r="J688" s="18"/>
      <c r="K688" s="18"/>
      <c r="L688" s="18"/>
      <c r="M688" s="18"/>
      <c r="N688" s="18"/>
      <c r="O688" s="16"/>
      <c r="P688" s="18"/>
      <c r="Q688" s="18"/>
      <c r="R688" s="18"/>
      <c r="S688" s="18"/>
      <c r="T688" s="18"/>
      <c r="U688" s="16"/>
      <c r="V688" s="18"/>
      <c r="W688" s="16"/>
      <c r="X688" s="18"/>
      <c r="Y688" s="18"/>
      <c r="Z688" s="18"/>
      <c r="AA688" s="18"/>
    </row>
    <row r="689" spans="2:27" x14ac:dyDescent="0.35">
      <c r="B689" s="18"/>
      <c r="C689" s="18"/>
      <c r="D689" s="18"/>
      <c r="E689" s="18"/>
      <c r="F689" s="18"/>
      <c r="G689" s="18"/>
      <c r="H689" s="18"/>
      <c r="I689" s="16"/>
      <c r="J689" s="18"/>
      <c r="K689" s="18"/>
      <c r="L689" s="18"/>
      <c r="M689" s="18"/>
      <c r="N689" s="18"/>
      <c r="O689" s="16"/>
      <c r="P689" s="18"/>
      <c r="Q689" s="18"/>
      <c r="R689" s="18"/>
      <c r="S689" s="18"/>
      <c r="T689" s="18"/>
      <c r="U689" s="16"/>
      <c r="V689" s="18"/>
      <c r="W689" s="16"/>
      <c r="X689" s="18"/>
      <c r="Y689" s="18"/>
      <c r="Z689" s="18"/>
      <c r="AA689" s="18"/>
    </row>
    <row r="690" spans="2:27" x14ac:dyDescent="0.35">
      <c r="B690" s="18"/>
      <c r="C690" s="18"/>
      <c r="D690" s="18"/>
      <c r="E690" s="18"/>
      <c r="F690" s="18"/>
      <c r="G690" s="18"/>
      <c r="H690" s="18"/>
      <c r="I690" s="16"/>
      <c r="J690" s="18"/>
      <c r="K690" s="18"/>
      <c r="L690" s="18"/>
      <c r="M690" s="18"/>
      <c r="N690" s="18"/>
      <c r="O690" s="16"/>
      <c r="P690" s="18"/>
      <c r="Q690" s="18"/>
      <c r="R690" s="18"/>
      <c r="S690" s="18"/>
      <c r="T690" s="18"/>
      <c r="U690" s="16"/>
      <c r="V690" s="18"/>
      <c r="W690" s="16"/>
      <c r="X690" s="18"/>
      <c r="Y690" s="18"/>
      <c r="Z690" s="18"/>
      <c r="AA690" s="18"/>
    </row>
    <row r="691" spans="2:27" x14ac:dyDescent="0.35">
      <c r="B691" s="18"/>
      <c r="C691" s="18"/>
      <c r="D691" s="18"/>
      <c r="E691" s="18"/>
      <c r="F691" s="18"/>
      <c r="G691" s="18"/>
      <c r="H691" s="18"/>
      <c r="I691" s="16"/>
      <c r="J691" s="18"/>
      <c r="K691" s="18"/>
      <c r="L691" s="18"/>
      <c r="M691" s="18"/>
      <c r="N691" s="18"/>
      <c r="O691" s="16"/>
      <c r="P691" s="18"/>
      <c r="Q691" s="18"/>
      <c r="R691" s="18"/>
      <c r="S691" s="18"/>
      <c r="T691" s="18"/>
      <c r="U691" s="16"/>
      <c r="V691" s="18"/>
      <c r="W691" s="16"/>
      <c r="X691" s="18"/>
      <c r="Y691" s="18"/>
      <c r="Z691" s="18"/>
      <c r="AA691" s="18"/>
    </row>
    <row r="692" spans="2:27" x14ac:dyDescent="0.35">
      <c r="B692" s="18"/>
      <c r="C692" s="18"/>
      <c r="D692" s="18"/>
      <c r="E692" s="18"/>
      <c r="F692" s="18"/>
      <c r="G692" s="18"/>
      <c r="H692" s="18"/>
      <c r="I692" s="16"/>
      <c r="J692" s="18"/>
      <c r="K692" s="18"/>
      <c r="L692" s="18"/>
      <c r="M692" s="18"/>
      <c r="N692" s="18"/>
      <c r="O692" s="16"/>
      <c r="P692" s="18"/>
      <c r="Q692" s="18"/>
      <c r="R692" s="18"/>
      <c r="S692" s="18"/>
      <c r="T692" s="18"/>
      <c r="U692" s="16"/>
      <c r="V692" s="18"/>
      <c r="W692" s="16"/>
      <c r="X692" s="18"/>
      <c r="Y692" s="18"/>
      <c r="Z692" s="18"/>
      <c r="AA692" s="18"/>
    </row>
    <row r="693" spans="2:27" x14ac:dyDescent="0.35">
      <c r="B693" s="18"/>
      <c r="C693" s="18"/>
      <c r="D693" s="18"/>
      <c r="E693" s="18"/>
      <c r="F693" s="18"/>
      <c r="G693" s="18"/>
      <c r="H693" s="18"/>
      <c r="I693" s="16"/>
      <c r="J693" s="18"/>
      <c r="K693" s="18"/>
      <c r="L693" s="18"/>
      <c r="M693" s="18"/>
      <c r="N693" s="18"/>
      <c r="O693" s="16"/>
      <c r="P693" s="18"/>
      <c r="Q693" s="18"/>
      <c r="R693" s="18"/>
      <c r="S693" s="18"/>
      <c r="T693" s="18"/>
      <c r="U693" s="16"/>
      <c r="V693" s="18"/>
      <c r="W693" s="16"/>
      <c r="X693" s="18"/>
      <c r="Y693" s="18"/>
      <c r="Z693" s="18"/>
      <c r="AA693" s="18"/>
    </row>
    <row r="694" spans="2:27" x14ac:dyDescent="0.35">
      <c r="B694" s="18"/>
      <c r="C694" s="18"/>
      <c r="D694" s="18"/>
      <c r="E694" s="18"/>
      <c r="F694" s="18"/>
      <c r="G694" s="18"/>
      <c r="H694" s="18"/>
      <c r="I694" s="16"/>
      <c r="J694" s="18"/>
      <c r="K694" s="18"/>
      <c r="L694" s="18"/>
      <c r="M694" s="18"/>
      <c r="N694" s="18"/>
      <c r="O694" s="16"/>
      <c r="P694" s="18"/>
      <c r="Q694" s="18"/>
      <c r="R694" s="18"/>
      <c r="S694" s="18"/>
      <c r="T694" s="18"/>
      <c r="U694" s="16"/>
      <c r="V694" s="18"/>
      <c r="W694" s="16"/>
      <c r="X694" s="18"/>
      <c r="Y694" s="18"/>
      <c r="Z694" s="18"/>
      <c r="AA694" s="18"/>
    </row>
    <row r="695" spans="2:27" x14ac:dyDescent="0.35">
      <c r="B695" s="18"/>
      <c r="C695" s="18"/>
      <c r="D695" s="18"/>
      <c r="E695" s="18"/>
      <c r="F695" s="18"/>
      <c r="G695" s="18"/>
      <c r="H695" s="18"/>
      <c r="I695" s="16"/>
      <c r="J695" s="18"/>
      <c r="K695" s="18"/>
      <c r="L695" s="18"/>
      <c r="M695" s="18"/>
      <c r="N695" s="18"/>
      <c r="O695" s="16"/>
      <c r="P695" s="18"/>
      <c r="Q695" s="18"/>
      <c r="R695" s="18"/>
      <c r="S695" s="18"/>
      <c r="T695" s="18"/>
      <c r="U695" s="16"/>
      <c r="V695" s="18"/>
      <c r="W695" s="16"/>
      <c r="X695" s="18"/>
      <c r="Y695" s="18"/>
      <c r="Z695" s="18"/>
      <c r="AA695" s="18"/>
    </row>
    <row r="696" spans="2:27" x14ac:dyDescent="0.35">
      <c r="B696" s="18"/>
      <c r="C696" s="18"/>
      <c r="D696" s="18"/>
      <c r="E696" s="18"/>
      <c r="F696" s="18"/>
      <c r="G696" s="18"/>
      <c r="H696" s="18"/>
      <c r="I696" s="16"/>
      <c r="J696" s="18"/>
      <c r="K696" s="18"/>
      <c r="L696" s="18"/>
      <c r="M696" s="18"/>
      <c r="N696" s="18"/>
      <c r="O696" s="16"/>
      <c r="P696" s="18"/>
      <c r="Q696" s="18"/>
      <c r="R696" s="18"/>
      <c r="S696" s="18"/>
      <c r="T696" s="18"/>
      <c r="U696" s="16"/>
      <c r="V696" s="18"/>
      <c r="W696" s="16"/>
      <c r="X696" s="18"/>
      <c r="Y696" s="18"/>
      <c r="Z696" s="18"/>
      <c r="AA696" s="18"/>
    </row>
    <row r="697" spans="2:27" x14ac:dyDescent="0.35">
      <c r="B697" s="18"/>
      <c r="C697" s="18"/>
      <c r="D697" s="18"/>
      <c r="E697" s="18"/>
      <c r="F697" s="18"/>
      <c r="G697" s="18"/>
      <c r="H697" s="18"/>
      <c r="I697" s="16"/>
      <c r="J697" s="18"/>
      <c r="K697" s="18"/>
      <c r="L697" s="18"/>
      <c r="M697" s="18"/>
      <c r="N697" s="18"/>
      <c r="O697" s="16"/>
      <c r="P697" s="18"/>
      <c r="Q697" s="18"/>
      <c r="R697" s="18"/>
      <c r="S697" s="18"/>
      <c r="T697" s="18"/>
      <c r="U697" s="16"/>
      <c r="V697" s="18"/>
      <c r="W697" s="16"/>
      <c r="X697" s="18"/>
      <c r="Y697" s="18"/>
      <c r="Z697" s="18"/>
      <c r="AA697" s="18"/>
    </row>
    <row r="698" spans="2:27" x14ac:dyDescent="0.35">
      <c r="B698" s="18"/>
      <c r="C698" s="18"/>
      <c r="D698" s="18"/>
      <c r="E698" s="18"/>
      <c r="F698" s="18"/>
      <c r="G698" s="18"/>
      <c r="H698" s="18"/>
      <c r="I698" s="16"/>
      <c r="J698" s="18"/>
      <c r="K698" s="18"/>
      <c r="L698" s="18"/>
      <c r="M698" s="18"/>
      <c r="N698" s="18"/>
      <c r="O698" s="16"/>
      <c r="P698" s="18"/>
      <c r="Q698" s="18"/>
      <c r="R698" s="18"/>
      <c r="S698" s="18"/>
      <c r="T698" s="18"/>
      <c r="U698" s="16"/>
      <c r="V698" s="18"/>
      <c r="W698" s="16"/>
      <c r="X698" s="18"/>
      <c r="Y698" s="18"/>
      <c r="Z698" s="18"/>
      <c r="AA698" s="18"/>
    </row>
    <row r="699" spans="2:27" x14ac:dyDescent="0.35">
      <c r="B699" s="18"/>
      <c r="C699" s="18"/>
      <c r="D699" s="18"/>
      <c r="E699" s="18"/>
      <c r="F699" s="18"/>
      <c r="G699" s="18"/>
      <c r="H699" s="18"/>
      <c r="I699" s="16"/>
      <c r="J699" s="18"/>
      <c r="K699" s="18"/>
      <c r="L699" s="18"/>
      <c r="M699" s="18"/>
      <c r="N699" s="18"/>
      <c r="O699" s="16"/>
      <c r="P699" s="18"/>
      <c r="Q699" s="18"/>
      <c r="R699" s="18"/>
      <c r="S699" s="18"/>
      <c r="T699" s="18"/>
      <c r="U699" s="16"/>
      <c r="V699" s="18"/>
      <c r="W699" s="16"/>
      <c r="X699" s="18"/>
      <c r="Y699" s="18"/>
      <c r="Z699" s="18"/>
      <c r="AA699" s="18"/>
    </row>
    <row r="700" spans="2:27" x14ac:dyDescent="0.35">
      <c r="B700" s="18"/>
      <c r="C700" s="18"/>
      <c r="D700" s="18"/>
      <c r="E700" s="18"/>
      <c r="F700" s="18"/>
      <c r="G700" s="18"/>
      <c r="H700" s="18"/>
      <c r="I700" s="16"/>
      <c r="J700" s="18"/>
      <c r="K700" s="18"/>
      <c r="L700" s="18"/>
      <c r="M700" s="18"/>
      <c r="N700" s="18"/>
      <c r="O700" s="16"/>
      <c r="P700" s="18"/>
      <c r="Q700" s="18"/>
      <c r="R700" s="18"/>
      <c r="S700" s="18"/>
      <c r="T700" s="18"/>
      <c r="U700" s="16"/>
      <c r="V700" s="18"/>
      <c r="W700" s="16"/>
      <c r="X700" s="18"/>
      <c r="Y700" s="18"/>
      <c r="Z700" s="18"/>
      <c r="AA700" s="18"/>
    </row>
    <row r="701" spans="2:27" x14ac:dyDescent="0.35">
      <c r="B701" s="18"/>
      <c r="C701" s="18"/>
      <c r="D701" s="18"/>
      <c r="E701" s="18"/>
      <c r="F701" s="18"/>
      <c r="G701" s="18"/>
      <c r="H701" s="18"/>
      <c r="I701" s="16"/>
      <c r="J701" s="18"/>
      <c r="K701" s="18"/>
      <c r="L701" s="18"/>
      <c r="M701" s="18"/>
      <c r="N701" s="18"/>
      <c r="O701" s="16"/>
      <c r="P701" s="18"/>
      <c r="Q701" s="18"/>
      <c r="R701" s="18"/>
      <c r="S701" s="18"/>
      <c r="T701" s="18"/>
      <c r="U701" s="16"/>
      <c r="V701" s="18"/>
      <c r="W701" s="16"/>
      <c r="X701" s="18"/>
      <c r="Y701" s="18"/>
      <c r="Z701" s="18"/>
      <c r="AA701" s="18"/>
    </row>
    <row r="702" spans="2:27" x14ac:dyDescent="0.35">
      <c r="B702" s="18"/>
      <c r="C702" s="18"/>
      <c r="D702" s="18"/>
      <c r="E702" s="18"/>
      <c r="F702" s="18"/>
      <c r="G702" s="18"/>
      <c r="H702" s="18"/>
      <c r="I702" s="16"/>
      <c r="J702" s="18"/>
      <c r="K702" s="18"/>
      <c r="L702" s="18"/>
      <c r="M702" s="18"/>
      <c r="N702" s="18"/>
      <c r="O702" s="16"/>
      <c r="P702" s="18"/>
      <c r="Q702" s="18"/>
      <c r="R702" s="18"/>
      <c r="S702" s="18"/>
      <c r="T702" s="18"/>
      <c r="U702" s="16"/>
      <c r="V702" s="18"/>
      <c r="W702" s="16"/>
      <c r="X702" s="18"/>
      <c r="Y702" s="18"/>
      <c r="Z702" s="18"/>
      <c r="AA702" s="18"/>
    </row>
    <row r="703" spans="2:27" x14ac:dyDescent="0.35">
      <c r="B703" s="18"/>
      <c r="C703" s="18"/>
      <c r="D703" s="18"/>
      <c r="E703" s="18"/>
      <c r="F703" s="18"/>
      <c r="G703" s="18"/>
      <c r="H703" s="18"/>
      <c r="I703" s="16"/>
      <c r="J703" s="18"/>
      <c r="K703" s="18"/>
      <c r="L703" s="18"/>
      <c r="M703" s="18"/>
      <c r="N703" s="18"/>
      <c r="O703" s="16"/>
      <c r="P703" s="18"/>
      <c r="Q703" s="18"/>
      <c r="R703" s="18"/>
      <c r="S703" s="18"/>
      <c r="T703" s="18"/>
      <c r="U703" s="16"/>
      <c r="V703" s="18"/>
      <c r="W703" s="16"/>
      <c r="X703" s="18"/>
      <c r="Y703" s="18"/>
      <c r="Z703" s="18"/>
      <c r="AA703" s="18"/>
    </row>
    <row r="704" spans="2:27" x14ac:dyDescent="0.35">
      <c r="B704" s="18"/>
      <c r="C704" s="18"/>
      <c r="D704" s="18"/>
      <c r="E704" s="18"/>
      <c r="F704" s="18"/>
      <c r="G704" s="18"/>
      <c r="H704" s="18"/>
      <c r="I704" s="16"/>
      <c r="J704" s="18"/>
      <c r="K704" s="18"/>
      <c r="L704" s="18"/>
      <c r="M704" s="18"/>
      <c r="N704" s="18"/>
      <c r="O704" s="16"/>
      <c r="P704" s="18"/>
      <c r="Q704" s="18"/>
      <c r="R704" s="18"/>
      <c r="S704" s="18"/>
      <c r="T704" s="18"/>
      <c r="U704" s="16"/>
      <c r="V704" s="18"/>
      <c r="W704" s="16"/>
      <c r="X704" s="18"/>
      <c r="Y704" s="18"/>
      <c r="Z704" s="18"/>
      <c r="AA704" s="18"/>
    </row>
    <row r="705" spans="2:27" x14ac:dyDescent="0.35">
      <c r="B705" s="18"/>
      <c r="C705" s="18"/>
      <c r="D705" s="18"/>
      <c r="E705" s="18"/>
      <c r="F705" s="18"/>
      <c r="G705" s="18"/>
      <c r="H705" s="18"/>
      <c r="I705" s="16"/>
      <c r="J705" s="18"/>
      <c r="K705" s="18"/>
      <c r="L705" s="18"/>
      <c r="M705" s="18"/>
      <c r="N705" s="18"/>
      <c r="O705" s="16"/>
      <c r="P705" s="18"/>
      <c r="Q705" s="18"/>
      <c r="R705" s="18"/>
      <c r="S705" s="18"/>
      <c r="T705" s="18"/>
      <c r="U705" s="16"/>
      <c r="V705" s="18"/>
      <c r="W705" s="16"/>
      <c r="X705" s="18"/>
      <c r="Y705" s="18"/>
      <c r="Z705" s="18"/>
      <c r="AA705" s="18"/>
    </row>
    <row r="706" spans="2:27" x14ac:dyDescent="0.35">
      <c r="B706" s="18"/>
      <c r="C706" s="18"/>
      <c r="D706" s="18"/>
      <c r="E706" s="18"/>
      <c r="F706" s="18"/>
      <c r="G706" s="18"/>
      <c r="H706" s="18"/>
      <c r="I706" s="16"/>
      <c r="J706" s="18"/>
      <c r="K706" s="18"/>
      <c r="L706" s="18"/>
      <c r="M706" s="18"/>
      <c r="N706" s="18"/>
      <c r="O706" s="16"/>
      <c r="P706" s="18"/>
      <c r="Q706" s="18"/>
      <c r="R706" s="18"/>
      <c r="S706" s="18"/>
      <c r="T706" s="18"/>
      <c r="U706" s="16"/>
      <c r="V706" s="18"/>
      <c r="W706" s="16"/>
      <c r="X706" s="18"/>
      <c r="Y706" s="18"/>
      <c r="Z706" s="18"/>
      <c r="AA706" s="18"/>
    </row>
    <row r="707" spans="2:27" x14ac:dyDescent="0.35">
      <c r="B707" s="18"/>
      <c r="C707" s="18"/>
      <c r="D707" s="18"/>
      <c r="E707" s="18"/>
      <c r="F707" s="18"/>
      <c r="G707" s="18"/>
      <c r="H707" s="18"/>
      <c r="I707" s="16"/>
      <c r="J707" s="18"/>
      <c r="K707" s="18"/>
      <c r="L707" s="18"/>
      <c r="M707" s="18"/>
      <c r="N707" s="18"/>
      <c r="O707" s="16"/>
      <c r="P707" s="18"/>
      <c r="Q707" s="18"/>
      <c r="R707" s="18"/>
      <c r="S707" s="18"/>
      <c r="T707" s="18"/>
      <c r="U707" s="16"/>
      <c r="V707" s="18"/>
      <c r="W707" s="16"/>
      <c r="X707" s="18"/>
      <c r="Y707" s="18"/>
      <c r="Z707" s="18"/>
      <c r="AA707" s="18"/>
    </row>
    <row r="708" spans="2:27" x14ac:dyDescent="0.35">
      <c r="B708" s="18"/>
      <c r="C708" s="18"/>
      <c r="D708" s="18"/>
      <c r="E708" s="18"/>
      <c r="F708" s="18"/>
      <c r="G708" s="18"/>
      <c r="H708" s="18"/>
      <c r="I708" s="16"/>
      <c r="J708" s="18"/>
      <c r="K708" s="18"/>
      <c r="L708" s="18"/>
      <c r="M708" s="18"/>
      <c r="N708" s="18"/>
      <c r="O708" s="16"/>
      <c r="P708" s="18"/>
      <c r="Q708" s="18"/>
      <c r="R708" s="18"/>
      <c r="S708" s="18"/>
      <c r="T708" s="18"/>
      <c r="U708" s="16"/>
      <c r="V708" s="18"/>
      <c r="W708" s="16"/>
      <c r="X708" s="18"/>
      <c r="Y708" s="18"/>
      <c r="Z708" s="18"/>
      <c r="AA708" s="18"/>
    </row>
    <row r="709" spans="2:27" x14ac:dyDescent="0.35">
      <c r="B709" s="18"/>
      <c r="C709" s="18"/>
      <c r="D709" s="18"/>
      <c r="E709" s="18"/>
      <c r="F709" s="18"/>
      <c r="G709" s="18"/>
      <c r="H709" s="18"/>
      <c r="I709" s="16"/>
      <c r="J709" s="18"/>
      <c r="K709" s="18"/>
      <c r="L709" s="18"/>
      <c r="M709" s="18"/>
      <c r="N709" s="18"/>
      <c r="O709" s="16"/>
      <c r="P709" s="18"/>
      <c r="Q709" s="18"/>
      <c r="R709" s="18"/>
      <c r="S709" s="18"/>
      <c r="T709" s="18"/>
      <c r="U709" s="16"/>
      <c r="V709" s="18"/>
      <c r="W709" s="16"/>
      <c r="X709" s="18"/>
      <c r="Y709" s="18"/>
      <c r="Z709" s="18"/>
      <c r="AA709" s="18"/>
    </row>
    <row r="710" spans="2:27" x14ac:dyDescent="0.35">
      <c r="B710" s="18"/>
      <c r="C710" s="18"/>
      <c r="D710" s="18"/>
      <c r="E710" s="18"/>
      <c r="F710" s="18"/>
      <c r="G710" s="18"/>
      <c r="H710" s="18"/>
      <c r="I710" s="16"/>
      <c r="J710" s="18"/>
      <c r="K710" s="18"/>
      <c r="L710" s="18"/>
      <c r="M710" s="18"/>
      <c r="N710" s="18"/>
      <c r="O710" s="16"/>
      <c r="P710" s="18"/>
      <c r="Q710" s="18"/>
      <c r="R710" s="18"/>
      <c r="S710" s="18"/>
      <c r="T710" s="18"/>
      <c r="U710" s="16"/>
      <c r="V710" s="18"/>
      <c r="W710" s="16"/>
      <c r="X710" s="18"/>
      <c r="Y710" s="18"/>
      <c r="Z710" s="18"/>
      <c r="AA710" s="18"/>
    </row>
    <row r="711" spans="2:27" x14ac:dyDescent="0.35">
      <c r="B711" s="18"/>
      <c r="C711" s="18"/>
      <c r="D711" s="18"/>
      <c r="E711" s="18"/>
      <c r="F711" s="18"/>
      <c r="G711" s="18"/>
      <c r="H711" s="18"/>
      <c r="I711" s="16"/>
      <c r="J711" s="18"/>
      <c r="K711" s="18"/>
      <c r="L711" s="18"/>
      <c r="M711" s="18"/>
      <c r="N711" s="18"/>
      <c r="O711" s="16"/>
      <c r="P711" s="18"/>
      <c r="Q711" s="18"/>
      <c r="R711" s="18"/>
      <c r="S711" s="18"/>
      <c r="T711" s="18"/>
      <c r="U711" s="16"/>
      <c r="V711" s="18"/>
      <c r="W711" s="16"/>
      <c r="X711" s="18"/>
      <c r="Y711" s="18"/>
      <c r="Z711" s="18"/>
      <c r="AA711" s="18"/>
    </row>
    <row r="712" spans="2:27" x14ac:dyDescent="0.35">
      <c r="B712" s="18"/>
      <c r="C712" s="18"/>
      <c r="D712" s="18"/>
      <c r="E712" s="18"/>
      <c r="F712" s="18"/>
      <c r="G712" s="18"/>
      <c r="H712" s="18"/>
      <c r="I712" s="16"/>
      <c r="J712" s="18"/>
      <c r="K712" s="18"/>
      <c r="L712" s="18"/>
      <c r="M712" s="18"/>
      <c r="N712" s="18"/>
      <c r="O712" s="16"/>
      <c r="P712" s="18"/>
      <c r="Q712" s="18"/>
      <c r="R712" s="18"/>
      <c r="S712" s="18"/>
      <c r="T712" s="18"/>
      <c r="U712" s="16"/>
      <c r="V712" s="18"/>
      <c r="W712" s="16"/>
      <c r="X712" s="18"/>
      <c r="Y712" s="18"/>
      <c r="Z712" s="18"/>
      <c r="AA712" s="18"/>
    </row>
    <row r="713" spans="2:27" x14ac:dyDescent="0.35">
      <c r="B713" s="18"/>
      <c r="C713" s="18"/>
      <c r="D713" s="18"/>
      <c r="E713" s="18"/>
      <c r="F713" s="18"/>
      <c r="G713" s="18"/>
      <c r="H713" s="18"/>
      <c r="I713" s="16"/>
      <c r="J713" s="18"/>
      <c r="K713" s="18"/>
      <c r="L713" s="18"/>
      <c r="M713" s="18"/>
      <c r="N713" s="18"/>
      <c r="O713" s="16"/>
      <c r="P713" s="18"/>
      <c r="Q713" s="18"/>
      <c r="R713" s="18"/>
      <c r="S713" s="18"/>
      <c r="T713" s="18"/>
      <c r="U713" s="16"/>
      <c r="V713" s="18"/>
      <c r="W713" s="16"/>
      <c r="X713" s="18"/>
      <c r="Y713" s="18"/>
      <c r="Z713" s="18"/>
      <c r="AA713" s="18"/>
    </row>
    <row r="714" spans="2:27" x14ac:dyDescent="0.35">
      <c r="B714" s="18"/>
      <c r="C714" s="18"/>
      <c r="D714" s="18"/>
      <c r="E714" s="18"/>
      <c r="F714" s="18"/>
      <c r="G714" s="18"/>
      <c r="H714" s="18"/>
      <c r="I714" s="16"/>
      <c r="J714" s="18"/>
      <c r="K714" s="18"/>
      <c r="L714" s="18"/>
      <c r="M714" s="18"/>
      <c r="N714" s="18"/>
      <c r="O714" s="16"/>
      <c r="P714" s="18"/>
      <c r="Q714" s="18"/>
      <c r="R714" s="18"/>
      <c r="S714" s="18"/>
      <c r="T714" s="18"/>
      <c r="U714" s="16"/>
      <c r="V714" s="18"/>
      <c r="W714" s="16"/>
      <c r="X714" s="18"/>
      <c r="Y714" s="18"/>
      <c r="Z714" s="18"/>
      <c r="AA714" s="18"/>
    </row>
    <row r="715" spans="2:27" x14ac:dyDescent="0.35">
      <c r="B715" s="18"/>
      <c r="C715" s="18"/>
      <c r="D715" s="18"/>
      <c r="E715" s="18"/>
      <c r="F715" s="18"/>
      <c r="G715" s="18"/>
      <c r="H715" s="18"/>
      <c r="I715" s="16"/>
      <c r="J715" s="18"/>
      <c r="K715" s="18"/>
      <c r="L715" s="18"/>
      <c r="M715" s="18"/>
      <c r="N715" s="18"/>
      <c r="O715" s="16"/>
      <c r="P715" s="18"/>
      <c r="Q715" s="18"/>
      <c r="R715" s="18"/>
      <c r="S715" s="18"/>
      <c r="T715" s="18"/>
      <c r="U715" s="16"/>
      <c r="V715" s="18"/>
      <c r="W715" s="16"/>
      <c r="X715" s="18"/>
      <c r="Y715" s="18"/>
      <c r="Z715" s="18"/>
      <c r="AA715" s="18"/>
    </row>
    <row r="716" spans="2:27" x14ac:dyDescent="0.35">
      <c r="B716" s="18"/>
      <c r="C716" s="18"/>
      <c r="D716" s="18"/>
      <c r="E716" s="18"/>
      <c r="F716" s="18"/>
      <c r="G716" s="18"/>
      <c r="H716" s="18"/>
      <c r="I716" s="16"/>
      <c r="J716" s="18"/>
      <c r="K716" s="18"/>
      <c r="L716" s="18"/>
      <c r="M716" s="18"/>
      <c r="N716" s="18"/>
      <c r="O716" s="16"/>
      <c r="P716" s="18"/>
      <c r="Q716" s="18"/>
      <c r="R716" s="18"/>
      <c r="S716" s="18"/>
      <c r="T716" s="18"/>
      <c r="U716" s="16"/>
      <c r="V716" s="18"/>
      <c r="W716" s="16"/>
      <c r="X716" s="18"/>
      <c r="Y716" s="18"/>
      <c r="Z716" s="18"/>
      <c r="AA716" s="18"/>
    </row>
    <row r="717" spans="2:27" x14ac:dyDescent="0.35">
      <c r="B717" s="18"/>
      <c r="C717" s="18"/>
      <c r="D717" s="18"/>
      <c r="E717" s="18"/>
      <c r="F717" s="18"/>
      <c r="G717" s="18"/>
      <c r="H717" s="18"/>
      <c r="I717" s="16"/>
      <c r="J717" s="18"/>
      <c r="K717" s="18"/>
      <c r="L717" s="18"/>
      <c r="M717" s="18"/>
      <c r="N717" s="18"/>
      <c r="O717" s="16"/>
      <c r="P717" s="18"/>
      <c r="Q717" s="18"/>
      <c r="R717" s="18"/>
      <c r="S717" s="18"/>
      <c r="T717" s="18"/>
      <c r="U717" s="16"/>
      <c r="V717" s="18"/>
      <c r="W717" s="16"/>
      <c r="X717" s="18"/>
      <c r="Y717" s="18"/>
      <c r="Z717" s="18"/>
      <c r="AA717" s="18"/>
    </row>
    <row r="718" spans="2:27" x14ac:dyDescent="0.35">
      <c r="B718" s="18"/>
      <c r="C718" s="18"/>
      <c r="D718" s="18"/>
      <c r="E718" s="18"/>
      <c r="F718" s="18"/>
      <c r="G718" s="18"/>
      <c r="H718" s="18"/>
      <c r="I718" s="16"/>
      <c r="J718" s="18"/>
      <c r="K718" s="18"/>
      <c r="L718" s="18"/>
      <c r="M718" s="18"/>
      <c r="N718" s="18"/>
      <c r="O718" s="16"/>
      <c r="P718" s="18"/>
      <c r="Q718" s="18"/>
      <c r="R718" s="18"/>
      <c r="S718" s="18"/>
      <c r="T718" s="18"/>
      <c r="U718" s="16"/>
      <c r="V718" s="18"/>
      <c r="W718" s="16"/>
      <c r="X718" s="18"/>
      <c r="Y718" s="18"/>
      <c r="Z718" s="18"/>
      <c r="AA718" s="18"/>
    </row>
    <row r="719" spans="2:27" x14ac:dyDescent="0.35">
      <c r="B719" s="18"/>
      <c r="C719" s="18"/>
      <c r="D719" s="18"/>
      <c r="E719" s="18"/>
      <c r="F719" s="18"/>
      <c r="G719" s="18"/>
      <c r="H719" s="18"/>
      <c r="I719" s="16"/>
      <c r="J719" s="18"/>
      <c r="K719" s="18"/>
      <c r="L719" s="18"/>
      <c r="M719" s="18"/>
      <c r="N719" s="18"/>
      <c r="O719" s="16"/>
      <c r="P719" s="18"/>
      <c r="Q719" s="18"/>
      <c r="R719" s="18"/>
      <c r="S719" s="18"/>
      <c r="T719" s="18"/>
      <c r="U719" s="16"/>
      <c r="V719" s="18"/>
      <c r="W719" s="16"/>
      <c r="X719" s="18"/>
      <c r="Y719" s="18"/>
      <c r="Z719" s="18"/>
      <c r="AA719" s="18"/>
    </row>
    <row r="720" spans="2:27" x14ac:dyDescent="0.35">
      <c r="B720" s="18"/>
      <c r="C720" s="18"/>
      <c r="D720" s="18"/>
      <c r="E720" s="18"/>
      <c r="F720" s="18"/>
      <c r="G720" s="18"/>
      <c r="H720" s="18"/>
      <c r="I720" s="16"/>
      <c r="J720" s="18"/>
      <c r="K720" s="18"/>
      <c r="L720" s="18"/>
      <c r="M720" s="18"/>
      <c r="N720" s="18"/>
      <c r="O720" s="16"/>
      <c r="P720" s="18"/>
      <c r="Q720" s="18"/>
      <c r="R720" s="18"/>
      <c r="S720" s="18"/>
      <c r="T720" s="18"/>
      <c r="U720" s="16"/>
      <c r="V720" s="18"/>
      <c r="W720" s="16"/>
      <c r="X720" s="18"/>
      <c r="Y720" s="18"/>
      <c r="Z720" s="18"/>
      <c r="AA720" s="18"/>
    </row>
    <row r="721" spans="2:27" x14ac:dyDescent="0.35">
      <c r="B721" s="18"/>
      <c r="C721" s="18"/>
      <c r="D721" s="18"/>
      <c r="E721" s="18"/>
      <c r="F721" s="18"/>
      <c r="G721" s="18"/>
      <c r="H721" s="18"/>
      <c r="I721" s="16"/>
      <c r="J721" s="18"/>
      <c r="K721" s="18"/>
      <c r="L721" s="18"/>
      <c r="M721" s="18"/>
      <c r="N721" s="18"/>
      <c r="O721" s="16"/>
      <c r="P721" s="18"/>
      <c r="Q721" s="18"/>
      <c r="R721" s="18"/>
      <c r="S721" s="18"/>
      <c r="T721" s="18"/>
      <c r="U721" s="16"/>
      <c r="V721" s="18"/>
      <c r="W721" s="16"/>
      <c r="X721" s="18"/>
      <c r="Y721" s="18"/>
      <c r="Z721" s="18"/>
      <c r="AA721" s="18"/>
    </row>
    <row r="722" spans="2:27" x14ac:dyDescent="0.35">
      <c r="B722" s="18"/>
      <c r="C722" s="18"/>
      <c r="D722" s="18"/>
      <c r="E722" s="18"/>
      <c r="F722" s="18"/>
      <c r="G722" s="18"/>
      <c r="H722" s="18"/>
      <c r="I722" s="16"/>
      <c r="J722" s="18"/>
      <c r="K722" s="18"/>
      <c r="L722" s="18"/>
      <c r="M722" s="18"/>
      <c r="N722" s="18"/>
      <c r="O722" s="16"/>
      <c r="P722" s="18"/>
      <c r="Q722" s="18"/>
      <c r="R722" s="18"/>
      <c r="S722" s="18"/>
      <c r="T722" s="18"/>
      <c r="U722" s="16"/>
      <c r="V722" s="18"/>
      <c r="W722" s="16"/>
      <c r="X722" s="18"/>
      <c r="Y722" s="18"/>
      <c r="Z722" s="18"/>
      <c r="AA722" s="18"/>
    </row>
    <row r="723" spans="2:27" x14ac:dyDescent="0.35">
      <c r="B723" s="18"/>
      <c r="C723" s="18"/>
      <c r="D723" s="18"/>
      <c r="E723" s="18"/>
      <c r="F723" s="18"/>
      <c r="G723" s="18"/>
      <c r="H723" s="18"/>
      <c r="I723" s="16"/>
      <c r="J723" s="18"/>
      <c r="K723" s="18"/>
      <c r="L723" s="18"/>
      <c r="M723" s="18"/>
      <c r="N723" s="18"/>
      <c r="O723" s="16"/>
      <c r="P723" s="18"/>
      <c r="Q723" s="18"/>
      <c r="R723" s="18"/>
      <c r="S723" s="18"/>
      <c r="T723" s="18"/>
      <c r="U723" s="16"/>
      <c r="V723" s="18"/>
      <c r="W723" s="16"/>
      <c r="X723" s="18"/>
      <c r="Y723" s="18"/>
      <c r="Z723" s="18"/>
      <c r="AA723" s="18"/>
    </row>
    <row r="724" spans="2:27" x14ac:dyDescent="0.35">
      <c r="B724" s="18"/>
      <c r="C724" s="18"/>
      <c r="D724" s="18"/>
      <c r="E724" s="18"/>
      <c r="F724" s="18"/>
      <c r="G724" s="18"/>
      <c r="H724" s="18"/>
      <c r="I724" s="16"/>
      <c r="J724" s="18"/>
      <c r="K724" s="18"/>
      <c r="L724" s="18"/>
      <c r="M724" s="18"/>
      <c r="N724" s="18"/>
      <c r="O724" s="16"/>
      <c r="P724" s="18"/>
      <c r="Q724" s="18"/>
      <c r="R724" s="18"/>
      <c r="S724" s="18"/>
      <c r="T724" s="18"/>
      <c r="U724" s="16"/>
      <c r="V724" s="18"/>
      <c r="W724" s="16"/>
      <c r="X724" s="18"/>
      <c r="Y724" s="18"/>
      <c r="Z724" s="18"/>
      <c r="AA724" s="18"/>
    </row>
    <row r="725" spans="2:27" x14ac:dyDescent="0.35">
      <c r="B725" s="18"/>
      <c r="C725" s="18"/>
      <c r="D725" s="18"/>
      <c r="E725" s="18"/>
      <c r="F725" s="18"/>
      <c r="G725" s="18"/>
      <c r="H725" s="18"/>
      <c r="I725" s="16"/>
      <c r="J725" s="18"/>
      <c r="K725" s="18"/>
      <c r="L725" s="18"/>
      <c r="M725" s="18"/>
      <c r="N725" s="18"/>
      <c r="O725" s="16"/>
      <c r="P725" s="18"/>
      <c r="Q725" s="18"/>
      <c r="R725" s="18"/>
      <c r="S725" s="18"/>
      <c r="T725" s="18"/>
      <c r="U725" s="16"/>
      <c r="V725" s="18"/>
      <c r="W725" s="16"/>
      <c r="X725" s="18"/>
      <c r="Y725" s="18"/>
      <c r="Z725" s="18"/>
      <c r="AA725" s="18"/>
    </row>
    <row r="726" spans="2:27" x14ac:dyDescent="0.35">
      <c r="B726" s="18"/>
      <c r="C726" s="18"/>
      <c r="D726" s="18"/>
      <c r="E726" s="18"/>
      <c r="F726" s="18"/>
      <c r="G726" s="18"/>
      <c r="H726" s="18"/>
      <c r="I726" s="16"/>
      <c r="J726" s="18"/>
      <c r="K726" s="18"/>
      <c r="L726" s="18"/>
      <c r="M726" s="18"/>
      <c r="N726" s="18"/>
      <c r="O726" s="16"/>
      <c r="P726" s="18"/>
      <c r="Q726" s="18"/>
      <c r="R726" s="18"/>
      <c r="S726" s="18"/>
      <c r="T726" s="18"/>
      <c r="U726" s="16"/>
      <c r="V726" s="18"/>
      <c r="W726" s="16"/>
      <c r="X726" s="18"/>
      <c r="Y726" s="18"/>
      <c r="Z726" s="18"/>
      <c r="AA726" s="18"/>
    </row>
    <row r="727" spans="2:27" x14ac:dyDescent="0.35">
      <c r="B727" s="18"/>
      <c r="C727" s="18"/>
      <c r="D727" s="18"/>
      <c r="E727" s="18"/>
      <c r="F727" s="18"/>
      <c r="G727" s="18"/>
      <c r="H727" s="18"/>
      <c r="I727" s="16"/>
      <c r="J727" s="18"/>
      <c r="K727" s="18"/>
      <c r="L727" s="18"/>
      <c r="M727" s="18"/>
      <c r="N727" s="18"/>
      <c r="O727" s="16"/>
      <c r="P727" s="18"/>
      <c r="Q727" s="18"/>
      <c r="R727" s="18"/>
      <c r="S727" s="18"/>
      <c r="T727" s="18"/>
      <c r="U727" s="16"/>
      <c r="V727" s="18"/>
      <c r="W727" s="16"/>
      <c r="X727" s="18"/>
      <c r="Y727" s="18"/>
      <c r="Z727" s="18"/>
      <c r="AA727" s="18"/>
    </row>
    <row r="728" spans="2:27" x14ac:dyDescent="0.35">
      <c r="B728" s="18"/>
      <c r="C728" s="18"/>
      <c r="D728" s="18"/>
      <c r="E728" s="18"/>
      <c r="F728" s="18"/>
      <c r="G728" s="18"/>
      <c r="H728" s="18"/>
      <c r="I728" s="16"/>
      <c r="J728" s="18"/>
      <c r="K728" s="18"/>
      <c r="L728" s="18"/>
      <c r="M728" s="18"/>
      <c r="N728" s="18"/>
      <c r="O728" s="16"/>
      <c r="P728" s="18"/>
      <c r="Q728" s="18"/>
      <c r="R728" s="18"/>
      <c r="S728" s="18"/>
      <c r="T728" s="18"/>
      <c r="U728" s="16"/>
      <c r="V728" s="18"/>
      <c r="W728" s="16"/>
      <c r="X728" s="18"/>
      <c r="Y728" s="18"/>
      <c r="Z728" s="18"/>
      <c r="AA728" s="18"/>
    </row>
    <row r="729" spans="2:27" x14ac:dyDescent="0.35">
      <c r="B729" s="18"/>
      <c r="C729" s="18"/>
      <c r="D729" s="18"/>
      <c r="E729" s="18"/>
      <c r="F729" s="18"/>
      <c r="G729" s="18"/>
      <c r="H729" s="18"/>
      <c r="I729" s="16"/>
      <c r="J729" s="18"/>
      <c r="K729" s="18"/>
      <c r="L729" s="18"/>
      <c r="M729" s="18"/>
      <c r="N729" s="18"/>
      <c r="O729" s="16"/>
      <c r="P729" s="18"/>
      <c r="Q729" s="18"/>
      <c r="R729" s="18"/>
      <c r="S729" s="18"/>
      <c r="T729" s="18"/>
      <c r="U729" s="16"/>
      <c r="V729" s="18"/>
      <c r="W729" s="16"/>
      <c r="X729" s="18"/>
      <c r="Y729" s="18"/>
      <c r="Z729" s="18"/>
      <c r="AA729" s="18"/>
    </row>
    <row r="730" spans="2:27" x14ac:dyDescent="0.35">
      <c r="B730" s="18"/>
      <c r="C730" s="18"/>
      <c r="D730" s="18"/>
      <c r="E730" s="18"/>
      <c r="F730" s="18"/>
      <c r="G730" s="18"/>
      <c r="H730" s="18"/>
      <c r="I730" s="16"/>
      <c r="J730" s="18"/>
      <c r="K730" s="18"/>
      <c r="L730" s="18"/>
      <c r="M730" s="18"/>
      <c r="N730" s="18"/>
      <c r="O730" s="16"/>
      <c r="P730" s="18"/>
      <c r="Q730" s="18"/>
      <c r="R730" s="18"/>
      <c r="S730" s="18"/>
      <c r="T730" s="18"/>
      <c r="U730" s="16"/>
      <c r="V730" s="18"/>
      <c r="W730" s="16"/>
      <c r="X730" s="18"/>
      <c r="Y730" s="18"/>
      <c r="Z730" s="18"/>
      <c r="AA730" s="18"/>
    </row>
    <row r="731" spans="2:27" x14ac:dyDescent="0.35">
      <c r="B731" s="18"/>
      <c r="C731" s="18"/>
      <c r="D731" s="18"/>
      <c r="E731" s="18"/>
      <c r="F731" s="18"/>
      <c r="G731" s="18"/>
      <c r="H731" s="18"/>
      <c r="I731" s="16"/>
      <c r="J731" s="18"/>
      <c r="K731" s="18"/>
      <c r="L731" s="18"/>
      <c r="M731" s="18"/>
      <c r="N731" s="18"/>
      <c r="O731" s="16"/>
      <c r="P731" s="18"/>
      <c r="Q731" s="18"/>
      <c r="R731" s="18"/>
      <c r="S731" s="18"/>
      <c r="T731" s="18"/>
      <c r="U731" s="16"/>
      <c r="V731" s="18"/>
      <c r="W731" s="16"/>
      <c r="X731" s="18"/>
      <c r="Y731" s="18"/>
      <c r="Z731" s="18"/>
      <c r="AA731" s="18"/>
    </row>
    <row r="732" spans="2:27" x14ac:dyDescent="0.35">
      <c r="B732" s="18"/>
      <c r="C732" s="18"/>
      <c r="D732" s="18"/>
      <c r="E732" s="18"/>
      <c r="F732" s="18"/>
      <c r="G732" s="18"/>
      <c r="H732" s="18"/>
      <c r="I732" s="16"/>
      <c r="J732" s="18"/>
      <c r="K732" s="18"/>
      <c r="L732" s="18"/>
      <c r="M732" s="18"/>
      <c r="N732" s="18"/>
      <c r="O732" s="16"/>
      <c r="P732" s="18"/>
      <c r="Q732" s="18"/>
      <c r="R732" s="18"/>
      <c r="S732" s="18"/>
      <c r="T732" s="18"/>
      <c r="U732" s="16"/>
      <c r="V732" s="18"/>
      <c r="W732" s="16"/>
      <c r="X732" s="18"/>
      <c r="Y732" s="18"/>
      <c r="Z732" s="18"/>
      <c r="AA732" s="18"/>
    </row>
    <row r="733" spans="2:27" x14ac:dyDescent="0.35">
      <c r="B733" s="18"/>
      <c r="C733" s="18"/>
      <c r="D733" s="18"/>
      <c r="E733" s="18"/>
      <c r="F733" s="18"/>
      <c r="G733" s="18"/>
      <c r="H733" s="18"/>
      <c r="I733" s="16"/>
      <c r="J733" s="18"/>
      <c r="K733" s="18"/>
      <c r="L733" s="18"/>
      <c r="M733" s="18"/>
      <c r="N733" s="18"/>
      <c r="O733" s="16"/>
      <c r="P733" s="18"/>
      <c r="Q733" s="18"/>
      <c r="R733" s="18"/>
      <c r="S733" s="18"/>
      <c r="T733" s="18"/>
      <c r="U733" s="16"/>
      <c r="V733" s="18"/>
      <c r="W733" s="16"/>
      <c r="X733" s="18"/>
      <c r="Y733" s="18"/>
      <c r="Z733" s="18"/>
      <c r="AA733" s="18"/>
    </row>
    <row r="734" spans="2:27" x14ac:dyDescent="0.35">
      <c r="B734" s="18"/>
      <c r="C734" s="18"/>
      <c r="D734" s="18"/>
      <c r="E734" s="18"/>
      <c r="F734" s="18"/>
      <c r="G734" s="18"/>
      <c r="H734" s="18"/>
      <c r="I734" s="16"/>
      <c r="J734" s="18"/>
      <c r="K734" s="18"/>
      <c r="L734" s="18"/>
      <c r="M734" s="18"/>
      <c r="N734" s="18"/>
      <c r="O734" s="16"/>
      <c r="P734" s="18"/>
      <c r="Q734" s="18"/>
      <c r="R734" s="18"/>
      <c r="S734" s="18"/>
      <c r="T734" s="18"/>
      <c r="U734" s="16"/>
      <c r="V734" s="18"/>
      <c r="W734" s="16"/>
      <c r="X734" s="18"/>
      <c r="Y734" s="18"/>
      <c r="Z734" s="18"/>
      <c r="AA734" s="18"/>
    </row>
    <row r="735" spans="2:27" x14ac:dyDescent="0.35">
      <c r="B735" s="18"/>
      <c r="C735" s="18"/>
      <c r="D735" s="18"/>
      <c r="E735" s="18"/>
      <c r="F735" s="18"/>
      <c r="G735" s="18"/>
      <c r="H735" s="18"/>
      <c r="I735" s="16"/>
      <c r="J735" s="18"/>
      <c r="K735" s="18"/>
      <c r="L735" s="18"/>
      <c r="M735" s="18"/>
      <c r="N735" s="18"/>
      <c r="O735" s="16"/>
      <c r="P735" s="18"/>
      <c r="Q735" s="18"/>
      <c r="R735" s="18"/>
      <c r="S735" s="18"/>
      <c r="T735" s="18"/>
      <c r="U735" s="16"/>
      <c r="V735" s="18"/>
      <c r="W735" s="16"/>
      <c r="X735" s="18"/>
      <c r="Y735" s="18"/>
      <c r="Z735" s="18"/>
      <c r="AA735" s="18"/>
    </row>
    <row r="736" spans="2:27" x14ac:dyDescent="0.35">
      <c r="B736" s="18"/>
      <c r="C736" s="18"/>
      <c r="D736" s="18"/>
      <c r="E736" s="18"/>
      <c r="F736" s="18"/>
      <c r="G736" s="18"/>
      <c r="H736" s="18"/>
      <c r="I736" s="16"/>
      <c r="J736" s="18"/>
      <c r="K736" s="18"/>
      <c r="L736" s="18"/>
      <c r="M736" s="18"/>
      <c r="N736" s="18"/>
      <c r="O736" s="16"/>
      <c r="P736" s="18"/>
      <c r="Q736" s="18"/>
      <c r="R736" s="18"/>
      <c r="S736" s="18"/>
      <c r="T736" s="18"/>
      <c r="U736" s="16"/>
      <c r="V736" s="18"/>
      <c r="W736" s="16"/>
      <c r="X736" s="18"/>
      <c r="Y736" s="18"/>
      <c r="Z736" s="18"/>
      <c r="AA736" s="18"/>
    </row>
    <row r="737" spans="2:27" x14ac:dyDescent="0.35">
      <c r="B737" s="18"/>
      <c r="C737" s="18"/>
      <c r="D737" s="18"/>
      <c r="E737" s="18"/>
      <c r="F737" s="18"/>
      <c r="G737" s="18"/>
      <c r="H737" s="18"/>
      <c r="I737" s="16"/>
      <c r="J737" s="18"/>
      <c r="K737" s="18"/>
      <c r="L737" s="18"/>
      <c r="M737" s="18"/>
      <c r="N737" s="18"/>
      <c r="O737" s="16"/>
      <c r="P737" s="18"/>
      <c r="Q737" s="18"/>
      <c r="R737" s="18"/>
      <c r="S737" s="18"/>
      <c r="T737" s="18"/>
      <c r="U737" s="16"/>
      <c r="V737" s="18"/>
      <c r="W737" s="16"/>
      <c r="X737" s="18"/>
      <c r="Y737" s="18"/>
      <c r="Z737" s="18"/>
      <c r="AA737" s="18"/>
    </row>
    <row r="738" spans="2:27" x14ac:dyDescent="0.35">
      <c r="B738" s="18"/>
      <c r="C738" s="18"/>
      <c r="D738" s="18"/>
      <c r="E738" s="18"/>
      <c r="F738" s="18"/>
      <c r="G738" s="18"/>
      <c r="H738" s="18"/>
      <c r="I738" s="16"/>
      <c r="J738" s="18"/>
      <c r="K738" s="18"/>
      <c r="L738" s="18"/>
      <c r="M738" s="18"/>
      <c r="N738" s="18"/>
      <c r="O738" s="16"/>
      <c r="P738" s="18"/>
      <c r="Q738" s="18"/>
      <c r="R738" s="18"/>
      <c r="S738" s="18"/>
      <c r="T738" s="18"/>
      <c r="U738" s="16"/>
      <c r="V738" s="18"/>
      <c r="W738" s="16"/>
      <c r="X738" s="18"/>
      <c r="Y738" s="18"/>
      <c r="Z738" s="18"/>
      <c r="AA738" s="18"/>
    </row>
    <row r="739" spans="2:27" x14ac:dyDescent="0.35">
      <c r="B739" s="18"/>
      <c r="C739" s="18"/>
      <c r="D739" s="18"/>
      <c r="E739" s="18"/>
      <c r="F739" s="18"/>
      <c r="G739" s="18"/>
      <c r="H739" s="18"/>
      <c r="I739" s="16"/>
      <c r="J739" s="18"/>
      <c r="K739" s="18"/>
      <c r="L739" s="18"/>
      <c r="M739" s="18"/>
      <c r="N739" s="18"/>
      <c r="O739" s="16"/>
      <c r="P739" s="18"/>
      <c r="Q739" s="18"/>
      <c r="R739" s="18"/>
      <c r="S739" s="18"/>
      <c r="T739" s="18"/>
      <c r="U739" s="16"/>
      <c r="V739" s="18"/>
      <c r="W739" s="16"/>
      <c r="X739" s="18"/>
      <c r="Y739" s="18"/>
      <c r="Z739" s="18"/>
      <c r="AA739" s="18"/>
    </row>
    <row r="740" spans="2:27" x14ac:dyDescent="0.35">
      <c r="B740" s="18"/>
      <c r="C740" s="18"/>
      <c r="D740" s="18"/>
      <c r="E740" s="18"/>
      <c r="F740" s="18"/>
      <c r="G740" s="18"/>
      <c r="H740" s="18"/>
      <c r="I740" s="16"/>
      <c r="J740" s="18"/>
      <c r="K740" s="18"/>
      <c r="L740" s="18"/>
      <c r="M740" s="18"/>
      <c r="N740" s="18"/>
      <c r="O740" s="16"/>
      <c r="P740" s="18"/>
      <c r="Q740" s="18"/>
      <c r="R740" s="18"/>
      <c r="S740" s="18"/>
      <c r="T740" s="18"/>
      <c r="U740" s="16"/>
      <c r="V740" s="18"/>
      <c r="W740" s="16"/>
      <c r="X740" s="18"/>
      <c r="Y740" s="18"/>
      <c r="Z740" s="18"/>
      <c r="AA740" s="18"/>
    </row>
    <row r="741" spans="2:27" x14ac:dyDescent="0.35">
      <c r="B741" s="18"/>
      <c r="C741" s="18"/>
      <c r="D741" s="18"/>
      <c r="E741" s="18"/>
      <c r="F741" s="18"/>
      <c r="G741" s="18"/>
      <c r="H741" s="18"/>
      <c r="I741" s="16"/>
      <c r="J741" s="18"/>
      <c r="K741" s="18"/>
      <c r="L741" s="18"/>
      <c r="M741" s="18"/>
      <c r="N741" s="18"/>
      <c r="O741" s="16"/>
      <c r="P741" s="18"/>
      <c r="Q741" s="18"/>
      <c r="R741" s="18"/>
      <c r="S741" s="18"/>
      <c r="T741" s="18"/>
      <c r="U741" s="16"/>
      <c r="V741" s="18"/>
      <c r="W741" s="16"/>
      <c r="X741" s="18"/>
      <c r="Y741" s="18"/>
      <c r="Z741" s="18"/>
      <c r="AA741" s="18"/>
    </row>
    <row r="742" spans="2:27" x14ac:dyDescent="0.35">
      <c r="B742" s="18"/>
      <c r="C742" s="18"/>
      <c r="D742" s="18"/>
      <c r="E742" s="18"/>
      <c r="F742" s="18"/>
      <c r="G742" s="18"/>
      <c r="H742" s="18"/>
      <c r="I742" s="16"/>
      <c r="J742" s="18"/>
      <c r="K742" s="18"/>
      <c r="L742" s="18"/>
      <c r="M742" s="18"/>
      <c r="N742" s="18"/>
      <c r="O742" s="16"/>
      <c r="P742" s="18"/>
      <c r="Q742" s="18"/>
      <c r="R742" s="18"/>
      <c r="S742" s="18"/>
      <c r="T742" s="18"/>
      <c r="U742" s="16"/>
      <c r="V742" s="18"/>
      <c r="W742" s="16"/>
      <c r="X742" s="18"/>
      <c r="Y742" s="18"/>
      <c r="Z742" s="18"/>
      <c r="AA742" s="18"/>
    </row>
    <row r="743" spans="2:27" x14ac:dyDescent="0.35">
      <c r="B743" s="18"/>
      <c r="C743" s="18"/>
      <c r="D743" s="18"/>
      <c r="E743" s="18"/>
      <c r="F743" s="18"/>
      <c r="G743" s="18"/>
      <c r="H743" s="18"/>
      <c r="I743" s="16"/>
      <c r="J743" s="18"/>
      <c r="K743" s="18"/>
      <c r="L743" s="18"/>
      <c r="M743" s="18"/>
      <c r="N743" s="18"/>
      <c r="O743" s="16"/>
      <c r="P743" s="18"/>
      <c r="Q743" s="18"/>
      <c r="R743" s="18"/>
      <c r="S743" s="18"/>
      <c r="T743" s="18"/>
      <c r="U743" s="16"/>
      <c r="V743" s="18"/>
      <c r="W743" s="16"/>
      <c r="X743" s="18"/>
      <c r="Y743" s="18"/>
      <c r="Z743" s="18"/>
      <c r="AA743" s="18"/>
    </row>
    <row r="744" spans="2:27" x14ac:dyDescent="0.35">
      <c r="B744" s="18"/>
      <c r="C744" s="18"/>
      <c r="D744" s="18"/>
      <c r="E744" s="18"/>
      <c r="F744" s="18"/>
      <c r="G744" s="18"/>
      <c r="H744" s="18"/>
      <c r="I744" s="16"/>
      <c r="J744" s="18"/>
      <c r="K744" s="18"/>
      <c r="L744" s="18"/>
      <c r="M744" s="18"/>
      <c r="N744" s="18"/>
      <c r="O744" s="16"/>
      <c r="P744" s="18"/>
      <c r="Q744" s="18"/>
      <c r="R744" s="18"/>
      <c r="S744" s="18"/>
      <c r="T744" s="18"/>
      <c r="U744" s="16"/>
      <c r="V744" s="18"/>
      <c r="W744" s="16"/>
      <c r="X744" s="18"/>
      <c r="Y744" s="18"/>
      <c r="Z744" s="18"/>
      <c r="AA744" s="18"/>
    </row>
    <row r="745" spans="2:27" x14ac:dyDescent="0.35">
      <c r="B745" s="18"/>
      <c r="C745" s="18"/>
      <c r="D745" s="18"/>
      <c r="E745" s="18"/>
      <c r="F745" s="18"/>
      <c r="G745" s="18"/>
      <c r="H745" s="18"/>
      <c r="I745" s="16"/>
      <c r="J745" s="18"/>
      <c r="K745" s="18"/>
      <c r="L745" s="18"/>
      <c r="M745" s="18"/>
      <c r="N745" s="18"/>
      <c r="O745" s="16"/>
      <c r="P745" s="18"/>
      <c r="Q745" s="18"/>
      <c r="R745" s="18"/>
      <c r="S745" s="18"/>
      <c r="T745" s="18"/>
      <c r="U745" s="16"/>
      <c r="V745" s="18"/>
      <c r="W745" s="16"/>
      <c r="X745" s="18"/>
      <c r="Y745" s="18"/>
      <c r="Z745" s="18"/>
      <c r="AA745" s="18"/>
    </row>
    <row r="746" spans="2:27" x14ac:dyDescent="0.35">
      <c r="B746" s="18"/>
      <c r="C746" s="18"/>
      <c r="D746" s="18"/>
      <c r="E746" s="18"/>
      <c r="F746" s="18"/>
      <c r="G746" s="18"/>
      <c r="H746" s="18"/>
      <c r="I746" s="16"/>
      <c r="J746" s="18"/>
      <c r="K746" s="18"/>
      <c r="L746" s="18"/>
      <c r="M746" s="18"/>
      <c r="N746" s="18"/>
      <c r="O746" s="16"/>
      <c r="P746" s="18"/>
      <c r="Q746" s="18"/>
      <c r="R746" s="18"/>
      <c r="S746" s="18"/>
      <c r="T746" s="18"/>
      <c r="U746" s="16"/>
      <c r="V746" s="18"/>
      <c r="W746" s="16"/>
      <c r="X746" s="18"/>
      <c r="Y746" s="18"/>
      <c r="Z746" s="18"/>
      <c r="AA746" s="18"/>
    </row>
    <row r="747" spans="2:27" x14ac:dyDescent="0.35">
      <c r="B747" s="18"/>
      <c r="C747" s="18"/>
      <c r="D747" s="18"/>
      <c r="E747" s="18"/>
      <c r="F747" s="18"/>
      <c r="G747" s="18"/>
      <c r="H747" s="18"/>
      <c r="I747" s="16"/>
      <c r="J747" s="18"/>
      <c r="K747" s="18"/>
      <c r="L747" s="18"/>
      <c r="M747" s="18"/>
      <c r="N747" s="18"/>
      <c r="O747" s="16"/>
      <c r="P747" s="18"/>
      <c r="Q747" s="18"/>
      <c r="R747" s="18"/>
      <c r="S747" s="18"/>
      <c r="T747" s="18"/>
      <c r="U747" s="16"/>
      <c r="V747" s="18"/>
      <c r="W747" s="16"/>
      <c r="X747" s="18"/>
      <c r="Y747" s="18"/>
      <c r="Z747" s="18"/>
      <c r="AA747" s="18"/>
    </row>
    <row r="748" spans="2:27" x14ac:dyDescent="0.35">
      <c r="B748" s="18"/>
      <c r="C748" s="18"/>
      <c r="D748" s="18"/>
      <c r="E748" s="18"/>
      <c r="F748" s="18"/>
      <c r="G748" s="18"/>
      <c r="H748" s="18"/>
      <c r="I748" s="16"/>
      <c r="J748" s="18"/>
      <c r="K748" s="18"/>
      <c r="L748" s="18"/>
      <c r="M748" s="18"/>
      <c r="N748" s="18"/>
      <c r="O748" s="16"/>
      <c r="P748" s="18"/>
      <c r="Q748" s="18"/>
      <c r="R748" s="18"/>
      <c r="S748" s="18"/>
      <c r="T748" s="18"/>
      <c r="U748" s="16"/>
      <c r="V748" s="18"/>
      <c r="W748" s="16"/>
      <c r="X748" s="18"/>
      <c r="Y748" s="18"/>
      <c r="Z748" s="18"/>
      <c r="AA748" s="18"/>
    </row>
    <row r="749" spans="2:27" x14ac:dyDescent="0.35">
      <c r="B749" s="18"/>
      <c r="C749" s="18"/>
      <c r="D749" s="18"/>
      <c r="E749" s="18"/>
      <c r="F749" s="18"/>
      <c r="G749" s="18"/>
      <c r="H749" s="18"/>
      <c r="I749" s="16"/>
      <c r="J749" s="18"/>
      <c r="K749" s="18"/>
      <c r="L749" s="18"/>
      <c r="M749" s="18"/>
      <c r="N749" s="18"/>
      <c r="O749" s="16"/>
      <c r="P749" s="18"/>
      <c r="Q749" s="18"/>
      <c r="R749" s="18"/>
      <c r="S749" s="18"/>
      <c r="T749" s="18"/>
      <c r="U749" s="16"/>
      <c r="V749" s="18"/>
      <c r="W749" s="16"/>
      <c r="X749" s="18"/>
      <c r="Y749" s="18"/>
      <c r="Z749" s="18"/>
      <c r="AA749" s="18"/>
    </row>
    <row r="750" spans="2:27" x14ac:dyDescent="0.35">
      <c r="B750" s="18"/>
      <c r="C750" s="18"/>
      <c r="D750" s="18"/>
      <c r="E750" s="18"/>
      <c r="F750" s="18"/>
      <c r="G750" s="18"/>
      <c r="H750" s="18"/>
      <c r="I750" s="16"/>
      <c r="J750" s="18"/>
      <c r="K750" s="18"/>
      <c r="L750" s="18"/>
      <c r="M750" s="18"/>
      <c r="N750" s="18"/>
      <c r="O750" s="16"/>
      <c r="P750" s="18"/>
      <c r="Q750" s="18"/>
      <c r="R750" s="18"/>
      <c r="S750" s="18"/>
      <c r="T750" s="18"/>
      <c r="U750" s="16"/>
      <c r="V750" s="18"/>
      <c r="W750" s="16"/>
      <c r="X750" s="18"/>
      <c r="Y750" s="18"/>
      <c r="Z750" s="18"/>
      <c r="AA750" s="18"/>
    </row>
    <row r="751" spans="2:27" x14ac:dyDescent="0.35">
      <c r="B751" s="18"/>
      <c r="C751" s="18"/>
      <c r="D751" s="18"/>
      <c r="E751" s="18"/>
      <c r="F751" s="18"/>
      <c r="G751" s="18"/>
      <c r="H751" s="18"/>
      <c r="I751" s="16"/>
      <c r="J751" s="18"/>
      <c r="K751" s="18"/>
      <c r="L751" s="18"/>
      <c r="M751" s="18"/>
      <c r="N751" s="18"/>
      <c r="O751" s="16"/>
      <c r="P751" s="18"/>
      <c r="Q751" s="18"/>
      <c r="R751" s="18"/>
      <c r="S751" s="18"/>
      <c r="T751" s="18"/>
      <c r="U751" s="16"/>
      <c r="V751" s="18"/>
      <c r="W751" s="16"/>
      <c r="X751" s="18"/>
      <c r="Y751" s="18"/>
      <c r="Z751" s="18"/>
      <c r="AA751" s="18"/>
    </row>
    <row r="752" spans="2:27" x14ac:dyDescent="0.35">
      <c r="B752" s="18"/>
      <c r="C752" s="18"/>
      <c r="D752" s="18"/>
      <c r="E752" s="18"/>
      <c r="F752" s="18"/>
      <c r="G752" s="18"/>
      <c r="H752" s="18"/>
      <c r="I752" s="16"/>
      <c r="J752" s="18"/>
      <c r="K752" s="18"/>
      <c r="L752" s="18"/>
      <c r="M752" s="18"/>
      <c r="N752" s="18"/>
      <c r="O752" s="16"/>
      <c r="P752" s="18"/>
      <c r="Q752" s="18"/>
      <c r="R752" s="18"/>
      <c r="S752" s="18"/>
      <c r="T752" s="18"/>
      <c r="U752" s="16"/>
      <c r="V752" s="18"/>
      <c r="W752" s="16"/>
      <c r="X752" s="18"/>
      <c r="Y752" s="18"/>
      <c r="Z752" s="18"/>
      <c r="AA752" s="18"/>
    </row>
    <row r="753" spans="2:27" x14ac:dyDescent="0.35">
      <c r="B753" s="18"/>
      <c r="C753" s="18"/>
      <c r="D753" s="18"/>
      <c r="E753" s="18"/>
      <c r="F753" s="18"/>
      <c r="G753" s="18"/>
      <c r="H753" s="18"/>
      <c r="I753" s="16"/>
      <c r="J753" s="18"/>
      <c r="K753" s="18"/>
      <c r="L753" s="18"/>
      <c r="M753" s="18"/>
      <c r="N753" s="18"/>
      <c r="O753" s="16"/>
      <c r="P753" s="18"/>
      <c r="Q753" s="18"/>
      <c r="R753" s="18"/>
      <c r="S753" s="18"/>
      <c r="T753" s="18"/>
      <c r="U753" s="16"/>
      <c r="V753" s="18"/>
      <c r="W753" s="16"/>
      <c r="X753" s="18"/>
      <c r="Y753" s="18"/>
      <c r="Z753" s="18"/>
      <c r="AA753" s="18"/>
    </row>
    <row r="754" spans="2:27" x14ac:dyDescent="0.35">
      <c r="B754" s="18"/>
      <c r="C754" s="18"/>
      <c r="D754" s="18"/>
      <c r="E754" s="18"/>
      <c r="F754" s="18"/>
      <c r="G754" s="18"/>
      <c r="H754" s="18"/>
      <c r="I754" s="16"/>
      <c r="J754" s="18"/>
      <c r="K754" s="18"/>
      <c r="L754" s="18"/>
      <c r="M754" s="18"/>
      <c r="N754" s="18"/>
      <c r="O754" s="16"/>
      <c r="P754" s="18"/>
      <c r="Q754" s="18"/>
      <c r="R754" s="18"/>
      <c r="S754" s="18"/>
      <c r="T754" s="18"/>
      <c r="U754" s="16"/>
      <c r="V754" s="18"/>
      <c r="W754" s="16"/>
      <c r="X754" s="18"/>
      <c r="Y754" s="18"/>
      <c r="Z754" s="18"/>
      <c r="AA754" s="18"/>
    </row>
    <row r="755" spans="2:27" x14ac:dyDescent="0.35">
      <c r="B755" s="18"/>
      <c r="C755" s="18"/>
      <c r="D755" s="18"/>
      <c r="E755" s="18"/>
      <c r="F755" s="18"/>
      <c r="G755" s="18"/>
      <c r="H755" s="18"/>
      <c r="I755" s="16"/>
      <c r="J755" s="18"/>
      <c r="K755" s="18"/>
      <c r="L755" s="18"/>
      <c r="M755" s="18"/>
      <c r="N755" s="18"/>
      <c r="O755" s="16"/>
      <c r="P755" s="18"/>
      <c r="Q755" s="18"/>
      <c r="R755" s="18"/>
      <c r="S755" s="18"/>
      <c r="T755" s="18"/>
      <c r="U755" s="16"/>
      <c r="V755" s="18"/>
      <c r="W755" s="16"/>
      <c r="X755" s="18"/>
      <c r="Y755" s="18"/>
      <c r="Z755" s="18"/>
      <c r="AA755" s="18"/>
    </row>
    <row r="756" spans="2:27" x14ac:dyDescent="0.35">
      <c r="B756" s="18"/>
      <c r="C756" s="18"/>
      <c r="D756" s="18"/>
      <c r="E756" s="18"/>
      <c r="F756" s="18"/>
      <c r="G756" s="18"/>
      <c r="H756" s="18"/>
      <c r="I756" s="16"/>
      <c r="J756" s="18"/>
      <c r="K756" s="18"/>
      <c r="L756" s="18"/>
      <c r="M756" s="18"/>
      <c r="N756" s="18"/>
      <c r="O756" s="16"/>
      <c r="P756" s="18"/>
      <c r="Q756" s="18"/>
      <c r="R756" s="18"/>
      <c r="S756" s="18"/>
      <c r="T756" s="18"/>
      <c r="U756" s="16"/>
      <c r="V756" s="18"/>
      <c r="W756" s="16"/>
      <c r="X756" s="18"/>
      <c r="Y756" s="18"/>
      <c r="Z756" s="18"/>
      <c r="AA756" s="18"/>
    </row>
    <row r="757" spans="2:27" x14ac:dyDescent="0.35">
      <c r="B757" s="18"/>
      <c r="C757" s="18"/>
      <c r="D757" s="18"/>
      <c r="E757" s="18"/>
      <c r="F757" s="18"/>
      <c r="G757" s="18"/>
      <c r="H757" s="18"/>
      <c r="I757" s="16"/>
      <c r="J757" s="18"/>
      <c r="K757" s="18"/>
      <c r="L757" s="18"/>
      <c r="M757" s="18"/>
      <c r="N757" s="18"/>
      <c r="O757" s="16"/>
      <c r="P757" s="18"/>
      <c r="Q757" s="18"/>
      <c r="R757" s="18"/>
      <c r="S757" s="18"/>
      <c r="T757" s="18"/>
      <c r="U757" s="16"/>
      <c r="V757" s="18"/>
      <c r="W757" s="16"/>
      <c r="X757" s="18"/>
      <c r="Y757" s="18"/>
      <c r="Z757" s="18"/>
      <c r="AA757" s="18"/>
    </row>
    <row r="758" spans="2:27" x14ac:dyDescent="0.35">
      <c r="B758" s="18"/>
      <c r="C758" s="18"/>
      <c r="D758" s="18"/>
      <c r="E758" s="18"/>
      <c r="F758" s="18"/>
      <c r="G758" s="18"/>
      <c r="H758" s="18"/>
      <c r="I758" s="16"/>
      <c r="J758" s="18"/>
      <c r="K758" s="18"/>
      <c r="L758" s="18"/>
      <c r="M758" s="18"/>
      <c r="N758" s="18"/>
      <c r="O758" s="16"/>
      <c r="P758" s="18"/>
      <c r="Q758" s="18"/>
      <c r="R758" s="18"/>
      <c r="S758" s="18"/>
      <c r="T758" s="18"/>
      <c r="U758" s="16"/>
      <c r="V758" s="18"/>
      <c r="W758" s="16"/>
      <c r="X758" s="18"/>
      <c r="Y758" s="18"/>
      <c r="Z758" s="18"/>
      <c r="AA758" s="18"/>
    </row>
    <row r="759" spans="2:27" x14ac:dyDescent="0.35">
      <c r="B759" s="18"/>
      <c r="C759" s="18"/>
      <c r="D759" s="18"/>
      <c r="E759" s="18"/>
      <c r="F759" s="18"/>
      <c r="G759" s="18"/>
      <c r="H759" s="18"/>
      <c r="I759" s="16"/>
      <c r="J759" s="18"/>
      <c r="K759" s="18"/>
      <c r="L759" s="18"/>
      <c r="M759" s="18"/>
      <c r="N759" s="18"/>
      <c r="O759" s="16"/>
      <c r="P759" s="18"/>
      <c r="Q759" s="18"/>
      <c r="R759" s="18"/>
      <c r="S759" s="18"/>
      <c r="T759" s="18"/>
      <c r="U759" s="16"/>
      <c r="V759" s="18"/>
      <c r="W759" s="16"/>
      <c r="X759" s="18"/>
      <c r="Y759" s="18"/>
      <c r="Z759" s="18"/>
      <c r="AA759" s="18"/>
    </row>
    <row r="760" spans="2:27" x14ac:dyDescent="0.35">
      <c r="B760" s="18"/>
      <c r="C760" s="18"/>
      <c r="D760" s="18"/>
      <c r="E760" s="18"/>
      <c r="F760" s="18"/>
      <c r="G760" s="18"/>
      <c r="H760" s="18"/>
      <c r="I760" s="16"/>
      <c r="J760" s="18"/>
      <c r="K760" s="18"/>
      <c r="L760" s="18"/>
      <c r="M760" s="18"/>
      <c r="N760" s="18"/>
      <c r="O760" s="16"/>
      <c r="P760" s="18"/>
      <c r="Q760" s="18"/>
      <c r="R760" s="18"/>
      <c r="S760" s="18"/>
      <c r="T760" s="18"/>
      <c r="U760" s="16"/>
      <c r="V760" s="18"/>
      <c r="W760" s="16"/>
      <c r="X760" s="18"/>
      <c r="Y760" s="18"/>
      <c r="Z760" s="18"/>
      <c r="AA760" s="18"/>
    </row>
    <row r="761" spans="2:27" x14ac:dyDescent="0.35">
      <c r="B761" s="18"/>
      <c r="C761" s="18"/>
      <c r="D761" s="18"/>
      <c r="E761" s="18"/>
      <c r="F761" s="18"/>
      <c r="G761" s="18"/>
      <c r="H761" s="18"/>
      <c r="I761" s="16"/>
      <c r="J761" s="18"/>
      <c r="K761" s="18"/>
      <c r="L761" s="18"/>
      <c r="M761" s="18"/>
      <c r="N761" s="18"/>
      <c r="O761" s="16"/>
      <c r="P761" s="18"/>
      <c r="Q761" s="18"/>
      <c r="R761" s="18"/>
      <c r="S761" s="18"/>
      <c r="T761" s="18"/>
      <c r="U761" s="16"/>
      <c r="V761" s="18"/>
      <c r="W761" s="16"/>
      <c r="X761" s="18"/>
      <c r="Y761" s="18"/>
      <c r="Z761" s="18"/>
      <c r="AA761" s="18"/>
    </row>
    <row r="762" spans="2:27" x14ac:dyDescent="0.35">
      <c r="B762" s="18"/>
      <c r="C762" s="18"/>
      <c r="D762" s="18"/>
      <c r="E762" s="18"/>
      <c r="F762" s="18"/>
      <c r="G762" s="18"/>
      <c r="H762" s="18"/>
      <c r="I762" s="16"/>
      <c r="J762" s="18"/>
      <c r="K762" s="18"/>
      <c r="L762" s="18"/>
      <c r="M762" s="18"/>
      <c r="N762" s="18"/>
      <c r="O762" s="16"/>
      <c r="P762" s="18"/>
      <c r="Q762" s="18"/>
      <c r="R762" s="18"/>
      <c r="S762" s="18"/>
      <c r="T762" s="18"/>
      <c r="U762" s="16"/>
      <c r="V762" s="18"/>
      <c r="W762" s="16"/>
      <c r="X762" s="18"/>
      <c r="Y762" s="18"/>
      <c r="Z762" s="18"/>
      <c r="AA762" s="18"/>
    </row>
    <row r="763" spans="2:27" x14ac:dyDescent="0.35">
      <c r="B763" s="18"/>
      <c r="C763" s="18"/>
      <c r="D763" s="18"/>
      <c r="E763" s="18"/>
      <c r="F763" s="18"/>
      <c r="G763" s="18"/>
      <c r="H763" s="18"/>
      <c r="I763" s="16"/>
      <c r="J763" s="18"/>
      <c r="K763" s="18"/>
      <c r="L763" s="18"/>
      <c r="M763" s="18"/>
      <c r="N763" s="18"/>
      <c r="O763" s="16"/>
      <c r="P763" s="18"/>
      <c r="Q763" s="18"/>
      <c r="R763" s="18"/>
      <c r="S763" s="18"/>
      <c r="T763" s="18"/>
      <c r="U763" s="16"/>
      <c r="V763" s="18"/>
      <c r="W763" s="16"/>
      <c r="X763" s="18"/>
      <c r="Y763" s="18"/>
      <c r="Z763" s="18"/>
      <c r="AA763" s="18"/>
    </row>
    <row r="764" spans="2:27" x14ac:dyDescent="0.35">
      <c r="B764" s="18"/>
      <c r="C764" s="18"/>
      <c r="D764" s="18"/>
      <c r="E764" s="18"/>
      <c r="F764" s="18"/>
      <c r="G764" s="18"/>
      <c r="H764" s="18"/>
      <c r="I764" s="16"/>
      <c r="J764" s="18"/>
      <c r="K764" s="18"/>
      <c r="L764" s="18"/>
      <c r="M764" s="18"/>
      <c r="N764" s="18"/>
      <c r="O764" s="16"/>
      <c r="P764" s="18"/>
      <c r="Q764" s="18"/>
      <c r="R764" s="18"/>
      <c r="S764" s="18"/>
      <c r="T764" s="18"/>
      <c r="U764" s="16"/>
      <c r="V764" s="18"/>
      <c r="W764" s="16"/>
      <c r="X764" s="18"/>
      <c r="Y764" s="18"/>
      <c r="Z764" s="18"/>
      <c r="AA764" s="18"/>
    </row>
    <row r="765" spans="2:27" x14ac:dyDescent="0.35">
      <c r="B765" s="18"/>
      <c r="C765" s="18"/>
      <c r="D765" s="18"/>
      <c r="E765" s="18"/>
      <c r="F765" s="18"/>
      <c r="G765" s="18"/>
      <c r="H765" s="18"/>
      <c r="I765" s="16"/>
      <c r="J765" s="18"/>
      <c r="K765" s="18"/>
      <c r="L765" s="18"/>
      <c r="M765" s="18"/>
      <c r="N765" s="18"/>
      <c r="O765" s="16"/>
      <c r="P765" s="18"/>
      <c r="Q765" s="18"/>
      <c r="R765" s="18"/>
      <c r="S765" s="18"/>
      <c r="T765" s="18"/>
      <c r="U765" s="16"/>
      <c r="V765" s="18"/>
      <c r="W765" s="16"/>
      <c r="X765" s="18"/>
      <c r="Y765" s="18"/>
      <c r="Z765" s="18"/>
      <c r="AA765" s="18"/>
    </row>
    <row r="766" spans="2:27" x14ac:dyDescent="0.35">
      <c r="B766" s="18"/>
      <c r="C766" s="18"/>
      <c r="D766" s="18"/>
      <c r="E766" s="18"/>
      <c r="F766" s="18"/>
      <c r="G766" s="18"/>
      <c r="H766" s="18"/>
      <c r="I766" s="16"/>
      <c r="J766" s="18"/>
      <c r="K766" s="18"/>
      <c r="L766" s="18"/>
      <c r="M766" s="18"/>
      <c r="N766" s="18"/>
      <c r="O766" s="16"/>
      <c r="P766" s="18"/>
      <c r="Q766" s="18"/>
      <c r="R766" s="18"/>
      <c r="S766" s="18"/>
      <c r="T766" s="18"/>
      <c r="U766" s="16"/>
      <c r="V766" s="18"/>
      <c r="W766" s="16"/>
      <c r="X766" s="18"/>
      <c r="Y766" s="18"/>
      <c r="Z766" s="18"/>
      <c r="AA766" s="18"/>
    </row>
    <row r="767" spans="2:27" x14ac:dyDescent="0.35">
      <c r="B767" s="18"/>
      <c r="C767" s="18"/>
      <c r="D767" s="18"/>
      <c r="E767" s="18"/>
      <c r="F767" s="18"/>
      <c r="G767" s="18"/>
      <c r="H767" s="18"/>
      <c r="I767" s="16"/>
      <c r="J767" s="18"/>
      <c r="K767" s="18"/>
      <c r="L767" s="18"/>
      <c r="M767" s="18"/>
      <c r="N767" s="18"/>
      <c r="O767" s="16"/>
      <c r="P767" s="18"/>
      <c r="Q767" s="18"/>
      <c r="R767" s="18"/>
      <c r="S767" s="18"/>
      <c r="T767" s="18"/>
      <c r="U767" s="16"/>
      <c r="V767" s="18"/>
      <c r="W767" s="16"/>
      <c r="X767" s="18"/>
      <c r="Y767" s="18"/>
      <c r="Z767" s="18"/>
      <c r="AA767" s="18"/>
    </row>
    <row r="768" spans="2:27" x14ac:dyDescent="0.35">
      <c r="B768" s="18"/>
      <c r="C768" s="18"/>
      <c r="D768" s="18"/>
      <c r="E768" s="18"/>
      <c r="F768" s="18"/>
      <c r="G768" s="18"/>
      <c r="H768" s="18"/>
      <c r="I768" s="16"/>
      <c r="J768" s="18"/>
      <c r="K768" s="18"/>
      <c r="L768" s="18"/>
      <c r="M768" s="18"/>
      <c r="N768" s="18"/>
      <c r="O768" s="16"/>
      <c r="P768" s="18"/>
      <c r="Q768" s="18"/>
      <c r="R768" s="18"/>
      <c r="S768" s="18"/>
      <c r="T768" s="18"/>
      <c r="U768" s="16"/>
      <c r="V768" s="18"/>
      <c r="W768" s="16"/>
      <c r="X768" s="18"/>
      <c r="Y768" s="18"/>
      <c r="Z768" s="18"/>
      <c r="AA768" s="18"/>
    </row>
    <row r="769" spans="2:27" x14ac:dyDescent="0.35">
      <c r="B769" s="18"/>
      <c r="C769" s="18"/>
      <c r="D769" s="18"/>
      <c r="E769" s="18"/>
      <c r="F769" s="18"/>
      <c r="G769" s="18"/>
      <c r="H769" s="18"/>
      <c r="I769" s="16"/>
      <c r="J769" s="18"/>
      <c r="K769" s="18"/>
      <c r="L769" s="18"/>
      <c r="M769" s="18"/>
      <c r="N769" s="18"/>
      <c r="O769" s="16"/>
      <c r="P769" s="18"/>
      <c r="Q769" s="18"/>
      <c r="R769" s="18"/>
      <c r="S769" s="18"/>
      <c r="T769" s="18"/>
      <c r="U769" s="16"/>
      <c r="V769" s="18"/>
      <c r="W769" s="16"/>
      <c r="X769" s="18"/>
      <c r="Y769" s="18"/>
      <c r="Z769" s="18"/>
      <c r="AA769" s="18"/>
    </row>
    <row r="770" spans="2:27" x14ac:dyDescent="0.35">
      <c r="B770" s="18"/>
      <c r="C770" s="18"/>
      <c r="D770" s="18"/>
      <c r="E770" s="18"/>
      <c r="F770" s="18"/>
      <c r="G770" s="18"/>
      <c r="H770" s="18"/>
      <c r="I770" s="16"/>
      <c r="J770" s="18"/>
      <c r="K770" s="18"/>
      <c r="L770" s="18"/>
      <c r="M770" s="18"/>
      <c r="N770" s="18"/>
      <c r="O770" s="16"/>
      <c r="P770" s="18"/>
      <c r="Q770" s="18"/>
      <c r="R770" s="18"/>
      <c r="S770" s="18"/>
      <c r="T770" s="18"/>
      <c r="U770" s="16"/>
      <c r="V770" s="18"/>
      <c r="W770" s="16"/>
      <c r="X770" s="18"/>
      <c r="Y770" s="18"/>
      <c r="Z770" s="18"/>
      <c r="AA770" s="18"/>
    </row>
    <row r="771" spans="2:27" x14ac:dyDescent="0.35">
      <c r="B771" s="18"/>
      <c r="C771" s="18"/>
      <c r="D771" s="18"/>
      <c r="E771" s="18"/>
      <c r="F771" s="18"/>
      <c r="G771" s="18"/>
      <c r="H771" s="18"/>
      <c r="I771" s="16"/>
      <c r="J771" s="18"/>
      <c r="K771" s="18"/>
      <c r="L771" s="18"/>
      <c r="M771" s="18"/>
      <c r="N771" s="18"/>
      <c r="O771" s="16"/>
      <c r="P771" s="18"/>
      <c r="Q771" s="18"/>
      <c r="R771" s="18"/>
      <c r="S771" s="18"/>
      <c r="T771" s="18"/>
      <c r="U771" s="16"/>
      <c r="V771" s="18"/>
      <c r="W771" s="16"/>
      <c r="X771" s="18"/>
      <c r="Y771" s="18"/>
      <c r="Z771" s="18"/>
      <c r="AA771" s="18"/>
    </row>
    <row r="772" spans="2:27" x14ac:dyDescent="0.35">
      <c r="B772" s="18"/>
      <c r="C772" s="18"/>
      <c r="D772" s="18"/>
      <c r="E772" s="18"/>
      <c r="F772" s="18"/>
      <c r="G772" s="18"/>
      <c r="H772" s="18"/>
      <c r="I772" s="16"/>
      <c r="J772" s="18"/>
      <c r="K772" s="18"/>
      <c r="L772" s="18"/>
      <c r="M772" s="18"/>
      <c r="N772" s="18"/>
      <c r="O772" s="16"/>
      <c r="P772" s="18"/>
      <c r="Q772" s="18"/>
      <c r="R772" s="18"/>
      <c r="S772" s="18"/>
      <c r="T772" s="18"/>
      <c r="U772" s="16"/>
      <c r="V772" s="18"/>
      <c r="W772" s="16"/>
      <c r="X772" s="18"/>
      <c r="Y772" s="18"/>
      <c r="Z772" s="18"/>
      <c r="AA772" s="18"/>
    </row>
    <row r="773" spans="2:27" x14ac:dyDescent="0.35">
      <c r="B773" s="18"/>
      <c r="C773" s="18"/>
      <c r="D773" s="18"/>
      <c r="E773" s="18"/>
      <c r="F773" s="18"/>
      <c r="G773" s="18"/>
      <c r="H773" s="18"/>
      <c r="I773" s="16"/>
      <c r="J773" s="18"/>
      <c r="K773" s="18"/>
      <c r="L773" s="18"/>
      <c r="M773" s="18"/>
      <c r="N773" s="18"/>
      <c r="O773" s="16"/>
      <c r="P773" s="18"/>
      <c r="Q773" s="18"/>
      <c r="R773" s="18"/>
      <c r="S773" s="18"/>
      <c r="T773" s="18"/>
      <c r="U773" s="16"/>
      <c r="V773" s="18"/>
      <c r="W773" s="16"/>
      <c r="X773" s="18"/>
      <c r="Y773" s="18"/>
      <c r="Z773" s="18"/>
      <c r="AA773" s="18"/>
    </row>
    <row r="774" spans="2:27" x14ac:dyDescent="0.35">
      <c r="B774" s="18"/>
      <c r="C774" s="18"/>
      <c r="D774" s="18"/>
      <c r="E774" s="18"/>
      <c r="F774" s="18"/>
      <c r="G774" s="18"/>
      <c r="H774" s="18"/>
      <c r="I774" s="16"/>
      <c r="J774" s="18"/>
      <c r="K774" s="18"/>
      <c r="L774" s="18"/>
      <c r="M774" s="18"/>
      <c r="N774" s="18"/>
      <c r="O774" s="16"/>
      <c r="P774" s="18"/>
      <c r="Q774" s="18"/>
      <c r="R774" s="18"/>
      <c r="S774" s="18"/>
      <c r="T774" s="18"/>
      <c r="U774" s="16"/>
      <c r="V774" s="18"/>
      <c r="W774" s="16"/>
      <c r="X774" s="18"/>
      <c r="Y774" s="18"/>
      <c r="Z774" s="18"/>
      <c r="AA774" s="18"/>
    </row>
    <row r="775" spans="2:27" x14ac:dyDescent="0.35">
      <c r="B775" s="18"/>
      <c r="C775" s="18"/>
      <c r="D775" s="18"/>
      <c r="E775" s="18"/>
      <c r="F775" s="18"/>
      <c r="G775" s="18"/>
      <c r="H775" s="18"/>
      <c r="I775" s="16"/>
      <c r="J775" s="18"/>
      <c r="K775" s="18"/>
      <c r="L775" s="18"/>
      <c r="M775" s="18"/>
      <c r="N775" s="18"/>
      <c r="O775" s="16"/>
      <c r="P775" s="18"/>
      <c r="Q775" s="18"/>
      <c r="R775" s="18"/>
      <c r="S775" s="18"/>
      <c r="T775" s="18"/>
      <c r="U775" s="16"/>
      <c r="V775" s="18"/>
      <c r="W775" s="16"/>
      <c r="X775" s="18"/>
      <c r="Y775" s="18"/>
      <c r="Z775" s="18"/>
      <c r="AA775" s="18"/>
    </row>
    <row r="776" spans="2:27" x14ac:dyDescent="0.35">
      <c r="B776" s="18"/>
      <c r="C776" s="18"/>
      <c r="D776" s="18"/>
      <c r="E776" s="18"/>
      <c r="F776" s="18"/>
      <c r="G776" s="18"/>
      <c r="H776" s="18"/>
      <c r="I776" s="16"/>
      <c r="J776" s="18"/>
      <c r="K776" s="18"/>
      <c r="L776" s="18"/>
      <c r="M776" s="18"/>
      <c r="N776" s="18"/>
      <c r="O776" s="16"/>
      <c r="P776" s="18"/>
      <c r="Q776" s="18"/>
      <c r="R776" s="18"/>
      <c r="S776" s="18"/>
      <c r="T776" s="18"/>
      <c r="U776" s="16"/>
      <c r="V776" s="18"/>
      <c r="W776" s="16"/>
      <c r="X776" s="18"/>
      <c r="Y776" s="18"/>
      <c r="Z776" s="18"/>
      <c r="AA776" s="18"/>
    </row>
    <row r="777" spans="2:27" x14ac:dyDescent="0.35">
      <c r="B777" s="18"/>
      <c r="C777" s="18"/>
      <c r="D777" s="18"/>
      <c r="E777" s="18"/>
      <c r="F777" s="18"/>
      <c r="G777" s="18"/>
      <c r="H777" s="18"/>
      <c r="I777" s="16"/>
      <c r="J777" s="18"/>
      <c r="K777" s="18"/>
      <c r="L777" s="18"/>
      <c r="M777" s="18"/>
      <c r="N777" s="18"/>
      <c r="O777" s="16"/>
      <c r="P777" s="18"/>
      <c r="Q777" s="18"/>
      <c r="R777" s="18"/>
      <c r="S777" s="18"/>
      <c r="T777" s="18"/>
      <c r="U777" s="16"/>
      <c r="V777" s="18"/>
      <c r="W777" s="16"/>
      <c r="X777" s="18"/>
      <c r="Y777" s="18"/>
      <c r="Z777" s="18"/>
      <c r="AA777" s="18"/>
    </row>
    <row r="778" spans="2:27" x14ac:dyDescent="0.35">
      <c r="B778" s="18"/>
      <c r="C778" s="18"/>
      <c r="D778" s="18"/>
      <c r="E778" s="18"/>
      <c r="F778" s="18"/>
      <c r="G778" s="18"/>
      <c r="H778" s="18"/>
      <c r="I778" s="16"/>
      <c r="J778" s="18"/>
      <c r="K778" s="18"/>
      <c r="L778" s="18"/>
      <c r="M778" s="18"/>
      <c r="N778" s="18"/>
      <c r="O778" s="16"/>
      <c r="P778" s="18"/>
      <c r="Q778" s="18"/>
      <c r="R778" s="18"/>
      <c r="S778" s="18"/>
      <c r="T778" s="18"/>
      <c r="U778" s="16"/>
      <c r="V778" s="18"/>
      <c r="W778" s="16"/>
      <c r="X778" s="18"/>
      <c r="Y778" s="18"/>
      <c r="Z778" s="18"/>
      <c r="AA778" s="18"/>
    </row>
    <row r="779" spans="2:27" x14ac:dyDescent="0.35">
      <c r="B779" s="18"/>
      <c r="C779" s="18"/>
      <c r="D779" s="18"/>
      <c r="E779" s="18"/>
      <c r="F779" s="18"/>
      <c r="G779" s="18"/>
      <c r="H779" s="18"/>
      <c r="I779" s="16"/>
      <c r="J779" s="18"/>
      <c r="K779" s="18"/>
      <c r="L779" s="18"/>
      <c r="M779" s="18"/>
      <c r="N779" s="18"/>
      <c r="O779" s="16"/>
      <c r="P779" s="18"/>
      <c r="Q779" s="18"/>
      <c r="R779" s="18"/>
      <c r="S779" s="18"/>
      <c r="T779" s="18"/>
      <c r="U779" s="16"/>
      <c r="V779" s="18"/>
      <c r="W779" s="16"/>
      <c r="X779" s="18"/>
      <c r="Y779" s="18"/>
      <c r="Z779" s="18"/>
      <c r="AA779" s="18"/>
    </row>
    <row r="780" spans="2:27" x14ac:dyDescent="0.35">
      <c r="B780" s="18"/>
      <c r="C780" s="18"/>
      <c r="D780" s="18"/>
      <c r="E780" s="18"/>
      <c r="F780" s="18"/>
      <c r="G780" s="18"/>
      <c r="H780" s="18"/>
      <c r="I780" s="16"/>
      <c r="J780" s="18"/>
      <c r="K780" s="18"/>
      <c r="L780" s="18"/>
      <c r="M780" s="18"/>
      <c r="N780" s="18"/>
      <c r="O780" s="16"/>
      <c r="P780" s="18"/>
      <c r="Q780" s="18"/>
      <c r="R780" s="18"/>
      <c r="S780" s="18"/>
      <c r="T780" s="18"/>
      <c r="U780" s="16"/>
      <c r="V780" s="18"/>
      <c r="W780" s="16"/>
      <c r="X780" s="18"/>
      <c r="Y780" s="18"/>
      <c r="Z780" s="18"/>
      <c r="AA780" s="18"/>
    </row>
    <row r="781" spans="2:27" x14ac:dyDescent="0.35">
      <c r="B781" s="18"/>
      <c r="C781" s="18"/>
      <c r="D781" s="18"/>
      <c r="E781" s="18"/>
      <c r="F781" s="18"/>
      <c r="G781" s="18"/>
      <c r="H781" s="18"/>
      <c r="I781" s="16"/>
      <c r="J781" s="18"/>
      <c r="K781" s="18"/>
      <c r="L781" s="18"/>
      <c r="M781" s="18"/>
      <c r="N781" s="18"/>
      <c r="O781" s="16"/>
      <c r="P781" s="18"/>
      <c r="Q781" s="18"/>
      <c r="R781" s="18"/>
      <c r="S781" s="18"/>
      <c r="T781" s="18"/>
      <c r="U781" s="16"/>
      <c r="V781" s="18"/>
      <c r="W781" s="16"/>
      <c r="X781" s="18"/>
      <c r="Y781" s="18"/>
      <c r="Z781" s="18"/>
      <c r="AA781" s="18"/>
    </row>
    <row r="782" spans="2:27" x14ac:dyDescent="0.35">
      <c r="B782" s="18"/>
      <c r="C782" s="18"/>
      <c r="D782" s="18"/>
      <c r="E782" s="18"/>
      <c r="F782" s="18"/>
      <c r="G782" s="18"/>
      <c r="H782" s="18"/>
      <c r="I782" s="16"/>
      <c r="J782" s="18"/>
      <c r="K782" s="18"/>
      <c r="L782" s="18"/>
      <c r="M782" s="18"/>
      <c r="N782" s="18"/>
      <c r="O782" s="16"/>
      <c r="P782" s="18"/>
      <c r="Q782" s="18"/>
      <c r="R782" s="18"/>
      <c r="S782" s="18"/>
      <c r="T782" s="18"/>
      <c r="U782" s="16"/>
      <c r="V782" s="18"/>
      <c r="W782" s="16"/>
      <c r="X782" s="18"/>
      <c r="Y782" s="18"/>
      <c r="Z782" s="18"/>
      <c r="AA782" s="18"/>
    </row>
    <row r="783" spans="2:27" x14ac:dyDescent="0.35">
      <c r="B783" s="18"/>
      <c r="C783" s="18"/>
      <c r="D783" s="18"/>
      <c r="E783" s="18"/>
      <c r="F783" s="18"/>
      <c r="G783" s="18"/>
      <c r="H783" s="18"/>
      <c r="I783" s="16"/>
      <c r="J783" s="18"/>
      <c r="K783" s="18"/>
      <c r="L783" s="18"/>
      <c r="M783" s="18"/>
      <c r="N783" s="18"/>
      <c r="O783" s="16"/>
      <c r="P783" s="18"/>
      <c r="Q783" s="18"/>
      <c r="R783" s="18"/>
      <c r="S783" s="18"/>
      <c r="T783" s="18"/>
      <c r="U783" s="16"/>
      <c r="V783" s="18"/>
      <c r="W783" s="16"/>
      <c r="X783" s="18"/>
      <c r="Y783" s="18"/>
      <c r="Z783" s="18"/>
      <c r="AA783" s="18"/>
    </row>
    <row r="784" spans="2:27" x14ac:dyDescent="0.35">
      <c r="B784" s="18"/>
      <c r="C784" s="18"/>
      <c r="D784" s="18"/>
      <c r="E784" s="18"/>
      <c r="F784" s="18"/>
      <c r="G784" s="18"/>
      <c r="H784" s="18"/>
      <c r="I784" s="16"/>
      <c r="J784" s="18"/>
      <c r="K784" s="18"/>
      <c r="L784" s="18"/>
      <c r="M784" s="18"/>
      <c r="N784" s="18"/>
      <c r="O784" s="16"/>
      <c r="P784" s="18"/>
      <c r="Q784" s="18"/>
      <c r="R784" s="18"/>
      <c r="S784" s="18"/>
      <c r="T784" s="18"/>
      <c r="U784" s="16"/>
      <c r="V784" s="18"/>
      <c r="W784" s="16"/>
      <c r="X784" s="18"/>
      <c r="Y784" s="18"/>
      <c r="Z784" s="18"/>
      <c r="AA784" s="18"/>
    </row>
    <row r="785" spans="2:27" x14ac:dyDescent="0.35">
      <c r="B785" s="18"/>
      <c r="C785" s="18"/>
      <c r="D785" s="18"/>
      <c r="E785" s="18"/>
      <c r="F785" s="18"/>
      <c r="G785" s="18"/>
      <c r="H785" s="18"/>
      <c r="I785" s="16"/>
      <c r="J785" s="18"/>
      <c r="K785" s="18"/>
      <c r="L785" s="18"/>
      <c r="M785" s="18"/>
      <c r="N785" s="18"/>
      <c r="O785" s="16"/>
      <c r="P785" s="18"/>
      <c r="Q785" s="18"/>
      <c r="R785" s="18"/>
      <c r="S785" s="18"/>
      <c r="T785" s="18"/>
      <c r="U785" s="16"/>
      <c r="V785" s="18"/>
      <c r="W785" s="16"/>
      <c r="X785" s="18"/>
      <c r="Y785" s="18"/>
      <c r="Z785" s="18"/>
      <c r="AA785" s="18"/>
    </row>
    <row r="786" spans="2:27" x14ac:dyDescent="0.35">
      <c r="B786" s="18"/>
      <c r="C786" s="18"/>
      <c r="D786" s="18"/>
      <c r="E786" s="18"/>
      <c r="F786" s="18"/>
      <c r="G786" s="18"/>
      <c r="H786" s="18"/>
      <c r="I786" s="16"/>
      <c r="J786" s="18"/>
      <c r="K786" s="18"/>
      <c r="L786" s="18"/>
      <c r="M786" s="18"/>
      <c r="N786" s="18"/>
      <c r="O786" s="16"/>
      <c r="P786" s="18"/>
      <c r="Q786" s="18"/>
      <c r="R786" s="18"/>
      <c r="S786" s="18"/>
      <c r="T786" s="18"/>
      <c r="U786" s="16"/>
      <c r="V786" s="18"/>
      <c r="W786" s="16"/>
      <c r="X786" s="18"/>
      <c r="Y786" s="18"/>
      <c r="Z786" s="18"/>
      <c r="AA786" s="18"/>
    </row>
    <row r="787" spans="2:27" x14ac:dyDescent="0.35">
      <c r="B787" s="18"/>
      <c r="C787" s="18"/>
      <c r="D787" s="18"/>
      <c r="E787" s="18"/>
      <c r="F787" s="18"/>
      <c r="G787" s="18"/>
      <c r="H787" s="18"/>
      <c r="I787" s="16"/>
      <c r="J787" s="18"/>
      <c r="K787" s="18"/>
      <c r="L787" s="18"/>
      <c r="M787" s="18"/>
      <c r="N787" s="18"/>
      <c r="O787" s="16"/>
      <c r="P787" s="18"/>
      <c r="Q787" s="18"/>
      <c r="R787" s="18"/>
      <c r="S787" s="18"/>
      <c r="T787" s="18"/>
      <c r="U787" s="16"/>
      <c r="V787" s="18"/>
      <c r="W787" s="16"/>
      <c r="X787" s="18"/>
      <c r="Y787" s="18"/>
      <c r="Z787" s="18"/>
      <c r="AA787" s="18"/>
    </row>
    <row r="788" spans="2:27" x14ac:dyDescent="0.35">
      <c r="B788" s="18"/>
      <c r="C788" s="18"/>
      <c r="D788" s="18"/>
      <c r="E788" s="18"/>
      <c r="F788" s="18"/>
      <c r="G788" s="18"/>
      <c r="H788" s="18"/>
      <c r="I788" s="16"/>
      <c r="J788" s="18"/>
      <c r="K788" s="18"/>
      <c r="L788" s="18"/>
      <c r="M788" s="18"/>
      <c r="N788" s="18"/>
      <c r="O788" s="16"/>
      <c r="P788" s="18"/>
      <c r="Q788" s="18"/>
      <c r="R788" s="18"/>
      <c r="S788" s="18"/>
      <c r="T788" s="18"/>
      <c r="U788" s="16"/>
      <c r="V788" s="18"/>
      <c r="W788" s="16"/>
      <c r="X788" s="18"/>
      <c r="Y788" s="18"/>
      <c r="Z788" s="18"/>
      <c r="AA788" s="18"/>
    </row>
    <row r="789" spans="2:27" x14ac:dyDescent="0.35">
      <c r="B789" s="18"/>
      <c r="C789" s="18"/>
      <c r="D789" s="18"/>
      <c r="E789" s="18"/>
      <c r="F789" s="18"/>
      <c r="G789" s="18"/>
      <c r="H789" s="18"/>
      <c r="I789" s="16"/>
      <c r="J789" s="18"/>
      <c r="K789" s="18"/>
      <c r="L789" s="18"/>
      <c r="M789" s="18"/>
      <c r="N789" s="18"/>
      <c r="O789" s="16"/>
      <c r="P789" s="18"/>
      <c r="Q789" s="18"/>
      <c r="R789" s="18"/>
      <c r="S789" s="18"/>
      <c r="T789" s="18"/>
      <c r="U789" s="16"/>
      <c r="V789" s="18"/>
      <c r="W789" s="16"/>
      <c r="X789" s="18"/>
      <c r="Y789" s="18"/>
      <c r="Z789" s="18"/>
      <c r="AA789" s="18"/>
    </row>
    <row r="790" spans="2:27" x14ac:dyDescent="0.35">
      <c r="B790" s="18"/>
      <c r="C790" s="18"/>
      <c r="D790" s="18"/>
      <c r="E790" s="18"/>
      <c r="F790" s="18"/>
      <c r="G790" s="18"/>
      <c r="H790" s="18"/>
      <c r="I790" s="16"/>
      <c r="J790" s="18"/>
      <c r="K790" s="18"/>
      <c r="L790" s="18"/>
      <c r="M790" s="18"/>
      <c r="N790" s="18"/>
      <c r="O790" s="16"/>
      <c r="P790" s="18"/>
      <c r="Q790" s="18"/>
      <c r="R790" s="18"/>
      <c r="S790" s="18"/>
      <c r="T790" s="18"/>
      <c r="U790" s="16"/>
      <c r="V790" s="18"/>
      <c r="W790" s="16"/>
      <c r="X790" s="18"/>
      <c r="Y790" s="18"/>
      <c r="Z790" s="18"/>
      <c r="AA790" s="18"/>
    </row>
    <row r="791" spans="2:27" x14ac:dyDescent="0.35">
      <c r="B791" s="18"/>
      <c r="C791" s="18"/>
      <c r="D791" s="18"/>
      <c r="E791" s="18"/>
      <c r="F791" s="18"/>
      <c r="G791" s="18"/>
      <c r="H791" s="18"/>
      <c r="I791" s="16"/>
      <c r="J791" s="18"/>
      <c r="K791" s="18"/>
      <c r="L791" s="18"/>
      <c r="M791" s="18"/>
      <c r="N791" s="18"/>
      <c r="O791" s="16"/>
      <c r="P791" s="18"/>
      <c r="Q791" s="18"/>
      <c r="R791" s="18"/>
      <c r="S791" s="18"/>
      <c r="T791" s="18"/>
      <c r="U791" s="16"/>
      <c r="V791" s="18"/>
      <c r="W791" s="16"/>
      <c r="X791" s="18"/>
      <c r="Y791" s="18"/>
      <c r="Z791" s="18"/>
      <c r="AA791" s="18"/>
    </row>
    <row r="792" spans="2:27" x14ac:dyDescent="0.35">
      <c r="B792" s="18"/>
      <c r="C792" s="18"/>
      <c r="D792" s="18"/>
      <c r="E792" s="18"/>
      <c r="F792" s="18"/>
      <c r="G792" s="18"/>
      <c r="H792" s="18"/>
      <c r="I792" s="16"/>
      <c r="J792" s="18"/>
      <c r="K792" s="18"/>
      <c r="L792" s="18"/>
      <c r="M792" s="18"/>
      <c r="N792" s="18"/>
      <c r="O792" s="16"/>
      <c r="P792" s="18"/>
      <c r="Q792" s="18"/>
      <c r="R792" s="18"/>
      <c r="S792" s="18"/>
      <c r="T792" s="18"/>
      <c r="U792" s="16"/>
      <c r="V792" s="18"/>
      <c r="W792" s="16"/>
      <c r="X792" s="18"/>
      <c r="Y792" s="18"/>
      <c r="Z792" s="18"/>
      <c r="AA792" s="18"/>
    </row>
    <row r="793" spans="2:27" x14ac:dyDescent="0.35">
      <c r="B793" s="18"/>
      <c r="C793" s="18"/>
      <c r="D793" s="18"/>
      <c r="E793" s="18"/>
      <c r="F793" s="18"/>
      <c r="G793" s="18"/>
      <c r="H793" s="18"/>
      <c r="I793" s="16"/>
      <c r="J793" s="18"/>
      <c r="K793" s="18"/>
      <c r="L793" s="18"/>
      <c r="M793" s="18"/>
      <c r="N793" s="18"/>
      <c r="O793" s="16"/>
      <c r="P793" s="18"/>
      <c r="Q793" s="18"/>
      <c r="R793" s="18"/>
      <c r="S793" s="18"/>
      <c r="T793" s="18"/>
      <c r="U793" s="16"/>
      <c r="V793" s="18"/>
      <c r="W793" s="16"/>
      <c r="X793" s="18"/>
      <c r="Y793" s="18"/>
      <c r="Z793" s="18"/>
      <c r="AA793" s="18"/>
    </row>
    <row r="794" spans="2:27" x14ac:dyDescent="0.35">
      <c r="B794" s="18"/>
      <c r="C794" s="18"/>
      <c r="D794" s="18"/>
      <c r="E794" s="18"/>
      <c r="F794" s="18"/>
      <c r="G794" s="18"/>
      <c r="H794" s="18"/>
      <c r="I794" s="16"/>
      <c r="J794" s="18"/>
      <c r="K794" s="18"/>
      <c r="L794" s="18"/>
      <c r="M794" s="18"/>
      <c r="N794" s="18"/>
      <c r="O794" s="16"/>
      <c r="P794" s="18"/>
      <c r="Q794" s="18"/>
      <c r="R794" s="18"/>
      <c r="S794" s="18"/>
      <c r="T794" s="18"/>
      <c r="U794" s="16"/>
      <c r="V794" s="18"/>
      <c r="W794" s="16"/>
      <c r="X794" s="18"/>
      <c r="Y794" s="18"/>
      <c r="Z794" s="18"/>
      <c r="AA794" s="18"/>
    </row>
    <row r="795" spans="2:27" x14ac:dyDescent="0.35">
      <c r="B795" s="18"/>
      <c r="C795" s="18"/>
      <c r="D795" s="18"/>
      <c r="E795" s="18"/>
      <c r="F795" s="18"/>
      <c r="G795" s="18"/>
      <c r="H795" s="18"/>
      <c r="I795" s="16"/>
      <c r="J795" s="18"/>
      <c r="K795" s="18"/>
      <c r="L795" s="18"/>
      <c r="M795" s="18"/>
      <c r="N795" s="18"/>
      <c r="O795" s="16"/>
      <c r="P795" s="18"/>
      <c r="Q795" s="18"/>
      <c r="R795" s="18"/>
      <c r="S795" s="18"/>
      <c r="T795" s="18"/>
      <c r="U795" s="16"/>
      <c r="V795" s="18"/>
      <c r="W795" s="16"/>
      <c r="X795" s="18"/>
      <c r="Y795" s="18"/>
      <c r="Z795" s="18"/>
      <c r="AA795" s="18"/>
    </row>
    <row r="796" spans="2:27" x14ac:dyDescent="0.35">
      <c r="B796" s="18"/>
      <c r="C796" s="18"/>
      <c r="D796" s="18"/>
      <c r="E796" s="18"/>
      <c r="F796" s="18"/>
      <c r="G796" s="18"/>
      <c r="H796" s="18"/>
      <c r="I796" s="16"/>
      <c r="J796" s="18"/>
      <c r="K796" s="18"/>
      <c r="L796" s="18"/>
      <c r="M796" s="18"/>
      <c r="N796" s="18"/>
      <c r="O796" s="16"/>
      <c r="P796" s="18"/>
      <c r="Q796" s="18"/>
      <c r="R796" s="18"/>
      <c r="S796" s="18"/>
      <c r="T796" s="18"/>
      <c r="U796" s="16"/>
      <c r="V796" s="18"/>
      <c r="W796" s="16"/>
      <c r="X796" s="18"/>
      <c r="Y796" s="18"/>
      <c r="Z796" s="18"/>
      <c r="AA796" s="18"/>
    </row>
    <row r="797" spans="2:27" x14ac:dyDescent="0.35">
      <c r="B797" s="18"/>
      <c r="C797" s="18"/>
      <c r="D797" s="18"/>
      <c r="E797" s="18"/>
      <c r="F797" s="18"/>
      <c r="G797" s="18"/>
      <c r="H797" s="18"/>
      <c r="I797" s="16"/>
      <c r="J797" s="18"/>
      <c r="K797" s="18"/>
      <c r="L797" s="18"/>
      <c r="M797" s="18"/>
      <c r="N797" s="18"/>
      <c r="O797" s="16"/>
      <c r="P797" s="18"/>
      <c r="Q797" s="18"/>
      <c r="R797" s="18"/>
      <c r="S797" s="18"/>
      <c r="T797" s="18"/>
      <c r="U797" s="16"/>
      <c r="V797" s="18"/>
      <c r="W797" s="16"/>
      <c r="X797" s="18"/>
      <c r="Y797" s="18"/>
      <c r="Z797" s="18"/>
      <c r="AA797" s="18"/>
    </row>
    <row r="798" spans="2:27" x14ac:dyDescent="0.35">
      <c r="B798" s="18"/>
      <c r="C798" s="18"/>
      <c r="D798" s="18"/>
      <c r="E798" s="18"/>
      <c r="F798" s="18"/>
      <c r="G798" s="18"/>
      <c r="H798" s="18"/>
      <c r="I798" s="16"/>
      <c r="J798" s="18"/>
      <c r="K798" s="18"/>
      <c r="L798" s="18"/>
      <c r="M798" s="18"/>
      <c r="N798" s="18"/>
      <c r="O798" s="16"/>
      <c r="P798" s="18"/>
      <c r="Q798" s="18"/>
      <c r="R798" s="18"/>
      <c r="S798" s="18"/>
      <c r="T798" s="18"/>
      <c r="U798" s="16"/>
      <c r="V798" s="18"/>
      <c r="W798" s="16"/>
      <c r="X798" s="18"/>
      <c r="Y798" s="18"/>
      <c r="Z798" s="18"/>
      <c r="AA798" s="18"/>
    </row>
    <row r="799" spans="2:27" x14ac:dyDescent="0.35">
      <c r="B799" s="18"/>
      <c r="C799" s="18"/>
      <c r="D799" s="18"/>
      <c r="E799" s="18"/>
      <c r="F799" s="18"/>
      <c r="G799" s="18"/>
      <c r="H799" s="18"/>
      <c r="I799" s="16"/>
      <c r="J799" s="18"/>
      <c r="K799" s="18"/>
      <c r="L799" s="18"/>
      <c r="M799" s="18"/>
      <c r="N799" s="18"/>
      <c r="O799" s="16"/>
      <c r="P799" s="18"/>
      <c r="Q799" s="18"/>
      <c r="R799" s="18"/>
      <c r="S799" s="18"/>
      <c r="T799" s="18"/>
      <c r="U799" s="16"/>
      <c r="V799" s="18"/>
      <c r="W799" s="16"/>
      <c r="X799" s="18"/>
      <c r="Y799" s="18"/>
      <c r="Z799" s="18"/>
      <c r="AA799" s="18"/>
    </row>
    <row r="800" spans="2:27" x14ac:dyDescent="0.35">
      <c r="B800" s="18"/>
      <c r="C800" s="18"/>
      <c r="D800" s="18"/>
      <c r="E800" s="18"/>
      <c r="F800" s="18"/>
      <c r="G800" s="18"/>
      <c r="H800" s="18"/>
      <c r="I800" s="16"/>
      <c r="J800" s="18"/>
      <c r="K800" s="18"/>
      <c r="L800" s="18"/>
      <c r="M800" s="18"/>
      <c r="N800" s="18"/>
      <c r="O800" s="16"/>
      <c r="P800" s="18"/>
      <c r="Q800" s="18"/>
      <c r="R800" s="18"/>
      <c r="S800" s="18"/>
      <c r="T800" s="18"/>
      <c r="U800" s="16"/>
      <c r="V800" s="18"/>
      <c r="W800" s="16"/>
      <c r="X800" s="18"/>
      <c r="Y800" s="18"/>
      <c r="Z800" s="18"/>
      <c r="AA800" s="18"/>
    </row>
    <row r="801" spans="2:27" x14ac:dyDescent="0.35">
      <c r="B801" s="18"/>
      <c r="C801" s="18"/>
      <c r="D801" s="18"/>
      <c r="E801" s="18"/>
      <c r="F801" s="18"/>
      <c r="G801" s="18"/>
      <c r="H801" s="18"/>
      <c r="I801" s="16"/>
      <c r="J801" s="18"/>
      <c r="K801" s="18"/>
      <c r="L801" s="18"/>
      <c r="M801" s="18"/>
      <c r="N801" s="18"/>
      <c r="O801" s="16"/>
      <c r="P801" s="18"/>
      <c r="Q801" s="18"/>
      <c r="R801" s="18"/>
      <c r="S801" s="18"/>
      <c r="T801" s="18"/>
      <c r="U801" s="16"/>
      <c r="V801" s="18"/>
      <c r="W801" s="16"/>
      <c r="X801" s="18"/>
      <c r="Y801" s="18"/>
      <c r="Z801" s="18"/>
      <c r="AA801" s="18"/>
    </row>
    <row r="802" spans="2:27" x14ac:dyDescent="0.35">
      <c r="B802" s="18"/>
      <c r="C802" s="18"/>
      <c r="D802" s="18"/>
      <c r="E802" s="18"/>
      <c r="F802" s="18"/>
      <c r="G802" s="18"/>
      <c r="H802" s="18"/>
      <c r="I802" s="16"/>
      <c r="J802" s="18"/>
      <c r="K802" s="18"/>
      <c r="L802" s="18"/>
      <c r="M802" s="18"/>
      <c r="N802" s="18"/>
      <c r="O802" s="16"/>
      <c r="P802" s="18"/>
      <c r="Q802" s="18"/>
      <c r="R802" s="18"/>
      <c r="S802" s="18"/>
      <c r="T802" s="18"/>
      <c r="U802" s="16"/>
      <c r="V802" s="18"/>
      <c r="W802" s="16"/>
      <c r="X802" s="18"/>
      <c r="Y802" s="18"/>
      <c r="Z802" s="18"/>
      <c r="AA802" s="18"/>
    </row>
    <row r="803" spans="2:27" x14ac:dyDescent="0.35">
      <c r="B803" s="18"/>
      <c r="C803" s="18"/>
      <c r="D803" s="18"/>
      <c r="E803" s="18"/>
      <c r="F803" s="18"/>
      <c r="G803" s="18"/>
      <c r="H803" s="18"/>
      <c r="I803" s="16"/>
      <c r="J803" s="18"/>
      <c r="K803" s="18"/>
      <c r="L803" s="18"/>
      <c r="M803" s="18"/>
      <c r="N803" s="18"/>
      <c r="O803" s="16"/>
      <c r="P803" s="18"/>
      <c r="Q803" s="18"/>
      <c r="R803" s="18"/>
      <c r="S803" s="18"/>
      <c r="T803" s="18"/>
      <c r="U803" s="16"/>
      <c r="V803" s="18"/>
      <c r="W803" s="16"/>
      <c r="X803" s="18"/>
      <c r="Y803" s="18"/>
      <c r="Z803" s="18"/>
      <c r="AA803" s="18"/>
    </row>
    <row r="804" spans="2:27" x14ac:dyDescent="0.35">
      <c r="B804" s="18"/>
      <c r="C804" s="18"/>
      <c r="D804" s="18"/>
      <c r="E804" s="18"/>
      <c r="F804" s="18"/>
      <c r="G804" s="18"/>
      <c r="H804" s="18"/>
      <c r="I804" s="16"/>
      <c r="J804" s="18"/>
      <c r="K804" s="18"/>
      <c r="L804" s="18"/>
      <c r="M804" s="18"/>
      <c r="N804" s="18"/>
      <c r="O804" s="16"/>
      <c r="P804" s="18"/>
      <c r="Q804" s="18"/>
      <c r="R804" s="18"/>
      <c r="S804" s="18"/>
      <c r="T804" s="18"/>
      <c r="U804" s="16"/>
      <c r="V804" s="18"/>
      <c r="W804" s="16"/>
      <c r="X804" s="18"/>
      <c r="Y804" s="18"/>
      <c r="Z804" s="18"/>
      <c r="AA804" s="18"/>
    </row>
    <row r="805" spans="2:27" x14ac:dyDescent="0.35">
      <c r="B805" s="18"/>
      <c r="C805" s="18"/>
      <c r="D805" s="18"/>
      <c r="E805" s="18"/>
      <c r="F805" s="18"/>
      <c r="G805" s="18"/>
      <c r="H805" s="18"/>
      <c r="I805" s="16"/>
      <c r="J805" s="18"/>
      <c r="K805" s="18"/>
      <c r="L805" s="18"/>
      <c r="M805" s="18"/>
      <c r="N805" s="18"/>
      <c r="O805" s="16"/>
      <c r="P805" s="18"/>
      <c r="Q805" s="18"/>
      <c r="R805" s="18"/>
      <c r="S805" s="18"/>
      <c r="T805" s="18"/>
      <c r="U805" s="16"/>
      <c r="V805" s="18"/>
      <c r="W805" s="16"/>
      <c r="X805" s="18"/>
      <c r="Y805" s="18"/>
      <c r="Z805" s="18"/>
      <c r="AA805" s="18"/>
    </row>
    <row r="806" spans="2:27" x14ac:dyDescent="0.35">
      <c r="B806" s="18"/>
      <c r="C806" s="18"/>
      <c r="D806" s="18"/>
      <c r="E806" s="18"/>
      <c r="F806" s="18"/>
      <c r="G806" s="18"/>
      <c r="H806" s="18"/>
      <c r="I806" s="16"/>
      <c r="J806" s="18"/>
      <c r="K806" s="18"/>
      <c r="L806" s="18"/>
      <c r="M806" s="18"/>
      <c r="N806" s="18"/>
      <c r="O806" s="16"/>
      <c r="P806" s="18"/>
      <c r="Q806" s="18"/>
      <c r="R806" s="18"/>
      <c r="S806" s="18"/>
      <c r="T806" s="18"/>
      <c r="U806" s="16"/>
      <c r="V806" s="18"/>
      <c r="W806" s="16"/>
      <c r="X806" s="18"/>
      <c r="Y806" s="18"/>
      <c r="Z806" s="18"/>
      <c r="AA806" s="18"/>
    </row>
    <row r="807" spans="2:27" x14ac:dyDescent="0.35">
      <c r="B807" s="18"/>
      <c r="C807" s="18"/>
      <c r="D807" s="18"/>
      <c r="E807" s="18"/>
      <c r="F807" s="18"/>
      <c r="G807" s="18"/>
      <c r="H807" s="18"/>
      <c r="I807" s="16"/>
      <c r="J807" s="18"/>
      <c r="K807" s="18"/>
      <c r="L807" s="18"/>
      <c r="M807" s="18"/>
      <c r="N807" s="18"/>
      <c r="O807" s="16"/>
      <c r="P807" s="18"/>
      <c r="Q807" s="18"/>
      <c r="R807" s="18"/>
      <c r="S807" s="18"/>
      <c r="T807" s="18"/>
      <c r="U807" s="16"/>
      <c r="V807" s="18"/>
      <c r="W807" s="16"/>
      <c r="X807" s="18"/>
      <c r="Y807" s="18"/>
      <c r="Z807" s="18"/>
      <c r="AA807" s="18"/>
    </row>
    <row r="808" spans="2:27" x14ac:dyDescent="0.35">
      <c r="B808" s="18"/>
      <c r="C808" s="18"/>
      <c r="D808" s="18"/>
      <c r="E808" s="18"/>
      <c r="F808" s="18"/>
      <c r="G808" s="18"/>
      <c r="H808" s="18"/>
      <c r="I808" s="16"/>
      <c r="J808" s="18"/>
      <c r="K808" s="18"/>
      <c r="L808" s="18"/>
      <c r="M808" s="18"/>
      <c r="N808" s="18"/>
      <c r="O808" s="16"/>
      <c r="P808" s="18"/>
      <c r="Q808" s="18"/>
      <c r="R808" s="18"/>
      <c r="S808" s="18"/>
      <c r="T808" s="18"/>
      <c r="U808" s="16"/>
      <c r="V808" s="18"/>
      <c r="W808" s="16"/>
      <c r="X808" s="18"/>
      <c r="Y808" s="18"/>
      <c r="Z808" s="18"/>
      <c r="AA808" s="18"/>
    </row>
    <row r="809" spans="2:27" x14ac:dyDescent="0.35">
      <c r="B809" s="18"/>
      <c r="C809" s="18"/>
      <c r="D809" s="18"/>
      <c r="E809" s="18"/>
      <c r="F809" s="18"/>
      <c r="G809" s="18"/>
      <c r="H809" s="18"/>
      <c r="I809" s="16"/>
      <c r="J809" s="18"/>
      <c r="K809" s="18"/>
      <c r="L809" s="18"/>
      <c r="M809" s="18"/>
      <c r="N809" s="18"/>
      <c r="O809" s="16"/>
      <c r="P809" s="18"/>
      <c r="Q809" s="18"/>
      <c r="R809" s="18"/>
      <c r="S809" s="18"/>
      <c r="T809" s="18"/>
      <c r="U809" s="16"/>
      <c r="V809" s="18"/>
      <c r="W809" s="16"/>
      <c r="X809" s="18"/>
      <c r="Y809" s="18"/>
      <c r="Z809" s="18"/>
      <c r="AA809" s="18"/>
    </row>
    <row r="810" spans="2:27" x14ac:dyDescent="0.35">
      <c r="B810" s="18"/>
      <c r="C810" s="18"/>
      <c r="D810" s="18"/>
      <c r="E810" s="18"/>
      <c r="F810" s="18"/>
      <c r="G810" s="18"/>
      <c r="H810" s="18"/>
      <c r="I810" s="16"/>
      <c r="J810" s="18"/>
      <c r="K810" s="18"/>
      <c r="L810" s="18"/>
      <c r="M810" s="18"/>
      <c r="N810" s="18"/>
      <c r="O810" s="16"/>
      <c r="P810" s="18"/>
      <c r="Q810" s="18"/>
      <c r="R810" s="18"/>
      <c r="S810" s="18"/>
      <c r="T810" s="18"/>
      <c r="U810" s="16"/>
      <c r="V810" s="18"/>
      <c r="W810" s="16"/>
      <c r="X810" s="18"/>
      <c r="Y810" s="18"/>
      <c r="Z810" s="18"/>
      <c r="AA810" s="18"/>
    </row>
    <row r="811" spans="2:27" x14ac:dyDescent="0.35">
      <c r="B811" s="18"/>
      <c r="C811" s="18"/>
      <c r="D811" s="18"/>
      <c r="E811" s="18"/>
      <c r="F811" s="18"/>
      <c r="G811" s="18"/>
      <c r="H811" s="18"/>
      <c r="I811" s="16"/>
      <c r="J811" s="18"/>
      <c r="K811" s="18"/>
      <c r="L811" s="18"/>
      <c r="M811" s="18"/>
      <c r="N811" s="18"/>
      <c r="O811" s="16"/>
      <c r="P811" s="18"/>
      <c r="Q811" s="18"/>
      <c r="R811" s="18"/>
      <c r="S811" s="18"/>
      <c r="T811" s="18"/>
      <c r="U811" s="16"/>
      <c r="V811" s="18"/>
      <c r="W811" s="16"/>
      <c r="X811" s="18"/>
      <c r="Y811" s="18"/>
      <c r="Z811" s="18"/>
      <c r="AA811" s="18"/>
    </row>
    <row r="812" spans="2:27" x14ac:dyDescent="0.35">
      <c r="B812" s="18"/>
      <c r="C812" s="18"/>
      <c r="D812" s="18"/>
      <c r="E812" s="18"/>
      <c r="F812" s="18"/>
      <c r="G812" s="18"/>
      <c r="H812" s="18"/>
      <c r="I812" s="16"/>
      <c r="J812" s="18"/>
      <c r="K812" s="18"/>
      <c r="L812" s="18"/>
      <c r="M812" s="18"/>
      <c r="N812" s="18"/>
      <c r="O812" s="16"/>
      <c r="P812" s="18"/>
      <c r="Q812" s="18"/>
      <c r="R812" s="18"/>
      <c r="S812" s="18"/>
      <c r="T812" s="18"/>
      <c r="U812" s="16"/>
      <c r="V812" s="18"/>
      <c r="W812" s="16"/>
      <c r="X812" s="18"/>
      <c r="Y812" s="18"/>
      <c r="Z812" s="18"/>
      <c r="AA812" s="18"/>
    </row>
    <row r="813" spans="2:27" x14ac:dyDescent="0.35">
      <c r="B813" s="18"/>
      <c r="C813" s="18"/>
      <c r="D813" s="18"/>
      <c r="E813" s="18"/>
      <c r="F813" s="18"/>
      <c r="G813" s="18"/>
      <c r="H813" s="18"/>
      <c r="I813" s="16"/>
      <c r="J813" s="18"/>
      <c r="K813" s="18"/>
      <c r="L813" s="18"/>
      <c r="M813" s="18"/>
      <c r="N813" s="18"/>
      <c r="O813" s="16"/>
      <c r="P813" s="18"/>
      <c r="Q813" s="18"/>
      <c r="R813" s="18"/>
      <c r="S813" s="18"/>
      <c r="T813" s="18"/>
      <c r="U813" s="16"/>
      <c r="V813" s="18"/>
      <c r="W813" s="16"/>
      <c r="X813" s="18"/>
      <c r="Y813" s="18"/>
      <c r="Z813" s="18"/>
      <c r="AA813" s="18"/>
    </row>
    <row r="814" spans="2:27" x14ac:dyDescent="0.35">
      <c r="B814" s="18"/>
      <c r="C814" s="18"/>
      <c r="D814" s="18"/>
      <c r="E814" s="18"/>
      <c r="F814" s="18"/>
      <c r="G814" s="18"/>
      <c r="H814" s="18"/>
      <c r="I814" s="16"/>
      <c r="J814" s="18"/>
      <c r="K814" s="18"/>
      <c r="L814" s="18"/>
      <c r="M814" s="18"/>
      <c r="N814" s="18"/>
      <c r="O814" s="16"/>
      <c r="P814" s="18"/>
      <c r="Q814" s="18"/>
      <c r="R814" s="18"/>
      <c r="S814" s="18"/>
      <c r="T814" s="18"/>
      <c r="U814" s="16"/>
      <c r="V814" s="18"/>
      <c r="W814" s="16"/>
      <c r="X814" s="18"/>
      <c r="Y814" s="18"/>
      <c r="Z814" s="18"/>
      <c r="AA814" s="18"/>
    </row>
    <row r="815" spans="2:27" x14ac:dyDescent="0.35">
      <c r="B815" s="18"/>
      <c r="C815" s="18"/>
      <c r="D815" s="18"/>
      <c r="E815" s="18"/>
      <c r="F815" s="18"/>
      <c r="G815" s="18"/>
      <c r="H815" s="18"/>
      <c r="I815" s="16"/>
      <c r="J815" s="18"/>
      <c r="K815" s="18"/>
      <c r="L815" s="18"/>
      <c r="M815" s="18"/>
      <c r="N815" s="18"/>
      <c r="O815" s="16"/>
      <c r="P815" s="18"/>
      <c r="Q815" s="18"/>
      <c r="R815" s="18"/>
      <c r="S815" s="18"/>
      <c r="T815" s="18"/>
      <c r="U815" s="16"/>
      <c r="V815" s="18"/>
      <c r="W815" s="16"/>
      <c r="X815" s="18"/>
      <c r="Y815" s="18"/>
      <c r="Z815" s="18"/>
      <c r="AA815" s="18"/>
    </row>
    <row r="816" spans="2:27" x14ac:dyDescent="0.35">
      <c r="B816" s="18"/>
      <c r="C816" s="18"/>
      <c r="D816" s="18"/>
      <c r="E816" s="18"/>
      <c r="F816" s="18"/>
      <c r="G816" s="18"/>
      <c r="H816" s="18"/>
      <c r="I816" s="16"/>
      <c r="J816" s="18"/>
      <c r="K816" s="18"/>
      <c r="L816" s="18"/>
      <c r="M816" s="18"/>
      <c r="N816" s="18"/>
      <c r="O816" s="16"/>
      <c r="P816" s="18"/>
      <c r="Q816" s="18"/>
      <c r="R816" s="18"/>
      <c r="S816" s="18"/>
      <c r="T816" s="18"/>
      <c r="U816" s="16"/>
      <c r="V816" s="18"/>
      <c r="W816" s="16"/>
      <c r="X816" s="18"/>
      <c r="Y816" s="18"/>
      <c r="Z816" s="18"/>
      <c r="AA816" s="18"/>
    </row>
    <row r="817" spans="2:27" x14ac:dyDescent="0.35">
      <c r="B817" s="18"/>
      <c r="C817" s="18"/>
      <c r="D817" s="18"/>
      <c r="E817" s="18"/>
      <c r="F817" s="18"/>
      <c r="G817" s="18"/>
      <c r="H817" s="18"/>
      <c r="I817" s="16"/>
      <c r="J817" s="18"/>
      <c r="K817" s="18"/>
      <c r="L817" s="18"/>
      <c r="M817" s="18"/>
      <c r="N817" s="18"/>
      <c r="O817" s="16"/>
      <c r="P817" s="18"/>
      <c r="Q817" s="18"/>
      <c r="R817" s="18"/>
      <c r="S817" s="18"/>
      <c r="T817" s="18"/>
      <c r="U817" s="16"/>
      <c r="V817" s="18"/>
      <c r="W817" s="16"/>
      <c r="X817" s="18"/>
      <c r="Y817" s="18"/>
      <c r="Z817" s="18"/>
      <c r="AA817" s="18"/>
    </row>
    <row r="818" spans="2:27" x14ac:dyDescent="0.35">
      <c r="B818" s="18"/>
      <c r="C818" s="18"/>
      <c r="D818" s="18"/>
      <c r="E818" s="18"/>
      <c r="F818" s="18"/>
      <c r="G818" s="18"/>
      <c r="H818" s="18"/>
      <c r="I818" s="16"/>
      <c r="J818" s="18"/>
      <c r="K818" s="18"/>
      <c r="L818" s="18"/>
      <c r="M818" s="18"/>
      <c r="N818" s="18"/>
      <c r="O818" s="16"/>
      <c r="P818" s="18"/>
      <c r="Q818" s="18"/>
      <c r="R818" s="18"/>
      <c r="S818" s="18"/>
      <c r="T818" s="18"/>
      <c r="U818" s="16"/>
      <c r="V818" s="18"/>
      <c r="W818" s="16"/>
      <c r="X818" s="18"/>
      <c r="Y818" s="18"/>
      <c r="Z818" s="18"/>
      <c r="AA818" s="18"/>
    </row>
    <row r="819" spans="2:27" x14ac:dyDescent="0.35">
      <c r="B819" s="18"/>
      <c r="C819" s="18"/>
      <c r="D819" s="18"/>
      <c r="E819" s="18"/>
      <c r="F819" s="18"/>
      <c r="G819" s="18"/>
      <c r="H819" s="18"/>
      <c r="I819" s="16"/>
      <c r="J819" s="18"/>
      <c r="K819" s="18"/>
      <c r="L819" s="18"/>
      <c r="M819" s="18"/>
      <c r="N819" s="18"/>
      <c r="O819" s="16"/>
      <c r="P819" s="18"/>
      <c r="Q819" s="18"/>
      <c r="R819" s="18"/>
      <c r="S819" s="18"/>
      <c r="T819" s="18"/>
      <c r="U819" s="16"/>
      <c r="V819" s="18"/>
      <c r="W819" s="16"/>
      <c r="X819" s="18"/>
      <c r="Y819" s="18"/>
      <c r="Z819" s="18"/>
      <c r="AA819" s="18"/>
    </row>
    <row r="820" spans="2:27" x14ac:dyDescent="0.35">
      <c r="B820" s="18"/>
      <c r="C820" s="18"/>
      <c r="D820" s="18"/>
      <c r="E820" s="18"/>
      <c r="F820" s="18"/>
      <c r="G820" s="18"/>
      <c r="H820" s="18"/>
      <c r="I820" s="16"/>
      <c r="J820" s="18"/>
      <c r="K820" s="18"/>
      <c r="L820" s="18"/>
      <c r="M820" s="18"/>
      <c r="N820" s="18"/>
      <c r="O820" s="16"/>
      <c r="P820" s="18"/>
      <c r="Q820" s="18"/>
      <c r="R820" s="18"/>
      <c r="S820" s="18"/>
      <c r="T820" s="18"/>
      <c r="U820" s="16"/>
      <c r="V820" s="18"/>
      <c r="W820" s="16"/>
      <c r="X820" s="18"/>
      <c r="Y820" s="18"/>
      <c r="Z820" s="18"/>
      <c r="AA820" s="18"/>
    </row>
    <row r="821" spans="2:27" x14ac:dyDescent="0.35">
      <c r="B821" s="18"/>
      <c r="C821" s="18"/>
      <c r="D821" s="18"/>
      <c r="E821" s="18"/>
      <c r="F821" s="18"/>
      <c r="G821" s="18"/>
      <c r="H821" s="18"/>
      <c r="I821" s="16"/>
      <c r="J821" s="18"/>
      <c r="K821" s="18"/>
      <c r="L821" s="18"/>
      <c r="M821" s="18"/>
      <c r="N821" s="18"/>
      <c r="O821" s="16"/>
      <c r="P821" s="18"/>
      <c r="Q821" s="18"/>
      <c r="R821" s="18"/>
      <c r="S821" s="18"/>
      <c r="T821" s="18"/>
      <c r="U821" s="16"/>
      <c r="V821" s="18"/>
      <c r="W821" s="16"/>
      <c r="X821" s="18"/>
      <c r="Y821" s="18"/>
      <c r="Z821" s="18"/>
      <c r="AA821" s="18"/>
    </row>
    <row r="822" spans="2:27" x14ac:dyDescent="0.35">
      <c r="B822" s="18"/>
      <c r="C822" s="18"/>
      <c r="D822" s="18"/>
      <c r="E822" s="18"/>
      <c r="F822" s="18"/>
      <c r="G822" s="18"/>
      <c r="H822" s="18"/>
      <c r="I822" s="16"/>
      <c r="J822" s="18"/>
      <c r="K822" s="18"/>
      <c r="L822" s="18"/>
      <c r="M822" s="18"/>
      <c r="N822" s="18"/>
      <c r="O822" s="16"/>
      <c r="P822" s="18"/>
      <c r="Q822" s="18"/>
      <c r="R822" s="18"/>
      <c r="S822" s="18"/>
      <c r="T822" s="18"/>
      <c r="U822" s="16"/>
      <c r="V822" s="18"/>
      <c r="W822" s="16"/>
      <c r="X822" s="18"/>
      <c r="Y822" s="18"/>
      <c r="Z822" s="18"/>
      <c r="AA822" s="18"/>
    </row>
    <row r="823" spans="2:27" x14ac:dyDescent="0.35">
      <c r="B823" s="18"/>
      <c r="C823" s="18"/>
      <c r="D823" s="18"/>
      <c r="E823" s="18"/>
      <c r="F823" s="18"/>
      <c r="G823" s="18"/>
      <c r="H823" s="18"/>
      <c r="I823" s="16"/>
      <c r="J823" s="18"/>
      <c r="K823" s="18"/>
      <c r="L823" s="18"/>
      <c r="M823" s="18"/>
      <c r="N823" s="18"/>
      <c r="O823" s="16"/>
      <c r="P823" s="18"/>
      <c r="Q823" s="18"/>
      <c r="R823" s="18"/>
      <c r="S823" s="18"/>
      <c r="T823" s="18"/>
      <c r="U823" s="16"/>
      <c r="V823" s="18"/>
      <c r="W823" s="16"/>
      <c r="X823" s="18"/>
      <c r="Y823" s="18"/>
      <c r="Z823" s="18"/>
      <c r="AA823" s="18"/>
    </row>
    <row r="824" spans="2:27" x14ac:dyDescent="0.35">
      <c r="B824" s="18"/>
      <c r="C824" s="18"/>
      <c r="D824" s="18"/>
      <c r="E824" s="18"/>
      <c r="F824" s="18"/>
      <c r="G824" s="18"/>
      <c r="H824" s="18"/>
      <c r="I824" s="16"/>
      <c r="J824" s="18"/>
      <c r="K824" s="18"/>
      <c r="L824" s="18"/>
      <c r="M824" s="18"/>
      <c r="N824" s="18"/>
      <c r="O824" s="16"/>
      <c r="P824" s="18"/>
      <c r="Q824" s="18"/>
      <c r="R824" s="18"/>
      <c r="S824" s="18"/>
      <c r="T824" s="18"/>
      <c r="U824" s="16"/>
      <c r="V824" s="18"/>
      <c r="W824" s="16"/>
      <c r="X824" s="18"/>
      <c r="Y824" s="18"/>
      <c r="Z824" s="18"/>
      <c r="AA824" s="18"/>
    </row>
    <row r="825" spans="2:27" x14ac:dyDescent="0.35">
      <c r="B825" s="18"/>
      <c r="C825" s="18"/>
      <c r="D825" s="18"/>
      <c r="E825" s="18"/>
      <c r="F825" s="18"/>
      <c r="G825" s="18"/>
      <c r="H825" s="18"/>
      <c r="I825" s="16"/>
      <c r="J825" s="18"/>
      <c r="K825" s="18"/>
      <c r="L825" s="18"/>
      <c r="M825" s="18"/>
      <c r="N825" s="18"/>
      <c r="O825" s="16"/>
      <c r="P825" s="18"/>
      <c r="Q825" s="18"/>
      <c r="R825" s="18"/>
      <c r="S825" s="18"/>
      <c r="T825" s="18"/>
      <c r="U825" s="16"/>
      <c r="V825" s="18"/>
      <c r="W825" s="16"/>
      <c r="X825" s="18"/>
      <c r="Y825" s="18"/>
      <c r="Z825" s="18"/>
      <c r="AA825" s="18"/>
    </row>
    <row r="826" spans="2:27" x14ac:dyDescent="0.35">
      <c r="B826" s="18"/>
      <c r="C826" s="18"/>
      <c r="D826" s="18"/>
      <c r="E826" s="18"/>
      <c r="F826" s="18"/>
      <c r="G826" s="18"/>
      <c r="H826" s="18"/>
      <c r="I826" s="16"/>
      <c r="J826" s="18"/>
      <c r="K826" s="18"/>
      <c r="L826" s="18"/>
      <c r="M826" s="18"/>
      <c r="N826" s="18"/>
      <c r="O826" s="16"/>
      <c r="P826" s="18"/>
      <c r="Q826" s="18"/>
      <c r="R826" s="18"/>
      <c r="S826" s="18"/>
      <c r="T826" s="18"/>
      <c r="U826" s="16"/>
      <c r="V826" s="18"/>
      <c r="W826" s="16"/>
      <c r="X826" s="18"/>
      <c r="Y826" s="18"/>
      <c r="Z826" s="18"/>
      <c r="AA826" s="18"/>
    </row>
    <row r="827" spans="2:27" x14ac:dyDescent="0.35">
      <c r="B827" s="18"/>
      <c r="C827" s="18"/>
      <c r="D827" s="18"/>
      <c r="E827" s="18"/>
      <c r="F827" s="18"/>
      <c r="G827" s="18"/>
      <c r="H827" s="18"/>
      <c r="I827" s="16"/>
      <c r="J827" s="18"/>
      <c r="K827" s="18"/>
      <c r="L827" s="18"/>
      <c r="M827" s="18"/>
      <c r="N827" s="18"/>
      <c r="O827" s="16"/>
      <c r="P827" s="18"/>
      <c r="Q827" s="18"/>
      <c r="R827" s="18"/>
      <c r="S827" s="18"/>
      <c r="T827" s="18"/>
      <c r="U827" s="16"/>
      <c r="V827" s="18"/>
      <c r="W827" s="16"/>
      <c r="X827" s="18"/>
      <c r="Y827" s="18"/>
      <c r="Z827" s="18"/>
      <c r="AA827" s="18"/>
    </row>
    <row r="828" spans="2:27" x14ac:dyDescent="0.35">
      <c r="B828" s="18"/>
      <c r="C828" s="18"/>
      <c r="D828" s="18"/>
      <c r="E828" s="18"/>
      <c r="F828" s="18"/>
      <c r="G828" s="18"/>
      <c r="H828" s="18"/>
      <c r="I828" s="16"/>
      <c r="J828" s="18"/>
      <c r="K828" s="18"/>
      <c r="L828" s="18"/>
      <c r="M828" s="18"/>
      <c r="N828" s="18"/>
      <c r="O828" s="16"/>
      <c r="P828" s="18"/>
      <c r="Q828" s="18"/>
      <c r="R828" s="18"/>
      <c r="S828" s="18"/>
      <c r="T828" s="18"/>
      <c r="U828" s="16"/>
      <c r="V828" s="18"/>
      <c r="W828" s="16"/>
      <c r="X828" s="18"/>
      <c r="Y828" s="18"/>
      <c r="Z828" s="18"/>
      <c r="AA828" s="18"/>
    </row>
    <row r="829" spans="2:27" x14ac:dyDescent="0.35">
      <c r="B829" s="18"/>
      <c r="C829" s="18"/>
      <c r="D829" s="18"/>
      <c r="E829" s="18"/>
      <c r="F829" s="18"/>
      <c r="G829" s="18"/>
      <c r="H829" s="18"/>
      <c r="I829" s="16"/>
      <c r="J829" s="18"/>
      <c r="K829" s="18"/>
      <c r="L829" s="18"/>
      <c r="M829" s="18"/>
      <c r="N829" s="18"/>
      <c r="O829" s="16"/>
      <c r="P829" s="18"/>
      <c r="Q829" s="18"/>
      <c r="R829" s="18"/>
      <c r="S829" s="18"/>
      <c r="T829" s="18"/>
      <c r="U829" s="16"/>
      <c r="V829" s="18"/>
      <c r="W829" s="16"/>
      <c r="X829" s="18"/>
      <c r="Y829" s="18"/>
      <c r="Z829" s="18"/>
      <c r="AA829" s="18"/>
    </row>
    <row r="830" spans="2:27" x14ac:dyDescent="0.35">
      <c r="B830" s="18"/>
      <c r="C830" s="18"/>
      <c r="D830" s="18"/>
      <c r="E830" s="18"/>
      <c r="F830" s="18"/>
      <c r="G830" s="18"/>
      <c r="H830" s="18"/>
      <c r="I830" s="16"/>
      <c r="J830" s="18"/>
      <c r="K830" s="18"/>
      <c r="L830" s="18"/>
      <c r="M830" s="18"/>
      <c r="N830" s="18"/>
      <c r="O830" s="16"/>
      <c r="P830" s="18"/>
      <c r="Q830" s="18"/>
      <c r="R830" s="18"/>
      <c r="S830" s="18"/>
      <c r="T830" s="18"/>
      <c r="U830" s="16"/>
      <c r="V830" s="18"/>
      <c r="W830" s="16"/>
      <c r="X830" s="18"/>
      <c r="Y830" s="18"/>
      <c r="Z830" s="18"/>
      <c r="AA830" s="18"/>
    </row>
    <row r="831" spans="2:27" x14ac:dyDescent="0.35">
      <c r="B831" s="18"/>
      <c r="C831" s="18"/>
      <c r="D831" s="18"/>
      <c r="E831" s="18"/>
      <c r="F831" s="18"/>
      <c r="G831" s="18"/>
      <c r="H831" s="18"/>
      <c r="I831" s="16"/>
      <c r="J831" s="18"/>
      <c r="K831" s="18"/>
      <c r="L831" s="18"/>
      <c r="M831" s="18"/>
      <c r="N831" s="18"/>
      <c r="O831" s="16"/>
      <c r="P831" s="18"/>
      <c r="Q831" s="18"/>
      <c r="R831" s="18"/>
      <c r="S831" s="18"/>
      <c r="T831" s="18"/>
      <c r="U831" s="16"/>
      <c r="V831" s="18"/>
      <c r="W831" s="16"/>
      <c r="X831" s="18"/>
      <c r="Y831" s="18"/>
      <c r="Z831" s="18"/>
      <c r="AA831" s="18"/>
    </row>
    <row r="832" spans="2:27" x14ac:dyDescent="0.35">
      <c r="B832" s="18"/>
      <c r="C832" s="18"/>
      <c r="D832" s="18"/>
      <c r="E832" s="18"/>
      <c r="F832" s="18"/>
      <c r="G832" s="18"/>
      <c r="H832" s="18"/>
      <c r="I832" s="16"/>
      <c r="J832" s="18"/>
      <c r="K832" s="18"/>
      <c r="L832" s="18"/>
      <c r="M832" s="18"/>
      <c r="N832" s="18"/>
      <c r="O832" s="16"/>
      <c r="P832" s="18"/>
      <c r="Q832" s="18"/>
      <c r="R832" s="18"/>
      <c r="S832" s="18"/>
      <c r="T832" s="18"/>
      <c r="U832" s="16"/>
      <c r="V832" s="18"/>
      <c r="W832" s="16"/>
      <c r="X832" s="18"/>
      <c r="Y832" s="18"/>
      <c r="Z832" s="18"/>
      <c r="AA832" s="18"/>
    </row>
    <row r="833" spans="2:27" x14ac:dyDescent="0.35">
      <c r="B833" s="18"/>
      <c r="C833" s="18"/>
      <c r="D833" s="18"/>
      <c r="E833" s="18"/>
      <c r="F833" s="18"/>
      <c r="G833" s="18"/>
      <c r="H833" s="18"/>
      <c r="I833" s="16"/>
      <c r="J833" s="18"/>
      <c r="K833" s="18"/>
      <c r="L833" s="18"/>
      <c r="M833" s="18"/>
      <c r="N833" s="18"/>
      <c r="O833" s="16"/>
      <c r="P833" s="18"/>
      <c r="Q833" s="18"/>
      <c r="R833" s="18"/>
      <c r="S833" s="18"/>
      <c r="T833" s="18"/>
      <c r="U833" s="16"/>
      <c r="V833" s="18"/>
      <c r="W833" s="16"/>
      <c r="X833" s="18"/>
      <c r="Y833" s="18"/>
      <c r="Z833" s="18"/>
      <c r="AA833" s="18"/>
    </row>
    <row r="834" spans="2:27" x14ac:dyDescent="0.35">
      <c r="B834" s="18"/>
      <c r="C834" s="18"/>
      <c r="D834" s="18"/>
      <c r="E834" s="18"/>
      <c r="F834" s="18"/>
      <c r="G834" s="18"/>
      <c r="H834" s="18"/>
      <c r="I834" s="16"/>
      <c r="J834" s="18"/>
      <c r="K834" s="18"/>
      <c r="L834" s="18"/>
      <c r="M834" s="18"/>
      <c r="N834" s="18"/>
      <c r="O834" s="16"/>
      <c r="P834" s="18"/>
      <c r="Q834" s="18"/>
      <c r="R834" s="18"/>
      <c r="S834" s="18"/>
      <c r="T834" s="18"/>
      <c r="U834" s="16"/>
      <c r="V834" s="18"/>
      <c r="W834" s="16"/>
      <c r="X834" s="18"/>
      <c r="Y834" s="18"/>
      <c r="Z834" s="18"/>
      <c r="AA834" s="18"/>
    </row>
    <row r="835" spans="2:27" x14ac:dyDescent="0.35">
      <c r="B835" s="18"/>
      <c r="C835" s="18"/>
      <c r="D835" s="18"/>
      <c r="E835" s="18"/>
      <c r="F835" s="18"/>
      <c r="G835" s="18"/>
      <c r="H835" s="18"/>
      <c r="I835" s="16"/>
      <c r="J835" s="18"/>
      <c r="K835" s="18"/>
      <c r="L835" s="18"/>
      <c r="M835" s="18"/>
      <c r="N835" s="18"/>
      <c r="O835" s="16"/>
      <c r="P835" s="18"/>
      <c r="Q835" s="18"/>
      <c r="R835" s="18"/>
      <c r="S835" s="18"/>
      <c r="T835" s="18"/>
      <c r="U835" s="16"/>
      <c r="V835" s="18"/>
      <c r="W835" s="16"/>
      <c r="X835" s="18"/>
      <c r="Y835" s="18"/>
      <c r="Z835" s="18"/>
      <c r="AA835" s="18"/>
    </row>
    <row r="836" spans="2:27" x14ac:dyDescent="0.35">
      <c r="B836" s="18"/>
      <c r="C836" s="18"/>
      <c r="D836" s="18"/>
      <c r="E836" s="18"/>
      <c r="F836" s="18"/>
      <c r="G836" s="18"/>
      <c r="H836" s="18"/>
      <c r="I836" s="16"/>
      <c r="J836" s="18"/>
      <c r="K836" s="18"/>
      <c r="L836" s="18"/>
      <c r="M836" s="18"/>
      <c r="N836" s="18"/>
      <c r="O836" s="16"/>
      <c r="P836" s="18"/>
      <c r="Q836" s="18"/>
      <c r="R836" s="18"/>
      <c r="S836" s="18"/>
      <c r="T836" s="18"/>
      <c r="U836" s="16"/>
      <c r="V836" s="18"/>
      <c r="W836" s="16"/>
      <c r="X836" s="18"/>
      <c r="Y836" s="18"/>
      <c r="Z836" s="18"/>
      <c r="AA836" s="18"/>
    </row>
    <row r="837" spans="2:27" x14ac:dyDescent="0.35">
      <c r="B837" s="18"/>
      <c r="C837" s="18"/>
      <c r="D837" s="18"/>
      <c r="E837" s="18"/>
      <c r="F837" s="18"/>
      <c r="G837" s="18"/>
      <c r="H837" s="18"/>
      <c r="I837" s="16"/>
      <c r="J837" s="18"/>
      <c r="K837" s="18"/>
      <c r="L837" s="18"/>
      <c r="M837" s="18"/>
      <c r="N837" s="18"/>
      <c r="O837" s="16"/>
      <c r="P837" s="18"/>
      <c r="Q837" s="18"/>
      <c r="R837" s="18"/>
      <c r="S837" s="18"/>
      <c r="T837" s="18"/>
      <c r="U837" s="16"/>
      <c r="V837" s="18"/>
      <c r="W837" s="16"/>
      <c r="X837" s="18"/>
      <c r="Y837" s="18"/>
      <c r="Z837" s="18"/>
      <c r="AA837" s="18"/>
    </row>
    <row r="838" spans="2:27" x14ac:dyDescent="0.35">
      <c r="B838" s="18"/>
      <c r="C838" s="18"/>
      <c r="D838" s="18"/>
      <c r="E838" s="18"/>
      <c r="F838" s="18"/>
      <c r="G838" s="18"/>
      <c r="H838" s="18"/>
      <c r="I838" s="16"/>
      <c r="J838" s="18"/>
      <c r="K838" s="18"/>
      <c r="L838" s="18"/>
      <c r="M838" s="18"/>
      <c r="N838" s="18"/>
      <c r="O838" s="16"/>
      <c r="P838" s="18"/>
      <c r="Q838" s="18"/>
      <c r="R838" s="18"/>
      <c r="S838" s="18"/>
      <c r="T838" s="18"/>
      <c r="U838" s="16"/>
      <c r="V838" s="18"/>
      <c r="W838" s="16"/>
      <c r="X838" s="18"/>
      <c r="Y838" s="18"/>
      <c r="Z838" s="18"/>
      <c r="AA838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Pavlos Konstantinidis</cp:lastModifiedBy>
  <dcterms:created xsi:type="dcterms:W3CDTF">2020-06-24T18:30:36Z</dcterms:created>
  <dcterms:modified xsi:type="dcterms:W3CDTF">2022-05-30T10:04:20Z</dcterms:modified>
</cp:coreProperties>
</file>