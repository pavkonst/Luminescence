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gma\OneDrive\Υπολογιστής\Dosimetry\Deconovolution\Decay\"/>
    </mc:Choice>
  </mc:AlternateContent>
  <xr:revisionPtr revIDLastSave="0" documentId="13_ncr:1_{1C9AC4A3-CE8E-4D7D-A41A-0E753CCF5B6F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sheet 1" sheetId="2" r:id="rId1"/>
  </sheets>
  <functionGroups builtInGroupCount="19"/>
  <definedNames>
    <definedName name="solver_adj" localSheetId="0" hidden="1">'sheet 1'!$C$21:$D$23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'sheet 1'!$C$21:$G$21</definedName>
    <definedName name="solver_lhs10" localSheetId="0" hidden="1">'sheet 1'!$G$22</definedName>
    <definedName name="solver_lhs11" localSheetId="0" hidden="1">'sheet 1'!$F$22</definedName>
    <definedName name="solver_lhs12" localSheetId="0" hidden="1">'sheet 1'!$G$23</definedName>
    <definedName name="solver_lhs13" localSheetId="0" hidden="1">'sheet 1'!$E$21</definedName>
    <definedName name="solver_lhs14" localSheetId="0" hidden="1">'sheet 1'!$G$23</definedName>
    <definedName name="solver_lhs15" localSheetId="0" hidden="1">'sheet 1'!$F$23</definedName>
    <definedName name="solver_lhs16" localSheetId="0" hidden="1">'sheet 1'!$F$21</definedName>
    <definedName name="solver_lhs17" localSheetId="0" hidden="1">'sheet 1'!$G$21</definedName>
    <definedName name="solver_lhs18" localSheetId="0" hidden="1">'sheet 1'!$G$21</definedName>
    <definedName name="solver_lhs19" localSheetId="0" hidden="1">'sheet 1'!$G$21</definedName>
    <definedName name="solver_lhs2" localSheetId="0" hidden="1">'sheet 1'!$C$23:$G$23</definedName>
    <definedName name="solver_lhs20" localSheetId="0" hidden="1">'sheet 1'!$G$21</definedName>
    <definedName name="solver_lhs3" localSheetId="0" hidden="1">'sheet 1'!$C$21</definedName>
    <definedName name="solver_lhs4" localSheetId="0" hidden="1">'sheet 1'!$D$23</definedName>
    <definedName name="solver_lhs5" localSheetId="0" hidden="1">'sheet 1'!$E$22</definedName>
    <definedName name="solver_lhs6" localSheetId="0" hidden="1">'sheet 1'!$E$23</definedName>
    <definedName name="solver_lhs7" localSheetId="0" hidden="1">'sheet 1'!$D$21</definedName>
    <definedName name="solver_lhs8" localSheetId="0" hidden="1">'sheet 1'!$F$23</definedName>
    <definedName name="solver_lhs9" localSheetId="0" hidden="1">'sheet 1'!$E$23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'sheet 1'!$C$33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3</definedName>
    <definedName name="solver_rel20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</definedName>
    <definedName name="solver_rhs10" localSheetId="0" hidden="1">0</definedName>
    <definedName name="solver_rhs11" localSheetId="0" hidden="1">0</definedName>
    <definedName name="solver_rhs12" localSheetId="0" hidden="1">0.9</definedName>
    <definedName name="solver_rhs13" localSheetId="0" hidden="1">0</definedName>
    <definedName name="solver_rhs14" localSheetId="0" hidden="1">0.00001</definedName>
    <definedName name="solver_rhs15" localSheetId="0" hidden="1">0.00001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0.000000001</definedName>
    <definedName name="solver_rhs20" localSheetId="0" hidden="1">0</definedName>
    <definedName name="solver_rhs3" localSheetId="0" hidden="1">0</definedName>
    <definedName name="solver_rhs4" localSheetId="0" hidden="1">0.00001</definedName>
    <definedName name="solver_rhs5" localSheetId="0" hidden="1">0</definedName>
    <definedName name="solver_rhs6" localSheetId="0" hidden="1">0.9</definedName>
    <definedName name="solver_rhs7" localSheetId="0" hidden="1">0</definedName>
    <definedName name="solver_rhs8" localSheetId="0" hidden="1">0.9</definedName>
    <definedName name="solver_rhs9" localSheetId="0" hidden="1">0.00001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32" i="2" l="1"/>
  <c r="E532" i="2"/>
  <c r="F532" i="2"/>
  <c r="G532" i="2"/>
  <c r="H532" i="2"/>
  <c r="D533" i="2"/>
  <c r="E533" i="2"/>
  <c r="F533" i="2"/>
  <c r="G533" i="2"/>
  <c r="H533" i="2"/>
  <c r="D534" i="2"/>
  <c r="E534" i="2"/>
  <c r="F534" i="2"/>
  <c r="G534" i="2"/>
  <c r="H534" i="2"/>
  <c r="D535" i="2"/>
  <c r="E535" i="2"/>
  <c r="F535" i="2"/>
  <c r="G535" i="2"/>
  <c r="H535" i="2"/>
  <c r="D536" i="2"/>
  <c r="E536" i="2"/>
  <c r="F536" i="2"/>
  <c r="G536" i="2"/>
  <c r="H536" i="2"/>
  <c r="D521" i="2"/>
  <c r="E521" i="2"/>
  <c r="F521" i="2"/>
  <c r="G521" i="2"/>
  <c r="H521" i="2"/>
  <c r="D522" i="2"/>
  <c r="E522" i="2"/>
  <c r="F522" i="2"/>
  <c r="G522" i="2"/>
  <c r="H522" i="2"/>
  <c r="D523" i="2"/>
  <c r="E523" i="2"/>
  <c r="F523" i="2"/>
  <c r="G523" i="2"/>
  <c r="H523" i="2"/>
  <c r="D524" i="2"/>
  <c r="E524" i="2"/>
  <c r="F524" i="2"/>
  <c r="G524" i="2"/>
  <c r="H524" i="2"/>
  <c r="D525" i="2"/>
  <c r="E525" i="2"/>
  <c r="F525" i="2"/>
  <c r="G525" i="2"/>
  <c r="H525" i="2"/>
  <c r="D526" i="2"/>
  <c r="E526" i="2"/>
  <c r="F526" i="2"/>
  <c r="G526" i="2"/>
  <c r="H526" i="2"/>
  <c r="D527" i="2"/>
  <c r="E527" i="2"/>
  <c r="F527" i="2"/>
  <c r="G527" i="2"/>
  <c r="H527" i="2"/>
  <c r="D528" i="2"/>
  <c r="E528" i="2"/>
  <c r="F528" i="2"/>
  <c r="G528" i="2"/>
  <c r="H528" i="2"/>
  <c r="D529" i="2"/>
  <c r="E529" i="2"/>
  <c r="F529" i="2"/>
  <c r="G529" i="2"/>
  <c r="H529" i="2"/>
  <c r="D530" i="2"/>
  <c r="E530" i="2"/>
  <c r="F530" i="2"/>
  <c r="G530" i="2"/>
  <c r="H530" i="2"/>
  <c r="D531" i="2"/>
  <c r="E531" i="2"/>
  <c r="F531" i="2"/>
  <c r="G531" i="2"/>
  <c r="H531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E121" i="2"/>
  <c r="F121" i="2"/>
  <c r="G121" i="2"/>
  <c r="H121" i="2"/>
  <c r="E122" i="2"/>
  <c r="F122" i="2"/>
  <c r="G122" i="2"/>
  <c r="H122" i="2"/>
  <c r="E123" i="2"/>
  <c r="F123" i="2"/>
  <c r="G123" i="2"/>
  <c r="H123" i="2"/>
  <c r="E124" i="2"/>
  <c r="F124" i="2"/>
  <c r="G124" i="2"/>
  <c r="H124" i="2"/>
  <c r="E125" i="2"/>
  <c r="F125" i="2"/>
  <c r="G125" i="2"/>
  <c r="H125" i="2"/>
  <c r="E126" i="2"/>
  <c r="F126" i="2"/>
  <c r="G126" i="2"/>
  <c r="H126" i="2"/>
  <c r="E127" i="2"/>
  <c r="F127" i="2"/>
  <c r="G127" i="2"/>
  <c r="H127" i="2"/>
  <c r="E128" i="2"/>
  <c r="F128" i="2"/>
  <c r="G128" i="2"/>
  <c r="H128" i="2"/>
  <c r="E129" i="2"/>
  <c r="F129" i="2"/>
  <c r="G129" i="2"/>
  <c r="H129" i="2"/>
  <c r="E130" i="2"/>
  <c r="F130" i="2"/>
  <c r="G130" i="2"/>
  <c r="H130" i="2"/>
  <c r="E131" i="2"/>
  <c r="F131" i="2"/>
  <c r="G131" i="2"/>
  <c r="H131" i="2"/>
  <c r="E132" i="2"/>
  <c r="F132" i="2"/>
  <c r="G132" i="2"/>
  <c r="H132" i="2"/>
  <c r="E133" i="2"/>
  <c r="F133" i="2"/>
  <c r="G133" i="2"/>
  <c r="H133" i="2"/>
  <c r="E134" i="2"/>
  <c r="F134" i="2"/>
  <c r="G134" i="2"/>
  <c r="H134" i="2"/>
  <c r="E135" i="2"/>
  <c r="F135" i="2"/>
  <c r="G135" i="2"/>
  <c r="H135" i="2"/>
  <c r="E136" i="2"/>
  <c r="F136" i="2"/>
  <c r="G136" i="2"/>
  <c r="H136" i="2"/>
  <c r="E137" i="2"/>
  <c r="F137" i="2"/>
  <c r="G137" i="2"/>
  <c r="H137" i="2"/>
  <c r="E138" i="2"/>
  <c r="F138" i="2"/>
  <c r="G138" i="2"/>
  <c r="H138" i="2"/>
  <c r="E139" i="2"/>
  <c r="F139" i="2"/>
  <c r="G139" i="2"/>
  <c r="H139" i="2"/>
  <c r="E140" i="2"/>
  <c r="F140" i="2"/>
  <c r="G140" i="2"/>
  <c r="H140" i="2"/>
  <c r="E141" i="2"/>
  <c r="F141" i="2"/>
  <c r="G141" i="2"/>
  <c r="H141" i="2"/>
  <c r="E142" i="2"/>
  <c r="F142" i="2"/>
  <c r="G142" i="2"/>
  <c r="H142" i="2"/>
  <c r="E143" i="2"/>
  <c r="F143" i="2"/>
  <c r="G143" i="2"/>
  <c r="H143" i="2"/>
  <c r="E144" i="2"/>
  <c r="F144" i="2"/>
  <c r="G144" i="2"/>
  <c r="H144" i="2"/>
  <c r="E145" i="2"/>
  <c r="F145" i="2"/>
  <c r="G145" i="2"/>
  <c r="H145" i="2"/>
  <c r="E146" i="2"/>
  <c r="F146" i="2"/>
  <c r="G146" i="2"/>
  <c r="H146" i="2"/>
  <c r="E147" i="2"/>
  <c r="F147" i="2"/>
  <c r="G147" i="2"/>
  <c r="H147" i="2"/>
  <c r="E148" i="2"/>
  <c r="F148" i="2"/>
  <c r="G148" i="2"/>
  <c r="H148" i="2"/>
  <c r="E149" i="2"/>
  <c r="F149" i="2"/>
  <c r="G149" i="2"/>
  <c r="H149" i="2"/>
  <c r="E150" i="2"/>
  <c r="F150" i="2"/>
  <c r="G150" i="2"/>
  <c r="H150" i="2"/>
  <c r="E151" i="2"/>
  <c r="F151" i="2"/>
  <c r="G151" i="2"/>
  <c r="H151" i="2"/>
  <c r="E152" i="2"/>
  <c r="F152" i="2"/>
  <c r="G152" i="2"/>
  <c r="H152" i="2"/>
  <c r="E153" i="2"/>
  <c r="F153" i="2"/>
  <c r="G153" i="2"/>
  <c r="H153" i="2"/>
  <c r="E154" i="2"/>
  <c r="F154" i="2"/>
  <c r="G154" i="2"/>
  <c r="H154" i="2"/>
  <c r="E155" i="2"/>
  <c r="F155" i="2"/>
  <c r="G155" i="2"/>
  <c r="H155" i="2"/>
  <c r="E156" i="2"/>
  <c r="F156" i="2"/>
  <c r="G156" i="2"/>
  <c r="H156" i="2"/>
  <c r="E157" i="2"/>
  <c r="F157" i="2"/>
  <c r="G157" i="2"/>
  <c r="H157" i="2"/>
  <c r="E158" i="2"/>
  <c r="F158" i="2"/>
  <c r="G158" i="2"/>
  <c r="H158" i="2"/>
  <c r="E159" i="2"/>
  <c r="F159" i="2"/>
  <c r="G159" i="2"/>
  <c r="H159" i="2"/>
  <c r="E160" i="2"/>
  <c r="F160" i="2"/>
  <c r="G160" i="2"/>
  <c r="H160" i="2"/>
  <c r="E161" i="2"/>
  <c r="F161" i="2"/>
  <c r="G161" i="2"/>
  <c r="H161" i="2"/>
  <c r="E162" i="2"/>
  <c r="F162" i="2"/>
  <c r="G162" i="2"/>
  <c r="H162" i="2"/>
  <c r="E163" i="2"/>
  <c r="F163" i="2"/>
  <c r="G163" i="2"/>
  <c r="H163" i="2"/>
  <c r="E164" i="2"/>
  <c r="F164" i="2"/>
  <c r="G164" i="2"/>
  <c r="H164" i="2"/>
  <c r="E165" i="2"/>
  <c r="F165" i="2"/>
  <c r="G165" i="2"/>
  <c r="H165" i="2"/>
  <c r="E166" i="2"/>
  <c r="F166" i="2"/>
  <c r="G166" i="2"/>
  <c r="H166" i="2"/>
  <c r="E167" i="2"/>
  <c r="F167" i="2"/>
  <c r="G167" i="2"/>
  <c r="H167" i="2"/>
  <c r="E168" i="2"/>
  <c r="F168" i="2"/>
  <c r="G168" i="2"/>
  <c r="H168" i="2"/>
  <c r="E169" i="2"/>
  <c r="F169" i="2"/>
  <c r="G169" i="2"/>
  <c r="H169" i="2"/>
  <c r="E170" i="2"/>
  <c r="F170" i="2"/>
  <c r="G170" i="2"/>
  <c r="H170" i="2"/>
  <c r="E171" i="2"/>
  <c r="F171" i="2"/>
  <c r="G171" i="2"/>
  <c r="H171" i="2"/>
  <c r="E172" i="2"/>
  <c r="F172" i="2"/>
  <c r="G172" i="2"/>
  <c r="H172" i="2"/>
  <c r="E173" i="2"/>
  <c r="F173" i="2"/>
  <c r="G173" i="2"/>
  <c r="H173" i="2"/>
  <c r="E174" i="2"/>
  <c r="F174" i="2"/>
  <c r="G174" i="2"/>
  <c r="H174" i="2"/>
  <c r="E175" i="2"/>
  <c r="F175" i="2"/>
  <c r="G175" i="2"/>
  <c r="H175" i="2"/>
  <c r="E176" i="2"/>
  <c r="F176" i="2"/>
  <c r="G176" i="2"/>
  <c r="H176" i="2"/>
  <c r="E177" i="2"/>
  <c r="F177" i="2"/>
  <c r="G177" i="2"/>
  <c r="H177" i="2"/>
  <c r="E178" i="2"/>
  <c r="F178" i="2"/>
  <c r="G178" i="2"/>
  <c r="H178" i="2"/>
  <c r="E179" i="2"/>
  <c r="F179" i="2"/>
  <c r="G179" i="2"/>
  <c r="H179" i="2"/>
  <c r="E180" i="2"/>
  <c r="F180" i="2"/>
  <c r="G180" i="2"/>
  <c r="H180" i="2"/>
  <c r="E181" i="2"/>
  <c r="F181" i="2"/>
  <c r="G181" i="2"/>
  <c r="H181" i="2"/>
  <c r="E182" i="2"/>
  <c r="F182" i="2"/>
  <c r="G182" i="2"/>
  <c r="H182" i="2"/>
  <c r="E183" i="2"/>
  <c r="F183" i="2"/>
  <c r="G183" i="2"/>
  <c r="H183" i="2"/>
  <c r="E184" i="2"/>
  <c r="F184" i="2"/>
  <c r="G184" i="2"/>
  <c r="H184" i="2"/>
  <c r="E185" i="2"/>
  <c r="F185" i="2"/>
  <c r="G185" i="2"/>
  <c r="H185" i="2"/>
  <c r="E186" i="2"/>
  <c r="F186" i="2"/>
  <c r="G186" i="2"/>
  <c r="H186" i="2"/>
  <c r="E187" i="2"/>
  <c r="F187" i="2"/>
  <c r="G187" i="2"/>
  <c r="H187" i="2"/>
  <c r="E188" i="2"/>
  <c r="F188" i="2"/>
  <c r="G188" i="2"/>
  <c r="H188" i="2"/>
  <c r="E189" i="2"/>
  <c r="F189" i="2"/>
  <c r="G189" i="2"/>
  <c r="H189" i="2"/>
  <c r="E190" i="2"/>
  <c r="F190" i="2"/>
  <c r="G190" i="2"/>
  <c r="H190" i="2"/>
  <c r="E191" i="2"/>
  <c r="F191" i="2"/>
  <c r="G191" i="2"/>
  <c r="H191" i="2"/>
  <c r="E192" i="2"/>
  <c r="F192" i="2"/>
  <c r="G192" i="2"/>
  <c r="H192" i="2"/>
  <c r="E193" i="2"/>
  <c r="F193" i="2"/>
  <c r="G193" i="2"/>
  <c r="H193" i="2"/>
  <c r="E194" i="2"/>
  <c r="F194" i="2"/>
  <c r="G194" i="2"/>
  <c r="H194" i="2"/>
  <c r="E195" i="2"/>
  <c r="F195" i="2"/>
  <c r="G195" i="2"/>
  <c r="H195" i="2"/>
  <c r="E196" i="2"/>
  <c r="F196" i="2"/>
  <c r="G196" i="2"/>
  <c r="H196" i="2"/>
  <c r="E197" i="2"/>
  <c r="F197" i="2"/>
  <c r="G197" i="2"/>
  <c r="H197" i="2"/>
  <c r="E198" i="2"/>
  <c r="F198" i="2"/>
  <c r="G198" i="2"/>
  <c r="H198" i="2"/>
  <c r="E199" i="2"/>
  <c r="F199" i="2"/>
  <c r="G199" i="2"/>
  <c r="H199" i="2"/>
  <c r="E200" i="2"/>
  <c r="F200" i="2"/>
  <c r="G200" i="2"/>
  <c r="H200" i="2"/>
  <c r="E201" i="2"/>
  <c r="F201" i="2"/>
  <c r="G201" i="2"/>
  <c r="H201" i="2"/>
  <c r="E202" i="2"/>
  <c r="F202" i="2"/>
  <c r="G202" i="2"/>
  <c r="H202" i="2"/>
  <c r="E203" i="2"/>
  <c r="F203" i="2"/>
  <c r="G203" i="2"/>
  <c r="H203" i="2"/>
  <c r="E204" i="2"/>
  <c r="F204" i="2"/>
  <c r="G204" i="2"/>
  <c r="H204" i="2"/>
  <c r="E205" i="2"/>
  <c r="F205" i="2"/>
  <c r="G205" i="2"/>
  <c r="H205" i="2"/>
  <c r="E206" i="2"/>
  <c r="F206" i="2"/>
  <c r="G206" i="2"/>
  <c r="H206" i="2"/>
  <c r="E207" i="2"/>
  <c r="F207" i="2"/>
  <c r="G207" i="2"/>
  <c r="H207" i="2"/>
  <c r="E208" i="2"/>
  <c r="F208" i="2"/>
  <c r="G208" i="2"/>
  <c r="H208" i="2"/>
  <c r="E209" i="2"/>
  <c r="F209" i="2"/>
  <c r="G209" i="2"/>
  <c r="H209" i="2"/>
  <c r="E210" i="2"/>
  <c r="F210" i="2"/>
  <c r="G210" i="2"/>
  <c r="H210" i="2"/>
  <c r="E211" i="2"/>
  <c r="F211" i="2"/>
  <c r="G211" i="2"/>
  <c r="H211" i="2"/>
  <c r="E212" i="2"/>
  <c r="F212" i="2"/>
  <c r="G212" i="2"/>
  <c r="H212" i="2"/>
  <c r="E213" i="2"/>
  <c r="F213" i="2"/>
  <c r="G213" i="2"/>
  <c r="H213" i="2"/>
  <c r="E214" i="2"/>
  <c r="F214" i="2"/>
  <c r="G214" i="2"/>
  <c r="H214" i="2"/>
  <c r="E215" i="2"/>
  <c r="F215" i="2"/>
  <c r="G215" i="2"/>
  <c r="H215" i="2"/>
  <c r="E216" i="2"/>
  <c r="F216" i="2"/>
  <c r="G216" i="2"/>
  <c r="H216" i="2"/>
  <c r="E217" i="2"/>
  <c r="F217" i="2"/>
  <c r="G217" i="2"/>
  <c r="H217" i="2"/>
  <c r="E218" i="2"/>
  <c r="F218" i="2"/>
  <c r="G218" i="2"/>
  <c r="H218" i="2"/>
  <c r="E219" i="2"/>
  <c r="F219" i="2"/>
  <c r="G219" i="2"/>
  <c r="H219" i="2"/>
  <c r="E220" i="2"/>
  <c r="F220" i="2"/>
  <c r="G220" i="2"/>
  <c r="H220" i="2"/>
  <c r="E221" i="2"/>
  <c r="F221" i="2"/>
  <c r="G221" i="2"/>
  <c r="H221" i="2"/>
  <c r="E222" i="2"/>
  <c r="F222" i="2"/>
  <c r="G222" i="2"/>
  <c r="H222" i="2"/>
  <c r="E223" i="2"/>
  <c r="F223" i="2"/>
  <c r="G223" i="2"/>
  <c r="H223" i="2"/>
  <c r="E224" i="2"/>
  <c r="F224" i="2"/>
  <c r="G224" i="2"/>
  <c r="H224" i="2"/>
  <c r="E225" i="2"/>
  <c r="F225" i="2"/>
  <c r="G225" i="2"/>
  <c r="H225" i="2"/>
  <c r="E226" i="2"/>
  <c r="F226" i="2"/>
  <c r="G226" i="2"/>
  <c r="H226" i="2"/>
  <c r="E227" i="2"/>
  <c r="F227" i="2"/>
  <c r="G227" i="2"/>
  <c r="H227" i="2"/>
  <c r="E228" i="2"/>
  <c r="F228" i="2"/>
  <c r="G228" i="2"/>
  <c r="H228" i="2"/>
  <c r="E229" i="2"/>
  <c r="F229" i="2"/>
  <c r="G229" i="2"/>
  <c r="H229" i="2"/>
  <c r="E230" i="2"/>
  <c r="F230" i="2"/>
  <c r="G230" i="2"/>
  <c r="H230" i="2"/>
  <c r="E231" i="2"/>
  <c r="F231" i="2"/>
  <c r="G231" i="2"/>
  <c r="H231" i="2"/>
  <c r="E232" i="2"/>
  <c r="F232" i="2"/>
  <c r="G232" i="2"/>
  <c r="H232" i="2"/>
  <c r="E233" i="2"/>
  <c r="F233" i="2"/>
  <c r="G233" i="2"/>
  <c r="H233" i="2"/>
  <c r="E234" i="2"/>
  <c r="F234" i="2"/>
  <c r="G234" i="2"/>
  <c r="H234" i="2"/>
  <c r="E235" i="2"/>
  <c r="F235" i="2"/>
  <c r="G235" i="2"/>
  <c r="H235" i="2"/>
  <c r="E236" i="2"/>
  <c r="F236" i="2"/>
  <c r="G236" i="2"/>
  <c r="H236" i="2"/>
  <c r="E237" i="2"/>
  <c r="F237" i="2"/>
  <c r="G237" i="2"/>
  <c r="H237" i="2"/>
  <c r="E238" i="2"/>
  <c r="F238" i="2"/>
  <c r="G238" i="2"/>
  <c r="H238" i="2"/>
  <c r="E239" i="2"/>
  <c r="F239" i="2"/>
  <c r="G239" i="2"/>
  <c r="H239" i="2"/>
  <c r="E240" i="2"/>
  <c r="F240" i="2"/>
  <c r="G240" i="2"/>
  <c r="H240" i="2"/>
  <c r="E241" i="2"/>
  <c r="F241" i="2"/>
  <c r="G241" i="2"/>
  <c r="H241" i="2"/>
  <c r="E242" i="2"/>
  <c r="F242" i="2"/>
  <c r="G242" i="2"/>
  <c r="H242" i="2"/>
  <c r="E243" i="2"/>
  <c r="F243" i="2"/>
  <c r="G243" i="2"/>
  <c r="H243" i="2"/>
  <c r="E244" i="2"/>
  <c r="F244" i="2"/>
  <c r="G244" i="2"/>
  <c r="H244" i="2"/>
  <c r="E245" i="2"/>
  <c r="F245" i="2"/>
  <c r="G245" i="2"/>
  <c r="H245" i="2"/>
  <c r="E246" i="2"/>
  <c r="F246" i="2"/>
  <c r="G246" i="2"/>
  <c r="H246" i="2"/>
  <c r="E247" i="2"/>
  <c r="F247" i="2"/>
  <c r="G247" i="2"/>
  <c r="H247" i="2"/>
  <c r="E248" i="2"/>
  <c r="F248" i="2"/>
  <c r="G248" i="2"/>
  <c r="H248" i="2"/>
  <c r="E249" i="2"/>
  <c r="F249" i="2"/>
  <c r="G249" i="2"/>
  <c r="H249" i="2"/>
  <c r="E250" i="2"/>
  <c r="F250" i="2"/>
  <c r="G250" i="2"/>
  <c r="H250" i="2"/>
  <c r="E251" i="2"/>
  <c r="F251" i="2"/>
  <c r="G251" i="2"/>
  <c r="H251" i="2"/>
  <c r="E252" i="2"/>
  <c r="F252" i="2"/>
  <c r="G252" i="2"/>
  <c r="H252" i="2"/>
  <c r="E253" i="2"/>
  <c r="F253" i="2"/>
  <c r="G253" i="2"/>
  <c r="H253" i="2"/>
  <c r="E254" i="2"/>
  <c r="F254" i="2"/>
  <c r="G254" i="2"/>
  <c r="H254" i="2"/>
  <c r="E255" i="2"/>
  <c r="F255" i="2"/>
  <c r="G255" i="2"/>
  <c r="H255" i="2"/>
  <c r="E256" i="2"/>
  <c r="F256" i="2"/>
  <c r="G256" i="2"/>
  <c r="H256" i="2"/>
  <c r="E257" i="2"/>
  <c r="F257" i="2"/>
  <c r="G257" i="2"/>
  <c r="H257" i="2"/>
  <c r="E258" i="2"/>
  <c r="F258" i="2"/>
  <c r="G258" i="2"/>
  <c r="H258" i="2"/>
  <c r="E259" i="2"/>
  <c r="F259" i="2"/>
  <c r="G259" i="2"/>
  <c r="H259" i="2"/>
  <c r="E260" i="2"/>
  <c r="F260" i="2"/>
  <c r="G260" i="2"/>
  <c r="H260" i="2"/>
  <c r="E261" i="2"/>
  <c r="F261" i="2"/>
  <c r="G261" i="2"/>
  <c r="H261" i="2"/>
  <c r="E262" i="2"/>
  <c r="F262" i="2"/>
  <c r="G262" i="2"/>
  <c r="H262" i="2"/>
  <c r="E263" i="2"/>
  <c r="F263" i="2"/>
  <c r="G263" i="2"/>
  <c r="H263" i="2"/>
  <c r="E264" i="2"/>
  <c r="F264" i="2"/>
  <c r="G264" i="2"/>
  <c r="H264" i="2"/>
  <c r="E265" i="2"/>
  <c r="F265" i="2"/>
  <c r="G265" i="2"/>
  <c r="H265" i="2"/>
  <c r="E266" i="2"/>
  <c r="F266" i="2"/>
  <c r="G266" i="2"/>
  <c r="H266" i="2"/>
  <c r="E267" i="2"/>
  <c r="F267" i="2"/>
  <c r="G267" i="2"/>
  <c r="H267" i="2"/>
  <c r="E268" i="2"/>
  <c r="F268" i="2"/>
  <c r="G268" i="2"/>
  <c r="H268" i="2"/>
  <c r="E269" i="2"/>
  <c r="F269" i="2"/>
  <c r="G269" i="2"/>
  <c r="H269" i="2"/>
  <c r="E270" i="2"/>
  <c r="F270" i="2"/>
  <c r="G270" i="2"/>
  <c r="H270" i="2"/>
  <c r="E271" i="2"/>
  <c r="F271" i="2"/>
  <c r="G271" i="2"/>
  <c r="H271" i="2"/>
  <c r="E272" i="2"/>
  <c r="F272" i="2"/>
  <c r="G272" i="2"/>
  <c r="H272" i="2"/>
  <c r="E273" i="2"/>
  <c r="F273" i="2"/>
  <c r="G273" i="2"/>
  <c r="H273" i="2"/>
  <c r="E274" i="2"/>
  <c r="F274" i="2"/>
  <c r="G274" i="2"/>
  <c r="H274" i="2"/>
  <c r="E275" i="2"/>
  <c r="F275" i="2"/>
  <c r="G275" i="2"/>
  <c r="H275" i="2"/>
  <c r="E276" i="2"/>
  <c r="F276" i="2"/>
  <c r="G276" i="2"/>
  <c r="H276" i="2"/>
  <c r="E277" i="2"/>
  <c r="F277" i="2"/>
  <c r="G277" i="2"/>
  <c r="H277" i="2"/>
  <c r="E278" i="2"/>
  <c r="F278" i="2"/>
  <c r="G278" i="2"/>
  <c r="H278" i="2"/>
  <c r="E279" i="2"/>
  <c r="F279" i="2"/>
  <c r="G279" i="2"/>
  <c r="H279" i="2"/>
  <c r="E280" i="2"/>
  <c r="F280" i="2"/>
  <c r="G280" i="2"/>
  <c r="H280" i="2"/>
  <c r="E281" i="2"/>
  <c r="F281" i="2"/>
  <c r="G281" i="2"/>
  <c r="H281" i="2"/>
  <c r="E282" i="2"/>
  <c r="F282" i="2"/>
  <c r="G282" i="2"/>
  <c r="H282" i="2"/>
  <c r="E283" i="2"/>
  <c r="F283" i="2"/>
  <c r="G283" i="2"/>
  <c r="H283" i="2"/>
  <c r="E284" i="2"/>
  <c r="F284" i="2"/>
  <c r="G284" i="2"/>
  <c r="H284" i="2"/>
  <c r="E285" i="2"/>
  <c r="F285" i="2"/>
  <c r="G285" i="2"/>
  <c r="H285" i="2"/>
  <c r="E286" i="2"/>
  <c r="F286" i="2"/>
  <c r="G286" i="2"/>
  <c r="H286" i="2"/>
  <c r="E287" i="2"/>
  <c r="F287" i="2"/>
  <c r="G287" i="2"/>
  <c r="H287" i="2"/>
  <c r="E288" i="2"/>
  <c r="F288" i="2"/>
  <c r="G288" i="2"/>
  <c r="H288" i="2"/>
  <c r="E289" i="2"/>
  <c r="F289" i="2"/>
  <c r="G289" i="2"/>
  <c r="H289" i="2"/>
  <c r="E290" i="2"/>
  <c r="F290" i="2"/>
  <c r="G290" i="2"/>
  <c r="H290" i="2"/>
  <c r="E291" i="2"/>
  <c r="F291" i="2"/>
  <c r="G291" i="2"/>
  <c r="H291" i="2"/>
  <c r="E292" i="2"/>
  <c r="F292" i="2"/>
  <c r="G292" i="2"/>
  <c r="H292" i="2"/>
  <c r="E293" i="2"/>
  <c r="F293" i="2"/>
  <c r="G293" i="2"/>
  <c r="H293" i="2"/>
  <c r="E294" i="2"/>
  <c r="F294" i="2"/>
  <c r="G294" i="2"/>
  <c r="H294" i="2"/>
  <c r="E295" i="2"/>
  <c r="F295" i="2"/>
  <c r="G295" i="2"/>
  <c r="H295" i="2"/>
  <c r="E296" i="2"/>
  <c r="F296" i="2"/>
  <c r="G296" i="2"/>
  <c r="H296" i="2"/>
  <c r="E297" i="2"/>
  <c r="F297" i="2"/>
  <c r="G297" i="2"/>
  <c r="H297" i="2"/>
  <c r="E298" i="2"/>
  <c r="F298" i="2"/>
  <c r="G298" i="2"/>
  <c r="H298" i="2"/>
  <c r="E299" i="2"/>
  <c r="F299" i="2"/>
  <c r="G299" i="2"/>
  <c r="H299" i="2"/>
  <c r="E300" i="2"/>
  <c r="F300" i="2"/>
  <c r="G300" i="2"/>
  <c r="H300" i="2"/>
  <c r="E301" i="2"/>
  <c r="F301" i="2"/>
  <c r="G301" i="2"/>
  <c r="H301" i="2"/>
  <c r="E302" i="2"/>
  <c r="F302" i="2"/>
  <c r="G302" i="2"/>
  <c r="H302" i="2"/>
  <c r="E303" i="2"/>
  <c r="F303" i="2"/>
  <c r="G303" i="2"/>
  <c r="H303" i="2"/>
  <c r="E304" i="2"/>
  <c r="F304" i="2"/>
  <c r="G304" i="2"/>
  <c r="H304" i="2"/>
  <c r="E305" i="2"/>
  <c r="F305" i="2"/>
  <c r="G305" i="2"/>
  <c r="H305" i="2"/>
  <c r="E306" i="2"/>
  <c r="F306" i="2"/>
  <c r="G306" i="2"/>
  <c r="H306" i="2"/>
  <c r="E307" i="2"/>
  <c r="F307" i="2"/>
  <c r="G307" i="2"/>
  <c r="H307" i="2"/>
  <c r="E308" i="2"/>
  <c r="F308" i="2"/>
  <c r="G308" i="2"/>
  <c r="H308" i="2"/>
  <c r="E309" i="2"/>
  <c r="F309" i="2"/>
  <c r="G309" i="2"/>
  <c r="H309" i="2"/>
  <c r="E310" i="2"/>
  <c r="F310" i="2"/>
  <c r="G310" i="2"/>
  <c r="H310" i="2"/>
  <c r="E311" i="2"/>
  <c r="F311" i="2"/>
  <c r="G311" i="2"/>
  <c r="H311" i="2"/>
  <c r="E312" i="2"/>
  <c r="F312" i="2"/>
  <c r="G312" i="2"/>
  <c r="H312" i="2"/>
  <c r="E313" i="2"/>
  <c r="F313" i="2"/>
  <c r="G313" i="2"/>
  <c r="H313" i="2"/>
  <c r="E314" i="2"/>
  <c r="F314" i="2"/>
  <c r="G314" i="2"/>
  <c r="H314" i="2"/>
  <c r="E315" i="2"/>
  <c r="F315" i="2"/>
  <c r="G315" i="2"/>
  <c r="H315" i="2"/>
  <c r="E316" i="2"/>
  <c r="F316" i="2"/>
  <c r="G316" i="2"/>
  <c r="H316" i="2"/>
  <c r="E317" i="2"/>
  <c r="F317" i="2"/>
  <c r="G317" i="2"/>
  <c r="H317" i="2"/>
  <c r="E318" i="2"/>
  <c r="F318" i="2"/>
  <c r="G318" i="2"/>
  <c r="H318" i="2"/>
  <c r="E319" i="2"/>
  <c r="F319" i="2"/>
  <c r="G319" i="2"/>
  <c r="H319" i="2"/>
  <c r="E320" i="2"/>
  <c r="F320" i="2"/>
  <c r="G320" i="2"/>
  <c r="H320" i="2"/>
  <c r="E321" i="2"/>
  <c r="F321" i="2"/>
  <c r="G321" i="2"/>
  <c r="H321" i="2"/>
  <c r="E322" i="2"/>
  <c r="F322" i="2"/>
  <c r="G322" i="2"/>
  <c r="H322" i="2"/>
  <c r="E323" i="2"/>
  <c r="F323" i="2"/>
  <c r="G323" i="2"/>
  <c r="H323" i="2"/>
  <c r="E324" i="2"/>
  <c r="F324" i="2"/>
  <c r="G324" i="2"/>
  <c r="H324" i="2"/>
  <c r="E325" i="2"/>
  <c r="F325" i="2"/>
  <c r="G325" i="2"/>
  <c r="H325" i="2"/>
  <c r="E326" i="2"/>
  <c r="F326" i="2"/>
  <c r="G326" i="2"/>
  <c r="H326" i="2"/>
  <c r="E327" i="2"/>
  <c r="F327" i="2"/>
  <c r="G327" i="2"/>
  <c r="H327" i="2"/>
  <c r="E328" i="2"/>
  <c r="F328" i="2"/>
  <c r="G328" i="2"/>
  <c r="H328" i="2"/>
  <c r="E329" i="2"/>
  <c r="F329" i="2"/>
  <c r="G329" i="2"/>
  <c r="H329" i="2"/>
  <c r="E330" i="2"/>
  <c r="F330" i="2"/>
  <c r="G330" i="2"/>
  <c r="H330" i="2"/>
  <c r="E331" i="2"/>
  <c r="F331" i="2"/>
  <c r="G331" i="2"/>
  <c r="H331" i="2"/>
  <c r="E332" i="2"/>
  <c r="F332" i="2"/>
  <c r="G332" i="2"/>
  <c r="H332" i="2"/>
  <c r="E333" i="2"/>
  <c r="F333" i="2"/>
  <c r="G333" i="2"/>
  <c r="H333" i="2"/>
  <c r="E334" i="2"/>
  <c r="F334" i="2"/>
  <c r="G334" i="2"/>
  <c r="H334" i="2"/>
  <c r="E335" i="2"/>
  <c r="F335" i="2"/>
  <c r="G335" i="2"/>
  <c r="H335" i="2"/>
  <c r="E336" i="2"/>
  <c r="F336" i="2"/>
  <c r="G336" i="2"/>
  <c r="H336" i="2"/>
  <c r="E337" i="2"/>
  <c r="F337" i="2"/>
  <c r="G337" i="2"/>
  <c r="H337" i="2"/>
  <c r="E338" i="2"/>
  <c r="F338" i="2"/>
  <c r="G338" i="2"/>
  <c r="H338" i="2"/>
  <c r="E339" i="2"/>
  <c r="F339" i="2"/>
  <c r="G339" i="2"/>
  <c r="H339" i="2"/>
  <c r="E340" i="2"/>
  <c r="F340" i="2"/>
  <c r="G340" i="2"/>
  <c r="H340" i="2"/>
  <c r="E341" i="2"/>
  <c r="F341" i="2"/>
  <c r="G341" i="2"/>
  <c r="H341" i="2"/>
  <c r="E342" i="2"/>
  <c r="F342" i="2"/>
  <c r="G342" i="2"/>
  <c r="H342" i="2"/>
  <c r="E343" i="2"/>
  <c r="F343" i="2"/>
  <c r="G343" i="2"/>
  <c r="H343" i="2"/>
  <c r="E344" i="2"/>
  <c r="F344" i="2"/>
  <c r="G344" i="2"/>
  <c r="H344" i="2"/>
  <c r="E345" i="2"/>
  <c r="F345" i="2"/>
  <c r="G345" i="2"/>
  <c r="H345" i="2"/>
  <c r="E346" i="2"/>
  <c r="F346" i="2"/>
  <c r="G346" i="2"/>
  <c r="H346" i="2"/>
  <c r="E347" i="2"/>
  <c r="F347" i="2"/>
  <c r="G347" i="2"/>
  <c r="H347" i="2"/>
  <c r="E348" i="2"/>
  <c r="F348" i="2"/>
  <c r="G348" i="2"/>
  <c r="H348" i="2"/>
  <c r="E349" i="2"/>
  <c r="F349" i="2"/>
  <c r="G349" i="2"/>
  <c r="H349" i="2"/>
  <c r="E350" i="2"/>
  <c r="F350" i="2"/>
  <c r="G350" i="2"/>
  <c r="H350" i="2"/>
  <c r="E351" i="2"/>
  <c r="F351" i="2"/>
  <c r="G351" i="2"/>
  <c r="H351" i="2"/>
  <c r="E352" i="2"/>
  <c r="F352" i="2"/>
  <c r="G352" i="2"/>
  <c r="H352" i="2"/>
  <c r="E353" i="2"/>
  <c r="F353" i="2"/>
  <c r="G353" i="2"/>
  <c r="H353" i="2"/>
  <c r="E354" i="2"/>
  <c r="F354" i="2"/>
  <c r="G354" i="2"/>
  <c r="H354" i="2"/>
  <c r="E355" i="2"/>
  <c r="F355" i="2"/>
  <c r="G355" i="2"/>
  <c r="H355" i="2"/>
  <c r="E356" i="2"/>
  <c r="F356" i="2"/>
  <c r="G356" i="2"/>
  <c r="H356" i="2"/>
  <c r="E357" i="2"/>
  <c r="F357" i="2"/>
  <c r="G357" i="2"/>
  <c r="H357" i="2"/>
  <c r="E358" i="2"/>
  <c r="F358" i="2"/>
  <c r="G358" i="2"/>
  <c r="H358" i="2"/>
  <c r="E359" i="2"/>
  <c r="F359" i="2"/>
  <c r="G359" i="2"/>
  <c r="H359" i="2"/>
  <c r="E360" i="2"/>
  <c r="F360" i="2"/>
  <c r="G360" i="2"/>
  <c r="H360" i="2"/>
  <c r="E361" i="2"/>
  <c r="F361" i="2"/>
  <c r="G361" i="2"/>
  <c r="H361" i="2"/>
  <c r="E362" i="2"/>
  <c r="F362" i="2"/>
  <c r="G362" i="2"/>
  <c r="H362" i="2"/>
  <c r="E363" i="2"/>
  <c r="F363" i="2"/>
  <c r="G363" i="2"/>
  <c r="H363" i="2"/>
  <c r="E364" i="2"/>
  <c r="F364" i="2"/>
  <c r="G364" i="2"/>
  <c r="H364" i="2"/>
  <c r="E365" i="2"/>
  <c r="F365" i="2"/>
  <c r="G365" i="2"/>
  <c r="H365" i="2"/>
  <c r="E366" i="2"/>
  <c r="F366" i="2"/>
  <c r="G366" i="2"/>
  <c r="H366" i="2"/>
  <c r="E367" i="2"/>
  <c r="F367" i="2"/>
  <c r="G367" i="2"/>
  <c r="H367" i="2"/>
  <c r="E368" i="2"/>
  <c r="F368" i="2"/>
  <c r="G368" i="2"/>
  <c r="H368" i="2"/>
  <c r="E369" i="2"/>
  <c r="F369" i="2"/>
  <c r="G369" i="2"/>
  <c r="H369" i="2"/>
  <c r="E370" i="2"/>
  <c r="F370" i="2"/>
  <c r="G370" i="2"/>
  <c r="H370" i="2"/>
  <c r="E371" i="2"/>
  <c r="F371" i="2"/>
  <c r="G371" i="2"/>
  <c r="H371" i="2"/>
  <c r="E372" i="2"/>
  <c r="F372" i="2"/>
  <c r="G372" i="2"/>
  <c r="H372" i="2"/>
  <c r="E373" i="2"/>
  <c r="F373" i="2"/>
  <c r="G373" i="2"/>
  <c r="H373" i="2"/>
  <c r="E374" i="2"/>
  <c r="F374" i="2"/>
  <c r="G374" i="2"/>
  <c r="H374" i="2"/>
  <c r="E375" i="2"/>
  <c r="F375" i="2"/>
  <c r="G375" i="2"/>
  <c r="H375" i="2"/>
  <c r="E376" i="2"/>
  <c r="F376" i="2"/>
  <c r="G376" i="2"/>
  <c r="H376" i="2"/>
  <c r="E377" i="2"/>
  <c r="F377" i="2"/>
  <c r="G377" i="2"/>
  <c r="H377" i="2"/>
  <c r="E378" i="2"/>
  <c r="F378" i="2"/>
  <c r="G378" i="2"/>
  <c r="H378" i="2"/>
  <c r="E379" i="2"/>
  <c r="F379" i="2"/>
  <c r="G379" i="2"/>
  <c r="H379" i="2"/>
  <c r="E380" i="2"/>
  <c r="F380" i="2"/>
  <c r="G380" i="2"/>
  <c r="H380" i="2"/>
  <c r="E381" i="2"/>
  <c r="F381" i="2"/>
  <c r="G381" i="2"/>
  <c r="H381" i="2"/>
  <c r="E382" i="2"/>
  <c r="F382" i="2"/>
  <c r="G382" i="2"/>
  <c r="H382" i="2"/>
  <c r="E383" i="2"/>
  <c r="F383" i="2"/>
  <c r="G383" i="2"/>
  <c r="H383" i="2"/>
  <c r="E384" i="2"/>
  <c r="F384" i="2"/>
  <c r="G384" i="2"/>
  <c r="H384" i="2"/>
  <c r="E385" i="2"/>
  <c r="F385" i="2"/>
  <c r="G385" i="2"/>
  <c r="H385" i="2"/>
  <c r="E386" i="2"/>
  <c r="F386" i="2"/>
  <c r="G386" i="2"/>
  <c r="H386" i="2"/>
  <c r="E387" i="2"/>
  <c r="F387" i="2"/>
  <c r="G387" i="2"/>
  <c r="H387" i="2"/>
  <c r="E388" i="2"/>
  <c r="F388" i="2"/>
  <c r="G388" i="2"/>
  <c r="H388" i="2"/>
  <c r="E389" i="2"/>
  <c r="F389" i="2"/>
  <c r="G389" i="2"/>
  <c r="H389" i="2"/>
  <c r="E390" i="2"/>
  <c r="F390" i="2"/>
  <c r="G390" i="2"/>
  <c r="H390" i="2"/>
  <c r="E391" i="2"/>
  <c r="F391" i="2"/>
  <c r="G391" i="2"/>
  <c r="H391" i="2"/>
  <c r="E392" i="2"/>
  <c r="F392" i="2"/>
  <c r="G392" i="2"/>
  <c r="H392" i="2"/>
  <c r="E393" i="2"/>
  <c r="F393" i="2"/>
  <c r="G393" i="2"/>
  <c r="H393" i="2"/>
  <c r="E394" i="2"/>
  <c r="F394" i="2"/>
  <c r="G394" i="2"/>
  <c r="H394" i="2"/>
  <c r="E395" i="2"/>
  <c r="F395" i="2"/>
  <c r="G395" i="2"/>
  <c r="H395" i="2"/>
  <c r="E396" i="2"/>
  <c r="F396" i="2"/>
  <c r="G396" i="2"/>
  <c r="H396" i="2"/>
  <c r="E397" i="2"/>
  <c r="F397" i="2"/>
  <c r="G397" i="2"/>
  <c r="H397" i="2"/>
  <c r="E398" i="2"/>
  <c r="F398" i="2"/>
  <c r="G398" i="2"/>
  <c r="H398" i="2"/>
  <c r="E399" i="2"/>
  <c r="F399" i="2"/>
  <c r="G399" i="2"/>
  <c r="H399" i="2"/>
  <c r="E400" i="2"/>
  <c r="F400" i="2"/>
  <c r="G400" i="2"/>
  <c r="H400" i="2"/>
  <c r="E401" i="2"/>
  <c r="F401" i="2"/>
  <c r="G401" i="2"/>
  <c r="H401" i="2"/>
  <c r="E402" i="2"/>
  <c r="F402" i="2"/>
  <c r="G402" i="2"/>
  <c r="H402" i="2"/>
  <c r="E403" i="2"/>
  <c r="F403" i="2"/>
  <c r="G403" i="2"/>
  <c r="H403" i="2"/>
  <c r="E404" i="2"/>
  <c r="F404" i="2"/>
  <c r="G404" i="2"/>
  <c r="H404" i="2"/>
  <c r="E405" i="2"/>
  <c r="F405" i="2"/>
  <c r="G405" i="2"/>
  <c r="H405" i="2"/>
  <c r="E406" i="2"/>
  <c r="F406" i="2"/>
  <c r="G406" i="2"/>
  <c r="H406" i="2"/>
  <c r="E407" i="2"/>
  <c r="F407" i="2"/>
  <c r="G407" i="2"/>
  <c r="H407" i="2"/>
  <c r="E408" i="2"/>
  <c r="F408" i="2"/>
  <c r="G408" i="2"/>
  <c r="H408" i="2"/>
  <c r="E409" i="2"/>
  <c r="F409" i="2"/>
  <c r="G409" i="2"/>
  <c r="H409" i="2"/>
  <c r="E410" i="2"/>
  <c r="F410" i="2"/>
  <c r="G410" i="2"/>
  <c r="H410" i="2"/>
  <c r="E411" i="2"/>
  <c r="F411" i="2"/>
  <c r="G411" i="2"/>
  <c r="H411" i="2"/>
  <c r="E412" i="2"/>
  <c r="F412" i="2"/>
  <c r="G412" i="2"/>
  <c r="H412" i="2"/>
  <c r="E413" i="2"/>
  <c r="F413" i="2"/>
  <c r="G413" i="2"/>
  <c r="H413" i="2"/>
  <c r="E414" i="2"/>
  <c r="F414" i="2"/>
  <c r="G414" i="2"/>
  <c r="H414" i="2"/>
  <c r="E415" i="2"/>
  <c r="F415" i="2"/>
  <c r="G415" i="2"/>
  <c r="H415" i="2"/>
  <c r="E416" i="2"/>
  <c r="F416" i="2"/>
  <c r="G416" i="2"/>
  <c r="H416" i="2"/>
  <c r="E417" i="2"/>
  <c r="F417" i="2"/>
  <c r="G417" i="2"/>
  <c r="H417" i="2"/>
  <c r="E418" i="2"/>
  <c r="F418" i="2"/>
  <c r="G418" i="2"/>
  <c r="H418" i="2"/>
  <c r="E419" i="2"/>
  <c r="F419" i="2"/>
  <c r="G419" i="2"/>
  <c r="H419" i="2"/>
  <c r="E420" i="2"/>
  <c r="F420" i="2"/>
  <c r="G420" i="2"/>
  <c r="H420" i="2"/>
  <c r="E421" i="2"/>
  <c r="F421" i="2"/>
  <c r="G421" i="2"/>
  <c r="H421" i="2"/>
  <c r="E422" i="2"/>
  <c r="F422" i="2"/>
  <c r="G422" i="2"/>
  <c r="H422" i="2"/>
  <c r="E423" i="2"/>
  <c r="F423" i="2"/>
  <c r="G423" i="2"/>
  <c r="H423" i="2"/>
  <c r="E424" i="2"/>
  <c r="F424" i="2"/>
  <c r="G424" i="2"/>
  <c r="H424" i="2"/>
  <c r="E425" i="2"/>
  <c r="F425" i="2"/>
  <c r="G425" i="2"/>
  <c r="H425" i="2"/>
  <c r="E426" i="2"/>
  <c r="F426" i="2"/>
  <c r="G426" i="2"/>
  <c r="H426" i="2"/>
  <c r="E427" i="2"/>
  <c r="F427" i="2"/>
  <c r="G427" i="2"/>
  <c r="H427" i="2"/>
  <c r="E428" i="2"/>
  <c r="F428" i="2"/>
  <c r="G428" i="2"/>
  <c r="H428" i="2"/>
  <c r="E429" i="2"/>
  <c r="F429" i="2"/>
  <c r="G429" i="2"/>
  <c r="H429" i="2"/>
  <c r="E430" i="2"/>
  <c r="F430" i="2"/>
  <c r="G430" i="2"/>
  <c r="H430" i="2"/>
  <c r="E431" i="2"/>
  <c r="F431" i="2"/>
  <c r="G431" i="2"/>
  <c r="H431" i="2"/>
  <c r="E432" i="2"/>
  <c r="F432" i="2"/>
  <c r="G432" i="2"/>
  <c r="H432" i="2"/>
  <c r="E433" i="2"/>
  <c r="F433" i="2"/>
  <c r="G433" i="2"/>
  <c r="H433" i="2"/>
  <c r="E434" i="2"/>
  <c r="F434" i="2"/>
  <c r="G434" i="2"/>
  <c r="H434" i="2"/>
  <c r="E435" i="2"/>
  <c r="F435" i="2"/>
  <c r="G435" i="2"/>
  <c r="H435" i="2"/>
  <c r="E436" i="2"/>
  <c r="F436" i="2"/>
  <c r="G436" i="2"/>
  <c r="H436" i="2"/>
  <c r="E437" i="2"/>
  <c r="F437" i="2"/>
  <c r="G437" i="2"/>
  <c r="H437" i="2"/>
  <c r="E438" i="2"/>
  <c r="F438" i="2"/>
  <c r="G438" i="2"/>
  <c r="H438" i="2"/>
  <c r="E439" i="2"/>
  <c r="F439" i="2"/>
  <c r="G439" i="2"/>
  <c r="H439" i="2"/>
  <c r="E440" i="2"/>
  <c r="F440" i="2"/>
  <c r="G440" i="2"/>
  <c r="H440" i="2"/>
  <c r="E441" i="2"/>
  <c r="F441" i="2"/>
  <c r="G441" i="2"/>
  <c r="H441" i="2"/>
  <c r="E442" i="2"/>
  <c r="F442" i="2"/>
  <c r="G442" i="2"/>
  <c r="H442" i="2"/>
  <c r="E443" i="2"/>
  <c r="F443" i="2"/>
  <c r="G443" i="2"/>
  <c r="H443" i="2"/>
  <c r="E444" i="2"/>
  <c r="F444" i="2"/>
  <c r="G444" i="2"/>
  <c r="H444" i="2"/>
  <c r="E445" i="2"/>
  <c r="F445" i="2"/>
  <c r="G445" i="2"/>
  <c r="H445" i="2"/>
  <c r="E446" i="2"/>
  <c r="F446" i="2"/>
  <c r="G446" i="2"/>
  <c r="H446" i="2"/>
  <c r="E447" i="2"/>
  <c r="F447" i="2"/>
  <c r="G447" i="2"/>
  <c r="H447" i="2"/>
  <c r="E448" i="2"/>
  <c r="F448" i="2"/>
  <c r="G448" i="2"/>
  <c r="H448" i="2"/>
  <c r="E449" i="2"/>
  <c r="F449" i="2"/>
  <c r="G449" i="2"/>
  <c r="H449" i="2"/>
  <c r="E450" i="2"/>
  <c r="F450" i="2"/>
  <c r="G450" i="2"/>
  <c r="H450" i="2"/>
  <c r="E451" i="2"/>
  <c r="F451" i="2"/>
  <c r="G451" i="2"/>
  <c r="H451" i="2"/>
  <c r="E452" i="2"/>
  <c r="F452" i="2"/>
  <c r="G452" i="2"/>
  <c r="H452" i="2"/>
  <c r="E453" i="2"/>
  <c r="F453" i="2"/>
  <c r="G453" i="2"/>
  <c r="H453" i="2"/>
  <c r="E454" i="2"/>
  <c r="F454" i="2"/>
  <c r="G454" i="2"/>
  <c r="H454" i="2"/>
  <c r="E455" i="2"/>
  <c r="F455" i="2"/>
  <c r="G455" i="2"/>
  <c r="H455" i="2"/>
  <c r="E456" i="2"/>
  <c r="F456" i="2"/>
  <c r="G456" i="2"/>
  <c r="H456" i="2"/>
  <c r="E457" i="2"/>
  <c r="F457" i="2"/>
  <c r="G457" i="2"/>
  <c r="H457" i="2"/>
  <c r="E458" i="2"/>
  <c r="F458" i="2"/>
  <c r="G458" i="2"/>
  <c r="H458" i="2"/>
  <c r="E459" i="2"/>
  <c r="F459" i="2"/>
  <c r="G459" i="2"/>
  <c r="H459" i="2"/>
  <c r="E460" i="2"/>
  <c r="F460" i="2"/>
  <c r="G460" i="2"/>
  <c r="H460" i="2"/>
  <c r="E461" i="2"/>
  <c r="F461" i="2"/>
  <c r="G461" i="2"/>
  <c r="H461" i="2"/>
  <c r="E462" i="2"/>
  <c r="F462" i="2"/>
  <c r="G462" i="2"/>
  <c r="H462" i="2"/>
  <c r="E463" i="2"/>
  <c r="F463" i="2"/>
  <c r="G463" i="2"/>
  <c r="H463" i="2"/>
  <c r="E464" i="2"/>
  <c r="F464" i="2"/>
  <c r="G464" i="2"/>
  <c r="H464" i="2"/>
  <c r="E465" i="2"/>
  <c r="F465" i="2"/>
  <c r="G465" i="2"/>
  <c r="H465" i="2"/>
  <c r="E466" i="2"/>
  <c r="F466" i="2"/>
  <c r="G466" i="2"/>
  <c r="H466" i="2"/>
  <c r="E467" i="2"/>
  <c r="F467" i="2"/>
  <c r="G467" i="2"/>
  <c r="H467" i="2"/>
  <c r="E468" i="2"/>
  <c r="F468" i="2"/>
  <c r="G468" i="2"/>
  <c r="H468" i="2"/>
  <c r="E469" i="2"/>
  <c r="F469" i="2"/>
  <c r="G469" i="2"/>
  <c r="H469" i="2"/>
  <c r="E470" i="2"/>
  <c r="F470" i="2"/>
  <c r="G470" i="2"/>
  <c r="H470" i="2"/>
  <c r="E471" i="2"/>
  <c r="F471" i="2"/>
  <c r="G471" i="2"/>
  <c r="H471" i="2"/>
  <c r="E472" i="2"/>
  <c r="F472" i="2"/>
  <c r="G472" i="2"/>
  <c r="H472" i="2"/>
  <c r="E473" i="2"/>
  <c r="F473" i="2"/>
  <c r="G473" i="2"/>
  <c r="H473" i="2"/>
  <c r="E474" i="2"/>
  <c r="F474" i="2"/>
  <c r="G474" i="2"/>
  <c r="H474" i="2"/>
  <c r="E475" i="2"/>
  <c r="F475" i="2"/>
  <c r="G475" i="2"/>
  <c r="H475" i="2"/>
  <c r="E476" i="2"/>
  <c r="F476" i="2"/>
  <c r="G476" i="2"/>
  <c r="H476" i="2"/>
  <c r="E477" i="2"/>
  <c r="F477" i="2"/>
  <c r="G477" i="2"/>
  <c r="H477" i="2"/>
  <c r="E478" i="2"/>
  <c r="F478" i="2"/>
  <c r="G478" i="2"/>
  <c r="H478" i="2"/>
  <c r="E479" i="2"/>
  <c r="F479" i="2"/>
  <c r="G479" i="2"/>
  <c r="H479" i="2"/>
  <c r="E480" i="2"/>
  <c r="F480" i="2"/>
  <c r="G480" i="2"/>
  <c r="H480" i="2"/>
  <c r="E481" i="2"/>
  <c r="F481" i="2"/>
  <c r="G481" i="2"/>
  <c r="H481" i="2"/>
  <c r="E482" i="2"/>
  <c r="F482" i="2"/>
  <c r="G482" i="2"/>
  <c r="H482" i="2"/>
  <c r="E483" i="2"/>
  <c r="F483" i="2"/>
  <c r="G483" i="2"/>
  <c r="H483" i="2"/>
  <c r="E484" i="2"/>
  <c r="F484" i="2"/>
  <c r="G484" i="2"/>
  <c r="H484" i="2"/>
  <c r="E485" i="2"/>
  <c r="F485" i="2"/>
  <c r="G485" i="2"/>
  <c r="H485" i="2"/>
  <c r="E486" i="2"/>
  <c r="F486" i="2"/>
  <c r="G486" i="2"/>
  <c r="H486" i="2"/>
  <c r="E487" i="2"/>
  <c r="F487" i="2"/>
  <c r="G487" i="2"/>
  <c r="H487" i="2"/>
  <c r="E488" i="2"/>
  <c r="F488" i="2"/>
  <c r="G488" i="2"/>
  <c r="H488" i="2"/>
  <c r="E489" i="2"/>
  <c r="F489" i="2"/>
  <c r="G489" i="2"/>
  <c r="H489" i="2"/>
  <c r="E490" i="2"/>
  <c r="F490" i="2"/>
  <c r="G490" i="2"/>
  <c r="H490" i="2"/>
  <c r="E491" i="2"/>
  <c r="F491" i="2"/>
  <c r="G491" i="2"/>
  <c r="H491" i="2"/>
  <c r="E492" i="2"/>
  <c r="F492" i="2"/>
  <c r="G492" i="2"/>
  <c r="H492" i="2"/>
  <c r="E493" i="2"/>
  <c r="F493" i="2"/>
  <c r="G493" i="2"/>
  <c r="H493" i="2"/>
  <c r="E494" i="2"/>
  <c r="F494" i="2"/>
  <c r="G494" i="2"/>
  <c r="H494" i="2"/>
  <c r="E495" i="2"/>
  <c r="F495" i="2"/>
  <c r="G495" i="2"/>
  <c r="H495" i="2"/>
  <c r="E496" i="2"/>
  <c r="F496" i="2"/>
  <c r="G496" i="2"/>
  <c r="H496" i="2"/>
  <c r="E497" i="2"/>
  <c r="F497" i="2"/>
  <c r="G497" i="2"/>
  <c r="H497" i="2"/>
  <c r="E498" i="2"/>
  <c r="F498" i="2"/>
  <c r="G498" i="2"/>
  <c r="H498" i="2"/>
  <c r="E499" i="2"/>
  <c r="F499" i="2"/>
  <c r="G499" i="2"/>
  <c r="H499" i="2"/>
  <c r="E500" i="2"/>
  <c r="F500" i="2"/>
  <c r="G500" i="2"/>
  <c r="H500" i="2"/>
  <c r="E501" i="2"/>
  <c r="F501" i="2"/>
  <c r="G501" i="2"/>
  <c r="H501" i="2"/>
  <c r="E502" i="2"/>
  <c r="F502" i="2"/>
  <c r="G502" i="2"/>
  <c r="H502" i="2"/>
  <c r="E503" i="2"/>
  <c r="F503" i="2"/>
  <c r="G503" i="2"/>
  <c r="H503" i="2"/>
  <c r="E504" i="2"/>
  <c r="F504" i="2"/>
  <c r="G504" i="2"/>
  <c r="H504" i="2"/>
  <c r="E505" i="2"/>
  <c r="F505" i="2"/>
  <c r="G505" i="2"/>
  <c r="H505" i="2"/>
  <c r="E506" i="2"/>
  <c r="F506" i="2"/>
  <c r="G506" i="2"/>
  <c r="H506" i="2"/>
  <c r="E507" i="2"/>
  <c r="F507" i="2"/>
  <c r="G507" i="2"/>
  <c r="H507" i="2"/>
  <c r="E508" i="2"/>
  <c r="F508" i="2"/>
  <c r="G508" i="2"/>
  <c r="H508" i="2"/>
  <c r="E509" i="2"/>
  <c r="F509" i="2"/>
  <c r="G509" i="2"/>
  <c r="H509" i="2"/>
  <c r="E510" i="2"/>
  <c r="F510" i="2"/>
  <c r="G510" i="2"/>
  <c r="H510" i="2"/>
  <c r="E511" i="2"/>
  <c r="F511" i="2"/>
  <c r="G511" i="2"/>
  <c r="H511" i="2"/>
  <c r="E512" i="2"/>
  <c r="F512" i="2"/>
  <c r="G512" i="2"/>
  <c r="H512" i="2"/>
  <c r="E513" i="2"/>
  <c r="F513" i="2"/>
  <c r="G513" i="2"/>
  <c r="H513" i="2"/>
  <c r="E514" i="2"/>
  <c r="F514" i="2"/>
  <c r="G514" i="2"/>
  <c r="H514" i="2"/>
  <c r="E515" i="2"/>
  <c r="F515" i="2"/>
  <c r="G515" i="2"/>
  <c r="H515" i="2"/>
  <c r="E516" i="2"/>
  <c r="F516" i="2"/>
  <c r="G516" i="2"/>
  <c r="H516" i="2"/>
  <c r="E517" i="2"/>
  <c r="F517" i="2"/>
  <c r="G517" i="2"/>
  <c r="H517" i="2"/>
  <c r="E518" i="2"/>
  <c r="F518" i="2"/>
  <c r="G518" i="2"/>
  <c r="H518" i="2"/>
  <c r="E519" i="2"/>
  <c r="F519" i="2"/>
  <c r="G519" i="2"/>
  <c r="H519" i="2"/>
  <c r="E520" i="2"/>
  <c r="F520" i="2"/>
  <c r="G520" i="2"/>
  <c r="H520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39" i="2"/>
  <c r="M536" i="2"/>
  <c r="N536" i="2"/>
  <c r="J535" i="2"/>
  <c r="J532" i="2"/>
  <c r="L534" i="2"/>
  <c r="K532" i="2"/>
  <c r="N533" i="2"/>
  <c r="L532" i="2"/>
  <c r="J533" i="2"/>
  <c r="K534" i="2"/>
  <c r="M532" i="2"/>
  <c r="K533" i="2"/>
  <c r="M533" i="2"/>
  <c r="N532" i="2"/>
  <c r="L533" i="2"/>
  <c r="J534" i="2"/>
  <c r="M534" i="2"/>
  <c r="K535" i="2"/>
  <c r="M535" i="2"/>
  <c r="N534" i="2"/>
  <c r="L535" i="2"/>
  <c r="J536" i="2"/>
  <c r="K536" i="2"/>
  <c r="N535" i="2"/>
  <c r="L536" i="2"/>
  <c r="M525" i="2"/>
  <c r="K526" i="2"/>
  <c r="N525" i="2"/>
  <c r="L526" i="2"/>
  <c r="J527" i="2"/>
  <c r="M526" i="2"/>
  <c r="K527" i="2"/>
  <c r="N526" i="2"/>
  <c r="L527" i="2"/>
  <c r="J528" i="2"/>
  <c r="M527" i="2"/>
  <c r="K528" i="2"/>
  <c r="J521" i="2"/>
  <c r="N527" i="2"/>
  <c r="L528" i="2"/>
  <c r="J529" i="2"/>
  <c r="K521" i="2"/>
  <c r="M528" i="2"/>
  <c r="K529" i="2"/>
  <c r="J526" i="2"/>
  <c r="L521" i="2"/>
  <c r="J522" i="2"/>
  <c r="N528" i="2"/>
  <c r="L529" i="2"/>
  <c r="J530" i="2"/>
  <c r="M521" i="2"/>
  <c r="K522" i="2"/>
  <c r="M529" i="2"/>
  <c r="K530" i="2"/>
  <c r="N521" i="2"/>
  <c r="L522" i="2"/>
  <c r="J523" i="2"/>
  <c r="N529" i="2"/>
  <c r="L530" i="2"/>
  <c r="J531" i="2"/>
  <c r="M522" i="2"/>
  <c r="K523" i="2"/>
  <c r="M530" i="2"/>
  <c r="K531" i="2"/>
  <c r="L525" i="2"/>
  <c r="N522" i="2"/>
  <c r="L523" i="2"/>
  <c r="J524" i="2"/>
  <c r="N530" i="2"/>
  <c r="L531" i="2"/>
  <c r="N524" i="2"/>
  <c r="M523" i="2"/>
  <c r="K524" i="2"/>
  <c r="M531" i="2"/>
  <c r="N523" i="2"/>
  <c r="L524" i="2"/>
  <c r="J525" i="2"/>
  <c r="N531" i="2"/>
  <c r="M524" i="2"/>
  <c r="K525" i="2"/>
  <c r="R536" i="2" l="1"/>
  <c r="Q536" i="2"/>
  <c r="P536" i="2"/>
  <c r="R535" i="2"/>
  <c r="S535" i="2"/>
  <c r="Q535" i="2"/>
  <c r="S534" i="2"/>
  <c r="P534" i="2"/>
  <c r="R533" i="2"/>
  <c r="S533" i="2"/>
  <c r="Q533" i="2"/>
  <c r="S532" i="2"/>
  <c r="Q534" i="2"/>
  <c r="P533" i="2"/>
  <c r="V533" i="2" s="1"/>
  <c r="R532" i="2"/>
  <c r="Q532" i="2"/>
  <c r="R534" i="2"/>
  <c r="P532" i="2"/>
  <c r="V532" i="2" s="1"/>
  <c r="P535" i="2"/>
  <c r="S536" i="2"/>
  <c r="Q525" i="2"/>
  <c r="S524" i="2"/>
  <c r="P525" i="2"/>
  <c r="R524" i="2"/>
  <c r="S531" i="2"/>
  <c r="Q524" i="2"/>
  <c r="S523" i="2"/>
  <c r="R531" i="2"/>
  <c r="P524" i="2"/>
  <c r="R523" i="2"/>
  <c r="R525" i="2"/>
  <c r="Q531" i="2"/>
  <c r="S530" i="2"/>
  <c r="Q523" i="2"/>
  <c r="S522" i="2"/>
  <c r="P531" i="2"/>
  <c r="R530" i="2"/>
  <c r="P523" i="2"/>
  <c r="R522" i="2"/>
  <c r="Q530" i="2"/>
  <c r="S529" i="2"/>
  <c r="Q522" i="2"/>
  <c r="S521" i="2"/>
  <c r="P530" i="2"/>
  <c r="R529" i="2"/>
  <c r="P522" i="2"/>
  <c r="R521" i="2"/>
  <c r="P526" i="2"/>
  <c r="Q529" i="2"/>
  <c r="S528" i="2"/>
  <c r="Q521" i="2"/>
  <c r="P529" i="2"/>
  <c r="R528" i="2"/>
  <c r="P521" i="2"/>
  <c r="Q528" i="2"/>
  <c r="S527" i="2"/>
  <c r="P528" i="2"/>
  <c r="R527" i="2"/>
  <c r="Q527" i="2"/>
  <c r="S526" i="2"/>
  <c r="P527" i="2"/>
  <c r="R526" i="2"/>
  <c r="Q526" i="2"/>
  <c r="S525" i="2"/>
  <c r="Y532" i="2" l="1"/>
  <c r="X532" i="2"/>
  <c r="X533" i="2"/>
  <c r="Y533" i="2"/>
  <c r="V535" i="2"/>
  <c r="V534" i="2"/>
  <c r="V536" i="2"/>
  <c r="V523" i="2"/>
  <c r="X523" i="2" s="1"/>
  <c r="V529" i="2"/>
  <c r="Y529" i="2" s="1"/>
  <c r="V531" i="2"/>
  <c r="X531" i="2" s="1"/>
  <c r="V530" i="2"/>
  <c r="X530" i="2" s="1"/>
  <c r="V522" i="2"/>
  <c r="X522" i="2" s="1"/>
  <c r="V521" i="2"/>
  <c r="V524" i="2"/>
  <c r="V527" i="2"/>
  <c r="V525" i="2"/>
  <c r="V528" i="2"/>
  <c r="V526" i="2"/>
  <c r="X534" i="2" l="1"/>
  <c r="Y534" i="2"/>
  <c r="X536" i="2"/>
  <c r="Y536" i="2"/>
  <c r="X535" i="2"/>
  <c r="Y535" i="2"/>
  <c r="X529" i="2"/>
  <c r="Y523" i="2"/>
  <c r="Y531" i="2"/>
  <c r="Y530" i="2"/>
  <c r="Y522" i="2"/>
  <c r="Y521" i="2"/>
  <c r="X521" i="2"/>
  <c r="X525" i="2"/>
  <c r="Y525" i="2"/>
  <c r="X524" i="2"/>
  <c r="Y524" i="2"/>
  <c r="X526" i="2"/>
  <c r="Y526" i="2"/>
  <c r="X527" i="2"/>
  <c r="Y527" i="2"/>
  <c r="X528" i="2"/>
  <c r="Y528" i="2"/>
  <c r="M114" i="2" l="1"/>
  <c r="K114" i="2"/>
  <c r="L114" i="2"/>
  <c r="J114" i="2"/>
  <c r="N114" i="2"/>
  <c r="R114" i="2" l="1"/>
  <c r="S114" i="2"/>
  <c r="Q114" i="2"/>
  <c r="P114" i="2"/>
  <c r="D26" i="2"/>
  <c r="E26" i="2"/>
  <c r="F26" i="2"/>
  <c r="G26" i="2"/>
  <c r="C26" i="2"/>
  <c r="N115" i="2"/>
  <c r="M115" i="2"/>
  <c r="K115" i="2"/>
  <c r="L115" i="2"/>
  <c r="J115" i="2"/>
  <c r="R115" i="2" l="1"/>
  <c r="S115" i="2"/>
  <c r="Q115" i="2"/>
  <c r="P115" i="2"/>
  <c r="V114" i="2"/>
  <c r="D25" i="2"/>
  <c r="E25" i="2"/>
  <c r="F25" i="2"/>
  <c r="G25" i="2"/>
  <c r="C25" i="2"/>
  <c r="K80" i="2"/>
  <c r="M81" i="2"/>
  <c r="K42" i="2"/>
  <c r="N112" i="2"/>
  <c r="L112" i="2"/>
  <c r="L65" i="2"/>
  <c r="L106" i="2"/>
  <c r="M107" i="2"/>
  <c r="N70" i="2"/>
  <c r="N46" i="2"/>
  <c r="N55" i="2"/>
  <c r="K62" i="2"/>
  <c r="N74" i="2"/>
  <c r="K116" i="2"/>
  <c r="M99" i="2"/>
  <c r="N82" i="2"/>
  <c r="N62" i="2"/>
  <c r="K88" i="2"/>
  <c r="L74" i="2"/>
  <c r="J78" i="2"/>
  <c r="J59" i="2"/>
  <c r="J80" i="2"/>
  <c r="J85" i="2"/>
  <c r="J51" i="2"/>
  <c r="L54" i="2"/>
  <c r="N98" i="2"/>
  <c r="K48" i="2"/>
  <c r="M84" i="2"/>
  <c r="M97" i="2"/>
  <c r="M96" i="2"/>
  <c r="M51" i="2"/>
  <c r="L91" i="2"/>
  <c r="L55" i="2"/>
  <c r="K72" i="2"/>
  <c r="M68" i="2"/>
  <c r="K55" i="2"/>
  <c r="K95" i="2"/>
  <c r="L59" i="2"/>
  <c r="K51" i="2"/>
  <c r="M87" i="2"/>
  <c r="L95" i="2"/>
  <c r="L76" i="2"/>
  <c r="L62" i="2"/>
  <c r="J94" i="2"/>
  <c r="J81" i="2"/>
  <c r="J65" i="2"/>
  <c r="J104" i="2"/>
  <c r="J87" i="2"/>
  <c r="M65" i="2"/>
  <c r="N48" i="2"/>
  <c r="N100" i="2"/>
  <c r="K112" i="2"/>
  <c r="N66" i="2"/>
  <c r="M78" i="2"/>
  <c r="L41" i="2"/>
  <c r="L90" i="2"/>
  <c r="L78" i="2"/>
  <c r="N96" i="2"/>
  <c r="L103" i="2"/>
  <c r="N67" i="2"/>
  <c r="L108" i="2"/>
  <c r="N89" i="2"/>
  <c r="K57" i="2"/>
  <c r="M43" i="2"/>
  <c r="K87" i="2"/>
  <c r="N63" i="2"/>
  <c r="L69" i="2"/>
  <c r="J50" i="2"/>
  <c r="J105" i="2"/>
  <c r="J40" i="2"/>
  <c r="J72" i="2"/>
  <c r="N79" i="2"/>
  <c r="M57" i="2"/>
  <c r="N86" i="2"/>
  <c r="L48" i="2"/>
  <c r="L57" i="2"/>
  <c r="M77" i="2"/>
  <c r="K82" i="2"/>
  <c r="L45" i="2"/>
  <c r="K69" i="2"/>
  <c r="L79" i="2"/>
  <c r="J109" i="2"/>
  <c r="J54" i="2"/>
  <c r="K85" i="2"/>
  <c r="N94" i="2"/>
  <c r="J66" i="2"/>
  <c r="L101" i="2"/>
  <c r="K90" i="2"/>
  <c r="M74" i="2"/>
  <c r="K97" i="2"/>
  <c r="N51" i="2"/>
  <c r="K107" i="2"/>
  <c r="M55" i="2"/>
  <c r="K50" i="2"/>
  <c r="M91" i="2"/>
  <c r="M110" i="2"/>
  <c r="N61" i="2"/>
  <c r="M113" i="2"/>
  <c r="K105" i="2"/>
  <c r="N64" i="2"/>
  <c r="K76" i="2"/>
  <c r="L113" i="2"/>
  <c r="K96" i="2"/>
  <c r="M108" i="2"/>
  <c r="K41" i="2"/>
  <c r="N41" i="2"/>
  <c r="J90" i="2"/>
  <c r="J43" i="2"/>
  <c r="J62" i="2"/>
  <c r="J92" i="2"/>
  <c r="N116" i="2"/>
  <c r="N83" i="2"/>
  <c r="M63" i="2"/>
  <c r="L82" i="2"/>
  <c r="N102" i="2"/>
  <c r="N101" i="2"/>
  <c r="K86" i="2"/>
  <c r="M88" i="2"/>
  <c r="K104" i="2"/>
  <c r="J47" i="2"/>
  <c r="J89" i="2"/>
  <c r="J108" i="2"/>
  <c r="N84" i="2"/>
  <c r="J79" i="2"/>
  <c r="K47" i="2"/>
  <c r="J60" i="2"/>
  <c r="M69" i="2"/>
  <c r="K92" i="2"/>
  <c r="L50" i="2"/>
  <c r="M75" i="2"/>
  <c r="L92" i="2"/>
  <c r="K46" i="2"/>
  <c r="N107" i="2"/>
  <c r="M48" i="2"/>
  <c r="K83" i="2"/>
  <c r="L51" i="2"/>
  <c r="L77" i="2"/>
  <c r="L46" i="2"/>
  <c r="K63" i="2"/>
  <c r="N87" i="2"/>
  <c r="M86" i="2"/>
  <c r="N97" i="2"/>
  <c r="L87" i="2"/>
  <c r="L104" i="2"/>
  <c r="L89" i="2"/>
  <c r="J93" i="2"/>
  <c r="J67" i="2"/>
  <c r="J55" i="2"/>
  <c r="J63" i="2"/>
  <c r="N78" i="2"/>
  <c r="J64" i="2"/>
  <c r="K81" i="2"/>
  <c r="M106" i="2"/>
  <c r="N113" i="2"/>
  <c r="L109" i="2"/>
  <c r="K59" i="2"/>
  <c r="J71" i="2"/>
  <c r="J95" i="2"/>
  <c r="N106" i="2"/>
  <c r="K52" i="2"/>
  <c r="K94" i="2"/>
  <c r="K65" i="2"/>
  <c r="L64" i="2"/>
  <c r="M44" i="2"/>
  <c r="L107" i="2"/>
  <c r="L72" i="2"/>
  <c r="N104" i="2"/>
  <c r="N85" i="2"/>
  <c r="N110" i="2"/>
  <c r="M112" i="2"/>
  <c r="K60" i="2"/>
  <c r="K101" i="2"/>
  <c r="N45" i="2"/>
  <c r="L68" i="2"/>
  <c r="L42" i="2"/>
  <c r="M79" i="2"/>
  <c r="K66" i="2"/>
  <c r="K71" i="2"/>
  <c r="J75" i="2"/>
  <c r="J112" i="2"/>
  <c r="J76" i="2"/>
  <c r="J70" i="2"/>
  <c r="K39" i="2"/>
  <c r="J96" i="2"/>
  <c r="M45" i="2"/>
  <c r="K99" i="2"/>
  <c r="N93" i="2"/>
  <c r="L60" i="2"/>
  <c r="M116" i="2"/>
  <c r="J68" i="2"/>
  <c r="J44" i="2"/>
  <c r="M104" i="2"/>
  <c r="K77" i="2"/>
  <c r="L97" i="2"/>
  <c r="M102" i="2"/>
  <c r="N60" i="2"/>
  <c r="L71" i="2"/>
  <c r="L49" i="2"/>
  <c r="L53" i="2"/>
  <c r="M98" i="2"/>
  <c r="L40" i="2"/>
  <c r="K89" i="2"/>
  <c r="K40" i="2"/>
  <c r="N52" i="2"/>
  <c r="K58" i="2"/>
  <c r="L39" i="2"/>
  <c r="K110" i="2"/>
  <c r="L58" i="2"/>
  <c r="M53" i="2"/>
  <c r="J61" i="2"/>
  <c r="J113" i="2"/>
  <c r="M71" i="2"/>
  <c r="N50" i="2"/>
  <c r="M90" i="2"/>
  <c r="L80" i="2"/>
  <c r="M67" i="2"/>
  <c r="N90" i="2"/>
  <c r="M50" i="2"/>
  <c r="M46" i="2"/>
  <c r="K68" i="2"/>
  <c r="N40" i="2"/>
  <c r="M92" i="2"/>
  <c r="M109" i="2"/>
  <c r="L44" i="2"/>
  <c r="K113" i="2"/>
  <c r="M111" i="2"/>
  <c r="M85" i="2"/>
  <c r="N54" i="2"/>
  <c r="M47" i="2"/>
  <c r="K56" i="2"/>
  <c r="K64" i="2"/>
  <c r="N71" i="2"/>
  <c r="M56" i="2"/>
  <c r="J41" i="2"/>
  <c r="J82" i="2"/>
  <c r="J84" i="2"/>
  <c r="J116" i="2"/>
  <c r="N95" i="2"/>
  <c r="K91" i="2"/>
  <c r="K75" i="2"/>
  <c r="N80" i="2"/>
  <c r="M42" i="2"/>
  <c r="K53" i="2"/>
  <c r="J57" i="2"/>
  <c r="N58" i="2"/>
  <c r="K106" i="2"/>
  <c r="K109" i="2"/>
  <c r="M100" i="2"/>
  <c r="L83" i="2"/>
  <c r="L67" i="2"/>
  <c r="N111" i="2"/>
  <c r="N73" i="2"/>
  <c r="K102" i="2"/>
  <c r="N59" i="2"/>
  <c r="L47" i="2"/>
  <c r="N43" i="2"/>
  <c r="L88" i="2"/>
  <c r="M72" i="2"/>
  <c r="M49" i="2"/>
  <c r="L75" i="2"/>
  <c r="N91" i="2"/>
  <c r="M62" i="2"/>
  <c r="K49" i="2"/>
  <c r="M103" i="2"/>
  <c r="J69" i="2"/>
  <c r="J53" i="2"/>
  <c r="J106" i="2"/>
  <c r="J56" i="2"/>
  <c r="J101" i="2"/>
  <c r="J42" i="2"/>
  <c r="L98" i="2"/>
  <c r="M105" i="2"/>
  <c r="L102" i="2"/>
  <c r="K78" i="2"/>
  <c r="K108" i="2"/>
  <c r="N109" i="2"/>
  <c r="M93" i="2"/>
  <c r="J98" i="2"/>
  <c r="L93" i="2"/>
  <c r="L56" i="2"/>
  <c r="M94" i="2"/>
  <c r="N75" i="2"/>
  <c r="K79" i="2"/>
  <c r="N69" i="2"/>
  <c r="K73" i="2"/>
  <c r="N108" i="2"/>
  <c r="N42" i="2"/>
  <c r="N105" i="2"/>
  <c r="K44" i="2"/>
  <c r="N65" i="2"/>
  <c r="M101" i="2"/>
  <c r="L86" i="2"/>
  <c r="M54" i="2"/>
  <c r="L70" i="2"/>
  <c r="K98" i="2"/>
  <c r="K100" i="2"/>
  <c r="M58" i="2"/>
  <c r="J86" i="2"/>
  <c r="J58" i="2"/>
  <c r="J102" i="2"/>
  <c r="M41" i="2"/>
  <c r="K93" i="2"/>
  <c r="M52" i="2"/>
  <c r="N68" i="2"/>
  <c r="N99" i="2"/>
  <c r="M80" i="2"/>
  <c r="J99" i="2"/>
  <c r="N56" i="2"/>
  <c r="K103" i="2"/>
  <c r="L63" i="2"/>
  <c r="K74" i="2"/>
  <c r="M70" i="2"/>
  <c r="K61" i="2"/>
  <c r="N92" i="2"/>
  <c r="N81" i="2"/>
  <c r="K54" i="2"/>
  <c r="M89" i="2"/>
  <c r="M64" i="2"/>
  <c r="M40" i="2"/>
  <c r="L66" i="2"/>
  <c r="N77" i="2"/>
  <c r="N53" i="2"/>
  <c r="L85" i="2"/>
  <c r="L81" i="2"/>
  <c r="K45" i="2"/>
  <c r="L43" i="2"/>
  <c r="J74" i="2"/>
  <c r="J77" i="2"/>
  <c r="J107" i="2"/>
  <c r="J91" i="2"/>
  <c r="J88" i="2"/>
  <c r="L111" i="2"/>
  <c r="L100" i="2"/>
  <c r="L94" i="2"/>
  <c r="N39" i="2"/>
  <c r="L84" i="2"/>
  <c r="M60" i="2"/>
  <c r="J103" i="2"/>
  <c r="L110" i="2"/>
  <c r="J111" i="2"/>
  <c r="M95" i="2"/>
  <c r="N72" i="2"/>
  <c r="N57" i="2"/>
  <c r="L52" i="2"/>
  <c r="K67" i="2"/>
  <c r="M66" i="2"/>
  <c r="M61" i="2"/>
  <c r="M82" i="2"/>
  <c r="L61" i="2"/>
  <c r="L96" i="2"/>
  <c r="N49" i="2"/>
  <c r="K111" i="2"/>
  <c r="L105" i="2"/>
  <c r="K43" i="2"/>
  <c r="N103" i="2"/>
  <c r="L99" i="2"/>
  <c r="K84" i="2"/>
  <c r="M39" i="2"/>
  <c r="L73" i="2"/>
  <c r="J52" i="2"/>
  <c r="J83" i="2"/>
  <c r="J97" i="2"/>
  <c r="J110" i="2"/>
  <c r="J100" i="2"/>
  <c r="N76" i="2"/>
  <c r="L116" i="2"/>
  <c r="N88" i="2"/>
  <c r="M83" i="2"/>
  <c r="N44" i="2"/>
  <c r="M73" i="2"/>
  <c r="K70" i="2"/>
  <c r="N47" i="2"/>
  <c r="M76" i="2"/>
  <c r="M59" i="2"/>
  <c r="J73" i="2"/>
  <c r="J39" i="2"/>
  <c r="S59" i="2" l="1"/>
  <c r="S76" i="2"/>
  <c r="S73" i="2"/>
  <c r="S83" i="2"/>
  <c r="R116" i="2"/>
  <c r="R73" i="2"/>
  <c r="S39" i="2"/>
  <c r="R99" i="2"/>
  <c r="R105" i="2"/>
  <c r="R96" i="2"/>
  <c r="R61" i="2"/>
  <c r="S82" i="2"/>
  <c r="S61" i="2"/>
  <c r="S66" i="2"/>
  <c r="R52" i="2"/>
  <c r="S95" i="2"/>
  <c r="R110" i="2"/>
  <c r="S60" i="2"/>
  <c r="R84" i="2"/>
  <c r="R94" i="2"/>
  <c r="R100" i="2"/>
  <c r="R111" i="2"/>
  <c r="R43" i="2"/>
  <c r="R81" i="2"/>
  <c r="R85" i="2"/>
  <c r="R66" i="2"/>
  <c r="S40" i="2"/>
  <c r="S64" i="2"/>
  <c r="S89" i="2"/>
  <c r="S70" i="2"/>
  <c r="R63" i="2"/>
  <c r="S80" i="2"/>
  <c r="S52" i="2"/>
  <c r="S41" i="2"/>
  <c r="S58" i="2"/>
  <c r="R70" i="2"/>
  <c r="S54" i="2"/>
  <c r="R86" i="2"/>
  <c r="S101" i="2"/>
  <c r="S94" i="2"/>
  <c r="R56" i="2"/>
  <c r="R93" i="2"/>
  <c r="S93" i="2"/>
  <c r="R102" i="2"/>
  <c r="S105" i="2"/>
  <c r="R98" i="2"/>
  <c r="S103" i="2"/>
  <c r="S62" i="2"/>
  <c r="R75" i="2"/>
  <c r="S49" i="2"/>
  <c r="S72" i="2"/>
  <c r="R88" i="2"/>
  <c r="R47" i="2"/>
  <c r="R67" i="2"/>
  <c r="R83" i="2"/>
  <c r="S100" i="2"/>
  <c r="S42" i="2"/>
  <c r="S56" i="2"/>
  <c r="S47" i="2"/>
  <c r="S85" i="2"/>
  <c r="S111" i="2"/>
  <c r="R44" i="2"/>
  <c r="S109" i="2"/>
  <c r="S92" i="2"/>
  <c r="S46" i="2"/>
  <c r="S50" i="2"/>
  <c r="S67" i="2"/>
  <c r="R80" i="2"/>
  <c r="S90" i="2"/>
  <c r="S71" i="2"/>
  <c r="S53" i="2"/>
  <c r="R58" i="2"/>
  <c r="R39" i="2"/>
  <c r="R40" i="2"/>
  <c r="S98" i="2"/>
  <c r="R53" i="2"/>
  <c r="R49" i="2"/>
  <c r="R71" i="2"/>
  <c r="S102" i="2"/>
  <c r="R97" i="2"/>
  <c r="S104" i="2"/>
  <c r="S116" i="2"/>
  <c r="R60" i="2"/>
  <c r="S45" i="2"/>
  <c r="S79" i="2"/>
  <c r="R42" i="2"/>
  <c r="R68" i="2"/>
  <c r="S112" i="2"/>
  <c r="R72" i="2"/>
  <c r="R107" i="2"/>
  <c r="S44" i="2"/>
  <c r="R64" i="2"/>
  <c r="R109" i="2"/>
  <c r="S106" i="2"/>
  <c r="R89" i="2"/>
  <c r="R104" i="2"/>
  <c r="R87" i="2"/>
  <c r="S86" i="2"/>
  <c r="R46" i="2"/>
  <c r="R77" i="2"/>
  <c r="R51" i="2"/>
  <c r="S48" i="2"/>
  <c r="R92" i="2"/>
  <c r="S75" i="2"/>
  <c r="R50" i="2"/>
  <c r="S69" i="2"/>
  <c r="S88" i="2"/>
  <c r="R82" i="2"/>
  <c r="S63" i="2"/>
  <c r="S108" i="2"/>
  <c r="R113" i="2"/>
  <c r="S113" i="2"/>
  <c r="S110" i="2"/>
  <c r="S91" i="2"/>
  <c r="S55" i="2"/>
  <c r="S74" i="2"/>
  <c r="R101" i="2"/>
  <c r="R79" i="2"/>
  <c r="R45" i="2"/>
  <c r="S77" i="2"/>
  <c r="R57" i="2"/>
  <c r="R48" i="2"/>
  <c r="S57" i="2"/>
  <c r="R69" i="2"/>
  <c r="S43" i="2"/>
  <c r="R108" i="2"/>
  <c r="R103" i="2"/>
  <c r="R78" i="2"/>
  <c r="R90" i="2"/>
  <c r="R41" i="2"/>
  <c r="S78" i="2"/>
  <c r="S65" i="2"/>
  <c r="R62" i="2"/>
  <c r="R76" i="2"/>
  <c r="R95" i="2"/>
  <c r="S87" i="2"/>
  <c r="R59" i="2"/>
  <c r="S68" i="2"/>
  <c r="R55" i="2"/>
  <c r="R91" i="2"/>
  <c r="S51" i="2"/>
  <c r="S96" i="2"/>
  <c r="S97" i="2"/>
  <c r="S84" i="2"/>
  <c r="R54" i="2"/>
  <c r="R74" i="2"/>
  <c r="S99" i="2"/>
  <c r="S107" i="2"/>
  <c r="R106" i="2"/>
  <c r="R65" i="2"/>
  <c r="R112" i="2"/>
  <c r="S81" i="2"/>
  <c r="Q70" i="2"/>
  <c r="Q84" i="2"/>
  <c r="Q43" i="2"/>
  <c r="Q111" i="2"/>
  <c r="Q67" i="2"/>
  <c r="Q45" i="2"/>
  <c r="Q54" i="2"/>
  <c r="Q61" i="2"/>
  <c r="Q74" i="2"/>
  <c r="Q103" i="2"/>
  <c r="Q93" i="2"/>
  <c r="Q100" i="2"/>
  <c r="Q98" i="2"/>
  <c r="Q44" i="2"/>
  <c r="Q73" i="2"/>
  <c r="Q79" i="2"/>
  <c r="Q108" i="2"/>
  <c r="Q78" i="2"/>
  <c r="Q49" i="2"/>
  <c r="Q102" i="2"/>
  <c r="Q109" i="2"/>
  <c r="Q106" i="2"/>
  <c r="Q53" i="2"/>
  <c r="Q75" i="2"/>
  <c r="Q91" i="2"/>
  <c r="Q64" i="2"/>
  <c r="Q56" i="2"/>
  <c r="Q113" i="2"/>
  <c r="Q68" i="2"/>
  <c r="Q110" i="2"/>
  <c r="Q58" i="2"/>
  <c r="Q40" i="2"/>
  <c r="Q89" i="2"/>
  <c r="Q77" i="2"/>
  <c r="Q99" i="2"/>
  <c r="Q39" i="2"/>
  <c r="Q71" i="2"/>
  <c r="Q66" i="2"/>
  <c r="Q101" i="2"/>
  <c r="Q60" i="2"/>
  <c r="Q65" i="2"/>
  <c r="Q94" i="2"/>
  <c r="Q52" i="2"/>
  <c r="Q59" i="2"/>
  <c r="Q81" i="2"/>
  <c r="Q63" i="2"/>
  <c r="Q83" i="2"/>
  <c r="Q46" i="2"/>
  <c r="Q92" i="2"/>
  <c r="Q47" i="2"/>
  <c r="Q104" i="2"/>
  <c r="Q86" i="2"/>
  <c r="Q41" i="2"/>
  <c r="Q96" i="2"/>
  <c r="Q76" i="2"/>
  <c r="Q105" i="2"/>
  <c r="Q50" i="2"/>
  <c r="Q107" i="2"/>
  <c r="Q97" i="2"/>
  <c r="Q90" i="2"/>
  <c r="Q85" i="2"/>
  <c r="Q69" i="2"/>
  <c r="Q82" i="2"/>
  <c r="Q87" i="2"/>
  <c r="Q57" i="2"/>
  <c r="Q112" i="2"/>
  <c r="Q51" i="2"/>
  <c r="Q95" i="2"/>
  <c r="Q55" i="2"/>
  <c r="Q72" i="2"/>
  <c r="Q48" i="2"/>
  <c r="Q88" i="2"/>
  <c r="Q116" i="2"/>
  <c r="Q62" i="2"/>
  <c r="Q42" i="2"/>
  <c r="Q80" i="2"/>
  <c r="P39" i="2"/>
  <c r="P73" i="2"/>
  <c r="P100" i="2"/>
  <c r="P110" i="2"/>
  <c r="P97" i="2"/>
  <c r="P83" i="2"/>
  <c r="P52" i="2"/>
  <c r="P111" i="2"/>
  <c r="P103" i="2"/>
  <c r="P88" i="2"/>
  <c r="P91" i="2"/>
  <c r="P107" i="2"/>
  <c r="P77" i="2"/>
  <c r="P74" i="2"/>
  <c r="P99" i="2"/>
  <c r="P102" i="2"/>
  <c r="P58" i="2"/>
  <c r="P86" i="2"/>
  <c r="P98" i="2"/>
  <c r="P42" i="2"/>
  <c r="P101" i="2"/>
  <c r="P56" i="2"/>
  <c r="P106" i="2"/>
  <c r="P53" i="2"/>
  <c r="P69" i="2"/>
  <c r="P57" i="2"/>
  <c r="P116" i="2"/>
  <c r="P84" i="2"/>
  <c r="P82" i="2"/>
  <c r="P41" i="2"/>
  <c r="P113" i="2"/>
  <c r="P61" i="2"/>
  <c r="P44" i="2"/>
  <c r="P68" i="2"/>
  <c r="P96" i="2"/>
  <c r="P70" i="2"/>
  <c r="P76" i="2"/>
  <c r="P112" i="2"/>
  <c r="P75" i="2"/>
  <c r="P95" i="2"/>
  <c r="P71" i="2"/>
  <c r="P64" i="2"/>
  <c r="P63" i="2"/>
  <c r="P55" i="2"/>
  <c r="P67" i="2"/>
  <c r="P93" i="2"/>
  <c r="P60" i="2"/>
  <c r="P79" i="2"/>
  <c r="P108" i="2"/>
  <c r="P89" i="2"/>
  <c r="P47" i="2"/>
  <c r="P92" i="2"/>
  <c r="P62" i="2"/>
  <c r="P43" i="2"/>
  <c r="P90" i="2"/>
  <c r="P66" i="2"/>
  <c r="P54" i="2"/>
  <c r="P109" i="2"/>
  <c r="P72" i="2"/>
  <c r="P40" i="2"/>
  <c r="P105" i="2"/>
  <c r="P50" i="2"/>
  <c r="P87" i="2"/>
  <c r="P104" i="2"/>
  <c r="P65" i="2"/>
  <c r="P81" i="2"/>
  <c r="P94" i="2"/>
  <c r="P51" i="2"/>
  <c r="P85" i="2"/>
  <c r="P80" i="2"/>
  <c r="P59" i="2"/>
  <c r="P78" i="2"/>
  <c r="V115" i="2"/>
  <c r="X114" i="2"/>
  <c r="Y114" i="2"/>
  <c r="K117" i="2"/>
  <c r="N117" i="2"/>
  <c r="M117" i="2"/>
  <c r="L117" i="2"/>
  <c r="J117" i="2"/>
  <c r="R117" i="2" l="1"/>
  <c r="S117" i="2"/>
  <c r="Q117" i="2"/>
  <c r="P117" i="2"/>
  <c r="V116" i="2"/>
  <c r="X115" i="2"/>
  <c r="Y115" i="2"/>
  <c r="V64" i="2"/>
  <c r="Y64" i="2" s="1"/>
  <c r="V98" i="2"/>
  <c r="X98" i="2" s="1"/>
  <c r="V106" i="2"/>
  <c r="Y106" i="2" s="1"/>
  <c r="V88" i="2"/>
  <c r="Y88" i="2" s="1"/>
  <c r="V67" i="2"/>
  <c r="Y67" i="2" s="1"/>
  <c r="V61" i="2"/>
  <c r="X61" i="2" s="1"/>
  <c r="V76" i="2"/>
  <c r="Y76" i="2" s="1"/>
  <c r="V54" i="2"/>
  <c r="X54" i="2" s="1"/>
  <c r="V60" i="2"/>
  <c r="Y60" i="2" s="1"/>
  <c r="V86" i="2"/>
  <c r="V73" i="2"/>
  <c r="V43" i="2"/>
  <c r="V99" i="2"/>
  <c r="V71" i="2"/>
  <c r="V62" i="2"/>
  <c r="V102" i="2"/>
  <c r="V82" i="2"/>
  <c r="V96" i="2"/>
  <c r="V66" i="2"/>
  <c r="V104" i="2"/>
  <c r="V51" i="2"/>
  <c r="V68" i="2"/>
  <c r="V63" i="2"/>
  <c r="V72" i="2"/>
  <c r="V47" i="2"/>
  <c r="V107" i="2"/>
  <c r="V50" i="2"/>
  <c r="V97" i="2"/>
  <c r="V44" i="2"/>
  <c r="V111" i="2"/>
  <c r="V90" i="2"/>
  <c r="V40" i="2"/>
  <c r="V80" i="2"/>
  <c r="V112" i="2"/>
  <c r="V113" i="2"/>
  <c r="V70" i="2"/>
  <c r="V101" i="2"/>
  <c r="V57" i="2"/>
  <c r="V94" i="2"/>
  <c r="V91" i="2"/>
  <c r="V89" i="2"/>
  <c r="V103" i="2"/>
  <c r="V92" i="2"/>
  <c r="V84" i="2"/>
  <c r="V105" i="2"/>
  <c r="V55" i="2"/>
  <c r="V69" i="2"/>
  <c r="V52" i="2"/>
  <c r="V39" i="2"/>
  <c r="V81" i="2"/>
  <c r="V100" i="2"/>
  <c r="V59" i="2"/>
  <c r="V58" i="2"/>
  <c r="V109" i="2"/>
  <c r="V87" i="2"/>
  <c r="V95" i="2"/>
  <c r="V79" i="2"/>
  <c r="V77" i="2"/>
  <c r="V78" i="2"/>
  <c r="V108" i="2"/>
  <c r="V83" i="2"/>
  <c r="V93" i="2"/>
  <c r="V42" i="2"/>
  <c r="V53" i="2"/>
  <c r="V56" i="2"/>
  <c r="V41" i="2"/>
  <c r="V65" i="2"/>
  <c r="V85" i="2"/>
  <c r="V75" i="2"/>
  <c r="V110" i="2"/>
  <c r="V74" i="2"/>
  <c r="M118" i="2"/>
  <c r="L118" i="2"/>
  <c r="J118" i="2"/>
  <c r="N118" i="2"/>
  <c r="K118" i="2"/>
  <c r="J45" i="2"/>
  <c r="R118" i="2" l="1"/>
  <c r="S118" i="2"/>
  <c r="Q118" i="2"/>
  <c r="P45" i="2"/>
  <c r="P118" i="2"/>
  <c r="X116" i="2"/>
  <c r="Y116" i="2"/>
  <c r="V117" i="2"/>
  <c r="X64" i="2"/>
  <c r="Y98" i="2"/>
  <c r="X60" i="2"/>
  <c r="X88" i="2"/>
  <c r="X76" i="2"/>
  <c r="Y54" i="2"/>
  <c r="Y61" i="2"/>
  <c r="X106" i="2"/>
  <c r="X67" i="2"/>
  <c r="X52" i="2"/>
  <c r="Y52" i="2"/>
  <c r="X94" i="2"/>
  <c r="Y94" i="2"/>
  <c r="X70" i="2"/>
  <c r="Y70" i="2"/>
  <c r="Y80" i="2"/>
  <c r="X80" i="2"/>
  <c r="Y66" i="2"/>
  <c r="X66" i="2"/>
  <c r="Y102" i="2"/>
  <c r="X102" i="2"/>
  <c r="X83" i="2"/>
  <c r="Y83" i="2"/>
  <c r="Y78" i="2"/>
  <c r="X78" i="2"/>
  <c r="Y105" i="2"/>
  <c r="X105" i="2"/>
  <c r="Y90" i="2"/>
  <c r="X90" i="2"/>
  <c r="Y111" i="2"/>
  <c r="X111" i="2"/>
  <c r="X44" i="2"/>
  <c r="Y44" i="2"/>
  <c r="Y43" i="2"/>
  <c r="X43" i="2"/>
  <c r="Y100" i="2"/>
  <c r="X100" i="2"/>
  <c r="Y81" i="2"/>
  <c r="X81" i="2"/>
  <c r="Y89" i="2"/>
  <c r="X89" i="2"/>
  <c r="Y72" i="2"/>
  <c r="X72" i="2"/>
  <c r="X68" i="2"/>
  <c r="Y68" i="2"/>
  <c r="Y82" i="2"/>
  <c r="X82" i="2"/>
  <c r="X73" i="2"/>
  <c r="Y73" i="2"/>
  <c r="Y75" i="2"/>
  <c r="X75" i="2"/>
  <c r="Y41" i="2"/>
  <c r="X41" i="2"/>
  <c r="X53" i="2"/>
  <c r="Y53" i="2"/>
  <c r="X93" i="2"/>
  <c r="Y93" i="2"/>
  <c r="Y84" i="2"/>
  <c r="X84" i="2"/>
  <c r="X112" i="2"/>
  <c r="Y112" i="2"/>
  <c r="Y86" i="2"/>
  <c r="X86" i="2"/>
  <c r="X56" i="2"/>
  <c r="Y56" i="2"/>
  <c r="Y113" i="2"/>
  <c r="X113" i="2"/>
  <c r="Y50" i="2"/>
  <c r="X50" i="2"/>
  <c r="Y96" i="2"/>
  <c r="X96" i="2"/>
  <c r="Y42" i="2"/>
  <c r="X42" i="2"/>
  <c r="X39" i="2"/>
  <c r="Y39" i="2"/>
  <c r="Y101" i="2"/>
  <c r="X101" i="2"/>
  <c r="Y107" i="2"/>
  <c r="X107" i="2"/>
  <c r="Y99" i="2"/>
  <c r="X99" i="2"/>
  <c r="Y65" i="2"/>
  <c r="X65" i="2"/>
  <c r="Y59" i="2"/>
  <c r="X59" i="2"/>
  <c r="X40" i="2"/>
  <c r="Y40" i="2"/>
  <c r="Y110" i="2"/>
  <c r="X110" i="2"/>
  <c r="Y77" i="2"/>
  <c r="X77" i="2"/>
  <c r="Y95" i="2"/>
  <c r="X95" i="2"/>
  <c r="Y92" i="2"/>
  <c r="X92" i="2"/>
  <c r="Y91" i="2"/>
  <c r="X91" i="2"/>
  <c r="Y51" i="2"/>
  <c r="X51" i="2"/>
  <c r="X71" i="2"/>
  <c r="Y71" i="2"/>
  <c r="X87" i="2"/>
  <c r="Y87" i="2"/>
  <c r="X104" i="2"/>
  <c r="Y104" i="2"/>
  <c r="X79" i="2"/>
  <c r="Y79" i="2"/>
  <c r="Y109" i="2"/>
  <c r="X109" i="2"/>
  <c r="X58" i="2"/>
  <c r="Y58" i="2"/>
  <c r="Y69" i="2"/>
  <c r="X69" i="2"/>
  <c r="Y74" i="2"/>
  <c r="X74" i="2"/>
  <c r="Y85" i="2"/>
  <c r="X85" i="2"/>
  <c r="X108" i="2"/>
  <c r="Y108" i="2"/>
  <c r="Y55" i="2"/>
  <c r="X55" i="2"/>
  <c r="Y103" i="2"/>
  <c r="X103" i="2"/>
  <c r="X57" i="2"/>
  <c r="Y57" i="2"/>
  <c r="Y97" i="2"/>
  <c r="X97" i="2"/>
  <c r="X47" i="2"/>
  <c r="Y47" i="2"/>
  <c r="Y63" i="2"/>
  <c r="X63" i="2"/>
  <c r="X62" i="2"/>
  <c r="Y62" i="2"/>
  <c r="N119" i="2"/>
  <c r="K119" i="2"/>
  <c r="J46" i="2"/>
  <c r="J119" i="2"/>
  <c r="M119" i="2"/>
  <c r="L119" i="2"/>
  <c r="R119" i="2" l="1"/>
  <c r="S119" i="2"/>
  <c r="Q119" i="2"/>
  <c r="P119" i="2"/>
  <c r="P46" i="2"/>
  <c r="V46" i="2" s="1"/>
  <c r="X117" i="2"/>
  <c r="Y117" i="2"/>
  <c r="V118" i="2"/>
  <c r="V45" i="2"/>
  <c r="M120" i="2"/>
  <c r="J120" i="2"/>
  <c r="N120" i="2"/>
  <c r="L120" i="2"/>
  <c r="J48" i="2"/>
  <c r="K120" i="2"/>
  <c r="R120" i="2" l="1"/>
  <c r="S120" i="2"/>
  <c r="Q120" i="2"/>
  <c r="P48" i="2"/>
  <c r="P120" i="2"/>
  <c r="V119" i="2"/>
  <c r="Y119" i="2" s="1"/>
  <c r="X118" i="2"/>
  <c r="Y118" i="2"/>
  <c r="X45" i="2"/>
  <c r="Y45" i="2"/>
  <c r="X46" i="2"/>
  <c r="Y46" i="2"/>
  <c r="N121" i="2"/>
  <c r="J49" i="2"/>
  <c r="J121" i="2"/>
  <c r="M121" i="2"/>
  <c r="L121" i="2"/>
  <c r="K121" i="2"/>
  <c r="R121" i="2" l="1"/>
  <c r="S121" i="2"/>
  <c r="Q121" i="2"/>
  <c r="P121" i="2"/>
  <c r="P49" i="2"/>
  <c r="V49" i="2" s="1"/>
  <c r="X119" i="2"/>
  <c r="V120" i="2"/>
  <c r="V48" i="2"/>
  <c r="Y48" i="2" s="1"/>
  <c r="N122" i="2"/>
  <c r="J122" i="2"/>
  <c r="L122" i="2"/>
  <c r="M122" i="2"/>
  <c r="K122" i="2"/>
  <c r="S122" i="2" l="1"/>
  <c r="R122" i="2"/>
  <c r="Q122" i="2"/>
  <c r="P122" i="2"/>
  <c r="X120" i="2"/>
  <c r="Y120" i="2"/>
  <c r="V121" i="2"/>
  <c r="X48" i="2"/>
  <c r="Y49" i="2"/>
  <c r="X49" i="2"/>
  <c r="M123" i="2"/>
  <c r="J123" i="2"/>
  <c r="K123" i="2"/>
  <c r="L123" i="2"/>
  <c r="N123" i="2"/>
  <c r="R123" i="2" l="1"/>
  <c r="S123" i="2"/>
  <c r="Q123" i="2"/>
  <c r="P123" i="2"/>
  <c r="V122" i="2"/>
  <c r="Y121" i="2"/>
  <c r="X121" i="2"/>
  <c r="M124" i="2"/>
  <c r="L124" i="2"/>
  <c r="K124" i="2"/>
  <c r="N124" i="2"/>
  <c r="J124" i="2"/>
  <c r="R124" i="2" l="1"/>
  <c r="S124" i="2"/>
  <c r="Q124" i="2"/>
  <c r="P124" i="2"/>
  <c r="X122" i="2"/>
  <c r="Y122" i="2"/>
  <c r="V123" i="2"/>
  <c r="M125" i="2"/>
  <c r="N125" i="2"/>
  <c r="J125" i="2"/>
  <c r="K125" i="2"/>
  <c r="L125" i="2"/>
  <c r="R125" i="2" l="1"/>
  <c r="S125" i="2"/>
  <c r="Q125" i="2"/>
  <c r="P125" i="2"/>
  <c r="X123" i="2"/>
  <c r="Y123" i="2"/>
  <c r="V124" i="2"/>
  <c r="M126" i="2"/>
  <c r="K126" i="2"/>
  <c r="J126" i="2"/>
  <c r="L126" i="2"/>
  <c r="N126" i="2"/>
  <c r="R126" i="2" l="1"/>
  <c r="S126" i="2"/>
  <c r="Q126" i="2"/>
  <c r="P126" i="2"/>
  <c r="V125" i="2"/>
  <c r="X124" i="2"/>
  <c r="Y124" i="2"/>
  <c r="L127" i="2"/>
  <c r="J127" i="2"/>
  <c r="M127" i="2"/>
  <c r="N127" i="2"/>
  <c r="K127" i="2"/>
  <c r="S127" i="2" l="1"/>
  <c r="R127" i="2"/>
  <c r="Q127" i="2"/>
  <c r="P127" i="2"/>
  <c r="V126" i="2"/>
  <c r="X126" i="2" s="1"/>
  <c r="X125" i="2"/>
  <c r="Y125" i="2"/>
  <c r="M128" i="2"/>
  <c r="L128" i="2"/>
  <c r="N128" i="2"/>
  <c r="K128" i="2"/>
  <c r="J128" i="2"/>
  <c r="R128" i="2" l="1"/>
  <c r="S128" i="2"/>
  <c r="Q128" i="2"/>
  <c r="P128" i="2"/>
  <c r="Y126" i="2"/>
  <c r="V127" i="2"/>
  <c r="L129" i="2"/>
  <c r="N129" i="2"/>
  <c r="M129" i="2"/>
  <c r="K129" i="2"/>
  <c r="J129" i="2"/>
  <c r="S129" i="2" l="1"/>
  <c r="R129" i="2"/>
  <c r="Q129" i="2"/>
  <c r="P129" i="2"/>
  <c r="V128" i="2"/>
  <c r="Y127" i="2"/>
  <c r="X127" i="2"/>
  <c r="M130" i="2"/>
  <c r="N130" i="2"/>
  <c r="L130" i="2"/>
  <c r="K130" i="2"/>
  <c r="J130" i="2"/>
  <c r="R130" i="2" l="1"/>
  <c r="S130" i="2"/>
  <c r="Q130" i="2"/>
  <c r="P130" i="2"/>
  <c r="X128" i="2"/>
  <c r="Y128" i="2"/>
  <c r="V129" i="2"/>
  <c r="K131" i="2"/>
  <c r="J131" i="2"/>
  <c r="N131" i="2"/>
  <c r="L131" i="2"/>
  <c r="M131" i="2"/>
  <c r="S131" i="2" l="1"/>
  <c r="R131" i="2"/>
  <c r="Q131" i="2"/>
  <c r="P131" i="2"/>
  <c r="Y129" i="2"/>
  <c r="X129" i="2"/>
  <c r="V130" i="2"/>
  <c r="K132" i="2"/>
  <c r="M132" i="2"/>
  <c r="L132" i="2"/>
  <c r="N132" i="2"/>
  <c r="J132" i="2"/>
  <c r="R132" i="2" l="1"/>
  <c r="S132" i="2"/>
  <c r="Q132" i="2"/>
  <c r="P132" i="2"/>
  <c r="X130" i="2"/>
  <c r="Y130" i="2"/>
  <c r="V131" i="2"/>
  <c r="K133" i="2"/>
  <c r="L133" i="2"/>
  <c r="N133" i="2"/>
  <c r="J133" i="2"/>
  <c r="M133" i="2"/>
  <c r="S133" i="2" l="1"/>
  <c r="R133" i="2"/>
  <c r="Q133" i="2"/>
  <c r="P133" i="2"/>
  <c r="X131" i="2"/>
  <c r="Y131" i="2"/>
  <c r="V132" i="2"/>
  <c r="N134" i="2"/>
  <c r="M134" i="2"/>
  <c r="K134" i="2"/>
  <c r="J134" i="2"/>
  <c r="L134" i="2"/>
  <c r="R134" i="2" l="1"/>
  <c r="S134" i="2"/>
  <c r="Q134" i="2"/>
  <c r="P134" i="2"/>
  <c r="V133" i="2"/>
  <c r="X133" i="2" s="1"/>
  <c r="X132" i="2"/>
  <c r="Y132" i="2"/>
  <c r="K135" i="2"/>
  <c r="M135" i="2"/>
  <c r="J135" i="2"/>
  <c r="N135" i="2"/>
  <c r="L135" i="2"/>
  <c r="R135" i="2" l="1"/>
  <c r="S135" i="2"/>
  <c r="Q135" i="2"/>
  <c r="P135" i="2"/>
  <c r="Y133" i="2"/>
  <c r="V134" i="2"/>
  <c r="Y134" i="2" s="1"/>
  <c r="N136" i="2"/>
  <c r="K136" i="2"/>
  <c r="J136" i="2"/>
  <c r="M136" i="2"/>
  <c r="L136" i="2"/>
  <c r="R136" i="2" l="1"/>
  <c r="S136" i="2"/>
  <c r="Q136" i="2"/>
  <c r="P136" i="2"/>
  <c r="X134" i="2"/>
  <c r="V135" i="2"/>
  <c r="Y135" i="2" s="1"/>
  <c r="K137" i="2"/>
  <c r="M137" i="2"/>
  <c r="L137" i="2"/>
  <c r="J137" i="2"/>
  <c r="N137" i="2"/>
  <c r="R137" i="2" l="1"/>
  <c r="S137" i="2"/>
  <c r="Q137" i="2"/>
  <c r="P137" i="2"/>
  <c r="V136" i="2"/>
  <c r="Y136" i="2" s="1"/>
  <c r="X135" i="2"/>
  <c r="M138" i="2"/>
  <c r="K138" i="2"/>
  <c r="L138" i="2"/>
  <c r="N138" i="2"/>
  <c r="J138" i="2"/>
  <c r="R138" i="2" l="1"/>
  <c r="S138" i="2"/>
  <c r="Q138" i="2"/>
  <c r="P138" i="2"/>
  <c r="X136" i="2"/>
  <c r="V137" i="2"/>
  <c r="N139" i="2"/>
  <c r="J139" i="2"/>
  <c r="K139" i="2"/>
  <c r="M139" i="2"/>
  <c r="L139" i="2"/>
  <c r="R139" i="2" l="1"/>
  <c r="S139" i="2"/>
  <c r="Q139" i="2"/>
  <c r="P139" i="2"/>
  <c r="Y137" i="2"/>
  <c r="X137" i="2"/>
  <c r="V138" i="2"/>
  <c r="N140" i="2"/>
  <c r="J140" i="2"/>
  <c r="K140" i="2"/>
  <c r="M140" i="2"/>
  <c r="L140" i="2"/>
  <c r="R140" i="2" l="1"/>
  <c r="S140" i="2"/>
  <c r="Q140" i="2"/>
  <c r="P140" i="2"/>
  <c r="Y138" i="2"/>
  <c r="X138" i="2"/>
  <c r="C32" i="2" s="1"/>
  <c r="V139" i="2"/>
  <c r="K141" i="2"/>
  <c r="L141" i="2"/>
  <c r="J141" i="2"/>
  <c r="N141" i="2"/>
  <c r="M141" i="2"/>
  <c r="S141" i="2" l="1"/>
  <c r="R141" i="2"/>
  <c r="Q141" i="2"/>
  <c r="P141" i="2"/>
  <c r="V140" i="2"/>
  <c r="X140" i="2" s="1"/>
  <c r="X139" i="2"/>
  <c r="Y139" i="2"/>
  <c r="M142" i="2"/>
  <c r="N142" i="2"/>
  <c r="K142" i="2"/>
  <c r="J142" i="2"/>
  <c r="L142" i="2"/>
  <c r="R142" i="2" l="1"/>
  <c r="S142" i="2"/>
  <c r="Q142" i="2"/>
  <c r="P142" i="2"/>
  <c r="Y140" i="2"/>
  <c r="V141" i="2"/>
  <c r="Y141" i="2" s="1"/>
  <c r="M143" i="2"/>
  <c r="K143" i="2"/>
  <c r="J143" i="2"/>
  <c r="L143" i="2"/>
  <c r="N143" i="2"/>
  <c r="R143" i="2" l="1"/>
  <c r="S143" i="2"/>
  <c r="Q143" i="2"/>
  <c r="P143" i="2"/>
  <c r="X141" i="2"/>
  <c r="V142" i="2"/>
  <c r="K144" i="2"/>
  <c r="M144" i="2"/>
  <c r="L144" i="2"/>
  <c r="N144" i="2"/>
  <c r="J144" i="2"/>
  <c r="R144" i="2" l="1"/>
  <c r="S144" i="2"/>
  <c r="Q144" i="2"/>
  <c r="P144" i="2"/>
  <c r="X142" i="2"/>
  <c r="Y142" i="2"/>
  <c r="V143" i="2"/>
  <c r="L145" i="2"/>
  <c r="J145" i="2"/>
  <c r="N145" i="2"/>
  <c r="K145" i="2"/>
  <c r="M145" i="2"/>
  <c r="S145" i="2" l="1"/>
  <c r="R145" i="2"/>
  <c r="Q145" i="2"/>
  <c r="P145" i="2"/>
  <c r="Y143" i="2"/>
  <c r="X143" i="2"/>
  <c r="V144" i="2"/>
  <c r="M146" i="2"/>
  <c r="N146" i="2"/>
  <c r="K146" i="2"/>
  <c r="J146" i="2"/>
  <c r="L146" i="2"/>
  <c r="R146" i="2" l="1"/>
  <c r="S146" i="2"/>
  <c r="Q146" i="2"/>
  <c r="P146" i="2"/>
  <c r="V145" i="2"/>
  <c r="X144" i="2"/>
  <c r="Y144" i="2"/>
  <c r="K147" i="2"/>
  <c r="N147" i="2"/>
  <c r="M147" i="2"/>
  <c r="L147" i="2"/>
  <c r="J147" i="2"/>
  <c r="R147" i="2" l="1"/>
  <c r="S147" i="2"/>
  <c r="Q147" i="2"/>
  <c r="P147" i="2"/>
  <c r="Y145" i="2"/>
  <c r="X145" i="2"/>
  <c r="V146" i="2"/>
  <c r="M148" i="2"/>
  <c r="J148" i="2"/>
  <c r="N148" i="2"/>
  <c r="L148" i="2"/>
  <c r="K148" i="2"/>
  <c r="R148" i="2" l="1"/>
  <c r="S148" i="2"/>
  <c r="Q148" i="2"/>
  <c r="P148" i="2"/>
  <c r="X146" i="2"/>
  <c r="Y146" i="2"/>
  <c r="V147" i="2"/>
  <c r="L149" i="2"/>
  <c r="J149" i="2"/>
  <c r="N149" i="2"/>
  <c r="M149" i="2"/>
  <c r="K149" i="2"/>
  <c r="S149" i="2" l="1"/>
  <c r="R149" i="2"/>
  <c r="Q149" i="2"/>
  <c r="P149" i="2"/>
  <c r="X147" i="2"/>
  <c r="Y147" i="2"/>
  <c r="V148" i="2"/>
  <c r="M150" i="2"/>
  <c r="J150" i="2"/>
  <c r="K150" i="2"/>
  <c r="L150" i="2"/>
  <c r="N150" i="2"/>
  <c r="R150" i="2" l="1"/>
  <c r="S150" i="2"/>
  <c r="Q150" i="2"/>
  <c r="P150" i="2"/>
  <c r="Y148" i="2"/>
  <c r="X148" i="2"/>
  <c r="V149" i="2"/>
  <c r="K151" i="2"/>
  <c r="N151" i="2"/>
  <c r="L151" i="2"/>
  <c r="J151" i="2"/>
  <c r="M151" i="2"/>
  <c r="S151" i="2" l="1"/>
  <c r="R151" i="2"/>
  <c r="Q151" i="2"/>
  <c r="P151" i="2"/>
  <c r="V150" i="2"/>
  <c r="X150" i="2" s="1"/>
  <c r="X149" i="2"/>
  <c r="Y149" i="2"/>
  <c r="M152" i="2"/>
  <c r="L152" i="2"/>
  <c r="N152" i="2"/>
  <c r="K152" i="2"/>
  <c r="J152" i="2"/>
  <c r="R152" i="2" l="1"/>
  <c r="S152" i="2"/>
  <c r="Q152" i="2"/>
  <c r="P152" i="2"/>
  <c r="Y150" i="2"/>
  <c r="V151" i="2"/>
  <c r="L153" i="2"/>
  <c r="K153" i="2"/>
  <c r="J153" i="2"/>
  <c r="N153" i="2"/>
  <c r="M153" i="2"/>
  <c r="S153" i="2" l="1"/>
  <c r="R153" i="2"/>
  <c r="Q153" i="2"/>
  <c r="P153" i="2"/>
  <c r="Y151" i="2"/>
  <c r="X151" i="2"/>
  <c r="V152" i="2"/>
  <c r="K154" i="2"/>
  <c r="M154" i="2"/>
  <c r="J154" i="2"/>
  <c r="L154" i="2"/>
  <c r="N154" i="2"/>
  <c r="R154" i="2" l="1"/>
  <c r="S154" i="2"/>
  <c r="Q154" i="2"/>
  <c r="P154" i="2"/>
  <c r="X152" i="2"/>
  <c r="Y152" i="2"/>
  <c r="V153" i="2"/>
  <c r="K155" i="2"/>
  <c r="J155" i="2"/>
  <c r="L155" i="2"/>
  <c r="N155" i="2"/>
  <c r="M155" i="2"/>
  <c r="S155" i="2" l="1"/>
  <c r="R155" i="2"/>
  <c r="Q155" i="2"/>
  <c r="P155" i="2"/>
  <c r="Y153" i="2"/>
  <c r="X153" i="2"/>
  <c r="V154" i="2"/>
  <c r="L156" i="2"/>
  <c r="K156" i="2"/>
  <c r="M156" i="2"/>
  <c r="J156" i="2"/>
  <c r="N156" i="2"/>
  <c r="S156" i="2" l="1"/>
  <c r="R156" i="2"/>
  <c r="Q156" i="2"/>
  <c r="P156" i="2"/>
  <c r="V155" i="2"/>
  <c r="X154" i="2"/>
  <c r="Y154" i="2"/>
  <c r="L157" i="2"/>
  <c r="J157" i="2"/>
  <c r="M157" i="2"/>
  <c r="K157" i="2"/>
  <c r="N157" i="2"/>
  <c r="S157" i="2" l="1"/>
  <c r="R157" i="2"/>
  <c r="Q157" i="2"/>
  <c r="P157" i="2"/>
  <c r="V156" i="2"/>
  <c r="X156" i="2" s="1"/>
  <c r="Y155" i="2"/>
  <c r="X155" i="2"/>
  <c r="M158" i="2"/>
  <c r="K158" i="2"/>
  <c r="L158" i="2"/>
  <c r="J158" i="2"/>
  <c r="N158" i="2"/>
  <c r="R158" i="2" l="1"/>
  <c r="S158" i="2"/>
  <c r="Q158" i="2"/>
  <c r="P158" i="2"/>
  <c r="Y156" i="2"/>
  <c r="V157" i="2"/>
  <c r="M159" i="2"/>
  <c r="N159" i="2"/>
  <c r="L159" i="2"/>
  <c r="J159" i="2"/>
  <c r="K159" i="2"/>
  <c r="R159" i="2" l="1"/>
  <c r="S159" i="2"/>
  <c r="Q159" i="2"/>
  <c r="P159" i="2"/>
  <c r="V158" i="2"/>
  <c r="Y158" i="2" s="1"/>
  <c r="X157" i="2"/>
  <c r="Y157" i="2"/>
  <c r="M160" i="2"/>
  <c r="L160" i="2"/>
  <c r="K160" i="2"/>
  <c r="J160" i="2"/>
  <c r="N160" i="2"/>
  <c r="R160" i="2" l="1"/>
  <c r="S160" i="2"/>
  <c r="Q160" i="2"/>
  <c r="P160" i="2"/>
  <c r="X158" i="2"/>
  <c r="V159" i="2"/>
  <c r="N161" i="2"/>
  <c r="J161" i="2"/>
  <c r="M161" i="2"/>
  <c r="K161" i="2"/>
  <c r="L161" i="2"/>
  <c r="R161" i="2" l="1"/>
  <c r="S161" i="2"/>
  <c r="Q161" i="2"/>
  <c r="P161" i="2"/>
  <c r="V160" i="2"/>
  <c r="Y160" i="2" s="1"/>
  <c r="Y159" i="2"/>
  <c r="X159" i="2"/>
  <c r="L162" i="2"/>
  <c r="K162" i="2"/>
  <c r="M162" i="2"/>
  <c r="J162" i="2"/>
  <c r="N162" i="2"/>
  <c r="S162" i="2" l="1"/>
  <c r="R162" i="2"/>
  <c r="Q162" i="2"/>
  <c r="P162" i="2"/>
  <c r="X160" i="2"/>
  <c r="V161" i="2"/>
  <c r="M163" i="2"/>
  <c r="J163" i="2"/>
  <c r="N163" i="2"/>
  <c r="K163" i="2"/>
  <c r="L163" i="2"/>
  <c r="R163" i="2" l="1"/>
  <c r="S163" i="2"/>
  <c r="Q163" i="2"/>
  <c r="P163" i="2"/>
  <c r="V162" i="2"/>
  <c r="Y162" i="2" s="1"/>
  <c r="Y161" i="2"/>
  <c r="X161" i="2"/>
  <c r="K164" i="2"/>
  <c r="J164" i="2"/>
  <c r="N164" i="2"/>
  <c r="M164" i="2"/>
  <c r="L164" i="2"/>
  <c r="R164" i="2" l="1"/>
  <c r="S164" i="2"/>
  <c r="Q164" i="2"/>
  <c r="P164" i="2"/>
  <c r="X162" i="2"/>
  <c r="V163" i="2"/>
  <c r="L165" i="2"/>
  <c r="J165" i="2"/>
  <c r="M165" i="2"/>
  <c r="N165" i="2"/>
  <c r="K165" i="2"/>
  <c r="S165" i="2" l="1"/>
  <c r="R165" i="2"/>
  <c r="Q165" i="2"/>
  <c r="P165" i="2"/>
  <c r="Y163" i="2"/>
  <c r="X163" i="2"/>
  <c r="V164" i="2"/>
  <c r="M166" i="2"/>
  <c r="L166" i="2"/>
  <c r="K166" i="2"/>
  <c r="N166" i="2"/>
  <c r="J166" i="2"/>
  <c r="R166" i="2" l="1"/>
  <c r="S166" i="2"/>
  <c r="Q166" i="2"/>
  <c r="P166" i="2"/>
  <c r="X164" i="2"/>
  <c r="Y164" i="2"/>
  <c r="V165" i="2"/>
  <c r="M167" i="2"/>
  <c r="L167" i="2"/>
  <c r="N167" i="2"/>
  <c r="J167" i="2"/>
  <c r="K167" i="2"/>
  <c r="R167" i="2" l="1"/>
  <c r="S167" i="2"/>
  <c r="Q167" i="2"/>
  <c r="P167" i="2"/>
  <c r="V166" i="2"/>
  <c r="X166" i="2" s="1"/>
  <c r="Y165" i="2"/>
  <c r="X165" i="2"/>
  <c r="K168" i="2"/>
  <c r="M168" i="2"/>
  <c r="N168" i="2"/>
  <c r="J168" i="2"/>
  <c r="L168" i="2"/>
  <c r="R168" i="2" l="1"/>
  <c r="S168" i="2"/>
  <c r="Q168" i="2"/>
  <c r="P168" i="2"/>
  <c r="Y166" i="2"/>
  <c r="V167" i="2"/>
  <c r="N169" i="2"/>
  <c r="K169" i="2"/>
  <c r="M169" i="2"/>
  <c r="J169" i="2"/>
  <c r="L169" i="2"/>
  <c r="R169" i="2" l="1"/>
  <c r="S169" i="2"/>
  <c r="Q169" i="2"/>
  <c r="P169" i="2"/>
  <c r="V168" i="2"/>
  <c r="Y167" i="2"/>
  <c r="X167" i="2"/>
  <c r="L170" i="2"/>
  <c r="K170" i="2"/>
  <c r="N170" i="2"/>
  <c r="J170" i="2"/>
  <c r="M170" i="2"/>
  <c r="S170" i="2" l="1"/>
  <c r="R170" i="2"/>
  <c r="Q170" i="2"/>
  <c r="P170" i="2"/>
  <c r="X168" i="2"/>
  <c r="Y168" i="2"/>
  <c r="V169" i="2"/>
  <c r="M171" i="2"/>
  <c r="J171" i="2"/>
  <c r="N171" i="2"/>
  <c r="K171" i="2"/>
  <c r="L171" i="2"/>
  <c r="R171" i="2" l="1"/>
  <c r="S171" i="2"/>
  <c r="Q171" i="2"/>
  <c r="P171" i="2"/>
  <c r="Y169" i="2"/>
  <c r="X169" i="2"/>
  <c r="V170" i="2"/>
  <c r="N172" i="2"/>
  <c r="L172" i="2"/>
  <c r="J172" i="2"/>
  <c r="M172" i="2"/>
  <c r="K172" i="2"/>
  <c r="S172" i="2" l="1"/>
  <c r="R172" i="2"/>
  <c r="Q172" i="2"/>
  <c r="P172" i="2"/>
  <c r="X170" i="2"/>
  <c r="Y170" i="2"/>
  <c r="V171" i="2"/>
  <c r="K173" i="2"/>
  <c r="J173" i="2"/>
  <c r="M173" i="2"/>
  <c r="N173" i="2"/>
  <c r="L173" i="2"/>
  <c r="R173" i="2" l="1"/>
  <c r="S173" i="2"/>
  <c r="Q173" i="2"/>
  <c r="P173" i="2"/>
  <c r="V172" i="2"/>
  <c r="X171" i="2"/>
  <c r="Y171" i="2"/>
  <c r="N174" i="2"/>
  <c r="L174" i="2"/>
  <c r="K174" i="2"/>
  <c r="J174" i="2"/>
  <c r="M174" i="2"/>
  <c r="S174" i="2" l="1"/>
  <c r="R174" i="2"/>
  <c r="Q174" i="2"/>
  <c r="P174" i="2"/>
  <c r="Y172" i="2"/>
  <c r="X172" i="2"/>
  <c r="V173" i="2"/>
  <c r="N175" i="2"/>
  <c r="K175" i="2"/>
  <c r="L175" i="2"/>
  <c r="M175" i="2"/>
  <c r="J175" i="2"/>
  <c r="S175" i="2" l="1"/>
  <c r="R175" i="2"/>
  <c r="Q175" i="2"/>
  <c r="P175" i="2"/>
  <c r="X173" i="2"/>
  <c r="Y173" i="2"/>
  <c r="V174" i="2"/>
  <c r="K176" i="2"/>
  <c r="N176" i="2"/>
  <c r="M176" i="2"/>
  <c r="J176" i="2"/>
  <c r="L176" i="2"/>
  <c r="R176" i="2" l="1"/>
  <c r="S176" i="2"/>
  <c r="Q176" i="2"/>
  <c r="P176" i="2"/>
  <c r="X174" i="2"/>
  <c r="Y174" i="2"/>
  <c r="V175" i="2"/>
  <c r="K177" i="2"/>
  <c r="J177" i="2"/>
  <c r="M177" i="2"/>
  <c r="N177" i="2"/>
  <c r="L177" i="2"/>
  <c r="R177" i="2" l="1"/>
  <c r="S177" i="2"/>
  <c r="Q177" i="2"/>
  <c r="P177" i="2"/>
  <c r="V176" i="2"/>
  <c r="Y176" i="2" s="1"/>
  <c r="X175" i="2"/>
  <c r="Y175" i="2"/>
  <c r="N178" i="2"/>
  <c r="K178" i="2"/>
  <c r="L178" i="2"/>
  <c r="M178" i="2"/>
  <c r="J178" i="2"/>
  <c r="S178" i="2" l="1"/>
  <c r="R178" i="2"/>
  <c r="Q178" i="2"/>
  <c r="P178" i="2"/>
  <c r="X176" i="2"/>
  <c r="V177" i="2"/>
  <c r="L179" i="2"/>
  <c r="J179" i="2"/>
  <c r="M179" i="2"/>
  <c r="N179" i="2"/>
  <c r="K179" i="2"/>
  <c r="S179" i="2" l="1"/>
  <c r="R179" i="2"/>
  <c r="Q179" i="2"/>
  <c r="P179" i="2"/>
  <c r="V178" i="2"/>
  <c r="Y178" i="2" s="1"/>
  <c r="X177" i="2"/>
  <c r="Y177" i="2"/>
  <c r="N180" i="2"/>
  <c r="L180" i="2"/>
  <c r="J180" i="2"/>
  <c r="K180" i="2"/>
  <c r="M180" i="2"/>
  <c r="S180" i="2" l="1"/>
  <c r="R180" i="2"/>
  <c r="Q180" i="2"/>
  <c r="P180" i="2"/>
  <c r="X178" i="2"/>
  <c r="V179" i="2"/>
  <c r="N181" i="2"/>
  <c r="K181" i="2"/>
  <c r="L181" i="2"/>
  <c r="J181" i="2"/>
  <c r="M181" i="2"/>
  <c r="S181" i="2" l="1"/>
  <c r="R181" i="2"/>
  <c r="Q181" i="2"/>
  <c r="P181" i="2"/>
  <c r="Y179" i="2"/>
  <c r="X179" i="2"/>
  <c r="V180" i="2"/>
  <c r="M182" i="2"/>
  <c r="J182" i="2"/>
  <c r="N182" i="2"/>
  <c r="K182" i="2"/>
  <c r="L182" i="2"/>
  <c r="R182" i="2" l="1"/>
  <c r="S182" i="2"/>
  <c r="Q182" i="2"/>
  <c r="P182" i="2"/>
  <c r="Y180" i="2"/>
  <c r="X180" i="2"/>
  <c r="V181" i="2"/>
  <c r="M183" i="2"/>
  <c r="J183" i="2"/>
  <c r="N183" i="2"/>
  <c r="L183" i="2"/>
  <c r="K183" i="2"/>
  <c r="R183" i="2" l="1"/>
  <c r="S183" i="2"/>
  <c r="Q183" i="2"/>
  <c r="P183" i="2"/>
  <c r="X181" i="2"/>
  <c r="Y181" i="2"/>
  <c r="V182" i="2"/>
  <c r="L184" i="2"/>
  <c r="J184" i="2"/>
  <c r="N184" i="2"/>
  <c r="K184" i="2"/>
  <c r="M184" i="2"/>
  <c r="S184" i="2" l="1"/>
  <c r="R184" i="2"/>
  <c r="Q184" i="2"/>
  <c r="P184" i="2"/>
  <c r="V183" i="2"/>
  <c r="X183" i="2" s="1"/>
  <c r="X182" i="2"/>
  <c r="Y182" i="2"/>
  <c r="M185" i="2"/>
  <c r="J185" i="2"/>
  <c r="N185" i="2"/>
  <c r="L185" i="2"/>
  <c r="K185" i="2"/>
  <c r="R185" i="2" l="1"/>
  <c r="S185" i="2"/>
  <c r="Q185" i="2"/>
  <c r="P185" i="2"/>
  <c r="V184" i="2"/>
  <c r="Y184" i="2" s="1"/>
  <c r="Y183" i="2"/>
  <c r="K186" i="2"/>
  <c r="J186" i="2"/>
  <c r="N186" i="2"/>
  <c r="M186" i="2"/>
  <c r="L186" i="2"/>
  <c r="R186" i="2" l="1"/>
  <c r="S186" i="2"/>
  <c r="Q186" i="2"/>
  <c r="P186" i="2"/>
  <c r="X184" i="2"/>
  <c r="V185" i="2"/>
  <c r="L187" i="2"/>
  <c r="J187" i="2"/>
  <c r="N187" i="2"/>
  <c r="M187" i="2"/>
  <c r="K187" i="2"/>
  <c r="S187" i="2" l="1"/>
  <c r="R187" i="2"/>
  <c r="Q187" i="2"/>
  <c r="P187" i="2"/>
  <c r="X185" i="2"/>
  <c r="Y185" i="2"/>
  <c r="V186" i="2"/>
  <c r="M188" i="2"/>
  <c r="J188" i="2"/>
  <c r="K188" i="2"/>
  <c r="N188" i="2"/>
  <c r="L188" i="2"/>
  <c r="R188" i="2" l="1"/>
  <c r="S188" i="2"/>
  <c r="Q188" i="2"/>
  <c r="P188" i="2"/>
  <c r="X186" i="2"/>
  <c r="Y186" i="2"/>
  <c r="V187" i="2"/>
  <c r="K189" i="2"/>
  <c r="N189" i="2"/>
  <c r="L189" i="2"/>
  <c r="J189" i="2"/>
  <c r="M189" i="2"/>
  <c r="S189" i="2" l="1"/>
  <c r="R189" i="2"/>
  <c r="Q189" i="2"/>
  <c r="P189" i="2"/>
  <c r="Y187" i="2"/>
  <c r="X187" i="2"/>
  <c r="V188" i="2"/>
  <c r="M190" i="2"/>
  <c r="J190" i="2"/>
  <c r="K190" i="2"/>
  <c r="L190" i="2"/>
  <c r="N190" i="2"/>
  <c r="R190" i="2" l="1"/>
  <c r="S190" i="2"/>
  <c r="Q190" i="2"/>
  <c r="P190" i="2"/>
  <c r="V189" i="2"/>
  <c r="Y189" i="2" s="1"/>
  <c r="Y188" i="2"/>
  <c r="X188" i="2"/>
  <c r="K191" i="2"/>
  <c r="J191" i="2"/>
  <c r="L191" i="2"/>
  <c r="N191" i="2"/>
  <c r="M191" i="2"/>
  <c r="S191" i="2" l="1"/>
  <c r="R191" i="2"/>
  <c r="Q191" i="2"/>
  <c r="P191" i="2"/>
  <c r="X189" i="2"/>
  <c r="V190" i="2"/>
  <c r="Y190" i="2" s="1"/>
  <c r="M192" i="2"/>
  <c r="N192" i="2"/>
  <c r="L192" i="2"/>
  <c r="J192" i="2"/>
  <c r="K192" i="2"/>
  <c r="R192" i="2" l="1"/>
  <c r="S192" i="2"/>
  <c r="Q192" i="2"/>
  <c r="P192" i="2"/>
  <c r="X190" i="2"/>
  <c r="V191" i="2"/>
  <c r="N193" i="2"/>
  <c r="J193" i="2"/>
  <c r="K193" i="2"/>
  <c r="M193" i="2"/>
  <c r="L193" i="2"/>
  <c r="R193" i="2" l="1"/>
  <c r="S193" i="2"/>
  <c r="Q193" i="2"/>
  <c r="P193" i="2"/>
  <c r="V192" i="2"/>
  <c r="X191" i="2"/>
  <c r="Y191" i="2"/>
  <c r="K194" i="2"/>
  <c r="L194" i="2"/>
  <c r="M194" i="2"/>
  <c r="N194" i="2"/>
  <c r="J194" i="2"/>
  <c r="S194" i="2" l="1"/>
  <c r="R194" i="2"/>
  <c r="Q194" i="2"/>
  <c r="P194" i="2"/>
  <c r="V193" i="2"/>
  <c r="Y192" i="2"/>
  <c r="X192" i="2"/>
  <c r="L195" i="2"/>
  <c r="J195" i="2"/>
  <c r="K195" i="2"/>
  <c r="N195" i="2"/>
  <c r="M195" i="2"/>
  <c r="S195" i="2" l="1"/>
  <c r="R195" i="2"/>
  <c r="Q195" i="2"/>
  <c r="P195" i="2"/>
  <c r="V194" i="2"/>
  <c r="Y194" i="2" s="1"/>
  <c r="X193" i="2"/>
  <c r="Y193" i="2"/>
  <c r="L196" i="2"/>
  <c r="N196" i="2"/>
  <c r="J196" i="2"/>
  <c r="M196" i="2"/>
  <c r="K196" i="2"/>
  <c r="S196" i="2" l="1"/>
  <c r="R196" i="2"/>
  <c r="Q196" i="2"/>
  <c r="P196" i="2"/>
  <c r="V195" i="2"/>
  <c r="Y195" i="2" s="1"/>
  <c r="X194" i="2"/>
  <c r="L197" i="2"/>
  <c r="N197" i="2"/>
  <c r="M197" i="2"/>
  <c r="J197" i="2"/>
  <c r="K197" i="2"/>
  <c r="S197" i="2" l="1"/>
  <c r="R197" i="2"/>
  <c r="Q197" i="2"/>
  <c r="P197" i="2"/>
  <c r="X195" i="2"/>
  <c r="V196" i="2"/>
  <c r="M198" i="2"/>
  <c r="J198" i="2"/>
  <c r="N198" i="2"/>
  <c r="K198" i="2"/>
  <c r="L198" i="2"/>
  <c r="R198" i="2" l="1"/>
  <c r="S198" i="2"/>
  <c r="Q198" i="2"/>
  <c r="P198" i="2"/>
  <c r="V197" i="2"/>
  <c r="X197" i="2" s="1"/>
  <c r="Y196" i="2"/>
  <c r="X196" i="2"/>
  <c r="N199" i="2"/>
  <c r="J199" i="2"/>
  <c r="L199" i="2"/>
  <c r="M199" i="2"/>
  <c r="K199" i="2"/>
  <c r="S199" i="2" l="1"/>
  <c r="R199" i="2"/>
  <c r="Q199" i="2"/>
  <c r="P199" i="2"/>
  <c r="Y197" i="2"/>
  <c r="V198" i="2"/>
  <c r="X198" i="2" s="1"/>
  <c r="M200" i="2"/>
  <c r="N200" i="2"/>
  <c r="J200" i="2"/>
  <c r="L200" i="2"/>
  <c r="K200" i="2"/>
  <c r="R200" i="2" l="1"/>
  <c r="S200" i="2"/>
  <c r="Q200" i="2"/>
  <c r="P200" i="2"/>
  <c r="Y198" i="2"/>
  <c r="V199" i="2"/>
  <c r="L201" i="2"/>
  <c r="J201" i="2"/>
  <c r="M201" i="2"/>
  <c r="K201" i="2"/>
  <c r="N201" i="2"/>
  <c r="S201" i="2" l="1"/>
  <c r="R201" i="2"/>
  <c r="Q201" i="2"/>
  <c r="P201" i="2"/>
  <c r="V200" i="2"/>
  <c r="Y200" i="2" s="1"/>
  <c r="X199" i="2"/>
  <c r="Y199" i="2"/>
  <c r="L202" i="2"/>
  <c r="K202" i="2"/>
  <c r="N202" i="2"/>
  <c r="M202" i="2"/>
  <c r="J202" i="2"/>
  <c r="S202" i="2" l="1"/>
  <c r="R202" i="2"/>
  <c r="Q202" i="2"/>
  <c r="P202" i="2"/>
  <c r="X200" i="2"/>
  <c r="V201" i="2"/>
  <c r="N203" i="2"/>
  <c r="K203" i="2"/>
  <c r="M203" i="2"/>
  <c r="J203" i="2"/>
  <c r="L203" i="2"/>
  <c r="R203" i="2" l="1"/>
  <c r="S203" i="2"/>
  <c r="Q203" i="2"/>
  <c r="P203" i="2"/>
  <c r="Y201" i="2"/>
  <c r="X201" i="2"/>
  <c r="V202" i="2"/>
  <c r="L204" i="2"/>
  <c r="K204" i="2"/>
  <c r="J204" i="2"/>
  <c r="N204" i="2"/>
  <c r="M204" i="2"/>
  <c r="S204" i="2" l="1"/>
  <c r="R204" i="2"/>
  <c r="Q204" i="2"/>
  <c r="P204" i="2"/>
  <c r="X202" i="2"/>
  <c r="Y202" i="2"/>
  <c r="V203" i="2"/>
  <c r="L205" i="2"/>
  <c r="M205" i="2"/>
  <c r="K205" i="2"/>
  <c r="N205" i="2"/>
  <c r="J205" i="2"/>
  <c r="S205" i="2" l="1"/>
  <c r="R205" i="2"/>
  <c r="Q205" i="2"/>
  <c r="P205" i="2"/>
  <c r="Y203" i="2"/>
  <c r="X203" i="2"/>
  <c r="V204" i="2"/>
  <c r="M206" i="2"/>
  <c r="L206" i="2"/>
  <c r="J206" i="2"/>
  <c r="N206" i="2"/>
  <c r="K206" i="2"/>
  <c r="R206" i="2" l="1"/>
  <c r="S206" i="2"/>
  <c r="Q206" i="2"/>
  <c r="P206" i="2"/>
  <c r="V205" i="2"/>
  <c r="X205" i="2" s="1"/>
  <c r="Y204" i="2"/>
  <c r="X204" i="2"/>
  <c r="L207" i="2"/>
  <c r="N207" i="2"/>
  <c r="M207" i="2"/>
  <c r="K207" i="2"/>
  <c r="J207" i="2"/>
  <c r="S207" i="2" l="1"/>
  <c r="R207" i="2"/>
  <c r="Q207" i="2"/>
  <c r="P207" i="2"/>
  <c r="Y205" i="2"/>
  <c r="V206" i="2"/>
  <c r="M208" i="2"/>
  <c r="N208" i="2"/>
  <c r="L208" i="2"/>
  <c r="J208" i="2"/>
  <c r="K208" i="2"/>
  <c r="R208" i="2" l="1"/>
  <c r="S208" i="2"/>
  <c r="Q208" i="2"/>
  <c r="P208" i="2"/>
  <c r="X206" i="2"/>
  <c r="Y206" i="2"/>
  <c r="V207" i="2"/>
  <c r="K209" i="2"/>
  <c r="J209" i="2"/>
  <c r="M209" i="2"/>
  <c r="L209" i="2"/>
  <c r="N209" i="2"/>
  <c r="R209" i="2" l="1"/>
  <c r="S209" i="2"/>
  <c r="Q209" i="2"/>
  <c r="P209" i="2"/>
  <c r="X207" i="2"/>
  <c r="Y207" i="2"/>
  <c r="V208" i="2"/>
  <c r="L210" i="2"/>
  <c r="J210" i="2"/>
  <c r="M210" i="2"/>
  <c r="K210" i="2"/>
  <c r="N210" i="2"/>
  <c r="S210" i="2" l="1"/>
  <c r="R210" i="2"/>
  <c r="Q210" i="2"/>
  <c r="P210" i="2"/>
  <c r="Y208" i="2"/>
  <c r="X208" i="2"/>
  <c r="V209" i="2"/>
  <c r="L211" i="2"/>
  <c r="M211" i="2"/>
  <c r="J211" i="2"/>
  <c r="N211" i="2"/>
  <c r="K211" i="2"/>
  <c r="S211" i="2" l="1"/>
  <c r="R211" i="2"/>
  <c r="Q211" i="2"/>
  <c r="P211" i="2"/>
  <c r="X209" i="2"/>
  <c r="Y209" i="2"/>
  <c r="V210" i="2"/>
  <c r="L212" i="2"/>
  <c r="N212" i="2"/>
  <c r="M212" i="2"/>
  <c r="K212" i="2"/>
  <c r="J212" i="2"/>
  <c r="S212" i="2" l="1"/>
  <c r="R212" i="2"/>
  <c r="Q212" i="2"/>
  <c r="P212" i="2"/>
  <c r="V211" i="2"/>
  <c r="X211" i="2" s="1"/>
  <c r="X210" i="2"/>
  <c r="Y210" i="2"/>
  <c r="N213" i="2"/>
  <c r="L213" i="2"/>
  <c r="K213" i="2"/>
  <c r="M213" i="2"/>
  <c r="J213" i="2"/>
  <c r="S213" i="2" l="1"/>
  <c r="R213" i="2"/>
  <c r="Q213" i="2"/>
  <c r="P213" i="2"/>
  <c r="Y211" i="2"/>
  <c r="V212" i="2"/>
  <c r="N214" i="2"/>
  <c r="M214" i="2"/>
  <c r="K214" i="2"/>
  <c r="J214" i="2"/>
  <c r="L214" i="2"/>
  <c r="R214" i="2" l="1"/>
  <c r="S214" i="2"/>
  <c r="Q214" i="2"/>
  <c r="P214" i="2"/>
  <c r="V213" i="2"/>
  <c r="Y213" i="2" s="1"/>
  <c r="X212" i="2"/>
  <c r="Y212" i="2"/>
  <c r="K215" i="2"/>
  <c r="N215" i="2"/>
  <c r="M215" i="2"/>
  <c r="J215" i="2"/>
  <c r="L215" i="2"/>
  <c r="R215" i="2" l="1"/>
  <c r="S215" i="2"/>
  <c r="Q215" i="2"/>
  <c r="P215" i="2"/>
  <c r="X213" i="2"/>
  <c r="V214" i="2"/>
  <c r="L216" i="2"/>
  <c r="K216" i="2"/>
  <c r="J216" i="2"/>
  <c r="M216" i="2"/>
  <c r="N216" i="2"/>
  <c r="S216" i="2" l="1"/>
  <c r="R216" i="2"/>
  <c r="Q216" i="2"/>
  <c r="P216" i="2"/>
  <c r="V215" i="2"/>
  <c r="Y215" i="2" s="1"/>
  <c r="X214" i="2"/>
  <c r="Y214" i="2"/>
  <c r="N217" i="2"/>
  <c r="M217" i="2"/>
  <c r="L217" i="2"/>
  <c r="J217" i="2"/>
  <c r="K217" i="2"/>
  <c r="R217" i="2" l="1"/>
  <c r="S217" i="2"/>
  <c r="Q217" i="2"/>
  <c r="P217" i="2"/>
  <c r="X215" i="2"/>
  <c r="V216" i="2"/>
  <c r="L218" i="2"/>
  <c r="N218" i="2"/>
  <c r="J218" i="2"/>
  <c r="M218" i="2"/>
  <c r="K218" i="2"/>
  <c r="S218" i="2" l="1"/>
  <c r="R218" i="2"/>
  <c r="Q218" i="2"/>
  <c r="P218" i="2"/>
  <c r="X216" i="2"/>
  <c r="Y216" i="2"/>
  <c r="V217" i="2"/>
  <c r="N219" i="2"/>
  <c r="M219" i="2"/>
  <c r="K219" i="2"/>
  <c r="L219" i="2"/>
  <c r="J219" i="2"/>
  <c r="R219" i="2" l="1"/>
  <c r="S219" i="2"/>
  <c r="Q219" i="2"/>
  <c r="P219" i="2"/>
  <c r="V218" i="2"/>
  <c r="X218" i="2" s="1"/>
  <c r="X217" i="2"/>
  <c r="Y217" i="2"/>
  <c r="L220" i="2"/>
  <c r="M220" i="2"/>
  <c r="N220" i="2"/>
  <c r="K220" i="2"/>
  <c r="J220" i="2"/>
  <c r="S220" i="2" l="1"/>
  <c r="R220" i="2"/>
  <c r="Q220" i="2"/>
  <c r="P220" i="2"/>
  <c r="Y218" i="2"/>
  <c r="V219" i="2"/>
  <c r="L221" i="2"/>
  <c r="J221" i="2"/>
  <c r="N221" i="2"/>
  <c r="M221" i="2"/>
  <c r="K221" i="2"/>
  <c r="S221" i="2" l="1"/>
  <c r="R221" i="2"/>
  <c r="Q221" i="2"/>
  <c r="P221" i="2"/>
  <c r="V220" i="2"/>
  <c r="X219" i="2"/>
  <c r="Y219" i="2"/>
  <c r="M222" i="2"/>
  <c r="J222" i="2"/>
  <c r="L222" i="2"/>
  <c r="N222" i="2"/>
  <c r="K222" i="2"/>
  <c r="R222" i="2" l="1"/>
  <c r="S222" i="2"/>
  <c r="Q222" i="2"/>
  <c r="P222" i="2"/>
  <c r="Y220" i="2"/>
  <c r="X220" i="2"/>
  <c r="V221" i="2"/>
  <c r="K223" i="2"/>
  <c r="N223" i="2"/>
  <c r="L223" i="2"/>
  <c r="M223" i="2"/>
  <c r="J223" i="2"/>
  <c r="S223" i="2" l="1"/>
  <c r="R223" i="2"/>
  <c r="Q223" i="2"/>
  <c r="P223" i="2"/>
  <c r="V222" i="2"/>
  <c r="X222" i="2" s="1"/>
  <c r="X221" i="2"/>
  <c r="Y221" i="2"/>
  <c r="N224" i="2"/>
  <c r="M224" i="2"/>
  <c r="L224" i="2"/>
  <c r="K224" i="2"/>
  <c r="J224" i="2"/>
  <c r="R224" i="2" l="1"/>
  <c r="S224" i="2"/>
  <c r="Q224" i="2"/>
  <c r="P224" i="2"/>
  <c r="Y222" i="2"/>
  <c r="V223" i="2"/>
  <c r="N225" i="2"/>
  <c r="M225" i="2"/>
  <c r="L225" i="2"/>
  <c r="J225" i="2"/>
  <c r="K225" i="2"/>
  <c r="R225" i="2" l="1"/>
  <c r="S225" i="2"/>
  <c r="Q225" i="2"/>
  <c r="P225" i="2"/>
  <c r="V224" i="2"/>
  <c r="X224" i="2" s="1"/>
  <c r="Y223" i="2"/>
  <c r="X223" i="2"/>
  <c r="K226" i="2"/>
  <c r="L226" i="2"/>
  <c r="M226" i="2"/>
  <c r="N226" i="2"/>
  <c r="J226" i="2"/>
  <c r="S226" i="2" l="1"/>
  <c r="R226" i="2"/>
  <c r="Q226" i="2"/>
  <c r="P226" i="2"/>
  <c r="Y224" i="2"/>
  <c r="V225" i="2"/>
  <c r="N227" i="2"/>
  <c r="K227" i="2"/>
  <c r="J227" i="2"/>
  <c r="M227" i="2"/>
  <c r="L227" i="2"/>
  <c r="R227" i="2" l="1"/>
  <c r="S227" i="2"/>
  <c r="Q227" i="2"/>
  <c r="P227" i="2"/>
  <c r="V226" i="2"/>
  <c r="Y225" i="2"/>
  <c r="X225" i="2"/>
  <c r="L228" i="2"/>
  <c r="M228" i="2"/>
  <c r="K228" i="2"/>
  <c r="N228" i="2"/>
  <c r="J228" i="2"/>
  <c r="S228" i="2" l="1"/>
  <c r="R228" i="2"/>
  <c r="Q228" i="2"/>
  <c r="P228" i="2"/>
  <c r="X226" i="2"/>
  <c r="Y226" i="2"/>
  <c r="V227" i="2"/>
  <c r="N229" i="2"/>
  <c r="J229" i="2"/>
  <c r="L229" i="2"/>
  <c r="K229" i="2"/>
  <c r="M229" i="2"/>
  <c r="S229" i="2" l="1"/>
  <c r="R229" i="2"/>
  <c r="Q229" i="2"/>
  <c r="P229" i="2"/>
  <c r="X227" i="2"/>
  <c r="Y227" i="2"/>
  <c r="V228" i="2"/>
  <c r="M230" i="2"/>
  <c r="L230" i="2"/>
  <c r="N230" i="2"/>
  <c r="K230" i="2"/>
  <c r="J230" i="2"/>
  <c r="R230" i="2" l="1"/>
  <c r="S230" i="2"/>
  <c r="Q230" i="2"/>
  <c r="P230" i="2"/>
  <c r="Y228" i="2"/>
  <c r="X228" i="2"/>
  <c r="V229" i="2"/>
  <c r="N231" i="2"/>
  <c r="K231" i="2"/>
  <c r="L231" i="2"/>
  <c r="M231" i="2"/>
  <c r="J231" i="2"/>
  <c r="S231" i="2" l="1"/>
  <c r="R231" i="2"/>
  <c r="Q231" i="2"/>
  <c r="P231" i="2"/>
  <c r="V230" i="2"/>
  <c r="X229" i="2"/>
  <c r="Y229" i="2"/>
  <c r="L232" i="2"/>
  <c r="N232" i="2"/>
  <c r="K232" i="2"/>
  <c r="J232" i="2"/>
  <c r="M232" i="2"/>
  <c r="S232" i="2" l="1"/>
  <c r="R232" i="2"/>
  <c r="Q232" i="2"/>
  <c r="P232" i="2"/>
  <c r="X230" i="2"/>
  <c r="Y230" i="2"/>
  <c r="V231" i="2"/>
  <c r="K233" i="2"/>
  <c r="M233" i="2"/>
  <c r="N233" i="2"/>
  <c r="L233" i="2"/>
  <c r="J233" i="2"/>
  <c r="R233" i="2" l="1"/>
  <c r="S233" i="2"/>
  <c r="Q233" i="2"/>
  <c r="P233" i="2"/>
  <c r="Y231" i="2"/>
  <c r="X231" i="2"/>
  <c r="V232" i="2"/>
  <c r="M234" i="2"/>
  <c r="N234" i="2"/>
  <c r="K234" i="2"/>
  <c r="J234" i="2"/>
  <c r="L234" i="2"/>
  <c r="R234" i="2" l="1"/>
  <c r="S234" i="2"/>
  <c r="Q234" i="2"/>
  <c r="P234" i="2"/>
  <c r="V233" i="2"/>
  <c r="Y232" i="2"/>
  <c r="X232" i="2"/>
  <c r="N235" i="2"/>
  <c r="M235" i="2"/>
  <c r="K235" i="2"/>
  <c r="L235" i="2"/>
  <c r="J235" i="2"/>
  <c r="R235" i="2" l="1"/>
  <c r="S235" i="2"/>
  <c r="Q235" i="2"/>
  <c r="P235" i="2"/>
  <c r="Y233" i="2"/>
  <c r="X233" i="2"/>
  <c r="V234" i="2"/>
  <c r="N236" i="2"/>
  <c r="L236" i="2"/>
  <c r="M236" i="2"/>
  <c r="K236" i="2"/>
  <c r="J236" i="2"/>
  <c r="S236" i="2" l="1"/>
  <c r="R236" i="2"/>
  <c r="Q236" i="2"/>
  <c r="P236" i="2"/>
  <c r="X234" i="2"/>
  <c r="Y234" i="2"/>
  <c r="V235" i="2"/>
  <c r="N237" i="2"/>
  <c r="K237" i="2"/>
  <c r="L237" i="2"/>
  <c r="M237" i="2"/>
  <c r="J237" i="2"/>
  <c r="S237" i="2" l="1"/>
  <c r="R237" i="2"/>
  <c r="Q237" i="2"/>
  <c r="P237" i="2"/>
  <c r="X235" i="2"/>
  <c r="Y235" i="2"/>
  <c r="V236" i="2"/>
  <c r="L238" i="2"/>
  <c r="M238" i="2"/>
  <c r="N238" i="2"/>
  <c r="J238" i="2"/>
  <c r="K238" i="2"/>
  <c r="S238" i="2" l="1"/>
  <c r="R238" i="2"/>
  <c r="Q238" i="2"/>
  <c r="P238" i="2"/>
  <c r="Y236" i="2"/>
  <c r="X236" i="2"/>
  <c r="V237" i="2"/>
  <c r="N239" i="2"/>
  <c r="M239" i="2"/>
  <c r="J239" i="2"/>
  <c r="L239" i="2"/>
  <c r="K239" i="2"/>
  <c r="R239" i="2" l="1"/>
  <c r="S239" i="2"/>
  <c r="Q239" i="2"/>
  <c r="P239" i="2"/>
  <c r="V238" i="2"/>
  <c r="X238" i="2" s="1"/>
  <c r="X237" i="2"/>
  <c r="Y237" i="2"/>
  <c r="N240" i="2"/>
  <c r="M240" i="2"/>
  <c r="L240" i="2"/>
  <c r="J240" i="2"/>
  <c r="K240" i="2"/>
  <c r="R240" i="2" l="1"/>
  <c r="S240" i="2"/>
  <c r="Q240" i="2"/>
  <c r="P240" i="2"/>
  <c r="Y238" i="2"/>
  <c r="V239" i="2"/>
  <c r="N241" i="2"/>
  <c r="J241" i="2"/>
  <c r="L241" i="2"/>
  <c r="K241" i="2"/>
  <c r="M241" i="2"/>
  <c r="S241" i="2" l="1"/>
  <c r="R241" i="2"/>
  <c r="Q241" i="2"/>
  <c r="P241" i="2"/>
  <c r="Y239" i="2"/>
  <c r="X239" i="2"/>
  <c r="V240" i="2"/>
  <c r="L242" i="2"/>
  <c r="N242" i="2"/>
  <c r="K242" i="2"/>
  <c r="J242" i="2"/>
  <c r="M242" i="2"/>
  <c r="S242" i="2" l="1"/>
  <c r="R242" i="2"/>
  <c r="Q242" i="2"/>
  <c r="P242" i="2"/>
  <c r="X240" i="2"/>
  <c r="Y240" i="2"/>
  <c r="V241" i="2"/>
  <c r="M243" i="2"/>
  <c r="N243" i="2"/>
  <c r="J243" i="2"/>
  <c r="K243" i="2"/>
  <c r="L243" i="2"/>
  <c r="R243" i="2" l="1"/>
  <c r="S243" i="2"/>
  <c r="Q243" i="2"/>
  <c r="P243" i="2"/>
  <c r="X241" i="2"/>
  <c r="Y241" i="2"/>
  <c r="V242" i="2"/>
  <c r="M244" i="2"/>
  <c r="N244" i="2"/>
  <c r="K244" i="2"/>
  <c r="J244" i="2"/>
  <c r="L244" i="2"/>
  <c r="R244" i="2" l="1"/>
  <c r="S244" i="2"/>
  <c r="Q244" i="2"/>
  <c r="P244" i="2"/>
  <c r="X242" i="2"/>
  <c r="Y242" i="2"/>
  <c r="V243" i="2"/>
  <c r="K245" i="2"/>
  <c r="J245" i="2"/>
  <c r="N245" i="2"/>
  <c r="L245" i="2"/>
  <c r="M245" i="2"/>
  <c r="S245" i="2" l="1"/>
  <c r="R245" i="2"/>
  <c r="Q245" i="2"/>
  <c r="P245" i="2"/>
  <c r="X243" i="2"/>
  <c r="Y243" i="2"/>
  <c r="V244" i="2"/>
  <c r="K246" i="2"/>
  <c r="J246" i="2"/>
  <c r="L246" i="2"/>
  <c r="M246" i="2"/>
  <c r="N246" i="2"/>
  <c r="S246" i="2" l="1"/>
  <c r="R246" i="2"/>
  <c r="Q246" i="2"/>
  <c r="P246" i="2"/>
  <c r="V245" i="2"/>
  <c r="X244" i="2"/>
  <c r="Y244" i="2"/>
  <c r="L247" i="2"/>
  <c r="K247" i="2"/>
  <c r="N247" i="2"/>
  <c r="J247" i="2"/>
  <c r="M247" i="2"/>
  <c r="S247" i="2" l="1"/>
  <c r="R247" i="2"/>
  <c r="Q247" i="2"/>
  <c r="P247" i="2"/>
  <c r="V246" i="2"/>
  <c r="X246" i="2" s="1"/>
  <c r="Y245" i="2"/>
  <c r="X245" i="2"/>
  <c r="N248" i="2"/>
  <c r="M248" i="2"/>
  <c r="L248" i="2"/>
  <c r="J248" i="2"/>
  <c r="K248" i="2"/>
  <c r="R248" i="2" l="1"/>
  <c r="S248" i="2"/>
  <c r="Q248" i="2"/>
  <c r="P248" i="2"/>
  <c r="Y246" i="2"/>
  <c r="V247" i="2"/>
  <c r="K249" i="2"/>
  <c r="J249" i="2"/>
  <c r="M249" i="2"/>
  <c r="L249" i="2"/>
  <c r="N249" i="2"/>
  <c r="R249" i="2" l="1"/>
  <c r="S249" i="2"/>
  <c r="Q249" i="2"/>
  <c r="P249" i="2"/>
  <c r="Y247" i="2"/>
  <c r="X247" i="2"/>
  <c r="V248" i="2"/>
  <c r="L250" i="2"/>
  <c r="J250" i="2"/>
  <c r="K250" i="2"/>
  <c r="M250" i="2"/>
  <c r="N250" i="2"/>
  <c r="S250" i="2" l="1"/>
  <c r="R250" i="2"/>
  <c r="Q250" i="2"/>
  <c r="P250" i="2"/>
  <c r="Y248" i="2"/>
  <c r="X248" i="2"/>
  <c r="V249" i="2"/>
  <c r="M251" i="2"/>
  <c r="J251" i="2"/>
  <c r="L251" i="2"/>
  <c r="N251" i="2"/>
  <c r="K251" i="2"/>
  <c r="R251" i="2" l="1"/>
  <c r="S251" i="2"/>
  <c r="Q251" i="2"/>
  <c r="P251" i="2"/>
  <c r="V250" i="2"/>
  <c r="Y250" i="2" s="1"/>
  <c r="X249" i="2"/>
  <c r="Y249" i="2"/>
  <c r="M252" i="2"/>
  <c r="J252" i="2"/>
  <c r="N252" i="2"/>
  <c r="L252" i="2"/>
  <c r="K252" i="2"/>
  <c r="R252" i="2" l="1"/>
  <c r="S252" i="2"/>
  <c r="Q252" i="2"/>
  <c r="P252" i="2"/>
  <c r="X250" i="2"/>
  <c r="V251" i="2"/>
  <c r="M253" i="2"/>
  <c r="K253" i="2"/>
  <c r="J253" i="2"/>
  <c r="L253" i="2"/>
  <c r="N253" i="2"/>
  <c r="R253" i="2" l="1"/>
  <c r="S253" i="2"/>
  <c r="Q253" i="2"/>
  <c r="P253" i="2"/>
  <c r="Y251" i="2"/>
  <c r="X251" i="2"/>
  <c r="V252" i="2"/>
  <c r="L254" i="2"/>
  <c r="N254" i="2"/>
  <c r="M254" i="2"/>
  <c r="K254" i="2"/>
  <c r="J254" i="2"/>
  <c r="S254" i="2" l="1"/>
  <c r="R254" i="2"/>
  <c r="Q254" i="2"/>
  <c r="P254" i="2"/>
  <c r="V253" i="2"/>
  <c r="X252" i="2"/>
  <c r="Y252" i="2"/>
  <c r="K255" i="2"/>
  <c r="L255" i="2"/>
  <c r="M255" i="2"/>
  <c r="J255" i="2"/>
  <c r="N255" i="2"/>
  <c r="S255" i="2" l="1"/>
  <c r="R255" i="2"/>
  <c r="Q255" i="2"/>
  <c r="P255" i="2"/>
  <c r="X253" i="2"/>
  <c r="Y253" i="2"/>
  <c r="V254" i="2"/>
  <c r="N256" i="2"/>
  <c r="K256" i="2"/>
  <c r="M256" i="2"/>
  <c r="J256" i="2"/>
  <c r="L256" i="2"/>
  <c r="R256" i="2" l="1"/>
  <c r="S256" i="2"/>
  <c r="Q256" i="2"/>
  <c r="P256" i="2"/>
  <c r="V255" i="2"/>
  <c r="Y255" i="2" s="1"/>
  <c r="Y254" i="2"/>
  <c r="X254" i="2"/>
  <c r="N257" i="2"/>
  <c r="K257" i="2"/>
  <c r="M257" i="2"/>
  <c r="J257" i="2"/>
  <c r="L257" i="2"/>
  <c r="R257" i="2" l="1"/>
  <c r="S257" i="2"/>
  <c r="Q257" i="2"/>
  <c r="P257" i="2"/>
  <c r="X255" i="2"/>
  <c r="V256" i="2"/>
  <c r="X256" i="2" s="1"/>
  <c r="L258" i="2"/>
  <c r="J258" i="2"/>
  <c r="M258" i="2"/>
  <c r="N258" i="2"/>
  <c r="K258" i="2"/>
  <c r="S258" i="2" l="1"/>
  <c r="R258" i="2"/>
  <c r="Q258" i="2"/>
  <c r="P258" i="2"/>
  <c r="Y256" i="2"/>
  <c r="V257" i="2"/>
  <c r="Y257" i="2" s="1"/>
  <c r="L259" i="2"/>
  <c r="M259" i="2"/>
  <c r="K259" i="2"/>
  <c r="J259" i="2"/>
  <c r="N259" i="2"/>
  <c r="S259" i="2" l="1"/>
  <c r="R259" i="2"/>
  <c r="Q259" i="2"/>
  <c r="P259" i="2"/>
  <c r="X257" i="2"/>
  <c r="V258" i="2"/>
  <c r="L260" i="2"/>
  <c r="J260" i="2"/>
  <c r="M260" i="2"/>
  <c r="N260" i="2"/>
  <c r="K260" i="2"/>
  <c r="S260" i="2" l="1"/>
  <c r="R260" i="2"/>
  <c r="Q260" i="2"/>
  <c r="P260" i="2"/>
  <c r="V259" i="2"/>
  <c r="X259" i="2" s="1"/>
  <c r="X258" i="2"/>
  <c r="Y258" i="2"/>
  <c r="N261" i="2"/>
  <c r="J261" i="2"/>
  <c r="K261" i="2"/>
  <c r="M261" i="2"/>
  <c r="L261" i="2"/>
  <c r="R261" i="2" l="1"/>
  <c r="S261" i="2"/>
  <c r="Q261" i="2"/>
  <c r="P261" i="2"/>
  <c r="Y259" i="2"/>
  <c r="V260" i="2"/>
  <c r="N262" i="2"/>
  <c r="L262" i="2"/>
  <c r="K262" i="2"/>
  <c r="J262" i="2"/>
  <c r="M262" i="2"/>
  <c r="S262" i="2" l="1"/>
  <c r="R262" i="2"/>
  <c r="Q262" i="2"/>
  <c r="P262" i="2"/>
  <c r="V261" i="2"/>
  <c r="Y261" i="2" s="1"/>
  <c r="X260" i="2"/>
  <c r="Y260" i="2"/>
  <c r="K263" i="2"/>
  <c r="L263" i="2"/>
  <c r="J263" i="2"/>
  <c r="M263" i="2"/>
  <c r="N263" i="2"/>
  <c r="S263" i="2" l="1"/>
  <c r="R263" i="2"/>
  <c r="Q263" i="2"/>
  <c r="P263" i="2"/>
  <c r="X261" i="2"/>
  <c r="V262" i="2"/>
  <c r="M264" i="2"/>
  <c r="L264" i="2"/>
  <c r="K264" i="2"/>
  <c r="J264" i="2"/>
  <c r="N264" i="2"/>
  <c r="R264" i="2" l="1"/>
  <c r="S264" i="2"/>
  <c r="Q264" i="2"/>
  <c r="P264" i="2"/>
  <c r="V263" i="2"/>
  <c r="X262" i="2"/>
  <c r="Y262" i="2"/>
  <c r="L265" i="2"/>
  <c r="J265" i="2"/>
  <c r="K265" i="2"/>
  <c r="N265" i="2"/>
  <c r="M265" i="2"/>
  <c r="S265" i="2" l="1"/>
  <c r="R265" i="2"/>
  <c r="Q265" i="2"/>
  <c r="P265" i="2"/>
  <c r="X263" i="2"/>
  <c r="Y263" i="2"/>
  <c r="V264" i="2"/>
  <c r="N266" i="2"/>
  <c r="L266" i="2"/>
  <c r="K266" i="2"/>
  <c r="J266" i="2"/>
  <c r="M266" i="2"/>
  <c r="S266" i="2" l="1"/>
  <c r="R266" i="2"/>
  <c r="Q266" i="2"/>
  <c r="P266" i="2"/>
  <c r="X264" i="2"/>
  <c r="Y264" i="2"/>
  <c r="V265" i="2"/>
  <c r="N267" i="2"/>
  <c r="M267" i="2"/>
  <c r="K267" i="2"/>
  <c r="J267" i="2"/>
  <c r="L267" i="2"/>
  <c r="R267" i="2" l="1"/>
  <c r="S267" i="2"/>
  <c r="Q267" i="2"/>
  <c r="P267" i="2"/>
  <c r="V266" i="2"/>
  <c r="Y265" i="2"/>
  <c r="X265" i="2"/>
  <c r="L268" i="2"/>
  <c r="K268" i="2"/>
  <c r="J268" i="2"/>
  <c r="M268" i="2"/>
  <c r="N268" i="2"/>
  <c r="S268" i="2" l="1"/>
  <c r="R268" i="2"/>
  <c r="Q268" i="2"/>
  <c r="P268" i="2"/>
  <c r="V267" i="2"/>
  <c r="Y267" i="2" s="1"/>
  <c r="X266" i="2"/>
  <c r="Y266" i="2"/>
  <c r="N269" i="2"/>
  <c r="K269" i="2"/>
  <c r="L269" i="2"/>
  <c r="M269" i="2"/>
  <c r="J269" i="2"/>
  <c r="S269" i="2" l="1"/>
  <c r="R269" i="2"/>
  <c r="Q269" i="2"/>
  <c r="P269" i="2"/>
  <c r="X267" i="2"/>
  <c r="V268" i="2"/>
  <c r="L270" i="2"/>
  <c r="J270" i="2"/>
  <c r="K270" i="2"/>
  <c r="N270" i="2"/>
  <c r="M270" i="2"/>
  <c r="S270" i="2" l="1"/>
  <c r="R270" i="2"/>
  <c r="Q270" i="2"/>
  <c r="P270" i="2"/>
  <c r="X268" i="2"/>
  <c r="Y268" i="2"/>
  <c r="V269" i="2"/>
  <c r="N271" i="2"/>
  <c r="J271" i="2"/>
  <c r="K271" i="2"/>
  <c r="L271" i="2"/>
  <c r="M271" i="2"/>
  <c r="S271" i="2" l="1"/>
  <c r="R271" i="2"/>
  <c r="Q271" i="2"/>
  <c r="P271" i="2"/>
  <c r="Y269" i="2"/>
  <c r="X269" i="2"/>
  <c r="V270" i="2"/>
  <c r="L272" i="2"/>
  <c r="J272" i="2"/>
  <c r="K272" i="2"/>
  <c r="M272" i="2"/>
  <c r="N272" i="2"/>
  <c r="S272" i="2" l="1"/>
  <c r="R272" i="2"/>
  <c r="Q272" i="2"/>
  <c r="P272" i="2"/>
  <c r="V271" i="2"/>
  <c r="Y271" i="2" s="1"/>
  <c r="Y270" i="2"/>
  <c r="X270" i="2"/>
  <c r="N273" i="2"/>
  <c r="M273" i="2"/>
  <c r="L273" i="2"/>
  <c r="J273" i="2"/>
  <c r="K273" i="2"/>
  <c r="R273" i="2" l="1"/>
  <c r="S273" i="2"/>
  <c r="Q273" i="2"/>
  <c r="P273" i="2"/>
  <c r="X271" i="2"/>
  <c r="V272" i="2"/>
  <c r="N274" i="2"/>
  <c r="K274" i="2"/>
  <c r="L274" i="2"/>
  <c r="J274" i="2"/>
  <c r="M274" i="2"/>
  <c r="S274" i="2" l="1"/>
  <c r="R274" i="2"/>
  <c r="Q274" i="2"/>
  <c r="P274" i="2"/>
  <c r="Y272" i="2"/>
  <c r="X272" i="2"/>
  <c r="V273" i="2"/>
  <c r="M275" i="2"/>
  <c r="K275" i="2"/>
  <c r="N275" i="2"/>
  <c r="L275" i="2"/>
  <c r="J275" i="2"/>
  <c r="R275" i="2" l="1"/>
  <c r="S275" i="2"/>
  <c r="Q275" i="2"/>
  <c r="P275" i="2"/>
  <c r="Y273" i="2"/>
  <c r="X273" i="2"/>
  <c r="V274" i="2"/>
  <c r="N276" i="2"/>
  <c r="K276" i="2"/>
  <c r="M276" i="2"/>
  <c r="J276" i="2"/>
  <c r="L276" i="2"/>
  <c r="R276" i="2" l="1"/>
  <c r="S276" i="2"/>
  <c r="Q276" i="2"/>
  <c r="P276" i="2"/>
  <c r="Y274" i="2"/>
  <c r="X274" i="2"/>
  <c r="V275" i="2"/>
  <c r="K277" i="2"/>
  <c r="N277" i="2"/>
  <c r="L277" i="2"/>
  <c r="J277" i="2"/>
  <c r="M277" i="2"/>
  <c r="S277" i="2" l="1"/>
  <c r="R277" i="2"/>
  <c r="Q277" i="2"/>
  <c r="P277" i="2"/>
  <c r="V276" i="2"/>
  <c r="Y276" i="2" s="1"/>
  <c r="Y275" i="2"/>
  <c r="X275" i="2"/>
  <c r="N278" i="2"/>
  <c r="M278" i="2"/>
  <c r="J278" i="2"/>
  <c r="L278" i="2"/>
  <c r="K278" i="2"/>
  <c r="R278" i="2" l="1"/>
  <c r="S278" i="2"/>
  <c r="Q278" i="2"/>
  <c r="P278" i="2"/>
  <c r="X276" i="2"/>
  <c r="V277" i="2"/>
  <c r="N279" i="2"/>
  <c r="J279" i="2"/>
  <c r="L279" i="2"/>
  <c r="K279" i="2"/>
  <c r="M279" i="2"/>
  <c r="S279" i="2" l="1"/>
  <c r="R279" i="2"/>
  <c r="Q279" i="2"/>
  <c r="P279" i="2"/>
  <c r="V278" i="2"/>
  <c r="Y278" i="2" s="1"/>
  <c r="Y277" i="2"/>
  <c r="X277" i="2"/>
  <c r="M280" i="2"/>
  <c r="K280" i="2"/>
  <c r="J280" i="2"/>
  <c r="L280" i="2"/>
  <c r="N280" i="2"/>
  <c r="R280" i="2" l="1"/>
  <c r="S280" i="2"/>
  <c r="Q280" i="2"/>
  <c r="P280" i="2"/>
  <c r="X278" i="2"/>
  <c r="V279" i="2"/>
  <c r="N281" i="2"/>
  <c r="M281" i="2"/>
  <c r="L281" i="2"/>
  <c r="J281" i="2"/>
  <c r="K281" i="2"/>
  <c r="R281" i="2" l="1"/>
  <c r="S281" i="2"/>
  <c r="Q281" i="2"/>
  <c r="P281" i="2"/>
  <c r="X279" i="2"/>
  <c r="Y279" i="2"/>
  <c r="V280" i="2"/>
  <c r="M282" i="2"/>
  <c r="J282" i="2"/>
  <c r="N282" i="2"/>
  <c r="L282" i="2"/>
  <c r="K282" i="2"/>
  <c r="R282" i="2" l="1"/>
  <c r="S282" i="2"/>
  <c r="Q282" i="2"/>
  <c r="P282" i="2"/>
  <c r="V281" i="2"/>
  <c r="Y281" i="2" s="1"/>
  <c r="X280" i="2"/>
  <c r="Y280" i="2"/>
  <c r="N283" i="2"/>
  <c r="L283" i="2"/>
  <c r="K283" i="2"/>
  <c r="M283" i="2"/>
  <c r="J283" i="2"/>
  <c r="S283" i="2" l="1"/>
  <c r="R283" i="2"/>
  <c r="Q283" i="2"/>
  <c r="P283" i="2"/>
  <c r="X281" i="2"/>
  <c r="V282" i="2"/>
  <c r="N284" i="2"/>
  <c r="M284" i="2"/>
  <c r="K284" i="2"/>
  <c r="L284" i="2"/>
  <c r="J284" i="2"/>
  <c r="R284" i="2" l="1"/>
  <c r="S284" i="2"/>
  <c r="Q284" i="2"/>
  <c r="P284" i="2"/>
  <c r="V283" i="2"/>
  <c r="Y283" i="2" s="1"/>
  <c r="X282" i="2"/>
  <c r="Y282" i="2"/>
  <c r="M285" i="2"/>
  <c r="J285" i="2"/>
  <c r="N285" i="2"/>
  <c r="L285" i="2"/>
  <c r="K285" i="2"/>
  <c r="R285" i="2" l="1"/>
  <c r="S285" i="2"/>
  <c r="Q285" i="2"/>
  <c r="P285" i="2"/>
  <c r="X283" i="2"/>
  <c r="V284" i="2"/>
  <c r="M286" i="2"/>
  <c r="L286" i="2"/>
  <c r="N286" i="2"/>
  <c r="J286" i="2"/>
  <c r="K286" i="2"/>
  <c r="R286" i="2" l="1"/>
  <c r="S286" i="2"/>
  <c r="Q286" i="2"/>
  <c r="P286" i="2"/>
  <c r="V285" i="2"/>
  <c r="X285" i="2" s="1"/>
  <c r="X284" i="2"/>
  <c r="Y284" i="2"/>
  <c r="K287" i="2"/>
  <c r="M287" i="2"/>
  <c r="N287" i="2"/>
  <c r="J287" i="2"/>
  <c r="L287" i="2"/>
  <c r="R287" i="2" l="1"/>
  <c r="S287" i="2"/>
  <c r="Q287" i="2"/>
  <c r="P287" i="2"/>
  <c r="V286" i="2"/>
  <c r="Y286" i="2" s="1"/>
  <c r="Y285" i="2"/>
  <c r="K288" i="2"/>
  <c r="M288" i="2"/>
  <c r="L288" i="2"/>
  <c r="N288" i="2"/>
  <c r="J288" i="2"/>
  <c r="R288" i="2" l="1"/>
  <c r="S288" i="2"/>
  <c r="Q288" i="2"/>
  <c r="P288" i="2"/>
  <c r="X286" i="2"/>
  <c r="V287" i="2"/>
  <c r="L289" i="2"/>
  <c r="N289" i="2"/>
  <c r="K289" i="2"/>
  <c r="J289" i="2"/>
  <c r="M289" i="2"/>
  <c r="S289" i="2" l="1"/>
  <c r="R289" i="2"/>
  <c r="Q289" i="2"/>
  <c r="P289" i="2"/>
  <c r="V288" i="2"/>
  <c r="Y288" i="2" s="1"/>
  <c r="Y287" i="2"/>
  <c r="X287" i="2"/>
  <c r="N290" i="2"/>
  <c r="L290" i="2"/>
  <c r="M290" i="2"/>
  <c r="K290" i="2"/>
  <c r="J290" i="2"/>
  <c r="S290" i="2" l="1"/>
  <c r="R290" i="2"/>
  <c r="Q290" i="2"/>
  <c r="P290" i="2"/>
  <c r="X288" i="2"/>
  <c r="V289" i="2"/>
  <c r="N291" i="2"/>
  <c r="J291" i="2"/>
  <c r="M291" i="2"/>
  <c r="K291" i="2"/>
  <c r="L291" i="2"/>
  <c r="R291" i="2" l="1"/>
  <c r="S291" i="2"/>
  <c r="Q291" i="2"/>
  <c r="P291" i="2"/>
  <c r="Y289" i="2"/>
  <c r="X289" i="2"/>
  <c r="V290" i="2"/>
  <c r="N292" i="2"/>
  <c r="K292" i="2"/>
  <c r="M292" i="2"/>
  <c r="J292" i="2"/>
  <c r="L292" i="2"/>
  <c r="R292" i="2" l="1"/>
  <c r="S292" i="2"/>
  <c r="Q292" i="2"/>
  <c r="P292" i="2"/>
  <c r="V291" i="2"/>
  <c r="X291" i="2" s="1"/>
  <c r="Y290" i="2"/>
  <c r="X290" i="2"/>
  <c r="N293" i="2"/>
  <c r="J293" i="2"/>
  <c r="L293" i="2"/>
  <c r="K293" i="2"/>
  <c r="M293" i="2"/>
  <c r="S293" i="2" l="1"/>
  <c r="R293" i="2"/>
  <c r="Q293" i="2"/>
  <c r="P293" i="2"/>
  <c r="Y291" i="2"/>
  <c r="V292" i="2"/>
  <c r="X292" i="2" s="1"/>
  <c r="M294" i="2"/>
  <c r="N294" i="2"/>
  <c r="L294" i="2"/>
  <c r="J294" i="2"/>
  <c r="K294" i="2"/>
  <c r="R294" i="2" l="1"/>
  <c r="S294" i="2"/>
  <c r="Q294" i="2"/>
  <c r="P294" i="2"/>
  <c r="Y292" i="2"/>
  <c r="V293" i="2"/>
  <c r="M295" i="2"/>
  <c r="J295" i="2"/>
  <c r="L295" i="2"/>
  <c r="N295" i="2"/>
  <c r="K295" i="2"/>
  <c r="R295" i="2" l="1"/>
  <c r="S295" i="2"/>
  <c r="Q295" i="2"/>
  <c r="P295" i="2"/>
  <c r="Y293" i="2"/>
  <c r="X293" i="2"/>
  <c r="V294" i="2"/>
  <c r="K296" i="2"/>
  <c r="L296" i="2"/>
  <c r="M296" i="2"/>
  <c r="J296" i="2"/>
  <c r="N296" i="2"/>
  <c r="S296" i="2" l="1"/>
  <c r="R296" i="2"/>
  <c r="Q296" i="2"/>
  <c r="P296" i="2"/>
  <c r="X294" i="2"/>
  <c r="Y294" i="2"/>
  <c r="V295" i="2"/>
  <c r="K297" i="2"/>
  <c r="N297" i="2"/>
  <c r="L297" i="2"/>
  <c r="J297" i="2"/>
  <c r="M297" i="2"/>
  <c r="S297" i="2" l="1"/>
  <c r="R297" i="2"/>
  <c r="Q297" i="2"/>
  <c r="P297" i="2"/>
  <c r="V296" i="2"/>
  <c r="X295" i="2"/>
  <c r="Y295" i="2"/>
  <c r="L298" i="2"/>
  <c r="J298" i="2"/>
  <c r="K298" i="2"/>
  <c r="N298" i="2"/>
  <c r="M298" i="2"/>
  <c r="S298" i="2" l="1"/>
  <c r="R298" i="2"/>
  <c r="Q298" i="2"/>
  <c r="P298" i="2"/>
  <c r="X296" i="2"/>
  <c r="Y296" i="2"/>
  <c r="V297" i="2"/>
  <c r="M299" i="2"/>
  <c r="L299" i="2"/>
  <c r="K299" i="2"/>
  <c r="N299" i="2"/>
  <c r="J299" i="2"/>
  <c r="R299" i="2" l="1"/>
  <c r="S299" i="2"/>
  <c r="Q299" i="2"/>
  <c r="P299" i="2"/>
  <c r="V298" i="2"/>
  <c r="X298" i="2" s="1"/>
  <c r="Y297" i="2"/>
  <c r="X297" i="2"/>
  <c r="L300" i="2"/>
  <c r="J300" i="2"/>
  <c r="N300" i="2"/>
  <c r="M300" i="2"/>
  <c r="K300" i="2"/>
  <c r="S300" i="2" l="1"/>
  <c r="R300" i="2"/>
  <c r="Q300" i="2"/>
  <c r="P300" i="2"/>
  <c r="V299" i="2"/>
  <c r="X299" i="2" s="1"/>
  <c r="Y298" i="2"/>
  <c r="K301" i="2"/>
  <c r="M301" i="2"/>
  <c r="L301" i="2"/>
  <c r="N301" i="2"/>
  <c r="J301" i="2"/>
  <c r="R301" i="2" l="1"/>
  <c r="S301" i="2"/>
  <c r="Q301" i="2"/>
  <c r="P301" i="2"/>
  <c r="Y299" i="2"/>
  <c r="V300" i="2"/>
  <c r="N302" i="2"/>
  <c r="L302" i="2"/>
  <c r="J302" i="2"/>
  <c r="M302" i="2"/>
  <c r="K302" i="2"/>
  <c r="S302" i="2" l="1"/>
  <c r="R302" i="2"/>
  <c r="Q302" i="2"/>
  <c r="P302" i="2"/>
  <c r="V301" i="2"/>
  <c r="Y301" i="2" s="1"/>
  <c r="Y300" i="2"/>
  <c r="X300" i="2"/>
  <c r="M303" i="2"/>
  <c r="N303" i="2"/>
  <c r="K303" i="2"/>
  <c r="J303" i="2"/>
  <c r="L303" i="2"/>
  <c r="R303" i="2" l="1"/>
  <c r="S303" i="2"/>
  <c r="Q303" i="2"/>
  <c r="P303" i="2"/>
  <c r="X301" i="2"/>
  <c r="V302" i="2"/>
  <c r="N304" i="2"/>
  <c r="L304" i="2"/>
  <c r="M304" i="2"/>
  <c r="J304" i="2"/>
  <c r="K304" i="2"/>
  <c r="S304" i="2" l="1"/>
  <c r="R304" i="2"/>
  <c r="Q304" i="2"/>
  <c r="P304" i="2"/>
  <c r="V303" i="2"/>
  <c r="X303" i="2" s="1"/>
  <c r="X302" i="2"/>
  <c r="Y302" i="2"/>
  <c r="L305" i="2"/>
  <c r="K305" i="2"/>
  <c r="M305" i="2"/>
  <c r="J305" i="2"/>
  <c r="N305" i="2"/>
  <c r="S305" i="2" l="1"/>
  <c r="R305" i="2"/>
  <c r="Q305" i="2"/>
  <c r="P305" i="2"/>
  <c r="Y303" i="2"/>
  <c r="V304" i="2"/>
  <c r="N306" i="2"/>
  <c r="J306" i="2"/>
  <c r="M306" i="2"/>
  <c r="L306" i="2"/>
  <c r="K306" i="2"/>
  <c r="R306" i="2" l="1"/>
  <c r="S306" i="2"/>
  <c r="Q306" i="2"/>
  <c r="P306" i="2"/>
  <c r="V305" i="2"/>
  <c r="Y305" i="2" s="1"/>
  <c r="X304" i="2"/>
  <c r="Y304" i="2"/>
  <c r="K307" i="2"/>
  <c r="J307" i="2"/>
  <c r="M307" i="2"/>
  <c r="N307" i="2"/>
  <c r="L307" i="2"/>
  <c r="R307" i="2" l="1"/>
  <c r="S307" i="2"/>
  <c r="Q307" i="2"/>
  <c r="P307" i="2"/>
  <c r="X305" i="2"/>
  <c r="V306" i="2"/>
  <c r="X306" i="2" s="1"/>
  <c r="K308" i="2"/>
  <c r="L308" i="2"/>
  <c r="M308" i="2"/>
  <c r="J308" i="2"/>
  <c r="N308" i="2"/>
  <c r="S308" i="2" l="1"/>
  <c r="R308" i="2"/>
  <c r="Q308" i="2"/>
  <c r="P308" i="2"/>
  <c r="Y306" i="2"/>
  <c r="V307" i="2"/>
  <c r="N309" i="2"/>
  <c r="J309" i="2"/>
  <c r="M309" i="2"/>
  <c r="L309" i="2"/>
  <c r="K309" i="2"/>
  <c r="R309" i="2" l="1"/>
  <c r="S309" i="2"/>
  <c r="Q309" i="2"/>
  <c r="P309" i="2"/>
  <c r="X307" i="2"/>
  <c r="Y307" i="2"/>
  <c r="V308" i="2"/>
  <c r="N310" i="2"/>
  <c r="K310" i="2"/>
  <c r="L310" i="2"/>
  <c r="M310" i="2"/>
  <c r="J310" i="2"/>
  <c r="S310" i="2" l="1"/>
  <c r="R310" i="2"/>
  <c r="Q310" i="2"/>
  <c r="P310" i="2"/>
  <c r="Y308" i="2"/>
  <c r="X308" i="2"/>
  <c r="V309" i="2"/>
  <c r="K311" i="2"/>
  <c r="L311" i="2"/>
  <c r="J311" i="2"/>
  <c r="N311" i="2"/>
  <c r="M311" i="2"/>
  <c r="S311" i="2" l="1"/>
  <c r="R311" i="2"/>
  <c r="Q311" i="2"/>
  <c r="P311" i="2"/>
  <c r="V310" i="2"/>
  <c r="X310" i="2" s="1"/>
  <c r="Y309" i="2"/>
  <c r="X309" i="2"/>
  <c r="M312" i="2"/>
  <c r="N312" i="2"/>
  <c r="L312" i="2"/>
  <c r="K312" i="2"/>
  <c r="J312" i="2"/>
  <c r="R312" i="2" l="1"/>
  <c r="S312" i="2"/>
  <c r="Q312" i="2"/>
  <c r="P312" i="2"/>
  <c r="Y310" i="2"/>
  <c r="V311" i="2"/>
  <c r="L313" i="2"/>
  <c r="J313" i="2"/>
  <c r="N313" i="2"/>
  <c r="M313" i="2"/>
  <c r="K313" i="2"/>
  <c r="S313" i="2" l="1"/>
  <c r="R313" i="2"/>
  <c r="Q313" i="2"/>
  <c r="P313" i="2"/>
  <c r="V312" i="2"/>
  <c r="X312" i="2" s="1"/>
  <c r="X311" i="2"/>
  <c r="Y311" i="2"/>
  <c r="M314" i="2"/>
  <c r="N314" i="2"/>
  <c r="L314" i="2"/>
  <c r="K314" i="2"/>
  <c r="J314" i="2"/>
  <c r="R314" i="2" l="1"/>
  <c r="S314" i="2"/>
  <c r="Q314" i="2"/>
  <c r="P314" i="2"/>
  <c r="Y312" i="2"/>
  <c r="V313" i="2"/>
  <c r="X313" i="2" s="1"/>
  <c r="N315" i="2"/>
  <c r="K315" i="2"/>
  <c r="M315" i="2"/>
  <c r="L315" i="2"/>
  <c r="J315" i="2"/>
  <c r="R315" i="2" l="1"/>
  <c r="S315" i="2"/>
  <c r="Q315" i="2"/>
  <c r="P315" i="2"/>
  <c r="Y313" i="2"/>
  <c r="V314" i="2"/>
  <c r="N316" i="2"/>
  <c r="L316" i="2"/>
  <c r="J316" i="2"/>
  <c r="M316" i="2"/>
  <c r="K316" i="2"/>
  <c r="S316" i="2" l="1"/>
  <c r="R316" i="2"/>
  <c r="Q316" i="2"/>
  <c r="P316" i="2"/>
  <c r="V315" i="2"/>
  <c r="Y315" i="2" s="1"/>
  <c r="X314" i="2"/>
  <c r="Y314" i="2"/>
  <c r="N317" i="2"/>
  <c r="M317" i="2"/>
  <c r="L317" i="2"/>
  <c r="J317" i="2"/>
  <c r="K317" i="2"/>
  <c r="R317" i="2" l="1"/>
  <c r="S317" i="2"/>
  <c r="Q317" i="2"/>
  <c r="P317" i="2"/>
  <c r="X315" i="2"/>
  <c r="V316" i="2"/>
  <c r="M318" i="2"/>
  <c r="K318" i="2"/>
  <c r="L318" i="2"/>
  <c r="N318" i="2"/>
  <c r="J318" i="2"/>
  <c r="R318" i="2" l="1"/>
  <c r="S318" i="2"/>
  <c r="Q318" i="2"/>
  <c r="P318" i="2"/>
  <c r="V317" i="2"/>
  <c r="Y316" i="2"/>
  <c r="X316" i="2"/>
  <c r="K319" i="2"/>
  <c r="J319" i="2"/>
  <c r="L319" i="2"/>
  <c r="M319" i="2"/>
  <c r="N319" i="2"/>
  <c r="S319" i="2" l="1"/>
  <c r="R319" i="2"/>
  <c r="Q319" i="2"/>
  <c r="P319" i="2"/>
  <c r="V318" i="2"/>
  <c r="X318" i="2" s="1"/>
  <c r="Y317" i="2"/>
  <c r="X317" i="2"/>
  <c r="K320" i="2"/>
  <c r="L320" i="2"/>
  <c r="N320" i="2"/>
  <c r="M320" i="2"/>
  <c r="J320" i="2"/>
  <c r="S320" i="2" l="1"/>
  <c r="R320" i="2"/>
  <c r="Q320" i="2"/>
  <c r="P320" i="2"/>
  <c r="Y318" i="2"/>
  <c r="V319" i="2"/>
  <c r="L321" i="2"/>
  <c r="K321" i="2"/>
  <c r="J321" i="2"/>
  <c r="N321" i="2"/>
  <c r="M321" i="2"/>
  <c r="S321" i="2" l="1"/>
  <c r="R321" i="2"/>
  <c r="Q321" i="2"/>
  <c r="P321" i="2"/>
  <c r="V320" i="2"/>
  <c r="X320" i="2" s="1"/>
  <c r="X319" i="2"/>
  <c r="Y319" i="2"/>
  <c r="N322" i="2"/>
  <c r="K322" i="2"/>
  <c r="M322" i="2"/>
  <c r="L322" i="2"/>
  <c r="J322" i="2"/>
  <c r="R322" i="2" l="1"/>
  <c r="S322" i="2"/>
  <c r="Q322" i="2"/>
  <c r="P322" i="2"/>
  <c r="Y320" i="2"/>
  <c r="V321" i="2"/>
  <c r="M323" i="2"/>
  <c r="J323" i="2"/>
  <c r="K323" i="2"/>
  <c r="L323" i="2"/>
  <c r="N323" i="2"/>
  <c r="R323" i="2" l="1"/>
  <c r="S323" i="2"/>
  <c r="Q323" i="2"/>
  <c r="P323" i="2"/>
  <c r="Y321" i="2"/>
  <c r="X321" i="2"/>
  <c r="V322" i="2"/>
  <c r="L324" i="2"/>
  <c r="N324" i="2"/>
  <c r="M324" i="2"/>
  <c r="J324" i="2"/>
  <c r="K324" i="2"/>
  <c r="S324" i="2" l="1"/>
  <c r="R324" i="2"/>
  <c r="Q324" i="2"/>
  <c r="P324" i="2"/>
  <c r="X322" i="2"/>
  <c r="Y322" i="2"/>
  <c r="V323" i="2"/>
  <c r="L325" i="2"/>
  <c r="J325" i="2"/>
  <c r="M325" i="2"/>
  <c r="K325" i="2"/>
  <c r="N325" i="2"/>
  <c r="S325" i="2" l="1"/>
  <c r="R325" i="2"/>
  <c r="Q325" i="2"/>
  <c r="P325" i="2"/>
  <c r="Y323" i="2"/>
  <c r="X323" i="2"/>
  <c r="V324" i="2"/>
  <c r="L326" i="2"/>
  <c r="M326" i="2"/>
  <c r="J326" i="2"/>
  <c r="K326" i="2"/>
  <c r="N326" i="2"/>
  <c r="S326" i="2" l="1"/>
  <c r="R326" i="2"/>
  <c r="Q326" i="2"/>
  <c r="P326" i="2"/>
  <c r="Y324" i="2"/>
  <c r="X324" i="2"/>
  <c r="V325" i="2"/>
  <c r="N327" i="2"/>
  <c r="K327" i="2"/>
  <c r="L327" i="2"/>
  <c r="M327" i="2"/>
  <c r="J327" i="2"/>
  <c r="S327" i="2" l="1"/>
  <c r="R327" i="2"/>
  <c r="Q327" i="2"/>
  <c r="P327" i="2"/>
  <c r="V326" i="2"/>
  <c r="Y326" i="2" s="1"/>
  <c r="Y325" i="2"/>
  <c r="X325" i="2"/>
  <c r="L328" i="2"/>
  <c r="N328" i="2"/>
  <c r="M328" i="2"/>
  <c r="K328" i="2"/>
  <c r="J328" i="2"/>
  <c r="S328" i="2" l="1"/>
  <c r="R328" i="2"/>
  <c r="Q328" i="2"/>
  <c r="P328" i="2"/>
  <c r="X326" i="2"/>
  <c r="V327" i="2"/>
  <c r="X327" i="2" s="1"/>
  <c r="M329" i="2"/>
  <c r="L329" i="2"/>
  <c r="K329" i="2"/>
  <c r="N329" i="2"/>
  <c r="J329" i="2"/>
  <c r="R329" i="2" l="1"/>
  <c r="S329" i="2"/>
  <c r="Q329" i="2"/>
  <c r="P329" i="2"/>
  <c r="Y327" i="2"/>
  <c r="V328" i="2"/>
  <c r="X328" i="2" s="1"/>
  <c r="K330" i="2"/>
  <c r="N330" i="2"/>
  <c r="J330" i="2"/>
  <c r="M330" i="2"/>
  <c r="L330" i="2"/>
  <c r="R330" i="2" l="1"/>
  <c r="S330" i="2"/>
  <c r="Q330" i="2"/>
  <c r="P330" i="2"/>
  <c r="Y328" i="2"/>
  <c r="V329" i="2"/>
  <c r="X329" i="2" s="1"/>
  <c r="N331" i="2"/>
  <c r="M331" i="2"/>
  <c r="J331" i="2"/>
  <c r="K331" i="2"/>
  <c r="L331" i="2"/>
  <c r="R331" i="2" l="1"/>
  <c r="S331" i="2"/>
  <c r="Q331" i="2"/>
  <c r="P331" i="2"/>
  <c r="Y329" i="2"/>
  <c r="V330" i="2"/>
  <c r="M332" i="2"/>
  <c r="N332" i="2"/>
  <c r="K332" i="2"/>
  <c r="J332" i="2"/>
  <c r="L332" i="2"/>
  <c r="R332" i="2" l="1"/>
  <c r="S332" i="2"/>
  <c r="Q332" i="2"/>
  <c r="P332" i="2"/>
  <c r="V331" i="2"/>
  <c r="X331" i="2" s="1"/>
  <c r="X330" i="2"/>
  <c r="Y330" i="2"/>
  <c r="M333" i="2"/>
  <c r="N333" i="2"/>
  <c r="J333" i="2"/>
  <c r="L333" i="2"/>
  <c r="K333" i="2"/>
  <c r="R333" i="2" l="1"/>
  <c r="S333" i="2"/>
  <c r="Q333" i="2"/>
  <c r="P333" i="2"/>
  <c r="Y331" i="2"/>
  <c r="V332" i="2"/>
  <c r="N334" i="2"/>
  <c r="K334" i="2"/>
  <c r="J334" i="2"/>
  <c r="M334" i="2"/>
  <c r="L334" i="2"/>
  <c r="R334" i="2" l="1"/>
  <c r="S334" i="2"/>
  <c r="Q334" i="2"/>
  <c r="P334" i="2"/>
  <c r="X332" i="2"/>
  <c r="Y332" i="2"/>
  <c r="V333" i="2"/>
  <c r="N335" i="2"/>
  <c r="M335" i="2"/>
  <c r="K335" i="2"/>
  <c r="L335" i="2"/>
  <c r="J335" i="2"/>
  <c r="R335" i="2" l="1"/>
  <c r="S335" i="2"/>
  <c r="Q335" i="2"/>
  <c r="P335" i="2"/>
  <c r="X333" i="2"/>
  <c r="Y333" i="2"/>
  <c r="V334" i="2"/>
  <c r="N336" i="2"/>
  <c r="K336" i="2"/>
  <c r="L336" i="2"/>
  <c r="M336" i="2"/>
  <c r="J336" i="2"/>
  <c r="S336" i="2" l="1"/>
  <c r="R336" i="2"/>
  <c r="Q336" i="2"/>
  <c r="P336" i="2"/>
  <c r="Y334" i="2"/>
  <c r="X334" i="2"/>
  <c r="V335" i="2"/>
  <c r="N337" i="2"/>
  <c r="M337" i="2"/>
  <c r="K337" i="2"/>
  <c r="J337" i="2"/>
  <c r="L337" i="2"/>
  <c r="R337" i="2" l="1"/>
  <c r="S337" i="2"/>
  <c r="Q337" i="2"/>
  <c r="P337" i="2"/>
  <c r="V336" i="2"/>
  <c r="Y335" i="2"/>
  <c r="X335" i="2"/>
  <c r="K338" i="2"/>
  <c r="M338" i="2"/>
  <c r="N338" i="2"/>
  <c r="J338" i="2"/>
  <c r="L338" i="2"/>
  <c r="R338" i="2" l="1"/>
  <c r="S338" i="2"/>
  <c r="Q338" i="2"/>
  <c r="P338" i="2"/>
  <c r="X336" i="2"/>
  <c r="Y336" i="2"/>
  <c r="V337" i="2"/>
  <c r="N339" i="2"/>
  <c r="K339" i="2"/>
  <c r="L339" i="2"/>
  <c r="M339" i="2"/>
  <c r="J339" i="2"/>
  <c r="S339" i="2" l="1"/>
  <c r="R339" i="2"/>
  <c r="Q339" i="2"/>
  <c r="P339" i="2"/>
  <c r="V338" i="2"/>
  <c r="X337" i="2"/>
  <c r="Y337" i="2"/>
  <c r="N340" i="2"/>
  <c r="J340" i="2"/>
  <c r="L340" i="2"/>
  <c r="M340" i="2"/>
  <c r="K340" i="2"/>
  <c r="S340" i="2" l="1"/>
  <c r="R340" i="2"/>
  <c r="Q340" i="2"/>
  <c r="P340" i="2"/>
  <c r="V339" i="2"/>
  <c r="Y339" i="2" s="1"/>
  <c r="X338" i="2"/>
  <c r="Y338" i="2"/>
  <c r="M341" i="2"/>
  <c r="K341" i="2"/>
  <c r="L341" i="2"/>
  <c r="J341" i="2"/>
  <c r="N341" i="2"/>
  <c r="R341" i="2" l="1"/>
  <c r="S341" i="2"/>
  <c r="Q341" i="2"/>
  <c r="P341" i="2"/>
  <c r="X339" i="2"/>
  <c r="V340" i="2"/>
  <c r="N342" i="2"/>
  <c r="L342" i="2"/>
  <c r="M342" i="2"/>
  <c r="J342" i="2"/>
  <c r="K342" i="2"/>
  <c r="S342" i="2" l="1"/>
  <c r="R342" i="2"/>
  <c r="Q342" i="2"/>
  <c r="P342" i="2"/>
  <c r="X340" i="2"/>
  <c r="Y340" i="2"/>
  <c r="V341" i="2"/>
  <c r="K343" i="2"/>
  <c r="J343" i="2"/>
  <c r="N343" i="2"/>
  <c r="M343" i="2"/>
  <c r="L343" i="2"/>
  <c r="R343" i="2" l="1"/>
  <c r="S343" i="2"/>
  <c r="Q343" i="2"/>
  <c r="P343" i="2"/>
  <c r="V342" i="2"/>
  <c r="X342" i="2" s="1"/>
  <c r="X341" i="2"/>
  <c r="Y341" i="2"/>
  <c r="K344" i="2"/>
  <c r="M344" i="2"/>
  <c r="L344" i="2"/>
  <c r="J344" i="2"/>
  <c r="N344" i="2"/>
  <c r="R344" i="2" l="1"/>
  <c r="S344" i="2"/>
  <c r="Q344" i="2"/>
  <c r="P344" i="2"/>
  <c r="Y342" i="2"/>
  <c r="V343" i="2"/>
  <c r="N345" i="2"/>
  <c r="J345" i="2"/>
  <c r="M345" i="2"/>
  <c r="K345" i="2"/>
  <c r="L345" i="2"/>
  <c r="R345" i="2" l="1"/>
  <c r="S345" i="2"/>
  <c r="Q345" i="2"/>
  <c r="P345" i="2"/>
  <c r="Y343" i="2"/>
  <c r="X343" i="2"/>
  <c r="V344" i="2"/>
  <c r="M346" i="2"/>
  <c r="K346" i="2"/>
  <c r="L346" i="2"/>
  <c r="J346" i="2"/>
  <c r="N346" i="2"/>
  <c r="R346" i="2" l="1"/>
  <c r="S346" i="2"/>
  <c r="Q346" i="2"/>
  <c r="P346" i="2"/>
  <c r="X344" i="2"/>
  <c r="Y344" i="2"/>
  <c r="V345" i="2"/>
  <c r="K347" i="2"/>
  <c r="J347" i="2"/>
  <c r="N347" i="2"/>
  <c r="M347" i="2"/>
  <c r="L347" i="2"/>
  <c r="R347" i="2" l="1"/>
  <c r="S347" i="2"/>
  <c r="Q347" i="2"/>
  <c r="P347" i="2"/>
  <c r="V346" i="2"/>
  <c r="X346" i="2" s="1"/>
  <c r="X345" i="2"/>
  <c r="Y345" i="2"/>
  <c r="K348" i="2"/>
  <c r="M348" i="2"/>
  <c r="N348" i="2"/>
  <c r="J348" i="2"/>
  <c r="L348" i="2"/>
  <c r="R348" i="2" l="1"/>
  <c r="S348" i="2"/>
  <c r="Q348" i="2"/>
  <c r="P348" i="2"/>
  <c r="Y346" i="2"/>
  <c r="V347" i="2"/>
  <c r="L349" i="2"/>
  <c r="K349" i="2"/>
  <c r="M349" i="2"/>
  <c r="J349" i="2"/>
  <c r="N349" i="2"/>
  <c r="S349" i="2" l="1"/>
  <c r="R349" i="2"/>
  <c r="Q349" i="2"/>
  <c r="P349" i="2"/>
  <c r="X347" i="2"/>
  <c r="Y347" i="2"/>
  <c r="V348" i="2"/>
  <c r="M350" i="2"/>
  <c r="N350" i="2"/>
  <c r="K350" i="2"/>
  <c r="L350" i="2"/>
  <c r="J350" i="2"/>
  <c r="R350" i="2" l="1"/>
  <c r="S350" i="2"/>
  <c r="Q350" i="2"/>
  <c r="P350" i="2"/>
  <c r="V349" i="2"/>
  <c r="X349" i="2" s="1"/>
  <c r="Y348" i="2"/>
  <c r="X348" i="2"/>
  <c r="N351" i="2"/>
  <c r="L351" i="2"/>
  <c r="K351" i="2"/>
  <c r="J351" i="2"/>
  <c r="M351" i="2"/>
  <c r="S351" i="2" l="1"/>
  <c r="R351" i="2"/>
  <c r="Q351" i="2"/>
  <c r="P351" i="2"/>
  <c r="Y349" i="2"/>
  <c r="V350" i="2"/>
  <c r="N352" i="2"/>
  <c r="J352" i="2"/>
  <c r="M352" i="2"/>
  <c r="L352" i="2"/>
  <c r="K352" i="2"/>
  <c r="R352" i="2" l="1"/>
  <c r="S352" i="2"/>
  <c r="Q352" i="2"/>
  <c r="P352" i="2"/>
  <c r="Y350" i="2"/>
  <c r="X350" i="2"/>
  <c r="V351" i="2"/>
  <c r="M353" i="2"/>
  <c r="N353" i="2"/>
  <c r="L353" i="2"/>
  <c r="K353" i="2"/>
  <c r="J353" i="2"/>
  <c r="R353" i="2" l="1"/>
  <c r="S353" i="2"/>
  <c r="Q353" i="2"/>
  <c r="P353" i="2"/>
  <c r="V352" i="2"/>
  <c r="X352" i="2" s="1"/>
  <c r="Y351" i="2"/>
  <c r="X351" i="2"/>
  <c r="N354" i="2"/>
  <c r="K354" i="2"/>
  <c r="M354" i="2"/>
  <c r="L354" i="2"/>
  <c r="J354" i="2"/>
  <c r="R354" i="2" l="1"/>
  <c r="S354" i="2"/>
  <c r="Q354" i="2"/>
  <c r="P354" i="2"/>
  <c r="Y352" i="2"/>
  <c r="V353" i="2"/>
  <c r="M355" i="2"/>
  <c r="L355" i="2"/>
  <c r="N355" i="2"/>
  <c r="J355" i="2"/>
  <c r="K355" i="2"/>
  <c r="R355" i="2" l="1"/>
  <c r="S355" i="2"/>
  <c r="Q355" i="2"/>
  <c r="P355" i="2"/>
  <c r="V354" i="2"/>
  <c r="X354" i="2" s="1"/>
  <c r="Y353" i="2"/>
  <c r="X353" i="2"/>
  <c r="M356" i="2"/>
  <c r="L356" i="2"/>
  <c r="K356" i="2"/>
  <c r="N356" i="2"/>
  <c r="J356" i="2"/>
  <c r="R356" i="2" l="1"/>
  <c r="S356" i="2"/>
  <c r="Q356" i="2"/>
  <c r="P356" i="2"/>
  <c r="Y354" i="2"/>
  <c r="V355" i="2"/>
  <c r="N357" i="2"/>
  <c r="M357" i="2"/>
  <c r="K357" i="2"/>
  <c r="L357" i="2"/>
  <c r="J357" i="2"/>
  <c r="R357" i="2" l="1"/>
  <c r="S357" i="2"/>
  <c r="Q357" i="2"/>
  <c r="P357" i="2"/>
  <c r="X355" i="2"/>
  <c r="Y355" i="2"/>
  <c r="V356" i="2"/>
  <c r="N358" i="2"/>
  <c r="M358" i="2"/>
  <c r="J358" i="2"/>
  <c r="K358" i="2"/>
  <c r="L358" i="2"/>
  <c r="R358" i="2" l="1"/>
  <c r="S358" i="2"/>
  <c r="Q358" i="2"/>
  <c r="P358" i="2"/>
  <c r="X356" i="2"/>
  <c r="Y356" i="2"/>
  <c r="V357" i="2"/>
  <c r="M359" i="2"/>
  <c r="N359" i="2"/>
  <c r="L359" i="2"/>
  <c r="K359" i="2"/>
  <c r="J359" i="2"/>
  <c r="R359" i="2" l="1"/>
  <c r="S359" i="2"/>
  <c r="Q359" i="2"/>
  <c r="P359" i="2"/>
  <c r="X357" i="2"/>
  <c r="Y357" i="2"/>
  <c r="V358" i="2"/>
  <c r="M360" i="2"/>
  <c r="N360" i="2"/>
  <c r="J360" i="2"/>
  <c r="L360" i="2"/>
  <c r="K360" i="2"/>
  <c r="R360" i="2" l="1"/>
  <c r="S360" i="2"/>
  <c r="Q360" i="2"/>
  <c r="P360" i="2"/>
  <c r="Y358" i="2"/>
  <c r="X358" i="2"/>
  <c r="V359" i="2"/>
  <c r="L361" i="2"/>
  <c r="K361" i="2"/>
  <c r="M361" i="2"/>
  <c r="N361" i="2"/>
  <c r="J361" i="2"/>
  <c r="S361" i="2" l="1"/>
  <c r="R361" i="2"/>
  <c r="Q361" i="2"/>
  <c r="P361" i="2"/>
  <c r="V360" i="2"/>
  <c r="Y359" i="2"/>
  <c r="X359" i="2"/>
  <c r="L362" i="2"/>
  <c r="N362" i="2"/>
  <c r="K362" i="2"/>
  <c r="J362" i="2"/>
  <c r="M362" i="2"/>
  <c r="S362" i="2" l="1"/>
  <c r="R362" i="2"/>
  <c r="Q362" i="2"/>
  <c r="P362" i="2"/>
  <c r="X360" i="2"/>
  <c r="Y360" i="2"/>
  <c r="V361" i="2"/>
  <c r="N363" i="2"/>
  <c r="J363" i="2"/>
  <c r="K363" i="2"/>
  <c r="M363" i="2"/>
  <c r="L363" i="2"/>
  <c r="R363" i="2" l="1"/>
  <c r="S363" i="2"/>
  <c r="Q363" i="2"/>
  <c r="P363" i="2"/>
  <c r="V362" i="2"/>
  <c r="Y362" i="2" s="1"/>
  <c r="X361" i="2"/>
  <c r="Y361" i="2"/>
  <c r="L364" i="2"/>
  <c r="J364" i="2"/>
  <c r="K364" i="2"/>
  <c r="N364" i="2"/>
  <c r="M364" i="2"/>
  <c r="S364" i="2" l="1"/>
  <c r="R364" i="2"/>
  <c r="Q364" i="2"/>
  <c r="P364" i="2"/>
  <c r="X362" i="2"/>
  <c r="V363" i="2"/>
  <c r="M365" i="2"/>
  <c r="L365" i="2"/>
  <c r="J365" i="2"/>
  <c r="N365" i="2"/>
  <c r="K365" i="2"/>
  <c r="R365" i="2" l="1"/>
  <c r="S365" i="2"/>
  <c r="Q365" i="2"/>
  <c r="P365" i="2"/>
  <c r="V364" i="2"/>
  <c r="X363" i="2"/>
  <c r="Y363" i="2"/>
  <c r="K366" i="2"/>
  <c r="L366" i="2"/>
  <c r="N366" i="2"/>
  <c r="M366" i="2"/>
  <c r="J366" i="2"/>
  <c r="S366" i="2" l="1"/>
  <c r="R366" i="2"/>
  <c r="Q366" i="2"/>
  <c r="P366" i="2"/>
  <c r="X364" i="2"/>
  <c r="Y364" i="2"/>
  <c r="V365" i="2"/>
  <c r="N367" i="2"/>
  <c r="M367" i="2"/>
  <c r="L367" i="2"/>
  <c r="K367" i="2"/>
  <c r="J367" i="2"/>
  <c r="R367" i="2" l="1"/>
  <c r="S367" i="2"/>
  <c r="Q367" i="2"/>
  <c r="P367" i="2"/>
  <c r="X365" i="2"/>
  <c r="Y365" i="2"/>
  <c r="V366" i="2"/>
  <c r="N368" i="2"/>
  <c r="M368" i="2"/>
  <c r="J368" i="2"/>
  <c r="L368" i="2"/>
  <c r="K368" i="2"/>
  <c r="R368" i="2" l="1"/>
  <c r="S368" i="2"/>
  <c r="Q368" i="2"/>
  <c r="P368" i="2"/>
  <c r="Y366" i="2"/>
  <c r="X366" i="2"/>
  <c r="V367" i="2"/>
  <c r="L369" i="2"/>
  <c r="M369" i="2"/>
  <c r="K369" i="2"/>
  <c r="J369" i="2"/>
  <c r="N369" i="2"/>
  <c r="S369" i="2" l="1"/>
  <c r="R369" i="2"/>
  <c r="Q369" i="2"/>
  <c r="P369" i="2"/>
  <c r="V368" i="2"/>
  <c r="Y368" i="2" s="1"/>
  <c r="Y367" i="2"/>
  <c r="X367" i="2"/>
  <c r="N370" i="2"/>
  <c r="K370" i="2"/>
  <c r="L370" i="2"/>
  <c r="J370" i="2"/>
  <c r="M370" i="2"/>
  <c r="S370" i="2" l="1"/>
  <c r="R370" i="2"/>
  <c r="Q370" i="2"/>
  <c r="P370" i="2"/>
  <c r="X368" i="2"/>
  <c r="V369" i="2"/>
  <c r="N371" i="2"/>
  <c r="K371" i="2"/>
  <c r="M371" i="2"/>
  <c r="J371" i="2"/>
  <c r="L371" i="2"/>
  <c r="R371" i="2" l="1"/>
  <c r="S371" i="2"/>
  <c r="Q371" i="2"/>
  <c r="P371" i="2"/>
  <c r="V370" i="2"/>
  <c r="X370" i="2" s="1"/>
  <c r="X369" i="2"/>
  <c r="Y369" i="2"/>
  <c r="L372" i="2"/>
  <c r="N372" i="2"/>
  <c r="K372" i="2"/>
  <c r="J372" i="2"/>
  <c r="M372" i="2"/>
  <c r="S372" i="2" l="1"/>
  <c r="R372" i="2"/>
  <c r="Q372" i="2"/>
  <c r="P372" i="2"/>
  <c r="Y370" i="2"/>
  <c r="V371" i="2"/>
  <c r="K373" i="2"/>
  <c r="M373" i="2"/>
  <c r="L373" i="2"/>
  <c r="N373" i="2"/>
  <c r="J373" i="2"/>
  <c r="R373" i="2" l="1"/>
  <c r="S373" i="2"/>
  <c r="Q373" i="2"/>
  <c r="P373" i="2"/>
  <c r="V372" i="2"/>
  <c r="X372" i="2" s="1"/>
  <c r="X371" i="2"/>
  <c r="Y371" i="2"/>
  <c r="N374" i="2"/>
  <c r="K374" i="2"/>
  <c r="J374" i="2"/>
  <c r="L374" i="2"/>
  <c r="M374" i="2"/>
  <c r="S374" i="2" l="1"/>
  <c r="R374" i="2"/>
  <c r="Q374" i="2"/>
  <c r="P374" i="2"/>
  <c r="Y372" i="2"/>
  <c r="V373" i="2"/>
  <c r="M375" i="2"/>
  <c r="N375" i="2"/>
  <c r="L375" i="2"/>
  <c r="K375" i="2"/>
  <c r="J375" i="2"/>
  <c r="R375" i="2" l="1"/>
  <c r="S375" i="2"/>
  <c r="Q375" i="2"/>
  <c r="P375" i="2"/>
  <c r="X373" i="2"/>
  <c r="Y373" i="2"/>
  <c r="V374" i="2"/>
  <c r="K376" i="2"/>
  <c r="J376" i="2"/>
  <c r="N376" i="2"/>
  <c r="L376" i="2"/>
  <c r="M376" i="2"/>
  <c r="S376" i="2" l="1"/>
  <c r="R376" i="2"/>
  <c r="Q376" i="2"/>
  <c r="P376" i="2"/>
  <c r="X374" i="2"/>
  <c r="Y374" i="2"/>
  <c r="V375" i="2"/>
  <c r="M377" i="2"/>
  <c r="N377" i="2"/>
  <c r="K377" i="2"/>
  <c r="L377" i="2"/>
  <c r="J377" i="2"/>
  <c r="R377" i="2" l="1"/>
  <c r="S377" i="2"/>
  <c r="Q377" i="2"/>
  <c r="P377" i="2"/>
  <c r="X375" i="2"/>
  <c r="Y375" i="2"/>
  <c r="V376" i="2"/>
  <c r="K378" i="2"/>
  <c r="N378" i="2"/>
  <c r="M378" i="2"/>
  <c r="J378" i="2"/>
  <c r="L378" i="2"/>
  <c r="R378" i="2" l="1"/>
  <c r="S378" i="2"/>
  <c r="Q378" i="2"/>
  <c r="P378" i="2"/>
  <c r="V377" i="2"/>
  <c r="Y376" i="2"/>
  <c r="X376" i="2"/>
  <c r="K379" i="2"/>
  <c r="J379" i="2"/>
  <c r="N379" i="2"/>
  <c r="L379" i="2"/>
  <c r="M379" i="2"/>
  <c r="S379" i="2" l="1"/>
  <c r="R379" i="2"/>
  <c r="Q379" i="2"/>
  <c r="P379" i="2"/>
  <c r="V378" i="2"/>
  <c r="X378" i="2" s="1"/>
  <c r="Y377" i="2"/>
  <c r="X377" i="2"/>
  <c r="N380" i="2"/>
  <c r="K380" i="2"/>
  <c r="L380" i="2"/>
  <c r="J380" i="2"/>
  <c r="M380" i="2"/>
  <c r="S380" i="2" l="1"/>
  <c r="R380" i="2"/>
  <c r="Q380" i="2"/>
  <c r="P380" i="2"/>
  <c r="Y378" i="2"/>
  <c r="V379" i="2"/>
  <c r="L381" i="2"/>
  <c r="J381" i="2"/>
  <c r="M381" i="2"/>
  <c r="K381" i="2"/>
  <c r="N381" i="2"/>
  <c r="S381" i="2" l="1"/>
  <c r="R381" i="2"/>
  <c r="Q381" i="2"/>
  <c r="P381" i="2"/>
  <c r="V380" i="2"/>
  <c r="X380" i="2" s="1"/>
  <c r="X379" i="2"/>
  <c r="Y379" i="2"/>
  <c r="M382" i="2"/>
  <c r="L382" i="2"/>
  <c r="K382" i="2"/>
  <c r="J382" i="2"/>
  <c r="N382" i="2"/>
  <c r="R382" i="2" l="1"/>
  <c r="S382" i="2"/>
  <c r="Q382" i="2"/>
  <c r="P382" i="2"/>
  <c r="Y380" i="2"/>
  <c r="V381" i="2"/>
  <c r="Y381" i="2" s="1"/>
  <c r="K383" i="2"/>
  <c r="M383" i="2"/>
  <c r="J383" i="2"/>
  <c r="N383" i="2"/>
  <c r="L383" i="2"/>
  <c r="R383" i="2" l="1"/>
  <c r="S383" i="2"/>
  <c r="Q383" i="2"/>
  <c r="P383" i="2"/>
  <c r="X381" i="2"/>
  <c r="V382" i="2"/>
  <c r="K384" i="2"/>
  <c r="N384" i="2"/>
  <c r="M384" i="2"/>
  <c r="J384" i="2"/>
  <c r="L384" i="2"/>
  <c r="R384" i="2" l="1"/>
  <c r="S384" i="2"/>
  <c r="Q384" i="2"/>
  <c r="P384" i="2"/>
  <c r="V383" i="2"/>
  <c r="X382" i="2"/>
  <c r="Y382" i="2"/>
  <c r="N385" i="2"/>
  <c r="K385" i="2"/>
  <c r="M385" i="2"/>
  <c r="J385" i="2"/>
  <c r="L385" i="2"/>
  <c r="R385" i="2" l="1"/>
  <c r="S385" i="2"/>
  <c r="Q385" i="2"/>
  <c r="P385" i="2"/>
  <c r="V384" i="2"/>
  <c r="Y384" i="2" s="1"/>
  <c r="X383" i="2"/>
  <c r="Y383" i="2"/>
  <c r="N386" i="2"/>
  <c r="M386" i="2"/>
  <c r="L386" i="2"/>
  <c r="K386" i="2"/>
  <c r="J386" i="2"/>
  <c r="R386" i="2" l="1"/>
  <c r="S386" i="2"/>
  <c r="Q386" i="2"/>
  <c r="P386" i="2"/>
  <c r="X384" i="2"/>
  <c r="V385" i="2"/>
  <c r="M387" i="2"/>
  <c r="J387" i="2"/>
  <c r="L387" i="2"/>
  <c r="K387" i="2"/>
  <c r="N387" i="2"/>
  <c r="R387" i="2" l="1"/>
  <c r="S387" i="2"/>
  <c r="Q387" i="2"/>
  <c r="P387" i="2"/>
  <c r="Y385" i="2"/>
  <c r="X385" i="2"/>
  <c r="V386" i="2"/>
  <c r="N388" i="2"/>
  <c r="K388" i="2"/>
  <c r="M388" i="2"/>
  <c r="J388" i="2"/>
  <c r="L388" i="2"/>
  <c r="R388" i="2" l="1"/>
  <c r="S388" i="2"/>
  <c r="Q388" i="2"/>
  <c r="P388" i="2"/>
  <c r="X386" i="2"/>
  <c r="Y386" i="2"/>
  <c r="V387" i="2"/>
  <c r="M389" i="2"/>
  <c r="J389" i="2"/>
  <c r="L389" i="2"/>
  <c r="K389" i="2"/>
  <c r="N389" i="2"/>
  <c r="R389" i="2" l="1"/>
  <c r="S389" i="2"/>
  <c r="Q389" i="2"/>
  <c r="P389" i="2"/>
  <c r="Y387" i="2"/>
  <c r="X387" i="2"/>
  <c r="V388" i="2"/>
  <c r="K390" i="2"/>
  <c r="N390" i="2"/>
  <c r="J390" i="2"/>
  <c r="L390" i="2"/>
  <c r="M390" i="2"/>
  <c r="S390" i="2" l="1"/>
  <c r="R390" i="2"/>
  <c r="Q390" i="2"/>
  <c r="P390" i="2"/>
  <c r="X388" i="2"/>
  <c r="Y388" i="2"/>
  <c r="V389" i="2"/>
  <c r="K391" i="2"/>
  <c r="L391" i="2"/>
  <c r="N391" i="2"/>
  <c r="M391" i="2"/>
  <c r="J391" i="2"/>
  <c r="S391" i="2" l="1"/>
  <c r="R391" i="2"/>
  <c r="Q391" i="2"/>
  <c r="P391" i="2"/>
  <c r="Y389" i="2"/>
  <c r="X389" i="2"/>
  <c r="V390" i="2"/>
  <c r="L392" i="2"/>
  <c r="J392" i="2"/>
  <c r="K392" i="2"/>
  <c r="M392" i="2"/>
  <c r="N392" i="2"/>
  <c r="S392" i="2" l="1"/>
  <c r="R392" i="2"/>
  <c r="Q392" i="2"/>
  <c r="P392" i="2"/>
  <c r="V391" i="2"/>
  <c r="X390" i="2"/>
  <c r="Y390" i="2"/>
  <c r="K393" i="2"/>
  <c r="N393" i="2"/>
  <c r="M393" i="2"/>
  <c r="J393" i="2"/>
  <c r="L393" i="2"/>
  <c r="R393" i="2" l="1"/>
  <c r="S393" i="2"/>
  <c r="Q393" i="2"/>
  <c r="P393" i="2"/>
  <c r="V392" i="2"/>
  <c r="X392" i="2" s="1"/>
  <c r="X391" i="2"/>
  <c r="Y391" i="2"/>
  <c r="L394" i="2"/>
  <c r="J394" i="2"/>
  <c r="K394" i="2"/>
  <c r="N394" i="2"/>
  <c r="M394" i="2"/>
  <c r="S394" i="2" l="1"/>
  <c r="R394" i="2"/>
  <c r="Q394" i="2"/>
  <c r="P394" i="2"/>
  <c r="Y392" i="2"/>
  <c r="V393" i="2"/>
  <c r="L395" i="2"/>
  <c r="K395" i="2"/>
  <c r="M395" i="2"/>
  <c r="J395" i="2"/>
  <c r="N395" i="2"/>
  <c r="S395" i="2" l="1"/>
  <c r="R395" i="2"/>
  <c r="Q395" i="2"/>
  <c r="P395" i="2"/>
  <c r="Y393" i="2"/>
  <c r="X393" i="2"/>
  <c r="V394" i="2"/>
  <c r="K396" i="2"/>
  <c r="N396" i="2"/>
  <c r="J396" i="2"/>
  <c r="L396" i="2"/>
  <c r="M396" i="2"/>
  <c r="S396" i="2" l="1"/>
  <c r="R396" i="2"/>
  <c r="Q396" i="2"/>
  <c r="P396" i="2"/>
  <c r="V395" i="2"/>
  <c r="X395" i="2" s="1"/>
  <c r="X394" i="2"/>
  <c r="Y394" i="2"/>
  <c r="M397" i="2"/>
  <c r="K397" i="2"/>
  <c r="N397" i="2"/>
  <c r="J397" i="2"/>
  <c r="L397" i="2"/>
  <c r="R397" i="2" l="1"/>
  <c r="S397" i="2"/>
  <c r="Q397" i="2"/>
  <c r="P397" i="2"/>
  <c r="Y395" i="2"/>
  <c r="V396" i="2"/>
  <c r="K398" i="2"/>
  <c r="J398" i="2"/>
  <c r="N398" i="2"/>
  <c r="L398" i="2"/>
  <c r="M398" i="2"/>
  <c r="S398" i="2" l="1"/>
  <c r="R398" i="2"/>
  <c r="Q398" i="2"/>
  <c r="P398" i="2"/>
  <c r="X396" i="2"/>
  <c r="Y396" i="2"/>
  <c r="V397" i="2"/>
  <c r="K399" i="2"/>
  <c r="M399" i="2"/>
  <c r="N399" i="2"/>
  <c r="J399" i="2"/>
  <c r="L399" i="2"/>
  <c r="R399" i="2" l="1"/>
  <c r="S399" i="2"/>
  <c r="Q399" i="2"/>
  <c r="P399" i="2"/>
  <c r="X397" i="2"/>
  <c r="Y397" i="2"/>
  <c r="V398" i="2"/>
  <c r="M400" i="2"/>
  <c r="J400" i="2"/>
  <c r="K400" i="2"/>
  <c r="L400" i="2"/>
  <c r="N400" i="2"/>
  <c r="R400" i="2" l="1"/>
  <c r="S400" i="2"/>
  <c r="Q400" i="2"/>
  <c r="P400" i="2"/>
  <c r="V399" i="2"/>
  <c r="Y399" i="2" s="1"/>
  <c r="X398" i="2"/>
  <c r="Y398" i="2"/>
  <c r="M401" i="2"/>
  <c r="N401" i="2"/>
  <c r="L401" i="2"/>
  <c r="K401" i="2"/>
  <c r="J401" i="2"/>
  <c r="R401" i="2" l="1"/>
  <c r="S401" i="2"/>
  <c r="Q401" i="2"/>
  <c r="P401" i="2"/>
  <c r="X399" i="2"/>
  <c r="V400" i="2"/>
  <c r="M402" i="2"/>
  <c r="N402" i="2"/>
  <c r="K402" i="2"/>
  <c r="L402" i="2"/>
  <c r="J402" i="2"/>
  <c r="R402" i="2" l="1"/>
  <c r="S402" i="2"/>
  <c r="Q402" i="2"/>
  <c r="P402" i="2"/>
  <c r="Y400" i="2"/>
  <c r="X400" i="2"/>
  <c r="V401" i="2"/>
  <c r="M403" i="2"/>
  <c r="N403" i="2"/>
  <c r="K403" i="2"/>
  <c r="L403" i="2"/>
  <c r="J403" i="2"/>
  <c r="R403" i="2" l="1"/>
  <c r="S403" i="2"/>
  <c r="Q403" i="2"/>
  <c r="P403" i="2"/>
  <c r="V402" i="2"/>
  <c r="X402" i="2" s="1"/>
  <c r="Y401" i="2"/>
  <c r="X401" i="2"/>
  <c r="M404" i="2"/>
  <c r="K404" i="2"/>
  <c r="N404" i="2"/>
  <c r="L404" i="2"/>
  <c r="J404" i="2"/>
  <c r="R404" i="2" l="1"/>
  <c r="S404" i="2"/>
  <c r="Q404" i="2"/>
  <c r="P404" i="2"/>
  <c r="V403" i="2"/>
  <c r="X403" i="2" s="1"/>
  <c r="Y402" i="2"/>
  <c r="M405" i="2"/>
  <c r="J405" i="2"/>
  <c r="N405" i="2"/>
  <c r="L405" i="2"/>
  <c r="K405" i="2"/>
  <c r="R405" i="2" l="1"/>
  <c r="S405" i="2"/>
  <c r="Q405" i="2"/>
  <c r="P405" i="2"/>
  <c r="V404" i="2"/>
  <c r="X404" i="2" s="1"/>
  <c r="Y403" i="2"/>
  <c r="K406" i="2"/>
  <c r="L406" i="2"/>
  <c r="M406" i="2"/>
  <c r="J406" i="2"/>
  <c r="N406" i="2"/>
  <c r="S406" i="2" l="1"/>
  <c r="R406" i="2"/>
  <c r="Q406" i="2"/>
  <c r="P406" i="2"/>
  <c r="Y404" i="2"/>
  <c r="V405" i="2"/>
  <c r="L407" i="2"/>
  <c r="M407" i="2"/>
  <c r="N407" i="2"/>
  <c r="K407" i="2"/>
  <c r="J407" i="2"/>
  <c r="S407" i="2" l="1"/>
  <c r="R407" i="2"/>
  <c r="Q407" i="2"/>
  <c r="P407" i="2"/>
  <c r="V406" i="2"/>
  <c r="X405" i="2"/>
  <c r="Y405" i="2"/>
  <c r="N408" i="2"/>
  <c r="J408" i="2"/>
  <c r="M408" i="2"/>
  <c r="L408" i="2"/>
  <c r="K408" i="2"/>
  <c r="R408" i="2" l="1"/>
  <c r="S408" i="2"/>
  <c r="Q408" i="2"/>
  <c r="P408" i="2"/>
  <c r="V407" i="2"/>
  <c r="X407" i="2" s="1"/>
  <c r="X406" i="2"/>
  <c r="Y406" i="2"/>
  <c r="M409" i="2"/>
  <c r="K409" i="2"/>
  <c r="N409" i="2"/>
  <c r="J409" i="2"/>
  <c r="L409" i="2"/>
  <c r="R409" i="2" l="1"/>
  <c r="S409" i="2"/>
  <c r="Q409" i="2"/>
  <c r="P409" i="2"/>
  <c r="Y407" i="2"/>
  <c r="V408" i="2"/>
  <c r="N410" i="2"/>
  <c r="K410" i="2"/>
  <c r="M410" i="2"/>
  <c r="J410" i="2"/>
  <c r="L410" i="2"/>
  <c r="R410" i="2" l="1"/>
  <c r="S410" i="2"/>
  <c r="Q410" i="2"/>
  <c r="P410" i="2"/>
  <c r="Y408" i="2"/>
  <c r="X408" i="2"/>
  <c r="V409" i="2"/>
  <c r="M411" i="2"/>
  <c r="J411" i="2"/>
  <c r="N411" i="2"/>
  <c r="L411" i="2"/>
  <c r="K411" i="2"/>
  <c r="R411" i="2" l="1"/>
  <c r="S411" i="2"/>
  <c r="Q411" i="2"/>
  <c r="P411" i="2"/>
  <c r="Y409" i="2"/>
  <c r="X409" i="2"/>
  <c r="V410" i="2"/>
  <c r="M412" i="2"/>
  <c r="J412" i="2"/>
  <c r="N412" i="2"/>
  <c r="K412" i="2"/>
  <c r="L412" i="2"/>
  <c r="R412" i="2" l="1"/>
  <c r="S412" i="2"/>
  <c r="Q412" i="2"/>
  <c r="P412" i="2"/>
  <c r="V411" i="2"/>
  <c r="X411" i="2" s="1"/>
  <c r="X410" i="2"/>
  <c r="Y410" i="2"/>
  <c r="N413" i="2"/>
  <c r="J413" i="2"/>
  <c r="K413" i="2"/>
  <c r="L413" i="2"/>
  <c r="M413" i="2"/>
  <c r="S413" i="2" l="1"/>
  <c r="R413" i="2"/>
  <c r="Q413" i="2"/>
  <c r="P413" i="2"/>
  <c r="Y411" i="2"/>
  <c r="V412" i="2"/>
  <c r="L414" i="2"/>
  <c r="K414" i="2"/>
  <c r="N414" i="2"/>
  <c r="J414" i="2"/>
  <c r="M414" i="2"/>
  <c r="S414" i="2" l="1"/>
  <c r="R414" i="2"/>
  <c r="Q414" i="2"/>
  <c r="P414" i="2"/>
  <c r="X412" i="2"/>
  <c r="Y412" i="2"/>
  <c r="V413" i="2"/>
  <c r="K415" i="2"/>
  <c r="M415" i="2"/>
  <c r="N415" i="2"/>
  <c r="J415" i="2"/>
  <c r="L415" i="2"/>
  <c r="R415" i="2" l="1"/>
  <c r="S415" i="2"/>
  <c r="Q415" i="2"/>
  <c r="P415" i="2"/>
  <c r="X413" i="2"/>
  <c r="Y413" i="2"/>
  <c r="V414" i="2"/>
  <c r="L416" i="2"/>
  <c r="K416" i="2"/>
  <c r="M416" i="2"/>
  <c r="J416" i="2"/>
  <c r="N416" i="2"/>
  <c r="S416" i="2" l="1"/>
  <c r="R416" i="2"/>
  <c r="Q416" i="2"/>
  <c r="P416" i="2"/>
  <c r="X414" i="2"/>
  <c r="Y414" i="2"/>
  <c r="V415" i="2"/>
  <c r="K417" i="2"/>
  <c r="N417" i="2"/>
  <c r="J417" i="2"/>
  <c r="M417" i="2"/>
  <c r="L417" i="2"/>
  <c r="R417" i="2" l="1"/>
  <c r="S417" i="2"/>
  <c r="Q417" i="2"/>
  <c r="P417" i="2"/>
  <c r="V416" i="2"/>
  <c r="X416" i="2" s="1"/>
  <c r="Y415" i="2"/>
  <c r="X415" i="2"/>
  <c r="M418" i="2"/>
  <c r="K418" i="2"/>
  <c r="L418" i="2"/>
  <c r="J418" i="2"/>
  <c r="N418" i="2"/>
  <c r="R418" i="2" l="1"/>
  <c r="S418" i="2"/>
  <c r="Q418" i="2"/>
  <c r="P418" i="2"/>
  <c r="Y416" i="2"/>
  <c r="V417" i="2"/>
  <c r="N419" i="2"/>
  <c r="M419" i="2"/>
  <c r="K419" i="2"/>
  <c r="J419" i="2"/>
  <c r="L419" i="2"/>
  <c r="R419" i="2" l="1"/>
  <c r="S419" i="2"/>
  <c r="Q419" i="2"/>
  <c r="P419" i="2"/>
  <c r="Y417" i="2"/>
  <c r="X417" i="2"/>
  <c r="V418" i="2"/>
  <c r="L420" i="2"/>
  <c r="M420" i="2"/>
  <c r="K420" i="2"/>
  <c r="N420" i="2"/>
  <c r="J420" i="2"/>
  <c r="S420" i="2" l="1"/>
  <c r="R420" i="2"/>
  <c r="Q420" i="2"/>
  <c r="P420" i="2"/>
  <c r="V419" i="2"/>
  <c r="X419" i="2" s="1"/>
  <c r="Y418" i="2"/>
  <c r="X418" i="2"/>
  <c r="M421" i="2"/>
  <c r="L421" i="2"/>
  <c r="K421" i="2"/>
  <c r="J421" i="2"/>
  <c r="N421" i="2"/>
  <c r="R421" i="2" l="1"/>
  <c r="S421" i="2"/>
  <c r="Q421" i="2"/>
  <c r="P421" i="2"/>
  <c r="Y419" i="2"/>
  <c r="V420" i="2"/>
  <c r="M422" i="2"/>
  <c r="L422" i="2"/>
  <c r="K422" i="2"/>
  <c r="J422" i="2"/>
  <c r="N422" i="2"/>
  <c r="R422" i="2" l="1"/>
  <c r="S422" i="2"/>
  <c r="Q422" i="2"/>
  <c r="P422" i="2"/>
  <c r="X420" i="2"/>
  <c r="Y420" i="2"/>
  <c r="V421" i="2"/>
  <c r="L423" i="2"/>
  <c r="J423" i="2"/>
  <c r="M423" i="2"/>
  <c r="K423" i="2"/>
  <c r="N423" i="2"/>
  <c r="S423" i="2" l="1"/>
  <c r="R423" i="2"/>
  <c r="Q423" i="2"/>
  <c r="P423" i="2"/>
  <c r="X421" i="2"/>
  <c r="Y421" i="2"/>
  <c r="V422" i="2"/>
  <c r="L424" i="2"/>
  <c r="M424" i="2"/>
  <c r="N424" i="2"/>
  <c r="J424" i="2"/>
  <c r="K424" i="2"/>
  <c r="S424" i="2" l="1"/>
  <c r="R424" i="2"/>
  <c r="Q424" i="2"/>
  <c r="P424" i="2"/>
  <c r="Y422" i="2"/>
  <c r="X422" i="2"/>
  <c r="V423" i="2"/>
  <c r="N425" i="2"/>
  <c r="M425" i="2"/>
  <c r="J425" i="2"/>
  <c r="K425" i="2"/>
  <c r="L425" i="2"/>
  <c r="R425" i="2" l="1"/>
  <c r="S425" i="2"/>
  <c r="Q425" i="2"/>
  <c r="P425" i="2"/>
  <c r="V424" i="2"/>
  <c r="X424" i="2" s="1"/>
  <c r="X423" i="2"/>
  <c r="Y423" i="2"/>
  <c r="L426" i="2"/>
  <c r="K426" i="2"/>
  <c r="J426" i="2"/>
  <c r="M426" i="2"/>
  <c r="N426" i="2"/>
  <c r="S426" i="2" l="1"/>
  <c r="R426" i="2"/>
  <c r="Q426" i="2"/>
  <c r="P426" i="2"/>
  <c r="Y424" i="2"/>
  <c r="V425" i="2"/>
  <c r="M427" i="2"/>
  <c r="J427" i="2"/>
  <c r="L427" i="2"/>
  <c r="N427" i="2"/>
  <c r="K427" i="2"/>
  <c r="R427" i="2" l="1"/>
  <c r="S427" i="2"/>
  <c r="Q427" i="2"/>
  <c r="P427" i="2"/>
  <c r="V426" i="2"/>
  <c r="X426" i="2" s="1"/>
  <c r="Y425" i="2"/>
  <c r="X425" i="2"/>
  <c r="K428" i="2"/>
  <c r="J428" i="2"/>
  <c r="M428" i="2"/>
  <c r="L428" i="2"/>
  <c r="N428" i="2"/>
  <c r="R428" i="2" l="1"/>
  <c r="S428" i="2"/>
  <c r="Q428" i="2"/>
  <c r="P428" i="2"/>
  <c r="Y426" i="2"/>
  <c r="V427" i="2"/>
  <c r="K429" i="2"/>
  <c r="M429" i="2"/>
  <c r="N429" i="2"/>
  <c r="J429" i="2"/>
  <c r="L429" i="2"/>
  <c r="R429" i="2" l="1"/>
  <c r="S429" i="2"/>
  <c r="Q429" i="2"/>
  <c r="P429" i="2"/>
  <c r="V428" i="2"/>
  <c r="X427" i="2"/>
  <c r="Y427" i="2"/>
  <c r="M430" i="2"/>
  <c r="K430" i="2"/>
  <c r="N430" i="2"/>
  <c r="J430" i="2"/>
  <c r="L430" i="2"/>
  <c r="R430" i="2" l="1"/>
  <c r="S430" i="2"/>
  <c r="Q430" i="2"/>
  <c r="P430" i="2"/>
  <c r="V429" i="2"/>
  <c r="X429" i="2" s="1"/>
  <c r="X428" i="2"/>
  <c r="Y428" i="2"/>
  <c r="K431" i="2"/>
  <c r="L431" i="2"/>
  <c r="M431" i="2"/>
  <c r="J431" i="2"/>
  <c r="N431" i="2"/>
  <c r="S431" i="2" l="1"/>
  <c r="R431" i="2"/>
  <c r="Q431" i="2"/>
  <c r="P431" i="2"/>
  <c r="Y429" i="2"/>
  <c r="V430" i="2"/>
  <c r="L432" i="2"/>
  <c r="J432" i="2"/>
  <c r="K432" i="2"/>
  <c r="N432" i="2"/>
  <c r="M432" i="2"/>
  <c r="S432" i="2" l="1"/>
  <c r="R432" i="2"/>
  <c r="Q432" i="2"/>
  <c r="P432" i="2"/>
  <c r="X430" i="2"/>
  <c r="Y430" i="2"/>
  <c r="V431" i="2"/>
  <c r="K433" i="2"/>
  <c r="J433" i="2"/>
  <c r="N433" i="2"/>
  <c r="L433" i="2"/>
  <c r="M433" i="2"/>
  <c r="S433" i="2" l="1"/>
  <c r="R433" i="2"/>
  <c r="Q433" i="2"/>
  <c r="P433" i="2"/>
  <c r="V432" i="2"/>
  <c r="X432" i="2" s="1"/>
  <c r="X431" i="2"/>
  <c r="Y431" i="2"/>
  <c r="L434" i="2"/>
  <c r="N434" i="2"/>
  <c r="K434" i="2"/>
  <c r="J434" i="2"/>
  <c r="M434" i="2"/>
  <c r="S434" i="2" l="1"/>
  <c r="R434" i="2"/>
  <c r="Q434" i="2"/>
  <c r="P434" i="2"/>
  <c r="Y432" i="2"/>
  <c r="V433" i="2"/>
  <c r="L435" i="2"/>
  <c r="K435" i="2"/>
  <c r="M435" i="2"/>
  <c r="N435" i="2"/>
  <c r="J435" i="2"/>
  <c r="S435" i="2" l="1"/>
  <c r="R435" i="2"/>
  <c r="Q435" i="2"/>
  <c r="P435" i="2"/>
  <c r="Y433" i="2"/>
  <c r="X433" i="2"/>
  <c r="V434" i="2"/>
  <c r="K436" i="2"/>
  <c r="M436" i="2"/>
  <c r="N436" i="2"/>
  <c r="L436" i="2"/>
  <c r="J436" i="2"/>
  <c r="R436" i="2" l="1"/>
  <c r="S436" i="2"/>
  <c r="Q436" i="2"/>
  <c r="P436" i="2"/>
  <c r="V435" i="2"/>
  <c r="Y435" i="2" s="1"/>
  <c r="X434" i="2"/>
  <c r="Y434" i="2"/>
  <c r="K437" i="2"/>
  <c r="J437" i="2"/>
  <c r="L437" i="2"/>
  <c r="N437" i="2"/>
  <c r="M437" i="2"/>
  <c r="S437" i="2" l="1"/>
  <c r="R437" i="2"/>
  <c r="Q437" i="2"/>
  <c r="P437" i="2"/>
  <c r="X435" i="2"/>
  <c r="V436" i="2"/>
  <c r="M438" i="2"/>
  <c r="K438" i="2"/>
  <c r="N438" i="2"/>
  <c r="J438" i="2"/>
  <c r="L438" i="2"/>
  <c r="R438" i="2" l="1"/>
  <c r="S438" i="2"/>
  <c r="Q438" i="2"/>
  <c r="P438" i="2"/>
  <c r="V437" i="2"/>
  <c r="Y437" i="2" s="1"/>
  <c r="Y436" i="2"/>
  <c r="X436" i="2"/>
  <c r="M439" i="2"/>
  <c r="N439" i="2"/>
  <c r="J439" i="2"/>
  <c r="K439" i="2"/>
  <c r="L439" i="2"/>
  <c r="R439" i="2" l="1"/>
  <c r="S439" i="2"/>
  <c r="Q439" i="2"/>
  <c r="P439" i="2"/>
  <c r="V438" i="2"/>
  <c r="X438" i="2" s="1"/>
  <c r="X437" i="2"/>
  <c r="N440" i="2"/>
  <c r="M440" i="2"/>
  <c r="L440" i="2"/>
  <c r="J440" i="2"/>
  <c r="K440" i="2"/>
  <c r="R440" i="2" l="1"/>
  <c r="S440" i="2"/>
  <c r="Q440" i="2"/>
  <c r="P440" i="2"/>
  <c r="Y438" i="2"/>
  <c r="V439" i="2"/>
  <c r="M441" i="2"/>
  <c r="J441" i="2"/>
  <c r="N441" i="2"/>
  <c r="K441" i="2"/>
  <c r="L441" i="2"/>
  <c r="R441" i="2" l="1"/>
  <c r="S441" i="2"/>
  <c r="Q441" i="2"/>
  <c r="P441" i="2"/>
  <c r="X439" i="2"/>
  <c r="Y439" i="2"/>
  <c r="V440" i="2"/>
  <c r="M442" i="2"/>
  <c r="K442" i="2"/>
  <c r="J442" i="2"/>
  <c r="N442" i="2"/>
  <c r="L442" i="2"/>
  <c r="R442" i="2" l="1"/>
  <c r="S442" i="2"/>
  <c r="Q442" i="2"/>
  <c r="P442" i="2"/>
  <c r="X440" i="2"/>
  <c r="Y440" i="2"/>
  <c r="V441" i="2"/>
  <c r="K443" i="2"/>
  <c r="J443" i="2"/>
  <c r="M443" i="2"/>
  <c r="L443" i="2"/>
  <c r="N443" i="2"/>
  <c r="R443" i="2" l="1"/>
  <c r="S443" i="2"/>
  <c r="Q443" i="2"/>
  <c r="P443" i="2"/>
  <c r="X441" i="2"/>
  <c r="Y441" i="2"/>
  <c r="V442" i="2"/>
  <c r="N444" i="2"/>
  <c r="L444" i="2"/>
  <c r="M444" i="2"/>
  <c r="K444" i="2"/>
  <c r="J444" i="2"/>
  <c r="S444" i="2" l="1"/>
  <c r="R444" i="2"/>
  <c r="Q444" i="2"/>
  <c r="P444" i="2"/>
  <c r="V443" i="2"/>
  <c r="Y443" i="2" s="1"/>
  <c r="Y442" i="2"/>
  <c r="X442" i="2"/>
  <c r="K445" i="2"/>
  <c r="J445" i="2"/>
  <c r="M445" i="2"/>
  <c r="L445" i="2"/>
  <c r="N445" i="2"/>
  <c r="R445" i="2" l="1"/>
  <c r="S445" i="2"/>
  <c r="Q445" i="2"/>
  <c r="P445" i="2"/>
  <c r="X443" i="2"/>
  <c r="V444" i="2"/>
  <c r="M446" i="2"/>
  <c r="J446" i="2"/>
  <c r="N446" i="2"/>
  <c r="K446" i="2"/>
  <c r="L446" i="2"/>
  <c r="R446" i="2" l="1"/>
  <c r="S446" i="2"/>
  <c r="Q446" i="2"/>
  <c r="P446" i="2"/>
  <c r="V445" i="2"/>
  <c r="X445" i="2" s="1"/>
  <c r="Y444" i="2"/>
  <c r="X444" i="2"/>
  <c r="N447" i="2"/>
  <c r="J447" i="2"/>
  <c r="K447" i="2"/>
  <c r="M447" i="2"/>
  <c r="L447" i="2"/>
  <c r="R447" i="2" l="1"/>
  <c r="S447" i="2"/>
  <c r="Q447" i="2"/>
  <c r="P447" i="2"/>
  <c r="V446" i="2"/>
  <c r="X446" i="2" s="1"/>
  <c r="Y445" i="2"/>
  <c r="L448" i="2"/>
  <c r="M448" i="2"/>
  <c r="K448" i="2"/>
  <c r="J448" i="2"/>
  <c r="N448" i="2"/>
  <c r="S448" i="2" l="1"/>
  <c r="R448" i="2"/>
  <c r="Q448" i="2"/>
  <c r="P448" i="2"/>
  <c r="Y446" i="2"/>
  <c r="V447" i="2"/>
  <c r="X447" i="2" s="1"/>
  <c r="K449" i="2"/>
  <c r="J449" i="2"/>
  <c r="N449" i="2"/>
  <c r="M449" i="2"/>
  <c r="L449" i="2"/>
  <c r="R449" i="2" l="1"/>
  <c r="S449" i="2"/>
  <c r="Q449" i="2"/>
  <c r="P449" i="2"/>
  <c r="V448" i="2"/>
  <c r="X448" i="2" s="1"/>
  <c r="Y447" i="2"/>
  <c r="M450" i="2"/>
  <c r="L450" i="2"/>
  <c r="N450" i="2"/>
  <c r="J450" i="2"/>
  <c r="K450" i="2"/>
  <c r="R450" i="2" l="1"/>
  <c r="S450" i="2"/>
  <c r="Q450" i="2"/>
  <c r="P450" i="2"/>
  <c r="Y448" i="2"/>
  <c r="V449" i="2"/>
  <c r="N451" i="2"/>
  <c r="K451" i="2"/>
  <c r="M451" i="2"/>
  <c r="J451" i="2"/>
  <c r="L451" i="2"/>
  <c r="R451" i="2" l="1"/>
  <c r="S451" i="2"/>
  <c r="Q451" i="2"/>
  <c r="P451" i="2"/>
  <c r="Y449" i="2"/>
  <c r="X449" i="2"/>
  <c r="V450" i="2"/>
  <c r="M452" i="2"/>
  <c r="J452" i="2"/>
  <c r="N452" i="2"/>
  <c r="L452" i="2"/>
  <c r="K452" i="2"/>
  <c r="R452" i="2" l="1"/>
  <c r="S452" i="2"/>
  <c r="Q452" i="2"/>
  <c r="P452" i="2"/>
  <c r="V451" i="2"/>
  <c r="X451" i="2" s="1"/>
  <c r="Y450" i="2"/>
  <c r="X450" i="2"/>
  <c r="K453" i="2"/>
  <c r="L453" i="2"/>
  <c r="M453" i="2"/>
  <c r="N453" i="2"/>
  <c r="J453" i="2"/>
  <c r="S453" i="2" l="1"/>
  <c r="R453" i="2"/>
  <c r="Q453" i="2"/>
  <c r="P453" i="2"/>
  <c r="Y451" i="2"/>
  <c r="V452" i="2"/>
  <c r="K454" i="2"/>
  <c r="N454" i="2"/>
  <c r="M454" i="2"/>
  <c r="L454" i="2"/>
  <c r="J454" i="2"/>
  <c r="R454" i="2" l="1"/>
  <c r="S454" i="2"/>
  <c r="Q454" i="2"/>
  <c r="P454" i="2"/>
  <c r="V453" i="2"/>
  <c r="X453" i="2" s="1"/>
  <c r="X452" i="2"/>
  <c r="Y452" i="2"/>
  <c r="N455" i="2"/>
  <c r="K455" i="2"/>
  <c r="L455" i="2"/>
  <c r="M455" i="2"/>
  <c r="J455" i="2"/>
  <c r="S455" i="2" l="1"/>
  <c r="R455" i="2"/>
  <c r="Q455" i="2"/>
  <c r="P455" i="2"/>
  <c r="V454" i="2"/>
  <c r="X454" i="2" s="1"/>
  <c r="Y453" i="2"/>
  <c r="M456" i="2"/>
  <c r="N456" i="2"/>
  <c r="L456" i="2"/>
  <c r="K456" i="2"/>
  <c r="J456" i="2"/>
  <c r="R456" i="2" l="1"/>
  <c r="S456" i="2"/>
  <c r="Q456" i="2"/>
  <c r="P456" i="2"/>
  <c r="Y454" i="2"/>
  <c r="V455" i="2"/>
  <c r="Y455" i="2" s="1"/>
  <c r="K457" i="2"/>
  <c r="L457" i="2"/>
  <c r="M457" i="2"/>
  <c r="J457" i="2"/>
  <c r="N457" i="2"/>
  <c r="S457" i="2" l="1"/>
  <c r="R457" i="2"/>
  <c r="Q457" i="2"/>
  <c r="P457" i="2"/>
  <c r="X455" i="2"/>
  <c r="V456" i="2"/>
  <c r="N458" i="2"/>
  <c r="K458" i="2"/>
  <c r="J458" i="2"/>
  <c r="L458" i="2"/>
  <c r="M458" i="2"/>
  <c r="S458" i="2" l="1"/>
  <c r="R458" i="2"/>
  <c r="Q458" i="2"/>
  <c r="P458" i="2"/>
  <c r="X456" i="2"/>
  <c r="Y456" i="2"/>
  <c r="V457" i="2"/>
  <c r="M459" i="2"/>
  <c r="K459" i="2"/>
  <c r="L459" i="2"/>
  <c r="N459" i="2"/>
  <c r="J459" i="2"/>
  <c r="R459" i="2" l="1"/>
  <c r="S459" i="2"/>
  <c r="Q459" i="2"/>
  <c r="P459" i="2"/>
  <c r="Y457" i="2"/>
  <c r="X457" i="2"/>
  <c r="V458" i="2"/>
  <c r="L460" i="2"/>
  <c r="N460" i="2"/>
  <c r="M460" i="2"/>
  <c r="K460" i="2"/>
  <c r="J460" i="2"/>
  <c r="S460" i="2" l="1"/>
  <c r="R460" i="2"/>
  <c r="Q460" i="2"/>
  <c r="P460" i="2"/>
  <c r="V459" i="2"/>
  <c r="X459" i="2" s="1"/>
  <c r="Y458" i="2"/>
  <c r="X458" i="2"/>
  <c r="M461" i="2"/>
  <c r="J461" i="2"/>
  <c r="N461" i="2"/>
  <c r="L461" i="2"/>
  <c r="K461" i="2"/>
  <c r="R461" i="2" l="1"/>
  <c r="S461" i="2"/>
  <c r="Q461" i="2"/>
  <c r="P461" i="2"/>
  <c r="Y459" i="2"/>
  <c r="V460" i="2"/>
  <c r="N462" i="2"/>
  <c r="L462" i="2"/>
  <c r="M462" i="2"/>
  <c r="J462" i="2"/>
  <c r="K462" i="2"/>
  <c r="S462" i="2" l="1"/>
  <c r="R462" i="2"/>
  <c r="Q462" i="2"/>
  <c r="P462" i="2"/>
  <c r="X460" i="2"/>
  <c r="Y460" i="2"/>
  <c r="V461" i="2"/>
  <c r="L463" i="2"/>
  <c r="N463" i="2"/>
  <c r="J463" i="2"/>
  <c r="K463" i="2"/>
  <c r="M463" i="2"/>
  <c r="S463" i="2" l="1"/>
  <c r="R463" i="2"/>
  <c r="Q463" i="2"/>
  <c r="P463" i="2"/>
  <c r="V462" i="2"/>
  <c r="X462" i="2" s="1"/>
  <c r="X461" i="2"/>
  <c r="Y461" i="2"/>
  <c r="K464" i="2"/>
  <c r="L464" i="2"/>
  <c r="M464" i="2"/>
  <c r="J464" i="2"/>
  <c r="N464" i="2"/>
  <c r="S464" i="2" l="1"/>
  <c r="R464" i="2"/>
  <c r="Q464" i="2"/>
  <c r="P464" i="2"/>
  <c r="Y462" i="2"/>
  <c r="V463" i="2"/>
  <c r="L465" i="2"/>
  <c r="M465" i="2"/>
  <c r="N465" i="2"/>
  <c r="J465" i="2"/>
  <c r="K465" i="2"/>
  <c r="S465" i="2" l="1"/>
  <c r="R465" i="2"/>
  <c r="Q465" i="2"/>
  <c r="P465" i="2"/>
  <c r="X463" i="2"/>
  <c r="Y463" i="2"/>
  <c r="V464" i="2"/>
  <c r="L466" i="2"/>
  <c r="M466" i="2"/>
  <c r="N466" i="2"/>
  <c r="K466" i="2"/>
  <c r="J466" i="2"/>
  <c r="S466" i="2" l="1"/>
  <c r="R466" i="2"/>
  <c r="Q466" i="2"/>
  <c r="P466" i="2"/>
  <c r="V465" i="2"/>
  <c r="Y465" i="2" s="1"/>
  <c r="X464" i="2"/>
  <c r="Y464" i="2"/>
  <c r="N467" i="2"/>
  <c r="M467" i="2"/>
  <c r="L467" i="2"/>
  <c r="K467" i="2"/>
  <c r="J467" i="2"/>
  <c r="R467" i="2" l="1"/>
  <c r="S467" i="2"/>
  <c r="Q467" i="2"/>
  <c r="P467" i="2"/>
  <c r="X465" i="2"/>
  <c r="V466" i="2"/>
  <c r="M468" i="2"/>
  <c r="K468" i="2"/>
  <c r="N468" i="2"/>
  <c r="J468" i="2"/>
  <c r="L468" i="2"/>
  <c r="R468" i="2" l="1"/>
  <c r="S468" i="2"/>
  <c r="Q468" i="2"/>
  <c r="P468" i="2"/>
  <c r="Y466" i="2"/>
  <c r="X466" i="2"/>
  <c r="V467" i="2"/>
  <c r="K469" i="2"/>
  <c r="J469" i="2"/>
  <c r="N469" i="2"/>
  <c r="M469" i="2"/>
  <c r="L469" i="2"/>
  <c r="R469" i="2" l="1"/>
  <c r="S469" i="2"/>
  <c r="Q469" i="2"/>
  <c r="P469" i="2"/>
  <c r="V468" i="2"/>
  <c r="X467" i="2"/>
  <c r="Y467" i="2"/>
  <c r="L470" i="2"/>
  <c r="J470" i="2"/>
  <c r="K470" i="2"/>
  <c r="M470" i="2"/>
  <c r="N470" i="2"/>
  <c r="S470" i="2" l="1"/>
  <c r="R470" i="2"/>
  <c r="Q470" i="2"/>
  <c r="P470" i="2"/>
  <c r="V469" i="2"/>
  <c r="X469" i="2" s="1"/>
  <c r="X468" i="2"/>
  <c r="Y468" i="2"/>
  <c r="L471" i="2"/>
  <c r="K471" i="2"/>
  <c r="M471" i="2"/>
  <c r="J471" i="2"/>
  <c r="N471" i="2"/>
  <c r="S471" i="2" l="1"/>
  <c r="R471" i="2"/>
  <c r="Q471" i="2"/>
  <c r="P471" i="2"/>
  <c r="Y469" i="2"/>
  <c r="V470" i="2"/>
  <c r="M472" i="2"/>
  <c r="N472" i="2"/>
  <c r="K472" i="2"/>
  <c r="J472" i="2"/>
  <c r="L472" i="2"/>
  <c r="R472" i="2" l="1"/>
  <c r="S472" i="2"/>
  <c r="Q472" i="2"/>
  <c r="P472" i="2"/>
  <c r="X470" i="2"/>
  <c r="Y470" i="2"/>
  <c r="V471" i="2"/>
  <c r="M473" i="2"/>
  <c r="J473" i="2"/>
  <c r="K473" i="2"/>
  <c r="L473" i="2"/>
  <c r="N473" i="2"/>
  <c r="R473" i="2" l="1"/>
  <c r="S473" i="2"/>
  <c r="Q473" i="2"/>
  <c r="P473" i="2"/>
  <c r="V472" i="2"/>
  <c r="X471" i="2"/>
  <c r="Y471" i="2"/>
  <c r="L474" i="2"/>
  <c r="N474" i="2"/>
  <c r="J474" i="2"/>
  <c r="K474" i="2"/>
  <c r="M474" i="2"/>
  <c r="S474" i="2" l="1"/>
  <c r="R474" i="2"/>
  <c r="Q474" i="2"/>
  <c r="P474" i="2"/>
  <c r="X472" i="2"/>
  <c r="Y472" i="2"/>
  <c r="V473" i="2"/>
  <c r="L475" i="2"/>
  <c r="K475" i="2"/>
  <c r="M475" i="2"/>
  <c r="J475" i="2"/>
  <c r="N475" i="2"/>
  <c r="S475" i="2" l="1"/>
  <c r="R475" i="2"/>
  <c r="Q475" i="2"/>
  <c r="P475" i="2"/>
  <c r="X473" i="2"/>
  <c r="Y473" i="2"/>
  <c r="V474" i="2"/>
  <c r="K476" i="2"/>
  <c r="J476" i="2"/>
  <c r="N476" i="2"/>
  <c r="M476" i="2"/>
  <c r="L476" i="2"/>
  <c r="R476" i="2" l="1"/>
  <c r="S476" i="2"/>
  <c r="Q476" i="2"/>
  <c r="P476" i="2"/>
  <c r="V475" i="2"/>
  <c r="Y475" i="2" s="1"/>
  <c r="Y474" i="2"/>
  <c r="X474" i="2"/>
  <c r="N477" i="2"/>
  <c r="L477" i="2"/>
  <c r="M477" i="2"/>
  <c r="K477" i="2"/>
  <c r="J477" i="2"/>
  <c r="S477" i="2" l="1"/>
  <c r="R477" i="2"/>
  <c r="Q477" i="2"/>
  <c r="P477" i="2"/>
  <c r="X475" i="2"/>
  <c r="V476" i="2"/>
  <c r="Y476" i="2" s="1"/>
  <c r="L478" i="2"/>
  <c r="J478" i="2"/>
  <c r="M478" i="2"/>
  <c r="N478" i="2"/>
  <c r="K478" i="2"/>
  <c r="S478" i="2" l="1"/>
  <c r="R478" i="2"/>
  <c r="Q478" i="2"/>
  <c r="P478" i="2"/>
  <c r="X476" i="2"/>
  <c r="V477" i="2"/>
  <c r="M479" i="2"/>
  <c r="J479" i="2"/>
  <c r="N479" i="2"/>
  <c r="K479" i="2"/>
  <c r="L479" i="2"/>
  <c r="R479" i="2" l="1"/>
  <c r="S479" i="2"/>
  <c r="Q479" i="2"/>
  <c r="P479" i="2"/>
  <c r="V478" i="2"/>
  <c r="X477" i="2"/>
  <c r="Y477" i="2"/>
  <c r="N480" i="2"/>
  <c r="L480" i="2"/>
  <c r="J480" i="2"/>
  <c r="K480" i="2"/>
  <c r="M480" i="2"/>
  <c r="S480" i="2" l="1"/>
  <c r="R480" i="2"/>
  <c r="Q480" i="2"/>
  <c r="P480" i="2"/>
  <c r="V479" i="2"/>
  <c r="X479" i="2" s="1"/>
  <c r="X478" i="2"/>
  <c r="Y478" i="2"/>
  <c r="N481" i="2"/>
  <c r="M481" i="2"/>
  <c r="K481" i="2"/>
  <c r="L481" i="2"/>
  <c r="J481" i="2"/>
  <c r="R481" i="2" l="1"/>
  <c r="S481" i="2"/>
  <c r="Q481" i="2"/>
  <c r="P481" i="2"/>
  <c r="Y479" i="2"/>
  <c r="V480" i="2"/>
  <c r="K482" i="2"/>
  <c r="N482" i="2"/>
  <c r="M482" i="2"/>
  <c r="J482" i="2"/>
  <c r="L482" i="2"/>
  <c r="R482" i="2" l="1"/>
  <c r="S482" i="2"/>
  <c r="Q482" i="2"/>
  <c r="P482" i="2"/>
  <c r="X480" i="2"/>
  <c r="Y480" i="2"/>
  <c r="V481" i="2"/>
  <c r="M483" i="2"/>
  <c r="L483" i="2"/>
  <c r="K483" i="2"/>
  <c r="J483" i="2"/>
  <c r="N483" i="2"/>
  <c r="R483" i="2" l="1"/>
  <c r="S483" i="2"/>
  <c r="Q483" i="2"/>
  <c r="P483" i="2"/>
  <c r="V482" i="2"/>
  <c r="X482" i="2" s="1"/>
  <c r="X481" i="2"/>
  <c r="Y481" i="2"/>
  <c r="N484" i="2"/>
  <c r="M484" i="2"/>
  <c r="K484" i="2"/>
  <c r="J484" i="2"/>
  <c r="L484" i="2"/>
  <c r="R484" i="2" l="1"/>
  <c r="S484" i="2"/>
  <c r="Q484" i="2"/>
  <c r="P484" i="2"/>
  <c r="Y482" i="2"/>
  <c r="V483" i="2"/>
  <c r="L485" i="2"/>
  <c r="M485" i="2"/>
  <c r="K485" i="2"/>
  <c r="J485" i="2"/>
  <c r="N485" i="2"/>
  <c r="S485" i="2" l="1"/>
  <c r="R485" i="2"/>
  <c r="Q485" i="2"/>
  <c r="P485" i="2"/>
  <c r="Y483" i="2"/>
  <c r="X483" i="2"/>
  <c r="V484" i="2"/>
  <c r="N486" i="2"/>
  <c r="K486" i="2"/>
  <c r="L486" i="2"/>
  <c r="J486" i="2"/>
  <c r="M486" i="2"/>
  <c r="S486" i="2" l="1"/>
  <c r="R486" i="2"/>
  <c r="Q486" i="2"/>
  <c r="P486" i="2"/>
  <c r="V485" i="2"/>
  <c r="X485" i="2" s="1"/>
  <c r="X484" i="2"/>
  <c r="Y484" i="2"/>
  <c r="K487" i="2"/>
  <c r="J487" i="2"/>
  <c r="L487" i="2"/>
  <c r="M487" i="2"/>
  <c r="N487" i="2"/>
  <c r="S487" i="2" l="1"/>
  <c r="R487" i="2"/>
  <c r="Q487" i="2"/>
  <c r="P487" i="2"/>
  <c r="Y485" i="2"/>
  <c r="V486" i="2"/>
  <c r="N488" i="2"/>
  <c r="J488" i="2"/>
  <c r="L488" i="2"/>
  <c r="M488" i="2"/>
  <c r="K488" i="2"/>
  <c r="S488" i="2" l="1"/>
  <c r="R488" i="2"/>
  <c r="Q488" i="2"/>
  <c r="P488" i="2"/>
  <c r="X486" i="2"/>
  <c r="Y486" i="2"/>
  <c r="V487" i="2"/>
  <c r="K489" i="2"/>
  <c r="L489" i="2"/>
  <c r="N489" i="2"/>
  <c r="M489" i="2"/>
  <c r="J489" i="2"/>
  <c r="S489" i="2" l="1"/>
  <c r="R489" i="2"/>
  <c r="Q489" i="2"/>
  <c r="P489" i="2"/>
  <c r="Y487" i="2"/>
  <c r="X487" i="2"/>
  <c r="V488" i="2"/>
  <c r="N490" i="2"/>
  <c r="J490" i="2"/>
  <c r="M490" i="2"/>
  <c r="L490" i="2"/>
  <c r="K490" i="2"/>
  <c r="R490" i="2" l="1"/>
  <c r="S490" i="2"/>
  <c r="Q490" i="2"/>
  <c r="P490" i="2"/>
  <c r="X488" i="2"/>
  <c r="Y488" i="2"/>
  <c r="V489" i="2"/>
  <c r="K491" i="2"/>
  <c r="L491" i="2"/>
  <c r="M491" i="2"/>
  <c r="J491" i="2"/>
  <c r="N491" i="2"/>
  <c r="S491" i="2" l="1"/>
  <c r="R491" i="2"/>
  <c r="Q491" i="2"/>
  <c r="P491" i="2"/>
  <c r="V490" i="2"/>
  <c r="X489" i="2"/>
  <c r="Y489" i="2"/>
  <c r="N492" i="2"/>
  <c r="J492" i="2"/>
  <c r="M492" i="2"/>
  <c r="K492" i="2"/>
  <c r="L492" i="2"/>
  <c r="R492" i="2" l="1"/>
  <c r="S492" i="2"/>
  <c r="Q492" i="2"/>
  <c r="P492" i="2"/>
  <c r="Y490" i="2"/>
  <c r="X490" i="2"/>
  <c r="V491" i="2"/>
  <c r="M493" i="2"/>
  <c r="N493" i="2"/>
  <c r="J493" i="2"/>
  <c r="L493" i="2"/>
  <c r="K493" i="2"/>
  <c r="R493" i="2" l="1"/>
  <c r="S493" i="2"/>
  <c r="Q493" i="2"/>
  <c r="P493" i="2"/>
  <c r="Y491" i="2"/>
  <c r="X491" i="2"/>
  <c r="V492" i="2"/>
  <c r="N494" i="2"/>
  <c r="J494" i="2"/>
  <c r="K494" i="2"/>
  <c r="L494" i="2"/>
  <c r="M494" i="2"/>
  <c r="S494" i="2" l="1"/>
  <c r="R494" i="2"/>
  <c r="Q494" i="2"/>
  <c r="P494" i="2"/>
  <c r="X492" i="2"/>
  <c r="Y492" i="2"/>
  <c r="V493" i="2"/>
  <c r="J495" i="2"/>
  <c r="M495" i="2"/>
  <c r="L495" i="2"/>
  <c r="K495" i="2"/>
  <c r="N495" i="2"/>
  <c r="R495" i="2" l="1"/>
  <c r="S495" i="2"/>
  <c r="Q495" i="2"/>
  <c r="P495" i="2"/>
  <c r="V494" i="2"/>
  <c r="Y494" i="2" s="1"/>
  <c r="X493" i="2"/>
  <c r="Y493" i="2"/>
  <c r="K496" i="2"/>
  <c r="L496" i="2"/>
  <c r="M496" i="2"/>
  <c r="J496" i="2"/>
  <c r="N496" i="2"/>
  <c r="S496" i="2" l="1"/>
  <c r="R496" i="2"/>
  <c r="Q496" i="2"/>
  <c r="P496" i="2"/>
  <c r="X494" i="2"/>
  <c r="V495" i="2"/>
  <c r="K497" i="2"/>
  <c r="N497" i="2"/>
  <c r="L497" i="2"/>
  <c r="M497" i="2"/>
  <c r="J497" i="2"/>
  <c r="S497" i="2" l="1"/>
  <c r="R497" i="2"/>
  <c r="Q497" i="2"/>
  <c r="P497" i="2"/>
  <c r="X495" i="2"/>
  <c r="Y495" i="2"/>
  <c r="V496" i="2"/>
  <c r="N498" i="2"/>
  <c r="K498" i="2"/>
  <c r="L498" i="2"/>
  <c r="M498" i="2"/>
  <c r="J498" i="2"/>
  <c r="S498" i="2" l="1"/>
  <c r="R498" i="2"/>
  <c r="Q498" i="2"/>
  <c r="P498" i="2"/>
  <c r="X496" i="2"/>
  <c r="Y496" i="2"/>
  <c r="V497" i="2"/>
  <c r="N499" i="2"/>
  <c r="L499" i="2"/>
  <c r="K499" i="2"/>
  <c r="M499" i="2"/>
  <c r="J499" i="2"/>
  <c r="S499" i="2" l="1"/>
  <c r="R499" i="2"/>
  <c r="Q499" i="2"/>
  <c r="P499" i="2"/>
  <c r="V498" i="2"/>
  <c r="Y498" i="2" s="1"/>
  <c r="X497" i="2"/>
  <c r="Y497" i="2"/>
  <c r="M500" i="2"/>
  <c r="J500" i="2"/>
  <c r="K500" i="2"/>
  <c r="L500" i="2"/>
  <c r="N500" i="2"/>
  <c r="R500" i="2" l="1"/>
  <c r="S500" i="2"/>
  <c r="Q500" i="2"/>
  <c r="P500" i="2"/>
  <c r="X498" i="2"/>
  <c r="V499" i="2"/>
  <c r="K501" i="2"/>
  <c r="L501" i="2"/>
  <c r="N501" i="2"/>
  <c r="J501" i="2"/>
  <c r="M501" i="2"/>
  <c r="S501" i="2" l="1"/>
  <c r="R501" i="2"/>
  <c r="Q501" i="2"/>
  <c r="P501" i="2"/>
  <c r="V500" i="2"/>
  <c r="Y499" i="2"/>
  <c r="X499" i="2"/>
  <c r="L502" i="2"/>
  <c r="M502" i="2"/>
  <c r="N502" i="2"/>
  <c r="K502" i="2"/>
  <c r="J502" i="2"/>
  <c r="S502" i="2" l="1"/>
  <c r="R502" i="2"/>
  <c r="Q502" i="2"/>
  <c r="P502" i="2"/>
  <c r="Y500" i="2"/>
  <c r="X500" i="2"/>
  <c r="V501" i="2"/>
  <c r="N503" i="2"/>
  <c r="L503" i="2"/>
  <c r="M503" i="2"/>
  <c r="J503" i="2"/>
  <c r="K503" i="2"/>
  <c r="S503" i="2" l="1"/>
  <c r="R503" i="2"/>
  <c r="Q503" i="2"/>
  <c r="P503" i="2"/>
  <c r="X501" i="2"/>
  <c r="Y501" i="2"/>
  <c r="V502" i="2"/>
  <c r="L504" i="2"/>
  <c r="M504" i="2"/>
  <c r="K504" i="2"/>
  <c r="N504" i="2"/>
  <c r="J504" i="2"/>
  <c r="S504" i="2" l="1"/>
  <c r="R504" i="2"/>
  <c r="Q504" i="2"/>
  <c r="P504" i="2"/>
  <c r="V503" i="2"/>
  <c r="Y503" i="2" s="1"/>
  <c r="Y502" i="2"/>
  <c r="X502" i="2"/>
  <c r="K505" i="2"/>
  <c r="J505" i="2"/>
  <c r="N505" i="2"/>
  <c r="L505" i="2"/>
  <c r="M505" i="2"/>
  <c r="S505" i="2" l="1"/>
  <c r="R505" i="2"/>
  <c r="Q505" i="2"/>
  <c r="P505" i="2"/>
  <c r="X503" i="2"/>
  <c r="V504" i="2"/>
  <c r="M506" i="2"/>
  <c r="K506" i="2"/>
  <c r="L506" i="2"/>
  <c r="J506" i="2"/>
  <c r="N506" i="2"/>
  <c r="R506" i="2" l="1"/>
  <c r="S506" i="2"/>
  <c r="Q506" i="2"/>
  <c r="P506" i="2"/>
  <c r="X504" i="2"/>
  <c r="Y504" i="2"/>
  <c r="V505" i="2"/>
  <c r="K507" i="2"/>
  <c r="M507" i="2"/>
  <c r="J507" i="2"/>
  <c r="N507" i="2"/>
  <c r="L507" i="2"/>
  <c r="R507" i="2" l="1"/>
  <c r="S507" i="2"/>
  <c r="Q507" i="2"/>
  <c r="P507" i="2"/>
  <c r="V506" i="2"/>
  <c r="X506" i="2" s="1"/>
  <c r="X505" i="2"/>
  <c r="Y505" i="2"/>
  <c r="N508" i="2"/>
  <c r="K508" i="2"/>
  <c r="J508" i="2"/>
  <c r="M508" i="2"/>
  <c r="L508" i="2"/>
  <c r="R508" i="2" l="1"/>
  <c r="S508" i="2"/>
  <c r="Q508" i="2"/>
  <c r="P508" i="2"/>
  <c r="Y506" i="2"/>
  <c r="V507" i="2"/>
  <c r="M509" i="2"/>
  <c r="L509" i="2"/>
  <c r="N509" i="2"/>
  <c r="J509" i="2"/>
  <c r="K509" i="2"/>
  <c r="R509" i="2" l="1"/>
  <c r="S509" i="2"/>
  <c r="Q509" i="2"/>
  <c r="P509" i="2"/>
  <c r="V508" i="2"/>
  <c r="Y507" i="2"/>
  <c r="X507" i="2"/>
  <c r="N510" i="2"/>
  <c r="M510" i="2"/>
  <c r="K510" i="2"/>
  <c r="J510" i="2"/>
  <c r="L510" i="2"/>
  <c r="R510" i="2" l="1"/>
  <c r="S510" i="2"/>
  <c r="Q510" i="2"/>
  <c r="P510" i="2"/>
  <c r="X508" i="2"/>
  <c r="Y508" i="2"/>
  <c r="V509" i="2"/>
  <c r="M511" i="2"/>
  <c r="K511" i="2"/>
  <c r="N511" i="2"/>
  <c r="J511" i="2"/>
  <c r="L511" i="2"/>
  <c r="R511" i="2" l="1"/>
  <c r="S511" i="2"/>
  <c r="Q511" i="2"/>
  <c r="P511" i="2"/>
  <c r="X509" i="2"/>
  <c r="Y509" i="2"/>
  <c r="V510" i="2"/>
  <c r="K512" i="2"/>
  <c r="N512" i="2"/>
  <c r="L512" i="2"/>
  <c r="J512" i="2"/>
  <c r="M512" i="2"/>
  <c r="S512" i="2" l="1"/>
  <c r="R512" i="2"/>
  <c r="Q512" i="2"/>
  <c r="P512" i="2"/>
  <c r="V511" i="2"/>
  <c r="Y511" i="2" s="1"/>
  <c r="X510" i="2"/>
  <c r="Y510" i="2"/>
  <c r="M513" i="2"/>
  <c r="K513" i="2"/>
  <c r="J513" i="2"/>
  <c r="N513" i="2"/>
  <c r="L513" i="2"/>
  <c r="R513" i="2" l="1"/>
  <c r="S513" i="2"/>
  <c r="Q513" i="2"/>
  <c r="P513" i="2"/>
  <c r="X511" i="2"/>
  <c r="V512" i="2"/>
  <c r="L514" i="2"/>
  <c r="N514" i="2"/>
  <c r="K514" i="2"/>
  <c r="M514" i="2"/>
  <c r="J514" i="2"/>
  <c r="S514" i="2" l="1"/>
  <c r="R514" i="2"/>
  <c r="Q514" i="2"/>
  <c r="P514" i="2"/>
  <c r="Y512" i="2"/>
  <c r="X512" i="2"/>
  <c r="V513" i="2"/>
  <c r="K515" i="2"/>
  <c r="J515" i="2"/>
  <c r="N515" i="2"/>
  <c r="L515" i="2"/>
  <c r="M515" i="2"/>
  <c r="S515" i="2" l="1"/>
  <c r="R515" i="2"/>
  <c r="Q515" i="2"/>
  <c r="P515" i="2"/>
  <c r="V514" i="2"/>
  <c r="X514" i="2" s="1"/>
  <c r="X513" i="2"/>
  <c r="Y513" i="2"/>
  <c r="N516" i="2"/>
  <c r="J516" i="2"/>
  <c r="K516" i="2"/>
  <c r="L516" i="2"/>
  <c r="M516" i="2"/>
  <c r="S516" i="2" l="1"/>
  <c r="R516" i="2"/>
  <c r="Q516" i="2"/>
  <c r="P516" i="2"/>
  <c r="V515" i="2"/>
  <c r="Y515" i="2" s="1"/>
  <c r="Y514" i="2"/>
  <c r="K517" i="2"/>
  <c r="J517" i="2"/>
  <c r="L517" i="2"/>
  <c r="M517" i="2"/>
  <c r="N517" i="2"/>
  <c r="S517" i="2" l="1"/>
  <c r="R517" i="2"/>
  <c r="Q517" i="2"/>
  <c r="P517" i="2"/>
  <c r="X515" i="2"/>
  <c r="V516" i="2"/>
  <c r="M518" i="2"/>
  <c r="N518" i="2"/>
  <c r="K518" i="2"/>
  <c r="L518" i="2"/>
  <c r="J518" i="2"/>
  <c r="R518" i="2" l="1"/>
  <c r="S518" i="2"/>
  <c r="Q518" i="2"/>
  <c r="P518" i="2"/>
  <c r="V517" i="2"/>
  <c r="X516" i="2"/>
  <c r="Y516" i="2"/>
  <c r="L519" i="2"/>
  <c r="N519" i="2"/>
  <c r="M519" i="2"/>
  <c r="J519" i="2"/>
  <c r="K519" i="2"/>
  <c r="S519" i="2" l="1"/>
  <c r="R519" i="2"/>
  <c r="Q519" i="2"/>
  <c r="P519" i="2"/>
  <c r="X517" i="2"/>
  <c r="Y517" i="2"/>
  <c r="V518" i="2"/>
  <c r="N520" i="2"/>
  <c r="L520" i="2"/>
  <c r="M520" i="2"/>
  <c r="J520" i="2"/>
  <c r="K520" i="2"/>
  <c r="S520" i="2" l="1"/>
  <c r="R520" i="2"/>
  <c r="Q520" i="2"/>
  <c r="P520" i="2"/>
  <c r="X518" i="2"/>
  <c r="Y518" i="2"/>
  <c r="V519" i="2"/>
  <c r="V520" i="2" l="1"/>
  <c r="Y520" i="2" s="1"/>
  <c r="Y519" i="2"/>
  <c r="X519" i="2"/>
  <c r="X520" i="2" l="1"/>
  <c r="E29" i="2" l="1"/>
  <c r="F29" i="2"/>
  <c r="G29" i="2"/>
  <c r="D29" i="2"/>
  <c r="C29" i="2" l="1"/>
  <c r="C30" i="2" s="1"/>
  <c r="E30" i="2" l="1"/>
  <c r="F30" i="2"/>
  <c r="G30" i="2"/>
  <c r="D30" i="2"/>
  <c r="Z39" i="2"/>
  <c r="AA533" i="2" l="1"/>
  <c r="AA532" i="2"/>
  <c r="AA535" i="2"/>
  <c r="AA536" i="2"/>
  <c r="AA534" i="2"/>
  <c r="AA523" i="2"/>
  <c r="AA531" i="2"/>
  <c r="AA529" i="2"/>
  <c r="AA530" i="2"/>
  <c r="AA522" i="2"/>
  <c r="AA527" i="2"/>
  <c r="AA525" i="2"/>
  <c r="AA528" i="2"/>
  <c r="AA521" i="2"/>
  <c r="AA524" i="2"/>
  <c r="AA526" i="2"/>
  <c r="AA49" i="2"/>
  <c r="AA91" i="2"/>
  <c r="AA55" i="2"/>
  <c r="AA97" i="2"/>
  <c r="AA98" i="2"/>
  <c r="AA69" i="2"/>
  <c r="AA66" i="2"/>
  <c r="AA105" i="2"/>
  <c r="AA94" i="2"/>
  <c r="AA85" i="2"/>
  <c r="AA71" i="2"/>
  <c r="AA64" i="2"/>
  <c r="AA48" i="2"/>
  <c r="AA114" i="2"/>
  <c r="AA104" i="2"/>
  <c r="AA96" i="2"/>
  <c r="AA74" i="2"/>
  <c r="AA65" i="2"/>
  <c r="AA50" i="2"/>
  <c r="AA93" i="2"/>
  <c r="AA80" i="2"/>
  <c r="AA112" i="2"/>
  <c r="AA79" i="2"/>
  <c r="AA113" i="2"/>
  <c r="AA81" i="2"/>
  <c r="AA116" i="2"/>
  <c r="AA115" i="2"/>
  <c r="AA42" i="2"/>
  <c r="AA111" i="2"/>
  <c r="AA62" i="2"/>
  <c r="AA63" i="2"/>
  <c r="AA47" i="2"/>
  <c r="AA109" i="2"/>
  <c r="AA70" i="2"/>
  <c r="AA75" i="2"/>
  <c r="AA56" i="2"/>
  <c r="AA40" i="2"/>
  <c r="AA87" i="2"/>
  <c r="AA76" i="2"/>
  <c r="AA118" i="2"/>
  <c r="AA120" i="2"/>
  <c r="AA53" i="2"/>
  <c r="AA44" i="2"/>
  <c r="AA39" i="2"/>
  <c r="AA51" i="2"/>
  <c r="AA52" i="2"/>
  <c r="AA103" i="2"/>
  <c r="AA102" i="2"/>
  <c r="AA88" i="2"/>
  <c r="AA67" i="2"/>
  <c r="AA60" i="2"/>
  <c r="AA73" i="2"/>
  <c r="AA46" i="2"/>
  <c r="AA99" i="2"/>
  <c r="AA78" i="2"/>
  <c r="AA107" i="2"/>
  <c r="AA43" i="2"/>
  <c r="AA92" i="2"/>
  <c r="AA106" i="2"/>
  <c r="AA68" i="2"/>
  <c r="AA57" i="2"/>
  <c r="AA84" i="2"/>
  <c r="AA100" i="2"/>
  <c r="AA90" i="2"/>
  <c r="AA61" i="2"/>
  <c r="AA72" i="2"/>
  <c r="AA89" i="2"/>
  <c r="AA110" i="2"/>
  <c r="AA117" i="2"/>
  <c r="AA119" i="2"/>
  <c r="AA82" i="2"/>
  <c r="AA108" i="2"/>
  <c r="AA59" i="2"/>
  <c r="AA95" i="2"/>
  <c r="AA83" i="2"/>
  <c r="AA54" i="2"/>
  <c r="AA86" i="2"/>
  <c r="AA58" i="2"/>
  <c r="AA45" i="2"/>
  <c r="AA77" i="2"/>
  <c r="AA41" i="2"/>
  <c r="AA101" i="2"/>
  <c r="AA121" i="2"/>
  <c r="AA122" i="2"/>
  <c r="AA123" i="2"/>
  <c r="AA124" i="2"/>
  <c r="AA126" i="2"/>
  <c r="AA125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50" i="2"/>
  <c r="AA149" i="2"/>
  <c r="AA151" i="2"/>
  <c r="AA152" i="2"/>
  <c r="AA153" i="2"/>
  <c r="AA154" i="2"/>
  <c r="AA156" i="2"/>
  <c r="AA155" i="2"/>
  <c r="AA157" i="2"/>
  <c r="AA158" i="2"/>
  <c r="AA160" i="2"/>
  <c r="AA159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6" i="2"/>
  <c r="AA175" i="2"/>
  <c r="AA177" i="2"/>
  <c r="AA178" i="2"/>
  <c r="AA179" i="2"/>
  <c r="AA180" i="2"/>
  <c r="AA181" i="2"/>
  <c r="AA183" i="2"/>
  <c r="AA182" i="2"/>
  <c r="AA184" i="2"/>
  <c r="AA185" i="2"/>
  <c r="AA186" i="2"/>
  <c r="AA187" i="2"/>
  <c r="AA189" i="2"/>
  <c r="AA188" i="2"/>
  <c r="AA190" i="2"/>
  <c r="AA191" i="2"/>
  <c r="AA192" i="2"/>
  <c r="AA194" i="2"/>
  <c r="AA193" i="2"/>
  <c r="AA195" i="2"/>
  <c r="AA196" i="2"/>
  <c r="AA197" i="2"/>
  <c r="AA198" i="2"/>
  <c r="AA200" i="2"/>
  <c r="AA199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4" i="2"/>
  <c r="AA223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6" i="2"/>
  <c r="AA245" i="2"/>
  <c r="AA247" i="2"/>
  <c r="AA248" i="2"/>
  <c r="AA250" i="2"/>
  <c r="AA249" i="2"/>
  <c r="AA251" i="2"/>
  <c r="AA252" i="2"/>
  <c r="AA253" i="2"/>
  <c r="AA254" i="2"/>
  <c r="AA255" i="2"/>
  <c r="AA256" i="2"/>
  <c r="AA257" i="2"/>
  <c r="AA258" i="2"/>
  <c r="AA259" i="2"/>
  <c r="AA261" i="2"/>
  <c r="AA260" i="2"/>
  <c r="AA262" i="2"/>
  <c r="AA263" i="2"/>
  <c r="AA264" i="2"/>
  <c r="AA265" i="2"/>
  <c r="AA267" i="2"/>
  <c r="AA266" i="2"/>
  <c r="AA268" i="2"/>
  <c r="AA269" i="2"/>
  <c r="AA270" i="2"/>
  <c r="AA271" i="2"/>
  <c r="AA272" i="2"/>
  <c r="AA273" i="2"/>
  <c r="AA274" i="2"/>
  <c r="AA275" i="2"/>
  <c r="AA276" i="2"/>
  <c r="AA278" i="2"/>
  <c r="AA277" i="2"/>
  <c r="AA279" i="2"/>
  <c r="AA280" i="2"/>
  <c r="AA281" i="2"/>
  <c r="AA282" i="2"/>
  <c r="AA283" i="2"/>
  <c r="AA285" i="2"/>
  <c r="AA284" i="2"/>
  <c r="AA286" i="2"/>
  <c r="AA288" i="2"/>
  <c r="AA287" i="2"/>
  <c r="AA289" i="2"/>
  <c r="AA290" i="2"/>
  <c r="AA291" i="2"/>
  <c r="AA292" i="2"/>
  <c r="AA293" i="2"/>
  <c r="AA294" i="2"/>
  <c r="AA295" i="2"/>
  <c r="AA296" i="2"/>
  <c r="AA297" i="2"/>
  <c r="AA298" i="2"/>
  <c r="AA299" i="2"/>
  <c r="AA301" i="2"/>
  <c r="AA300" i="2"/>
  <c r="AA303" i="2"/>
  <c r="AA302" i="2"/>
  <c r="AA305" i="2"/>
  <c r="AA304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20" i="2"/>
  <c r="AA319" i="2"/>
  <c r="AA321" i="2"/>
  <c r="AA322" i="2"/>
  <c r="AA323" i="2"/>
  <c r="AA324" i="2"/>
  <c r="AA326" i="2"/>
  <c r="AA325" i="2"/>
  <c r="AA327" i="2"/>
  <c r="AA328" i="2"/>
  <c r="AA329" i="2"/>
  <c r="AA331" i="2"/>
  <c r="AA330" i="2"/>
  <c r="AA332" i="2"/>
  <c r="AA333" i="2"/>
  <c r="AA334" i="2"/>
  <c r="AA335" i="2"/>
  <c r="AA336" i="2"/>
  <c r="AA337" i="2"/>
  <c r="AA338" i="2"/>
  <c r="AA339" i="2"/>
  <c r="AA340" i="2"/>
  <c r="AA342" i="2"/>
  <c r="AA341" i="2"/>
  <c r="AA343" i="2"/>
  <c r="AA344" i="2"/>
  <c r="AA346" i="2"/>
  <c r="AA345" i="2"/>
  <c r="AA347" i="2"/>
  <c r="AA349" i="2"/>
  <c r="AA348" i="2"/>
  <c r="AA350" i="2"/>
  <c r="AA352" i="2"/>
  <c r="AA351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2" i="2"/>
  <c r="AA371" i="2"/>
  <c r="AA373" i="2"/>
  <c r="AA374" i="2"/>
  <c r="AA375" i="2"/>
  <c r="AA376" i="2"/>
  <c r="AA377" i="2"/>
  <c r="AA378" i="2"/>
  <c r="AA379" i="2"/>
  <c r="AA380" i="2"/>
  <c r="AA381" i="2"/>
  <c r="AA382" i="2"/>
  <c r="AA384" i="2"/>
  <c r="AA383" i="2"/>
  <c r="AA385" i="2"/>
  <c r="AA386" i="2"/>
  <c r="AA387" i="2"/>
  <c r="AA388" i="2"/>
  <c r="AA389" i="2"/>
  <c r="AA390" i="2"/>
  <c r="AA391" i="2"/>
  <c r="AA392" i="2"/>
  <c r="AA393" i="2"/>
  <c r="AA395" i="2"/>
  <c r="AA394" i="2"/>
  <c r="AA396" i="2"/>
  <c r="AA397" i="2"/>
  <c r="AA398" i="2"/>
  <c r="AA399" i="2"/>
  <c r="AA400" i="2"/>
  <c r="AA401" i="2"/>
  <c r="AA402" i="2"/>
  <c r="AA403" i="2"/>
  <c r="AA404" i="2"/>
  <c r="AA405" i="2"/>
  <c r="AA407" i="2"/>
  <c r="AA406" i="2"/>
  <c r="AA408" i="2"/>
  <c r="AA409" i="2"/>
  <c r="AA410" i="2"/>
  <c r="AA411" i="2"/>
  <c r="AA412" i="2"/>
  <c r="AA413" i="2"/>
  <c r="AA414" i="2"/>
  <c r="AA416" i="2"/>
  <c r="AA415" i="2"/>
  <c r="AA417" i="2"/>
  <c r="AA419" i="2"/>
  <c r="AA418" i="2"/>
  <c r="AA420" i="2"/>
  <c r="AA421" i="2"/>
  <c r="AA422" i="2"/>
  <c r="AA424" i="2"/>
  <c r="AA423" i="2"/>
  <c r="AA425" i="2"/>
  <c r="AA426" i="2"/>
  <c r="AA427" i="2"/>
  <c r="AA428" i="2"/>
  <c r="AA429" i="2"/>
  <c r="AA430" i="2"/>
  <c r="AA432" i="2"/>
  <c r="AA431" i="2"/>
  <c r="AA433" i="2"/>
  <c r="AA435" i="2"/>
  <c r="AA434" i="2"/>
  <c r="AA437" i="2"/>
  <c r="AA436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1" i="2"/>
  <c r="AA450" i="2"/>
  <c r="AA452" i="2"/>
  <c r="AA453" i="2"/>
  <c r="AA454" i="2"/>
  <c r="AA455" i="2"/>
  <c r="AA456" i="2"/>
  <c r="AA457" i="2"/>
  <c r="AA458" i="2"/>
  <c r="AA459" i="2"/>
  <c r="AA460" i="2"/>
  <c r="AA462" i="2"/>
  <c r="AA461" i="2"/>
  <c r="AA463" i="2"/>
  <c r="AA465" i="2"/>
  <c r="AA464" i="2"/>
  <c r="AA466" i="2"/>
  <c r="AA467" i="2"/>
  <c r="AA469" i="2"/>
  <c r="AA468" i="2"/>
  <c r="AA470" i="2"/>
  <c r="AA471" i="2"/>
  <c r="AA472" i="2"/>
  <c r="AA473" i="2"/>
  <c r="AA475" i="2"/>
  <c r="AA474" i="2"/>
  <c r="AA476" i="2"/>
  <c r="AA477" i="2"/>
  <c r="AA478" i="2"/>
  <c r="AA479" i="2"/>
  <c r="AA480" i="2"/>
  <c r="AA482" i="2"/>
  <c r="AA481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8" i="2"/>
  <c r="AA497" i="2"/>
  <c r="AA499" i="2"/>
  <c r="AA500" i="2"/>
  <c r="AA501" i="2"/>
  <c r="AA503" i="2"/>
  <c r="AA502" i="2"/>
  <c r="AA504" i="2"/>
  <c r="AA505" i="2"/>
  <c r="AA506" i="2"/>
  <c r="AA507" i="2"/>
  <c r="AA508" i="2"/>
  <c r="AA509" i="2"/>
  <c r="AA511" i="2"/>
  <c r="AA510" i="2"/>
  <c r="AA512" i="2"/>
  <c r="AA513" i="2"/>
  <c r="AA514" i="2"/>
  <c r="AA515" i="2"/>
  <c r="AA516" i="2"/>
  <c r="AA517" i="2"/>
  <c r="AA518" i="2"/>
  <c r="AA520" i="2"/>
  <c r="AA519" i="2"/>
  <c r="C33" i="2" l="1"/>
</calcChain>
</file>

<file path=xl/sharedStrings.xml><?xml version="1.0" encoding="utf-8"?>
<sst xmlns="http://schemas.openxmlformats.org/spreadsheetml/2006/main" count="35" uniqueCount="35">
  <si>
    <t>λ</t>
  </si>
  <si>
    <t>EXPERIMENTAL</t>
  </si>
  <si>
    <t>time (t)</t>
  </si>
  <si>
    <t>I(t)</t>
  </si>
  <si>
    <t>z1</t>
  </si>
  <si>
    <t>z2</t>
  </si>
  <si>
    <t>z3</t>
  </si>
  <si>
    <t>z4</t>
  </si>
  <si>
    <t>z5</t>
  </si>
  <si>
    <t>W(e^z1)</t>
  </si>
  <si>
    <t>W(e^z2)</t>
  </si>
  <si>
    <t>W(e^z3)</t>
  </si>
  <si>
    <t>W(e^z4)</t>
  </si>
  <si>
    <t>W(e^z5)</t>
  </si>
  <si>
    <t>SUMS</t>
  </si>
  <si>
    <t>Least squares</t>
  </si>
  <si>
    <t>FOM(%)</t>
  </si>
  <si>
    <t>I1</t>
  </si>
  <si>
    <t>I2</t>
  </si>
  <si>
    <t>I3</t>
  </si>
  <si>
    <t>I4</t>
  </si>
  <si>
    <t>I5</t>
  </si>
  <si>
    <t>Itot</t>
  </si>
  <si>
    <t>Theoretical</t>
  </si>
  <si>
    <t>Afit</t>
  </si>
  <si>
    <t>FOM</t>
  </si>
  <si>
    <t>(EXPER. - THEOR.)^2</t>
  </si>
  <si>
    <t>ABS(EXPER. - THEOR)</t>
  </si>
  <si>
    <t>factor</t>
  </si>
  <si>
    <t>Components</t>
  </si>
  <si>
    <t>τ</t>
  </si>
  <si>
    <t>Contribution %</t>
  </si>
  <si>
    <t>σ</t>
  </si>
  <si>
    <t>n0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</si>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</sst>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name val="Times New Roman"/>
      <family val="1"/>
      <charset val="161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  <xf numFmtId="0" fontId="1" fillId="0" borderId="0"/>
  </cellStyleXfs>
  <cellXfs count="27">
    <xf numFmtId="0" fontId="0" fillId="0" borderId="0" xfId="0"/>
    <xf numFmtId="0" fontId="0" fillId="35" borderId="0" xfId="0" applyFill="1" applyAlignment="1">
      <alignment horizontal="center"/>
    </xf>
    <xf numFmtId="0" fontId="18" fillId="34" borderId="0" xfId="0" applyFont="1" applyFill="1" applyAlignment="1">
      <alignment horizontal="center"/>
    </xf>
    <xf numFmtId="0" fontId="0" fillId="38" borderId="0" xfId="0" applyFill="1"/>
    <xf numFmtId="0" fontId="16" fillId="37" borderId="0" xfId="0" applyFont="1" applyFill="1" applyAlignment="1">
      <alignment horizontal="center"/>
    </xf>
    <xf numFmtId="0" fontId="16" fillId="0" borderId="10" xfId="0" applyFont="1" applyFill="1" applyBorder="1" applyAlignment="1"/>
    <xf numFmtId="0" fontId="14" fillId="35" borderId="0" xfId="0" applyFont="1" applyFill="1" applyAlignment="1">
      <alignment horizontal="center"/>
    </xf>
    <xf numFmtId="0" fontId="16" fillId="34" borderId="10" xfId="0" applyFont="1" applyFill="1" applyBorder="1" applyAlignment="1"/>
    <xf numFmtId="0" fontId="0" fillId="35" borderId="0" xfId="0" applyFill="1"/>
    <xf numFmtId="0" fontId="0" fillId="0" borderId="0" xfId="0"/>
    <xf numFmtId="0" fontId="16" fillId="36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6" fillId="3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0" fillId="0" borderId="0" xfId="0"/>
    <xf numFmtId="0" fontId="16" fillId="33" borderId="0" xfId="0" applyFont="1" applyFill="1" applyAlignment="1">
      <alignment horizontal="center"/>
    </xf>
    <xf numFmtId="0" fontId="0" fillId="38" borderId="0" xfId="0" applyFill="1"/>
    <xf numFmtId="0" fontId="0" fillId="0" borderId="0" xfId="0"/>
    <xf numFmtId="0" fontId="0" fillId="0" borderId="0" xfId="0"/>
    <xf numFmtId="0" fontId="16" fillId="34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0" fontId="18" fillId="0" borderId="0" xfId="0" applyFont="1"/>
    <xf numFmtId="0" fontId="18" fillId="0" borderId="0" xfId="0" applyFont="1" applyAlignment="1">
      <alignment horizontal="center"/>
    </xf>
    <xf numFmtId="0" fontId="18" fillId="35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80AEE85D-C399-474A-951D-0EC5A3C06178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  <cellStyle name="Κανονικό 7" xfId="42" xr:uid="{6A6E8B7A-2BA3-4CC1-A3F3-B9E03E74A7D3}"/>
  </cellStyles>
  <dxfs count="1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CW</a:t>
            </a:r>
            <a:r>
              <a:rPr lang="en-US" baseline="0"/>
              <a:t> </a:t>
            </a:r>
            <a:r>
              <a:rPr lang="en-US"/>
              <a:t>OSL </a:t>
            </a:r>
            <a:endParaRPr lang="el-G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2370694675005"/>
          <c:y val="9.52333147100589E-2"/>
          <c:w val="0.7125089565761501"/>
          <c:h val="0.76682558804651824"/>
        </c:manualLayout>
      </c:layout>
      <c:scatterChart>
        <c:scatterStyle val="lineMarker"/>
        <c:varyColors val="0"/>
        <c:ser>
          <c:idx val="0"/>
          <c:order val="0"/>
          <c:tx>
            <c:v>Experimental</c:v>
          </c:tx>
          <c:spPr>
            <a:ln w="28575">
              <a:noFill/>
            </a:ln>
          </c:spPr>
          <c:marker>
            <c:symbol val="diamond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'sheet 1'!$B$39:$B$788</c:f>
              <c:numCache>
                <c:formatCode>General</c:formatCode>
                <c:ptCount val="750"/>
                <c:pt idx="0">
                  <c:v>0</c:v>
                </c:pt>
                <c:pt idx="1">
                  <c:v>0.30000000000001137</c:v>
                </c:pt>
                <c:pt idx="2">
                  <c:v>0.60000000000000853</c:v>
                </c:pt>
                <c:pt idx="3">
                  <c:v>0.90000000000000568</c:v>
                </c:pt>
                <c:pt idx="4">
                  <c:v>1.3000000000000114</c:v>
                </c:pt>
                <c:pt idx="5">
                  <c:v>1.6000000000000085</c:v>
                </c:pt>
                <c:pt idx="6">
                  <c:v>1.9000000000000057</c:v>
                </c:pt>
                <c:pt idx="7">
                  <c:v>2.2000000000000028</c:v>
                </c:pt>
                <c:pt idx="8">
                  <c:v>2.5</c:v>
                </c:pt>
                <c:pt idx="9">
                  <c:v>2.8000000000000114</c:v>
                </c:pt>
                <c:pt idx="10">
                  <c:v>3.1000000000000085</c:v>
                </c:pt>
                <c:pt idx="11">
                  <c:v>3.5</c:v>
                </c:pt>
                <c:pt idx="12">
                  <c:v>3.8000000000000114</c:v>
                </c:pt>
                <c:pt idx="13">
                  <c:v>4.1000000000000085</c:v>
                </c:pt>
                <c:pt idx="14">
                  <c:v>4.4000000000000057</c:v>
                </c:pt>
                <c:pt idx="15">
                  <c:v>4.7000000000000028</c:v>
                </c:pt>
                <c:pt idx="16">
                  <c:v>5</c:v>
                </c:pt>
                <c:pt idx="17">
                  <c:v>5.4000000000000057</c:v>
                </c:pt>
                <c:pt idx="18">
                  <c:v>5.7000000000000028</c:v>
                </c:pt>
                <c:pt idx="19">
                  <c:v>6</c:v>
                </c:pt>
                <c:pt idx="20">
                  <c:v>6.3000000000000114</c:v>
                </c:pt>
                <c:pt idx="21">
                  <c:v>6.6000000000000085</c:v>
                </c:pt>
                <c:pt idx="22">
                  <c:v>6.9000000000000057</c:v>
                </c:pt>
                <c:pt idx="23">
                  <c:v>7.2000000000000028</c:v>
                </c:pt>
                <c:pt idx="24">
                  <c:v>7.6000000000000085</c:v>
                </c:pt>
                <c:pt idx="25">
                  <c:v>7.9000000000000057</c:v>
                </c:pt>
                <c:pt idx="26">
                  <c:v>8.2000000000000028</c:v>
                </c:pt>
                <c:pt idx="27">
                  <c:v>8.5</c:v>
                </c:pt>
                <c:pt idx="28">
                  <c:v>8.8000000000000114</c:v>
                </c:pt>
                <c:pt idx="29">
                  <c:v>9.1000000000000085</c:v>
                </c:pt>
                <c:pt idx="30">
                  <c:v>9.4000000000000057</c:v>
                </c:pt>
                <c:pt idx="31">
                  <c:v>9.8000000000000114</c:v>
                </c:pt>
                <c:pt idx="32">
                  <c:v>10.100000000000009</c:v>
                </c:pt>
                <c:pt idx="33">
                  <c:v>10.400000000000006</c:v>
                </c:pt>
                <c:pt idx="34">
                  <c:v>10.700000000000003</c:v>
                </c:pt>
                <c:pt idx="35">
                  <c:v>11</c:v>
                </c:pt>
                <c:pt idx="36">
                  <c:v>11.300000000000011</c:v>
                </c:pt>
                <c:pt idx="37">
                  <c:v>11.700000000000003</c:v>
                </c:pt>
                <c:pt idx="38">
                  <c:v>12</c:v>
                </c:pt>
                <c:pt idx="39">
                  <c:v>12.300000000000011</c:v>
                </c:pt>
                <c:pt idx="40">
                  <c:v>12.600000000000009</c:v>
                </c:pt>
                <c:pt idx="41">
                  <c:v>12.900000000000006</c:v>
                </c:pt>
                <c:pt idx="42">
                  <c:v>13.200000000000003</c:v>
                </c:pt>
                <c:pt idx="43">
                  <c:v>13.5</c:v>
                </c:pt>
                <c:pt idx="44">
                  <c:v>13.900000000000006</c:v>
                </c:pt>
                <c:pt idx="45">
                  <c:v>14.200000000000003</c:v>
                </c:pt>
                <c:pt idx="46">
                  <c:v>14.5</c:v>
                </c:pt>
                <c:pt idx="47">
                  <c:v>14.800000000000011</c:v>
                </c:pt>
                <c:pt idx="48">
                  <c:v>15.100000000000009</c:v>
                </c:pt>
                <c:pt idx="49">
                  <c:v>15.400000000000006</c:v>
                </c:pt>
                <c:pt idx="50">
                  <c:v>15.700000000000003</c:v>
                </c:pt>
                <c:pt idx="51">
                  <c:v>16.100000000000009</c:v>
                </c:pt>
                <c:pt idx="52">
                  <c:v>16.400000000000006</c:v>
                </c:pt>
                <c:pt idx="53">
                  <c:v>16.700000000000003</c:v>
                </c:pt>
                <c:pt idx="54">
                  <c:v>17</c:v>
                </c:pt>
                <c:pt idx="55">
                  <c:v>17.300000000000011</c:v>
                </c:pt>
                <c:pt idx="56">
                  <c:v>17.600000000000009</c:v>
                </c:pt>
                <c:pt idx="57">
                  <c:v>18</c:v>
                </c:pt>
                <c:pt idx="58">
                  <c:v>18.300000000000011</c:v>
                </c:pt>
                <c:pt idx="59">
                  <c:v>18.600000000000009</c:v>
                </c:pt>
                <c:pt idx="60">
                  <c:v>18.900000000000006</c:v>
                </c:pt>
                <c:pt idx="61">
                  <c:v>19.200000000000003</c:v>
                </c:pt>
                <c:pt idx="62">
                  <c:v>19.5</c:v>
                </c:pt>
                <c:pt idx="63">
                  <c:v>19.800000000000011</c:v>
                </c:pt>
                <c:pt idx="64">
                  <c:v>20.200000000000003</c:v>
                </c:pt>
                <c:pt idx="65">
                  <c:v>20.5</c:v>
                </c:pt>
                <c:pt idx="66">
                  <c:v>20.800000000000011</c:v>
                </c:pt>
                <c:pt idx="67">
                  <c:v>21.100000000000009</c:v>
                </c:pt>
                <c:pt idx="68">
                  <c:v>21.400000000000006</c:v>
                </c:pt>
                <c:pt idx="69">
                  <c:v>21.700000000000003</c:v>
                </c:pt>
                <c:pt idx="70">
                  <c:v>22.100000000000009</c:v>
                </c:pt>
                <c:pt idx="71">
                  <c:v>22.400000000000006</c:v>
                </c:pt>
                <c:pt idx="72">
                  <c:v>22.700000000000003</c:v>
                </c:pt>
                <c:pt idx="73">
                  <c:v>23</c:v>
                </c:pt>
                <c:pt idx="74">
                  <c:v>23.300000000000011</c:v>
                </c:pt>
                <c:pt idx="75">
                  <c:v>23.600000000000009</c:v>
                </c:pt>
                <c:pt idx="76">
                  <c:v>23.900000000000006</c:v>
                </c:pt>
                <c:pt idx="77">
                  <c:v>24.300000000000011</c:v>
                </c:pt>
                <c:pt idx="78">
                  <c:v>24.600000000000009</c:v>
                </c:pt>
                <c:pt idx="79">
                  <c:v>24.900000000000006</c:v>
                </c:pt>
                <c:pt idx="80">
                  <c:v>25.200000000000003</c:v>
                </c:pt>
                <c:pt idx="81">
                  <c:v>25.5</c:v>
                </c:pt>
                <c:pt idx="82">
                  <c:v>25.800000000000011</c:v>
                </c:pt>
                <c:pt idx="83">
                  <c:v>26.100000000000009</c:v>
                </c:pt>
                <c:pt idx="84">
                  <c:v>26.5</c:v>
                </c:pt>
                <c:pt idx="85">
                  <c:v>26.800000000000011</c:v>
                </c:pt>
                <c:pt idx="86">
                  <c:v>27.100000000000009</c:v>
                </c:pt>
                <c:pt idx="87">
                  <c:v>27.400000000000006</c:v>
                </c:pt>
                <c:pt idx="88">
                  <c:v>27.700000000000003</c:v>
                </c:pt>
                <c:pt idx="89">
                  <c:v>28</c:v>
                </c:pt>
                <c:pt idx="90">
                  <c:v>28.400000000000006</c:v>
                </c:pt>
                <c:pt idx="91">
                  <c:v>28.700000000000003</c:v>
                </c:pt>
                <c:pt idx="92">
                  <c:v>29</c:v>
                </c:pt>
                <c:pt idx="93">
                  <c:v>29.300000000000011</c:v>
                </c:pt>
                <c:pt idx="94">
                  <c:v>29.600000000000009</c:v>
                </c:pt>
                <c:pt idx="95">
                  <c:v>29.900000000000006</c:v>
                </c:pt>
                <c:pt idx="96">
                  <c:v>30.200000000000003</c:v>
                </c:pt>
                <c:pt idx="97">
                  <c:v>30.600000000000009</c:v>
                </c:pt>
                <c:pt idx="98">
                  <c:v>30.900000000000006</c:v>
                </c:pt>
                <c:pt idx="99">
                  <c:v>31.200000000000003</c:v>
                </c:pt>
                <c:pt idx="100">
                  <c:v>31.5</c:v>
                </c:pt>
                <c:pt idx="101">
                  <c:v>31.800000000000011</c:v>
                </c:pt>
                <c:pt idx="102">
                  <c:v>32.100000000000009</c:v>
                </c:pt>
                <c:pt idx="103">
                  <c:v>32.400000000000006</c:v>
                </c:pt>
                <c:pt idx="104">
                  <c:v>32.800000000000011</c:v>
                </c:pt>
                <c:pt idx="105">
                  <c:v>33.100000000000009</c:v>
                </c:pt>
                <c:pt idx="106">
                  <c:v>33.400000000000006</c:v>
                </c:pt>
                <c:pt idx="107">
                  <c:v>33.700000000000003</c:v>
                </c:pt>
                <c:pt idx="108">
                  <c:v>34</c:v>
                </c:pt>
                <c:pt idx="109">
                  <c:v>34.300000000000011</c:v>
                </c:pt>
                <c:pt idx="110">
                  <c:v>34.700000000000003</c:v>
                </c:pt>
                <c:pt idx="111">
                  <c:v>35</c:v>
                </c:pt>
                <c:pt idx="112">
                  <c:v>35.300000000000011</c:v>
                </c:pt>
                <c:pt idx="113">
                  <c:v>35.600000000000009</c:v>
                </c:pt>
                <c:pt idx="114">
                  <c:v>35.900000000000006</c:v>
                </c:pt>
                <c:pt idx="115">
                  <c:v>36.200000000000003</c:v>
                </c:pt>
                <c:pt idx="116">
                  <c:v>36.5</c:v>
                </c:pt>
                <c:pt idx="117">
                  <c:v>36.900000000000006</c:v>
                </c:pt>
                <c:pt idx="118">
                  <c:v>37.200000000000003</c:v>
                </c:pt>
                <c:pt idx="119">
                  <c:v>37.5</c:v>
                </c:pt>
                <c:pt idx="120">
                  <c:v>37.800000000000011</c:v>
                </c:pt>
                <c:pt idx="121">
                  <c:v>38.100000000000009</c:v>
                </c:pt>
                <c:pt idx="122">
                  <c:v>38.400000000000006</c:v>
                </c:pt>
                <c:pt idx="123">
                  <c:v>38.700000000000003</c:v>
                </c:pt>
                <c:pt idx="124">
                  <c:v>39.100000000000009</c:v>
                </c:pt>
                <c:pt idx="125">
                  <c:v>39.400000000000006</c:v>
                </c:pt>
                <c:pt idx="126">
                  <c:v>39.700000000000003</c:v>
                </c:pt>
                <c:pt idx="127">
                  <c:v>40</c:v>
                </c:pt>
                <c:pt idx="128">
                  <c:v>40.300000000000011</c:v>
                </c:pt>
                <c:pt idx="129">
                  <c:v>40.600000000000009</c:v>
                </c:pt>
                <c:pt idx="130">
                  <c:v>41</c:v>
                </c:pt>
                <c:pt idx="131">
                  <c:v>41.300000000000011</c:v>
                </c:pt>
                <c:pt idx="132">
                  <c:v>41.600000000000009</c:v>
                </c:pt>
                <c:pt idx="133">
                  <c:v>41.900000000000006</c:v>
                </c:pt>
                <c:pt idx="134">
                  <c:v>42.2</c:v>
                </c:pt>
                <c:pt idx="135">
                  <c:v>42.5</c:v>
                </c:pt>
                <c:pt idx="136">
                  <c:v>42.800000000000011</c:v>
                </c:pt>
                <c:pt idx="137">
                  <c:v>43.2</c:v>
                </c:pt>
                <c:pt idx="138">
                  <c:v>43.5</c:v>
                </c:pt>
                <c:pt idx="139">
                  <c:v>43.800000000000011</c:v>
                </c:pt>
                <c:pt idx="140">
                  <c:v>44.100000000000009</c:v>
                </c:pt>
                <c:pt idx="141">
                  <c:v>44.400000000000006</c:v>
                </c:pt>
                <c:pt idx="142">
                  <c:v>44.7</c:v>
                </c:pt>
                <c:pt idx="143">
                  <c:v>45.100000000000009</c:v>
                </c:pt>
                <c:pt idx="144">
                  <c:v>45.400000000000006</c:v>
                </c:pt>
                <c:pt idx="145">
                  <c:v>45.7</c:v>
                </c:pt>
                <c:pt idx="146">
                  <c:v>46</c:v>
                </c:pt>
                <c:pt idx="147">
                  <c:v>46.300000000000011</c:v>
                </c:pt>
                <c:pt idx="148">
                  <c:v>46.600000000000009</c:v>
                </c:pt>
                <c:pt idx="149">
                  <c:v>46.900000000000006</c:v>
                </c:pt>
                <c:pt idx="150">
                  <c:v>47.300000000000011</c:v>
                </c:pt>
                <c:pt idx="151">
                  <c:v>47.600000000000009</c:v>
                </c:pt>
                <c:pt idx="152">
                  <c:v>47.900000000000006</c:v>
                </c:pt>
                <c:pt idx="153">
                  <c:v>48.2</c:v>
                </c:pt>
                <c:pt idx="154">
                  <c:v>48.5</c:v>
                </c:pt>
                <c:pt idx="155">
                  <c:v>48.800000000000011</c:v>
                </c:pt>
                <c:pt idx="156">
                  <c:v>49.100000000000009</c:v>
                </c:pt>
                <c:pt idx="157">
                  <c:v>49.5</c:v>
                </c:pt>
                <c:pt idx="158">
                  <c:v>49.800000000000011</c:v>
                </c:pt>
                <c:pt idx="159">
                  <c:v>50.100000000000009</c:v>
                </c:pt>
                <c:pt idx="160">
                  <c:v>50.400000000000006</c:v>
                </c:pt>
                <c:pt idx="161">
                  <c:v>50.7</c:v>
                </c:pt>
                <c:pt idx="162">
                  <c:v>51</c:v>
                </c:pt>
                <c:pt idx="163">
                  <c:v>51.400000000000006</c:v>
                </c:pt>
                <c:pt idx="164">
                  <c:v>51.7</c:v>
                </c:pt>
                <c:pt idx="165">
                  <c:v>52</c:v>
                </c:pt>
                <c:pt idx="166">
                  <c:v>52.300000000000011</c:v>
                </c:pt>
                <c:pt idx="167">
                  <c:v>52.600000000000009</c:v>
                </c:pt>
                <c:pt idx="168">
                  <c:v>52.900000000000006</c:v>
                </c:pt>
                <c:pt idx="169">
                  <c:v>53.2</c:v>
                </c:pt>
                <c:pt idx="170">
                  <c:v>53.600000000000009</c:v>
                </c:pt>
                <c:pt idx="171">
                  <c:v>53.900000000000006</c:v>
                </c:pt>
                <c:pt idx="172">
                  <c:v>54.2</c:v>
                </c:pt>
                <c:pt idx="173">
                  <c:v>54.5</c:v>
                </c:pt>
                <c:pt idx="174">
                  <c:v>54.800000000000011</c:v>
                </c:pt>
                <c:pt idx="175">
                  <c:v>55.099999999999994</c:v>
                </c:pt>
                <c:pt idx="176">
                  <c:v>55.400000000000006</c:v>
                </c:pt>
                <c:pt idx="177">
                  <c:v>55.800000000000011</c:v>
                </c:pt>
                <c:pt idx="178">
                  <c:v>56.099999999999994</c:v>
                </c:pt>
                <c:pt idx="179">
                  <c:v>56.400000000000006</c:v>
                </c:pt>
                <c:pt idx="180">
                  <c:v>56.700000000000017</c:v>
                </c:pt>
                <c:pt idx="181">
                  <c:v>57</c:v>
                </c:pt>
                <c:pt idx="182">
                  <c:v>57.300000000000011</c:v>
                </c:pt>
                <c:pt idx="183">
                  <c:v>57.700000000000017</c:v>
                </c:pt>
                <c:pt idx="184">
                  <c:v>58</c:v>
                </c:pt>
                <c:pt idx="185">
                  <c:v>58.300000000000011</c:v>
                </c:pt>
                <c:pt idx="186">
                  <c:v>58.599999999999994</c:v>
                </c:pt>
                <c:pt idx="187">
                  <c:v>58.900000000000006</c:v>
                </c:pt>
                <c:pt idx="188">
                  <c:v>59.200000000000017</c:v>
                </c:pt>
                <c:pt idx="189">
                  <c:v>59.5</c:v>
                </c:pt>
                <c:pt idx="190">
                  <c:v>59.900000000000006</c:v>
                </c:pt>
                <c:pt idx="191">
                  <c:v>60.200000000000017</c:v>
                </c:pt>
                <c:pt idx="192">
                  <c:v>60.5</c:v>
                </c:pt>
                <c:pt idx="193">
                  <c:v>60.800000000000011</c:v>
                </c:pt>
                <c:pt idx="194">
                  <c:v>61.099999999999994</c:v>
                </c:pt>
                <c:pt idx="195">
                  <c:v>61.400000000000006</c:v>
                </c:pt>
                <c:pt idx="196">
                  <c:v>61.700000000000017</c:v>
                </c:pt>
                <c:pt idx="197">
                  <c:v>62.099999999999994</c:v>
                </c:pt>
                <c:pt idx="198">
                  <c:v>62.400000000000006</c:v>
                </c:pt>
                <c:pt idx="199">
                  <c:v>62.700000000000017</c:v>
                </c:pt>
                <c:pt idx="200">
                  <c:v>63</c:v>
                </c:pt>
                <c:pt idx="201">
                  <c:v>63.300000000000011</c:v>
                </c:pt>
                <c:pt idx="202">
                  <c:v>63.599999999999994</c:v>
                </c:pt>
                <c:pt idx="203">
                  <c:v>64</c:v>
                </c:pt>
                <c:pt idx="204">
                  <c:v>64.300000000000011</c:v>
                </c:pt>
                <c:pt idx="205">
                  <c:v>64.599999999999994</c:v>
                </c:pt>
                <c:pt idx="206">
                  <c:v>64.900000000000006</c:v>
                </c:pt>
                <c:pt idx="207">
                  <c:v>65.200000000000017</c:v>
                </c:pt>
                <c:pt idx="208">
                  <c:v>65.5</c:v>
                </c:pt>
                <c:pt idx="209">
                  <c:v>65.800000000000011</c:v>
                </c:pt>
                <c:pt idx="210">
                  <c:v>66.200000000000017</c:v>
                </c:pt>
                <c:pt idx="211">
                  <c:v>66.5</c:v>
                </c:pt>
                <c:pt idx="212">
                  <c:v>66.800000000000011</c:v>
                </c:pt>
                <c:pt idx="213">
                  <c:v>67.099999999999994</c:v>
                </c:pt>
                <c:pt idx="214">
                  <c:v>67.400000000000006</c:v>
                </c:pt>
                <c:pt idx="215">
                  <c:v>67.700000000000017</c:v>
                </c:pt>
                <c:pt idx="216">
                  <c:v>68.099999999999994</c:v>
                </c:pt>
                <c:pt idx="217">
                  <c:v>68.400000000000006</c:v>
                </c:pt>
                <c:pt idx="218">
                  <c:v>68.700000000000017</c:v>
                </c:pt>
                <c:pt idx="219">
                  <c:v>69</c:v>
                </c:pt>
                <c:pt idx="220">
                  <c:v>69.300000000000011</c:v>
                </c:pt>
                <c:pt idx="221">
                  <c:v>69.599999999999994</c:v>
                </c:pt>
                <c:pt idx="222">
                  <c:v>69.900000000000006</c:v>
                </c:pt>
                <c:pt idx="223">
                  <c:v>70.300000000000011</c:v>
                </c:pt>
                <c:pt idx="224">
                  <c:v>70.599999999999994</c:v>
                </c:pt>
                <c:pt idx="225">
                  <c:v>70.900000000000006</c:v>
                </c:pt>
                <c:pt idx="226">
                  <c:v>71.200000000000017</c:v>
                </c:pt>
                <c:pt idx="227">
                  <c:v>71.5</c:v>
                </c:pt>
                <c:pt idx="228">
                  <c:v>71.800000000000011</c:v>
                </c:pt>
                <c:pt idx="229">
                  <c:v>72.099999999999994</c:v>
                </c:pt>
                <c:pt idx="230">
                  <c:v>72.5</c:v>
                </c:pt>
                <c:pt idx="231">
                  <c:v>72.800000000000011</c:v>
                </c:pt>
                <c:pt idx="232">
                  <c:v>73.099999999999994</c:v>
                </c:pt>
                <c:pt idx="233">
                  <c:v>73.400000000000006</c:v>
                </c:pt>
                <c:pt idx="234">
                  <c:v>73.700000000000017</c:v>
                </c:pt>
                <c:pt idx="235">
                  <c:v>74</c:v>
                </c:pt>
                <c:pt idx="236">
                  <c:v>74.400000000000006</c:v>
                </c:pt>
                <c:pt idx="237">
                  <c:v>74.700000000000017</c:v>
                </c:pt>
                <c:pt idx="238">
                  <c:v>75</c:v>
                </c:pt>
                <c:pt idx="239">
                  <c:v>75.300000000000011</c:v>
                </c:pt>
                <c:pt idx="240">
                  <c:v>75.599999999999994</c:v>
                </c:pt>
                <c:pt idx="241">
                  <c:v>75.900000000000006</c:v>
                </c:pt>
                <c:pt idx="242">
                  <c:v>76.200000000000017</c:v>
                </c:pt>
                <c:pt idx="243">
                  <c:v>76.599999999999994</c:v>
                </c:pt>
                <c:pt idx="244">
                  <c:v>76.900000000000006</c:v>
                </c:pt>
                <c:pt idx="245">
                  <c:v>77.200000000000017</c:v>
                </c:pt>
                <c:pt idx="246">
                  <c:v>77.5</c:v>
                </c:pt>
                <c:pt idx="247">
                  <c:v>77.800000000000011</c:v>
                </c:pt>
                <c:pt idx="248">
                  <c:v>78.099999999999994</c:v>
                </c:pt>
                <c:pt idx="249">
                  <c:v>78.400000000000006</c:v>
                </c:pt>
                <c:pt idx="250">
                  <c:v>78.800000000000011</c:v>
                </c:pt>
                <c:pt idx="251">
                  <c:v>79.099999999999994</c:v>
                </c:pt>
                <c:pt idx="252">
                  <c:v>79.400000000000006</c:v>
                </c:pt>
                <c:pt idx="253">
                  <c:v>79.700000000000017</c:v>
                </c:pt>
                <c:pt idx="254">
                  <c:v>80</c:v>
                </c:pt>
                <c:pt idx="255">
                  <c:v>80.300000000000011</c:v>
                </c:pt>
                <c:pt idx="256">
                  <c:v>80.700000000000017</c:v>
                </c:pt>
                <c:pt idx="257">
                  <c:v>81</c:v>
                </c:pt>
                <c:pt idx="258">
                  <c:v>81.300000000000011</c:v>
                </c:pt>
                <c:pt idx="259">
                  <c:v>81.599999999999994</c:v>
                </c:pt>
                <c:pt idx="260">
                  <c:v>81.900000000000006</c:v>
                </c:pt>
                <c:pt idx="261">
                  <c:v>82.200000000000017</c:v>
                </c:pt>
                <c:pt idx="262">
                  <c:v>82.5</c:v>
                </c:pt>
                <c:pt idx="263">
                  <c:v>82.9</c:v>
                </c:pt>
                <c:pt idx="264">
                  <c:v>83.200000000000017</c:v>
                </c:pt>
                <c:pt idx="265">
                  <c:v>83.5</c:v>
                </c:pt>
                <c:pt idx="266">
                  <c:v>83.800000000000011</c:v>
                </c:pt>
                <c:pt idx="267">
                  <c:v>84.1</c:v>
                </c:pt>
                <c:pt idx="268">
                  <c:v>84.4</c:v>
                </c:pt>
                <c:pt idx="269">
                  <c:v>84.700000000000017</c:v>
                </c:pt>
                <c:pt idx="270">
                  <c:v>85.1</c:v>
                </c:pt>
                <c:pt idx="271">
                  <c:v>85.4</c:v>
                </c:pt>
                <c:pt idx="272">
                  <c:v>85.700000000000017</c:v>
                </c:pt>
                <c:pt idx="273">
                  <c:v>86</c:v>
                </c:pt>
                <c:pt idx="274">
                  <c:v>86.300000000000011</c:v>
                </c:pt>
                <c:pt idx="275">
                  <c:v>86.6</c:v>
                </c:pt>
                <c:pt idx="276">
                  <c:v>87</c:v>
                </c:pt>
                <c:pt idx="277">
                  <c:v>87.300000000000011</c:v>
                </c:pt>
                <c:pt idx="278">
                  <c:v>87.6</c:v>
                </c:pt>
                <c:pt idx="279">
                  <c:v>87.9</c:v>
                </c:pt>
                <c:pt idx="280">
                  <c:v>88.200000000000017</c:v>
                </c:pt>
                <c:pt idx="281">
                  <c:v>88.5</c:v>
                </c:pt>
                <c:pt idx="282">
                  <c:v>88.800000000000011</c:v>
                </c:pt>
                <c:pt idx="283">
                  <c:v>89.200000000000017</c:v>
                </c:pt>
                <c:pt idx="284">
                  <c:v>89.5</c:v>
                </c:pt>
                <c:pt idx="285">
                  <c:v>89.800000000000011</c:v>
                </c:pt>
                <c:pt idx="286">
                  <c:v>90.1</c:v>
                </c:pt>
                <c:pt idx="287">
                  <c:v>90.4</c:v>
                </c:pt>
                <c:pt idx="288">
                  <c:v>90.700000000000017</c:v>
                </c:pt>
                <c:pt idx="289">
                  <c:v>91.1</c:v>
                </c:pt>
                <c:pt idx="290">
                  <c:v>91.4</c:v>
                </c:pt>
                <c:pt idx="291">
                  <c:v>91.700000000000017</c:v>
                </c:pt>
                <c:pt idx="292">
                  <c:v>92</c:v>
                </c:pt>
                <c:pt idx="293">
                  <c:v>92.300000000000011</c:v>
                </c:pt>
                <c:pt idx="294">
                  <c:v>92.6</c:v>
                </c:pt>
                <c:pt idx="295">
                  <c:v>92.9</c:v>
                </c:pt>
                <c:pt idx="296">
                  <c:v>93.300000000000011</c:v>
                </c:pt>
                <c:pt idx="297">
                  <c:v>93.6</c:v>
                </c:pt>
                <c:pt idx="298">
                  <c:v>93.9</c:v>
                </c:pt>
                <c:pt idx="299">
                  <c:v>94.200000000000017</c:v>
                </c:pt>
                <c:pt idx="300">
                  <c:v>94.5</c:v>
                </c:pt>
                <c:pt idx="301">
                  <c:v>94.800000000000011</c:v>
                </c:pt>
                <c:pt idx="302">
                  <c:v>95.1</c:v>
                </c:pt>
                <c:pt idx="303">
                  <c:v>95.5</c:v>
                </c:pt>
                <c:pt idx="304">
                  <c:v>95.800000000000011</c:v>
                </c:pt>
                <c:pt idx="305">
                  <c:v>96.1</c:v>
                </c:pt>
                <c:pt idx="306">
                  <c:v>96.4</c:v>
                </c:pt>
                <c:pt idx="307">
                  <c:v>96.700000000000017</c:v>
                </c:pt>
                <c:pt idx="308">
                  <c:v>97</c:v>
                </c:pt>
                <c:pt idx="309">
                  <c:v>97.4</c:v>
                </c:pt>
                <c:pt idx="310">
                  <c:v>97.700000000000017</c:v>
                </c:pt>
                <c:pt idx="311">
                  <c:v>98</c:v>
                </c:pt>
                <c:pt idx="312">
                  <c:v>98.300000000000011</c:v>
                </c:pt>
                <c:pt idx="313">
                  <c:v>98.6</c:v>
                </c:pt>
                <c:pt idx="314">
                  <c:v>98.9</c:v>
                </c:pt>
                <c:pt idx="315">
                  <c:v>99.200000000000017</c:v>
                </c:pt>
                <c:pt idx="316">
                  <c:v>99.6</c:v>
                </c:pt>
                <c:pt idx="317">
                  <c:v>99.9</c:v>
                </c:pt>
                <c:pt idx="318">
                  <c:v>100.20000000000002</c:v>
                </c:pt>
                <c:pt idx="319">
                  <c:v>100.5</c:v>
                </c:pt>
                <c:pt idx="320">
                  <c:v>100.80000000000001</c:v>
                </c:pt>
                <c:pt idx="321">
                  <c:v>101.1</c:v>
                </c:pt>
                <c:pt idx="322">
                  <c:v>101.4</c:v>
                </c:pt>
                <c:pt idx="323">
                  <c:v>101.80000000000001</c:v>
                </c:pt>
                <c:pt idx="324">
                  <c:v>102.1</c:v>
                </c:pt>
                <c:pt idx="325">
                  <c:v>102.4</c:v>
                </c:pt>
                <c:pt idx="326">
                  <c:v>102.70000000000002</c:v>
                </c:pt>
                <c:pt idx="327">
                  <c:v>103</c:v>
                </c:pt>
                <c:pt idx="328">
                  <c:v>103.30000000000001</c:v>
                </c:pt>
                <c:pt idx="329">
                  <c:v>103.70000000000002</c:v>
                </c:pt>
                <c:pt idx="330">
                  <c:v>104</c:v>
                </c:pt>
                <c:pt idx="331">
                  <c:v>104.30000000000001</c:v>
                </c:pt>
                <c:pt idx="332">
                  <c:v>104.6</c:v>
                </c:pt>
                <c:pt idx="333">
                  <c:v>104.9</c:v>
                </c:pt>
                <c:pt idx="334">
                  <c:v>105.20000000000002</c:v>
                </c:pt>
                <c:pt idx="335">
                  <c:v>105.5</c:v>
                </c:pt>
                <c:pt idx="336">
                  <c:v>105.9</c:v>
                </c:pt>
                <c:pt idx="337">
                  <c:v>106.20000000000002</c:v>
                </c:pt>
                <c:pt idx="338">
                  <c:v>106.5</c:v>
                </c:pt>
                <c:pt idx="339">
                  <c:v>106.80000000000001</c:v>
                </c:pt>
                <c:pt idx="340">
                  <c:v>107.1</c:v>
                </c:pt>
                <c:pt idx="341">
                  <c:v>107.4</c:v>
                </c:pt>
                <c:pt idx="342">
                  <c:v>107.70000000000002</c:v>
                </c:pt>
                <c:pt idx="343">
                  <c:v>108.1</c:v>
                </c:pt>
                <c:pt idx="344">
                  <c:v>108.4</c:v>
                </c:pt>
                <c:pt idx="345">
                  <c:v>108.70000000000002</c:v>
                </c:pt>
                <c:pt idx="346">
                  <c:v>109</c:v>
                </c:pt>
                <c:pt idx="347">
                  <c:v>109.30000000000001</c:v>
                </c:pt>
                <c:pt idx="348">
                  <c:v>109.6</c:v>
                </c:pt>
                <c:pt idx="349">
                  <c:v>110</c:v>
                </c:pt>
                <c:pt idx="350">
                  <c:v>110.30000000000001</c:v>
                </c:pt>
                <c:pt idx="351">
                  <c:v>110.6</c:v>
                </c:pt>
                <c:pt idx="352">
                  <c:v>110.9</c:v>
                </c:pt>
                <c:pt idx="353">
                  <c:v>111.20000000000002</c:v>
                </c:pt>
                <c:pt idx="354">
                  <c:v>111.5</c:v>
                </c:pt>
                <c:pt idx="355">
                  <c:v>111.80000000000001</c:v>
                </c:pt>
                <c:pt idx="356">
                  <c:v>112.20000000000002</c:v>
                </c:pt>
                <c:pt idx="357">
                  <c:v>112.5</c:v>
                </c:pt>
                <c:pt idx="358">
                  <c:v>112.80000000000001</c:v>
                </c:pt>
                <c:pt idx="359">
                  <c:v>113.1</c:v>
                </c:pt>
                <c:pt idx="360">
                  <c:v>113.4</c:v>
                </c:pt>
                <c:pt idx="361">
                  <c:v>113.70000000000002</c:v>
                </c:pt>
                <c:pt idx="362">
                  <c:v>114.1</c:v>
                </c:pt>
                <c:pt idx="363">
                  <c:v>114.4</c:v>
                </c:pt>
                <c:pt idx="364">
                  <c:v>114.70000000000002</c:v>
                </c:pt>
                <c:pt idx="365">
                  <c:v>115</c:v>
                </c:pt>
                <c:pt idx="366">
                  <c:v>115.30000000000001</c:v>
                </c:pt>
                <c:pt idx="367">
                  <c:v>115.6</c:v>
                </c:pt>
                <c:pt idx="368">
                  <c:v>115.9</c:v>
                </c:pt>
                <c:pt idx="369">
                  <c:v>116.30000000000001</c:v>
                </c:pt>
                <c:pt idx="370">
                  <c:v>116.6</c:v>
                </c:pt>
                <c:pt idx="371">
                  <c:v>116.9</c:v>
                </c:pt>
                <c:pt idx="372">
                  <c:v>117.20000000000002</c:v>
                </c:pt>
                <c:pt idx="373">
                  <c:v>117.5</c:v>
                </c:pt>
                <c:pt idx="374">
                  <c:v>117.80000000000001</c:v>
                </c:pt>
                <c:pt idx="375">
                  <c:v>118.1</c:v>
                </c:pt>
                <c:pt idx="376">
                  <c:v>118.5</c:v>
                </c:pt>
                <c:pt idx="377">
                  <c:v>118.80000000000001</c:v>
                </c:pt>
                <c:pt idx="378">
                  <c:v>119.1</c:v>
                </c:pt>
                <c:pt idx="379">
                  <c:v>119.4</c:v>
                </c:pt>
                <c:pt idx="380">
                  <c:v>119.70000000000002</c:v>
                </c:pt>
                <c:pt idx="381">
                  <c:v>120</c:v>
                </c:pt>
                <c:pt idx="382">
                  <c:v>120.4</c:v>
                </c:pt>
                <c:pt idx="383">
                  <c:v>120.70000000000002</c:v>
                </c:pt>
                <c:pt idx="384">
                  <c:v>121</c:v>
                </c:pt>
                <c:pt idx="385">
                  <c:v>121.30000000000001</c:v>
                </c:pt>
                <c:pt idx="386">
                  <c:v>121.6</c:v>
                </c:pt>
                <c:pt idx="387">
                  <c:v>121.9</c:v>
                </c:pt>
                <c:pt idx="388">
                  <c:v>122.20000000000002</c:v>
                </c:pt>
                <c:pt idx="389">
                  <c:v>122.6</c:v>
                </c:pt>
                <c:pt idx="390">
                  <c:v>122.9</c:v>
                </c:pt>
                <c:pt idx="391">
                  <c:v>123.20000000000002</c:v>
                </c:pt>
                <c:pt idx="392">
                  <c:v>123.5</c:v>
                </c:pt>
                <c:pt idx="393">
                  <c:v>123.80000000000001</c:v>
                </c:pt>
                <c:pt idx="394">
                  <c:v>124.1</c:v>
                </c:pt>
                <c:pt idx="395">
                  <c:v>124.4</c:v>
                </c:pt>
                <c:pt idx="396">
                  <c:v>124.80000000000001</c:v>
                </c:pt>
                <c:pt idx="397">
                  <c:v>125.1</c:v>
                </c:pt>
                <c:pt idx="398">
                  <c:v>125.4</c:v>
                </c:pt>
                <c:pt idx="399">
                  <c:v>125.70000000000002</c:v>
                </c:pt>
                <c:pt idx="400">
                  <c:v>126</c:v>
                </c:pt>
                <c:pt idx="401">
                  <c:v>126.30000000000001</c:v>
                </c:pt>
                <c:pt idx="402">
                  <c:v>126.70000000000002</c:v>
                </c:pt>
                <c:pt idx="403">
                  <c:v>127</c:v>
                </c:pt>
                <c:pt idx="404">
                  <c:v>127.30000000000001</c:v>
                </c:pt>
                <c:pt idx="405">
                  <c:v>127.6</c:v>
                </c:pt>
                <c:pt idx="406">
                  <c:v>127.9</c:v>
                </c:pt>
                <c:pt idx="407">
                  <c:v>128.20000000000002</c:v>
                </c:pt>
                <c:pt idx="408">
                  <c:v>128.5</c:v>
                </c:pt>
                <c:pt idx="409">
                  <c:v>128.9</c:v>
                </c:pt>
                <c:pt idx="410">
                  <c:v>129.20000000000002</c:v>
                </c:pt>
                <c:pt idx="411">
                  <c:v>129.5</c:v>
                </c:pt>
                <c:pt idx="412">
                  <c:v>129.80000000000001</c:v>
                </c:pt>
                <c:pt idx="413">
                  <c:v>130.1</c:v>
                </c:pt>
                <c:pt idx="414">
                  <c:v>130.4</c:v>
                </c:pt>
                <c:pt idx="415">
                  <c:v>130.70000000000002</c:v>
                </c:pt>
                <c:pt idx="416">
                  <c:v>131.1</c:v>
                </c:pt>
                <c:pt idx="417">
                  <c:v>131.4</c:v>
                </c:pt>
                <c:pt idx="418">
                  <c:v>131.70000000000002</c:v>
                </c:pt>
                <c:pt idx="419">
                  <c:v>132</c:v>
                </c:pt>
                <c:pt idx="420">
                  <c:v>132.30000000000001</c:v>
                </c:pt>
                <c:pt idx="421">
                  <c:v>132.6</c:v>
                </c:pt>
                <c:pt idx="422">
                  <c:v>133</c:v>
                </c:pt>
                <c:pt idx="423">
                  <c:v>133.30000000000001</c:v>
                </c:pt>
                <c:pt idx="424">
                  <c:v>133.6</c:v>
                </c:pt>
                <c:pt idx="425">
                  <c:v>133.9</c:v>
                </c:pt>
                <c:pt idx="426">
                  <c:v>134.20000000000002</c:v>
                </c:pt>
                <c:pt idx="427">
                  <c:v>134.5</c:v>
                </c:pt>
                <c:pt idx="428">
                  <c:v>134.80000000000001</c:v>
                </c:pt>
                <c:pt idx="429">
                  <c:v>135.20000000000002</c:v>
                </c:pt>
                <c:pt idx="430">
                  <c:v>135.5</c:v>
                </c:pt>
                <c:pt idx="431">
                  <c:v>135.80000000000001</c:v>
                </c:pt>
                <c:pt idx="432">
                  <c:v>136.1</c:v>
                </c:pt>
                <c:pt idx="433">
                  <c:v>136.4</c:v>
                </c:pt>
                <c:pt idx="434">
                  <c:v>136.70000000000002</c:v>
                </c:pt>
                <c:pt idx="435">
                  <c:v>137.1</c:v>
                </c:pt>
                <c:pt idx="436">
                  <c:v>137.4</c:v>
                </c:pt>
                <c:pt idx="437">
                  <c:v>137.70000000000002</c:v>
                </c:pt>
                <c:pt idx="438">
                  <c:v>138</c:v>
                </c:pt>
                <c:pt idx="439">
                  <c:v>138.30000000000001</c:v>
                </c:pt>
                <c:pt idx="440">
                  <c:v>138.6</c:v>
                </c:pt>
                <c:pt idx="441">
                  <c:v>138.9</c:v>
                </c:pt>
                <c:pt idx="442">
                  <c:v>139.30000000000001</c:v>
                </c:pt>
                <c:pt idx="443">
                  <c:v>139.6</c:v>
                </c:pt>
                <c:pt idx="444">
                  <c:v>139.9</c:v>
                </c:pt>
                <c:pt idx="445">
                  <c:v>140.20000000000002</c:v>
                </c:pt>
                <c:pt idx="446">
                  <c:v>140.5</c:v>
                </c:pt>
                <c:pt idx="447">
                  <c:v>140.80000000000001</c:v>
                </c:pt>
                <c:pt idx="448">
                  <c:v>141.1</c:v>
                </c:pt>
                <c:pt idx="449">
                  <c:v>141.5</c:v>
                </c:pt>
                <c:pt idx="450">
                  <c:v>141.80000000000001</c:v>
                </c:pt>
                <c:pt idx="451">
                  <c:v>142.1</c:v>
                </c:pt>
                <c:pt idx="452">
                  <c:v>142.4</c:v>
                </c:pt>
                <c:pt idx="453">
                  <c:v>142.70000000000002</c:v>
                </c:pt>
                <c:pt idx="454">
                  <c:v>143</c:v>
                </c:pt>
                <c:pt idx="455">
                  <c:v>143.4</c:v>
                </c:pt>
                <c:pt idx="456">
                  <c:v>143.70000000000002</c:v>
                </c:pt>
                <c:pt idx="457">
                  <c:v>144</c:v>
                </c:pt>
                <c:pt idx="458">
                  <c:v>144.30000000000001</c:v>
                </c:pt>
                <c:pt idx="459">
                  <c:v>144.6</c:v>
                </c:pt>
                <c:pt idx="460">
                  <c:v>144.9</c:v>
                </c:pt>
                <c:pt idx="461">
                  <c:v>145.20000000000002</c:v>
                </c:pt>
                <c:pt idx="462">
                  <c:v>145.6</c:v>
                </c:pt>
                <c:pt idx="463">
                  <c:v>145.9</c:v>
                </c:pt>
                <c:pt idx="464">
                  <c:v>146.20000000000002</c:v>
                </c:pt>
                <c:pt idx="465">
                  <c:v>146.5</c:v>
                </c:pt>
                <c:pt idx="466">
                  <c:v>146.80000000000001</c:v>
                </c:pt>
                <c:pt idx="467">
                  <c:v>147.1</c:v>
                </c:pt>
                <c:pt idx="468">
                  <c:v>147.4</c:v>
                </c:pt>
                <c:pt idx="469">
                  <c:v>147.80000000000001</c:v>
                </c:pt>
                <c:pt idx="470">
                  <c:v>148.1</c:v>
                </c:pt>
                <c:pt idx="471">
                  <c:v>148.4</c:v>
                </c:pt>
                <c:pt idx="472">
                  <c:v>148.70000000000002</c:v>
                </c:pt>
                <c:pt idx="473">
                  <c:v>149</c:v>
                </c:pt>
                <c:pt idx="474">
                  <c:v>149.30000000000001</c:v>
                </c:pt>
                <c:pt idx="475">
                  <c:v>149.70000000000002</c:v>
                </c:pt>
                <c:pt idx="476">
                  <c:v>150</c:v>
                </c:pt>
                <c:pt idx="477">
                  <c:v>150.30000000000001</c:v>
                </c:pt>
                <c:pt idx="478">
                  <c:v>150.6</c:v>
                </c:pt>
                <c:pt idx="479">
                  <c:v>150.9</c:v>
                </c:pt>
                <c:pt idx="480">
                  <c:v>151.20000000000002</c:v>
                </c:pt>
                <c:pt idx="481">
                  <c:v>151.5</c:v>
                </c:pt>
                <c:pt idx="482">
                  <c:v>151.9</c:v>
                </c:pt>
                <c:pt idx="483">
                  <c:v>152.20000000000002</c:v>
                </c:pt>
                <c:pt idx="484">
                  <c:v>152.5</c:v>
                </c:pt>
                <c:pt idx="485">
                  <c:v>152.80000000000001</c:v>
                </c:pt>
                <c:pt idx="486">
                  <c:v>153.1</c:v>
                </c:pt>
                <c:pt idx="487">
                  <c:v>153.4</c:v>
                </c:pt>
                <c:pt idx="488">
                  <c:v>153.70000000000002</c:v>
                </c:pt>
                <c:pt idx="489">
                  <c:v>154.1</c:v>
                </c:pt>
                <c:pt idx="490">
                  <c:v>154.4</c:v>
                </c:pt>
                <c:pt idx="491">
                  <c:v>154.70000000000002</c:v>
                </c:pt>
                <c:pt idx="492">
                  <c:v>155</c:v>
                </c:pt>
                <c:pt idx="493">
                  <c:v>155.30000000000001</c:v>
                </c:pt>
                <c:pt idx="494">
                  <c:v>155.6</c:v>
                </c:pt>
                <c:pt idx="495">
                  <c:v>156</c:v>
                </c:pt>
                <c:pt idx="496">
                  <c:v>156.30000000000001</c:v>
                </c:pt>
                <c:pt idx="497">
                  <c:v>156.6</c:v>
                </c:pt>
              </c:numCache>
            </c:numRef>
          </c:xVal>
          <c:yVal>
            <c:numRef>
              <c:f>'sheet 1'!$C$39:$C$788</c:f>
              <c:numCache>
                <c:formatCode>General</c:formatCode>
                <c:ptCount val="750"/>
                <c:pt idx="0">
                  <c:v>8170</c:v>
                </c:pt>
                <c:pt idx="1">
                  <c:v>8121</c:v>
                </c:pt>
                <c:pt idx="2">
                  <c:v>7993</c:v>
                </c:pt>
                <c:pt idx="3">
                  <c:v>7881</c:v>
                </c:pt>
                <c:pt idx="4">
                  <c:v>7844</c:v>
                </c:pt>
                <c:pt idx="5">
                  <c:v>7729</c:v>
                </c:pt>
                <c:pt idx="6">
                  <c:v>7414</c:v>
                </c:pt>
                <c:pt idx="7">
                  <c:v>7300</c:v>
                </c:pt>
                <c:pt idx="8">
                  <c:v>7185</c:v>
                </c:pt>
                <c:pt idx="9">
                  <c:v>7154</c:v>
                </c:pt>
                <c:pt idx="10">
                  <c:v>7082</c:v>
                </c:pt>
                <c:pt idx="11">
                  <c:v>6920</c:v>
                </c:pt>
                <c:pt idx="12">
                  <c:v>6817</c:v>
                </c:pt>
                <c:pt idx="13">
                  <c:v>6659</c:v>
                </c:pt>
                <c:pt idx="14">
                  <c:v>6330</c:v>
                </c:pt>
                <c:pt idx="15">
                  <c:v>6360</c:v>
                </c:pt>
                <c:pt idx="16">
                  <c:v>6342</c:v>
                </c:pt>
                <c:pt idx="17">
                  <c:v>6189</c:v>
                </c:pt>
                <c:pt idx="18">
                  <c:v>6222</c:v>
                </c:pt>
                <c:pt idx="19">
                  <c:v>6047</c:v>
                </c:pt>
                <c:pt idx="20">
                  <c:v>5875</c:v>
                </c:pt>
                <c:pt idx="21">
                  <c:v>5980</c:v>
                </c:pt>
                <c:pt idx="22">
                  <c:v>5807</c:v>
                </c:pt>
                <c:pt idx="23">
                  <c:v>5805</c:v>
                </c:pt>
                <c:pt idx="24">
                  <c:v>5734</c:v>
                </c:pt>
                <c:pt idx="25">
                  <c:v>5768</c:v>
                </c:pt>
                <c:pt idx="26">
                  <c:v>5485</c:v>
                </c:pt>
                <c:pt idx="27">
                  <c:v>5238</c:v>
                </c:pt>
                <c:pt idx="28">
                  <c:v>5479</c:v>
                </c:pt>
                <c:pt idx="29">
                  <c:v>5367</c:v>
                </c:pt>
                <c:pt idx="30">
                  <c:v>5195</c:v>
                </c:pt>
                <c:pt idx="31">
                  <c:v>5249</c:v>
                </c:pt>
                <c:pt idx="32">
                  <c:v>4905</c:v>
                </c:pt>
                <c:pt idx="33">
                  <c:v>4935</c:v>
                </c:pt>
                <c:pt idx="34">
                  <c:v>4928</c:v>
                </c:pt>
                <c:pt idx="35">
                  <c:v>4924</c:v>
                </c:pt>
                <c:pt idx="36">
                  <c:v>4833</c:v>
                </c:pt>
                <c:pt idx="37">
                  <c:v>4769</c:v>
                </c:pt>
                <c:pt idx="38">
                  <c:v>4633</c:v>
                </c:pt>
                <c:pt idx="39">
                  <c:v>4688</c:v>
                </c:pt>
                <c:pt idx="40">
                  <c:v>4504</c:v>
                </c:pt>
                <c:pt idx="41">
                  <c:v>4481</c:v>
                </c:pt>
                <c:pt idx="42">
                  <c:v>4455</c:v>
                </c:pt>
                <c:pt idx="43">
                  <c:v>4432</c:v>
                </c:pt>
                <c:pt idx="44">
                  <c:v>4369</c:v>
                </c:pt>
                <c:pt idx="45">
                  <c:v>4450</c:v>
                </c:pt>
                <c:pt idx="46">
                  <c:v>4327</c:v>
                </c:pt>
                <c:pt idx="47">
                  <c:v>4333</c:v>
                </c:pt>
                <c:pt idx="48">
                  <c:v>4154</c:v>
                </c:pt>
                <c:pt idx="49">
                  <c:v>4256</c:v>
                </c:pt>
                <c:pt idx="50">
                  <c:v>4075</c:v>
                </c:pt>
                <c:pt idx="51">
                  <c:v>4018</c:v>
                </c:pt>
                <c:pt idx="52">
                  <c:v>4043</c:v>
                </c:pt>
                <c:pt idx="53">
                  <c:v>4027</c:v>
                </c:pt>
                <c:pt idx="54">
                  <c:v>4033</c:v>
                </c:pt>
                <c:pt idx="55">
                  <c:v>3929</c:v>
                </c:pt>
                <c:pt idx="56">
                  <c:v>3873</c:v>
                </c:pt>
                <c:pt idx="57">
                  <c:v>3829</c:v>
                </c:pt>
                <c:pt idx="58">
                  <c:v>3790</c:v>
                </c:pt>
                <c:pt idx="59">
                  <c:v>3798</c:v>
                </c:pt>
                <c:pt idx="60">
                  <c:v>3757</c:v>
                </c:pt>
                <c:pt idx="61">
                  <c:v>3626</c:v>
                </c:pt>
                <c:pt idx="62">
                  <c:v>3730</c:v>
                </c:pt>
                <c:pt idx="63">
                  <c:v>3741</c:v>
                </c:pt>
                <c:pt idx="64">
                  <c:v>3599</c:v>
                </c:pt>
                <c:pt idx="65">
                  <c:v>3607</c:v>
                </c:pt>
                <c:pt idx="66">
                  <c:v>3525</c:v>
                </c:pt>
                <c:pt idx="67">
                  <c:v>3470</c:v>
                </c:pt>
                <c:pt idx="68">
                  <c:v>3437</c:v>
                </c:pt>
                <c:pt idx="69">
                  <c:v>3424</c:v>
                </c:pt>
                <c:pt idx="70">
                  <c:v>3443</c:v>
                </c:pt>
                <c:pt idx="71">
                  <c:v>3450</c:v>
                </c:pt>
                <c:pt idx="72">
                  <c:v>3327</c:v>
                </c:pt>
                <c:pt idx="73">
                  <c:v>3222</c:v>
                </c:pt>
                <c:pt idx="74">
                  <c:v>3428</c:v>
                </c:pt>
                <c:pt idx="75">
                  <c:v>3346</c:v>
                </c:pt>
                <c:pt idx="76">
                  <c:v>3244</c:v>
                </c:pt>
                <c:pt idx="77">
                  <c:v>3176</c:v>
                </c:pt>
                <c:pt idx="78">
                  <c:v>3173</c:v>
                </c:pt>
                <c:pt idx="79">
                  <c:v>3217</c:v>
                </c:pt>
                <c:pt idx="80">
                  <c:v>3203</c:v>
                </c:pt>
                <c:pt idx="81">
                  <c:v>3131</c:v>
                </c:pt>
                <c:pt idx="82">
                  <c:v>3164</c:v>
                </c:pt>
                <c:pt idx="83">
                  <c:v>3151</c:v>
                </c:pt>
                <c:pt idx="84">
                  <c:v>3028</c:v>
                </c:pt>
                <c:pt idx="85">
                  <c:v>3047</c:v>
                </c:pt>
                <c:pt idx="86">
                  <c:v>2982</c:v>
                </c:pt>
                <c:pt idx="87">
                  <c:v>3019</c:v>
                </c:pt>
                <c:pt idx="88">
                  <c:v>2968</c:v>
                </c:pt>
                <c:pt idx="89">
                  <c:v>2890</c:v>
                </c:pt>
                <c:pt idx="90">
                  <c:v>2942</c:v>
                </c:pt>
                <c:pt idx="91">
                  <c:v>2904</c:v>
                </c:pt>
                <c:pt idx="92">
                  <c:v>2992</c:v>
                </c:pt>
                <c:pt idx="93">
                  <c:v>2848</c:v>
                </c:pt>
                <c:pt idx="94">
                  <c:v>2808</c:v>
                </c:pt>
                <c:pt idx="95">
                  <c:v>2877</c:v>
                </c:pt>
                <c:pt idx="96">
                  <c:v>2837</c:v>
                </c:pt>
                <c:pt idx="97">
                  <c:v>2818</c:v>
                </c:pt>
                <c:pt idx="98">
                  <c:v>2751</c:v>
                </c:pt>
                <c:pt idx="99">
                  <c:v>2828</c:v>
                </c:pt>
                <c:pt idx="100">
                  <c:v>2773</c:v>
                </c:pt>
                <c:pt idx="101">
                  <c:v>2735</c:v>
                </c:pt>
                <c:pt idx="102">
                  <c:v>2675</c:v>
                </c:pt>
                <c:pt idx="103">
                  <c:v>2661</c:v>
                </c:pt>
                <c:pt idx="104">
                  <c:v>2627</c:v>
                </c:pt>
                <c:pt idx="105">
                  <c:v>2627</c:v>
                </c:pt>
                <c:pt idx="106">
                  <c:v>2633</c:v>
                </c:pt>
                <c:pt idx="107">
                  <c:v>2610</c:v>
                </c:pt>
                <c:pt idx="108">
                  <c:v>2533</c:v>
                </c:pt>
                <c:pt idx="109">
                  <c:v>2612</c:v>
                </c:pt>
                <c:pt idx="110">
                  <c:v>2570</c:v>
                </c:pt>
                <c:pt idx="111">
                  <c:v>2538</c:v>
                </c:pt>
                <c:pt idx="112">
                  <c:v>2403</c:v>
                </c:pt>
                <c:pt idx="113">
                  <c:v>2485</c:v>
                </c:pt>
                <c:pt idx="114">
                  <c:v>2450</c:v>
                </c:pt>
                <c:pt idx="115">
                  <c:v>2411</c:v>
                </c:pt>
                <c:pt idx="116">
                  <c:v>2495</c:v>
                </c:pt>
                <c:pt idx="117">
                  <c:v>2441</c:v>
                </c:pt>
                <c:pt idx="118">
                  <c:v>2462</c:v>
                </c:pt>
                <c:pt idx="119">
                  <c:v>2365</c:v>
                </c:pt>
                <c:pt idx="120">
                  <c:v>2380</c:v>
                </c:pt>
                <c:pt idx="121">
                  <c:v>2352</c:v>
                </c:pt>
                <c:pt idx="122">
                  <c:v>2308</c:v>
                </c:pt>
                <c:pt idx="123">
                  <c:v>2367</c:v>
                </c:pt>
                <c:pt idx="124">
                  <c:v>2287</c:v>
                </c:pt>
                <c:pt idx="125">
                  <c:v>2291</c:v>
                </c:pt>
                <c:pt idx="126">
                  <c:v>2297</c:v>
                </c:pt>
                <c:pt idx="127">
                  <c:v>2323</c:v>
                </c:pt>
                <c:pt idx="128">
                  <c:v>2364</c:v>
                </c:pt>
                <c:pt idx="129">
                  <c:v>2291</c:v>
                </c:pt>
                <c:pt idx="130">
                  <c:v>2287</c:v>
                </c:pt>
                <c:pt idx="131">
                  <c:v>2261</c:v>
                </c:pt>
                <c:pt idx="132">
                  <c:v>2297</c:v>
                </c:pt>
                <c:pt idx="133">
                  <c:v>2182</c:v>
                </c:pt>
                <c:pt idx="134">
                  <c:v>2229</c:v>
                </c:pt>
                <c:pt idx="135">
                  <c:v>2210</c:v>
                </c:pt>
                <c:pt idx="136">
                  <c:v>2156</c:v>
                </c:pt>
                <c:pt idx="137">
                  <c:v>2137</c:v>
                </c:pt>
                <c:pt idx="138">
                  <c:v>2148</c:v>
                </c:pt>
                <c:pt idx="139">
                  <c:v>2138</c:v>
                </c:pt>
                <c:pt idx="140">
                  <c:v>2128</c:v>
                </c:pt>
                <c:pt idx="141">
                  <c:v>2165</c:v>
                </c:pt>
                <c:pt idx="142">
                  <c:v>2147</c:v>
                </c:pt>
                <c:pt idx="143">
                  <c:v>2054</c:v>
                </c:pt>
                <c:pt idx="144">
                  <c:v>2105</c:v>
                </c:pt>
                <c:pt idx="145">
                  <c:v>1999</c:v>
                </c:pt>
                <c:pt idx="146">
                  <c:v>2057</c:v>
                </c:pt>
                <c:pt idx="147">
                  <c:v>1987</c:v>
                </c:pt>
                <c:pt idx="148">
                  <c:v>2006</c:v>
                </c:pt>
                <c:pt idx="149">
                  <c:v>1997</c:v>
                </c:pt>
                <c:pt idx="150">
                  <c:v>1961</c:v>
                </c:pt>
                <c:pt idx="151">
                  <c:v>2055</c:v>
                </c:pt>
                <c:pt idx="152">
                  <c:v>2018</c:v>
                </c:pt>
                <c:pt idx="153">
                  <c:v>1948</c:v>
                </c:pt>
                <c:pt idx="154">
                  <c:v>1936</c:v>
                </c:pt>
                <c:pt idx="155">
                  <c:v>1879</c:v>
                </c:pt>
                <c:pt idx="156">
                  <c:v>1887</c:v>
                </c:pt>
                <c:pt idx="157">
                  <c:v>1916</c:v>
                </c:pt>
                <c:pt idx="158">
                  <c:v>1877</c:v>
                </c:pt>
                <c:pt idx="159">
                  <c:v>1844</c:v>
                </c:pt>
                <c:pt idx="160">
                  <c:v>1808</c:v>
                </c:pt>
                <c:pt idx="161">
                  <c:v>1881</c:v>
                </c:pt>
                <c:pt idx="162">
                  <c:v>1833</c:v>
                </c:pt>
                <c:pt idx="163">
                  <c:v>1827</c:v>
                </c:pt>
                <c:pt idx="164">
                  <c:v>1802</c:v>
                </c:pt>
                <c:pt idx="165">
                  <c:v>1763</c:v>
                </c:pt>
                <c:pt idx="166">
                  <c:v>1838</c:v>
                </c:pt>
                <c:pt idx="167">
                  <c:v>1840</c:v>
                </c:pt>
                <c:pt idx="168">
                  <c:v>1852</c:v>
                </c:pt>
                <c:pt idx="169">
                  <c:v>1745</c:v>
                </c:pt>
                <c:pt idx="170">
                  <c:v>1796</c:v>
                </c:pt>
                <c:pt idx="171">
                  <c:v>1781</c:v>
                </c:pt>
                <c:pt idx="172">
                  <c:v>1728</c:v>
                </c:pt>
                <c:pt idx="173">
                  <c:v>1695</c:v>
                </c:pt>
                <c:pt idx="174">
                  <c:v>1728</c:v>
                </c:pt>
                <c:pt idx="175">
                  <c:v>1763</c:v>
                </c:pt>
                <c:pt idx="176">
                  <c:v>1712</c:v>
                </c:pt>
                <c:pt idx="177">
                  <c:v>1732</c:v>
                </c:pt>
                <c:pt idx="178">
                  <c:v>1783</c:v>
                </c:pt>
                <c:pt idx="179">
                  <c:v>1695</c:v>
                </c:pt>
                <c:pt idx="180">
                  <c:v>1703</c:v>
                </c:pt>
                <c:pt idx="181">
                  <c:v>1726</c:v>
                </c:pt>
                <c:pt idx="182">
                  <c:v>1641</c:v>
                </c:pt>
                <c:pt idx="183">
                  <c:v>1694</c:v>
                </c:pt>
                <c:pt idx="184">
                  <c:v>1761</c:v>
                </c:pt>
                <c:pt idx="185">
                  <c:v>1713</c:v>
                </c:pt>
                <c:pt idx="186">
                  <c:v>1530</c:v>
                </c:pt>
                <c:pt idx="187">
                  <c:v>1612</c:v>
                </c:pt>
                <c:pt idx="188">
                  <c:v>1587</c:v>
                </c:pt>
                <c:pt idx="189">
                  <c:v>1607</c:v>
                </c:pt>
                <c:pt idx="190">
                  <c:v>1649</c:v>
                </c:pt>
                <c:pt idx="191">
                  <c:v>1612</c:v>
                </c:pt>
                <c:pt idx="192">
                  <c:v>1579</c:v>
                </c:pt>
                <c:pt idx="193">
                  <c:v>1609</c:v>
                </c:pt>
                <c:pt idx="194">
                  <c:v>1608</c:v>
                </c:pt>
                <c:pt idx="195">
                  <c:v>1623</c:v>
                </c:pt>
                <c:pt idx="196">
                  <c:v>1579</c:v>
                </c:pt>
                <c:pt idx="197">
                  <c:v>1540</c:v>
                </c:pt>
                <c:pt idx="198">
                  <c:v>1458</c:v>
                </c:pt>
                <c:pt idx="199">
                  <c:v>1568</c:v>
                </c:pt>
                <c:pt idx="200">
                  <c:v>1525</c:v>
                </c:pt>
                <c:pt idx="201">
                  <c:v>1520</c:v>
                </c:pt>
                <c:pt idx="202">
                  <c:v>1573</c:v>
                </c:pt>
                <c:pt idx="203">
                  <c:v>1522</c:v>
                </c:pt>
                <c:pt idx="204">
                  <c:v>1557</c:v>
                </c:pt>
                <c:pt idx="205">
                  <c:v>1544</c:v>
                </c:pt>
                <c:pt idx="206">
                  <c:v>1555</c:v>
                </c:pt>
                <c:pt idx="207">
                  <c:v>1459</c:v>
                </c:pt>
                <c:pt idx="208">
                  <c:v>1467</c:v>
                </c:pt>
                <c:pt idx="209">
                  <c:v>1490</c:v>
                </c:pt>
                <c:pt idx="210">
                  <c:v>1507</c:v>
                </c:pt>
                <c:pt idx="211">
                  <c:v>1421</c:v>
                </c:pt>
                <c:pt idx="212">
                  <c:v>1493</c:v>
                </c:pt>
                <c:pt idx="213">
                  <c:v>1461</c:v>
                </c:pt>
                <c:pt idx="214">
                  <c:v>1450</c:v>
                </c:pt>
                <c:pt idx="215">
                  <c:v>1431</c:v>
                </c:pt>
                <c:pt idx="216">
                  <c:v>1385</c:v>
                </c:pt>
                <c:pt idx="217">
                  <c:v>1423</c:v>
                </c:pt>
                <c:pt idx="218">
                  <c:v>1445</c:v>
                </c:pt>
                <c:pt idx="219">
                  <c:v>1443</c:v>
                </c:pt>
                <c:pt idx="220">
                  <c:v>1428</c:v>
                </c:pt>
                <c:pt idx="221">
                  <c:v>1389</c:v>
                </c:pt>
                <c:pt idx="222">
                  <c:v>1413</c:v>
                </c:pt>
                <c:pt idx="223">
                  <c:v>1439</c:v>
                </c:pt>
                <c:pt idx="224">
                  <c:v>1344</c:v>
                </c:pt>
                <c:pt idx="225">
                  <c:v>1378</c:v>
                </c:pt>
                <c:pt idx="226">
                  <c:v>1416</c:v>
                </c:pt>
                <c:pt idx="227">
                  <c:v>1380</c:v>
                </c:pt>
                <c:pt idx="228">
                  <c:v>1332</c:v>
                </c:pt>
                <c:pt idx="229">
                  <c:v>1293</c:v>
                </c:pt>
                <c:pt idx="230">
                  <c:v>1304</c:v>
                </c:pt>
                <c:pt idx="231">
                  <c:v>1356</c:v>
                </c:pt>
                <c:pt idx="232">
                  <c:v>1321</c:v>
                </c:pt>
                <c:pt idx="233">
                  <c:v>1365</c:v>
                </c:pt>
                <c:pt idx="234">
                  <c:v>1364</c:v>
                </c:pt>
                <c:pt idx="235">
                  <c:v>1378</c:v>
                </c:pt>
                <c:pt idx="236">
                  <c:v>1310</c:v>
                </c:pt>
                <c:pt idx="237">
                  <c:v>1357</c:v>
                </c:pt>
                <c:pt idx="238">
                  <c:v>1290</c:v>
                </c:pt>
                <c:pt idx="239">
                  <c:v>1317</c:v>
                </c:pt>
                <c:pt idx="240">
                  <c:v>1319</c:v>
                </c:pt>
                <c:pt idx="241">
                  <c:v>1305</c:v>
                </c:pt>
                <c:pt idx="242">
                  <c:v>1310</c:v>
                </c:pt>
                <c:pt idx="243">
                  <c:v>1283</c:v>
                </c:pt>
                <c:pt idx="244">
                  <c:v>1298</c:v>
                </c:pt>
                <c:pt idx="245">
                  <c:v>1293</c:v>
                </c:pt>
                <c:pt idx="246">
                  <c:v>1297</c:v>
                </c:pt>
                <c:pt idx="247">
                  <c:v>1262</c:v>
                </c:pt>
                <c:pt idx="248">
                  <c:v>1255</c:v>
                </c:pt>
                <c:pt idx="249">
                  <c:v>1319</c:v>
                </c:pt>
                <c:pt idx="250">
                  <c:v>1312</c:v>
                </c:pt>
                <c:pt idx="251">
                  <c:v>1228</c:v>
                </c:pt>
                <c:pt idx="252">
                  <c:v>1221</c:v>
                </c:pt>
                <c:pt idx="253">
                  <c:v>1301</c:v>
                </c:pt>
                <c:pt idx="254">
                  <c:v>1274</c:v>
                </c:pt>
                <c:pt idx="255">
                  <c:v>1221</c:v>
                </c:pt>
                <c:pt idx="256">
                  <c:v>1199</c:v>
                </c:pt>
                <c:pt idx="257">
                  <c:v>1225</c:v>
                </c:pt>
                <c:pt idx="258">
                  <c:v>1254</c:v>
                </c:pt>
                <c:pt idx="259">
                  <c:v>1292</c:v>
                </c:pt>
                <c:pt idx="260">
                  <c:v>1201</c:v>
                </c:pt>
                <c:pt idx="261">
                  <c:v>1199</c:v>
                </c:pt>
                <c:pt idx="262">
                  <c:v>1195</c:v>
                </c:pt>
                <c:pt idx="263">
                  <c:v>1209</c:v>
                </c:pt>
                <c:pt idx="264">
                  <c:v>1166</c:v>
                </c:pt>
                <c:pt idx="265">
                  <c:v>1139</c:v>
                </c:pt>
                <c:pt idx="266">
                  <c:v>1193</c:v>
                </c:pt>
                <c:pt idx="267">
                  <c:v>1166</c:v>
                </c:pt>
                <c:pt idx="268">
                  <c:v>1095</c:v>
                </c:pt>
                <c:pt idx="269">
                  <c:v>1259</c:v>
                </c:pt>
                <c:pt idx="270">
                  <c:v>1185</c:v>
                </c:pt>
                <c:pt idx="271">
                  <c:v>1134</c:v>
                </c:pt>
                <c:pt idx="272">
                  <c:v>1189</c:v>
                </c:pt>
                <c:pt idx="273">
                  <c:v>1162</c:v>
                </c:pt>
                <c:pt idx="274">
                  <c:v>1123</c:v>
                </c:pt>
                <c:pt idx="275">
                  <c:v>1204</c:v>
                </c:pt>
                <c:pt idx="276">
                  <c:v>1120</c:v>
                </c:pt>
                <c:pt idx="277">
                  <c:v>1130</c:v>
                </c:pt>
                <c:pt idx="278">
                  <c:v>1135</c:v>
                </c:pt>
                <c:pt idx="279">
                  <c:v>1122</c:v>
                </c:pt>
                <c:pt idx="280">
                  <c:v>1094</c:v>
                </c:pt>
                <c:pt idx="281">
                  <c:v>1099</c:v>
                </c:pt>
                <c:pt idx="282">
                  <c:v>1105</c:v>
                </c:pt>
                <c:pt idx="283">
                  <c:v>1148</c:v>
                </c:pt>
                <c:pt idx="284">
                  <c:v>1103</c:v>
                </c:pt>
                <c:pt idx="285">
                  <c:v>1163</c:v>
                </c:pt>
                <c:pt idx="286">
                  <c:v>1122</c:v>
                </c:pt>
                <c:pt idx="287">
                  <c:v>1092</c:v>
                </c:pt>
                <c:pt idx="288">
                  <c:v>1110</c:v>
                </c:pt>
                <c:pt idx="289">
                  <c:v>1093</c:v>
                </c:pt>
                <c:pt idx="290">
                  <c:v>1096</c:v>
                </c:pt>
                <c:pt idx="291">
                  <c:v>1146</c:v>
                </c:pt>
                <c:pt idx="292">
                  <c:v>1030</c:v>
                </c:pt>
                <c:pt idx="293">
                  <c:v>1064</c:v>
                </c:pt>
                <c:pt idx="294">
                  <c:v>1059</c:v>
                </c:pt>
                <c:pt idx="295">
                  <c:v>1082</c:v>
                </c:pt>
                <c:pt idx="296">
                  <c:v>1097</c:v>
                </c:pt>
                <c:pt idx="297">
                  <c:v>1047</c:v>
                </c:pt>
                <c:pt idx="298">
                  <c:v>1150</c:v>
                </c:pt>
                <c:pt idx="299">
                  <c:v>1066</c:v>
                </c:pt>
                <c:pt idx="300">
                  <c:v>1042</c:v>
                </c:pt>
                <c:pt idx="301">
                  <c:v>1038</c:v>
                </c:pt>
                <c:pt idx="302">
                  <c:v>1006</c:v>
                </c:pt>
                <c:pt idx="303">
                  <c:v>1037</c:v>
                </c:pt>
                <c:pt idx="304">
                  <c:v>1054</c:v>
                </c:pt>
                <c:pt idx="305">
                  <c:v>1049</c:v>
                </c:pt>
                <c:pt idx="306">
                  <c:v>982</c:v>
                </c:pt>
                <c:pt idx="307">
                  <c:v>1041</c:v>
                </c:pt>
                <c:pt idx="308">
                  <c:v>1076</c:v>
                </c:pt>
                <c:pt idx="309">
                  <c:v>1002</c:v>
                </c:pt>
                <c:pt idx="310">
                  <c:v>1050</c:v>
                </c:pt>
                <c:pt idx="311">
                  <c:v>1004</c:v>
                </c:pt>
                <c:pt idx="312">
                  <c:v>1006</c:v>
                </c:pt>
                <c:pt idx="313">
                  <c:v>1061</c:v>
                </c:pt>
                <c:pt idx="314">
                  <c:v>1007</c:v>
                </c:pt>
                <c:pt idx="315">
                  <c:v>999</c:v>
                </c:pt>
                <c:pt idx="316">
                  <c:v>1003</c:v>
                </c:pt>
                <c:pt idx="317">
                  <c:v>1025</c:v>
                </c:pt>
                <c:pt idx="318">
                  <c:v>981</c:v>
                </c:pt>
                <c:pt idx="319">
                  <c:v>1036</c:v>
                </c:pt>
                <c:pt idx="320">
                  <c:v>960</c:v>
                </c:pt>
                <c:pt idx="321">
                  <c:v>1005</c:v>
                </c:pt>
                <c:pt idx="322">
                  <c:v>988</c:v>
                </c:pt>
                <c:pt idx="323">
                  <c:v>1007</c:v>
                </c:pt>
                <c:pt idx="324">
                  <c:v>971</c:v>
                </c:pt>
                <c:pt idx="325">
                  <c:v>954</c:v>
                </c:pt>
                <c:pt idx="326">
                  <c:v>932</c:v>
                </c:pt>
                <c:pt idx="327">
                  <c:v>1037</c:v>
                </c:pt>
                <c:pt idx="328">
                  <c:v>962</c:v>
                </c:pt>
                <c:pt idx="329">
                  <c:v>962</c:v>
                </c:pt>
                <c:pt idx="330">
                  <c:v>963</c:v>
                </c:pt>
                <c:pt idx="331">
                  <c:v>911</c:v>
                </c:pt>
                <c:pt idx="332">
                  <c:v>949</c:v>
                </c:pt>
                <c:pt idx="333">
                  <c:v>937</c:v>
                </c:pt>
                <c:pt idx="334">
                  <c:v>935</c:v>
                </c:pt>
                <c:pt idx="335">
                  <c:v>978</c:v>
                </c:pt>
                <c:pt idx="336">
                  <c:v>954</c:v>
                </c:pt>
                <c:pt idx="337">
                  <c:v>936</c:v>
                </c:pt>
                <c:pt idx="338">
                  <c:v>896</c:v>
                </c:pt>
                <c:pt idx="339">
                  <c:v>901</c:v>
                </c:pt>
                <c:pt idx="340">
                  <c:v>906</c:v>
                </c:pt>
                <c:pt idx="341">
                  <c:v>933</c:v>
                </c:pt>
                <c:pt idx="342">
                  <c:v>910</c:v>
                </c:pt>
                <c:pt idx="343">
                  <c:v>905</c:v>
                </c:pt>
                <c:pt idx="344">
                  <c:v>965</c:v>
                </c:pt>
                <c:pt idx="345">
                  <c:v>885</c:v>
                </c:pt>
                <c:pt idx="346">
                  <c:v>882</c:v>
                </c:pt>
                <c:pt idx="347">
                  <c:v>881</c:v>
                </c:pt>
                <c:pt idx="348">
                  <c:v>942</c:v>
                </c:pt>
                <c:pt idx="349">
                  <c:v>961</c:v>
                </c:pt>
                <c:pt idx="350">
                  <c:v>920</c:v>
                </c:pt>
                <c:pt idx="351">
                  <c:v>926</c:v>
                </c:pt>
                <c:pt idx="352">
                  <c:v>844</c:v>
                </c:pt>
                <c:pt idx="353">
                  <c:v>870</c:v>
                </c:pt>
                <c:pt idx="354">
                  <c:v>910</c:v>
                </c:pt>
                <c:pt idx="355">
                  <c:v>878</c:v>
                </c:pt>
                <c:pt idx="356">
                  <c:v>861</c:v>
                </c:pt>
                <c:pt idx="357">
                  <c:v>881</c:v>
                </c:pt>
                <c:pt idx="358">
                  <c:v>825</c:v>
                </c:pt>
                <c:pt idx="359">
                  <c:v>960</c:v>
                </c:pt>
                <c:pt idx="360">
                  <c:v>893</c:v>
                </c:pt>
                <c:pt idx="361">
                  <c:v>873</c:v>
                </c:pt>
                <c:pt idx="362">
                  <c:v>893</c:v>
                </c:pt>
                <c:pt idx="363">
                  <c:v>953</c:v>
                </c:pt>
                <c:pt idx="364">
                  <c:v>873</c:v>
                </c:pt>
                <c:pt idx="365">
                  <c:v>860</c:v>
                </c:pt>
                <c:pt idx="366">
                  <c:v>854</c:v>
                </c:pt>
                <c:pt idx="367">
                  <c:v>886</c:v>
                </c:pt>
                <c:pt idx="368">
                  <c:v>869</c:v>
                </c:pt>
                <c:pt idx="369">
                  <c:v>876</c:v>
                </c:pt>
                <c:pt idx="370">
                  <c:v>820</c:v>
                </c:pt>
                <c:pt idx="371">
                  <c:v>848</c:v>
                </c:pt>
                <c:pt idx="372">
                  <c:v>831</c:v>
                </c:pt>
                <c:pt idx="373">
                  <c:v>842</c:v>
                </c:pt>
                <c:pt idx="374">
                  <c:v>822</c:v>
                </c:pt>
                <c:pt idx="375">
                  <c:v>752</c:v>
                </c:pt>
                <c:pt idx="376">
                  <c:v>804</c:v>
                </c:pt>
                <c:pt idx="377">
                  <c:v>869</c:v>
                </c:pt>
                <c:pt idx="378">
                  <c:v>897</c:v>
                </c:pt>
                <c:pt idx="379">
                  <c:v>822</c:v>
                </c:pt>
                <c:pt idx="380">
                  <c:v>831</c:v>
                </c:pt>
                <c:pt idx="381">
                  <c:v>828</c:v>
                </c:pt>
                <c:pt idx="382">
                  <c:v>826</c:v>
                </c:pt>
                <c:pt idx="383">
                  <c:v>793</c:v>
                </c:pt>
                <c:pt idx="384">
                  <c:v>816</c:v>
                </c:pt>
                <c:pt idx="385">
                  <c:v>843</c:v>
                </c:pt>
                <c:pt idx="386">
                  <c:v>795</c:v>
                </c:pt>
                <c:pt idx="387">
                  <c:v>840</c:v>
                </c:pt>
                <c:pt idx="388">
                  <c:v>852</c:v>
                </c:pt>
                <c:pt idx="389">
                  <c:v>776</c:v>
                </c:pt>
                <c:pt idx="390">
                  <c:v>767</c:v>
                </c:pt>
                <c:pt idx="391">
                  <c:v>797</c:v>
                </c:pt>
                <c:pt idx="392">
                  <c:v>793</c:v>
                </c:pt>
                <c:pt idx="393">
                  <c:v>820</c:v>
                </c:pt>
                <c:pt idx="394">
                  <c:v>799</c:v>
                </c:pt>
                <c:pt idx="395">
                  <c:v>814</c:v>
                </c:pt>
                <c:pt idx="396">
                  <c:v>780</c:v>
                </c:pt>
                <c:pt idx="397">
                  <c:v>815</c:v>
                </c:pt>
                <c:pt idx="398">
                  <c:v>821</c:v>
                </c:pt>
                <c:pt idx="399">
                  <c:v>775</c:v>
                </c:pt>
                <c:pt idx="400">
                  <c:v>740</c:v>
                </c:pt>
                <c:pt idx="401">
                  <c:v>842</c:v>
                </c:pt>
                <c:pt idx="402">
                  <c:v>797</c:v>
                </c:pt>
                <c:pt idx="403">
                  <c:v>746</c:v>
                </c:pt>
                <c:pt idx="404">
                  <c:v>761</c:v>
                </c:pt>
                <c:pt idx="405">
                  <c:v>758</c:v>
                </c:pt>
                <c:pt idx="406">
                  <c:v>797</c:v>
                </c:pt>
                <c:pt idx="407">
                  <c:v>863</c:v>
                </c:pt>
                <c:pt idx="408">
                  <c:v>773</c:v>
                </c:pt>
                <c:pt idx="409">
                  <c:v>783</c:v>
                </c:pt>
                <c:pt idx="410">
                  <c:v>768</c:v>
                </c:pt>
                <c:pt idx="411">
                  <c:v>732</c:v>
                </c:pt>
                <c:pt idx="412">
                  <c:v>762</c:v>
                </c:pt>
                <c:pt idx="413">
                  <c:v>758</c:v>
                </c:pt>
                <c:pt idx="414">
                  <c:v>748</c:v>
                </c:pt>
                <c:pt idx="415">
                  <c:v>710</c:v>
                </c:pt>
                <c:pt idx="416">
                  <c:v>774</c:v>
                </c:pt>
                <c:pt idx="417">
                  <c:v>800</c:v>
                </c:pt>
                <c:pt idx="418">
                  <c:v>753</c:v>
                </c:pt>
                <c:pt idx="419">
                  <c:v>793</c:v>
                </c:pt>
                <c:pt idx="420">
                  <c:v>766</c:v>
                </c:pt>
                <c:pt idx="421">
                  <c:v>704</c:v>
                </c:pt>
                <c:pt idx="422">
                  <c:v>740</c:v>
                </c:pt>
                <c:pt idx="423">
                  <c:v>762</c:v>
                </c:pt>
                <c:pt idx="424">
                  <c:v>778</c:v>
                </c:pt>
                <c:pt idx="425">
                  <c:v>725</c:v>
                </c:pt>
                <c:pt idx="426">
                  <c:v>730</c:v>
                </c:pt>
                <c:pt idx="427">
                  <c:v>768</c:v>
                </c:pt>
                <c:pt idx="428">
                  <c:v>742</c:v>
                </c:pt>
                <c:pt idx="429">
                  <c:v>754</c:v>
                </c:pt>
                <c:pt idx="430">
                  <c:v>709</c:v>
                </c:pt>
                <c:pt idx="431">
                  <c:v>742</c:v>
                </c:pt>
                <c:pt idx="432">
                  <c:v>717</c:v>
                </c:pt>
                <c:pt idx="433">
                  <c:v>717</c:v>
                </c:pt>
                <c:pt idx="434">
                  <c:v>754</c:v>
                </c:pt>
                <c:pt idx="435">
                  <c:v>732</c:v>
                </c:pt>
                <c:pt idx="436">
                  <c:v>718</c:v>
                </c:pt>
                <c:pt idx="437">
                  <c:v>743</c:v>
                </c:pt>
                <c:pt idx="438">
                  <c:v>713</c:v>
                </c:pt>
                <c:pt idx="439">
                  <c:v>709</c:v>
                </c:pt>
                <c:pt idx="440">
                  <c:v>682</c:v>
                </c:pt>
                <c:pt idx="441">
                  <c:v>707</c:v>
                </c:pt>
                <c:pt idx="442">
                  <c:v>733</c:v>
                </c:pt>
                <c:pt idx="443">
                  <c:v>733</c:v>
                </c:pt>
                <c:pt idx="444">
                  <c:v>705</c:v>
                </c:pt>
                <c:pt idx="445">
                  <c:v>745</c:v>
                </c:pt>
                <c:pt idx="446">
                  <c:v>660</c:v>
                </c:pt>
                <c:pt idx="447">
                  <c:v>696</c:v>
                </c:pt>
                <c:pt idx="448">
                  <c:v>719</c:v>
                </c:pt>
                <c:pt idx="449">
                  <c:v>699</c:v>
                </c:pt>
                <c:pt idx="450">
                  <c:v>734</c:v>
                </c:pt>
                <c:pt idx="451">
                  <c:v>665</c:v>
                </c:pt>
                <c:pt idx="452">
                  <c:v>617</c:v>
                </c:pt>
                <c:pt idx="453">
                  <c:v>698</c:v>
                </c:pt>
                <c:pt idx="454">
                  <c:v>732</c:v>
                </c:pt>
                <c:pt idx="455">
                  <c:v>728</c:v>
                </c:pt>
                <c:pt idx="456">
                  <c:v>674</c:v>
                </c:pt>
                <c:pt idx="457">
                  <c:v>623</c:v>
                </c:pt>
                <c:pt idx="458">
                  <c:v>629</c:v>
                </c:pt>
                <c:pt idx="459">
                  <c:v>667</c:v>
                </c:pt>
                <c:pt idx="460">
                  <c:v>718</c:v>
                </c:pt>
                <c:pt idx="461">
                  <c:v>740</c:v>
                </c:pt>
                <c:pt idx="462">
                  <c:v>656</c:v>
                </c:pt>
                <c:pt idx="463">
                  <c:v>693</c:v>
                </c:pt>
                <c:pt idx="464">
                  <c:v>686</c:v>
                </c:pt>
                <c:pt idx="465">
                  <c:v>667</c:v>
                </c:pt>
                <c:pt idx="466">
                  <c:v>652</c:v>
                </c:pt>
                <c:pt idx="467">
                  <c:v>656</c:v>
                </c:pt>
                <c:pt idx="468">
                  <c:v>669</c:v>
                </c:pt>
                <c:pt idx="469">
                  <c:v>624</c:v>
                </c:pt>
                <c:pt idx="470">
                  <c:v>702</c:v>
                </c:pt>
                <c:pt idx="471">
                  <c:v>713</c:v>
                </c:pt>
                <c:pt idx="472">
                  <c:v>676</c:v>
                </c:pt>
                <c:pt idx="473">
                  <c:v>661</c:v>
                </c:pt>
                <c:pt idx="474">
                  <c:v>643</c:v>
                </c:pt>
                <c:pt idx="475">
                  <c:v>692</c:v>
                </c:pt>
                <c:pt idx="476">
                  <c:v>672</c:v>
                </c:pt>
                <c:pt idx="477">
                  <c:v>632</c:v>
                </c:pt>
                <c:pt idx="478">
                  <c:v>666</c:v>
                </c:pt>
                <c:pt idx="479">
                  <c:v>715</c:v>
                </c:pt>
                <c:pt idx="480">
                  <c:v>629</c:v>
                </c:pt>
                <c:pt idx="481">
                  <c:v>672</c:v>
                </c:pt>
                <c:pt idx="482">
                  <c:v>648</c:v>
                </c:pt>
                <c:pt idx="483">
                  <c:v>671</c:v>
                </c:pt>
                <c:pt idx="484">
                  <c:v>632</c:v>
                </c:pt>
                <c:pt idx="485">
                  <c:v>627</c:v>
                </c:pt>
                <c:pt idx="486">
                  <c:v>659</c:v>
                </c:pt>
                <c:pt idx="487">
                  <c:v>669</c:v>
                </c:pt>
                <c:pt idx="488">
                  <c:v>648</c:v>
                </c:pt>
                <c:pt idx="489">
                  <c:v>651</c:v>
                </c:pt>
                <c:pt idx="490">
                  <c:v>657</c:v>
                </c:pt>
                <c:pt idx="491">
                  <c:v>628</c:v>
                </c:pt>
                <c:pt idx="492">
                  <c:v>609</c:v>
                </c:pt>
                <c:pt idx="493">
                  <c:v>614</c:v>
                </c:pt>
                <c:pt idx="494">
                  <c:v>649</c:v>
                </c:pt>
                <c:pt idx="495">
                  <c:v>620</c:v>
                </c:pt>
                <c:pt idx="496">
                  <c:v>624</c:v>
                </c:pt>
                <c:pt idx="497">
                  <c:v>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1-4875-B88C-B488B95351CA}"/>
            </c:ext>
          </c:extLst>
        </c:ser>
        <c:ser>
          <c:idx val="1"/>
          <c:order val="1"/>
          <c:tx>
            <c:strRef>
              <c:f>'sheet 1'!$V$37</c:f>
              <c:strCache>
                <c:ptCount val="1"/>
                <c:pt idx="0">
                  <c:v>Theoretical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diamond"/>
            <c:size val="4"/>
          </c:marker>
          <c:xVal>
            <c:numRef>
              <c:f>'sheet 1'!$B$39:$B$840</c:f>
              <c:numCache>
                <c:formatCode>General</c:formatCode>
                <c:ptCount val="802"/>
                <c:pt idx="0">
                  <c:v>0</c:v>
                </c:pt>
                <c:pt idx="1">
                  <c:v>0.30000000000001137</c:v>
                </c:pt>
                <c:pt idx="2">
                  <c:v>0.60000000000000853</c:v>
                </c:pt>
                <c:pt idx="3">
                  <c:v>0.90000000000000568</c:v>
                </c:pt>
                <c:pt idx="4">
                  <c:v>1.3000000000000114</c:v>
                </c:pt>
                <c:pt idx="5">
                  <c:v>1.6000000000000085</c:v>
                </c:pt>
                <c:pt idx="6">
                  <c:v>1.9000000000000057</c:v>
                </c:pt>
                <c:pt idx="7">
                  <c:v>2.2000000000000028</c:v>
                </c:pt>
                <c:pt idx="8">
                  <c:v>2.5</c:v>
                </c:pt>
                <c:pt idx="9">
                  <c:v>2.8000000000000114</c:v>
                </c:pt>
                <c:pt idx="10">
                  <c:v>3.1000000000000085</c:v>
                </c:pt>
                <c:pt idx="11">
                  <c:v>3.5</c:v>
                </c:pt>
                <c:pt idx="12">
                  <c:v>3.8000000000000114</c:v>
                </c:pt>
                <c:pt idx="13">
                  <c:v>4.1000000000000085</c:v>
                </c:pt>
                <c:pt idx="14">
                  <c:v>4.4000000000000057</c:v>
                </c:pt>
                <c:pt idx="15">
                  <c:v>4.7000000000000028</c:v>
                </c:pt>
                <c:pt idx="16">
                  <c:v>5</c:v>
                </c:pt>
                <c:pt idx="17">
                  <c:v>5.4000000000000057</c:v>
                </c:pt>
                <c:pt idx="18">
                  <c:v>5.7000000000000028</c:v>
                </c:pt>
                <c:pt idx="19">
                  <c:v>6</c:v>
                </c:pt>
                <c:pt idx="20">
                  <c:v>6.3000000000000114</c:v>
                </c:pt>
                <c:pt idx="21">
                  <c:v>6.6000000000000085</c:v>
                </c:pt>
                <c:pt idx="22">
                  <c:v>6.9000000000000057</c:v>
                </c:pt>
                <c:pt idx="23">
                  <c:v>7.2000000000000028</c:v>
                </c:pt>
                <c:pt idx="24">
                  <c:v>7.6000000000000085</c:v>
                </c:pt>
                <c:pt idx="25">
                  <c:v>7.9000000000000057</c:v>
                </c:pt>
                <c:pt idx="26">
                  <c:v>8.2000000000000028</c:v>
                </c:pt>
                <c:pt idx="27">
                  <c:v>8.5</c:v>
                </c:pt>
                <c:pt idx="28">
                  <c:v>8.8000000000000114</c:v>
                </c:pt>
                <c:pt idx="29">
                  <c:v>9.1000000000000085</c:v>
                </c:pt>
                <c:pt idx="30">
                  <c:v>9.4000000000000057</c:v>
                </c:pt>
                <c:pt idx="31">
                  <c:v>9.8000000000000114</c:v>
                </c:pt>
                <c:pt idx="32">
                  <c:v>10.100000000000009</c:v>
                </c:pt>
                <c:pt idx="33">
                  <c:v>10.400000000000006</c:v>
                </c:pt>
                <c:pt idx="34">
                  <c:v>10.700000000000003</c:v>
                </c:pt>
                <c:pt idx="35">
                  <c:v>11</c:v>
                </c:pt>
                <c:pt idx="36">
                  <c:v>11.300000000000011</c:v>
                </c:pt>
                <c:pt idx="37">
                  <c:v>11.700000000000003</c:v>
                </c:pt>
                <c:pt idx="38">
                  <c:v>12</c:v>
                </c:pt>
                <c:pt idx="39">
                  <c:v>12.300000000000011</c:v>
                </c:pt>
                <c:pt idx="40">
                  <c:v>12.600000000000009</c:v>
                </c:pt>
                <c:pt idx="41">
                  <c:v>12.900000000000006</c:v>
                </c:pt>
                <c:pt idx="42">
                  <c:v>13.200000000000003</c:v>
                </c:pt>
                <c:pt idx="43">
                  <c:v>13.5</c:v>
                </c:pt>
                <c:pt idx="44">
                  <c:v>13.900000000000006</c:v>
                </c:pt>
                <c:pt idx="45">
                  <c:v>14.200000000000003</c:v>
                </c:pt>
                <c:pt idx="46">
                  <c:v>14.5</c:v>
                </c:pt>
                <c:pt idx="47">
                  <c:v>14.800000000000011</c:v>
                </c:pt>
                <c:pt idx="48">
                  <c:v>15.100000000000009</c:v>
                </c:pt>
                <c:pt idx="49">
                  <c:v>15.400000000000006</c:v>
                </c:pt>
                <c:pt idx="50">
                  <c:v>15.700000000000003</c:v>
                </c:pt>
                <c:pt idx="51">
                  <c:v>16.100000000000009</c:v>
                </c:pt>
                <c:pt idx="52">
                  <c:v>16.400000000000006</c:v>
                </c:pt>
                <c:pt idx="53">
                  <c:v>16.700000000000003</c:v>
                </c:pt>
                <c:pt idx="54">
                  <c:v>17</c:v>
                </c:pt>
                <c:pt idx="55">
                  <c:v>17.300000000000011</c:v>
                </c:pt>
                <c:pt idx="56">
                  <c:v>17.600000000000009</c:v>
                </c:pt>
                <c:pt idx="57">
                  <c:v>18</c:v>
                </c:pt>
                <c:pt idx="58">
                  <c:v>18.300000000000011</c:v>
                </c:pt>
                <c:pt idx="59">
                  <c:v>18.600000000000009</c:v>
                </c:pt>
                <c:pt idx="60">
                  <c:v>18.900000000000006</c:v>
                </c:pt>
                <c:pt idx="61">
                  <c:v>19.200000000000003</c:v>
                </c:pt>
                <c:pt idx="62">
                  <c:v>19.5</c:v>
                </c:pt>
                <c:pt idx="63">
                  <c:v>19.800000000000011</c:v>
                </c:pt>
                <c:pt idx="64">
                  <c:v>20.200000000000003</c:v>
                </c:pt>
                <c:pt idx="65">
                  <c:v>20.5</c:v>
                </c:pt>
                <c:pt idx="66">
                  <c:v>20.800000000000011</c:v>
                </c:pt>
                <c:pt idx="67">
                  <c:v>21.100000000000009</c:v>
                </c:pt>
                <c:pt idx="68">
                  <c:v>21.400000000000006</c:v>
                </c:pt>
                <c:pt idx="69">
                  <c:v>21.700000000000003</c:v>
                </c:pt>
                <c:pt idx="70">
                  <c:v>22.100000000000009</c:v>
                </c:pt>
                <c:pt idx="71">
                  <c:v>22.400000000000006</c:v>
                </c:pt>
                <c:pt idx="72">
                  <c:v>22.700000000000003</c:v>
                </c:pt>
                <c:pt idx="73">
                  <c:v>23</c:v>
                </c:pt>
                <c:pt idx="74">
                  <c:v>23.300000000000011</c:v>
                </c:pt>
                <c:pt idx="75">
                  <c:v>23.600000000000009</c:v>
                </c:pt>
                <c:pt idx="76">
                  <c:v>23.900000000000006</c:v>
                </c:pt>
                <c:pt idx="77">
                  <c:v>24.300000000000011</c:v>
                </c:pt>
                <c:pt idx="78">
                  <c:v>24.600000000000009</c:v>
                </c:pt>
                <c:pt idx="79">
                  <c:v>24.900000000000006</c:v>
                </c:pt>
                <c:pt idx="80">
                  <c:v>25.200000000000003</c:v>
                </c:pt>
                <c:pt idx="81">
                  <c:v>25.5</c:v>
                </c:pt>
                <c:pt idx="82">
                  <c:v>25.800000000000011</c:v>
                </c:pt>
                <c:pt idx="83">
                  <c:v>26.100000000000009</c:v>
                </c:pt>
                <c:pt idx="84">
                  <c:v>26.5</c:v>
                </c:pt>
                <c:pt idx="85">
                  <c:v>26.800000000000011</c:v>
                </c:pt>
                <c:pt idx="86">
                  <c:v>27.100000000000009</c:v>
                </c:pt>
                <c:pt idx="87">
                  <c:v>27.400000000000006</c:v>
                </c:pt>
                <c:pt idx="88">
                  <c:v>27.700000000000003</c:v>
                </c:pt>
                <c:pt idx="89">
                  <c:v>28</c:v>
                </c:pt>
                <c:pt idx="90">
                  <c:v>28.400000000000006</c:v>
                </c:pt>
                <c:pt idx="91">
                  <c:v>28.700000000000003</c:v>
                </c:pt>
                <c:pt idx="92">
                  <c:v>29</c:v>
                </c:pt>
                <c:pt idx="93">
                  <c:v>29.300000000000011</c:v>
                </c:pt>
                <c:pt idx="94">
                  <c:v>29.600000000000009</c:v>
                </c:pt>
                <c:pt idx="95">
                  <c:v>29.900000000000006</c:v>
                </c:pt>
                <c:pt idx="96">
                  <c:v>30.200000000000003</c:v>
                </c:pt>
                <c:pt idx="97">
                  <c:v>30.600000000000009</c:v>
                </c:pt>
                <c:pt idx="98">
                  <c:v>30.900000000000006</c:v>
                </c:pt>
                <c:pt idx="99">
                  <c:v>31.200000000000003</c:v>
                </c:pt>
                <c:pt idx="100">
                  <c:v>31.5</c:v>
                </c:pt>
                <c:pt idx="101">
                  <c:v>31.800000000000011</c:v>
                </c:pt>
                <c:pt idx="102">
                  <c:v>32.100000000000009</c:v>
                </c:pt>
                <c:pt idx="103">
                  <c:v>32.400000000000006</c:v>
                </c:pt>
                <c:pt idx="104">
                  <c:v>32.800000000000011</c:v>
                </c:pt>
                <c:pt idx="105">
                  <c:v>33.100000000000009</c:v>
                </c:pt>
                <c:pt idx="106">
                  <c:v>33.400000000000006</c:v>
                </c:pt>
                <c:pt idx="107">
                  <c:v>33.700000000000003</c:v>
                </c:pt>
                <c:pt idx="108">
                  <c:v>34</c:v>
                </c:pt>
                <c:pt idx="109">
                  <c:v>34.300000000000011</c:v>
                </c:pt>
                <c:pt idx="110">
                  <c:v>34.700000000000003</c:v>
                </c:pt>
                <c:pt idx="111">
                  <c:v>35</c:v>
                </c:pt>
                <c:pt idx="112">
                  <c:v>35.300000000000011</c:v>
                </c:pt>
                <c:pt idx="113">
                  <c:v>35.600000000000009</c:v>
                </c:pt>
                <c:pt idx="114">
                  <c:v>35.900000000000006</c:v>
                </c:pt>
                <c:pt idx="115">
                  <c:v>36.200000000000003</c:v>
                </c:pt>
                <c:pt idx="116">
                  <c:v>36.5</c:v>
                </c:pt>
                <c:pt idx="117">
                  <c:v>36.900000000000006</c:v>
                </c:pt>
                <c:pt idx="118">
                  <c:v>37.200000000000003</c:v>
                </c:pt>
                <c:pt idx="119">
                  <c:v>37.5</c:v>
                </c:pt>
                <c:pt idx="120">
                  <c:v>37.800000000000011</c:v>
                </c:pt>
                <c:pt idx="121">
                  <c:v>38.100000000000009</c:v>
                </c:pt>
                <c:pt idx="122">
                  <c:v>38.400000000000006</c:v>
                </c:pt>
                <c:pt idx="123">
                  <c:v>38.700000000000003</c:v>
                </c:pt>
                <c:pt idx="124">
                  <c:v>39.100000000000009</c:v>
                </c:pt>
                <c:pt idx="125">
                  <c:v>39.400000000000006</c:v>
                </c:pt>
                <c:pt idx="126">
                  <c:v>39.700000000000003</c:v>
                </c:pt>
                <c:pt idx="127">
                  <c:v>40</c:v>
                </c:pt>
                <c:pt idx="128">
                  <c:v>40.300000000000011</c:v>
                </c:pt>
                <c:pt idx="129">
                  <c:v>40.600000000000009</c:v>
                </c:pt>
                <c:pt idx="130">
                  <c:v>41</c:v>
                </c:pt>
                <c:pt idx="131">
                  <c:v>41.300000000000011</c:v>
                </c:pt>
                <c:pt idx="132">
                  <c:v>41.600000000000009</c:v>
                </c:pt>
                <c:pt idx="133">
                  <c:v>41.900000000000006</c:v>
                </c:pt>
                <c:pt idx="134">
                  <c:v>42.2</c:v>
                </c:pt>
                <c:pt idx="135">
                  <c:v>42.5</c:v>
                </c:pt>
                <c:pt idx="136">
                  <c:v>42.800000000000011</c:v>
                </c:pt>
                <c:pt idx="137">
                  <c:v>43.2</c:v>
                </c:pt>
                <c:pt idx="138">
                  <c:v>43.5</c:v>
                </c:pt>
                <c:pt idx="139">
                  <c:v>43.800000000000011</c:v>
                </c:pt>
                <c:pt idx="140">
                  <c:v>44.100000000000009</c:v>
                </c:pt>
                <c:pt idx="141">
                  <c:v>44.400000000000006</c:v>
                </c:pt>
                <c:pt idx="142">
                  <c:v>44.7</c:v>
                </c:pt>
                <c:pt idx="143">
                  <c:v>45.100000000000009</c:v>
                </c:pt>
                <c:pt idx="144">
                  <c:v>45.400000000000006</c:v>
                </c:pt>
                <c:pt idx="145">
                  <c:v>45.7</c:v>
                </c:pt>
                <c:pt idx="146">
                  <c:v>46</c:v>
                </c:pt>
                <c:pt idx="147">
                  <c:v>46.300000000000011</c:v>
                </c:pt>
                <c:pt idx="148">
                  <c:v>46.600000000000009</c:v>
                </c:pt>
                <c:pt idx="149">
                  <c:v>46.900000000000006</c:v>
                </c:pt>
                <c:pt idx="150">
                  <c:v>47.300000000000011</c:v>
                </c:pt>
                <c:pt idx="151">
                  <c:v>47.600000000000009</c:v>
                </c:pt>
                <c:pt idx="152">
                  <c:v>47.900000000000006</c:v>
                </c:pt>
                <c:pt idx="153">
                  <c:v>48.2</c:v>
                </c:pt>
                <c:pt idx="154">
                  <c:v>48.5</c:v>
                </c:pt>
                <c:pt idx="155">
                  <c:v>48.800000000000011</c:v>
                </c:pt>
                <c:pt idx="156">
                  <c:v>49.100000000000009</c:v>
                </c:pt>
                <c:pt idx="157">
                  <c:v>49.5</c:v>
                </c:pt>
                <c:pt idx="158">
                  <c:v>49.800000000000011</c:v>
                </c:pt>
                <c:pt idx="159">
                  <c:v>50.100000000000009</c:v>
                </c:pt>
                <c:pt idx="160">
                  <c:v>50.400000000000006</c:v>
                </c:pt>
                <c:pt idx="161">
                  <c:v>50.7</c:v>
                </c:pt>
                <c:pt idx="162">
                  <c:v>51</c:v>
                </c:pt>
                <c:pt idx="163">
                  <c:v>51.400000000000006</c:v>
                </c:pt>
                <c:pt idx="164">
                  <c:v>51.7</c:v>
                </c:pt>
                <c:pt idx="165">
                  <c:v>52</c:v>
                </c:pt>
                <c:pt idx="166">
                  <c:v>52.300000000000011</c:v>
                </c:pt>
                <c:pt idx="167">
                  <c:v>52.600000000000009</c:v>
                </c:pt>
                <c:pt idx="168">
                  <c:v>52.900000000000006</c:v>
                </c:pt>
                <c:pt idx="169">
                  <c:v>53.2</c:v>
                </c:pt>
                <c:pt idx="170">
                  <c:v>53.600000000000009</c:v>
                </c:pt>
                <c:pt idx="171">
                  <c:v>53.900000000000006</c:v>
                </c:pt>
                <c:pt idx="172">
                  <c:v>54.2</c:v>
                </c:pt>
                <c:pt idx="173">
                  <c:v>54.5</c:v>
                </c:pt>
                <c:pt idx="174">
                  <c:v>54.800000000000011</c:v>
                </c:pt>
                <c:pt idx="175">
                  <c:v>55.099999999999994</c:v>
                </c:pt>
                <c:pt idx="176">
                  <c:v>55.400000000000006</c:v>
                </c:pt>
                <c:pt idx="177">
                  <c:v>55.800000000000011</c:v>
                </c:pt>
                <c:pt idx="178">
                  <c:v>56.099999999999994</c:v>
                </c:pt>
                <c:pt idx="179">
                  <c:v>56.400000000000006</c:v>
                </c:pt>
                <c:pt idx="180">
                  <c:v>56.700000000000017</c:v>
                </c:pt>
                <c:pt idx="181">
                  <c:v>57</c:v>
                </c:pt>
                <c:pt idx="182">
                  <c:v>57.300000000000011</c:v>
                </c:pt>
                <c:pt idx="183">
                  <c:v>57.700000000000017</c:v>
                </c:pt>
                <c:pt idx="184">
                  <c:v>58</c:v>
                </c:pt>
                <c:pt idx="185">
                  <c:v>58.300000000000011</c:v>
                </c:pt>
                <c:pt idx="186">
                  <c:v>58.599999999999994</c:v>
                </c:pt>
                <c:pt idx="187">
                  <c:v>58.900000000000006</c:v>
                </c:pt>
                <c:pt idx="188">
                  <c:v>59.200000000000017</c:v>
                </c:pt>
                <c:pt idx="189">
                  <c:v>59.5</c:v>
                </c:pt>
                <c:pt idx="190">
                  <c:v>59.900000000000006</c:v>
                </c:pt>
                <c:pt idx="191">
                  <c:v>60.200000000000017</c:v>
                </c:pt>
                <c:pt idx="192">
                  <c:v>60.5</c:v>
                </c:pt>
                <c:pt idx="193">
                  <c:v>60.800000000000011</c:v>
                </c:pt>
                <c:pt idx="194">
                  <c:v>61.099999999999994</c:v>
                </c:pt>
                <c:pt idx="195">
                  <c:v>61.400000000000006</c:v>
                </c:pt>
                <c:pt idx="196">
                  <c:v>61.700000000000017</c:v>
                </c:pt>
                <c:pt idx="197">
                  <c:v>62.099999999999994</c:v>
                </c:pt>
                <c:pt idx="198">
                  <c:v>62.400000000000006</c:v>
                </c:pt>
                <c:pt idx="199">
                  <c:v>62.700000000000017</c:v>
                </c:pt>
                <c:pt idx="200">
                  <c:v>63</c:v>
                </c:pt>
                <c:pt idx="201">
                  <c:v>63.300000000000011</c:v>
                </c:pt>
                <c:pt idx="202">
                  <c:v>63.599999999999994</c:v>
                </c:pt>
                <c:pt idx="203">
                  <c:v>64</c:v>
                </c:pt>
                <c:pt idx="204">
                  <c:v>64.300000000000011</c:v>
                </c:pt>
                <c:pt idx="205">
                  <c:v>64.599999999999994</c:v>
                </c:pt>
                <c:pt idx="206">
                  <c:v>64.900000000000006</c:v>
                </c:pt>
                <c:pt idx="207">
                  <c:v>65.200000000000017</c:v>
                </c:pt>
                <c:pt idx="208">
                  <c:v>65.5</c:v>
                </c:pt>
                <c:pt idx="209">
                  <c:v>65.800000000000011</c:v>
                </c:pt>
                <c:pt idx="210">
                  <c:v>66.200000000000017</c:v>
                </c:pt>
                <c:pt idx="211">
                  <c:v>66.5</c:v>
                </c:pt>
                <c:pt idx="212">
                  <c:v>66.800000000000011</c:v>
                </c:pt>
                <c:pt idx="213">
                  <c:v>67.099999999999994</c:v>
                </c:pt>
                <c:pt idx="214">
                  <c:v>67.400000000000006</c:v>
                </c:pt>
                <c:pt idx="215">
                  <c:v>67.700000000000017</c:v>
                </c:pt>
                <c:pt idx="216">
                  <c:v>68.099999999999994</c:v>
                </c:pt>
                <c:pt idx="217">
                  <c:v>68.400000000000006</c:v>
                </c:pt>
                <c:pt idx="218">
                  <c:v>68.700000000000017</c:v>
                </c:pt>
                <c:pt idx="219">
                  <c:v>69</c:v>
                </c:pt>
                <c:pt idx="220">
                  <c:v>69.300000000000011</c:v>
                </c:pt>
                <c:pt idx="221">
                  <c:v>69.599999999999994</c:v>
                </c:pt>
                <c:pt idx="222">
                  <c:v>69.900000000000006</c:v>
                </c:pt>
                <c:pt idx="223">
                  <c:v>70.300000000000011</c:v>
                </c:pt>
                <c:pt idx="224">
                  <c:v>70.599999999999994</c:v>
                </c:pt>
                <c:pt idx="225">
                  <c:v>70.900000000000006</c:v>
                </c:pt>
                <c:pt idx="226">
                  <c:v>71.200000000000017</c:v>
                </c:pt>
                <c:pt idx="227">
                  <c:v>71.5</c:v>
                </c:pt>
                <c:pt idx="228">
                  <c:v>71.800000000000011</c:v>
                </c:pt>
                <c:pt idx="229">
                  <c:v>72.099999999999994</c:v>
                </c:pt>
                <c:pt idx="230">
                  <c:v>72.5</c:v>
                </c:pt>
                <c:pt idx="231">
                  <c:v>72.800000000000011</c:v>
                </c:pt>
                <c:pt idx="232">
                  <c:v>73.099999999999994</c:v>
                </c:pt>
                <c:pt idx="233">
                  <c:v>73.400000000000006</c:v>
                </c:pt>
                <c:pt idx="234">
                  <c:v>73.700000000000017</c:v>
                </c:pt>
                <c:pt idx="235">
                  <c:v>74</c:v>
                </c:pt>
                <c:pt idx="236">
                  <c:v>74.400000000000006</c:v>
                </c:pt>
                <c:pt idx="237">
                  <c:v>74.700000000000017</c:v>
                </c:pt>
                <c:pt idx="238">
                  <c:v>75</c:v>
                </c:pt>
                <c:pt idx="239">
                  <c:v>75.300000000000011</c:v>
                </c:pt>
                <c:pt idx="240">
                  <c:v>75.599999999999994</c:v>
                </c:pt>
                <c:pt idx="241">
                  <c:v>75.900000000000006</c:v>
                </c:pt>
                <c:pt idx="242">
                  <c:v>76.200000000000017</c:v>
                </c:pt>
                <c:pt idx="243">
                  <c:v>76.599999999999994</c:v>
                </c:pt>
                <c:pt idx="244">
                  <c:v>76.900000000000006</c:v>
                </c:pt>
                <c:pt idx="245">
                  <c:v>77.200000000000017</c:v>
                </c:pt>
                <c:pt idx="246">
                  <c:v>77.5</c:v>
                </c:pt>
                <c:pt idx="247">
                  <c:v>77.800000000000011</c:v>
                </c:pt>
                <c:pt idx="248">
                  <c:v>78.099999999999994</c:v>
                </c:pt>
                <c:pt idx="249">
                  <c:v>78.400000000000006</c:v>
                </c:pt>
                <c:pt idx="250">
                  <c:v>78.800000000000011</c:v>
                </c:pt>
                <c:pt idx="251">
                  <c:v>79.099999999999994</c:v>
                </c:pt>
                <c:pt idx="252">
                  <c:v>79.400000000000006</c:v>
                </c:pt>
                <c:pt idx="253">
                  <c:v>79.700000000000017</c:v>
                </c:pt>
                <c:pt idx="254">
                  <c:v>80</c:v>
                </c:pt>
                <c:pt idx="255">
                  <c:v>80.300000000000011</c:v>
                </c:pt>
                <c:pt idx="256">
                  <c:v>80.700000000000017</c:v>
                </c:pt>
                <c:pt idx="257">
                  <c:v>81</c:v>
                </c:pt>
                <c:pt idx="258">
                  <c:v>81.300000000000011</c:v>
                </c:pt>
                <c:pt idx="259">
                  <c:v>81.599999999999994</c:v>
                </c:pt>
                <c:pt idx="260">
                  <c:v>81.900000000000006</c:v>
                </c:pt>
                <c:pt idx="261">
                  <c:v>82.200000000000017</c:v>
                </c:pt>
                <c:pt idx="262">
                  <c:v>82.5</c:v>
                </c:pt>
                <c:pt idx="263">
                  <c:v>82.9</c:v>
                </c:pt>
                <c:pt idx="264">
                  <c:v>83.200000000000017</c:v>
                </c:pt>
                <c:pt idx="265">
                  <c:v>83.5</c:v>
                </c:pt>
                <c:pt idx="266">
                  <c:v>83.800000000000011</c:v>
                </c:pt>
                <c:pt idx="267">
                  <c:v>84.1</c:v>
                </c:pt>
                <c:pt idx="268">
                  <c:v>84.4</c:v>
                </c:pt>
                <c:pt idx="269">
                  <c:v>84.700000000000017</c:v>
                </c:pt>
                <c:pt idx="270">
                  <c:v>85.1</c:v>
                </c:pt>
                <c:pt idx="271">
                  <c:v>85.4</c:v>
                </c:pt>
                <c:pt idx="272">
                  <c:v>85.700000000000017</c:v>
                </c:pt>
                <c:pt idx="273">
                  <c:v>86</c:v>
                </c:pt>
                <c:pt idx="274">
                  <c:v>86.300000000000011</c:v>
                </c:pt>
                <c:pt idx="275">
                  <c:v>86.6</c:v>
                </c:pt>
                <c:pt idx="276">
                  <c:v>87</c:v>
                </c:pt>
                <c:pt idx="277">
                  <c:v>87.300000000000011</c:v>
                </c:pt>
                <c:pt idx="278">
                  <c:v>87.6</c:v>
                </c:pt>
                <c:pt idx="279">
                  <c:v>87.9</c:v>
                </c:pt>
                <c:pt idx="280">
                  <c:v>88.200000000000017</c:v>
                </c:pt>
                <c:pt idx="281">
                  <c:v>88.5</c:v>
                </c:pt>
                <c:pt idx="282">
                  <c:v>88.800000000000011</c:v>
                </c:pt>
                <c:pt idx="283">
                  <c:v>89.200000000000017</c:v>
                </c:pt>
                <c:pt idx="284">
                  <c:v>89.5</c:v>
                </c:pt>
                <c:pt idx="285">
                  <c:v>89.800000000000011</c:v>
                </c:pt>
                <c:pt idx="286">
                  <c:v>90.1</c:v>
                </c:pt>
                <c:pt idx="287">
                  <c:v>90.4</c:v>
                </c:pt>
                <c:pt idx="288">
                  <c:v>90.700000000000017</c:v>
                </c:pt>
                <c:pt idx="289">
                  <c:v>91.1</c:v>
                </c:pt>
                <c:pt idx="290">
                  <c:v>91.4</c:v>
                </c:pt>
                <c:pt idx="291">
                  <c:v>91.700000000000017</c:v>
                </c:pt>
                <c:pt idx="292">
                  <c:v>92</c:v>
                </c:pt>
                <c:pt idx="293">
                  <c:v>92.300000000000011</c:v>
                </c:pt>
                <c:pt idx="294">
                  <c:v>92.6</c:v>
                </c:pt>
                <c:pt idx="295">
                  <c:v>92.9</c:v>
                </c:pt>
                <c:pt idx="296">
                  <c:v>93.300000000000011</c:v>
                </c:pt>
                <c:pt idx="297">
                  <c:v>93.6</c:v>
                </c:pt>
                <c:pt idx="298">
                  <c:v>93.9</c:v>
                </c:pt>
                <c:pt idx="299">
                  <c:v>94.200000000000017</c:v>
                </c:pt>
                <c:pt idx="300">
                  <c:v>94.5</c:v>
                </c:pt>
                <c:pt idx="301">
                  <c:v>94.800000000000011</c:v>
                </c:pt>
                <c:pt idx="302">
                  <c:v>95.1</c:v>
                </c:pt>
                <c:pt idx="303">
                  <c:v>95.5</c:v>
                </c:pt>
                <c:pt idx="304">
                  <c:v>95.800000000000011</c:v>
                </c:pt>
                <c:pt idx="305">
                  <c:v>96.1</c:v>
                </c:pt>
                <c:pt idx="306">
                  <c:v>96.4</c:v>
                </c:pt>
                <c:pt idx="307">
                  <c:v>96.700000000000017</c:v>
                </c:pt>
                <c:pt idx="308">
                  <c:v>97</c:v>
                </c:pt>
                <c:pt idx="309">
                  <c:v>97.4</c:v>
                </c:pt>
                <c:pt idx="310">
                  <c:v>97.700000000000017</c:v>
                </c:pt>
                <c:pt idx="311">
                  <c:v>98</c:v>
                </c:pt>
                <c:pt idx="312">
                  <c:v>98.300000000000011</c:v>
                </c:pt>
                <c:pt idx="313">
                  <c:v>98.6</c:v>
                </c:pt>
                <c:pt idx="314">
                  <c:v>98.9</c:v>
                </c:pt>
                <c:pt idx="315">
                  <c:v>99.200000000000017</c:v>
                </c:pt>
                <c:pt idx="316">
                  <c:v>99.6</c:v>
                </c:pt>
                <c:pt idx="317">
                  <c:v>99.9</c:v>
                </c:pt>
                <c:pt idx="318">
                  <c:v>100.20000000000002</c:v>
                </c:pt>
                <c:pt idx="319">
                  <c:v>100.5</c:v>
                </c:pt>
                <c:pt idx="320">
                  <c:v>100.80000000000001</c:v>
                </c:pt>
                <c:pt idx="321">
                  <c:v>101.1</c:v>
                </c:pt>
                <c:pt idx="322">
                  <c:v>101.4</c:v>
                </c:pt>
                <c:pt idx="323">
                  <c:v>101.80000000000001</c:v>
                </c:pt>
                <c:pt idx="324">
                  <c:v>102.1</c:v>
                </c:pt>
                <c:pt idx="325">
                  <c:v>102.4</c:v>
                </c:pt>
                <c:pt idx="326">
                  <c:v>102.70000000000002</c:v>
                </c:pt>
                <c:pt idx="327">
                  <c:v>103</c:v>
                </c:pt>
                <c:pt idx="328">
                  <c:v>103.30000000000001</c:v>
                </c:pt>
                <c:pt idx="329">
                  <c:v>103.70000000000002</c:v>
                </c:pt>
                <c:pt idx="330">
                  <c:v>104</c:v>
                </c:pt>
                <c:pt idx="331">
                  <c:v>104.30000000000001</c:v>
                </c:pt>
                <c:pt idx="332">
                  <c:v>104.6</c:v>
                </c:pt>
                <c:pt idx="333">
                  <c:v>104.9</c:v>
                </c:pt>
                <c:pt idx="334">
                  <c:v>105.20000000000002</c:v>
                </c:pt>
                <c:pt idx="335">
                  <c:v>105.5</c:v>
                </c:pt>
                <c:pt idx="336">
                  <c:v>105.9</c:v>
                </c:pt>
                <c:pt idx="337">
                  <c:v>106.20000000000002</c:v>
                </c:pt>
                <c:pt idx="338">
                  <c:v>106.5</c:v>
                </c:pt>
                <c:pt idx="339">
                  <c:v>106.80000000000001</c:v>
                </c:pt>
                <c:pt idx="340">
                  <c:v>107.1</c:v>
                </c:pt>
                <c:pt idx="341">
                  <c:v>107.4</c:v>
                </c:pt>
                <c:pt idx="342">
                  <c:v>107.70000000000002</c:v>
                </c:pt>
                <c:pt idx="343">
                  <c:v>108.1</c:v>
                </c:pt>
                <c:pt idx="344">
                  <c:v>108.4</c:v>
                </c:pt>
                <c:pt idx="345">
                  <c:v>108.70000000000002</c:v>
                </c:pt>
                <c:pt idx="346">
                  <c:v>109</c:v>
                </c:pt>
                <c:pt idx="347">
                  <c:v>109.30000000000001</c:v>
                </c:pt>
                <c:pt idx="348">
                  <c:v>109.6</c:v>
                </c:pt>
                <c:pt idx="349">
                  <c:v>110</c:v>
                </c:pt>
                <c:pt idx="350">
                  <c:v>110.30000000000001</c:v>
                </c:pt>
                <c:pt idx="351">
                  <c:v>110.6</c:v>
                </c:pt>
                <c:pt idx="352">
                  <c:v>110.9</c:v>
                </c:pt>
                <c:pt idx="353">
                  <c:v>111.20000000000002</c:v>
                </c:pt>
                <c:pt idx="354">
                  <c:v>111.5</c:v>
                </c:pt>
                <c:pt idx="355">
                  <c:v>111.80000000000001</c:v>
                </c:pt>
                <c:pt idx="356">
                  <c:v>112.20000000000002</c:v>
                </c:pt>
                <c:pt idx="357">
                  <c:v>112.5</c:v>
                </c:pt>
                <c:pt idx="358">
                  <c:v>112.80000000000001</c:v>
                </c:pt>
                <c:pt idx="359">
                  <c:v>113.1</c:v>
                </c:pt>
                <c:pt idx="360">
                  <c:v>113.4</c:v>
                </c:pt>
                <c:pt idx="361">
                  <c:v>113.70000000000002</c:v>
                </c:pt>
                <c:pt idx="362">
                  <c:v>114.1</c:v>
                </c:pt>
                <c:pt idx="363">
                  <c:v>114.4</c:v>
                </c:pt>
                <c:pt idx="364">
                  <c:v>114.70000000000002</c:v>
                </c:pt>
                <c:pt idx="365">
                  <c:v>115</c:v>
                </c:pt>
                <c:pt idx="366">
                  <c:v>115.30000000000001</c:v>
                </c:pt>
                <c:pt idx="367">
                  <c:v>115.6</c:v>
                </c:pt>
                <c:pt idx="368">
                  <c:v>115.9</c:v>
                </c:pt>
                <c:pt idx="369">
                  <c:v>116.30000000000001</c:v>
                </c:pt>
                <c:pt idx="370">
                  <c:v>116.6</c:v>
                </c:pt>
                <c:pt idx="371">
                  <c:v>116.9</c:v>
                </c:pt>
                <c:pt idx="372">
                  <c:v>117.20000000000002</c:v>
                </c:pt>
                <c:pt idx="373">
                  <c:v>117.5</c:v>
                </c:pt>
                <c:pt idx="374">
                  <c:v>117.80000000000001</c:v>
                </c:pt>
                <c:pt idx="375">
                  <c:v>118.1</c:v>
                </c:pt>
                <c:pt idx="376">
                  <c:v>118.5</c:v>
                </c:pt>
                <c:pt idx="377">
                  <c:v>118.80000000000001</c:v>
                </c:pt>
                <c:pt idx="378">
                  <c:v>119.1</c:v>
                </c:pt>
                <c:pt idx="379">
                  <c:v>119.4</c:v>
                </c:pt>
                <c:pt idx="380">
                  <c:v>119.70000000000002</c:v>
                </c:pt>
                <c:pt idx="381">
                  <c:v>120</c:v>
                </c:pt>
                <c:pt idx="382">
                  <c:v>120.4</c:v>
                </c:pt>
                <c:pt idx="383">
                  <c:v>120.70000000000002</c:v>
                </c:pt>
                <c:pt idx="384">
                  <c:v>121</c:v>
                </c:pt>
                <c:pt idx="385">
                  <c:v>121.30000000000001</c:v>
                </c:pt>
                <c:pt idx="386">
                  <c:v>121.6</c:v>
                </c:pt>
                <c:pt idx="387">
                  <c:v>121.9</c:v>
                </c:pt>
                <c:pt idx="388">
                  <c:v>122.20000000000002</c:v>
                </c:pt>
                <c:pt idx="389">
                  <c:v>122.6</c:v>
                </c:pt>
                <c:pt idx="390">
                  <c:v>122.9</c:v>
                </c:pt>
                <c:pt idx="391">
                  <c:v>123.20000000000002</c:v>
                </c:pt>
                <c:pt idx="392">
                  <c:v>123.5</c:v>
                </c:pt>
                <c:pt idx="393">
                  <c:v>123.80000000000001</c:v>
                </c:pt>
                <c:pt idx="394">
                  <c:v>124.1</c:v>
                </c:pt>
                <c:pt idx="395">
                  <c:v>124.4</c:v>
                </c:pt>
                <c:pt idx="396">
                  <c:v>124.80000000000001</c:v>
                </c:pt>
                <c:pt idx="397">
                  <c:v>125.1</c:v>
                </c:pt>
                <c:pt idx="398">
                  <c:v>125.4</c:v>
                </c:pt>
                <c:pt idx="399">
                  <c:v>125.70000000000002</c:v>
                </c:pt>
                <c:pt idx="400">
                  <c:v>126</c:v>
                </c:pt>
                <c:pt idx="401">
                  <c:v>126.30000000000001</c:v>
                </c:pt>
                <c:pt idx="402">
                  <c:v>126.70000000000002</c:v>
                </c:pt>
                <c:pt idx="403">
                  <c:v>127</c:v>
                </c:pt>
                <c:pt idx="404">
                  <c:v>127.30000000000001</c:v>
                </c:pt>
                <c:pt idx="405">
                  <c:v>127.6</c:v>
                </c:pt>
                <c:pt idx="406">
                  <c:v>127.9</c:v>
                </c:pt>
                <c:pt idx="407">
                  <c:v>128.20000000000002</c:v>
                </c:pt>
                <c:pt idx="408">
                  <c:v>128.5</c:v>
                </c:pt>
                <c:pt idx="409">
                  <c:v>128.9</c:v>
                </c:pt>
                <c:pt idx="410">
                  <c:v>129.20000000000002</c:v>
                </c:pt>
                <c:pt idx="411">
                  <c:v>129.5</c:v>
                </c:pt>
                <c:pt idx="412">
                  <c:v>129.80000000000001</c:v>
                </c:pt>
                <c:pt idx="413">
                  <c:v>130.1</c:v>
                </c:pt>
                <c:pt idx="414">
                  <c:v>130.4</c:v>
                </c:pt>
                <c:pt idx="415">
                  <c:v>130.70000000000002</c:v>
                </c:pt>
                <c:pt idx="416">
                  <c:v>131.1</c:v>
                </c:pt>
                <c:pt idx="417">
                  <c:v>131.4</c:v>
                </c:pt>
                <c:pt idx="418">
                  <c:v>131.70000000000002</c:v>
                </c:pt>
                <c:pt idx="419">
                  <c:v>132</c:v>
                </c:pt>
                <c:pt idx="420">
                  <c:v>132.30000000000001</c:v>
                </c:pt>
                <c:pt idx="421">
                  <c:v>132.6</c:v>
                </c:pt>
                <c:pt idx="422">
                  <c:v>133</c:v>
                </c:pt>
                <c:pt idx="423">
                  <c:v>133.30000000000001</c:v>
                </c:pt>
                <c:pt idx="424">
                  <c:v>133.6</c:v>
                </c:pt>
                <c:pt idx="425">
                  <c:v>133.9</c:v>
                </c:pt>
                <c:pt idx="426">
                  <c:v>134.20000000000002</c:v>
                </c:pt>
                <c:pt idx="427">
                  <c:v>134.5</c:v>
                </c:pt>
                <c:pt idx="428">
                  <c:v>134.80000000000001</c:v>
                </c:pt>
                <c:pt idx="429">
                  <c:v>135.20000000000002</c:v>
                </c:pt>
                <c:pt idx="430">
                  <c:v>135.5</c:v>
                </c:pt>
                <c:pt idx="431">
                  <c:v>135.80000000000001</c:v>
                </c:pt>
                <c:pt idx="432">
                  <c:v>136.1</c:v>
                </c:pt>
                <c:pt idx="433">
                  <c:v>136.4</c:v>
                </c:pt>
                <c:pt idx="434">
                  <c:v>136.70000000000002</c:v>
                </c:pt>
                <c:pt idx="435">
                  <c:v>137.1</c:v>
                </c:pt>
                <c:pt idx="436">
                  <c:v>137.4</c:v>
                </c:pt>
                <c:pt idx="437">
                  <c:v>137.70000000000002</c:v>
                </c:pt>
                <c:pt idx="438">
                  <c:v>138</c:v>
                </c:pt>
                <c:pt idx="439">
                  <c:v>138.30000000000001</c:v>
                </c:pt>
                <c:pt idx="440">
                  <c:v>138.6</c:v>
                </c:pt>
                <c:pt idx="441">
                  <c:v>138.9</c:v>
                </c:pt>
                <c:pt idx="442">
                  <c:v>139.30000000000001</c:v>
                </c:pt>
                <c:pt idx="443">
                  <c:v>139.6</c:v>
                </c:pt>
                <c:pt idx="444">
                  <c:v>139.9</c:v>
                </c:pt>
                <c:pt idx="445">
                  <c:v>140.20000000000002</c:v>
                </c:pt>
                <c:pt idx="446">
                  <c:v>140.5</c:v>
                </c:pt>
                <c:pt idx="447">
                  <c:v>140.80000000000001</c:v>
                </c:pt>
                <c:pt idx="448">
                  <c:v>141.1</c:v>
                </c:pt>
                <c:pt idx="449">
                  <c:v>141.5</c:v>
                </c:pt>
                <c:pt idx="450">
                  <c:v>141.80000000000001</c:v>
                </c:pt>
                <c:pt idx="451">
                  <c:v>142.1</c:v>
                </c:pt>
                <c:pt idx="452">
                  <c:v>142.4</c:v>
                </c:pt>
                <c:pt idx="453">
                  <c:v>142.70000000000002</c:v>
                </c:pt>
                <c:pt idx="454">
                  <c:v>143</c:v>
                </c:pt>
                <c:pt idx="455">
                  <c:v>143.4</c:v>
                </c:pt>
                <c:pt idx="456">
                  <c:v>143.70000000000002</c:v>
                </c:pt>
                <c:pt idx="457">
                  <c:v>144</c:v>
                </c:pt>
                <c:pt idx="458">
                  <c:v>144.30000000000001</c:v>
                </c:pt>
                <c:pt idx="459">
                  <c:v>144.6</c:v>
                </c:pt>
                <c:pt idx="460">
                  <c:v>144.9</c:v>
                </c:pt>
                <c:pt idx="461">
                  <c:v>145.20000000000002</c:v>
                </c:pt>
                <c:pt idx="462">
                  <c:v>145.6</c:v>
                </c:pt>
                <c:pt idx="463">
                  <c:v>145.9</c:v>
                </c:pt>
                <c:pt idx="464">
                  <c:v>146.20000000000002</c:v>
                </c:pt>
                <c:pt idx="465">
                  <c:v>146.5</c:v>
                </c:pt>
                <c:pt idx="466">
                  <c:v>146.80000000000001</c:v>
                </c:pt>
                <c:pt idx="467">
                  <c:v>147.1</c:v>
                </c:pt>
                <c:pt idx="468">
                  <c:v>147.4</c:v>
                </c:pt>
                <c:pt idx="469">
                  <c:v>147.80000000000001</c:v>
                </c:pt>
                <c:pt idx="470">
                  <c:v>148.1</c:v>
                </c:pt>
                <c:pt idx="471">
                  <c:v>148.4</c:v>
                </c:pt>
                <c:pt idx="472">
                  <c:v>148.70000000000002</c:v>
                </c:pt>
                <c:pt idx="473">
                  <c:v>149</c:v>
                </c:pt>
                <c:pt idx="474">
                  <c:v>149.30000000000001</c:v>
                </c:pt>
                <c:pt idx="475">
                  <c:v>149.70000000000002</c:v>
                </c:pt>
                <c:pt idx="476">
                  <c:v>150</c:v>
                </c:pt>
                <c:pt idx="477">
                  <c:v>150.30000000000001</c:v>
                </c:pt>
                <c:pt idx="478">
                  <c:v>150.6</c:v>
                </c:pt>
                <c:pt idx="479">
                  <c:v>150.9</c:v>
                </c:pt>
                <c:pt idx="480">
                  <c:v>151.20000000000002</c:v>
                </c:pt>
                <c:pt idx="481">
                  <c:v>151.5</c:v>
                </c:pt>
                <c:pt idx="482">
                  <c:v>151.9</c:v>
                </c:pt>
                <c:pt idx="483">
                  <c:v>152.20000000000002</c:v>
                </c:pt>
                <c:pt idx="484">
                  <c:v>152.5</c:v>
                </c:pt>
                <c:pt idx="485">
                  <c:v>152.80000000000001</c:v>
                </c:pt>
                <c:pt idx="486">
                  <c:v>153.1</c:v>
                </c:pt>
                <c:pt idx="487">
                  <c:v>153.4</c:v>
                </c:pt>
                <c:pt idx="488">
                  <c:v>153.70000000000002</c:v>
                </c:pt>
                <c:pt idx="489">
                  <c:v>154.1</c:v>
                </c:pt>
                <c:pt idx="490">
                  <c:v>154.4</c:v>
                </c:pt>
                <c:pt idx="491">
                  <c:v>154.70000000000002</c:v>
                </c:pt>
                <c:pt idx="492">
                  <c:v>155</c:v>
                </c:pt>
                <c:pt idx="493">
                  <c:v>155.30000000000001</c:v>
                </c:pt>
                <c:pt idx="494">
                  <c:v>155.6</c:v>
                </c:pt>
                <c:pt idx="495">
                  <c:v>156</c:v>
                </c:pt>
                <c:pt idx="496">
                  <c:v>156.30000000000001</c:v>
                </c:pt>
                <c:pt idx="497">
                  <c:v>156.6</c:v>
                </c:pt>
              </c:numCache>
            </c:numRef>
          </c:xVal>
          <c:yVal>
            <c:numRef>
              <c:f>'sheet 1'!$V$39:$V$840</c:f>
              <c:numCache>
                <c:formatCode>General</c:formatCode>
                <c:ptCount val="802"/>
                <c:pt idx="0">
                  <c:v>19474.055707317373</c:v>
                </c:pt>
                <c:pt idx="1">
                  <c:v>18730.217163969897</c:v>
                </c:pt>
                <c:pt idx="2">
                  <c:v>18029.581713727614</c:v>
                </c:pt>
                <c:pt idx="3">
                  <c:v>17368.958859434129</c:v>
                </c:pt>
                <c:pt idx="4">
                  <c:v>16545.374765452507</c:v>
                </c:pt>
                <c:pt idx="5">
                  <c:v>15967.222995042346</c:v>
                </c:pt>
                <c:pt idx="6">
                  <c:v>15420.31369055122</c:v>
                </c:pt>
                <c:pt idx="7">
                  <c:v>14902.481289597523</c:v>
                </c:pt>
                <c:pt idx="8">
                  <c:v>14411.738983960575</c:v>
                </c:pt>
                <c:pt idx="9">
                  <c:v>13946.261825037416</c:v>
                </c:pt>
                <c:pt idx="10">
                  <c:v>13504.371611532059</c:v>
                </c:pt>
                <c:pt idx="11">
                  <c:v>12949.222764722312</c:v>
                </c:pt>
                <c:pt idx="12">
                  <c:v>12556.568129255018</c:v>
                </c:pt>
                <c:pt idx="13">
                  <c:v>12182.802622190671</c:v>
                </c:pt>
                <c:pt idx="14">
                  <c:v>11826.744309059173</c:v>
                </c:pt>
                <c:pt idx="15">
                  <c:v>11487.300052843539</c:v>
                </c:pt>
                <c:pt idx="16">
                  <c:v>11163.457827460545</c:v>
                </c:pt>
                <c:pt idx="17">
                  <c:v>10754.326927361595</c:v>
                </c:pt>
                <c:pt idx="18">
                  <c:v>10463.358754858731</c:v>
                </c:pt>
                <c:pt idx="19">
                  <c:v>10185.120747273537</c:v>
                </c:pt>
                <c:pt idx="20">
                  <c:v>9918.8802176025238</c:v>
                </c:pt>
                <c:pt idx="21">
                  <c:v>9663.955436684013</c:v>
                </c:pt>
                <c:pt idx="22">
                  <c:v>9419.7115311509951</c:v>
                </c:pt>
                <c:pt idx="23">
                  <c:v>9185.5567535062655</c:v>
                </c:pt>
                <c:pt idx="24">
                  <c:v>8888.0958117121827</c:v>
                </c:pt>
                <c:pt idx="25">
                  <c:v>8675.3985128314634</c:v>
                </c:pt>
                <c:pt idx="26">
                  <c:v>8471.0879225868703</c:v>
                </c:pt>
                <c:pt idx="27">
                  <c:v>8274.7235955391116</c:v>
                </c:pt>
                <c:pt idx="28">
                  <c:v>8085.8932316857645</c:v>
                </c:pt>
                <c:pt idx="29">
                  <c:v>7904.210585142665</c:v>
                </c:pt>
                <c:pt idx="30">
                  <c:v>7729.3135486069214</c:v>
                </c:pt>
                <c:pt idx="31">
                  <c:v>7506.0887352280206</c:v>
                </c:pt>
                <c:pt idx="32">
                  <c:v>7345.7393212847774</c:v>
                </c:pt>
                <c:pt idx="33">
                  <c:v>7191.1213362806348</c:v>
                </c:pt>
                <c:pt idx="34">
                  <c:v>7041.9587410218383</c:v>
                </c:pt>
                <c:pt idx="35">
                  <c:v>6897.9917801172751</c:v>
                </c:pt>
                <c:pt idx="36">
                  <c:v>6758.9758603955343</c:v>
                </c:pt>
                <c:pt idx="37">
                  <c:v>6580.9265008822176</c:v>
                </c:pt>
                <c:pt idx="38">
                  <c:v>6452.5894007829556</c:v>
                </c:pt>
                <c:pt idx="39">
                  <c:v>6328.4848470473544</c:v>
                </c:pt>
                <c:pt idx="40">
                  <c:v>6208.422979322344</c:v>
                </c:pt>
                <c:pt idx="41">
                  <c:v>6092.2244263685134</c:v>
                </c:pt>
                <c:pt idx="42">
                  <c:v>5979.7196272064293</c:v>
                </c:pt>
                <c:pt idx="43">
                  <c:v>5870.7482022445201</c:v>
                </c:pt>
                <c:pt idx="44">
                  <c:v>5730.6881613451278</c:v>
                </c:pt>
                <c:pt idx="45">
                  <c:v>5629.3848695628558</c:v>
                </c:pt>
                <c:pt idx="46">
                  <c:v>5531.1394868874922</c:v>
                </c:pt>
                <c:pt idx="47">
                  <c:v>5435.8251991514453</c:v>
                </c:pt>
                <c:pt idx="48">
                  <c:v>5343.3217098115501</c:v>
                </c:pt>
                <c:pt idx="49">
                  <c:v>5253.5148460941446</c:v>
                </c:pt>
                <c:pt idx="50">
                  <c:v>5166.2961922852483</c:v>
                </c:pt>
                <c:pt idx="51">
                  <c:v>5053.8534728826999</c:v>
                </c:pt>
                <c:pt idx="52">
                  <c:v>4972.2821850181808</c:v>
                </c:pt>
                <c:pt idx="53">
                  <c:v>4892.9750832522823</c:v>
                </c:pt>
                <c:pt idx="54">
                  <c:v>4815.845035382099</c:v>
                </c:pt>
                <c:pt idx="55">
                  <c:v>4740.8090900660554</c:v>
                </c:pt>
                <c:pt idx="56">
                  <c:v>4667.7882401115094</c:v>
                </c:pt>
                <c:pt idx="57">
                  <c:v>4573.4320885303623</c:v>
                </c:pt>
                <c:pt idx="58">
                  <c:v>4504.826403080142</c:v>
                </c:pt>
                <c:pt idx="59">
                  <c:v>4437.9982030618394</c:v>
                </c:pt>
                <c:pt idx="60">
                  <c:v>4372.8831892761627</c:v>
                </c:pt>
                <c:pt idx="61">
                  <c:v>4309.4199776156365</c:v>
                </c:pt>
                <c:pt idx="62">
                  <c:v>4247.54994264989</c:v>
                </c:pt>
                <c:pt idx="63">
                  <c:v>4187.2170708241993</c:v>
                </c:pt>
                <c:pt idx="64">
                  <c:v>4109.072186991405</c:v>
                </c:pt>
                <c:pt idx="65">
                  <c:v>4052.1218544448234</c:v>
                </c:pt>
                <c:pt idx="66">
                  <c:v>3996.5391281288394</c:v>
                </c:pt>
                <c:pt idx="67">
                  <c:v>3942.2778225845118</c:v>
                </c:pt>
                <c:pt idx="68">
                  <c:v>3889.2937184269931</c:v>
                </c:pt>
                <c:pt idx="69">
                  <c:v>3837.5444629475442</c:v>
                </c:pt>
                <c:pt idx="70">
                  <c:v>3770.3964379668741</c:v>
                </c:pt>
                <c:pt idx="71">
                  <c:v>3721.3735862137783</c:v>
                </c:pt>
                <c:pt idx="72">
                  <c:v>3673.4567265295454</c:v>
                </c:pt>
                <c:pt idx="73">
                  <c:v>3626.6105798670105</c:v>
                </c:pt>
                <c:pt idx="74">
                  <c:v>3580.8012925139637</c:v>
                </c:pt>
                <c:pt idx="75">
                  <c:v>3535.9963674980368</c:v>
                </c:pt>
                <c:pt idx="76">
                  <c:v>3492.1645997878923</c:v>
                </c:pt>
                <c:pt idx="77">
                  <c:v>3435.1844056023083</c:v>
                </c:pt>
                <c:pt idx="78">
                  <c:v>3393.508790559923</c:v>
                </c:pt>
                <c:pt idx="79">
                  <c:v>3352.7108850706227</c:v>
                </c:pt>
                <c:pt idx="80">
                  <c:v>3312.7644162439456</c:v>
                </c:pt>
                <c:pt idx="81">
                  <c:v>3273.6441125908195</c:v>
                </c:pt>
                <c:pt idx="82">
                  <c:v>3235.3256584013516</c:v>
                </c:pt>
                <c:pt idx="83">
                  <c:v>3197.7856505178415</c:v>
                </c:pt>
                <c:pt idx="84">
                  <c:v>3148.9044003374725</c:v>
                </c:pt>
                <c:pt idx="85">
                  <c:v>3113.0945782966855</c:v>
                </c:pt>
                <c:pt idx="86">
                  <c:v>3077.9912722542695</c:v>
                </c:pt>
                <c:pt idx="87">
                  <c:v>3043.5745863003408</c:v>
                </c:pt>
                <c:pt idx="88">
                  <c:v>3009.8253415350819</c:v>
                </c:pt>
                <c:pt idx="89">
                  <c:v>2976.72504507761</c:v>
                </c:pt>
                <c:pt idx="90">
                  <c:v>2933.5700544852539</c:v>
                </c:pt>
                <c:pt idx="91">
                  <c:v>2901.9156899275749</c:v>
                </c:pt>
                <c:pt idx="92">
                  <c:v>2870.8532180439001</c:v>
                </c:pt>
                <c:pt idx="93">
                  <c:v>2840.3667965991613</c:v>
                </c:pt>
                <c:pt idx="94">
                  <c:v>2810.4411281991797</c:v>
                </c:pt>
                <c:pt idx="95">
                  <c:v>2781.0614377512129</c:v>
                </c:pt>
                <c:pt idx="96">
                  <c:v>2752.2134510032411</c:v>
                </c:pt>
                <c:pt idx="97">
                  <c:v>2714.5527888416914</c:v>
                </c:pt>
                <c:pt idx="98">
                  <c:v>2686.8925952757472</c:v>
                </c:pt>
                <c:pt idx="99">
                  <c:v>2659.7198864391553</c:v>
                </c:pt>
                <c:pt idx="100">
                  <c:v>2633.0223342091872</c:v>
                </c:pt>
                <c:pt idx="101">
                  <c:v>2606.788012808338</c:v>
                </c:pt>
                <c:pt idx="102">
                  <c:v>2581.0053829564663</c:v>
                </c:pt>
                <c:pt idx="103">
                  <c:v>2555.6632767465985</c:v>
                </c:pt>
                <c:pt idx="104">
                  <c:v>2522.5404248495192</c:v>
                </c:pt>
                <c:pt idx="105">
                  <c:v>2498.1847556581515</c:v>
                </c:pt>
                <c:pt idx="106">
                  <c:v>2474.2348853272047</c:v>
                </c:pt>
                <c:pt idx="107">
                  <c:v>2450.6810965107907</c:v>
                </c:pt>
                <c:pt idx="108">
                  <c:v>2427.5139733456117</c:v>
                </c:pt>
                <c:pt idx="109">
                  <c:v>2404.7243901252241</c:v>
                </c:pt>
                <c:pt idx="110">
                  <c:v>2374.9103124143885</c:v>
                </c:pt>
                <c:pt idx="111">
                  <c:v>2352.9677165785388</c:v>
                </c:pt>
                <c:pt idx="112">
                  <c:v>2331.3742016464303</c:v>
                </c:pt>
                <c:pt idx="113">
                  <c:v>2310.1217799575261</c:v>
                </c:pt>
                <c:pt idx="114">
                  <c:v>2289.202701383228</c:v>
                </c:pt>
                <c:pt idx="115">
                  <c:v>2268.6094447504265</c:v>
                </c:pt>
                <c:pt idx="116">
                  <c:v>2248.3347096254697</c:v>
                </c:pt>
                <c:pt idx="117">
                  <c:v>2221.784986957723</c:v>
                </c:pt>
                <c:pt idx="118">
                  <c:v>2202.2262597519102</c:v>
                </c:pt>
                <c:pt idx="119">
                  <c:v>2182.9632148405208</c:v>
                </c:pt>
                <c:pt idx="120">
                  <c:v>2163.9894214381384</c:v>
                </c:pt>
                <c:pt idx="121">
                  <c:v>2145.2986310976303</c:v>
                </c:pt>
                <c:pt idx="122">
                  <c:v>2126.8847714134622</c:v>
                </c:pt>
                <c:pt idx="123">
                  <c:v>2108.7419399786504</c:v>
                </c:pt>
                <c:pt idx="124">
                  <c:v>2084.9632026231438</c:v>
                </c:pt>
                <c:pt idx="125">
                  <c:v>2067.4307285743107</c:v>
                </c:pt>
                <c:pt idx="126">
                  <c:v>2050.1507630795059</c:v>
                </c:pt>
                <c:pt idx="127">
                  <c:v>2033.1180762472454</c:v>
                </c:pt>
                <c:pt idx="128">
                  <c:v>2016.327579785258</c:v>
                </c:pt>
                <c:pt idx="129">
                  <c:v>1999.7743223174693</c:v>
                </c:pt>
                <c:pt idx="130">
                  <c:v>1978.0640402552399</c:v>
                </c:pt>
                <c:pt idx="131">
                  <c:v>1962.0458208125306</c:v>
                </c:pt>
                <c:pt idx="132">
                  <c:v>1946.2492680942109</c:v>
                </c:pt>
                <c:pt idx="133">
                  <c:v>1930.6699741711066</c:v>
                </c:pt>
                <c:pt idx="134">
                  <c:v>1915.3036459253149</c:v>
                </c:pt>
                <c:pt idx="135">
                  <c:v>1900.1461013885159</c:v>
                </c:pt>
                <c:pt idx="136">
                  <c:v>1885.1932662170382</c:v>
                </c:pt>
                <c:pt idx="137">
                  <c:v>1865.5677421248051</c:v>
                </c:pt>
                <c:pt idx="138">
                  <c:v>1851.0772968573797</c:v>
                </c:pt>
                <c:pt idx="139">
                  <c:v>1836.7787144505253</c:v>
                </c:pt>
                <c:pt idx="140">
                  <c:v>1822.6683492858629</c:v>
                </c:pt>
                <c:pt idx="141">
                  <c:v>1808.7426466516931</c:v>
                </c:pt>
                <c:pt idx="142">
                  <c:v>1794.9981399600067</c:v>
                </c:pt>
                <c:pt idx="143">
                  <c:v>1776.9481594164004</c:v>
                </c:pt>
                <c:pt idx="144">
                  <c:v>1763.6134371934108</c:v>
                </c:pt>
                <c:pt idx="145">
                  <c:v>1750.4489583301779</c:v>
                </c:pt>
                <c:pt idx="146">
                  <c:v>1737.4516083065191</c:v>
                </c:pt>
                <c:pt idx="147">
                  <c:v>1724.6183474757272</c:v>
                </c:pt>
                <c:pt idx="148">
                  <c:v>1711.9462088500509</c:v>
                </c:pt>
                <c:pt idx="149">
                  <c:v>1699.4322959631586</c:v>
                </c:pt>
                <c:pt idx="150">
                  <c:v>1682.988329402242</c:v>
                </c:pt>
                <c:pt idx="151">
                  <c:v>1670.8327266949416</c:v>
                </c:pt>
                <c:pt idx="152">
                  <c:v>1658.8261781911674</c:v>
                </c:pt>
                <c:pt idx="153">
                  <c:v>1646.9660700629554</c:v>
                </c:pt>
                <c:pt idx="154">
                  <c:v>1635.2498487838648</c:v>
                </c:pt>
                <c:pt idx="155">
                  <c:v>1623.6750194135057</c:v>
                </c:pt>
                <c:pt idx="156">
                  <c:v>1612.2391439395542</c:v>
                </c:pt>
                <c:pt idx="157">
                  <c:v>1597.2033500299722</c:v>
                </c:pt>
                <c:pt idx="158">
                  <c:v>1586.0825270386208</c:v>
                </c:pt>
                <c:pt idx="159">
                  <c:v>1575.09292219952</c:v>
                </c:pt>
                <c:pt idx="160">
                  <c:v>1564.2323263364597</c:v>
                </c:pt>
                <c:pt idx="161">
                  <c:v>1553.498579242857</c:v>
                </c:pt>
                <c:pt idx="162">
                  <c:v>1542.8895683404535</c:v>
                </c:pt>
                <c:pt idx="163">
                  <c:v>1528.9346897689047</c:v>
                </c:pt>
                <c:pt idx="164">
                  <c:v>1518.6087723010937</c:v>
                </c:pt>
                <c:pt idx="165">
                  <c:v>1508.400876724171</c:v>
                </c:pt>
                <c:pt idx="166">
                  <c:v>1498.3090823757154</c:v>
                </c:pt>
                <c:pt idx="167">
                  <c:v>1488.3315097625969</c:v>
                </c:pt>
                <c:pt idx="168">
                  <c:v>1478.4663194687855</c:v>
                </c:pt>
                <c:pt idx="169">
                  <c:v>1468.7117110974195</c:v>
                </c:pt>
                <c:pt idx="170">
                  <c:v>1455.8745421461426</c:v>
                </c:pt>
                <c:pt idx="171">
                  <c:v>1446.3711682860771</c:v>
                </c:pt>
                <c:pt idx="172">
                  <c:v>1436.9726439076112</c:v>
                </c:pt>
                <c:pt idx="173">
                  <c:v>1427.6773262540214</c:v>
                </c:pt>
                <c:pt idx="174">
                  <c:v>1418.4836064753335</c:v>
                </c:pt>
                <c:pt idx="175">
                  <c:v>1409.3899087607133</c:v>
                </c:pt>
                <c:pt idx="176">
                  <c:v>1400.3946894971523</c:v>
                </c:pt>
                <c:pt idx="177">
                  <c:v>1388.5516432021727</c:v>
                </c:pt>
                <c:pt idx="178">
                  <c:v>1379.7803788537103</c:v>
                </c:pt>
                <c:pt idx="179">
                  <c:v>1371.1026698251626</c:v>
                </c:pt>
                <c:pt idx="180">
                  <c:v>1362.5171029072462</c:v>
                </c:pt>
                <c:pt idx="181">
                  <c:v>1354.0222930094064</c:v>
                </c:pt>
                <c:pt idx="182">
                  <c:v>1345.6168824652216</c:v>
                </c:pt>
                <c:pt idx="183">
                  <c:v>1334.546437488877</c:v>
                </c:pt>
                <c:pt idx="184">
                  <c:v>1326.3444946611644</c:v>
                </c:pt>
                <c:pt idx="185">
                  <c:v>1318.2276151846336</c:v>
                </c:pt>
                <c:pt idx="186">
                  <c:v>1310.1945526872262</c:v>
                </c:pt>
                <c:pt idx="187">
                  <c:v>1302.2440848441045</c:v>
                </c:pt>
                <c:pt idx="188">
                  <c:v>1294.3750128010233</c:v>
                </c:pt>
                <c:pt idx="189">
                  <c:v>1286.5861606141314</c:v>
                </c:pt>
                <c:pt idx="190">
                  <c:v>1276.3238201249985</c:v>
                </c:pt>
                <c:pt idx="191">
                  <c:v>1268.71769913567</c:v>
                </c:pt>
                <c:pt idx="192">
                  <c:v>1261.1880367791121</c:v>
                </c:pt>
                <c:pt idx="193">
                  <c:v>1253.7337502937107</c:v>
                </c:pt>
                <c:pt idx="194">
                  <c:v>1246.3537770966248</c:v>
                </c:pt>
                <c:pt idx="195">
                  <c:v>1239.0470743159094</c:v>
                </c:pt>
                <c:pt idx="196">
                  <c:v>1231.8126183355687</c:v>
                </c:pt>
                <c:pt idx="197">
                  <c:v>1222.2773269003178</c:v>
                </c:pt>
                <c:pt idx="198">
                  <c:v>1215.2075709349897</c:v>
                </c:pt>
                <c:pt idx="199">
                  <c:v>1208.2067831963711</c:v>
                </c:pt>
                <c:pt idx="200">
                  <c:v>1201.2740185506216</c:v>
                </c:pt>
                <c:pt idx="201">
                  <c:v>1194.4083488951374</c:v>
                </c:pt>
                <c:pt idx="202">
                  <c:v>1187.6088627764129</c:v>
                </c:pt>
                <c:pt idx="203">
                  <c:v>1178.6442885338386</c:v>
                </c:pt>
                <c:pt idx="204">
                  <c:v>1171.9957768829765</c:v>
                </c:pt>
                <c:pt idx="205">
                  <c:v>1165.4105261322345</c:v>
                </c:pt>
                <c:pt idx="206">
                  <c:v>1158.8876928012983</c:v>
                </c:pt>
                <c:pt idx="207">
                  <c:v>1152.4264481859686</c:v>
                </c:pt>
                <c:pt idx="208">
                  <c:v>1146.0259780356755</c:v>
                </c:pt>
                <c:pt idx="209">
                  <c:v>1139.6854822393809</c:v>
                </c:pt>
                <c:pt idx="210">
                  <c:v>1131.3234242410067</c:v>
                </c:pt>
                <c:pt idx="211">
                  <c:v>1125.1198342112364</c:v>
                </c:pt>
                <c:pt idx="212">
                  <c:v>1118.9736497480803</c:v>
                </c:pt>
                <c:pt idx="213">
                  <c:v>1112.8841285761637</c:v>
                </c:pt>
                <c:pt idx="214">
                  <c:v>1106.8505410162729</c:v>
                </c:pt>
                <c:pt idx="215">
                  <c:v>1100.8721697189337</c:v>
                </c:pt>
                <c:pt idx="216">
                  <c:v>1092.985682658413</c:v>
                </c:pt>
                <c:pt idx="217">
                  <c:v>1087.1334269422234</c:v>
                </c:pt>
                <c:pt idx="218">
                  <c:v>1081.3340820859437</c:v>
                </c:pt>
                <c:pt idx="219">
                  <c:v>1075.5869812505086</c:v>
                </c:pt>
                <c:pt idx="220">
                  <c:v>1069.8914686146604</c:v>
                </c:pt>
                <c:pt idx="221">
                  <c:v>1064.2468991479898</c:v>
                </c:pt>
                <c:pt idx="222">
                  <c:v>1058.6526383895643</c:v>
                </c:pt>
                <c:pt idx="223">
                  <c:v>1051.2708047963433</c:v>
                </c:pt>
                <c:pt idx="224">
                  <c:v>1045.7915214407062</c:v>
                </c:pt>
                <c:pt idx="225">
                  <c:v>1040.3605055253201</c:v>
                </c:pt>
                <c:pt idx="226">
                  <c:v>1034.9771659616633</c:v>
                </c:pt>
                <c:pt idx="227">
                  <c:v>1029.6409211381083</c:v>
                </c:pt>
                <c:pt idx="228">
                  <c:v>1024.3511987304587</c:v>
                </c:pt>
                <c:pt idx="229">
                  <c:v>1019.1074355170256</c:v>
                </c:pt>
                <c:pt idx="230">
                  <c:v>1012.1862865264661</c:v>
                </c:pt>
                <c:pt idx="231">
                  <c:v>1007.0476209141505</c:v>
                </c:pt>
                <c:pt idx="232">
                  <c:v>1001.9531005448023</c:v>
                </c:pt>
                <c:pt idx="233">
                  <c:v>996.90219960905983</c:v>
                </c:pt>
                <c:pt idx="234">
                  <c:v>991.89440048533334</c:v>
                </c:pt>
                <c:pt idx="235">
                  <c:v>986.92919358082611</c:v>
                </c:pt>
                <c:pt idx="236">
                  <c:v>980.37430621730743</c:v>
                </c:pt>
                <c:pt idx="237">
                  <c:v>975.50654335205786</c:v>
                </c:pt>
                <c:pt idx="238">
                  <c:v>970.67973008213232</c:v>
                </c:pt>
                <c:pt idx="239">
                  <c:v>965.89338985729876</c:v>
                </c:pt>
                <c:pt idx="240">
                  <c:v>961.14705336831707</c:v>
                </c:pt>
                <c:pt idx="241">
                  <c:v>956.4402584097644</c:v>
                </c:pt>
                <c:pt idx="242">
                  <c:v>951.77254974598054</c:v>
                </c:pt>
                <c:pt idx="243">
                  <c:v>945.60896505919538</c:v>
                </c:pt>
                <c:pt idx="244">
                  <c:v>941.03072556466714</c:v>
                </c:pt>
                <c:pt idx="245">
                  <c:v>936.49010358956707</c:v>
                </c:pt>
                <c:pt idx="246">
                  <c:v>931.98667262383151</c:v>
                </c:pt>
                <c:pt idx="247">
                  <c:v>927.52001246151622</c:v>
                </c:pt>
                <c:pt idx="248">
                  <c:v>923.08970908465972</c:v>
                </c:pt>
                <c:pt idx="249">
                  <c:v>918.69535454970946</c:v>
                </c:pt>
                <c:pt idx="250">
                  <c:v>912.8914416552293</c:v>
                </c:pt>
                <c:pt idx="251">
                  <c:v>908.57941459890651</c:v>
                </c:pt>
                <c:pt idx="252">
                  <c:v>904.30201903541854</c:v>
                </c:pt>
                <c:pt idx="253">
                  <c:v>900.05887209099194</c:v>
                </c:pt>
                <c:pt idx="254">
                  <c:v>895.84959640125408</c:v>
                </c:pt>
                <c:pt idx="255">
                  <c:v>891.67382001245994</c:v>
                </c:pt>
                <c:pt idx="256">
                  <c:v>886.15759523962765</c:v>
                </c:pt>
                <c:pt idx="257">
                  <c:v>882.05856707290627</c:v>
                </c:pt>
                <c:pt idx="258">
                  <c:v>877.99183621259976</c:v>
                </c:pt>
                <c:pt idx="259">
                  <c:v>873.95705306043601</c:v>
                </c:pt>
                <c:pt idx="260">
                  <c:v>869.9538729366086</c:v>
                </c:pt>
                <c:pt idx="261">
                  <c:v>865.98195599360679</c:v>
                </c:pt>
                <c:pt idx="262">
                  <c:v>862.04096713184992</c:v>
                </c:pt>
                <c:pt idx="263">
                  <c:v>856.83385520570334</c:v>
                </c:pt>
                <c:pt idx="264">
                  <c:v>852.96375475712034</c:v>
                </c:pt>
                <c:pt idx="265">
                  <c:v>849.12349863415398</c:v>
                </c:pt>
                <c:pt idx="266">
                  <c:v>845.31277137900202</c:v>
                </c:pt>
                <c:pt idx="267">
                  <c:v>841.53126186069358</c:v>
                </c:pt>
                <c:pt idx="268">
                  <c:v>837.77866320122428</c:v>
                </c:pt>
                <c:pt idx="269">
                  <c:v>834.05467270320673</c:v>
                </c:pt>
                <c:pt idx="270">
                  <c:v>829.13333812951112</c:v>
                </c:pt>
                <c:pt idx="271">
                  <c:v>825.47494580749094</c:v>
                </c:pt>
                <c:pt idx="272">
                  <c:v>821.84418194975694</c:v>
                </c:pt>
                <c:pt idx="273">
                  <c:v>818.24076117423795</c:v>
                </c:pt>
                <c:pt idx="274">
                  <c:v>814.66440191773734</c:v>
                </c:pt>
                <c:pt idx="275">
                  <c:v>811.11482637237395</c:v>
                </c:pt>
                <c:pt idx="276">
                  <c:v>806.42324927472964</c:v>
                </c:pt>
                <c:pt idx="277">
                  <c:v>802.93510932198387</c:v>
                </c:pt>
                <c:pt idx="278">
                  <c:v>799.47285338529377</c:v>
                </c:pt>
                <c:pt idx="279">
                  <c:v>796.03621922573825</c:v>
                </c:pt>
                <c:pt idx="280">
                  <c:v>792.62494804147798</c:v>
                </c:pt>
                <c:pt idx="281">
                  <c:v>789.23878441176009</c:v>
                </c:pt>
                <c:pt idx="282">
                  <c:v>785.87747624201904</c:v>
                </c:pt>
                <c:pt idx="283">
                  <c:v>781.43396646620579</c:v>
                </c:pt>
                <c:pt idx="284">
                  <c:v>778.1296922850687</c:v>
                </c:pt>
                <c:pt idx="285">
                  <c:v>774.84945658783136</c:v>
                </c:pt>
                <c:pt idx="286">
                  <c:v>771.59302108466227</c:v>
                </c:pt>
                <c:pt idx="287">
                  <c:v>768.36015053662845</c:v>
                </c:pt>
                <c:pt idx="288">
                  <c:v>765.15061270718479</c:v>
                </c:pt>
                <c:pt idx="289">
                  <c:v>760.90712840493234</c:v>
                </c:pt>
                <c:pt idx="290">
                  <c:v>757.75114695406137</c:v>
                </c:pt>
                <c:pt idx="291">
                  <c:v>754.61774517961999</c:v>
                </c:pt>
                <c:pt idx="292">
                  <c:v>751.50670331699769</c:v>
                </c:pt>
                <c:pt idx="293">
                  <c:v>748.41780436038994</c:v>
                </c:pt>
                <c:pt idx="294">
                  <c:v>745.35083401982013</c:v>
                </c:pt>
                <c:pt idx="295">
                  <c:v>742.30558067896027</c:v>
                </c:pt>
                <c:pt idx="296">
                  <c:v>738.27866405771795</c:v>
                </c:pt>
                <c:pt idx="297">
                  <c:v>735.28327547398897</c:v>
                </c:pt>
                <c:pt idx="298">
                  <c:v>732.30891728621737</c:v>
                </c:pt>
                <c:pt idx="299">
                  <c:v>729.35538899537232</c:v>
                </c:pt>
                <c:pt idx="300">
                  <c:v>726.42249256401203</c:v>
                </c:pt>
                <c:pt idx="301">
                  <c:v>723.51003237880957</c:v>
                </c:pt>
                <c:pt idx="302">
                  <c:v>720.61781521376747</c:v>
                </c:pt>
                <c:pt idx="303">
                  <c:v>716.79268523002736</c:v>
                </c:pt>
                <c:pt idx="304">
                  <c:v>713.94696348536195</c:v>
                </c:pt>
                <c:pt idx="305">
                  <c:v>711.12085745717877</c:v>
                </c:pt>
                <c:pt idx="306">
                  <c:v>708.31418385554002</c:v>
                </c:pt>
                <c:pt idx="307">
                  <c:v>705.52676159262148</c:v>
                </c:pt>
                <c:pt idx="308">
                  <c:v>702.75841174993593</c:v>
                </c:pt>
                <c:pt idx="309">
                  <c:v>699.09664159148167</c:v>
                </c:pt>
                <c:pt idx="310">
                  <c:v>696.37211021440771</c:v>
                </c:pt>
                <c:pt idx="311">
                  <c:v>693.66607012104305</c:v>
                </c:pt>
                <c:pt idx="312">
                  <c:v>690.97835142868769</c:v>
                </c:pt>
                <c:pt idx="313">
                  <c:v>688.30878625878711</c:v>
                </c:pt>
                <c:pt idx="314">
                  <c:v>685.6572087076654</c:v>
                </c:pt>
                <c:pt idx="315">
                  <c:v>683.02345481777752</c:v>
                </c:pt>
                <c:pt idx="316">
                  <c:v>679.53922886405667</c:v>
                </c:pt>
                <c:pt idx="317">
                  <c:v>676.94643662574083</c:v>
                </c:pt>
                <c:pt idx="318">
                  <c:v>674.37093521985639</c:v>
                </c:pt>
                <c:pt idx="319">
                  <c:v>671.81256880190449</c:v>
                </c:pt>
                <c:pt idx="320">
                  <c:v>669.27118332841781</c:v>
                </c:pt>
                <c:pt idx="321">
                  <c:v>666.74662653122573</c:v>
                </c:pt>
                <c:pt idx="322">
                  <c:v>664.23874789215779</c:v>
                </c:pt>
                <c:pt idx="323">
                  <c:v>660.92059658054109</c:v>
                </c:pt>
                <c:pt idx="324">
                  <c:v>658.45105794021265</c:v>
                </c:pt>
                <c:pt idx="325">
                  <c:v>655.99770805361072</c:v>
                </c:pt>
                <c:pt idx="326">
                  <c:v>653.56040370398591</c:v>
                </c:pt>
                <c:pt idx="327">
                  <c:v>651.13900329678131</c:v>
                </c:pt>
                <c:pt idx="328">
                  <c:v>648.73336683693651</c:v>
                </c:pt>
                <c:pt idx="329">
                  <c:v>645.55013423667867</c:v>
                </c:pt>
                <c:pt idx="330">
                  <c:v>643.18074471387001</c:v>
                </c:pt>
                <c:pt idx="331">
                  <c:v>640.82666375639599</c:v>
                </c:pt>
                <c:pt idx="332">
                  <c:v>638.48775804721549</c:v>
                </c:pt>
                <c:pt idx="333">
                  <c:v>636.16389575398875</c:v>
                </c:pt>
                <c:pt idx="334">
                  <c:v>633.85494650867122</c:v>
                </c:pt>
                <c:pt idx="335">
                  <c:v>631.56078138744419</c:v>
                </c:pt>
                <c:pt idx="336">
                  <c:v>628.52467191902758</c:v>
                </c:pt>
                <c:pt idx="337">
                  <c:v>626.26450968235451</c:v>
                </c:pt>
                <c:pt idx="338">
                  <c:v>624.01871200317805</c:v>
                </c:pt>
                <c:pt idx="339">
                  <c:v>621.78715599198722</c:v>
                </c:pt>
                <c:pt idx="340">
                  <c:v>619.56972010187496</c:v>
                </c:pt>
                <c:pt idx="341">
                  <c:v>617.36628411045353</c:v>
                </c:pt>
                <c:pt idx="342">
                  <c:v>615.17672910206227</c:v>
                </c:pt>
                <c:pt idx="343">
                  <c:v>612.2787119430559</c:v>
                </c:pt>
                <c:pt idx="344">
                  <c:v>610.12109065497907</c:v>
                </c:pt>
                <c:pt idx="345">
                  <c:v>607.9769631791944</c:v>
                </c:pt>
                <c:pt idx="346">
                  <c:v>605.8462160638004</c:v>
                </c:pt>
                <c:pt idx="347">
                  <c:v>603.72873707343797</c:v>
                </c:pt>
                <c:pt idx="348">
                  <c:v>601.62441517322304</c:v>
                </c:pt>
                <c:pt idx="349">
                  <c:v>598.83892952838107</c:v>
                </c:pt>
                <c:pt idx="350">
                  <c:v>596.76488232832639</c:v>
                </c:pt>
                <c:pt idx="351">
                  <c:v>594.70363057107249</c:v>
                </c:pt>
                <c:pt idx="352">
                  <c:v>592.65506824424131</c:v>
                </c:pt>
                <c:pt idx="353">
                  <c:v>590.61909045442201</c:v>
                </c:pt>
                <c:pt idx="354">
                  <c:v>588.59559341263673</c:v>
                </c:pt>
                <c:pt idx="355">
                  <c:v>586.58447442003262</c:v>
                </c:pt>
                <c:pt idx="356">
                  <c:v>583.92206168194753</c:v>
                </c:pt>
                <c:pt idx="357">
                  <c:v>581.93943143815306</c:v>
                </c:pt>
                <c:pt idx="358">
                  <c:v>579.96884460792808</c:v>
                </c:pt>
                <c:pt idx="359">
                  <c:v>578.01020305629618</c:v>
                </c:pt>
                <c:pt idx="360">
                  <c:v>576.0634096657493</c:v>
                </c:pt>
                <c:pt idx="361">
                  <c:v>574.12836832328151</c:v>
                </c:pt>
                <c:pt idx="362">
                  <c:v>571.56642989779539</c:v>
                </c:pt>
                <c:pt idx="363">
                  <c:v>569.65844177535087</c:v>
                </c:pt>
                <c:pt idx="364">
                  <c:v>567.76189241651014</c:v>
                </c:pt>
                <c:pt idx="365">
                  <c:v>565.87668991600503</c:v>
                </c:pt>
                <c:pt idx="366">
                  <c:v>564.00274330716104</c:v>
                </c:pt>
                <c:pt idx="367">
                  <c:v>562.13996255012444</c:v>
                </c:pt>
                <c:pt idx="368">
                  <c:v>560.28825852026466</c:v>
                </c:pt>
                <c:pt idx="369">
                  <c:v>557.83639792660733</c:v>
                </c:pt>
                <c:pt idx="370">
                  <c:v>556.01019805356827</c:v>
                </c:pt>
                <c:pt idx="371">
                  <c:v>554.19478429016067</c:v>
                </c:pt>
                <c:pt idx="372">
                  <c:v>552.39007134789244</c:v>
                </c:pt>
                <c:pt idx="373">
                  <c:v>550.59597479450429</c:v>
                </c:pt>
                <c:pt idx="374">
                  <c:v>548.81241104342303</c:v>
                </c:pt>
                <c:pt idx="375">
                  <c:v>547.03929734336953</c:v>
                </c:pt>
                <c:pt idx="376">
                  <c:v>544.69125989492193</c:v>
                </c:pt>
                <c:pt idx="377">
                  <c:v>542.94221245242954</c:v>
                </c:pt>
                <c:pt idx="378">
                  <c:v>541.2033451256965</c:v>
                </c:pt>
                <c:pt idx="379">
                  <c:v>539.4745786666366</c:v>
                </c:pt>
                <c:pt idx="380">
                  <c:v>537.75583460954761</c:v>
                </c:pt>
                <c:pt idx="381">
                  <c:v>536.04703526164462</c:v>
                </c:pt>
                <c:pt idx="382">
                  <c:v>533.78397282351102</c:v>
                </c:pt>
                <c:pt idx="383">
                  <c:v>532.09807993050163</c:v>
                </c:pt>
                <c:pt idx="384">
                  <c:v>530.42187823409301</c:v>
                </c:pt>
                <c:pt idx="385">
                  <c:v>528.75529328468474</c:v>
                </c:pt>
                <c:pt idx="386">
                  <c:v>527.09825135735127</c:v>
                </c:pt>
                <c:pt idx="387">
                  <c:v>525.45067944320238</c:v>
                </c:pt>
                <c:pt idx="388">
                  <c:v>523.81250524086636</c:v>
                </c:pt>
                <c:pt idx="389">
                  <c:v>521.64276797659545</c:v>
                </c:pt>
                <c:pt idx="390">
                  <c:v>520.02624450818121</c:v>
                </c:pt>
                <c:pt idx="391">
                  <c:v>518.41888274995893</c:v>
                </c:pt>
                <c:pt idx="392">
                  <c:v>516.82061337096957</c:v>
                </c:pt>
                <c:pt idx="393">
                  <c:v>515.23136770434473</c:v>
                </c:pt>
                <c:pt idx="394">
                  <c:v>513.65107773952582</c:v>
                </c:pt>
                <c:pt idx="395">
                  <c:v>512.07967611458639</c:v>
                </c:pt>
                <c:pt idx="396">
                  <c:v>509.99818502587675</c:v>
                </c:pt>
                <c:pt idx="397">
                  <c:v>508.44726448470078</c:v>
                </c:pt>
                <c:pt idx="398">
                  <c:v>506.90501233184716</c:v>
                </c:pt>
                <c:pt idx="399">
                  <c:v>505.37136393002618</c:v>
                </c:pt>
                <c:pt idx="400">
                  <c:v>503.84625525141627</c:v>
                </c:pt>
                <c:pt idx="401">
                  <c:v>502.32962287063782</c:v>
                </c:pt>
                <c:pt idx="402">
                  <c:v>500.32052320520643</c:v>
                </c:pt>
                <c:pt idx="403">
                  <c:v>498.82342553083618</c:v>
                </c:pt>
                <c:pt idx="404">
                  <c:v>497.33459699908838</c:v>
                </c:pt>
                <c:pt idx="405">
                  <c:v>495.85397671631091</c:v>
                </c:pt>
                <c:pt idx="406">
                  <c:v>494.38150435541991</c:v>
                </c:pt>
                <c:pt idx="407">
                  <c:v>492.91712014945972</c:v>
                </c:pt>
                <c:pt idx="408">
                  <c:v>491.46076488525102</c:v>
                </c:pt>
                <c:pt idx="409">
                  <c:v>489.53134601188617</c:v>
                </c:pt>
                <c:pt idx="410">
                  <c:v>488.0934977355767</c:v>
                </c:pt>
                <c:pt idx="411">
                  <c:v>486.66348494342407</c:v>
                </c:pt>
                <c:pt idx="412">
                  <c:v>485.24125075061028</c:v>
                </c:pt>
                <c:pt idx="413">
                  <c:v>483.82673879363347</c:v>
                </c:pt>
                <c:pt idx="414">
                  <c:v>482.41989322447608</c:v>
                </c:pt>
                <c:pt idx="415">
                  <c:v>481.02065870485228</c:v>
                </c:pt>
                <c:pt idx="416">
                  <c:v>479.16675738575901</c:v>
                </c:pt>
                <c:pt idx="417">
                  <c:v>477.78506959820908</c:v>
                </c:pt>
                <c:pt idx="418">
                  <c:v>476.4108120083099</c:v>
                </c:pt>
                <c:pt idx="419">
                  <c:v>475.04393142197296</c:v>
                </c:pt>
                <c:pt idx="420">
                  <c:v>473.6843751254205</c:v>
                </c:pt>
                <c:pt idx="421">
                  <c:v>472.33209087989718</c:v>
                </c:pt>
                <c:pt idx="422">
                  <c:v>470.54026788839997</c:v>
                </c:pt>
                <c:pt idx="423">
                  <c:v>469.20475124061085</c:v>
                </c:pt>
                <c:pt idx="424">
                  <c:v>467.87633587888149</c:v>
                </c:pt>
                <c:pt idx="425">
                  <c:v>466.55497156344416</c:v>
                </c:pt>
                <c:pt idx="426">
                  <c:v>465.24060850249452</c:v>
                </c:pt>
                <c:pt idx="427">
                  <c:v>463.93319734732245</c:v>
                </c:pt>
                <c:pt idx="428">
                  <c:v>462.63268918750879</c:v>
                </c:pt>
                <c:pt idx="429">
                  <c:v>460.90933257521363</c:v>
                </c:pt>
                <c:pt idx="430">
                  <c:v>459.62474362399269</c:v>
                </c:pt>
                <c:pt idx="431">
                  <c:v>458.3468977384008</c:v>
                </c:pt>
                <c:pt idx="432">
                  <c:v>457.0757478532571</c:v>
                </c:pt>
                <c:pt idx="433">
                  <c:v>455.81124731707206</c:v>
                </c:pt>
                <c:pt idx="434">
                  <c:v>454.55334988762218</c:v>
                </c:pt>
                <c:pt idx="435">
                  <c:v>452.88634564715198</c:v>
                </c:pt>
                <c:pt idx="436">
                  <c:v>451.64367790221121</c:v>
                </c:pt>
                <c:pt idx="437">
                  <c:v>450.40746202335572</c:v>
                </c:pt>
                <c:pt idx="438">
                  <c:v>449.17765349204126</c:v>
                </c:pt>
                <c:pt idx="439">
                  <c:v>447.95420817630787</c:v>
                </c:pt>
                <c:pt idx="440">
                  <c:v>446.73708232669537</c:v>
                </c:pt>
                <c:pt idx="441">
                  <c:v>445.52623257220978</c:v>
                </c:pt>
                <c:pt idx="442">
                  <c:v>443.9214547860297</c:v>
                </c:pt>
                <c:pt idx="443">
                  <c:v>442.72508268475781</c:v>
                </c:pt>
                <c:pt idx="444">
                  <c:v>441.53484479124131</c:v>
                </c:pt>
                <c:pt idx="445">
                  <c:v>440.35069932912103</c:v>
                </c:pt>
                <c:pt idx="446">
                  <c:v>439.17260487983009</c:v>
                </c:pt>
                <c:pt idx="447">
                  <c:v>438.0005203788678</c:v>
                </c:pt>
                <c:pt idx="448">
                  <c:v>436.83440511212115</c:v>
                </c:pt>
                <c:pt idx="449">
                  <c:v>435.28880051065499</c:v>
                </c:pt>
                <c:pt idx="450">
                  <c:v>434.13645706551188</c:v>
                </c:pt>
                <c:pt idx="451">
                  <c:v>432.98994962512347</c:v>
                </c:pt>
                <c:pt idx="452">
                  <c:v>431.84923895229821</c:v>
                </c:pt>
                <c:pt idx="453">
                  <c:v>430.71428614135931</c:v>
                </c:pt>
                <c:pt idx="454">
                  <c:v>429.58505261474232</c:v>
                </c:pt>
                <c:pt idx="455">
                  <c:v>428.0882385074716</c:v>
                </c:pt>
                <c:pt idx="456">
                  <c:v>426.97220177174739</c:v>
                </c:pt>
                <c:pt idx="457">
                  <c:v>425.86175805530894</c:v>
                </c:pt>
                <c:pt idx="458">
                  <c:v>424.75687016408841</c:v>
                </c:pt>
                <c:pt idx="459">
                  <c:v>423.65750121466937</c:v>
                </c:pt>
                <c:pt idx="460">
                  <c:v>422.56361463113399</c:v>
                </c:pt>
                <c:pt idx="461">
                  <c:v>421.47517414195306</c:v>
                </c:pt>
                <c:pt idx="462">
                  <c:v>420.03232973098255</c:v>
                </c:pt>
                <c:pt idx="463">
                  <c:v>418.95645742622389</c:v>
                </c:pt>
                <c:pt idx="464">
                  <c:v>417.88591246987278</c:v>
                </c:pt>
                <c:pt idx="465">
                  <c:v>416.82065987435158</c:v>
                </c:pt>
                <c:pt idx="466">
                  <c:v>415.76066494048928</c:v>
                </c:pt>
                <c:pt idx="467">
                  <c:v>414.70589325463925</c:v>
                </c:pt>
                <c:pt idx="468">
                  <c:v>413.65631068582741</c:v>
                </c:pt>
                <c:pt idx="469">
                  <c:v>412.26488075244004</c:v>
                </c:pt>
                <c:pt idx="470">
                  <c:v>411.22727495864854</c:v>
                </c:pt>
                <c:pt idx="471">
                  <c:v>410.19474651759941</c:v>
                </c:pt>
                <c:pt idx="472">
                  <c:v>409.1672624911148</c:v>
                </c:pt>
                <c:pt idx="473">
                  <c:v>408.1447902090481</c:v>
                </c:pt>
                <c:pt idx="474">
                  <c:v>407.12729726663872</c:v>
                </c:pt>
                <c:pt idx="475">
                  <c:v>405.77833013303336</c:v>
                </c:pt>
                <c:pt idx="476">
                  <c:v>404.77233110255099</c:v>
                </c:pt>
                <c:pt idx="477">
                  <c:v>403.77120527921119</c:v>
                </c:pt>
                <c:pt idx="478">
                  <c:v>402.77492137845081</c:v>
                </c:pt>
                <c:pt idx="479">
                  <c:v>401.78344836750136</c:v>
                </c:pt>
                <c:pt idx="480">
                  <c:v>400.79675546293447</c:v>
                </c:pt>
                <c:pt idx="481">
                  <c:v>399.81481212823377</c:v>
                </c:pt>
                <c:pt idx="482">
                  <c:v>398.51289024679681</c:v>
                </c:pt>
                <c:pt idx="483">
                  <c:v>397.54191185772578</c:v>
                </c:pt>
                <c:pt idx="484">
                  <c:v>396.57558300278856</c:v>
                </c:pt>
                <c:pt idx="485">
                  <c:v>395.61387418804804</c:v>
                </c:pt>
                <c:pt idx="486">
                  <c:v>394.65675615399726</c:v>
                </c:pt>
                <c:pt idx="487">
                  <c:v>393.70419987330314</c:v>
                </c:pt>
                <c:pt idx="488">
                  <c:v>392.75617654857547</c:v>
                </c:pt>
                <c:pt idx="489">
                  <c:v>391.49914736665846</c:v>
                </c:pt>
                <c:pt idx="490">
                  <c:v>390.56159022452294</c:v>
                </c:pt>
                <c:pt idx="491">
                  <c:v>389.62847167962406</c:v>
                </c:pt>
                <c:pt idx="492">
                  <c:v>388.69976390582622</c:v>
                </c:pt>
                <c:pt idx="493">
                  <c:v>388.77543929545948</c:v>
                </c:pt>
                <c:pt idx="494">
                  <c:v>388.85547045724456</c:v>
                </c:pt>
                <c:pt idx="495">
                  <c:v>388.6355740433205</c:v>
                </c:pt>
                <c:pt idx="496">
                  <c:v>388.72566335201748</c:v>
                </c:pt>
                <c:pt idx="497">
                  <c:v>388.82001866524058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1-4875-B88C-B488B95351CA}"/>
            </c:ext>
          </c:extLst>
        </c:ser>
        <c:ser>
          <c:idx val="2"/>
          <c:order val="2"/>
          <c:tx>
            <c:strRef>
              <c:f>'sheet 1'!$P$38</c:f>
              <c:strCache>
                <c:ptCount val="1"/>
                <c:pt idx="0">
                  <c:v>I1</c:v>
                </c:pt>
              </c:strCache>
            </c:strRef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0.30000000000001137</c:v>
                </c:pt>
                <c:pt idx="2">
                  <c:v>0.60000000000000853</c:v>
                </c:pt>
                <c:pt idx="3">
                  <c:v>0.90000000000000568</c:v>
                </c:pt>
                <c:pt idx="4">
                  <c:v>1.3000000000000114</c:v>
                </c:pt>
                <c:pt idx="5">
                  <c:v>1.6000000000000085</c:v>
                </c:pt>
                <c:pt idx="6">
                  <c:v>1.9000000000000057</c:v>
                </c:pt>
                <c:pt idx="7">
                  <c:v>2.2000000000000028</c:v>
                </c:pt>
                <c:pt idx="8">
                  <c:v>2.5</c:v>
                </c:pt>
                <c:pt idx="9">
                  <c:v>2.8000000000000114</c:v>
                </c:pt>
                <c:pt idx="10">
                  <c:v>3.1000000000000085</c:v>
                </c:pt>
                <c:pt idx="11">
                  <c:v>3.5</c:v>
                </c:pt>
                <c:pt idx="12">
                  <c:v>3.8000000000000114</c:v>
                </c:pt>
                <c:pt idx="13">
                  <c:v>4.1000000000000085</c:v>
                </c:pt>
                <c:pt idx="14">
                  <c:v>4.4000000000000057</c:v>
                </c:pt>
                <c:pt idx="15">
                  <c:v>4.7000000000000028</c:v>
                </c:pt>
                <c:pt idx="16">
                  <c:v>5</c:v>
                </c:pt>
                <c:pt idx="17">
                  <c:v>5.4000000000000057</c:v>
                </c:pt>
                <c:pt idx="18">
                  <c:v>5.7000000000000028</c:v>
                </c:pt>
                <c:pt idx="19">
                  <c:v>6</c:v>
                </c:pt>
                <c:pt idx="20">
                  <c:v>6.3000000000000114</c:v>
                </c:pt>
                <c:pt idx="21">
                  <c:v>6.6000000000000085</c:v>
                </c:pt>
                <c:pt idx="22">
                  <c:v>6.9000000000000057</c:v>
                </c:pt>
                <c:pt idx="23">
                  <c:v>7.2000000000000028</c:v>
                </c:pt>
                <c:pt idx="24">
                  <c:v>7.6000000000000085</c:v>
                </c:pt>
                <c:pt idx="25">
                  <c:v>7.9000000000000057</c:v>
                </c:pt>
                <c:pt idx="26">
                  <c:v>8.2000000000000028</c:v>
                </c:pt>
                <c:pt idx="27">
                  <c:v>8.5</c:v>
                </c:pt>
                <c:pt idx="28">
                  <c:v>8.8000000000000114</c:v>
                </c:pt>
                <c:pt idx="29">
                  <c:v>9.1000000000000085</c:v>
                </c:pt>
                <c:pt idx="30">
                  <c:v>9.4000000000000057</c:v>
                </c:pt>
                <c:pt idx="31">
                  <c:v>9.8000000000000114</c:v>
                </c:pt>
                <c:pt idx="32">
                  <c:v>10.100000000000009</c:v>
                </c:pt>
                <c:pt idx="33">
                  <c:v>10.400000000000006</c:v>
                </c:pt>
                <c:pt idx="34">
                  <c:v>10.700000000000003</c:v>
                </c:pt>
                <c:pt idx="35">
                  <c:v>11</c:v>
                </c:pt>
                <c:pt idx="36">
                  <c:v>11.300000000000011</c:v>
                </c:pt>
                <c:pt idx="37">
                  <c:v>11.700000000000003</c:v>
                </c:pt>
                <c:pt idx="38">
                  <c:v>12</c:v>
                </c:pt>
                <c:pt idx="39">
                  <c:v>12.300000000000011</c:v>
                </c:pt>
                <c:pt idx="40">
                  <c:v>12.600000000000009</c:v>
                </c:pt>
                <c:pt idx="41">
                  <c:v>12.900000000000006</c:v>
                </c:pt>
                <c:pt idx="42">
                  <c:v>13.200000000000003</c:v>
                </c:pt>
                <c:pt idx="43">
                  <c:v>13.5</c:v>
                </c:pt>
                <c:pt idx="44">
                  <c:v>13.900000000000006</c:v>
                </c:pt>
                <c:pt idx="45">
                  <c:v>14.200000000000003</c:v>
                </c:pt>
                <c:pt idx="46">
                  <c:v>14.5</c:v>
                </c:pt>
                <c:pt idx="47">
                  <c:v>14.800000000000011</c:v>
                </c:pt>
                <c:pt idx="48">
                  <c:v>15.100000000000009</c:v>
                </c:pt>
                <c:pt idx="49">
                  <c:v>15.400000000000006</c:v>
                </c:pt>
                <c:pt idx="50">
                  <c:v>15.700000000000003</c:v>
                </c:pt>
                <c:pt idx="51">
                  <c:v>16.100000000000009</c:v>
                </c:pt>
                <c:pt idx="52">
                  <c:v>16.400000000000006</c:v>
                </c:pt>
                <c:pt idx="53">
                  <c:v>16.700000000000003</c:v>
                </c:pt>
                <c:pt idx="54">
                  <c:v>17</c:v>
                </c:pt>
                <c:pt idx="55">
                  <c:v>17.300000000000011</c:v>
                </c:pt>
                <c:pt idx="56">
                  <c:v>17.600000000000009</c:v>
                </c:pt>
                <c:pt idx="57">
                  <c:v>18</c:v>
                </c:pt>
                <c:pt idx="58">
                  <c:v>18.300000000000011</c:v>
                </c:pt>
                <c:pt idx="59">
                  <c:v>18.600000000000009</c:v>
                </c:pt>
                <c:pt idx="60">
                  <c:v>18.900000000000006</c:v>
                </c:pt>
                <c:pt idx="61">
                  <c:v>19.200000000000003</c:v>
                </c:pt>
                <c:pt idx="62">
                  <c:v>19.5</c:v>
                </c:pt>
                <c:pt idx="63">
                  <c:v>19.800000000000011</c:v>
                </c:pt>
                <c:pt idx="64">
                  <c:v>20.200000000000003</c:v>
                </c:pt>
                <c:pt idx="65">
                  <c:v>20.5</c:v>
                </c:pt>
                <c:pt idx="66">
                  <c:v>20.800000000000011</c:v>
                </c:pt>
                <c:pt idx="67">
                  <c:v>21.100000000000009</c:v>
                </c:pt>
                <c:pt idx="68">
                  <c:v>21.400000000000006</c:v>
                </c:pt>
                <c:pt idx="69">
                  <c:v>21.700000000000003</c:v>
                </c:pt>
                <c:pt idx="70">
                  <c:v>22.100000000000009</c:v>
                </c:pt>
                <c:pt idx="71">
                  <c:v>22.400000000000006</c:v>
                </c:pt>
                <c:pt idx="72">
                  <c:v>22.700000000000003</c:v>
                </c:pt>
                <c:pt idx="73">
                  <c:v>23</c:v>
                </c:pt>
                <c:pt idx="74">
                  <c:v>23.300000000000011</c:v>
                </c:pt>
                <c:pt idx="75">
                  <c:v>23.600000000000009</c:v>
                </c:pt>
                <c:pt idx="76">
                  <c:v>23.900000000000006</c:v>
                </c:pt>
                <c:pt idx="77">
                  <c:v>24.300000000000011</c:v>
                </c:pt>
                <c:pt idx="78">
                  <c:v>24.600000000000009</c:v>
                </c:pt>
                <c:pt idx="79">
                  <c:v>24.900000000000006</c:v>
                </c:pt>
                <c:pt idx="80">
                  <c:v>25.200000000000003</c:v>
                </c:pt>
                <c:pt idx="81">
                  <c:v>25.5</c:v>
                </c:pt>
                <c:pt idx="82">
                  <c:v>25.800000000000011</c:v>
                </c:pt>
                <c:pt idx="83">
                  <c:v>26.100000000000009</c:v>
                </c:pt>
                <c:pt idx="84">
                  <c:v>26.5</c:v>
                </c:pt>
                <c:pt idx="85">
                  <c:v>26.800000000000011</c:v>
                </c:pt>
                <c:pt idx="86">
                  <c:v>27.100000000000009</c:v>
                </c:pt>
                <c:pt idx="87">
                  <c:v>27.400000000000006</c:v>
                </c:pt>
                <c:pt idx="88">
                  <c:v>27.700000000000003</c:v>
                </c:pt>
                <c:pt idx="89">
                  <c:v>28</c:v>
                </c:pt>
                <c:pt idx="90">
                  <c:v>28.400000000000006</c:v>
                </c:pt>
                <c:pt idx="91">
                  <c:v>28.700000000000003</c:v>
                </c:pt>
                <c:pt idx="92">
                  <c:v>29</c:v>
                </c:pt>
                <c:pt idx="93">
                  <c:v>29.300000000000011</c:v>
                </c:pt>
                <c:pt idx="94">
                  <c:v>29.600000000000009</c:v>
                </c:pt>
                <c:pt idx="95">
                  <c:v>29.900000000000006</c:v>
                </c:pt>
                <c:pt idx="96">
                  <c:v>30.200000000000003</c:v>
                </c:pt>
                <c:pt idx="97">
                  <c:v>30.600000000000009</c:v>
                </c:pt>
                <c:pt idx="98">
                  <c:v>30.900000000000006</c:v>
                </c:pt>
                <c:pt idx="99">
                  <c:v>31.200000000000003</c:v>
                </c:pt>
                <c:pt idx="100">
                  <c:v>31.5</c:v>
                </c:pt>
                <c:pt idx="101">
                  <c:v>31.800000000000011</c:v>
                </c:pt>
                <c:pt idx="102">
                  <c:v>32.100000000000009</c:v>
                </c:pt>
                <c:pt idx="103">
                  <c:v>32.400000000000006</c:v>
                </c:pt>
                <c:pt idx="104">
                  <c:v>32.800000000000011</c:v>
                </c:pt>
                <c:pt idx="105">
                  <c:v>33.100000000000009</c:v>
                </c:pt>
                <c:pt idx="106">
                  <c:v>33.400000000000006</c:v>
                </c:pt>
                <c:pt idx="107">
                  <c:v>33.700000000000003</c:v>
                </c:pt>
                <c:pt idx="108">
                  <c:v>34</c:v>
                </c:pt>
                <c:pt idx="109">
                  <c:v>34.300000000000011</c:v>
                </c:pt>
                <c:pt idx="110">
                  <c:v>34.700000000000003</c:v>
                </c:pt>
                <c:pt idx="111">
                  <c:v>35</c:v>
                </c:pt>
                <c:pt idx="112">
                  <c:v>35.300000000000011</c:v>
                </c:pt>
                <c:pt idx="113">
                  <c:v>35.600000000000009</c:v>
                </c:pt>
                <c:pt idx="114">
                  <c:v>35.900000000000006</c:v>
                </c:pt>
                <c:pt idx="115">
                  <c:v>36.200000000000003</c:v>
                </c:pt>
                <c:pt idx="116">
                  <c:v>36.5</c:v>
                </c:pt>
                <c:pt idx="117">
                  <c:v>36.900000000000006</c:v>
                </c:pt>
                <c:pt idx="118">
                  <c:v>37.200000000000003</c:v>
                </c:pt>
                <c:pt idx="119">
                  <c:v>37.5</c:v>
                </c:pt>
                <c:pt idx="120">
                  <c:v>37.800000000000011</c:v>
                </c:pt>
                <c:pt idx="121">
                  <c:v>38.100000000000009</c:v>
                </c:pt>
                <c:pt idx="122">
                  <c:v>38.400000000000006</c:v>
                </c:pt>
                <c:pt idx="123">
                  <c:v>38.700000000000003</c:v>
                </c:pt>
                <c:pt idx="124">
                  <c:v>39.100000000000009</c:v>
                </c:pt>
                <c:pt idx="125">
                  <c:v>39.400000000000006</c:v>
                </c:pt>
                <c:pt idx="126">
                  <c:v>39.700000000000003</c:v>
                </c:pt>
                <c:pt idx="127">
                  <c:v>40</c:v>
                </c:pt>
                <c:pt idx="128">
                  <c:v>40.300000000000011</c:v>
                </c:pt>
                <c:pt idx="129">
                  <c:v>40.600000000000009</c:v>
                </c:pt>
                <c:pt idx="130">
                  <c:v>41</c:v>
                </c:pt>
                <c:pt idx="131">
                  <c:v>41.300000000000011</c:v>
                </c:pt>
                <c:pt idx="132">
                  <c:v>41.600000000000009</c:v>
                </c:pt>
                <c:pt idx="133">
                  <c:v>41.900000000000006</c:v>
                </c:pt>
                <c:pt idx="134">
                  <c:v>42.2</c:v>
                </c:pt>
                <c:pt idx="135">
                  <c:v>42.5</c:v>
                </c:pt>
                <c:pt idx="136">
                  <c:v>42.800000000000011</c:v>
                </c:pt>
                <c:pt idx="137">
                  <c:v>43.2</c:v>
                </c:pt>
                <c:pt idx="138">
                  <c:v>43.5</c:v>
                </c:pt>
                <c:pt idx="139">
                  <c:v>43.800000000000011</c:v>
                </c:pt>
                <c:pt idx="140">
                  <c:v>44.100000000000009</c:v>
                </c:pt>
                <c:pt idx="141">
                  <c:v>44.400000000000006</c:v>
                </c:pt>
                <c:pt idx="142">
                  <c:v>44.7</c:v>
                </c:pt>
                <c:pt idx="143">
                  <c:v>45.100000000000009</c:v>
                </c:pt>
                <c:pt idx="144">
                  <c:v>45.400000000000006</c:v>
                </c:pt>
                <c:pt idx="145">
                  <c:v>45.7</c:v>
                </c:pt>
                <c:pt idx="146">
                  <c:v>46</c:v>
                </c:pt>
                <c:pt idx="147">
                  <c:v>46.300000000000011</c:v>
                </c:pt>
                <c:pt idx="148">
                  <c:v>46.600000000000009</c:v>
                </c:pt>
                <c:pt idx="149">
                  <c:v>46.900000000000006</c:v>
                </c:pt>
                <c:pt idx="150">
                  <c:v>47.300000000000011</c:v>
                </c:pt>
                <c:pt idx="151">
                  <c:v>47.600000000000009</c:v>
                </c:pt>
                <c:pt idx="152">
                  <c:v>47.900000000000006</c:v>
                </c:pt>
                <c:pt idx="153">
                  <c:v>48.2</c:v>
                </c:pt>
                <c:pt idx="154">
                  <c:v>48.5</c:v>
                </c:pt>
                <c:pt idx="155">
                  <c:v>48.800000000000011</c:v>
                </c:pt>
                <c:pt idx="156">
                  <c:v>49.100000000000009</c:v>
                </c:pt>
                <c:pt idx="157">
                  <c:v>49.5</c:v>
                </c:pt>
                <c:pt idx="158">
                  <c:v>49.800000000000011</c:v>
                </c:pt>
                <c:pt idx="159">
                  <c:v>50.100000000000009</c:v>
                </c:pt>
                <c:pt idx="160">
                  <c:v>50.400000000000006</c:v>
                </c:pt>
                <c:pt idx="161">
                  <c:v>50.7</c:v>
                </c:pt>
                <c:pt idx="162">
                  <c:v>51</c:v>
                </c:pt>
                <c:pt idx="163">
                  <c:v>51.400000000000006</c:v>
                </c:pt>
                <c:pt idx="164">
                  <c:v>51.7</c:v>
                </c:pt>
                <c:pt idx="165">
                  <c:v>52</c:v>
                </c:pt>
                <c:pt idx="166">
                  <c:v>52.300000000000011</c:v>
                </c:pt>
                <c:pt idx="167">
                  <c:v>52.600000000000009</c:v>
                </c:pt>
                <c:pt idx="168">
                  <c:v>52.900000000000006</c:v>
                </c:pt>
                <c:pt idx="169">
                  <c:v>53.2</c:v>
                </c:pt>
                <c:pt idx="170">
                  <c:v>53.600000000000009</c:v>
                </c:pt>
                <c:pt idx="171">
                  <c:v>53.900000000000006</c:v>
                </c:pt>
                <c:pt idx="172">
                  <c:v>54.2</c:v>
                </c:pt>
                <c:pt idx="173">
                  <c:v>54.5</c:v>
                </c:pt>
                <c:pt idx="174">
                  <c:v>54.800000000000011</c:v>
                </c:pt>
                <c:pt idx="175">
                  <c:v>55.099999999999994</c:v>
                </c:pt>
                <c:pt idx="176">
                  <c:v>55.400000000000006</c:v>
                </c:pt>
                <c:pt idx="177">
                  <c:v>55.800000000000011</c:v>
                </c:pt>
                <c:pt idx="178">
                  <c:v>56.099999999999994</c:v>
                </c:pt>
                <c:pt idx="179">
                  <c:v>56.400000000000006</c:v>
                </c:pt>
                <c:pt idx="180">
                  <c:v>56.700000000000017</c:v>
                </c:pt>
                <c:pt idx="181">
                  <c:v>57</c:v>
                </c:pt>
                <c:pt idx="182">
                  <c:v>57.300000000000011</c:v>
                </c:pt>
                <c:pt idx="183">
                  <c:v>57.700000000000017</c:v>
                </c:pt>
                <c:pt idx="184">
                  <c:v>58</c:v>
                </c:pt>
                <c:pt idx="185">
                  <c:v>58.300000000000011</c:v>
                </c:pt>
                <c:pt idx="186">
                  <c:v>58.599999999999994</c:v>
                </c:pt>
                <c:pt idx="187">
                  <c:v>58.900000000000006</c:v>
                </c:pt>
                <c:pt idx="188">
                  <c:v>59.200000000000017</c:v>
                </c:pt>
                <c:pt idx="189">
                  <c:v>59.5</c:v>
                </c:pt>
                <c:pt idx="190">
                  <c:v>59.900000000000006</c:v>
                </c:pt>
                <c:pt idx="191">
                  <c:v>60.200000000000017</c:v>
                </c:pt>
                <c:pt idx="192">
                  <c:v>60.5</c:v>
                </c:pt>
                <c:pt idx="193">
                  <c:v>60.800000000000011</c:v>
                </c:pt>
                <c:pt idx="194">
                  <c:v>61.099999999999994</c:v>
                </c:pt>
                <c:pt idx="195">
                  <c:v>61.400000000000006</c:v>
                </c:pt>
                <c:pt idx="196">
                  <c:v>61.700000000000017</c:v>
                </c:pt>
                <c:pt idx="197">
                  <c:v>62.099999999999994</c:v>
                </c:pt>
                <c:pt idx="198">
                  <c:v>62.400000000000006</c:v>
                </c:pt>
                <c:pt idx="199">
                  <c:v>62.700000000000017</c:v>
                </c:pt>
                <c:pt idx="200">
                  <c:v>63</c:v>
                </c:pt>
                <c:pt idx="201">
                  <c:v>63.300000000000011</c:v>
                </c:pt>
                <c:pt idx="202">
                  <c:v>63.599999999999994</c:v>
                </c:pt>
                <c:pt idx="203">
                  <c:v>64</c:v>
                </c:pt>
                <c:pt idx="204">
                  <c:v>64.300000000000011</c:v>
                </c:pt>
                <c:pt idx="205">
                  <c:v>64.599999999999994</c:v>
                </c:pt>
                <c:pt idx="206">
                  <c:v>64.900000000000006</c:v>
                </c:pt>
                <c:pt idx="207">
                  <c:v>65.200000000000017</c:v>
                </c:pt>
                <c:pt idx="208">
                  <c:v>65.5</c:v>
                </c:pt>
                <c:pt idx="209">
                  <c:v>65.800000000000011</c:v>
                </c:pt>
                <c:pt idx="210">
                  <c:v>66.200000000000017</c:v>
                </c:pt>
                <c:pt idx="211">
                  <c:v>66.5</c:v>
                </c:pt>
                <c:pt idx="212">
                  <c:v>66.800000000000011</c:v>
                </c:pt>
                <c:pt idx="213">
                  <c:v>67.099999999999994</c:v>
                </c:pt>
                <c:pt idx="214">
                  <c:v>67.400000000000006</c:v>
                </c:pt>
                <c:pt idx="215">
                  <c:v>67.700000000000017</c:v>
                </c:pt>
                <c:pt idx="216">
                  <c:v>68.099999999999994</c:v>
                </c:pt>
                <c:pt idx="217">
                  <c:v>68.400000000000006</c:v>
                </c:pt>
                <c:pt idx="218">
                  <c:v>68.700000000000017</c:v>
                </c:pt>
                <c:pt idx="219">
                  <c:v>69</c:v>
                </c:pt>
                <c:pt idx="220">
                  <c:v>69.300000000000011</c:v>
                </c:pt>
                <c:pt idx="221">
                  <c:v>69.599999999999994</c:v>
                </c:pt>
                <c:pt idx="222">
                  <c:v>69.900000000000006</c:v>
                </c:pt>
                <c:pt idx="223">
                  <c:v>70.300000000000011</c:v>
                </c:pt>
                <c:pt idx="224">
                  <c:v>70.599999999999994</c:v>
                </c:pt>
                <c:pt idx="225">
                  <c:v>70.900000000000006</c:v>
                </c:pt>
                <c:pt idx="226">
                  <c:v>71.200000000000017</c:v>
                </c:pt>
                <c:pt idx="227">
                  <c:v>71.5</c:v>
                </c:pt>
                <c:pt idx="228">
                  <c:v>71.800000000000011</c:v>
                </c:pt>
                <c:pt idx="229">
                  <c:v>72.099999999999994</c:v>
                </c:pt>
                <c:pt idx="230">
                  <c:v>72.5</c:v>
                </c:pt>
                <c:pt idx="231">
                  <c:v>72.800000000000011</c:v>
                </c:pt>
                <c:pt idx="232">
                  <c:v>73.099999999999994</c:v>
                </c:pt>
                <c:pt idx="233">
                  <c:v>73.400000000000006</c:v>
                </c:pt>
                <c:pt idx="234">
                  <c:v>73.700000000000017</c:v>
                </c:pt>
                <c:pt idx="235">
                  <c:v>74</c:v>
                </c:pt>
                <c:pt idx="236">
                  <c:v>74.400000000000006</c:v>
                </c:pt>
                <c:pt idx="237">
                  <c:v>74.700000000000017</c:v>
                </c:pt>
                <c:pt idx="238">
                  <c:v>75</c:v>
                </c:pt>
                <c:pt idx="239">
                  <c:v>75.300000000000011</c:v>
                </c:pt>
                <c:pt idx="240">
                  <c:v>75.599999999999994</c:v>
                </c:pt>
                <c:pt idx="241">
                  <c:v>75.900000000000006</c:v>
                </c:pt>
                <c:pt idx="242">
                  <c:v>76.200000000000017</c:v>
                </c:pt>
                <c:pt idx="243">
                  <c:v>76.599999999999994</c:v>
                </c:pt>
                <c:pt idx="244">
                  <c:v>76.900000000000006</c:v>
                </c:pt>
                <c:pt idx="245">
                  <c:v>77.200000000000017</c:v>
                </c:pt>
                <c:pt idx="246">
                  <c:v>77.5</c:v>
                </c:pt>
                <c:pt idx="247">
                  <c:v>77.800000000000011</c:v>
                </c:pt>
                <c:pt idx="248">
                  <c:v>78.099999999999994</c:v>
                </c:pt>
                <c:pt idx="249">
                  <c:v>78.400000000000006</c:v>
                </c:pt>
                <c:pt idx="250">
                  <c:v>78.800000000000011</c:v>
                </c:pt>
                <c:pt idx="251">
                  <c:v>79.099999999999994</c:v>
                </c:pt>
                <c:pt idx="252">
                  <c:v>79.400000000000006</c:v>
                </c:pt>
                <c:pt idx="253">
                  <c:v>79.700000000000017</c:v>
                </c:pt>
                <c:pt idx="254">
                  <c:v>80</c:v>
                </c:pt>
                <c:pt idx="255">
                  <c:v>80.300000000000011</c:v>
                </c:pt>
                <c:pt idx="256">
                  <c:v>80.700000000000017</c:v>
                </c:pt>
                <c:pt idx="257">
                  <c:v>81</c:v>
                </c:pt>
                <c:pt idx="258">
                  <c:v>81.300000000000011</c:v>
                </c:pt>
                <c:pt idx="259">
                  <c:v>81.599999999999994</c:v>
                </c:pt>
                <c:pt idx="260">
                  <c:v>81.900000000000006</c:v>
                </c:pt>
                <c:pt idx="261">
                  <c:v>82.200000000000017</c:v>
                </c:pt>
                <c:pt idx="262">
                  <c:v>82.5</c:v>
                </c:pt>
                <c:pt idx="263">
                  <c:v>82.9</c:v>
                </c:pt>
                <c:pt idx="264">
                  <c:v>83.200000000000017</c:v>
                </c:pt>
                <c:pt idx="265">
                  <c:v>83.5</c:v>
                </c:pt>
                <c:pt idx="266">
                  <c:v>83.800000000000011</c:v>
                </c:pt>
                <c:pt idx="267">
                  <c:v>84.1</c:v>
                </c:pt>
                <c:pt idx="268">
                  <c:v>84.4</c:v>
                </c:pt>
                <c:pt idx="269">
                  <c:v>84.700000000000017</c:v>
                </c:pt>
                <c:pt idx="270">
                  <c:v>85.1</c:v>
                </c:pt>
                <c:pt idx="271">
                  <c:v>85.4</c:v>
                </c:pt>
                <c:pt idx="272">
                  <c:v>85.700000000000017</c:v>
                </c:pt>
                <c:pt idx="273">
                  <c:v>86</c:v>
                </c:pt>
                <c:pt idx="274">
                  <c:v>86.300000000000011</c:v>
                </c:pt>
                <c:pt idx="275">
                  <c:v>86.6</c:v>
                </c:pt>
                <c:pt idx="276">
                  <c:v>87</c:v>
                </c:pt>
                <c:pt idx="277">
                  <c:v>87.300000000000011</c:v>
                </c:pt>
                <c:pt idx="278">
                  <c:v>87.6</c:v>
                </c:pt>
                <c:pt idx="279">
                  <c:v>87.9</c:v>
                </c:pt>
                <c:pt idx="280">
                  <c:v>88.200000000000017</c:v>
                </c:pt>
                <c:pt idx="281">
                  <c:v>88.5</c:v>
                </c:pt>
                <c:pt idx="282">
                  <c:v>88.800000000000011</c:v>
                </c:pt>
                <c:pt idx="283">
                  <c:v>89.200000000000017</c:v>
                </c:pt>
                <c:pt idx="284">
                  <c:v>89.5</c:v>
                </c:pt>
                <c:pt idx="285">
                  <c:v>89.800000000000011</c:v>
                </c:pt>
                <c:pt idx="286">
                  <c:v>90.1</c:v>
                </c:pt>
                <c:pt idx="287">
                  <c:v>90.4</c:v>
                </c:pt>
                <c:pt idx="288">
                  <c:v>90.700000000000017</c:v>
                </c:pt>
                <c:pt idx="289">
                  <c:v>91.1</c:v>
                </c:pt>
                <c:pt idx="290">
                  <c:v>91.4</c:v>
                </c:pt>
                <c:pt idx="291">
                  <c:v>91.700000000000017</c:v>
                </c:pt>
                <c:pt idx="292">
                  <c:v>92</c:v>
                </c:pt>
                <c:pt idx="293">
                  <c:v>92.300000000000011</c:v>
                </c:pt>
                <c:pt idx="294">
                  <c:v>92.6</c:v>
                </c:pt>
                <c:pt idx="295">
                  <c:v>92.9</c:v>
                </c:pt>
                <c:pt idx="296">
                  <c:v>93.300000000000011</c:v>
                </c:pt>
                <c:pt idx="297">
                  <c:v>93.6</c:v>
                </c:pt>
                <c:pt idx="298">
                  <c:v>93.9</c:v>
                </c:pt>
                <c:pt idx="299">
                  <c:v>94.200000000000017</c:v>
                </c:pt>
                <c:pt idx="300">
                  <c:v>94.5</c:v>
                </c:pt>
                <c:pt idx="301">
                  <c:v>94.800000000000011</c:v>
                </c:pt>
                <c:pt idx="302">
                  <c:v>95.1</c:v>
                </c:pt>
                <c:pt idx="303">
                  <c:v>95.5</c:v>
                </c:pt>
                <c:pt idx="304">
                  <c:v>95.800000000000011</c:v>
                </c:pt>
                <c:pt idx="305">
                  <c:v>96.1</c:v>
                </c:pt>
                <c:pt idx="306">
                  <c:v>96.4</c:v>
                </c:pt>
                <c:pt idx="307">
                  <c:v>96.700000000000017</c:v>
                </c:pt>
                <c:pt idx="308">
                  <c:v>97</c:v>
                </c:pt>
                <c:pt idx="309">
                  <c:v>97.4</c:v>
                </c:pt>
                <c:pt idx="310">
                  <c:v>97.700000000000017</c:v>
                </c:pt>
                <c:pt idx="311">
                  <c:v>98</c:v>
                </c:pt>
                <c:pt idx="312">
                  <c:v>98.300000000000011</c:v>
                </c:pt>
                <c:pt idx="313">
                  <c:v>98.6</c:v>
                </c:pt>
                <c:pt idx="314">
                  <c:v>98.9</c:v>
                </c:pt>
                <c:pt idx="315">
                  <c:v>99.200000000000017</c:v>
                </c:pt>
                <c:pt idx="316">
                  <c:v>99.6</c:v>
                </c:pt>
                <c:pt idx="317">
                  <c:v>99.9</c:v>
                </c:pt>
                <c:pt idx="318">
                  <c:v>100.20000000000002</c:v>
                </c:pt>
                <c:pt idx="319">
                  <c:v>100.5</c:v>
                </c:pt>
                <c:pt idx="320">
                  <c:v>100.80000000000001</c:v>
                </c:pt>
                <c:pt idx="321">
                  <c:v>101.1</c:v>
                </c:pt>
                <c:pt idx="322">
                  <c:v>101.4</c:v>
                </c:pt>
                <c:pt idx="323">
                  <c:v>101.80000000000001</c:v>
                </c:pt>
                <c:pt idx="324">
                  <c:v>102.1</c:v>
                </c:pt>
                <c:pt idx="325">
                  <c:v>102.4</c:v>
                </c:pt>
                <c:pt idx="326">
                  <c:v>102.70000000000002</c:v>
                </c:pt>
                <c:pt idx="327">
                  <c:v>103</c:v>
                </c:pt>
                <c:pt idx="328">
                  <c:v>103.30000000000001</c:v>
                </c:pt>
                <c:pt idx="329">
                  <c:v>103.70000000000002</c:v>
                </c:pt>
                <c:pt idx="330">
                  <c:v>104</c:v>
                </c:pt>
                <c:pt idx="331">
                  <c:v>104.30000000000001</c:v>
                </c:pt>
                <c:pt idx="332">
                  <c:v>104.6</c:v>
                </c:pt>
                <c:pt idx="333">
                  <c:v>104.9</c:v>
                </c:pt>
                <c:pt idx="334">
                  <c:v>105.20000000000002</c:v>
                </c:pt>
                <c:pt idx="335">
                  <c:v>105.5</c:v>
                </c:pt>
                <c:pt idx="336">
                  <c:v>105.9</c:v>
                </c:pt>
                <c:pt idx="337">
                  <c:v>106.20000000000002</c:v>
                </c:pt>
                <c:pt idx="338">
                  <c:v>106.5</c:v>
                </c:pt>
                <c:pt idx="339">
                  <c:v>106.80000000000001</c:v>
                </c:pt>
                <c:pt idx="340">
                  <c:v>107.1</c:v>
                </c:pt>
                <c:pt idx="341">
                  <c:v>107.4</c:v>
                </c:pt>
                <c:pt idx="342">
                  <c:v>107.70000000000002</c:v>
                </c:pt>
                <c:pt idx="343">
                  <c:v>108.1</c:v>
                </c:pt>
                <c:pt idx="344">
                  <c:v>108.4</c:v>
                </c:pt>
                <c:pt idx="345">
                  <c:v>108.70000000000002</c:v>
                </c:pt>
                <c:pt idx="346">
                  <c:v>109</c:v>
                </c:pt>
                <c:pt idx="347">
                  <c:v>109.30000000000001</c:v>
                </c:pt>
                <c:pt idx="348">
                  <c:v>109.6</c:v>
                </c:pt>
                <c:pt idx="349">
                  <c:v>110</c:v>
                </c:pt>
                <c:pt idx="350">
                  <c:v>110.30000000000001</c:v>
                </c:pt>
                <c:pt idx="351">
                  <c:v>110.6</c:v>
                </c:pt>
                <c:pt idx="352">
                  <c:v>110.9</c:v>
                </c:pt>
                <c:pt idx="353">
                  <c:v>111.20000000000002</c:v>
                </c:pt>
                <c:pt idx="354">
                  <c:v>111.5</c:v>
                </c:pt>
                <c:pt idx="355">
                  <c:v>111.80000000000001</c:v>
                </c:pt>
                <c:pt idx="356">
                  <c:v>112.20000000000002</c:v>
                </c:pt>
                <c:pt idx="357">
                  <c:v>112.5</c:v>
                </c:pt>
                <c:pt idx="358">
                  <c:v>112.80000000000001</c:v>
                </c:pt>
                <c:pt idx="359">
                  <c:v>113.1</c:v>
                </c:pt>
                <c:pt idx="360">
                  <c:v>113.4</c:v>
                </c:pt>
                <c:pt idx="361">
                  <c:v>113.70000000000002</c:v>
                </c:pt>
                <c:pt idx="362">
                  <c:v>114.1</c:v>
                </c:pt>
                <c:pt idx="363">
                  <c:v>114.4</c:v>
                </c:pt>
                <c:pt idx="364">
                  <c:v>114.70000000000002</c:v>
                </c:pt>
                <c:pt idx="365">
                  <c:v>115</c:v>
                </c:pt>
                <c:pt idx="366">
                  <c:v>115.30000000000001</c:v>
                </c:pt>
                <c:pt idx="367">
                  <c:v>115.6</c:v>
                </c:pt>
                <c:pt idx="368">
                  <c:v>115.9</c:v>
                </c:pt>
                <c:pt idx="369">
                  <c:v>116.30000000000001</c:v>
                </c:pt>
                <c:pt idx="370">
                  <c:v>116.6</c:v>
                </c:pt>
                <c:pt idx="371">
                  <c:v>116.9</c:v>
                </c:pt>
                <c:pt idx="372">
                  <c:v>117.20000000000002</c:v>
                </c:pt>
                <c:pt idx="373">
                  <c:v>117.5</c:v>
                </c:pt>
                <c:pt idx="374">
                  <c:v>117.80000000000001</c:v>
                </c:pt>
                <c:pt idx="375">
                  <c:v>118.1</c:v>
                </c:pt>
                <c:pt idx="376">
                  <c:v>118.5</c:v>
                </c:pt>
                <c:pt idx="377">
                  <c:v>118.80000000000001</c:v>
                </c:pt>
                <c:pt idx="378">
                  <c:v>119.1</c:v>
                </c:pt>
                <c:pt idx="379">
                  <c:v>119.4</c:v>
                </c:pt>
                <c:pt idx="380">
                  <c:v>119.70000000000002</c:v>
                </c:pt>
                <c:pt idx="381">
                  <c:v>120</c:v>
                </c:pt>
                <c:pt idx="382">
                  <c:v>120.4</c:v>
                </c:pt>
                <c:pt idx="383">
                  <c:v>120.70000000000002</c:v>
                </c:pt>
                <c:pt idx="384">
                  <c:v>121</c:v>
                </c:pt>
                <c:pt idx="385">
                  <c:v>121.30000000000001</c:v>
                </c:pt>
                <c:pt idx="386">
                  <c:v>121.6</c:v>
                </c:pt>
                <c:pt idx="387">
                  <c:v>121.9</c:v>
                </c:pt>
                <c:pt idx="388">
                  <c:v>122.20000000000002</c:v>
                </c:pt>
                <c:pt idx="389">
                  <c:v>122.6</c:v>
                </c:pt>
                <c:pt idx="390">
                  <c:v>122.9</c:v>
                </c:pt>
                <c:pt idx="391">
                  <c:v>123.20000000000002</c:v>
                </c:pt>
                <c:pt idx="392">
                  <c:v>123.5</c:v>
                </c:pt>
                <c:pt idx="393">
                  <c:v>123.80000000000001</c:v>
                </c:pt>
                <c:pt idx="394">
                  <c:v>124.1</c:v>
                </c:pt>
                <c:pt idx="395">
                  <c:v>124.4</c:v>
                </c:pt>
                <c:pt idx="396">
                  <c:v>124.80000000000001</c:v>
                </c:pt>
                <c:pt idx="397">
                  <c:v>125.1</c:v>
                </c:pt>
                <c:pt idx="398">
                  <c:v>125.4</c:v>
                </c:pt>
                <c:pt idx="399">
                  <c:v>125.70000000000002</c:v>
                </c:pt>
                <c:pt idx="400">
                  <c:v>126</c:v>
                </c:pt>
                <c:pt idx="401">
                  <c:v>126.30000000000001</c:v>
                </c:pt>
                <c:pt idx="402">
                  <c:v>126.70000000000002</c:v>
                </c:pt>
                <c:pt idx="403">
                  <c:v>127</c:v>
                </c:pt>
                <c:pt idx="404">
                  <c:v>127.30000000000001</c:v>
                </c:pt>
                <c:pt idx="405">
                  <c:v>127.6</c:v>
                </c:pt>
                <c:pt idx="406">
                  <c:v>127.9</c:v>
                </c:pt>
                <c:pt idx="407">
                  <c:v>128.20000000000002</c:v>
                </c:pt>
                <c:pt idx="408">
                  <c:v>128.5</c:v>
                </c:pt>
                <c:pt idx="409">
                  <c:v>128.9</c:v>
                </c:pt>
                <c:pt idx="410">
                  <c:v>129.20000000000002</c:v>
                </c:pt>
                <c:pt idx="411">
                  <c:v>129.5</c:v>
                </c:pt>
                <c:pt idx="412">
                  <c:v>129.80000000000001</c:v>
                </c:pt>
                <c:pt idx="413">
                  <c:v>130.1</c:v>
                </c:pt>
                <c:pt idx="414">
                  <c:v>130.4</c:v>
                </c:pt>
                <c:pt idx="415">
                  <c:v>130.70000000000002</c:v>
                </c:pt>
                <c:pt idx="416">
                  <c:v>131.1</c:v>
                </c:pt>
                <c:pt idx="417">
                  <c:v>131.4</c:v>
                </c:pt>
                <c:pt idx="418">
                  <c:v>131.70000000000002</c:v>
                </c:pt>
                <c:pt idx="419">
                  <c:v>132</c:v>
                </c:pt>
                <c:pt idx="420">
                  <c:v>132.30000000000001</c:v>
                </c:pt>
                <c:pt idx="421">
                  <c:v>132.6</c:v>
                </c:pt>
                <c:pt idx="422">
                  <c:v>133</c:v>
                </c:pt>
                <c:pt idx="423">
                  <c:v>133.30000000000001</c:v>
                </c:pt>
                <c:pt idx="424">
                  <c:v>133.6</c:v>
                </c:pt>
                <c:pt idx="425">
                  <c:v>133.9</c:v>
                </c:pt>
                <c:pt idx="426">
                  <c:v>134.20000000000002</c:v>
                </c:pt>
                <c:pt idx="427">
                  <c:v>134.5</c:v>
                </c:pt>
                <c:pt idx="428">
                  <c:v>134.80000000000001</c:v>
                </c:pt>
                <c:pt idx="429">
                  <c:v>135.20000000000002</c:v>
                </c:pt>
                <c:pt idx="430">
                  <c:v>135.5</c:v>
                </c:pt>
                <c:pt idx="431">
                  <c:v>135.80000000000001</c:v>
                </c:pt>
                <c:pt idx="432">
                  <c:v>136.1</c:v>
                </c:pt>
                <c:pt idx="433">
                  <c:v>136.4</c:v>
                </c:pt>
                <c:pt idx="434">
                  <c:v>136.70000000000002</c:v>
                </c:pt>
                <c:pt idx="435">
                  <c:v>137.1</c:v>
                </c:pt>
                <c:pt idx="436">
                  <c:v>137.4</c:v>
                </c:pt>
                <c:pt idx="437">
                  <c:v>137.70000000000002</c:v>
                </c:pt>
                <c:pt idx="438">
                  <c:v>138</c:v>
                </c:pt>
                <c:pt idx="439">
                  <c:v>138.30000000000001</c:v>
                </c:pt>
                <c:pt idx="440">
                  <c:v>138.6</c:v>
                </c:pt>
                <c:pt idx="441">
                  <c:v>138.9</c:v>
                </c:pt>
                <c:pt idx="442">
                  <c:v>139.30000000000001</c:v>
                </c:pt>
                <c:pt idx="443">
                  <c:v>139.6</c:v>
                </c:pt>
                <c:pt idx="444">
                  <c:v>139.9</c:v>
                </c:pt>
                <c:pt idx="445">
                  <c:v>140.20000000000002</c:v>
                </c:pt>
                <c:pt idx="446">
                  <c:v>140.5</c:v>
                </c:pt>
                <c:pt idx="447">
                  <c:v>140.80000000000001</c:v>
                </c:pt>
                <c:pt idx="448">
                  <c:v>141.1</c:v>
                </c:pt>
                <c:pt idx="449">
                  <c:v>141.5</c:v>
                </c:pt>
                <c:pt idx="450">
                  <c:v>141.80000000000001</c:v>
                </c:pt>
                <c:pt idx="451">
                  <c:v>142.1</c:v>
                </c:pt>
                <c:pt idx="452">
                  <c:v>142.4</c:v>
                </c:pt>
                <c:pt idx="453">
                  <c:v>142.70000000000002</c:v>
                </c:pt>
                <c:pt idx="454">
                  <c:v>143</c:v>
                </c:pt>
                <c:pt idx="455">
                  <c:v>143.4</c:v>
                </c:pt>
                <c:pt idx="456">
                  <c:v>143.70000000000002</c:v>
                </c:pt>
                <c:pt idx="457">
                  <c:v>144</c:v>
                </c:pt>
                <c:pt idx="458">
                  <c:v>144.30000000000001</c:v>
                </c:pt>
                <c:pt idx="459">
                  <c:v>144.6</c:v>
                </c:pt>
                <c:pt idx="460">
                  <c:v>144.9</c:v>
                </c:pt>
                <c:pt idx="461">
                  <c:v>145.20000000000002</c:v>
                </c:pt>
                <c:pt idx="462">
                  <c:v>145.6</c:v>
                </c:pt>
                <c:pt idx="463">
                  <c:v>145.9</c:v>
                </c:pt>
                <c:pt idx="464">
                  <c:v>146.20000000000002</c:v>
                </c:pt>
                <c:pt idx="465">
                  <c:v>146.5</c:v>
                </c:pt>
                <c:pt idx="466">
                  <c:v>146.80000000000001</c:v>
                </c:pt>
                <c:pt idx="467">
                  <c:v>147.1</c:v>
                </c:pt>
                <c:pt idx="468">
                  <c:v>147.4</c:v>
                </c:pt>
                <c:pt idx="469">
                  <c:v>147.80000000000001</c:v>
                </c:pt>
                <c:pt idx="470">
                  <c:v>148.1</c:v>
                </c:pt>
                <c:pt idx="471">
                  <c:v>148.4</c:v>
                </c:pt>
                <c:pt idx="472">
                  <c:v>148.70000000000002</c:v>
                </c:pt>
                <c:pt idx="473">
                  <c:v>149</c:v>
                </c:pt>
                <c:pt idx="474">
                  <c:v>149.30000000000001</c:v>
                </c:pt>
                <c:pt idx="475">
                  <c:v>149.70000000000002</c:v>
                </c:pt>
                <c:pt idx="476">
                  <c:v>150</c:v>
                </c:pt>
                <c:pt idx="477">
                  <c:v>150.30000000000001</c:v>
                </c:pt>
                <c:pt idx="478">
                  <c:v>150.6</c:v>
                </c:pt>
                <c:pt idx="479">
                  <c:v>150.9</c:v>
                </c:pt>
                <c:pt idx="480">
                  <c:v>151.20000000000002</c:v>
                </c:pt>
                <c:pt idx="481">
                  <c:v>151.5</c:v>
                </c:pt>
                <c:pt idx="482">
                  <c:v>151.9</c:v>
                </c:pt>
                <c:pt idx="483">
                  <c:v>152.20000000000002</c:v>
                </c:pt>
                <c:pt idx="484">
                  <c:v>152.5</c:v>
                </c:pt>
                <c:pt idx="485">
                  <c:v>152.80000000000001</c:v>
                </c:pt>
                <c:pt idx="486">
                  <c:v>153.1</c:v>
                </c:pt>
                <c:pt idx="487">
                  <c:v>153.4</c:v>
                </c:pt>
                <c:pt idx="488">
                  <c:v>153.70000000000002</c:v>
                </c:pt>
                <c:pt idx="489">
                  <c:v>154.1</c:v>
                </c:pt>
                <c:pt idx="490">
                  <c:v>154.4</c:v>
                </c:pt>
                <c:pt idx="491">
                  <c:v>154.70000000000002</c:v>
                </c:pt>
                <c:pt idx="492">
                  <c:v>155</c:v>
                </c:pt>
                <c:pt idx="493">
                  <c:v>155.30000000000001</c:v>
                </c:pt>
                <c:pt idx="494">
                  <c:v>155.6</c:v>
                </c:pt>
                <c:pt idx="495">
                  <c:v>156</c:v>
                </c:pt>
                <c:pt idx="496">
                  <c:v>156.30000000000001</c:v>
                </c:pt>
                <c:pt idx="497">
                  <c:v>156.6</c:v>
                </c:pt>
              </c:numCache>
            </c:numRef>
          </c:xVal>
          <c:yVal>
            <c:numRef>
              <c:f>'sheet 1'!$P$39:$P$841</c:f>
              <c:numCache>
                <c:formatCode>General</c:formatCode>
                <c:ptCount val="803"/>
                <c:pt idx="0">
                  <c:v>16859.786971499314</c:v>
                </c:pt>
                <c:pt idx="1">
                  <c:v>16135.879829825983</c:v>
                </c:pt>
                <c:pt idx="2">
                  <c:v>15454.968397153183</c:v>
                </c:pt>
                <c:pt idx="3">
                  <c:v>14813.864750012555</c:v>
                </c:pt>
                <c:pt idx="4">
                  <c:v>14015.992052578804</c:v>
                </c:pt>
                <c:pt idx="5">
                  <c:v>13456.891405878563</c:v>
                </c:pt>
                <c:pt idx="6">
                  <c:v>12928.836736615875</c:v>
                </c:pt>
                <c:pt idx="7">
                  <c:v>12429.664903943187</c:v>
                </c:pt>
                <c:pt idx="8">
                  <c:v>11957.391487464587</c:v>
                </c:pt>
                <c:pt idx="9">
                  <c:v>11510.193893201342</c:v>
                </c:pt>
                <c:pt idx="10">
                  <c:v>11086.396241781855</c:v>
                </c:pt>
                <c:pt idx="11">
                  <c:v>10555.083871151674</c:v>
                </c:pt>
                <c:pt idx="12">
                  <c:v>10180.094308128182</c:v>
                </c:pt>
                <c:pt idx="13">
                  <c:v>9823.8143807857796</c:v>
                </c:pt>
                <c:pt idx="14">
                  <c:v>9485.0643404754464</c:v>
                </c:pt>
                <c:pt idx="15">
                  <c:v>9162.7532058415745</c:v>
                </c:pt>
                <c:pt idx="16">
                  <c:v>8855.8710767553821</c:v>
                </c:pt>
                <c:pt idx="17">
                  <c:v>8469.0881076965215</c:v>
                </c:pt>
                <c:pt idx="18">
                  <c:v>8194.6844098774309</c:v>
                </c:pt>
                <c:pt idx="19">
                  <c:v>7932.844729324981</c:v>
                </c:pt>
                <c:pt idx="20">
                  <c:v>7682.8383813201954</c:v>
                </c:pt>
                <c:pt idx="21">
                  <c:v>7443.9856115759067</c:v>
                </c:pt>
                <c:pt idx="22">
                  <c:v>7215.6534945990725</c:v>
                </c:pt>
                <c:pt idx="23">
                  <c:v>6997.2522041689026</c:v>
                </c:pt>
                <c:pt idx="24">
                  <c:v>6720.5529371770117</c:v>
                </c:pt>
                <c:pt idx="25">
                  <c:v>6523.2470808965963</c:v>
                </c:pt>
                <c:pt idx="26">
                  <c:v>6334.1758491182536</c:v>
                </c:pt>
                <c:pt idx="27">
                  <c:v>6152.9006069272045</c:v>
                </c:pt>
                <c:pt idx="28">
                  <c:v>5979.0108402926189</c:v>
                </c:pt>
                <c:pt idx="29">
                  <c:v>5812.1220651135036</c:v>
                </c:pt>
                <c:pt idx="30">
                  <c:v>5651.8739120404953</c:v>
                </c:pt>
                <c:pt idx="31">
                  <c:v>5447.9583664989905</c:v>
                </c:pt>
                <c:pt idx="32">
                  <c:v>5301.9261583996931</c:v>
                </c:pt>
                <c:pt idx="33">
                  <c:v>5161.4860169064686</c:v>
                </c:pt>
                <c:pt idx="34">
                  <c:v>5026.3635415274994</c:v>
                </c:pt>
                <c:pt idx="35">
                  <c:v>4896.3005935644442</c:v>
                </c:pt>
                <c:pt idx="36">
                  <c:v>4771.0541748540882</c:v>
                </c:pt>
                <c:pt idx="37">
                  <c:v>4611.1576260814536</c:v>
                </c:pt>
                <c:pt idx="38">
                  <c:v>4496.2822492074401</c:v>
                </c:pt>
                <c:pt idx="39">
                  <c:v>4385.5100709149638</c:v>
                </c:pt>
                <c:pt idx="40">
                  <c:v>4278.6527355209746</c:v>
                </c:pt>
                <c:pt idx="41">
                  <c:v>4175.5323564186992</c:v>
                </c:pt>
                <c:pt idx="42">
                  <c:v>4075.9808375176958</c:v>
                </c:pt>
                <c:pt idx="43">
                  <c:v>3979.8392446608709</c:v>
                </c:pt>
                <c:pt idx="44">
                  <c:v>3856.6960785260021</c:v>
                </c:pt>
                <c:pt idx="45">
                  <c:v>3767.9400871269804</c:v>
                </c:pt>
                <c:pt idx="46">
                  <c:v>3682.1232379103535</c:v>
                </c:pt>
                <c:pt idx="47">
                  <c:v>3599.1200810726627</c:v>
                </c:pt>
                <c:pt idx="48">
                  <c:v>3518.8116664479576</c:v>
                </c:pt>
                <c:pt idx="49">
                  <c:v>3441.0851499146274</c:v>
                </c:pt>
                <c:pt idx="50">
                  <c:v>3365.8334269432617</c:v>
                </c:pt>
                <c:pt idx="51">
                  <c:v>3269.1724239406608</c:v>
                </c:pt>
                <c:pt idx="52">
                  <c:v>3199.3084315950623</c:v>
                </c:pt>
                <c:pt idx="53">
                  <c:v>3131.5994566903187</c:v>
                </c:pt>
                <c:pt idx="54">
                  <c:v>3065.9596053968212</c:v>
                </c:pt>
                <c:pt idx="55">
                  <c:v>3002.3071485869759</c:v>
                </c:pt>
                <c:pt idx="56">
                  <c:v>2940.5642853561631</c:v>
                </c:pt>
                <c:pt idx="57">
                  <c:v>2861.0833911033637</c:v>
                </c:pt>
                <c:pt idx="58">
                  <c:v>2803.5141249242893</c:v>
                </c:pt>
                <c:pt idx="59">
                  <c:v>2747.6207512573383</c:v>
                </c:pt>
                <c:pt idx="60">
                  <c:v>2693.3401107884411</c:v>
                </c:pt>
                <c:pt idx="61">
                  <c:v>2640.6119445543613</c:v>
                </c:pt>
                <c:pt idx="62">
                  <c:v>2589.3787377394115</c:v>
                </c:pt>
                <c:pt idx="63">
                  <c:v>2539.5855730821777</c:v>
                </c:pt>
                <c:pt idx="64">
                  <c:v>2475.344423478211</c:v>
                </c:pt>
                <c:pt idx="65">
                  <c:v>2428.7113669190308</c:v>
                </c:pt>
                <c:pt idx="66">
                  <c:v>2383.3523490950101</c:v>
                </c:pt>
                <c:pt idx="67">
                  <c:v>2339.2222211094968</c:v>
                </c:pt>
                <c:pt idx="68">
                  <c:v>2296.2777868758508</c:v>
                </c:pt>
                <c:pt idx="69">
                  <c:v>2254.4777039081591</c:v>
                </c:pt>
                <c:pt idx="70">
                  <c:v>2200.4561904765328</c:v>
                </c:pt>
                <c:pt idx="71">
                  <c:v>2161.1752071890542</c:v>
                </c:pt>
                <c:pt idx="72">
                  <c:v>2122.9129938988312</c:v>
                </c:pt>
                <c:pt idx="73">
                  <c:v>2085.6352272323866</c:v>
                </c:pt>
                <c:pt idx="74">
                  <c:v>2049.3089970344454</c:v>
                </c:pt>
                <c:pt idx="75">
                  <c:v>2013.9027379439469</c:v>
                </c:pt>
                <c:pt idx="76">
                  <c:v>1979.3861647637593</c:v>
                </c:pt>
                <c:pt idx="77">
                  <c:v>1934.6979536747763</c:v>
                </c:pt>
                <c:pt idx="78">
                  <c:v>1902.1462787884539</c:v>
                </c:pt>
                <c:pt idx="79">
                  <c:v>1870.3918252287253</c:v>
                </c:pt>
                <c:pt idx="80">
                  <c:v>1839.4091907906595</c:v>
                </c:pt>
                <c:pt idx="81">
                  <c:v>1809.1739637499527</c:v>
                </c:pt>
                <c:pt idx="82">
                  <c:v>1779.6626773936337</c:v>
                </c:pt>
                <c:pt idx="83">
                  <c:v>1750.8527669436698</c:v>
                </c:pt>
                <c:pt idx="84">
                  <c:v>1713.4931888536385</c:v>
                </c:pt>
                <c:pt idx="85">
                  <c:v>1686.2368351456</c:v>
                </c:pt>
                <c:pt idx="86">
                  <c:v>1659.6126468425887</c:v>
                </c:pt>
                <c:pt idx="87">
                  <c:v>1633.6015220915558</c:v>
                </c:pt>
                <c:pt idx="88">
                  <c:v>1608.1850661977612</c:v>
                </c:pt>
                <c:pt idx="89">
                  <c:v>1583.3455607703766</c:v>
                </c:pt>
                <c:pt idx="90">
                  <c:v>1551.0942822788547</c:v>
                </c:pt>
                <c:pt idx="91">
                  <c:v>1527.5356721264031</c:v>
                </c:pt>
                <c:pt idx="92">
                  <c:v>1504.4994699900669</c:v>
                </c:pt>
                <c:pt idx="93">
                  <c:v>1481.9705675568323</c:v>
                </c:pt>
                <c:pt idx="94">
                  <c:v>1459.9343923347803</c:v>
                </c:pt>
                <c:pt idx="95">
                  <c:v>1438.3768852378576</c:v>
                </c:pt>
                <c:pt idx="96">
                  <c:v>1417.2844792475164</c:v>
                </c:pt>
                <c:pt idx="97">
                  <c:v>1389.8621935874282</c:v>
                </c:pt>
                <c:pt idx="98">
                  <c:v>1369.8048766976769</c:v>
                </c:pt>
                <c:pt idx="99">
                  <c:v>1350.170737560702</c:v>
                </c:pt>
                <c:pt idx="100">
                  <c:v>1330.9481186397757</c:v>
                </c:pt>
                <c:pt idx="101">
                  <c:v>1312.1257565925021</c:v>
                </c:pt>
                <c:pt idx="102">
                  <c:v>1293.6927665341866</c:v>
                </c:pt>
                <c:pt idx="103">
                  <c:v>1275.6386270232185</c:v>
                </c:pt>
                <c:pt idx="104">
                  <c:v>1252.1382308474269</c:v>
                </c:pt>
                <c:pt idx="105">
                  <c:v>1234.9290947591267</c:v>
                </c:pt>
                <c:pt idx="106">
                  <c:v>1218.0661834222904</c:v>
                </c:pt>
                <c:pt idx="107">
                  <c:v>1201.5403928196465</c:v>
                </c:pt>
                <c:pt idx="108">
                  <c:v>1185.3429130439233</c:v>
                </c:pt>
                <c:pt idx="109">
                  <c:v>1169.4652170717907</c:v>
                </c:pt>
                <c:pt idx="110">
                  <c:v>1148.7781674778867</c:v>
                </c:pt>
                <c:pt idx="111">
                  <c:v>1133.6149826515355</c:v>
                </c:pt>
                <c:pt idx="112">
                  <c:v>1118.7450669215884</c:v>
                </c:pt>
                <c:pt idx="113">
                  <c:v>1104.1610009110227</c:v>
                </c:pt>
                <c:pt idx="114">
                  <c:v>1089.8555960091376</c:v>
                </c:pt>
                <c:pt idx="115">
                  <c:v>1075.8218858858274</c:v>
                </c:pt>
                <c:pt idx="116">
                  <c:v>1062.0531183649509</c:v>
                </c:pt>
                <c:pt idx="117">
                  <c:v>1044.0956096558361</c:v>
                </c:pt>
                <c:pt idx="118">
                  <c:v>1030.9199283852588</c:v>
                </c:pt>
                <c:pt idx="119">
                  <c:v>1017.9881315881788</c:v>
                </c:pt>
                <c:pt idx="120">
                  <c:v>1005.2943092010082</c:v>
                </c:pt>
                <c:pt idx="121">
                  <c:v>992.8327273680776</c:v>
                </c:pt>
                <c:pt idx="122">
                  <c:v>980.59782222638307</c:v>
                </c:pt>
                <c:pt idx="123">
                  <c:v>968.58419394278144</c:v>
                </c:pt>
                <c:pt idx="124">
                  <c:v>952.90119403048766</c:v>
                </c:pt>
                <c:pt idx="125">
                  <c:v>941.38375806920487</c:v>
                </c:pt>
                <c:pt idx="126">
                  <c:v>930.07071241632696</c:v>
                </c:pt>
                <c:pt idx="127">
                  <c:v>918.95730478901169</c:v>
                </c:pt>
                <c:pt idx="128">
                  <c:v>908.03891894361595</c:v>
                </c:pt>
                <c:pt idx="129">
                  <c:v>897.31107006581806</c:v>
                </c:pt>
                <c:pt idx="130">
                  <c:v>883.29614813309627</c:v>
                </c:pt>
                <c:pt idx="131">
                  <c:v>872.99615000831761</c:v>
                </c:pt>
                <c:pt idx="132">
                  <c:v>862.87263307756803</c:v>
                </c:pt>
                <c:pt idx="133">
                  <c:v>852.92163301674384</c:v>
                </c:pt>
                <c:pt idx="134">
                  <c:v>843.13929519878127</c:v>
                </c:pt>
                <c:pt idx="135">
                  <c:v>833.52187109868316</c:v>
                </c:pt>
                <c:pt idx="136">
                  <c:v>824.06571483434516</c:v>
                </c:pt>
                <c:pt idx="137">
                  <c:v>811.7022515912098</c:v>
                </c:pt>
                <c:pt idx="138">
                  <c:v>802.60876040103756</c:v>
                </c:pt>
                <c:pt idx="139">
                  <c:v>793.66508359302873</c:v>
                </c:pt>
                <c:pt idx="140">
                  <c:v>784.86798315992814</c:v>
                </c:pt>
                <c:pt idx="141">
                  <c:v>776.21430735454203</c:v>
                </c:pt>
                <c:pt idx="142">
                  <c:v>767.70098796676973</c:v>
                </c:pt>
                <c:pt idx="143">
                  <c:v>756.56307576301288</c:v>
                </c:pt>
                <c:pt idx="144">
                  <c:v>748.36577254395047</c:v>
                </c:pt>
                <c:pt idx="145">
                  <c:v>740.29916871417004</c:v>
                </c:pt>
                <c:pt idx="146">
                  <c:v>732.36052892918781</c:v>
                </c:pt>
                <c:pt idx="147">
                  <c:v>724.54718843741261</c:v>
                </c:pt>
                <c:pt idx="148">
                  <c:v>716.85655092045135</c:v>
                </c:pt>
                <c:pt idx="149">
                  <c:v>709.28608640962875</c:v>
                </c:pt>
                <c:pt idx="150">
                  <c:v>699.37481695833685</c:v>
                </c:pt>
                <c:pt idx="151">
                  <c:v>692.07527515022832</c:v>
                </c:pt>
                <c:pt idx="152">
                  <c:v>684.88792702146702</c:v>
                </c:pt>
                <c:pt idx="153">
                  <c:v>677.81050777056953</c:v>
                </c:pt>
                <c:pt idx="154">
                  <c:v>670.84080900153447</c:v>
                </c:pt>
                <c:pt idx="155">
                  <c:v>663.9766770577786</c:v>
                </c:pt>
                <c:pt idx="156">
                  <c:v>657.21601141286817</c:v>
                </c:pt>
                <c:pt idx="157">
                  <c:v>648.35920397261327</c:v>
                </c:pt>
                <c:pt idx="158">
                  <c:v>641.8320778855574</c:v>
                </c:pt>
                <c:pt idx="159">
                  <c:v>635.40178048847076</c:v>
                </c:pt>
                <c:pt idx="160">
                  <c:v>629.06642417989565</c:v>
                </c:pt>
                <c:pt idx="161">
                  <c:v>622.82416677862761</c:v>
                </c:pt>
                <c:pt idx="162">
                  <c:v>616.67321022697865</c:v>
                </c:pt>
                <c:pt idx="163">
                  <c:v>608.61093073275811</c:v>
                </c:pt>
                <c:pt idx="164">
                  <c:v>602.66625559464944</c:v>
                </c:pt>
                <c:pt idx="165">
                  <c:v>596.80719065493065</c:v>
                </c:pt>
                <c:pt idx="166">
                  <c:v>591.03211508429604</c:v>
                </c:pt>
                <c:pt idx="167">
                  <c:v>585.33944594536342</c:v>
                </c:pt>
                <c:pt idx="168">
                  <c:v>579.72763714127984</c:v>
                </c:pt>
                <c:pt idx="169">
                  <c:v>574.19517839801961</c:v>
                </c:pt>
                <c:pt idx="170">
                  <c:v>566.93945492951093</c:v>
                </c:pt>
                <c:pt idx="171">
                  <c:v>561.58646695058292</c:v>
                </c:pt>
                <c:pt idx="172">
                  <c:v>556.30804108844916</c:v>
                </c:pt>
                <c:pt idx="173">
                  <c:v>551.10281130996577</c:v>
                </c:pt>
                <c:pt idx="174">
                  <c:v>545.96944249780393</c:v>
                </c:pt>
                <c:pt idx="175">
                  <c:v>540.90662961969952</c:v>
                </c:pt>
                <c:pt idx="176">
                  <c:v>535.91309692349284</c:v>
                </c:pt>
                <c:pt idx="177">
                  <c:v>529.36067076621487</c:v>
                </c:pt>
                <c:pt idx="178">
                  <c:v>524.52398924937575</c:v>
                </c:pt>
                <c:pt idx="179">
                  <c:v>519.75253703707608</c:v>
                </c:pt>
                <c:pt idx="180">
                  <c:v>515.04515654552858</c:v>
                </c:pt>
                <c:pt idx="181">
                  <c:v>510.40071557762934</c:v>
                </c:pt>
                <c:pt idx="182">
                  <c:v>505.81810666168514</c:v>
                </c:pt>
                <c:pt idx="183">
                  <c:v>499.80227550147595</c:v>
                </c:pt>
                <c:pt idx="184">
                  <c:v>495.3597686634194</c:v>
                </c:pt>
                <c:pt idx="185">
                  <c:v>490.97557278532975</c:v>
                </c:pt>
                <c:pt idx="186">
                  <c:v>486.64868036967488</c:v>
                </c:pt>
                <c:pt idx="187">
                  <c:v>482.37810543770775</c:v>
                </c:pt>
                <c:pt idx="188">
                  <c:v>478.1628829834176</c:v>
                </c:pt>
                <c:pt idx="189">
                  <c:v>474.00206844349498</c:v>
                </c:pt>
                <c:pt idx="190">
                  <c:v>468.53735492996435</c:v>
                </c:pt>
                <c:pt idx="191">
                  <c:v>464.49992989695772</c:v>
                </c:pt>
                <c:pt idx="192">
                  <c:v>460.51390538029364</c:v>
                </c:pt>
                <c:pt idx="193">
                  <c:v>456.57841964439035</c:v>
                </c:pt>
                <c:pt idx="194">
                  <c:v>452.69262881892723</c:v>
                </c:pt>
                <c:pt idx="195">
                  <c:v>448.85570645867062</c:v>
                </c:pt>
                <c:pt idx="196">
                  <c:v>445.06684311584803</c:v>
                </c:pt>
                <c:pt idx="197">
                  <c:v>440.08841574942608</c:v>
                </c:pt>
                <c:pt idx="198">
                  <c:v>436.40863465253943</c:v>
                </c:pt>
                <c:pt idx="199">
                  <c:v>432.7743319257516</c:v>
                </c:pt>
                <c:pt idx="200">
                  <c:v>429.18476712369284</c:v>
                </c:pt>
                <c:pt idx="201">
                  <c:v>425.63921471347317</c:v>
                </c:pt>
                <c:pt idx="202">
                  <c:v>422.13696371765275</c:v>
                </c:pt>
                <c:pt idx="203">
                  <c:v>417.53345119081308</c:v>
                </c:pt>
                <c:pt idx="204">
                  <c:v>414.12955109747435</c:v>
                </c:pt>
                <c:pt idx="205">
                  <c:v>410.76668323035801</c:v>
                </c:pt>
                <c:pt idx="206">
                  <c:v>407.44419579490318</c:v>
                </c:pt>
                <c:pt idx="207">
                  <c:v>404.1614498074469</c:v>
                </c:pt>
                <c:pt idx="208">
                  <c:v>400.9178187958243</c:v>
                </c:pt>
                <c:pt idx="209">
                  <c:v>397.71268850806121</c:v>
                </c:pt>
                <c:pt idx="210">
                  <c:v>393.49803211866026</c:v>
                </c:pt>
                <c:pt idx="211">
                  <c:v>390.38041463199136</c:v>
                </c:pt>
                <c:pt idx="212">
                  <c:v>387.29933503658759</c:v>
                </c:pt>
                <c:pt idx="213">
                  <c:v>384.25422885507146</c:v>
                </c:pt>
                <c:pt idx="214">
                  <c:v>381.24454240346756</c:v>
                </c:pt>
                <c:pt idx="215">
                  <c:v>378.26973254574017</c:v>
                </c:pt>
                <c:pt idx="216">
                  <c:v>374.35665240142748</c:v>
                </c:pt>
                <c:pt idx="217">
                  <c:v>371.46116654024678</c:v>
                </c:pt>
                <c:pt idx="218">
                  <c:v>368.59881997692537</c:v>
                </c:pt>
                <c:pt idx="219">
                  <c:v>365.7691126004226</c:v>
                </c:pt>
                <c:pt idx="220">
                  <c:v>362.97155364301835</c:v>
                </c:pt>
                <c:pt idx="221">
                  <c:v>360.20566147265998</c:v>
                </c:pt>
                <c:pt idx="222">
                  <c:v>357.47096339064399</c:v>
                </c:pt>
                <c:pt idx="223">
                  <c:v>353.8724227425065</c:v>
                </c:pt>
                <c:pt idx="224">
                  <c:v>351.20872130865837</c:v>
                </c:pt>
                <c:pt idx="225">
                  <c:v>348.57470032583359</c:v>
                </c:pt>
                <c:pt idx="226">
                  <c:v>345.96992359214249</c:v>
                </c:pt>
                <c:pt idx="227">
                  <c:v>343.39396284403443</c:v>
                </c:pt>
                <c:pt idx="228">
                  <c:v>340.84639758439369</c:v>
                </c:pt>
                <c:pt idx="229">
                  <c:v>338.32681491494878</c:v>
                </c:pt>
                <c:pt idx="230">
                  <c:v>335.01020008036477</c:v>
                </c:pt>
                <c:pt idx="231">
                  <c:v>332.5543458749741</c:v>
                </c:pt>
                <c:pt idx="232">
                  <c:v>330.12515074491608</c:v>
                </c:pt>
                <c:pt idx="233">
                  <c:v>327.72223288336158</c:v>
                </c:pt>
                <c:pt idx="234">
                  <c:v>325.34521725638393</c:v>
                </c:pt>
                <c:pt idx="235">
                  <c:v>322.99373545996559</c:v>
                </c:pt>
                <c:pt idx="236">
                  <c:v>319.89752107816366</c:v>
                </c:pt>
                <c:pt idx="237">
                  <c:v>317.60422174149124</c:v>
                </c:pt>
                <c:pt idx="238">
                  <c:v>315.33527433885683</c:v>
                </c:pt>
                <c:pt idx="239">
                  <c:v>313.09033762682202</c:v>
                </c:pt>
                <c:pt idx="240">
                  <c:v>310.86907628596174</c:v>
                </c:pt>
                <c:pt idx="241">
                  <c:v>308.67116079844311</c:v>
                </c:pt>
                <c:pt idx="242">
                  <c:v>306.49626732853483</c:v>
                </c:pt>
                <c:pt idx="243">
                  <c:v>303.63167208664663</c:v>
                </c:pt>
                <c:pt idx="244">
                  <c:v>301.50926834655729</c:v>
                </c:pt>
                <c:pt idx="245">
                  <c:v>299.40884673205397</c:v>
                </c:pt>
                <c:pt idx="246">
                  <c:v>297.33010671704727</c:v>
                </c:pt>
                <c:pt idx="247">
                  <c:v>295.2727528665643</c:v>
                </c:pt>
                <c:pt idx="248">
                  <c:v>293.23649473406334</c:v>
                </c:pt>
                <c:pt idx="249">
                  <c:v>291.22104676114338</c:v>
                </c:pt>
                <c:pt idx="250">
                  <c:v>288.56566955617672</c:v>
                </c:pt>
                <c:pt idx="251">
                  <c:v>286.59769484635933</c:v>
                </c:pt>
                <c:pt idx="252">
                  <c:v>284.64961249727014</c:v>
                </c:pt>
                <c:pt idx="253">
                  <c:v>282.72115702929932</c:v>
                </c:pt>
                <c:pt idx="254">
                  <c:v>280.81206735407875</c:v>
                </c:pt>
                <c:pt idx="255">
                  <c:v>278.92208668798492</c:v>
                </c:pt>
                <c:pt idx="256">
                  <c:v>276.43140166001336</c:v>
                </c:pt>
                <c:pt idx="257">
                  <c:v>274.58503363065904</c:v>
                </c:pt>
                <c:pt idx="258">
                  <c:v>272.75694868391162</c:v>
                </c:pt>
                <c:pt idx="259">
                  <c:v>270.94690773764785</c:v>
                </c:pt>
                <c:pt idx="260">
                  <c:v>269.15467558528962</c:v>
                </c:pt>
                <c:pt idx="261">
                  <c:v>267.38002082097984</c:v>
                </c:pt>
                <c:pt idx="262">
                  <c:v>265.62271576643127</c:v>
                </c:pt>
                <c:pt idx="263">
                  <c:v>263.30624411668515</c:v>
                </c:pt>
                <c:pt idx="264">
                  <c:v>261.58855670901249</c:v>
                </c:pt>
                <c:pt idx="265">
                  <c:v>259.88748609836756</c:v>
                </c:pt>
                <c:pt idx="266">
                  <c:v>258.20281995293408</c:v>
                </c:pt>
                <c:pt idx="267">
                  <c:v>256.53434930489493</c:v>
                </c:pt>
                <c:pt idx="268">
                  <c:v>254.88186848694235</c:v>
                </c:pt>
                <c:pt idx="269">
                  <c:v>253.24517507017805</c:v>
                </c:pt>
                <c:pt idx="270">
                  <c:v>251.08713142618566</c:v>
                </c:pt>
                <c:pt idx="271">
                  <c:v>249.48650579409127</c:v>
                </c:pt>
                <c:pt idx="272">
                  <c:v>247.90101541857229</c:v>
                </c:pt>
                <c:pt idx="273">
                  <c:v>246.3304712185907</c:v>
                </c:pt>
                <c:pt idx="274">
                  <c:v>244.77468704238393</c:v>
                </c:pt>
                <c:pt idx="275">
                  <c:v>243.23347961339709</c:v>
                </c:pt>
                <c:pt idx="276">
                  <c:v>241.20089981863805</c:v>
                </c:pt>
                <c:pt idx="277">
                  <c:v>239.69300781447788</c:v>
                </c:pt>
                <c:pt idx="278">
                  <c:v>238.19910173010115</c:v>
                </c:pt>
                <c:pt idx="279">
                  <c:v>236.71901015103975</c:v>
                </c:pt>
                <c:pt idx="280">
                  <c:v>235.25256426853005</c:v>
                </c:pt>
                <c:pt idx="281">
                  <c:v>233.79959783231359</c:v>
                </c:pt>
                <c:pt idx="282">
                  <c:v>232.35994710442796</c:v>
                </c:pt>
                <c:pt idx="283">
                  <c:v>230.4608477346064</c:v>
                </c:pt>
                <c:pt idx="284">
                  <c:v>229.051644009407</c:v>
                </c:pt>
                <c:pt idx="285">
                  <c:v>227.6552277698483</c:v>
                </c:pt>
                <c:pt idx="286">
                  <c:v>226.27144565375869</c:v>
                </c:pt>
                <c:pt idx="287">
                  <c:v>224.90014658060619</c:v>
                </c:pt>
                <c:pt idx="288">
                  <c:v>223.54118171104429</c:v>
                </c:pt>
                <c:pt idx="289">
                  <c:v>221.74816195476296</c:v>
                </c:pt>
                <c:pt idx="290">
                  <c:v>220.41741036811524</c:v>
                </c:pt>
                <c:pt idx="291">
                  <c:v>219.09851253752888</c:v>
                </c:pt>
                <c:pt idx="292">
                  <c:v>217.79132888786776</c:v>
                </c:pt>
                <c:pt idx="293">
                  <c:v>216.4957218829984</c:v>
                </c:pt>
                <c:pt idx="294">
                  <c:v>215.2115559902858</c:v>
                </c:pt>
                <c:pt idx="295">
                  <c:v>213.93869764580506</c:v>
                </c:pt>
                <c:pt idx="296">
                  <c:v>212.25891547300441</c:v>
                </c:pt>
                <c:pt idx="297">
                  <c:v>211.01193279733323</c:v>
                </c:pt>
                <c:pt idx="298">
                  <c:v>209.77582624270286</c:v>
                </c:pt>
                <c:pt idx="299">
                  <c:v>208.55047039103769</c:v>
                </c:pt>
                <c:pt idx="300">
                  <c:v>207.33574161888308</c:v>
                </c:pt>
                <c:pt idx="301">
                  <c:v>206.13151806679244</c:v>
                </c:pt>
                <c:pt idx="302">
                  <c:v>204.9376796093199</c:v>
                </c:pt>
                <c:pt idx="303">
                  <c:v>203.36184515486298</c:v>
                </c:pt>
                <c:pt idx="304">
                  <c:v>202.19178095153688</c:v>
                </c:pt>
                <c:pt idx="305">
                  <c:v>201.0317135746435</c:v>
                </c:pt>
                <c:pt idx="306">
                  <c:v>199.88153008016158</c:v>
                </c:pt>
                <c:pt idx="307">
                  <c:v>198.74111910771208</c:v>
                </c:pt>
                <c:pt idx="308">
                  <c:v>197.6103708540825</c:v>
                </c:pt>
                <c:pt idx="309">
                  <c:v>196.11755049240892</c:v>
                </c:pt>
                <c:pt idx="310">
                  <c:v>195.00893012380672</c:v>
                </c:pt>
                <c:pt idx="311">
                  <c:v>193.90961737992916</c:v>
                </c:pt>
                <c:pt idx="312">
                  <c:v>192.8195089116528</c:v>
                </c:pt>
                <c:pt idx="313">
                  <c:v>191.73850279422211</c:v>
                </c:pt>
                <c:pt idx="314">
                  <c:v>190.6664985038411</c:v>
                </c:pt>
                <c:pt idx="315">
                  <c:v>189.60339689471181</c:v>
                </c:pt>
                <c:pt idx="316">
                  <c:v>188.19960786997223</c:v>
                </c:pt>
                <c:pt idx="317">
                  <c:v>187.15690118951943</c:v>
                </c:pt>
                <c:pt idx="318">
                  <c:v>186.12277637049698</c:v>
                </c:pt>
                <c:pt idx="319">
                  <c:v>185.09713998355284</c:v>
                </c:pt>
                <c:pt idx="320">
                  <c:v>184.07989986201613</c:v>
                </c:pt>
                <c:pt idx="321">
                  <c:v>183.07096508154649</c:v>
                </c:pt>
                <c:pt idx="322">
                  <c:v>182.07024594016295</c:v>
                </c:pt>
                <c:pt idx="323">
                  <c:v>180.74858084389237</c:v>
                </c:pt>
                <c:pt idx="324">
                  <c:v>179.76668940629094</c:v>
                </c:pt>
                <c:pt idx="325">
                  <c:v>178.79272318041004</c:v>
                </c:pt>
                <c:pt idx="326">
                  <c:v>177.82659753931608</c:v>
                </c:pt>
                <c:pt idx="327">
                  <c:v>176.86822897802568</c:v>
                </c:pt>
                <c:pt idx="328">
                  <c:v>175.91753509576543</c:v>
                </c:pt>
                <c:pt idx="329">
                  <c:v>174.66174125406988</c:v>
                </c:pt>
                <c:pt idx="330">
                  <c:v>173.72864058161994</c:v>
                </c:pt>
                <c:pt idx="331">
                  <c:v>172.80294767257169</c:v>
                </c:pt>
                <c:pt idx="332">
                  <c:v>171.88458471385786</c:v>
                </c:pt>
                <c:pt idx="333">
                  <c:v>170.97347490733722</c:v>
                </c:pt>
                <c:pt idx="334">
                  <c:v>170.06954245400408</c:v>
                </c:pt>
                <c:pt idx="335">
                  <c:v>169.1727125384827</c:v>
                </c:pt>
                <c:pt idx="336">
                  <c:v>167.98786021080886</c:v>
                </c:pt>
                <c:pt idx="337">
                  <c:v>167.10731734666507</c:v>
                </c:pt>
                <c:pt idx="338">
                  <c:v>166.2336345462806</c:v>
                </c:pt>
                <c:pt idx="339">
                  <c:v>165.36674108419783</c:v>
                </c:pt>
                <c:pt idx="340">
                  <c:v>164.50656714047196</c:v>
                </c:pt>
                <c:pt idx="341">
                  <c:v>163.65304378683982</c:v>
                </c:pt>
                <c:pt idx="342">
                  <c:v>162.80610297313521</c:v>
                </c:pt>
                <c:pt idx="343">
                  <c:v>161.68697206138916</c:v>
                </c:pt>
                <c:pt idx="344">
                  <c:v>160.85513070101314</c:v>
                </c:pt>
                <c:pt idx="345">
                  <c:v>160.02965121889008</c:v>
                </c:pt>
                <c:pt idx="346">
                  <c:v>159.21046921871238</c:v>
                </c:pt>
                <c:pt idx="347">
                  <c:v>158.3975211137533</c:v>
                </c:pt>
                <c:pt idx="348">
                  <c:v>157.5907441147246</c:v>
                </c:pt>
                <c:pt idx="349">
                  <c:v>156.52453389210746</c:v>
                </c:pt>
                <c:pt idx="350">
                  <c:v>155.73191635016494</c:v>
                </c:pt>
                <c:pt idx="351">
                  <c:v>154.94526622414213</c:v>
                </c:pt>
                <c:pt idx="352">
                  <c:v>154.16452404506475</c:v>
                </c:pt>
                <c:pt idx="353">
                  <c:v>153.38963108010225</c:v>
                </c:pt>
                <c:pt idx="354">
                  <c:v>152.62052932169422</c:v>
                </c:pt>
                <c:pt idx="355">
                  <c:v>151.85716147686406</c:v>
                </c:pt>
                <c:pt idx="356">
                  <c:v>150.84815939702833</c:v>
                </c:pt>
                <c:pt idx="357">
                  <c:v>150.09795181356662</c:v>
                </c:pt>
                <c:pt idx="358">
                  <c:v>149.35329219444762</c:v>
                </c:pt>
                <c:pt idx="359">
                  <c:v>148.61412622412135</c:v>
                </c:pt>
                <c:pt idx="360">
                  <c:v>147.88040024762731</c:v>
                </c:pt>
                <c:pt idx="361">
                  <c:v>147.15206126100762</c:v>
                </c:pt>
                <c:pt idx="362">
                  <c:v>146.18923196257558</c:v>
                </c:pt>
                <c:pt idx="363">
                  <c:v>145.47326007907654</c:v>
                </c:pt>
                <c:pt idx="364">
                  <c:v>144.76250308743244</c:v>
                </c:pt>
                <c:pt idx="365">
                  <c:v>144.05691069778572</c:v>
                </c:pt>
                <c:pt idx="366">
                  <c:v>143.356433222802</c:v>
                </c:pt>
                <c:pt idx="367">
                  <c:v>142.66102156905498</c:v>
                </c:pt>
                <c:pt idx="368">
                  <c:v>141.97062722855401</c:v>
                </c:pt>
                <c:pt idx="369">
                  <c:v>141.05782338930302</c:v>
                </c:pt>
                <c:pt idx="370">
                  <c:v>140.37895069728847</c:v>
                </c:pt>
                <c:pt idx="371">
                  <c:v>139.70493774741428</c:v>
                </c:pt>
                <c:pt idx="372">
                  <c:v>139.03573847404724</c:v>
                </c:pt>
                <c:pt idx="373">
                  <c:v>138.37130735411066</c:v>
                </c:pt>
                <c:pt idx="374">
                  <c:v>137.71159939945775</c:v>
                </c:pt>
                <c:pt idx="375">
                  <c:v>137.05657014936921</c:v>
                </c:pt>
                <c:pt idx="376">
                  <c:v>136.19039992795049</c:v>
                </c:pt>
                <c:pt idx="377">
                  <c:v>135.54611766005306</c:v>
                </c:pt>
                <c:pt idx="378">
                  <c:v>134.90636960965341</c:v>
                </c:pt>
                <c:pt idx="379">
                  <c:v>134.2711135177897</c:v>
                </c:pt>
                <c:pt idx="380">
                  <c:v>133.64030761492285</c:v>
                </c:pt>
                <c:pt idx="381">
                  <c:v>133.01391061417084</c:v>
                </c:pt>
                <c:pt idx="382">
                  <c:v>132.1855024357593</c:v>
                </c:pt>
                <c:pt idx="383">
                  <c:v>131.56923497475012</c:v>
                </c:pt>
                <c:pt idx="384">
                  <c:v>130.95724219408851</c:v>
                </c:pt>
                <c:pt idx="385">
                  <c:v>130.34948482283042</c:v>
                </c:pt>
                <c:pt idx="386">
                  <c:v>129.74592403839057</c:v>
                </c:pt>
                <c:pt idx="387">
                  <c:v>129.14652146043107</c:v>
                </c:pt>
                <c:pt idx="388">
                  <c:v>128.55123914484761</c:v>
                </c:pt>
                <c:pt idx="389">
                  <c:v>127.7638739103682</c:v>
                </c:pt>
                <c:pt idx="390">
                  <c:v>127.17806038622612</c:v>
                </c:pt>
                <c:pt idx="391">
                  <c:v>126.59624371938648</c:v>
                </c:pt>
                <c:pt idx="392">
                  <c:v>126.01838778887786</c:v>
                </c:pt>
                <c:pt idx="393">
                  <c:v>125.44445687945037</c:v>
                </c:pt>
                <c:pt idx="394">
                  <c:v>124.87441567613548</c:v>
                </c:pt>
                <c:pt idx="395">
                  <c:v>124.30822925888972</c:v>
                </c:pt>
                <c:pt idx="396">
                  <c:v>123.55925074309752</c:v>
                </c:pt>
                <c:pt idx="397">
                  <c:v>123.00192520559074</c:v>
                </c:pt>
                <c:pt idx="398">
                  <c:v>122.44834083915723</c:v>
                </c:pt>
                <c:pt idx="399">
                  <c:v>121.89846437520654</c:v>
                </c:pt>
                <c:pt idx="400">
                  <c:v>121.35226291287893</c:v>
                </c:pt>
                <c:pt idx="401">
                  <c:v>120.80970391419201</c:v>
                </c:pt>
                <c:pt idx="402">
                  <c:v>120.09190240193337</c:v>
                </c:pt>
                <c:pt idx="403">
                  <c:v>119.55771795121903</c:v>
                </c:pt>
                <c:pt idx="404">
                  <c:v>119.02707006417681</c:v>
                </c:pt>
                <c:pt idx="405">
                  <c:v>118.49992772100315</c:v>
                </c:pt>
                <c:pt idx="406">
                  <c:v>117.97626024011421</c:v>
                </c:pt>
                <c:pt idx="407">
                  <c:v>117.45603727374291</c:v>
                </c:pt>
                <c:pt idx="408">
                  <c:v>116.93922880360201</c:v>
                </c:pt>
                <c:pt idx="409">
                  <c:v>116.25541100693883</c:v>
                </c:pt>
                <c:pt idx="410">
                  <c:v>115.74645477580462</c:v>
                </c:pt>
                <c:pt idx="411">
                  <c:v>115.24081530515865</c:v>
                </c:pt>
                <c:pt idx="412">
                  <c:v>114.73846395592011</c:v>
                </c:pt>
                <c:pt idx="413">
                  <c:v>114.23937239643755</c:v>
                </c:pt>
                <c:pt idx="414">
                  <c:v>113.74351259854723</c:v>
                </c:pt>
                <c:pt idx="415">
                  <c:v>113.25085683369159</c:v>
                </c:pt>
                <c:pt idx="416">
                  <c:v>112.59891915939478</c:v>
                </c:pt>
                <c:pt idx="417">
                  <c:v>112.11363329278208</c:v>
                </c:pt>
                <c:pt idx="418">
                  <c:v>111.631461145819</c:v>
                </c:pt>
                <c:pt idx="419">
                  <c:v>111.15237624476822</c:v>
                </c:pt>
                <c:pt idx="420">
                  <c:v>110.67635239574447</c:v>
                </c:pt>
                <c:pt idx="421">
                  <c:v>110.20336368118178</c:v>
                </c:pt>
                <c:pt idx="422">
                  <c:v>109.57738909668549</c:v>
                </c:pt>
                <c:pt idx="423">
                  <c:v>109.11138309819064</c:v>
                </c:pt>
                <c:pt idx="424">
                  <c:v>108.64832779359415</c:v>
                </c:pt>
                <c:pt idx="425">
                  <c:v>108.18819842313543</c:v>
                </c:pt>
                <c:pt idx="426">
                  <c:v>107.73097048538571</c:v>
                </c:pt>
                <c:pt idx="427">
                  <c:v>107.27661973402857</c:v>
                </c:pt>
                <c:pt idx="428">
                  <c:v>106.82512217468751</c:v>
                </c:pt>
                <c:pt idx="429">
                  <c:v>106.22752272132975</c:v>
                </c:pt>
                <c:pt idx="430">
                  <c:v>105.7825906904546</c:v>
                </c:pt>
                <c:pt idx="431">
                  <c:v>105.34043365010064</c:v>
                </c:pt>
                <c:pt idx="432">
                  <c:v>104.90102866207569</c:v>
                </c:pt>
                <c:pt idx="433">
                  <c:v>104.46435302396397</c:v>
                </c:pt>
                <c:pt idx="434">
                  <c:v>104.03038426623156</c:v>
                </c:pt>
                <c:pt idx="435">
                  <c:v>103.45593155286268</c:v>
                </c:pt>
                <c:pt idx="436">
                  <c:v>103.02819275470185</c:v>
                </c:pt>
                <c:pt idx="437">
                  <c:v>102.60308758406629</c:v>
                </c:pt>
                <c:pt idx="438">
                  <c:v>102.18059454812177</c:v>
                </c:pt>
                <c:pt idx="439">
                  <c:v>101.76069237215933</c:v>
                </c:pt>
                <c:pt idx="440">
                  <c:v>101.34335999695102</c:v>
                </c:pt>
                <c:pt idx="441">
                  <c:v>100.92857657614296</c:v>
                </c:pt>
                <c:pt idx="442">
                  <c:v>100.3794614179707</c:v>
                </c:pt>
                <c:pt idx="443">
                  <c:v>99.970545664871821</c:v>
                </c:pt>
                <c:pt idx="444">
                  <c:v>99.564110883018941</c:v>
                </c:pt>
                <c:pt idx="445">
                  <c:v>99.160137119270203</c:v>
                </c:pt>
                <c:pt idx="446">
                  <c:v>98.758604620059202</c:v>
                </c:pt>
                <c:pt idx="447">
                  <c:v>98.359493829009992</c:v>
                </c:pt>
                <c:pt idx="448">
                  <c:v>97.962785384586155</c:v>
                </c:pt>
                <c:pt idx="449">
                  <c:v>97.43754467147096</c:v>
                </c:pt>
                <c:pt idx="450">
                  <c:v>97.046367484805913</c:v>
                </c:pt>
                <c:pt idx="451">
                  <c:v>96.657529483949972</c:v>
                </c:pt>
                <c:pt idx="452">
                  <c:v>96.27101212528261</c:v>
                </c:pt>
                <c:pt idx="453">
                  <c:v>95.886797048019488</c:v>
                </c:pt>
                <c:pt idx="454">
                  <c:v>95.504866072058888</c:v>
                </c:pt>
                <c:pt idx="455">
                  <c:v>94.999146728926604</c:v>
                </c:pt>
                <c:pt idx="456">
                  <c:v>94.622475621370896</c:v>
                </c:pt>
                <c:pt idx="457">
                  <c:v>94.24802929265303</c:v>
                </c:pt>
                <c:pt idx="458">
                  <c:v>93.87579032145328</c:v>
                </c:pt>
                <c:pt idx="459">
                  <c:v>93.505741456135908</c:v>
                </c:pt>
                <c:pt idx="460">
                  <c:v>93.137865612774235</c:v>
                </c:pt>
                <c:pt idx="461">
                  <c:v>92.772145873202959</c:v>
                </c:pt>
                <c:pt idx="462">
                  <c:v>92.287844558272596</c:v>
                </c:pt>
                <c:pt idx="463">
                  <c:v>91.92709085147024</c:v>
                </c:pt>
                <c:pt idx="464">
                  <c:v>91.56843802726209</c:v>
                </c:pt>
                <c:pt idx="465">
                  <c:v>91.211869863907836</c:v>
                </c:pt>
                <c:pt idx="466">
                  <c:v>90.857370295474709</c:v>
                </c:pt>
                <c:pt idx="467">
                  <c:v>90.504923410049287</c:v>
                </c:pt>
                <c:pt idx="468">
                  <c:v>90.15451344797367</c:v>
                </c:pt>
                <c:pt idx="469">
                  <c:v>89.690441755337588</c:v>
                </c:pt>
                <c:pt idx="470">
                  <c:v>89.344724169123978</c:v>
                </c:pt>
                <c:pt idx="471">
                  <c:v>89.000992051512796</c:v>
                </c:pt>
                <c:pt idx="472">
                  <c:v>88.659230282799697</c:v>
                </c:pt>
                <c:pt idx="473">
                  <c:v>88.319423886515168</c:v>
                </c:pt>
                <c:pt idx="474">
                  <c:v>87.981558027802791</c:v>
                </c:pt>
                <c:pt idx="475">
                  <c:v>87.534063451663243</c:v>
                </c:pt>
                <c:pt idx="476">
                  <c:v>87.200668606386927</c:v>
                </c:pt>
                <c:pt idx="477">
                  <c:v>86.869165851539876</c:v>
                </c:pt>
                <c:pt idx="478">
                  <c:v>86.539540947703131</c:v>
                </c:pt>
                <c:pt idx="479">
                  <c:v>86.211779788776582</c:v>
                </c:pt>
                <c:pt idx="480">
                  <c:v>85.885868400487936</c:v>
                </c:pt>
                <c:pt idx="481">
                  <c:v>85.56179293892022</c:v>
                </c:pt>
                <c:pt idx="482">
                  <c:v>85.13252452293051</c:v>
                </c:pt>
                <c:pt idx="483">
                  <c:v>84.812679774322248</c:v>
                </c:pt>
                <c:pt idx="484">
                  <c:v>84.494625728985966</c:v>
                </c:pt>
                <c:pt idx="485">
                  <c:v>84.178349091327817</c:v>
                </c:pt>
                <c:pt idx="486">
                  <c:v>83.863836688574153</c:v>
                </c:pt>
                <c:pt idx="487">
                  <c:v>83.551075469415551</c:v>
                </c:pt>
                <c:pt idx="488">
                  <c:v>83.240052502668661</c:v>
                </c:pt>
                <c:pt idx="489">
                  <c:v>82.828037033965657</c:v>
                </c:pt>
                <c:pt idx="490">
                  <c:v>82.521020366497183</c:v>
                </c:pt>
                <c:pt idx="491">
                  <c:v>82.21569969823436</c:v>
                </c:pt>
                <c:pt idx="492">
                  <c:v>81.912062603487186</c:v>
                </c:pt>
                <c:pt idx="493">
                  <c:v>81.6100967698369</c:v>
                </c:pt>
                <c:pt idx="494">
                  <c:v>81.309789996902381</c:v>
                </c:pt>
                <c:pt idx="495">
                  <c:v>80.911940847708365</c:v>
                </c:pt>
                <c:pt idx="496">
                  <c:v>80.615458390769305</c:v>
                </c:pt>
                <c:pt idx="497">
                  <c:v>80.320595120240469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21-4875-B88C-B488B95351CA}"/>
            </c:ext>
          </c:extLst>
        </c:ser>
        <c:ser>
          <c:idx val="3"/>
          <c:order val="3"/>
          <c:tx>
            <c:strRef>
              <c:f>'sheet 1'!$Q$38</c:f>
              <c:strCache>
                <c:ptCount val="1"/>
                <c:pt idx="0">
                  <c:v>I2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2"/>
            <c:spPr>
              <a:ln w="9525"/>
            </c:spPr>
          </c:marke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0.30000000000001137</c:v>
                </c:pt>
                <c:pt idx="2">
                  <c:v>0.60000000000000853</c:v>
                </c:pt>
                <c:pt idx="3">
                  <c:v>0.90000000000000568</c:v>
                </c:pt>
                <c:pt idx="4">
                  <c:v>1.3000000000000114</c:v>
                </c:pt>
                <c:pt idx="5">
                  <c:v>1.6000000000000085</c:v>
                </c:pt>
                <c:pt idx="6">
                  <c:v>1.9000000000000057</c:v>
                </c:pt>
                <c:pt idx="7">
                  <c:v>2.2000000000000028</c:v>
                </c:pt>
                <c:pt idx="8">
                  <c:v>2.5</c:v>
                </c:pt>
                <c:pt idx="9">
                  <c:v>2.8000000000000114</c:v>
                </c:pt>
                <c:pt idx="10">
                  <c:v>3.1000000000000085</c:v>
                </c:pt>
                <c:pt idx="11">
                  <c:v>3.5</c:v>
                </c:pt>
                <c:pt idx="12">
                  <c:v>3.8000000000000114</c:v>
                </c:pt>
                <c:pt idx="13">
                  <c:v>4.1000000000000085</c:v>
                </c:pt>
                <c:pt idx="14">
                  <c:v>4.4000000000000057</c:v>
                </c:pt>
                <c:pt idx="15">
                  <c:v>4.7000000000000028</c:v>
                </c:pt>
                <c:pt idx="16">
                  <c:v>5</c:v>
                </c:pt>
                <c:pt idx="17">
                  <c:v>5.4000000000000057</c:v>
                </c:pt>
                <c:pt idx="18">
                  <c:v>5.7000000000000028</c:v>
                </c:pt>
                <c:pt idx="19">
                  <c:v>6</c:v>
                </c:pt>
                <c:pt idx="20">
                  <c:v>6.3000000000000114</c:v>
                </c:pt>
                <c:pt idx="21">
                  <c:v>6.6000000000000085</c:v>
                </c:pt>
                <c:pt idx="22">
                  <c:v>6.9000000000000057</c:v>
                </c:pt>
                <c:pt idx="23">
                  <c:v>7.2000000000000028</c:v>
                </c:pt>
                <c:pt idx="24">
                  <c:v>7.6000000000000085</c:v>
                </c:pt>
                <c:pt idx="25">
                  <c:v>7.9000000000000057</c:v>
                </c:pt>
                <c:pt idx="26">
                  <c:v>8.2000000000000028</c:v>
                </c:pt>
                <c:pt idx="27">
                  <c:v>8.5</c:v>
                </c:pt>
                <c:pt idx="28">
                  <c:v>8.8000000000000114</c:v>
                </c:pt>
                <c:pt idx="29">
                  <c:v>9.1000000000000085</c:v>
                </c:pt>
                <c:pt idx="30">
                  <c:v>9.4000000000000057</c:v>
                </c:pt>
                <c:pt idx="31">
                  <c:v>9.8000000000000114</c:v>
                </c:pt>
                <c:pt idx="32">
                  <c:v>10.100000000000009</c:v>
                </c:pt>
                <c:pt idx="33">
                  <c:v>10.400000000000006</c:v>
                </c:pt>
                <c:pt idx="34">
                  <c:v>10.700000000000003</c:v>
                </c:pt>
                <c:pt idx="35">
                  <c:v>11</c:v>
                </c:pt>
                <c:pt idx="36">
                  <c:v>11.300000000000011</c:v>
                </c:pt>
                <c:pt idx="37">
                  <c:v>11.700000000000003</c:v>
                </c:pt>
                <c:pt idx="38">
                  <c:v>12</c:v>
                </c:pt>
                <c:pt idx="39">
                  <c:v>12.300000000000011</c:v>
                </c:pt>
                <c:pt idx="40">
                  <c:v>12.600000000000009</c:v>
                </c:pt>
                <c:pt idx="41">
                  <c:v>12.900000000000006</c:v>
                </c:pt>
                <c:pt idx="42">
                  <c:v>13.200000000000003</c:v>
                </c:pt>
                <c:pt idx="43">
                  <c:v>13.5</c:v>
                </c:pt>
                <c:pt idx="44">
                  <c:v>13.900000000000006</c:v>
                </c:pt>
                <c:pt idx="45">
                  <c:v>14.200000000000003</c:v>
                </c:pt>
                <c:pt idx="46">
                  <c:v>14.5</c:v>
                </c:pt>
                <c:pt idx="47">
                  <c:v>14.800000000000011</c:v>
                </c:pt>
                <c:pt idx="48">
                  <c:v>15.100000000000009</c:v>
                </c:pt>
                <c:pt idx="49">
                  <c:v>15.400000000000006</c:v>
                </c:pt>
                <c:pt idx="50">
                  <c:v>15.700000000000003</c:v>
                </c:pt>
                <c:pt idx="51">
                  <c:v>16.100000000000009</c:v>
                </c:pt>
                <c:pt idx="52">
                  <c:v>16.400000000000006</c:v>
                </c:pt>
                <c:pt idx="53">
                  <c:v>16.700000000000003</c:v>
                </c:pt>
                <c:pt idx="54">
                  <c:v>17</c:v>
                </c:pt>
                <c:pt idx="55">
                  <c:v>17.300000000000011</c:v>
                </c:pt>
                <c:pt idx="56">
                  <c:v>17.600000000000009</c:v>
                </c:pt>
                <c:pt idx="57">
                  <c:v>18</c:v>
                </c:pt>
                <c:pt idx="58">
                  <c:v>18.300000000000011</c:v>
                </c:pt>
                <c:pt idx="59">
                  <c:v>18.600000000000009</c:v>
                </c:pt>
                <c:pt idx="60">
                  <c:v>18.900000000000006</c:v>
                </c:pt>
                <c:pt idx="61">
                  <c:v>19.200000000000003</c:v>
                </c:pt>
                <c:pt idx="62">
                  <c:v>19.5</c:v>
                </c:pt>
                <c:pt idx="63">
                  <c:v>19.800000000000011</c:v>
                </c:pt>
                <c:pt idx="64">
                  <c:v>20.200000000000003</c:v>
                </c:pt>
                <c:pt idx="65">
                  <c:v>20.5</c:v>
                </c:pt>
                <c:pt idx="66">
                  <c:v>20.800000000000011</c:v>
                </c:pt>
                <c:pt idx="67">
                  <c:v>21.100000000000009</c:v>
                </c:pt>
                <c:pt idx="68">
                  <c:v>21.400000000000006</c:v>
                </c:pt>
                <c:pt idx="69">
                  <c:v>21.700000000000003</c:v>
                </c:pt>
                <c:pt idx="70">
                  <c:v>22.100000000000009</c:v>
                </c:pt>
                <c:pt idx="71">
                  <c:v>22.400000000000006</c:v>
                </c:pt>
                <c:pt idx="72">
                  <c:v>22.700000000000003</c:v>
                </c:pt>
                <c:pt idx="73">
                  <c:v>23</c:v>
                </c:pt>
                <c:pt idx="74">
                  <c:v>23.300000000000011</c:v>
                </c:pt>
                <c:pt idx="75">
                  <c:v>23.600000000000009</c:v>
                </c:pt>
                <c:pt idx="76">
                  <c:v>23.900000000000006</c:v>
                </c:pt>
                <c:pt idx="77">
                  <c:v>24.300000000000011</c:v>
                </c:pt>
                <c:pt idx="78">
                  <c:v>24.600000000000009</c:v>
                </c:pt>
                <c:pt idx="79">
                  <c:v>24.900000000000006</c:v>
                </c:pt>
                <c:pt idx="80">
                  <c:v>25.200000000000003</c:v>
                </c:pt>
                <c:pt idx="81">
                  <c:v>25.5</c:v>
                </c:pt>
                <c:pt idx="82">
                  <c:v>25.800000000000011</c:v>
                </c:pt>
                <c:pt idx="83">
                  <c:v>26.100000000000009</c:v>
                </c:pt>
                <c:pt idx="84">
                  <c:v>26.5</c:v>
                </c:pt>
                <c:pt idx="85">
                  <c:v>26.800000000000011</c:v>
                </c:pt>
                <c:pt idx="86">
                  <c:v>27.100000000000009</c:v>
                </c:pt>
                <c:pt idx="87">
                  <c:v>27.400000000000006</c:v>
                </c:pt>
                <c:pt idx="88">
                  <c:v>27.700000000000003</c:v>
                </c:pt>
                <c:pt idx="89">
                  <c:v>28</c:v>
                </c:pt>
                <c:pt idx="90">
                  <c:v>28.400000000000006</c:v>
                </c:pt>
                <c:pt idx="91">
                  <c:v>28.700000000000003</c:v>
                </c:pt>
                <c:pt idx="92">
                  <c:v>29</c:v>
                </c:pt>
                <c:pt idx="93">
                  <c:v>29.300000000000011</c:v>
                </c:pt>
                <c:pt idx="94">
                  <c:v>29.600000000000009</c:v>
                </c:pt>
                <c:pt idx="95">
                  <c:v>29.900000000000006</c:v>
                </c:pt>
                <c:pt idx="96">
                  <c:v>30.200000000000003</c:v>
                </c:pt>
                <c:pt idx="97">
                  <c:v>30.600000000000009</c:v>
                </c:pt>
                <c:pt idx="98">
                  <c:v>30.900000000000006</c:v>
                </c:pt>
                <c:pt idx="99">
                  <c:v>31.200000000000003</c:v>
                </c:pt>
                <c:pt idx="100">
                  <c:v>31.5</c:v>
                </c:pt>
                <c:pt idx="101">
                  <c:v>31.800000000000011</c:v>
                </c:pt>
                <c:pt idx="102">
                  <c:v>32.100000000000009</c:v>
                </c:pt>
                <c:pt idx="103">
                  <c:v>32.400000000000006</c:v>
                </c:pt>
                <c:pt idx="104">
                  <c:v>32.800000000000011</c:v>
                </c:pt>
                <c:pt idx="105">
                  <c:v>33.100000000000009</c:v>
                </c:pt>
                <c:pt idx="106">
                  <c:v>33.400000000000006</c:v>
                </c:pt>
                <c:pt idx="107">
                  <c:v>33.700000000000003</c:v>
                </c:pt>
                <c:pt idx="108">
                  <c:v>34</c:v>
                </c:pt>
                <c:pt idx="109">
                  <c:v>34.300000000000011</c:v>
                </c:pt>
                <c:pt idx="110">
                  <c:v>34.700000000000003</c:v>
                </c:pt>
                <c:pt idx="111">
                  <c:v>35</c:v>
                </c:pt>
                <c:pt idx="112">
                  <c:v>35.300000000000011</c:v>
                </c:pt>
                <c:pt idx="113">
                  <c:v>35.600000000000009</c:v>
                </c:pt>
                <c:pt idx="114">
                  <c:v>35.900000000000006</c:v>
                </c:pt>
                <c:pt idx="115">
                  <c:v>36.200000000000003</c:v>
                </c:pt>
                <c:pt idx="116">
                  <c:v>36.5</c:v>
                </c:pt>
                <c:pt idx="117">
                  <c:v>36.900000000000006</c:v>
                </c:pt>
                <c:pt idx="118">
                  <c:v>37.200000000000003</c:v>
                </c:pt>
                <c:pt idx="119">
                  <c:v>37.5</c:v>
                </c:pt>
                <c:pt idx="120">
                  <c:v>37.800000000000011</c:v>
                </c:pt>
                <c:pt idx="121">
                  <c:v>38.100000000000009</c:v>
                </c:pt>
                <c:pt idx="122">
                  <c:v>38.400000000000006</c:v>
                </c:pt>
                <c:pt idx="123">
                  <c:v>38.700000000000003</c:v>
                </c:pt>
                <c:pt idx="124">
                  <c:v>39.100000000000009</c:v>
                </c:pt>
                <c:pt idx="125">
                  <c:v>39.400000000000006</c:v>
                </c:pt>
                <c:pt idx="126">
                  <c:v>39.700000000000003</c:v>
                </c:pt>
                <c:pt idx="127">
                  <c:v>40</c:v>
                </c:pt>
                <c:pt idx="128">
                  <c:v>40.300000000000011</c:v>
                </c:pt>
                <c:pt idx="129">
                  <c:v>40.600000000000009</c:v>
                </c:pt>
                <c:pt idx="130">
                  <c:v>41</c:v>
                </c:pt>
                <c:pt idx="131">
                  <c:v>41.300000000000011</c:v>
                </c:pt>
                <c:pt idx="132">
                  <c:v>41.600000000000009</c:v>
                </c:pt>
                <c:pt idx="133">
                  <c:v>41.900000000000006</c:v>
                </c:pt>
                <c:pt idx="134">
                  <c:v>42.2</c:v>
                </c:pt>
                <c:pt idx="135">
                  <c:v>42.5</c:v>
                </c:pt>
                <c:pt idx="136">
                  <c:v>42.800000000000011</c:v>
                </c:pt>
                <c:pt idx="137">
                  <c:v>43.2</c:v>
                </c:pt>
                <c:pt idx="138">
                  <c:v>43.5</c:v>
                </c:pt>
                <c:pt idx="139">
                  <c:v>43.800000000000011</c:v>
                </c:pt>
                <c:pt idx="140">
                  <c:v>44.100000000000009</c:v>
                </c:pt>
                <c:pt idx="141">
                  <c:v>44.400000000000006</c:v>
                </c:pt>
                <c:pt idx="142">
                  <c:v>44.7</c:v>
                </c:pt>
                <c:pt idx="143">
                  <c:v>45.100000000000009</c:v>
                </c:pt>
                <c:pt idx="144">
                  <c:v>45.400000000000006</c:v>
                </c:pt>
                <c:pt idx="145">
                  <c:v>45.7</c:v>
                </c:pt>
                <c:pt idx="146">
                  <c:v>46</c:v>
                </c:pt>
                <c:pt idx="147">
                  <c:v>46.300000000000011</c:v>
                </c:pt>
                <c:pt idx="148">
                  <c:v>46.600000000000009</c:v>
                </c:pt>
                <c:pt idx="149">
                  <c:v>46.900000000000006</c:v>
                </c:pt>
                <c:pt idx="150">
                  <c:v>47.300000000000011</c:v>
                </c:pt>
                <c:pt idx="151">
                  <c:v>47.600000000000009</c:v>
                </c:pt>
                <c:pt idx="152">
                  <c:v>47.900000000000006</c:v>
                </c:pt>
                <c:pt idx="153">
                  <c:v>48.2</c:v>
                </c:pt>
                <c:pt idx="154">
                  <c:v>48.5</c:v>
                </c:pt>
                <c:pt idx="155">
                  <c:v>48.800000000000011</c:v>
                </c:pt>
                <c:pt idx="156">
                  <c:v>49.100000000000009</c:v>
                </c:pt>
                <c:pt idx="157">
                  <c:v>49.5</c:v>
                </c:pt>
                <c:pt idx="158">
                  <c:v>49.800000000000011</c:v>
                </c:pt>
                <c:pt idx="159">
                  <c:v>50.100000000000009</c:v>
                </c:pt>
                <c:pt idx="160">
                  <c:v>50.400000000000006</c:v>
                </c:pt>
                <c:pt idx="161">
                  <c:v>50.7</c:v>
                </c:pt>
                <c:pt idx="162">
                  <c:v>51</c:v>
                </c:pt>
                <c:pt idx="163">
                  <c:v>51.400000000000006</c:v>
                </c:pt>
                <c:pt idx="164">
                  <c:v>51.7</c:v>
                </c:pt>
                <c:pt idx="165">
                  <c:v>52</c:v>
                </c:pt>
                <c:pt idx="166">
                  <c:v>52.300000000000011</c:v>
                </c:pt>
                <c:pt idx="167">
                  <c:v>52.600000000000009</c:v>
                </c:pt>
                <c:pt idx="168">
                  <c:v>52.900000000000006</c:v>
                </c:pt>
                <c:pt idx="169">
                  <c:v>53.2</c:v>
                </c:pt>
                <c:pt idx="170">
                  <c:v>53.600000000000009</c:v>
                </c:pt>
                <c:pt idx="171">
                  <c:v>53.900000000000006</c:v>
                </c:pt>
                <c:pt idx="172">
                  <c:v>54.2</c:v>
                </c:pt>
                <c:pt idx="173">
                  <c:v>54.5</c:v>
                </c:pt>
                <c:pt idx="174">
                  <c:v>54.800000000000011</c:v>
                </c:pt>
                <c:pt idx="175">
                  <c:v>55.099999999999994</c:v>
                </c:pt>
                <c:pt idx="176">
                  <c:v>55.400000000000006</c:v>
                </c:pt>
                <c:pt idx="177">
                  <c:v>55.800000000000011</c:v>
                </c:pt>
                <c:pt idx="178">
                  <c:v>56.099999999999994</c:v>
                </c:pt>
                <c:pt idx="179">
                  <c:v>56.400000000000006</c:v>
                </c:pt>
                <c:pt idx="180">
                  <c:v>56.700000000000017</c:v>
                </c:pt>
                <c:pt idx="181">
                  <c:v>57</c:v>
                </c:pt>
                <c:pt idx="182">
                  <c:v>57.300000000000011</c:v>
                </c:pt>
                <c:pt idx="183">
                  <c:v>57.700000000000017</c:v>
                </c:pt>
                <c:pt idx="184">
                  <c:v>58</c:v>
                </c:pt>
                <c:pt idx="185">
                  <c:v>58.300000000000011</c:v>
                </c:pt>
                <c:pt idx="186">
                  <c:v>58.599999999999994</c:v>
                </c:pt>
                <c:pt idx="187">
                  <c:v>58.900000000000006</c:v>
                </c:pt>
                <c:pt idx="188">
                  <c:v>59.200000000000017</c:v>
                </c:pt>
                <c:pt idx="189">
                  <c:v>59.5</c:v>
                </c:pt>
                <c:pt idx="190">
                  <c:v>59.900000000000006</c:v>
                </c:pt>
                <c:pt idx="191">
                  <c:v>60.200000000000017</c:v>
                </c:pt>
                <c:pt idx="192">
                  <c:v>60.5</c:v>
                </c:pt>
                <c:pt idx="193">
                  <c:v>60.800000000000011</c:v>
                </c:pt>
                <c:pt idx="194">
                  <c:v>61.099999999999994</c:v>
                </c:pt>
                <c:pt idx="195">
                  <c:v>61.400000000000006</c:v>
                </c:pt>
                <c:pt idx="196">
                  <c:v>61.700000000000017</c:v>
                </c:pt>
                <c:pt idx="197">
                  <c:v>62.099999999999994</c:v>
                </c:pt>
                <c:pt idx="198">
                  <c:v>62.400000000000006</c:v>
                </c:pt>
                <c:pt idx="199">
                  <c:v>62.700000000000017</c:v>
                </c:pt>
                <c:pt idx="200">
                  <c:v>63</c:v>
                </c:pt>
                <c:pt idx="201">
                  <c:v>63.300000000000011</c:v>
                </c:pt>
                <c:pt idx="202">
                  <c:v>63.599999999999994</c:v>
                </c:pt>
                <c:pt idx="203">
                  <c:v>64</c:v>
                </c:pt>
                <c:pt idx="204">
                  <c:v>64.300000000000011</c:v>
                </c:pt>
                <c:pt idx="205">
                  <c:v>64.599999999999994</c:v>
                </c:pt>
                <c:pt idx="206">
                  <c:v>64.900000000000006</c:v>
                </c:pt>
                <c:pt idx="207">
                  <c:v>65.200000000000017</c:v>
                </c:pt>
                <c:pt idx="208">
                  <c:v>65.5</c:v>
                </c:pt>
                <c:pt idx="209">
                  <c:v>65.800000000000011</c:v>
                </c:pt>
                <c:pt idx="210">
                  <c:v>66.200000000000017</c:v>
                </c:pt>
                <c:pt idx="211">
                  <c:v>66.5</c:v>
                </c:pt>
                <c:pt idx="212">
                  <c:v>66.800000000000011</c:v>
                </c:pt>
                <c:pt idx="213">
                  <c:v>67.099999999999994</c:v>
                </c:pt>
                <c:pt idx="214">
                  <c:v>67.400000000000006</c:v>
                </c:pt>
                <c:pt idx="215">
                  <c:v>67.700000000000017</c:v>
                </c:pt>
                <c:pt idx="216">
                  <c:v>68.099999999999994</c:v>
                </c:pt>
                <c:pt idx="217">
                  <c:v>68.400000000000006</c:v>
                </c:pt>
                <c:pt idx="218">
                  <c:v>68.700000000000017</c:v>
                </c:pt>
                <c:pt idx="219">
                  <c:v>69</c:v>
                </c:pt>
                <c:pt idx="220">
                  <c:v>69.300000000000011</c:v>
                </c:pt>
                <c:pt idx="221">
                  <c:v>69.599999999999994</c:v>
                </c:pt>
                <c:pt idx="222">
                  <c:v>69.900000000000006</c:v>
                </c:pt>
                <c:pt idx="223">
                  <c:v>70.300000000000011</c:v>
                </c:pt>
                <c:pt idx="224">
                  <c:v>70.599999999999994</c:v>
                </c:pt>
                <c:pt idx="225">
                  <c:v>70.900000000000006</c:v>
                </c:pt>
                <c:pt idx="226">
                  <c:v>71.200000000000017</c:v>
                </c:pt>
                <c:pt idx="227">
                  <c:v>71.5</c:v>
                </c:pt>
                <c:pt idx="228">
                  <c:v>71.800000000000011</c:v>
                </c:pt>
                <c:pt idx="229">
                  <c:v>72.099999999999994</c:v>
                </c:pt>
                <c:pt idx="230">
                  <c:v>72.5</c:v>
                </c:pt>
                <c:pt idx="231">
                  <c:v>72.800000000000011</c:v>
                </c:pt>
                <c:pt idx="232">
                  <c:v>73.099999999999994</c:v>
                </c:pt>
                <c:pt idx="233">
                  <c:v>73.400000000000006</c:v>
                </c:pt>
                <c:pt idx="234">
                  <c:v>73.700000000000017</c:v>
                </c:pt>
                <c:pt idx="235">
                  <c:v>74</c:v>
                </c:pt>
                <c:pt idx="236">
                  <c:v>74.400000000000006</c:v>
                </c:pt>
                <c:pt idx="237">
                  <c:v>74.700000000000017</c:v>
                </c:pt>
                <c:pt idx="238">
                  <c:v>75</c:v>
                </c:pt>
                <c:pt idx="239">
                  <c:v>75.300000000000011</c:v>
                </c:pt>
                <c:pt idx="240">
                  <c:v>75.599999999999994</c:v>
                </c:pt>
                <c:pt idx="241">
                  <c:v>75.900000000000006</c:v>
                </c:pt>
                <c:pt idx="242">
                  <c:v>76.200000000000017</c:v>
                </c:pt>
                <c:pt idx="243">
                  <c:v>76.599999999999994</c:v>
                </c:pt>
                <c:pt idx="244">
                  <c:v>76.900000000000006</c:v>
                </c:pt>
                <c:pt idx="245">
                  <c:v>77.200000000000017</c:v>
                </c:pt>
                <c:pt idx="246">
                  <c:v>77.5</c:v>
                </c:pt>
                <c:pt idx="247">
                  <c:v>77.800000000000011</c:v>
                </c:pt>
                <c:pt idx="248">
                  <c:v>78.099999999999994</c:v>
                </c:pt>
                <c:pt idx="249">
                  <c:v>78.400000000000006</c:v>
                </c:pt>
                <c:pt idx="250">
                  <c:v>78.800000000000011</c:v>
                </c:pt>
                <c:pt idx="251">
                  <c:v>79.099999999999994</c:v>
                </c:pt>
                <c:pt idx="252">
                  <c:v>79.400000000000006</c:v>
                </c:pt>
                <c:pt idx="253">
                  <c:v>79.700000000000017</c:v>
                </c:pt>
                <c:pt idx="254">
                  <c:v>80</c:v>
                </c:pt>
                <c:pt idx="255">
                  <c:v>80.300000000000011</c:v>
                </c:pt>
                <c:pt idx="256">
                  <c:v>80.700000000000017</c:v>
                </c:pt>
                <c:pt idx="257">
                  <c:v>81</c:v>
                </c:pt>
                <c:pt idx="258">
                  <c:v>81.300000000000011</c:v>
                </c:pt>
                <c:pt idx="259">
                  <c:v>81.599999999999994</c:v>
                </c:pt>
                <c:pt idx="260">
                  <c:v>81.900000000000006</c:v>
                </c:pt>
                <c:pt idx="261">
                  <c:v>82.200000000000017</c:v>
                </c:pt>
                <c:pt idx="262">
                  <c:v>82.5</c:v>
                </c:pt>
                <c:pt idx="263">
                  <c:v>82.9</c:v>
                </c:pt>
                <c:pt idx="264">
                  <c:v>83.200000000000017</c:v>
                </c:pt>
                <c:pt idx="265">
                  <c:v>83.5</c:v>
                </c:pt>
                <c:pt idx="266">
                  <c:v>83.800000000000011</c:v>
                </c:pt>
                <c:pt idx="267">
                  <c:v>84.1</c:v>
                </c:pt>
                <c:pt idx="268">
                  <c:v>84.4</c:v>
                </c:pt>
                <c:pt idx="269">
                  <c:v>84.700000000000017</c:v>
                </c:pt>
                <c:pt idx="270">
                  <c:v>85.1</c:v>
                </c:pt>
                <c:pt idx="271">
                  <c:v>85.4</c:v>
                </c:pt>
                <c:pt idx="272">
                  <c:v>85.700000000000017</c:v>
                </c:pt>
                <c:pt idx="273">
                  <c:v>86</c:v>
                </c:pt>
                <c:pt idx="274">
                  <c:v>86.300000000000011</c:v>
                </c:pt>
                <c:pt idx="275">
                  <c:v>86.6</c:v>
                </c:pt>
                <c:pt idx="276">
                  <c:v>87</c:v>
                </c:pt>
                <c:pt idx="277">
                  <c:v>87.300000000000011</c:v>
                </c:pt>
                <c:pt idx="278">
                  <c:v>87.6</c:v>
                </c:pt>
                <c:pt idx="279">
                  <c:v>87.9</c:v>
                </c:pt>
                <c:pt idx="280">
                  <c:v>88.200000000000017</c:v>
                </c:pt>
                <c:pt idx="281">
                  <c:v>88.5</c:v>
                </c:pt>
                <c:pt idx="282">
                  <c:v>88.800000000000011</c:v>
                </c:pt>
                <c:pt idx="283">
                  <c:v>89.200000000000017</c:v>
                </c:pt>
                <c:pt idx="284">
                  <c:v>89.5</c:v>
                </c:pt>
                <c:pt idx="285">
                  <c:v>89.800000000000011</c:v>
                </c:pt>
                <c:pt idx="286">
                  <c:v>90.1</c:v>
                </c:pt>
                <c:pt idx="287">
                  <c:v>90.4</c:v>
                </c:pt>
                <c:pt idx="288">
                  <c:v>90.700000000000017</c:v>
                </c:pt>
                <c:pt idx="289">
                  <c:v>91.1</c:v>
                </c:pt>
                <c:pt idx="290">
                  <c:v>91.4</c:v>
                </c:pt>
                <c:pt idx="291">
                  <c:v>91.700000000000017</c:v>
                </c:pt>
                <c:pt idx="292">
                  <c:v>92</c:v>
                </c:pt>
                <c:pt idx="293">
                  <c:v>92.300000000000011</c:v>
                </c:pt>
                <c:pt idx="294">
                  <c:v>92.6</c:v>
                </c:pt>
                <c:pt idx="295">
                  <c:v>92.9</c:v>
                </c:pt>
                <c:pt idx="296">
                  <c:v>93.300000000000011</c:v>
                </c:pt>
                <c:pt idx="297">
                  <c:v>93.6</c:v>
                </c:pt>
                <c:pt idx="298">
                  <c:v>93.9</c:v>
                </c:pt>
                <c:pt idx="299">
                  <c:v>94.200000000000017</c:v>
                </c:pt>
                <c:pt idx="300">
                  <c:v>94.5</c:v>
                </c:pt>
                <c:pt idx="301">
                  <c:v>94.800000000000011</c:v>
                </c:pt>
                <c:pt idx="302">
                  <c:v>95.1</c:v>
                </c:pt>
                <c:pt idx="303">
                  <c:v>95.5</c:v>
                </c:pt>
                <c:pt idx="304">
                  <c:v>95.800000000000011</c:v>
                </c:pt>
                <c:pt idx="305">
                  <c:v>96.1</c:v>
                </c:pt>
                <c:pt idx="306">
                  <c:v>96.4</c:v>
                </c:pt>
                <c:pt idx="307">
                  <c:v>96.700000000000017</c:v>
                </c:pt>
                <c:pt idx="308">
                  <c:v>97</c:v>
                </c:pt>
                <c:pt idx="309">
                  <c:v>97.4</c:v>
                </c:pt>
                <c:pt idx="310">
                  <c:v>97.700000000000017</c:v>
                </c:pt>
                <c:pt idx="311">
                  <c:v>98</c:v>
                </c:pt>
                <c:pt idx="312">
                  <c:v>98.300000000000011</c:v>
                </c:pt>
                <c:pt idx="313">
                  <c:v>98.6</c:v>
                </c:pt>
                <c:pt idx="314">
                  <c:v>98.9</c:v>
                </c:pt>
                <c:pt idx="315">
                  <c:v>99.200000000000017</c:v>
                </c:pt>
                <c:pt idx="316">
                  <c:v>99.6</c:v>
                </c:pt>
                <c:pt idx="317">
                  <c:v>99.9</c:v>
                </c:pt>
                <c:pt idx="318">
                  <c:v>100.20000000000002</c:v>
                </c:pt>
                <c:pt idx="319">
                  <c:v>100.5</c:v>
                </c:pt>
                <c:pt idx="320">
                  <c:v>100.80000000000001</c:v>
                </c:pt>
                <c:pt idx="321">
                  <c:v>101.1</c:v>
                </c:pt>
                <c:pt idx="322">
                  <c:v>101.4</c:v>
                </c:pt>
                <c:pt idx="323">
                  <c:v>101.80000000000001</c:v>
                </c:pt>
                <c:pt idx="324">
                  <c:v>102.1</c:v>
                </c:pt>
                <c:pt idx="325">
                  <c:v>102.4</c:v>
                </c:pt>
                <c:pt idx="326">
                  <c:v>102.70000000000002</c:v>
                </c:pt>
                <c:pt idx="327">
                  <c:v>103</c:v>
                </c:pt>
                <c:pt idx="328">
                  <c:v>103.30000000000001</c:v>
                </c:pt>
                <c:pt idx="329">
                  <c:v>103.70000000000002</c:v>
                </c:pt>
                <c:pt idx="330">
                  <c:v>104</c:v>
                </c:pt>
                <c:pt idx="331">
                  <c:v>104.30000000000001</c:v>
                </c:pt>
                <c:pt idx="332">
                  <c:v>104.6</c:v>
                </c:pt>
                <c:pt idx="333">
                  <c:v>104.9</c:v>
                </c:pt>
                <c:pt idx="334">
                  <c:v>105.20000000000002</c:v>
                </c:pt>
                <c:pt idx="335">
                  <c:v>105.5</c:v>
                </c:pt>
                <c:pt idx="336">
                  <c:v>105.9</c:v>
                </c:pt>
                <c:pt idx="337">
                  <c:v>106.20000000000002</c:v>
                </c:pt>
                <c:pt idx="338">
                  <c:v>106.5</c:v>
                </c:pt>
                <c:pt idx="339">
                  <c:v>106.80000000000001</c:v>
                </c:pt>
                <c:pt idx="340">
                  <c:v>107.1</c:v>
                </c:pt>
                <c:pt idx="341">
                  <c:v>107.4</c:v>
                </c:pt>
                <c:pt idx="342">
                  <c:v>107.70000000000002</c:v>
                </c:pt>
                <c:pt idx="343">
                  <c:v>108.1</c:v>
                </c:pt>
                <c:pt idx="344">
                  <c:v>108.4</c:v>
                </c:pt>
                <c:pt idx="345">
                  <c:v>108.70000000000002</c:v>
                </c:pt>
                <c:pt idx="346">
                  <c:v>109</c:v>
                </c:pt>
                <c:pt idx="347">
                  <c:v>109.30000000000001</c:v>
                </c:pt>
                <c:pt idx="348">
                  <c:v>109.6</c:v>
                </c:pt>
                <c:pt idx="349">
                  <c:v>110</c:v>
                </c:pt>
                <c:pt idx="350">
                  <c:v>110.30000000000001</c:v>
                </c:pt>
                <c:pt idx="351">
                  <c:v>110.6</c:v>
                </c:pt>
                <c:pt idx="352">
                  <c:v>110.9</c:v>
                </c:pt>
                <c:pt idx="353">
                  <c:v>111.20000000000002</c:v>
                </c:pt>
                <c:pt idx="354">
                  <c:v>111.5</c:v>
                </c:pt>
                <c:pt idx="355">
                  <c:v>111.80000000000001</c:v>
                </c:pt>
                <c:pt idx="356">
                  <c:v>112.20000000000002</c:v>
                </c:pt>
                <c:pt idx="357">
                  <c:v>112.5</c:v>
                </c:pt>
                <c:pt idx="358">
                  <c:v>112.80000000000001</c:v>
                </c:pt>
                <c:pt idx="359">
                  <c:v>113.1</c:v>
                </c:pt>
                <c:pt idx="360">
                  <c:v>113.4</c:v>
                </c:pt>
                <c:pt idx="361">
                  <c:v>113.70000000000002</c:v>
                </c:pt>
                <c:pt idx="362">
                  <c:v>114.1</c:v>
                </c:pt>
                <c:pt idx="363">
                  <c:v>114.4</c:v>
                </c:pt>
                <c:pt idx="364">
                  <c:v>114.70000000000002</c:v>
                </c:pt>
                <c:pt idx="365">
                  <c:v>115</c:v>
                </c:pt>
                <c:pt idx="366">
                  <c:v>115.30000000000001</c:v>
                </c:pt>
                <c:pt idx="367">
                  <c:v>115.6</c:v>
                </c:pt>
                <c:pt idx="368">
                  <c:v>115.9</c:v>
                </c:pt>
                <c:pt idx="369">
                  <c:v>116.30000000000001</c:v>
                </c:pt>
                <c:pt idx="370">
                  <c:v>116.6</c:v>
                </c:pt>
                <c:pt idx="371">
                  <c:v>116.9</c:v>
                </c:pt>
                <c:pt idx="372">
                  <c:v>117.20000000000002</c:v>
                </c:pt>
                <c:pt idx="373">
                  <c:v>117.5</c:v>
                </c:pt>
                <c:pt idx="374">
                  <c:v>117.80000000000001</c:v>
                </c:pt>
                <c:pt idx="375">
                  <c:v>118.1</c:v>
                </c:pt>
                <c:pt idx="376">
                  <c:v>118.5</c:v>
                </c:pt>
                <c:pt idx="377">
                  <c:v>118.80000000000001</c:v>
                </c:pt>
                <c:pt idx="378">
                  <c:v>119.1</c:v>
                </c:pt>
                <c:pt idx="379">
                  <c:v>119.4</c:v>
                </c:pt>
                <c:pt idx="380">
                  <c:v>119.70000000000002</c:v>
                </c:pt>
                <c:pt idx="381">
                  <c:v>120</c:v>
                </c:pt>
                <c:pt idx="382">
                  <c:v>120.4</c:v>
                </c:pt>
                <c:pt idx="383">
                  <c:v>120.70000000000002</c:v>
                </c:pt>
                <c:pt idx="384">
                  <c:v>121</c:v>
                </c:pt>
                <c:pt idx="385">
                  <c:v>121.30000000000001</c:v>
                </c:pt>
                <c:pt idx="386">
                  <c:v>121.6</c:v>
                </c:pt>
                <c:pt idx="387">
                  <c:v>121.9</c:v>
                </c:pt>
                <c:pt idx="388">
                  <c:v>122.20000000000002</c:v>
                </c:pt>
                <c:pt idx="389">
                  <c:v>122.6</c:v>
                </c:pt>
                <c:pt idx="390">
                  <c:v>122.9</c:v>
                </c:pt>
                <c:pt idx="391">
                  <c:v>123.20000000000002</c:v>
                </c:pt>
                <c:pt idx="392">
                  <c:v>123.5</c:v>
                </c:pt>
                <c:pt idx="393">
                  <c:v>123.80000000000001</c:v>
                </c:pt>
                <c:pt idx="394">
                  <c:v>124.1</c:v>
                </c:pt>
                <c:pt idx="395">
                  <c:v>124.4</c:v>
                </c:pt>
                <c:pt idx="396">
                  <c:v>124.80000000000001</c:v>
                </c:pt>
                <c:pt idx="397">
                  <c:v>125.1</c:v>
                </c:pt>
                <c:pt idx="398">
                  <c:v>125.4</c:v>
                </c:pt>
                <c:pt idx="399">
                  <c:v>125.70000000000002</c:v>
                </c:pt>
                <c:pt idx="400">
                  <c:v>126</c:v>
                </c:pt>
                <c:pt idx="401">
                  <c:v>126.30000000000001</c:v>
                </c:pt>
                <c:pt idx="402">
                  <c:v>126.70000000000002</c:v>
                </c:pt>
                <c:pt idx="403">
                  <c:v>127</c:v>
                </c:pt>
                <c:pt idx="404">
                  <c:v>127.30000000000001</c:v>
                </c:pt>
                <c:pt idx="405">
                  <c:v>127.6</c:v>
                </c:pt>
                <c:pt idx="406">
                  <c:v>127.9</c:v>
                </c:pt>
                <c:pt idx="407">
                  <c:v>128.20000000000002</c:v>
                </c:pt>
                <c:pt idx="408">
                  <c:v>128.5</c:v>
                </c:pt>
                <c:pt idx="409">
                  <c:v>128.9</c:v>
                </c:pt>
                <c:pt idx="410">
                  <c:v>129.20000000000002</c:v>
                </c:pt>
                <c:pt idx="411">
                  <c:v>129.5</c:v>
                </c:pt>
                <c:pt idx="412">
                  <c:v>129.80000000000001</c:v>
                </c:pt>
                <c:pt idx="413">
                  <c:v>130.1</c:v>
                </c:pt>
                <c:pt idx="414">
                  <c:v>130.4</c:v>
                </c:pt>
                <c:pt idx="415">
                  <c:v>130.70000000000002</c:v>
                </c:pt>
                <c:pt idx="416">
                  <c:v>131.1</c:v>
                </c:pt>
                <c:pt idx="417">
                  <c:v>131.4</c:v>
                </c:pt>
                <c:pt idx="418">
                  <c:v>131.70000000000002</c:v>
                </c:pt>
                <c:pt idx="419">
                  <c:v>132</c:v>
                </c:pt>
                <c:pt idx="420">
                  <c:v>132.30000000000001</c:v>
                </c:pt>
                <c:pt idx="421">
                  <c:v>132.6</c:v>
                </c:pt>
                <c:pt idx="422">
                  <c:v>133</c:v>
                </c:pt>
                <c:pt idx="423">
                  <c:v>133.30000000000001</c:v>
                </c:pt>
                <c:pt idx="424">
                  <c:v>133.6</c:v>
                </c:pt>
                <c:pt idx="425">
                  <c:v>133.9</c:v>
                </c:pt>
                <c:pt idx="426">
                  <c:v>134.20000000000002</c:v>
                </c:pt>
                <c:pt idx="427">
                  <c:v>134.5</c:v>
                </c:pt>
                <c:pt idx="428">
                  <c:v>134.80000000000001</c:v>
                </c:pt>
                <c:pt idx="429">
                  <c:v>135.20000000000002</c:v>
                </c:pt>
                <c:pt idx="430">
                  <c:v>135.5</c:v>
                </c:pt>
                <c:pt idx="431">
                  <c:v>135.80000000000001</c:v>
                </c:pt>
                <c:pt idx="432">
                  <c:v>136.1</c:v>
                </c:pt>
                <c:pt idx="433">
                  <c:v>136.4</c:v>
                </c:pt>
                <c:pt idx="434">
                  <c:v>136.70000000000002</c:v>
                </c:pt>
                <c:pt idx="435">
                  <c:v>137.1</c:v>
                </c:pt>
                <c:pt idx="436">
                  <c:v>137.4</c:v>
                </c:pt>
                <c:pt idx="437">
                  <c:v>137.70000000000002</c:v>
                </c:pt>
                <c:pt idx="438">
                  <c:v>138</c:v>
                </c:pt>
                <c:pt idx="439">
                  <c:v>138.30000000000001</c:v>
                </c:pt>
                <c:pt idx="440">
                  <c:v>138.6</c:v>
                </c:pt>
                <c:pt idx="441">
                  <c:v>138.9</c:v>
                </c:pt>
                <c:pt idx="442">
                  <c:v>139.30000000000001</c:v>
                </c:pt>
                <c:pt idx="443">
                  <c:v>139.6</c:v>
                </c:pt>
                <c:pt idx="444">
                  <c:v>139.9</c:v>
                </c:pt>
                <c:pt idx="445">
                  <c:v>140.20000000000002</c:v>
                </c:pt>
                <c:pt idx="446">
                  <c:v>140.5</c:v>
                </c:pt>
                <c:pt idx="447">
                  <c:v>140.80000000000001</c:v>
                </c:pt>
                <c:pt idx="448">
                  <c:v>141.1</c:v>
                </c:pt>
                <c:pt idx="449">
                  <c:v>141.5</c:v>
                </c:pt>
                <c:pt idx="450">
                  <c:v>141.80000000000001</c:v>
                </c:pt>
                <c:pt idx="451">
                  <c:v>142.1</c:v>
                </c:pt>
                <c:pt idx="452">
                  <c:v>142.4</c:v>
                </c:pt>
                <c:pt idx="453">
                  <c:v>142.70000000000002</c:v>
                </c:pt>
                <c:pt idx="454">
                  <c:v>143</c:v>
                </c:pt>
                <c:pt idx="455">
                  <c:v>143.4</c:v>
                </c:pt>
                <c:pt idx="456">
                  <c:v>143.70000000000002</c:v>
                </c:pt>
                <c:pt idx="457">
                  <c:v>144</c:v>
                </c:pt>
                <c:pt idx="458">
                  <c:v>144.30000000000001</c:v>
                </c:pt>
                <c:pt idx="459">
                  <c:v>144.6</c:v>
                </c:pt>
                <c:pt idx="460">
                  <c:v>144.9</c:v>
                </c:pt>
                <c:pt idx="461">
                  <c:v>145.20000000000002</c:v>
                </c:pt>
                <c:pt idx="462">
                  <c:v>145.6</c:v>
                </c:pt>
                <c:pt idx="463">
                  <c:v>145.9</c:v>
                </c:pt>
                <c:pt idx="464">
                  <c:v>146.20000000000002</c:v>
                </c:pt>
                <c:pt idx="465">
                  <c:v>146.5</c:v>
                </c:pt>
                <c:pt idx="466">
                  <c:v>146.80000000000001</c:v>
                </c:pt>
                <c:pt idx="467">
                  <c:v>147.1</c:v>
                </c:pt>
                <c:pt idx="468">
                  <c:v>147.4</c:v>
                </c:pt>
                <c:pt idx="469">
                  <c:v>147.80000000000001</c:v>
                </c:pt>
                <c:pt idx="470">
                  <c:v>148.1</c:v>
                </c:pt>
                <c:pt idx="471">
                  <c:v>148.4</c:v>
                </c:pt>
                <c:pt idx="472">
                  <c:v>148.70000000000002</c:v>
                </c:pt>
                <c:pt idx="473">
                  <c:v>149</c:v>
                </c:pt>
                <c:pt idx="474">
                  <c:v>149.30000000000001</c:v>
                </c:pt>
                <c:pt idx="475">
                  <c:v>149.70000000000002</c:v>
                </c:pt>
                <c:pt idx="476">
                  <c:v>150</c:v>
                </c:pt>
                <c:pt idx="477">
                  <c:v>150.30000000000001</c:v>
                </c:pt>
                <c:pt idx="478">
                  <c:v>150.6</c:v>
                </c:pt>
                <c:pt idx="479">
                  <c:v>150.9</c:v>
                </c:pt>
                <c:pt idx="480">
                  <c:v>151.20000000000002</c:v>
                </c:pt>
                <c:pt idx="481">
                  <c:v>151.5</c:v>
                </c:pt>
                <c:pt idx="482">
                  <c:v>151.9</c:v>
                </c:pt>
                <c:pt idx="483">
                  <c:v>152.20000000000002</c:v>
                </c:pt>
                <c:pt idx="484">
                  <c:v>152.5</c:v>
                </c:pt>
                <c:pt idx="485">
                  <c:v>152.80000000000001</c:v>
                </c:pt>
                <c:pt idx="486">
                  <c:v>153.1</c:v>
                </c:pt>
                <c:pt idx="487">
                  <c:v>153.4</c:v>
                </c:pt>
                <c:pt idx="488">
                  <c:v>153.70000000000002</c:v>
                </c:pt>
                <c:pt idx="489">
                  <c:v>154.1</c:v>
                </c:pt>
                <c:pt idx="490">
                  <c:v>154.4</c:v>
                </c:pt>
                <c:pt idx="491">
                  <c:v>154.70000000000002</c:v>
                </c:pt>
                <c:pt idx="492">
                  <c:v>155</c:v>
                </c:pt>
                <c:pt idx="493">
                  <c:v>155.30000000000001</c:v>
                </c:pt>
                <c:pt idx="494">
                  <c:v>155.6</c:v>
                </c:pt>
                <c:pt idx="495">
                  <c:v>156</c:v>
                </c:pt>
                <c:pt idx="496">
                  <c:v>156.30000000000001</c:v>
                </c:pt>
                <c:pt idx="497">
                  <c:v>156.6</c:v>
                </c:pt>
              </c:numCache>
            </c:numRef>
          </c:xVal>
          <c:yVal>
            <c:numRef>
              <c:f>'sheet 1'!$Q$39:$Q$841</c:f>
              <c:numCache>
                <c:formatCode>General</c:formatCode>
                <c:ptCount val="803"/>
                <c:pt idx="0">
                  <c:v>2514.2687358180578</c:v>
                </c:pt>
                <c:pt idx="1">
                  <c:v>2494.337334143916</c:v>
                </c:pt>
                <c:pt idx="2">
                  <c:v>2474.61331657443</c:v>
                </c:pt>
                <c:pt idx="3">
                  <c:v>2455.094109421575</c:v>
                </c:pt>
                <c:pt idx="4">
                  <c:v>2429.3827128737034</c:v>
                </c:pt>
                <c:pt idx="5">
                  <c:v>2410.3315891637835</c:v>
                </c:pt>
                <c:pt idx="6">
                  <c:v>2391.4769539353456</c:v>
                </c:pt>
                <c:pt idx="7">
                  <c:v>2372.8163856543351</c:v>
                </c:pt>
                <c:pt idx="8">
                  <c:v>2354.3474964959869</c:v>
                </c:pt>
                <c:pt idx="9">
                  <c:v>2336.0679318360744</c:v>
                </c:pt>
                <c:pt idx="10">
                  <c:v>2317.9753697502033</c:v>
                </c:pt>
                <c:pt idx="11">
                  <c:v>2294.1388935706373</c:v>
                </c:pt>
                <c:pt idx="12">
                  <c:v>2276.4738211268354</c:v>
                </c:pt>
                <c:pt idx="13">
                  <c:v>2258.9882414048916</c:v>
                </c:pt>
                <c:pt idx="14">
                  <c:v>2241.6799685837273</c:v>
                </c:pt>
                <c:pt idx="15">
                  <c:v>2224.5468470019637</c:v>
                </c:pt>
                <c:pt idx="16">
                  <c:v>2207.5867507051626</c:v>
                </c:pt>
                <c:pt idx="17">
                  <c:v>2185.2388196650727</c:v>
                </c:pt>
                <c:pt idx="18">
                  <c:v>2168.6743449813011</c:v>
                </c:pt>
                <c:pt idx="19">
                  <c:v>2152.2760179485549</c:v>
                </c:pt>
                <c:pt idx="20">
                  <c:v>2136.0418362823289</c:v>
                </c:pt>
                <c:pt idx="21">
                  <c:v>2119.9698251081068</c:v>
                </c:pt>
                <c:pt idx="22">
                  <c:v>2104.0580365519236</c:v>
                </c:pt>
                <c:pt idx="23">
                  <c:v>2088.3045493373629</c:v>
                </c:pt>
                <c:pt idx="24">
                  <c:v>2067.5428745351705</c:v>
                </c:pt>
                <c:pt idx="25">
                  <c:v>2052.1514319348662</c:v>
                </c:pt>
                <c:pt idx="26">
                  <c:v>2036.9120734686164</c:v>
                </c:pt>
                <c:pt idx="27">
                  <c:v>2021.8229886119072</c:v>
                </c:pt>
                <c:pt idx="28">
                  <c:v>2006.8823913931458</c:v>
                </c:pt>
                <c:pt idx="29">
                  <c:v>1992.0885200291611</c:v>
                </c:pt>
                <c:pt idx="30">
                  <c:v>1977.4396365664261</c:v>
                </c:pt>
                <c:pt idx="31">
                  <c:v>1958.1303687290297</c:v>
                </c:pt>
                <c:pt idx="32">
                  <c:v>1943.813162885084</c:v>
                </c:pt>
                <c:pt idx="33">
                  <c:v>1929.6353193741659</c:v>
                </c:pt>
                <c:pt idx="34">
                  <c:v>1915.5951994943391</c:v>
                </c:pt>
                <c:pt idx="35">
                  <c:v>1901.6911865528311</c:v>
                </c:pt>
                <c:pt idx="36">
                  <c:v>1887.9216855414461</c:v>
                </c:pt>
                <c:pt idx="37">
                  <c:v>1869.7688748007638</c:v>
                </c:pt>
                <c:pt idx="38">
                  <c:v>1856.3071515755157</c:v>
                </c:pt>
                <c:pt idx="39">
                  <c:v>1842.9747761323908</c:v>
                </c:pt>
                <c:pt idx="40">
                  <c:v>1829.7702438013698</c:v>
                </c:pt>
                <c:pt idx="41">
                  <c:v>1816.6920699498137</c:v>
                </c:pt>
                <c:pt idx="42">
                  <c:v>1803.7387896887337</c:v>
                </c:pt>
                <c:pt idx="43">
                  <c:v>1790.9089575836495</c:v>
                </c:pt>
                <c:pt idx="44">
                  <c:v>1773.9920828191262</c:v>
                </c:pt>
                <c:pt idx="45">
                  <c:v>1761.4447824358756</c:v>
                </c:pt>
                <c:pt idx="46">
                  <c:v>1749.0162489771387</c:v>
                </c:pt>
                <c:pt idx="47">
                  <c:v>1736.7051180787823</c:v>
                </c:pt>
                <c:pt idx="48">
                  <c:v>1724.5100433635926</c:v>
                </c:pt>
                <c:pt idx="49">
                  <c:v>1712.4296961795169</c:v>
                </c:pt>
                <c:pt idx="50">
                  <c:v>1700.4627653419864</c:v>
                </c:pt>
                <c:pt idx="51">
                  <c:v>1684.6810489420391</c:v>
                </c:pt>
                <c:pt idx="52">
                  <c:v>1672.9737534231183</c:v>
                </c:pt>
                <c:pt idx="53">
                  <c:v>1661.3756265619641</c:v>
                </c:pt>
                <c:pt idx="54">
                  <c:v>1649.8854299852781</c:v>
                </c:pt>
                <c:pt idx="55">
                  <c:v>1638.5019414790797</c:v>
                </c:pt>
                <c:pt idx="56">
                  <c:v>1627.2239547553468</c:v>
                </c:pt>
                <c:pt idx="57">
                  <c:v>1612.3486974269983</c:v>
                </c:pt>
                <c:pt idx="58">
                  <c:v>1601.3122781558527</c:v>
                </c:pt>
                <c:pt idx="59">
                  <c:v>1590.3774518045011</c:v>
                </c:pt>
                <c:pt idx="60">
                  <c:v>1579.5430784877217</c:v>
                </c:pt>
                <c:pt idx="61">
                  <c:v>1568.8080330612756</c:v>
                </c:pt>
                <c:pt idx="62">
                  <c:v>1558.1712049104781</c:v>
                </c:pt>
                <c:pt idx="63">
                  <c:v>1547.6314977420211</c:v>
                </c:pt>
                <c:pt idx="64">
                  <c:v>1533.7277635131936</c:v>
                </c:pt>
                <c:pt idx="65">
                  <c:v>1523.4104875257926</c:v>
                </c:pt>
                <c:pt idx="66">
                  <c:v>1513.1867790338292</c:v>
                </c:pt>
                <c:pt idx="67">
                  <c:v>1503.055601475015</c:v>
                </c:pt>
                <c:pt idx="68">
                  <c:v>1493.0159315511423</c:v>
                </c:pt>
                <c:pt idx="69">
                  <c:v>1483.0667590393853</c:v>
                </c:pt>
                <c:pt idx="70">
                  <c:v>1469.9402474903416</c:v>
                </c:pt>
                <c:pt idx="71">
                  <c:v>1460.1983790247243</c:v>
                </c:pt>
                <c:pt idx="72">
                  <c:v>1450.5437326307144</c:v>
                </c:pt>
                <c:pt idx="73">
                  <c:v>1440.9753526346237</c:v>
                </c:pt>
                <c:pt idx="74">
                  <c:v>1431.4922954795181</c:v>
                </c:pt>
                <c:pt idx="75">
                  <c:v>1422.0936295540898</c:v>
                </c:pt>
                <c:pt idx="76">
                  <c:v>1412.7784350241327</c:v>
                </c:pt>
                <c:pt idx="77">
                  <c:v>1400.4864519275322</c:v>
                </c:pt>
                <c:pt idx="78">
                  <c:v>1391.3625117714689</c:v>
                </c:pt>
                <c:pt idx="79">
                  <c:v>1382.3190598418976</c:v>
                </c:pt>
                <c:pt idx="80">
                  <c:v>1373.3552254532858</c:v>
                </c:pt>
                <c:pt idx="81">
                  <c:v>1364.4701488408666</c:v>
                </c:pt>
                <c:pt idx="82">
                  <c:v>1355.6629810077181</c:v>
                </c:pt>
                <c:pt idx="83">
                  <c:v>1346.9328835741719</c:v>
                </c:pt>
                <c:pt idx="84">
                  <c:v>1335.411211483834</c:v>
                </c:pt>
                <c:pt idx="85">
                  <c:v>1326.8577431510853</c:v>
                </c:pt>
                <c:pt idx="86">
                  <c:v>1318.378625411681</c:v>
                </c:pt>
                <c:pt idx="87">
                  <c:v>1309.973064208785</c:v>
                </c:pt>
                <c:pt idx="88">
                  <c:v>1301.6402753373206</c:v>
                </c:pt>
                <c:pt idx="89">
                  <c:v>1293.3794843072333</c:v>
                </c:pt>
                <c:pt idx="90">
                  <c:v>1282.4757722063991</c:v>
                </c:pt>
                <c:pt idx="91">
                  <c:v>1274.380017801172</c:v>
                </c:pt>
                <c:pt idx="92">
                  <c:v>1266.3537480538332</c:v>
                </c:pt>
                <c:pt idx="93">
                  <c:v>1258.396229042329</c:v>
                </c:pt>
                <c:pt idx="94">
                  <c:v>1250.5067358643994</c:v>
                </c:pt>
                <c:pt idx="95">
                  <c:v>1242.6845525133556</c:v>
                </c:pt>
                <c:pt idx="96">
                  <c:v>1234.9289717557247</c:v>
                </c:pt>
                <c:pt idx="97">
                  <c:v>1224.6905952542631</c:v>
                </c:pt>
                <c:pt idx="98">
                  <c:v>1217.0877185780705</c:v>
                </c:pt>
                <c:pt idx="99">
                  <c:v>1209.5491488784533</c:v>
                </c:pt>
                <c:pt idx="100">
                  <c:v>1202.0742155694115</c:v>
                </c:pt>
                <c:pt idx="101">
                  <c:v>1194.6622562158361</c:v>
                </c:pt>
                <c:pt idx="102">
                  <c:v>1187.3126164222797</c:v>
                </c:pt>
                <c:pt idx="103">
                  <c:v>1180.02464972338</c:v>
                </c:pt>
                <c:pt idx="104">
                  <c:v>1170.4021940020923</c:v>
                </c:pt>
                <c:pt idx="105">
                  <c:v>1163.2556608990249</c:v>
                </c:pt>
                <c:pt idx="106">
                  <c:v>1156.1687019049143</c:v>
                </c:pt>
                <c:pt idx="107">
                  <c:v>1149.1407036911442</c:v>
                </c:pt>
                <c:pt idx="108">
                  <c:v>1142.1710603016884</c:v>
                </c:pt>
                <c:pt idx="109">
                  <c:v>1135.2591730534336</c:v>
                </c:pt>
                <c:pt idx="110">
                  <c:v>1126.1321449365018</c:v>
                </c:pt>
                <c:pt idx="111">
                  <c:v>1119.3527339270031</c:v>
                </c:pt>
                <c:pt idx="112">
                  <c:v>1112.6291347248421</c:v>
                </c:pt>
                <c:pt idx="113">
                  <c:v>1105.9607790465036</c:v>
                </c:pt>
                <c:pt idx="114">
                  <c:v>1099.3471053740905</c:v>
                </c:pt>
                <c:pt idx="115">
                  <c:v>1092.7875588645989</c:v>
                </c:pt>
                <c:pt idx="116">
                  <c:v>1086.2815912605188</c:v>
                </c:pt>
                <c:pt idx="117">
                  <c:v>1077.6893773018867</c:v>
                </c:pt>
                <c:pt idx="118">
                  <c:v>1071.3063313666514</c:v>
                </c:pt>
                <c:pt idx="119">
                  <c:v>1064.9750832523418</c:v>
                </c:pt>
                <c:pt idx="120">
                  <c:v>1058.6951122371302</c:v>
                </c:pt>
                <c:pt idx="121">
                  <c:v>1052.4659037295526</c:v>
                </c:pt>
                <c:pt idx="122">
                  <c:v>1046.2869491870792</c:v>
                </c:pt>
                <c:pt idx="123">
                  <c:v>1040.157746035869</c:v>
                </c:pt>
                <c:pt idx="124">
                  <c:v>1032.0620085926562</c:v>
                </c:pt>
                <c:pt idx="125">
                  <c:v>1026.0469705051059</c:v>
                </c:pt>
                <c:pt idx="126">
                  <c:v>1020.0800506631791</c:v>
                </c:pt>
                <c:pt idx="127">
                  <c:v>1014.1607714582336</c:v>
                </c:pt>
                <c:pt idx="128">
                  <c:v>1008.2886608416421</c:v>
                </c:pt>
                <c:pt idx="129">
                  <c:v>1002.4632522516514</c:v>
                </c:pt>
                <c:pt idx="130">
                  <c:v>994.76789212214362</c:v>
                </c:pt>
                <c:pt idx="131">
                  <c:v>989.04967080421295</c:v>
                </c:pt>
                <c:pt idx="132">
                  <c:v>983.37663501664292</c:v>
                </c:pt>
                <c:pt idx="133">
                  <c:v>977.74834115436272</c:v>
                </c:pt>
                <c:pt idx="134">
                  <c:v>972.1643507265336</c:v>
                </c:pt>
                <c:pt idx="135">
                  <c:v>966.62423028983278</c:v>
                </c:pt>
                <c:pt idx="136">
                  <c:v>961.12755138269301</c:v>
                </c:pt>
                <c:pt idx="137">
                  <c:v>953.86549053359545</c:v>
                </c:pt>
                <c:pt idx="138">
                  <c:v>948.46853645634201</c:v>
                </c:pt>
                <c:pt idx="139">
                  <c:v>943.11363085749656</c:v>
                </c:pt>
                <c:pt idx="140">
                  <c:v>937.8003661259346</c:v>
                </c:pt>
                <c:pt idx="141">
                  <c:v>932.52833929715121</c:v>
                </c:pt>
                <c:pt idx="142">
                  <c:v>927.29715199323698</c:v>
                </c:pt>
                <c:pt idx="143">
                  <c:v>920.38508365338737</c:v>
                </c:pt>
                <c:pt idx="144">
                  <c:v>915.24766464946038</c:v>
                </c:pt>
                <c:pt idx="145">
                  <c:v>910.14978961600798</c:v>
                </c:pt>
                <c:pt idx="146">
                  <c:v>905.0910793773312</c:v>
                </c:pt>
                <c:pt idx="147">
                  <c:v>900.07115903831459</c:v>
                </c:pt>
                <c:pt idx="148">
                  <c:v>895.08965792959953</c:v>
                </c:pt>
                <c:pt idx="149">
                  <c:v>890.14620955352973</c:v>
                </c:pt>
                <c:pt idx="150">
                  <c:v>883.61351244390517</c:v>
                </c:pt>
                <c:pt idx="151">
                  <c:v>878.75745154471326</c:v>
                </c:pt>
                <c:pt idx="152">
                  <c:v>873.93825116970049</c:v>
                </c:pt>
                <c:pt idx="153">
                  <c:v>869.15556229238587</c:v>
                </c:pt>
                <c:pt idx="154">
                  <c:v>864.40903978233041</c:v>
                </c:pt>
                <c:pt idx="155">
                  <c:v>859.69834235572694</c:v>
                </c:pt>
                <c:pt idx="156">
                  <c:v>855.02313252668591</c:v>
                </c:pt>
                <c:pt idx="157">
                  <c:v>848.8441460573589</c:v>
                </c:pt>
                <c:pt idx="158">
                  <c:v>844.2504491530633</c:v>
                </c:pt>
                <c:pt idx="159">
                  <c:v>839.69114171104923</c:v>
                </c:pt>
                <c:pt idx="160">
                  <c:v>835.16590215656413</c:v>
                </c:pt>
                <c:pt idx="161">
                  <c:v>830.67441246422948</c:v>
                </c:pt>
                <c:pt idx="162">
                  <c:v>826.21635811347471</c:v>
                </c:pt>
                <c:pt idx="163">
                  <c:v>820.32375903614673</c:v>
                </c:pt>
                <c:pt idx="164">
                  <c:v>815.94251670644439</c:v>
                </c:pt>
                <c:pt idx="165">
                  <c:v>811.59368606924033</c:v>
                </c:pt>
                <c:pt idx="166">
                  <c:v>807.2769672914194</c:v>
                </c:pt>
                <c:pt idx="167">
                  <c:v>802.99206381723343</c:v>
                </c:pt>
                <c:pt idx="168">
                  <c:v>798.73868232750578</c:v>
                </c:pt>
                <c:pt idx="169">
                  <c:v>794.51653269939982</c:v>
                </c:pt>
                <c:pt idx="170">
                  <c:v>788.93508721663181</c:v>
                </c:pt>
                <c:pt idx="171">
                  <c:v>784.78470133549433</c:v>
                </c:pt>
                <c:pt idx="172">
                  <c:v>780.66460281916193</c:v>
                </c:pt>
                <c:pt idx="173">
                  <c:v>776.57451494405564</c:v>
                </c:pt>
                <c:pt idx="174">
                  <c:v>772.51416397752962</c:v>
                </c:pt>
                <c:pt idx="175">
                  <c:v>768.4832791410139</c:v>
                </c:pt>
                <c:pt idx="176">
                  <c:v>764.48159257365955</c:v>
                </c:pt>
                <c:pt idx="177">
                  <c:v>759.19097243595797</c:v>
                </c:pt>
                <c:pt idx="178">
                  <c:v>755.25638960433457</c:v>
                </c:pt>
                <c:pt idx="179">
                  <c:v>751.35013278808663</c:v>
                </c:pt>
                <c:pt idx="180">
                  <c:v>747.47194636171753</c:v>
                </c:pt>
                <c:pt idx="181">
                  <c:v>743.62157743177715</c:v>
                </c:pt>
                <c:pt idx="182">
                  <c:v>739.79877580353639</c:v>
                </c:pt>
                <c:pt idx="183">
                  <c:v>734.74416198740118</c:v>
                </c:pt>
                <c:pt idx="184">
                  <c:v>730.98472599774493</c:v>
                </c:pt>
                <c:pt idx="185">
                  <c:v>727.25204239930372</c:v>
                </c:pt>
                <c:pt idx="186">
                  <c:v>723.54587231755136</c:v>
                </c:pt>
                <c:pt idx="187">
                  <c:v>719.86597940639672</c:v>
                </c:pt>
                <c:pt idx="188">
                  <c:v>716.21212981760573</c:v>
                </c:pt>
                <c:pt idx="189">
                  <c:v>712.58409217063638</c:v>
                </c:pt>
                <c:pt idx="190">
                  <c:v>707.78646519503422</c:v>
                </c:pt>
                <c:pt idx="191">
                  <c:v>704.21776923871232</c:v>
                </c:pt>
                <c:pt idx="192">
                  <c:v>700.67413139881842</c:v>
                </c:pt>
                <c:pt idx="193">
                  <c:v>697.15533064932038</c:v>
                </c:pt>
                <c:pt idx="194">
                  <c:v>693.66114827769752</c:v>
                </c:pt>
                <c:pt idx="195">
                  <c:v>690.1913678572389</c:v>
                </c:pt>
                <c:pt idx="196">
                  <c:v>686.7457752197206</c:v>
                </c:pt>
                <c:pt idx="197">
                  <c:v>682.18891115089184</c:v>
                </c:pt>
                <c:pt idx="198">
                  <c:v>678.7989362824502</c:v>
                </c:pt>
                <c:pt idx="199">
                  <c:v>675.43245127061948</c:v>
                </c:pt>
                <c:pt idx="200">
                  <c:v>672.08925142692874</c:v>
                </c:pt>
                <c:pt idx="201">
                  <c:v>668.7691341816643</c:v>
                </c:pt>
                <c:pt idx="202">
                  <c:v>665.4718990587603</c:v>
                </c:pt>
                <c:pt idx="203">
                  <c:v>661.11083734302542</c:v>
                </c:pt>
                <c:pt idx="204">
                  <c:v>657.86622578550225</c:v>
                </c:pt>
                <c:pt idx="205">
                  <c:v>654.6438429018765</c:v>
                </c:pt>
                <c:pt idx="206">
                  <c:v>651.44349700639521</c:v>
                </c:pt>
                <c:pt idx="207">
                  <c:v>648.2649983785218</c:v>
                </c:pt>
                <c:pt idx="208">
                  <c:v>645.10815923985126</c:v>
                </c:pt>
                <c:pt idx="209">
                  <c:v>641.97279373131971</c:v>
                </c:pt>
                <c:pt idx="210">
                  <c:v>637.82539212234656</c:v>
                </c:pt>
                <c:pt idx="211">
                  <c:v>634.73941957924501</c:v>
                </c:pt>
                <c:pt idx="212">
                  <c:v>631.6743147114928</c:v>
                </c:pt>
                <c:pt idx="213">
                  <c:v>628.6298997210921</c:v>
                </c:pt>
                <c:pt idx="214">
                  <c:v>625.60599861280537</c:v>
                </c:pt>
                <c:pt idx="215">
                  <c:v>622.60243717319349</c:v>
                </c:pt>
                <c:pt idx="216">
                  <c:v>618.62903025698552</c:v>
                </c:pt>
                <c:pt idx="217">
                  <c:v>615.67226040197659</c:v>
                </c:pt>
                <c:pt idx="218">
                  <c:v>612.73526210901832</c:v>
                </c:pt>
                <c:pt idx="219">
                  <c:v>609.8178686500861</c:v>
                </c:pt>
                <c:pt idx="220">
                  <c:v>606.91991497164202</c:v>
                </c:pt>
                <c:pt idx="221">
                  <c:v>604.04123767532985</c:v>
                </c:pt>
                <c:pt idx="222">
                  <c:v>601.18167499892047</c:v>
                </c:pt>
                <c:pt idx="223">
                  <c:v>597.39838205383683</c:v>
                </c:pt>
                <c:pt idx="224">
                  <c:v>594.58280013204785</c:v>
                </c:pt>
                <c:pt idx="225">
                  <c:v>591.78580519948662</c:v>
                </c:pt>
                <c:pt idx="226">
                  <c:v>589.0072423695209</c:v>
                </c:pt>
                <c:pt idx="227">
                  <c:v>586.24695829407392</c:v>
                </c:pt>
                <c:pt idx="228">
                  <c:v>583.50480114606501</c:v>
                </c:pt>
                <c:pt idx="229">
                  <c:v>580.78062060207685</c:v>
                </c:pt>
                <c:pt idx="230">
                  <c:v>577.17608644610141</c:v>
                </c:pt>
                <c:pt idx="231">
                  <c:v>574.49327503917641</c:v>
                </c:pt>
                <c:pt idx="232">
                  <c:v>571.82794979988626</c:v>
                </c:pt>
                <c:pt idx="233">
                  <c:v>569.17996672569825</c:v>
                </c:pt>
                <c:pt idx="234">
                  <c:v>566.54918322894946</c:v>
                </c:pt>
                <c:pt idx="235">
                  <c:v>563.93545812086052</c:v>
                </c:pt>
                <c:pt idx="236">
                  <c:v>560.47678513914377</c:v>
                </c:pt>
                <c:pt idx="237">
                  <c:v>557.90232161056667</c:v>
                </c:pt>
                <c:pt idx="238">
                  <c:v>555.34445574327549</c:v>
                </c:pt>
                <c:pt idx="239">
                  <c:v>552.80305223047674</c:v>
                </c:pt>
                <c:pt idx="240">
                  <c:v>550.27797708235539</c:v>
                </c:pt>
                <c:pt idx="241">
                  <c:v>547.76909761132129</c:v>
                </c:pt>
                <c:pt idx="242">
                  <c:v>545.27628241744571</c:v>
                </c:pt>
                <c:pt idx="243">
                  <c:v>541.97729297254875</c:v>
                </c:pt>
                <c:pt idx="244">
                  <c:v>539.52145721810984</c:v>
                </c:pt>
                <c:pt idx="245">
                  <c:v>537.08125685751304</c:v>
                </c:pt>
                <c:pt idx="246">
                  <c:v>534.65656590678418</c:v>
                </c:pt>
                <c:pt idx="247">
                  <c:v>532.24725959495197</c:v>
                </c:pt>
                <c:pt idx="248">
                  <c:v>529.85321435059632</c:v>
                </c:pt>
                <c:pt idx="249">
                  <c:v>527.47430778856608</c:v>
                </c:pt>
                <c:pt idx="250">
                  <c:v>524.32577209905264</c:v>
                </c:pt>
                <c:pt idx="251">
                  <c:v>521.98171975254718</c:v>
                </c:pt>
                <c:pt idx="252">
                  <c:v>519.6524065381484</c:v>
                </c:pt>
                <c:pt idx="253">
                  <c:v>517.33771506169262</c:v>
                </c:pt>
                <c:pt idx="254">
                  <c:v>515.03752904717533</c:v>
                </c:pt>
                <c:pt idx="255">
                  <c:v>512.75173332447503</c:v>
                </c:pt>
                <c:pt idx="256">
                  <c:v>509.72619357961423</c:v>
                </c:pt>
                <c:pt idx="257">
                  <c:v>507.47353344224717</c:v>
                </c:pt>
                <c:pt idx="258">
                  <c:v>505.23488752868815</c:v>
                </c:pt>
                <c:pt idx="259">
                  <c:v>503.01014532278816</c:v>
                </c:pt>
                <c:pt idx="260">
                  <c:v>500.79919735131892</c:v>
                </c:pt>
                <c:pt idx="261">
                  <c:v>498.60193517262701</c:v>
                </c:pt>
                <c:pt idx="262">
                  <c:v>496.41825136541866</c:v>
                </c:pt>
                <c:pt idx="263">
                  <c:v>493.52761108901819</c:v>
                </c:pt>
                <c:pt idx="264">
                  <c:v>491.37519804810779</c:v>
                </c:pt>
                <c:pt idx="265">
                  <c:v>489.23601253578636</c:v>
                </c:pt>
                <c:pt idx="266">
                  <c:v>487.10995142606799</c:v>
                </c:pt>
                <c:pt idx="267">
                  <c:v>484.9969125557987</c:v>
                </c:pt>
                <c:pt idx="268">
                  <c:v>482.89679471428195</c:v>
                </c:pt>
                <c:pt idx="269">
                  <c:v>480.80949763302868</c:v>
                </c:pt>
                <c:pt idx="270">
                  <c:v>478.04620670332548</c:v>
                </c:pt>
                <c:pt idx="271">
                  <c:v>475.98844001339972</c:v>
                </c:pt>
                <c:pt idx="272">
                  <c:v>473.94316653118466</c:v>
                </c:pt>
                <c:pt idx="273">
                  <c:v>471.91028995564727</c:v>
                </c:pt>
                <c:pt idx="274">
                  <c:v>469.88971487535338</c:v>
                </c:pt>
                <c:pt idx="275">
                  <c:v>467.88134675897692</c:v>
                </c:pt>
                <c:pt idx="276">
                  <c:v>465.22234945609154</c:v>
                </c:pt>
                <c:pt idx="277">
                  <c:v>463.24210150750605</c:v>
                </c:pt>
                <c:pt idx="278">
                  <c:v>461.2737516551926</c:v>
                </c:pt>
                <c:pt idx="279">
                  <c:v>459.31720907469844</c:v>
                </c:pt>
                <c:pt idx="280">
                  <c:v>457.37238377294796</c:v>
                </c:pt>
                <c:pt idx="281">
                  <c:v>455.43918657944647</c:v>
                </c:pt>
                <c:pt idx="282">
                  <c:v>453.51752913759111</c:v>
                </c:pt>
                <c:pt idx="283">
                  <c:v>450.97311873159941</c:v>
                </c:pt>
                <c:pt idx="284">
                  <c:v>449.07804827566173</c:v>
                </c:pt>
                <c:pt idx="285">
                  <c:v>447.194228817983</c:v>
                </c:pt>
                <c:pt idx="286">
                  <c:v>445.32157543090364</c:v>
                </c:pt>
                <c:pt idx="287">
                  <c:v>443.46000395602232</c:v>
                </c:pt>
                <c:pt idx="288">
                  <c:v>441.60943099614047</c:v>
                </c:pt>
                <c:pt idx="289">
                  <c:v>439.15896645016932</c:v>
                </c:pt>
                <c:pt idx="290">
                  <c:v>437.33373658594616</c:v>
                </c:pt>
                <c:pt idx="291">
                  <c:v>435.51923264209108</c:v>
                </c:pt>
                <c:pt idx="292">
                  <c:v>433.71537442912989</c:v>
                </c:pt>
                <c:pt idx="293">
                  <c:v>431.92208247739154</c:v>
                </c:pt>
                <c:pt idx="294">
                  <c:v>430.13927802953435</c:v>
                </c:pt>
                <c:pt idx="295">
                  <c:v>428.3668830331552</c:v>
                </c:pt>
                <c:pt idx="296">
                  <c:v>426.01974858471357</c:v>
                </c:pt>
                <c:pt idx="297">
                  <c:v>424.27134267665571</c:v>
                </c:pt>
                <c:pt idx="298">
                  <c:v>422.53309104351445</c:v>
                </c:pt>
                <c:pt idx="299">
                  <c:v>420.8049186043346</c:v>
                </c:pt>
                <c:pt idx="300">
                  <c:v>419.08675094512898</c:v>
                </c:pt>
                <c:pt idx="301">
                  <c:v>417.3785143120171</c:v>
                </c:pt>
                <c:pt idx="302">
                  <c:v>415.68013560444751</c:v>
                </c:pt>
                <c:pt idx="303">
                  <c:v>413.43084007516438</c:v>
                </c:pt>
                <c:pt idx="304">
                  <c:v>411.75518253382506</c:v>
                </c:pt>
                <c:pt idx="305">
                  <c:v>410.08914388253527</c:v>
                </c:pt>
                <c:pt idx="306">
                  <c:v>408.43265377537841</c:v>
                </c:pt>
                <c:pt idx="307">
                  <c:v>406.78564248490937</c:v>
                </c:pt>
                <c:pt idx="308">
                  <c:v>405.1480408958534</c:v>
                </c:pt>
                <c:pt idx="309">
                  <c:v>402.97909109907278</c:v>
                </c:pt>
                <c:pt idx="310">
                  <c:v>401.36318009060102</c:v>
                </c:pt>
                <c:pt idx="311">
                  <c:v>399.75645274111395</c:v>
                </c:pt>
                <c:pt idx="312">
                  <c:v>398.15884251703488</c:v>
                </c:pt>
                <c:pt idx="313">
                  <c:v>396.57028346456497</c:v>
                </c:pt>
                <c:pt idx="314">
                  <c:v>394.99071020382434</c:v>
                </c:pt>
                <c:pt idx="315">
                  <c:v>393.42005792306571</c:v>
                </c:pt>
                <c:pt idx="316">
                  <c:v>391.33962099408438</c:v>
                </c:pt>
                <c:pt idx="317">
                  <c:v>389.7895354362214</c:v>
                </c:pt>
                <c:pt idx="318">
                  <c:v>388.24815884935941</c:v>
                </c:pt>
                <c:pt idx="319">
                  <c:v>386.71542881835165</c:v>
                </c:pt>
                <c:pt idx="320">
                  <c:v>385.19128346640167</c:v>
                </c:pt>
                <c:pt idx="321">
                  <c:v>383.67566144967924</c:v>
                </c:pt>
                <c:pt idx="322">
                  <c:v>382.16850195199481</c:v>
                </c:pt>
                <c:pt idx="323">
                  <c:v>380.17201573664869</c:v>
                </c:pt>
                <c:pt idx="324">
                  <c:v>378.68436853392166</c:v>
                </c:pt>
                <c:pt idx="325">
                  <c:v>377.20498487320071</c:v>
                </c:pt>
                <c:pt idx="326">
                  <c:v>375.73380616466977</c:v>
                </c:pt>
                <c:pt idx="327">
                  <c:v>374.27077431875563</c:v>
                </c:pt>
                <c:pt idx="328">
                  <c:v>372.81583174117111</c:v>
                </c:pt>
                <c:pt idx="329">
                  <c:v>370.88839298260876</c:v>
                </c:pt>
                <c:pt idx="330">
                  <c:v>369.45210413225004</c:v>
                </c:pt>
                <c:pt idx="331">
                  <c:v>368.0237160838243</c:v>
                </c:pt>
                <c:pt idx="332">
                  <c:v>366.60317333335757</c:v>
                </c:pt>
                <c:pt idx="333">
                  <c:v>365.19042084665153</c:v>
                </c:pt>
                <c:pt idx="334">
                  <c:v>363.7854040546672</c:v>
                </c:pt>
                <c:pt idx="335">
                  <c:v>362.3880688489615</c:v>
                </c:pt>
                <c:pt idx="336">
                  <c:v>360.53681170821869</c:v>
                </c:pt>
                <c:pt idx="337">
                  <c:v>359.15719233568944</c:v>
                </c:pt>
                <c:pt idx="338">
                  <c:v>357.78507745689751</c:v>
                </c:pt>
                <c:pt idx="339">
                  <c:v>356.42041490778945</c:v>
                </c:pt>
                <c:pt idx="340">
                  <c:v>355.06315296140303</c:v>
                </c:pt>
                <c:pt idx="341">
                  <c:v>353.71324032361366</c:v>
                </c:pt>
                <c:pt idx="342">
                  <c:v>352.37062612892709</c:v>
                </c:pt>
                <c:pt idx="343">
                  <c:v>350.59173988166674</c:v>
                </c:pt>
                <c:pt idx="344">
                  <c:v>349.26595995396599</c:v>
                </c:pt>
                <c:pt idx="345">
                  <c:v>347.94731196030426</c:v>
                </c:pt>
                <c:pt idx="346">
                  <c:v>346.63574684508802</c:v>
                </c:pt>
                <c:pt idx="347">
                  <c:v>345.33121595968464</c:v>
                </c:pt>
                <c:pt idx="348">
                  <c:v>344.03367105849844</c:v>
                </c:pt>
                <c:pt idx="349">
                  <c:v>342.31439563627362</c:v>
                </c:pt>
                <c:pt idx="350">
                  <c:v>341.03296597816149</c:v>
                </c:pt>
                <c:pt idx="351">
                  <c:v>339.75836434693036</c:v>
                </c:pt>
                <c:pt idx="352">
                  <c:v>338.49054419917655</c:v>
                </c:pt>
                <c:pt idx="353">
                  <c:v>337.22945937431973</c:v>
                </c:pt>
                <c:pt idx="354">
                  <c:v>335.97506409094251</c:v>
                </c:pt>
                <c:pt idx="355">
                  <c:v>334.72731294316856</c:v>
                </c:pt>
                <c:pt idx="356">
                  <c:v>333.0739022849192</c:v>
                </c:pt>
                <c:pt idx="357">
                  <c:v>331.84147962458644</c:v>
                </c:pt>
                <c:pt idx="358">
                  <c:v>330.61555241348043</c:v>
                </c:pt>
                <c:pt idx="359">
                  <c:v>329.39607683217486</c:v>
                </c:pt>
                <c:pt idx="360">
                  <c:v>328.18300941812203</c:v>
                </c:pt>
                <c:pt idx="361">
                  <c:v>326.97630706227386</c:v>
                </c:pt>
                <c:pt idx="362">
                  <c:v>325.37719793521984</c:v>
                </c:pt>
                <c:pt idx="363">
                  <c:v>324.1851816962743</c:v>
                </c:pt>
                <c:pt idx="364">
                  <c:v>322.99938932907764</c:v>
                </c:pt>
                <c:pt idx="365">
                  <c:v>321.81977921821937</c:v>
                </c:pt>
                <c:pt idx="366">
                  <c:v>320.64631008435902</c:v>
                </c:pt>
                <c:pt idx="367">
                  <c:v>319.47894098106946</c:v>
                </c:pt>
                <c:pt idx="368">
                  <c:v>318.3176312917106</c:v>
                </c:pt>
                <c:pt idx="369">
                  <c:v>316.77857453730428</c:v>
                </c:pt>
                <c:pt idx="370">
                  <c:v>315.63124735627974</c:v>
                </c:pt>
                <c:pt idx="371">
                  <c:v>314.48984654274636</c:v>
                </c:pt>
                <c:pt idx="372">
                  <c:v>313.35433287384524</c:v>
                </c:pt>
                <c:pt idx="373">
                  <c:v>312.22466744039366</c:v>
                </c:pt>
                <c:pt idx="374">
                  <c:v>311.1008116439653</c:v>
                </c:pt>
                <c:pt idx="375">
                  <c:v>309.98272719400035</c:v>
                </c:pt>
                <c:pt idx="376">
                  <c:v>308.50085996697146</c:v>
                </c:pt>
                <c:pt idx="377">
                  <c:v>307.39609479237646</c:v>
                </c:pt>
                <c:pt idx="378">
                  <c:v>306.29697551604312</c:v>
                </c:pt>
                <c:pt idx="379">
                  <c:v>305.20346514884687</c:v>
                </c:pt>
                <c:pt idx="380">
                  <c:v>304.11552699462476</c:v>
                </c:pt>
                <c:pt idx="381">
                  <c:v>303.03312464747381</c:v>
                </c:pt>
                <c:pt idx="382">
                  <c:v>301.59847038775177</c:v>
                </c:pt>
                <c:pt idx="383">
                  <c:v>300.52884495575154</c:v>
                </c:pt>
                <c:pt idx="384">
                  <c:v>299.46463604000451</c:v>
                </c:pt>
                <c:pt idx="385">
                  <c:v>298.40580846185435</c:v>
                </c:pt>
                <c:pt idx="386">
                  <c:v>297.35232731896065</c:v>
                </c:pt>
                <c:pt idx="387">
                  <c:v>296.3041579827713</c:v>
                </c:pt>
                <c:pt idx="388">
                  <c:v>295.26126609601874</c:v>
                </c:pt>
                <c:pt idx="389">
                  <c:v>293.87889406622719</c:v>
                </c:pt>
                <c:pt idx="390">
                  <c:v>292.84818412195511</c:v>
                </c:pt>
                <c:pt idx="391">
                  <c:v>291.82263903057247</c:v>
                </c:pt>
                <c:pt idx="392">
                  <c:v>290.80222558209169</c:v>
                </c:pt>
                <c:pt idx="393">
                  <c:v>289.78691082489439</c:v>
                </c:pt>
                <c:pt idx="394">
                  <c:v>288.77666206339035</c:v>
                </c:pt>
                <c:pt idx="395">
                  <c:v>287.77144685569669</c:v>
                </c:pt>
                <c:pt idx="396">
                  <c:v>286.43893428277926</c:v>
                </c:pt>
                <c:pt idx="397">
                  <c:v>285.44533927911004</c:v>
                </c:pt>
                <c:pt idx="398">
                  <c:v>284.45667149268996</c:v>
                </c:pt>
                <c:pt idx="399">
                  <c:v>283.47289955481961</c:v>
                </c:pt>
                <c:pt idx="400">
                  <c:v>282.49399233853734</c:v>
                </c:pt>
                <c:pt idx="401">
                  <c:v>281.51991895644579</c:v>
                </c:pt>
                <c:pt idx="402">
                  <c:v>280.22862080327303</c:v>
                </c:pt>
                <c:pt idx="403">
                  <c:v>279.26570757961713</c:v>
                </c:pt>
                <c:pt idx="404">
                  <c:v>278.30752693491155</c:v>
                </c:pt>
                <c:pt idx="405">
                  <c:v>277.35404899530778</c:v>
                </c:pt>
                <c:pt idx="406">
                  <c:v>276.40524411530572</c:v>
                </c:pt>
                <c:pt idx="407">
                  <c:v>275.46108287571684</c:v>
                </c:pt>
                <c:pt idx="408">
                  <c:v>274.521536081649</c:v>
                </c:pt>
                <c:pt idx="409">
                  <c:v>273.27593500494737</c:v>
                </c:pt>
                <c:pt idx="410">
                  <c:v>272.34704295977207</c:v>
                </c:pt>
                <c:pt idx="411">
                  <c:v>271.4226696382654</c:v>
                </c:pt>
                <c:pt idx="412">
                  <c:v>270.50278679469017</c:v>
                </c:pt>
                <c:pt idx="413">
                  <c:v>269.58736639719592</c:v>
                </c:pt>
                <c:pt idx="414">
                  <c:v>268.67638062592886</c:v>
                </c:pt>
                <c:pt idx="415">
                  <c:v>267.76980187116067</c:v>
                </c:pt>
                <c:pt idx="416">
                  <c:v>266.56783822636424</c:v>
                </c:pt>
                <c:pt idx="417">
                  <c:v>265.67143630542699</c:v>
                </c:pt>
                <c:pt idx="418">
                  <c:v>264.7793508624909</c:v>
                </c:pt>
                <c:pt idx="419">
                  <c:v>263.89155517720474</c:v>
                </c:pt>
                <c:pt idx="420">
                  <c:v>263.00802272967604</c:v>
                </c:pt>
                <c:pt idx="421">
                  <c:v>262.12872719871541</c:v>
                </c:pt>
                <c:pt idx="422">
                  <c:v>260.96287879171445</c:v>
                </c:pt>
                <c:pt idx="423">
                  <c:v>260.09336814242022</c:v>
                </c:pt>
                <c:pt idx="424">
                  <c:v>259.22800808528734</c:v>
                </c:pt>
                <c:pt idx="425">
                  <c:v>258.36677314030874</c:v>
                </c:pt>
                <c:pt idx="426">
                  <c:v>257.50963801710878</c:v>
                </c:pt>
                <c:pt idx="427">
                  <c:v>256.6565776132939</c:v>
                </c:pt>
                <c:pt idx="428">
                  <c:v>255.80756701282129</c:v>
                </c:pt>
                <c:pt idx="429">
                  <c:v>254.68180985388386</c:v>
                </c:pt>
                <c:pt idx="430">
                  <c:v>253.8421529335381</c:v>
                </c:pt>
                <c:pt idx="431">
                  <c:v>253.00646408830013</c:v>
                </c:pt>
                <c:pt idx="432">
                  <c:v>252.1747191911814</c:v>
                </c:pt>
                <c:pt idx="433">
                  <c:v>251.34689429310811</c:v>
                </c:pt>
                <c:pt idx="434">
                  <c:v>250.52296562139063</c:v>
                </c:pt>
                <c:pt idx="435">
                  <c:v>249.43041409428932</c:v>
                </c:pt>
                <c:pt idx="436">
                  <c:v>248.61548514750936</c:v>
                </c:pt>
                <c:pt idx="437">
                  <c:v>247.8043744392894</c:v>
                </c:pt>
                <c:pt idx="438">
                  <c:v>246.99705894391948</c:v>
                </c:pt>
                <c:pt idx="439">
                  <c:v>246.19351580414855</c:v>
                </c:pt>
                <c:pt idx="440">
                  <c:v>245.39372232974432</c:v>
                </c:pt>
                <c:pt idx="441">
                  <c:v>244.59765599606681</c:v>
                </c:pt>
                <c:pt idx="442">
                  <c:v>243.541993368059</c:v>
                </c:pt>
                <c:pt idx="443">
                  <c:v>242.75453701988602</c:v>
                </c:pt>
                <c:pt idx="444">
                  <c:v>241.9707339082224</c:v>
                </c:pt>
                <c:pt idx="445">
                  <c:v>241.19056220985084</c:v>
                </c:pt>
                <c:pt idx="446">
                  <c:v>240.41400025977089</c:v>
                </c:pt>
                <c:pt idx="447">
                  <c:v>239.64102654985783</c:v>
                </c:pt>
                <c:pt idx="448">
                  <c:v>238.87161972753501</c:v>
                </c:pt>
                <c:pt idx="449">
                  <c:v>237.85125583918403</c:v>
                </c:pt>
                <c:pt idx="450">
                  <c:v>237.09008958070595</c:v>
                </c:pt>
                <c:pt idx="451">
                  <c:v>236.33242014117349</c:v>
                </c:pt>
                <c:pt idx="452">
                  <c:v>235.57822682701558</c:v>
                </c:pt>
                <c:pt idx="453">
                  <c:v>234.82748909333981</c:v>
                </c:pt>
                <c:pt idx="454">
                  <c:v>234.08018654268344</c:v>
                </c:pt>
                <c:pt idx="455">
                  <c:v>233.08909177854497</c:v>
                </c:pt>
                <c:pt idx="456">
                  <c:v>232.34972615037651</c:v>
                </c:pt>
                <c:pt idx="457">
                  <c:v>231.61372876265591</c:v>
                </c:pt>
                <c:pt idx="458">
                  <c:v>230.88107984263513</c:v>
                </c:pt>
                <c:pt idx="459">
                  <c:v>230.15175975853344</c:v>
                </c:pt>
                <c:pt idx="460">
                  <c:v>229.42574901835977</c:v>
                </c:pt>
                <c:pt idx="461">
                  <c:v>228.7030282687501</c:v>
                </c:pt>
                <c:pt idx="462">
                  <c:v>227.74448517270997</c:v>
                </c:pt>
                <c:pt idx="463">
                  <c:v>227.02936657475362</c:v>
                </c:pt>
                <c:pt idx="464">
                  <c:v>226.31747444261072</c:v>
                </c:pt>
                <c:pt idx="465">
                  <c:v>225.60879001044373</c:v>
                </c:pt>
                <c:pt idx="466">
                  <c:v>224.9032946450146</c:v>
                </c:pt>
                <c:pt idx="467">
                  <c:v>224.20096984458996</c:v>
                </c:pt>
                <c:pt idx="468">
                  <c:v>223.50179723785371</c:v>
                </c:pt>
                <c:pt idx="469">
                  <c:v>222.57443899710248</c:v>
                </c:pt>
                <c:pt idx="470">
                  <c:v>221.88255078952457</c:v>
                </c:pt>
                <c:pt idx="471">
                  <c:v>221.1937544660866</c:v>
                </c:pt>
                <c:pt idx="472">
                  <c:v>220.50803220831509</c:v>
                </c:pt>
                <c:pt idx="473">
                  <c:v>219.82536632253291</c:v>
                </c:pt>
                <c:pt idx="474">
                  <c:v>219.14573923883594</c:v>
                </c:pt>
                <c:pt idx="475">
                  <c:v>218.24426668137011</c:v>
                </c:pt>
                <c:pt idx="476">
                  <c:v>217.57166249616404</c:v>
                </c:pt>
                <c:pt idx="477">
                  <c:v>216.90203942767133</c:v>
                </c:pt>
                <c:pt idx="478">
                  <c:v>216.23538043074765</c:v>
                </c:pt>
                <c:pt idx="479">
                  <c:v>215.5716685787248</c:v>
                </c:pt>
                <c:pt idx="480">
                  <c:v>214.91088706244656</c:v>
                </c:pt>
                <c:pt idx="481">
                  <c:v>214.25301918931353</c:v>
                </c:pt>
                <c:pt idx="482">
                  <c:v>213.38036572386628</c:v>
                </c:pt>
                <c:pt idx="483">
                  <c:v>212.72923208340353</c:v>
                </c:pt>
                <c:pt idx="484">
                  <c:v>212.0809572738026</c:v>
                </c:pt>
                <c:pt idx="485">
                  <c:v>211.4355250967202</c:v>
                </c:pt>
                <c:pt idx="486">
                  <c:v>210.79291946542313</c:v>
                </c:pt>
                <c:pt idx="487">
                  <c:v>210.1531244038876</c:v>
                </c:pt>
                <c:pt idx="488">
                  <c:v>209.51612404590682</c:v>
                </c:pt>
                <c:pt idx="489">
                  <c:v>208.67111033269279</c:v>
                </c:pt>
                <c:pt idx="490">
                  <c:v>208.04056985802578</c:v>
                </c:pt>
                <c:pt idx="491">
                  <c:v>207.41277198138971</c:v>
                </c:pt>
                <c:pt idx="492">
                  <c:v>206.78770130233903</c:v>
                </c:pt>
                <c:pt idx="493">
                  <c:v>206.16534252562258</c:v>
                </c:pt>
                <c:pt idx="494">
                  <c:v>205.54568046034217</c:v>
                </c:pt>
                <c:pt idx="495">
                  <c:v>204.72363319561217</c:v>
                </c:pt>
                <c:pt idx="496">
                  <c:v>204.11020496124814</c:v>
                </c:pt>
                <c:pt idx="497">
                  <c:v>203.4994235450001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21-4875-B88C-B488B95351CA}"/>
            </c:ext>
          </c:extLst>
        </c:ser>
        <c:ser>
          <c:idx val="4"/>
          <c:order val="4"/>
          <c:tx>
            <c:strRef>
              <c:f>'sheet 1'!$R$38</c:f>
              <c:strCache>
                <c:ptCount val="1"/>
                <c:pt idx="0">
                  <c:v>I3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0.30000000000001137</c:v>
                </c:pt>
                <c:pt idx="2">
                  <c:v>0.60000000000000853</c:v>
                </c:pt>
                <c:pt idx="3">
                  <c:v>0.90000000000000568</c:v>
                </c:pt>
                <c:pt idx="4">
                  <c:v>1.3000000000000114</c:v>
                </c:pt>
                <c:pt idx="5">
                  <c:v>1.6000000000000085</c:v>
                </c:pt>
                <c:pt idx="6">
                  <c:v>1.9000000000000057</c:v>
                </c:pt>
                <c:pt idx="7">
                  <c:v>2.2000000000000028</c:v>
                </c:pt>
                <c:pt idx="8">
                  <c:v>2.5</c:v>
                </c:pt>
                <c:pt idx="9">
                  <c:v>2.8000000000000114</c:v>
                </c:pt>
                <c:pt idx="10">
                  <c:v>3.1000000000000085</c:v>
                </c:pt>
                <c:pt idx="11">
                  <c:v>3.5</c:v>
                </c:pt>
                <c:pt idx="12">
                  <c:v>3.8000000000000114</c:v>
                </c:pt>
                <c:pt idx="13">
                  <c:v>4.1000000000000085</c:v>
                </c:pt>
                <c:pt idx="14">
                  <c:v>4.4000000000000057</c:v>
                </c:pt>
                <c:pt idx="15">
                  <c:v>4.7000000000000028</c:v>
                </c:pt>
                <c:pt idx="16">
                  <c:v>5</c:v>
                </c:pt>
                <c:pt idx="17">
                  <c:v>5.4000000000000057</c:v>
                </c:pt>
                <c:pt idx="18">
                  <c:v>5.7000000000000028</c:v>
                </c:pt>
                <c:pt idx="19">
                  <c:v>6</c:v>
                </c:pt>
                <c:pt idx="20">
                  <c:v>6.3000000000000114</c:v>
                </c:pt>
                <c:pt idx="21">
                  <c:v>6.6000000000000085</c:v>
                </c:pt>
                <c:pt idx="22">
                  <c:v>6.9000000000000057</c:v>
                </c:pt>
                <c:pt idx="23">
                  <c:v>7.2000000000000028</c:v>
                </c:pt>
                <c:pt idx="24">
                  <c:v>7.6000000000000085</c:v>
                </c:pt>
                <c:pt idx="25">
                  <c:v>7.9000000000000057</c:v>
                </c:pt>
                <c:pt idx="26">
                  <c:v>8.2000000000000028</c:v>
                </c:pt>
                <c:pt idx="27">
                  <c:v>8.5</c:v>
                </c:pt>
                <c:pt idx="28">
                  <c:v>8.8000000000000114</c:v>
                </c:pt>
                <c:pt idx="29">
                  <c:v>9.1000000000000085</c:v>
                </c:pt>
                <c:pt idx="30">
                  <c:v>9.4000000000000057</c:v>
                </c:pt>
                <c:pt idx="31">
                  <c:v>9.8000000000000114</c:v>
                </c:pt>
                <c:pt idx="32">
                  <c:v>10.100000000000009</c:v>
                </c:pt>
                <c:pt idx="33">
                  <c:v>10.400000000000006</c:v>
                </c:pt>
                <c:pt idx="34">
                  <c:v>10.700000000000003</c:v>
                </c:pt>
                <c:pt idx="35">
                  <c:v>11</c:v>
                </c:pt>
                <c:pt idx="36">
                  <c:v>11.300000000000011</c:v>
                </c:pt>
                <c:pt idx="37">
                  <c:v>11.700000000000003</c:v>
                </c:pt>
                <c:pt idx="38">
                  <c:v>12</c:v>
                </c:pt>
                <c:pt idx="39">
                  <c:v>12.300000000000011</c:v>
                </c:pt>
                <c:pt idx="40">
                  <c:v>12.600000000000009</c:v>
                </c:pt>
                <c:pt idx="41">
                  <c:v>12.900000000000006</c:v>
                </c:pt>
                <c:pt idx="42">
                  <c:v>13.200000000000003</c:v>
                </c:pt>
                <c:pt idx="43">
                  <c:v>13.5</c:v>
                </c:pt>
                <c:pt idx="44">
                  <c:v>13.900000000000006</c:v>
                </c:pt>
                <c:pt idx="45">
                  <c:v>14.200000000000003</c:v>
                </c:pt>
                <c:pt idx="46">
                  <c:v>14.5</c:v>
                </c:pt>
                <c:pt idx="47">
                  <c:v>14.800000000000011</c:v>
                </c:pt>
                <c:pt idx="48">
                  <c:v>15.100000000000009</c:v>
                </c:pt>
                <c:pt idx="49">
                  <c:v>15.400000000000006</c:v>
                </c:pt>
                <c:pt idx="50">
                  <c:v>15.700000000000003</c:v>
                </c:pt>
                <c:pt idx="51">
                  <c:v>16.100000000000009</c:v>
                </c:pt>
                <c:pt idx="52">
                  <c:v>16.400000000000006</c:v>
                </c:pt>
                <c:pt idx="53">
                  <c:v>16.700000000000003</c:v>
                </c:pt>
                <c:pt idx="54">
                  <c:v>17</c:v>
                </c:pt>
                <c:pt idx="55">
                  <c:v>17.300000000000011</c:v>
                </c:pt>
                <c:pt idx="56">
                  <c:v>17.600000000000009</c:v>
                </c:pt>
                <c:pt idx="57">
                  <c:v>18</c:v>
                </c:pt>
                <c:pt idx="58">
                  <c:v>18.300000000000011</c:v>
                </c:pt>
                <c:pt idx="59">
                  <c:v>18.600000000000009</c:v>
                </c:pt>
                <c:pt idx="60">
                  <c:v>18.900000000000006</c:v>
                </c:pt>
                <c:pt idx="61">
                  <c:v>19.200000000000003</c:v>
                </c:pt>
                <c:pt idx="62">
                  <c:v>19.5</c:v>
                </c:pt>
                <c:pt idx="63">
                  <c:v>19.800000000000011</c:v>
                </c:pt>
                <c:pt idx="64">
                  <c:v>20.200000000000003</c:v>
                </c:pt>
                <c:pt idx="65">
                  <c:v>20.5</c:v>
                </c:pt>
                <c:pt idx="66">
                  <c:v>20.800000000000011</c:v>
                </c:pt>
                <c:pt idx="67">
                  <c:v>21.100000000000009</c:v>
                </c:pt>
                <c:pt idx="68">
                  <c:v>21.400000000000006</c:v>
                </c:pt>
                <c:pt idx="69">
                  <c:v>21.700000000000003</c:v>
                </c:pt>
                <c:pt idx="70">
                  <c:v>22.100000000000009</c:v>
                </c:pt>
                <c:pt idx="71">
                  <c:v>22.400000000000006</c:v>
                </c:pt>
                <c:pt idx="72">
                  <c:v>22.700000000000003</c:v>
                </c:pt>
                <c:pt idx="73">
                  <c:v>23</c:v>
                </c:pt>
                <c:pt idx="74">
                  <c:v>23.300000000000011</c:v>
                </c:pt>
                <c:pt idx="75">
                  <c:v>23.600000000000009</c:v>
                </c:pt>
                <c:pt idx="76">
                  <c:v>23.900000000000006</c:v>
                </c:pt>
                <c:pt idx="77">
                  <c:v>24.300000000000011</c:v>
                </c:pt>
                <c:pt idx="78">
                  <c:v>24.600000000000009</c:v>
                </c:pt>
                <c:pt idx="79">
                  <c:v>24.900000000000006</c:v>
                </c:pt>
                <c:pt idx="80">
                  <c:v>25.200000000000003</c:v>
                </c:pt>
                <c:pt idx="81">
                  <c:v>25.5</c:v>
                </c:pt>
                <c:pt idx="82">
                  <c:v>25.800000000000011</c:v>
                </c:pt>
                <c:pt idx="83">
                  <c:v>26.100000000000009</c:v>
                </c:pt>
                <c:pt idx="84">
                  <c:v>26.5</c:v>
                </c:pt>
                <c:pt idx="85">
                  <c:v>26.800000000000011</c:v>
                </c:pt>
                <c:pt idx="86">
                  <c:v>27.100000000000009</c:v>
                </c:pt>
                <c:pt idx="87">
                  <c:v>27.400000000000006</c:v>
                </c:pt>
                <c:pt idx="88">
                  <c:v>27.700000000000003</c:v>
                </c:pt>
                <c:pt idx="89">
                  <c:v>28</c:v>
                </c:pt>
                <c:pt idx="90">
                  <c:v>28.400000000000006</c:v>
                </c:pt>
                <c:pt idx="91">
                  <c:v>28.700000000000003</c:v>
                </c:pt>
                <c:pt idx="92">
                  <c:v>29</c:v>
                </c:pt>
                <c:pt idx="93">
                  <c:v>29.300000000000011</c:v>
                </c:pt>
                <c:pt idx="94">
                  <c:v>29.600000000000009</c:v>
                </c:pt>
                <c:pt idx="95">
                  <c:v>29.900000000000006</c:v>
                </c:pt>
                <c:pt idx="96">
                  <c:v>30.200000000000003</c:v>
                </c:pt>
                <c:pt idx="97">
                  <c:v>30.600000000000009</c:v>
                </c:pt>
                <c:pt idx="98">
                  <c:v>30.900000000000006</c:v>
                </c:pt>
                <c:pt idx="99">
                  <c:v>31.200000000000003</c:v>
                </c:pt>
                <c:pt idx="100">
                  <c:v>31.5</c:v>
                </c:pt>
                <c:pt idx="101">
                  <c:v>31.800000000000011</c:v>
                </c:pt>
                <c:pt idx="102">
                  <c:v>32.100000000000009</c:v>
                </c:pt>
                <c:pt idx="103">
                  <c:v>32.400000000000006</c:v>
                </c:pt>
                <c:pt idx="104">
                  <c:v>32.800000000000011</c:v>
                </c:pt>
                <c:pt idx="105">
                  <c:v>33.100000000000009</c:v>
                </c:pt>
                <c:pt idx="106">
                  <c:v>33.400000000000006</c:v>
                </c:pt>
                <c:pt idx="107">
                  <c:v>33.700000000000003</c:v>
                </c:pt>
                <c:pt idx="108">
                  <c:v>34</c:v>
                </c:pt>
                <c:pt idx="109">
                  <c:v>34.300000000000011</c:v>
                </c:pt>
                <c:pt idx="110">
                  <c:v>34.700000000000003</c:v>
                </c:pt>
                <c:pt idx="111">
                  <c:v>35</c:v>
                </c:pt>
                <c:pt idx="112">
                  <c:v>35.300000000000011</c:v>
                </c:pt>
                <c:pt idx="113">
                  <c:v>35.600000000000009</c:v>
                </c:pt>
                <c:pt idx="114">
                  <c:v>35.900000000000006</c:v>
                </c:pt>
                <c:pt idx="115">
                  <c:v>36.200000000000003</c:v>
                </c:pt>
                <c:pt idx="116">
                  <c:v>36.5</c:v>
                </c:pt>
                <c:pt idx="117">
                  <c:v>36.900000000000006</c:v>
                </c:pt>
                <c:pt idx="118">
                  <c:v>37.200000000000003</c:v>
                </c:pt>
                <c:pt idx="119">
                  <c:v>37.5</c:v>
                </c:pt>
                <c:pt idx="120">
                  <c:v>37.800000000000011</c:v>
                </c:pt>
                <c:pt idx="121">
                  <c:v>38.100000000000009</c:v>
                </c:pt>
                <c:pt idx="122">
                  <c:v>38.400000000000006</c:v>
                </c:pt>
                <c:pt idx="123">
                  <c:v>38.700000000000003</c:v>
                </c:pt>
                <c:pt idx="124">
                  <c:v>39.100000000000009</c:v>
                </c:pt>
                <c:pt idx="125">
                  <c:v>39.400000000000006</c:v>
                </c:pt>
                <c:pt idx="126">
                  <c:v>39.700000000000003</c:v>
                </c:pt>
                <c:pt idx="127">
                  <c:v>40</c:v>
                </c:pt>
                <c:pt idx="128">
                  <c:v>40.300000000000011</c:v>
                </c:pt>
                <c:pt idx="129">
                  <c:v>40.600000000000009</c:v>
                </c:pt>
                <c:pt idx="130">
                  <c:v>41</c:v>
                </c:pt>
                <c:pt idx="131">
                  <c:v>41.300000000000011</c:v>
                </c:pt>
                <c:pt idx="132">
                  <c:v>41.600000000000009</c:v>
                </c:pt>
                <c:pt idx="133">
                  <c:v>41.900000000000006</c:v>
                </c:pt>
                <c:pt idx="134">
                  <c:v>42.2</c:v>
                </c:pt>
                <c:pt idx="135">
                  <c:v>42.5</c:v>
                </c:pt>
                <c:pt idx="136">
                  <c:v>42.800000000000011</c:v>
                </c:pt>
                <c:pt idx="137">
                  <c:v>43.2</c:v>
                </c:pt>
                <c:pt idx="138">
                  <c:v>43.5</c:v>
                </c:pt>
                <c:pt idx="139">
                  <c:v>43.800000000000011</c:v>
                </c:pt>
                <c:pt idx="140">
                  <c:v>44.100000000000009</c:v>
                </c:pt>
                <c:pt idx="141">
                  <c:v>44.400000000000006</c:v>
                </c:pt>
                <c:pt idx="142">
                  <c:v>44.7</c:v>
                </c:pt>
                <c:pt idx="143">
                  <c:v>45.100000000000009</c:v>
                </c:pt>
                <c:pt idx="144">
                  <c:v>45.400000000000006</c:v>
                </c:pt>
                <c:pt idx="145">
                  <c:v>45.7</c:v>
                </c:pt>
                <c:pt idx="146">
                  <c:v>46</c:v>
                </c:pt>
                <c:pt idx="147">
                  <c:v>46.300000000000011</c:v>
                </c:pt>
                <c:pt idx="148">
                  <c:v>46.600000000000009</c:v>
                </c:pt>
                <c:pt idx="149">
                  <c:v>46.900000000000006</c:v>
                </c:pt>
                <c:pt idx="150">
                  <c:v>47.300000000000011</c:v>
                </c:pt>
                <c:pt idx="151">
                  <c:v>47.600000000000009</c:v>
                </c:pt>
                <c:pt idx="152">
                  <c:v>47.900000000000006</c:v>
                </c:pt>
                <c:pt idx="153">
                  <c:v>48.2</c:v>
                </c:pt>
                <c:pt idx="154">
                  <c:v>48.5</c:v>
                </c:pt>
                <c:pt idx="155">
                  <c:v>48.800000000000011</c:v>
                </c:pt>
                <c:pt idx="156">
                  <c:v>49.100000000000009</c:v>
                </c:pt>
                <c:pt idx="157">
                  <c:v>49.5</c:v>
                </c:pt>
                <c:pt idx="158">
                  <c:v>49.800000000000011</c:v>
                </c:pt>
                <c:pt idx="159">
                  <c:v>50.100000000000009</c:v>
                </c:pt>
                <c:pt idx="160">
                  <c:v>50.400000000000006</c:v>
                </c:pt>
                <c:pt idx="161">
                  <c:v>50.7</c:v>
                </c:pt>
                <c:pt idx="162">
                  <c:v>51</c:v>
                </c:pt>
                <c:pt idx="163">
                  <c:v>51.400000000000006</c:v>
                </c:pt>
                <c:pt idx="164">
                  <c:v>51.7</c:v>
                </c:pt>
                <c:pt idx="165">
                  <c:v>52</c:v>
                </c:pt>
                <c:pt idx="166">
                  <c:v>52.300000000000011</c:v>
                </c:pt>
                <c:pt idx="167">
                  <c:v>52.600000000000009</c:v>
                </c:pt>
                <c:pt idx="168">
                  <c:v>52.900000000000006</c:v>
                </c:pt>
                <c:pt idx="169">
                  <c:v>53.2</c:v>
                </c:pt>
                <c:pt idx="170">
                  <c:v>53.600000000000009</c:v>
                </c:pt>
                <c:pt idx="171">
                  <c:v>53.900000000000006</c:v>
                </c:pt>
                <c:pt idx="172">
                  <c:v>54.2</c:v>
                </c:pt>
                <c:pt idx="173">
                  <c:v>54.5</c:v>
                </c:pt>
                <c:pt idx="174">
                  <c:v>54.800000000000011</c:v>
                </c:pt>
                <c:pt idx="175">
                  <c:v>55.099999999999994</c:v>
                </c:pt>
                <c:pt idx="176">
                  <c:v>55.400000000000006</c:v>
                </c:pt>
                <c:pt idx="177">
                  <c:v>55.800000000000011</c:v>
                </c:pt>
                <c:pt idx="178">
                  <c:v>56.099999999999994</c:v>
                </c:pt>
                <c:pt idx="179">
                  <c:v>56.400000000000006</c:v>
                </c:pt>
                <c:pt idx="180">
                  <c:v>56.700000000000017</c:v>
                </c:pt>
                <c:pt idx="181">
                  <c:v>57</c:v>
                </c:pt>
                <c:pt idx="182">
                  <c:v>57.300000000000011</c:v>
                </c:pt>
                <c:pt idx="183">
                  <c:v>57.700000000000017</c:v>
                </c:pt>
                <c:pt idx="184">
                  <c:v>58</c:v>
                </c:pt>
                <c:pt idx="185">
                  <c:v>58.300000000000011</c:v>
                </c:pt>
                <c:pt idx="186">
                  <c:v>58.599999999999994</c:v>
                </c:pt>
                <c:pt idx="187">
                  <c:v>58.900000000000006</c:v>
                </c:pt>
                <c:pt idx="188">
                  <c:v>59.200000000000017</c:v>
                </c:pt>
                <c:pt idx="189">
                  <c:v>59.5</c:v>
                </c:pt>
                <c:pt idx="190">
                  <c:v>59.900000000000006</c:v>
                </c:pt>
                <c:pt idx="191">
                  <c:v>60.200000000000017</c:v>
                </c:pt>
                <c:pt idx="192">
                  <c:v>60.5</c:v>
                </c:pt>
                <c:pt idx="193">
                  <c:v>60.800000000000011</c:v>
                </c:pt>
                <c:pt idx="194">
                  <c:v>61.099999999999994</c:v>
                </c:pt>
                <c:pt idx="195">
                  <c:v>61.400000000000006</c:v>
                </c:pt>
                <c:pt idx="196">
                  <c:v>61.700000000000017</c:v>
                </c:pt>
                <c:pt idx="197">
                  <c:v>62.099999999999994</c:v>
                </c:pt>
                <c:pt idx="198">
                  <c:v>62.400000000000006</c:v>
                </c:pt>
                <c:pt idx="199">
                  <c:v>62.700000000000017</c:v>
                </c:pt>
                <c:pt idx="200">
                  <c:v>63</c:v>
                </c:pt>
                <c:pt idx="201">
                  <c:v>63.300000000000011</c:v>
                </c:pt>
                <c:pt idx="202">
                  <c:v>63.599999999999994</c:v>
                </c:pt>
                <c:pt idx="203">
                  <c:v>64</c:v>
                </c:pt>
                <c:pt idx="204">
                  <c:v>64.300000000000011</c:v>
                </c:pt>
                <c:pt idx="205">
                  <c:v>64.599999999999994</c:v>
                </c:pt>
                <c:pt idx="206">
                  <c:v>64.900000000000006</c:v>
                </c:pt>
                <c:pt idx="207">
                  <c:v>65.200000000000017</c:v>
                </c:pt>
                <c:pt idx="208">
                  <c:v>65.5</c:v>
                </c:pt>
                <c:pt idx="209">
                  <c:v>65.800000000000011</c:v>
                </c:pt>
                <c:pt idx="210">
                  <c:v>66.200000000000017</c:v>
                </c:pt>
                <c:pt idx="211">
                  <c:v>66.5</c:v>
                </c:pt>
                <c:pt idx="212">
                  <c:v>66.800000000000011</c:v>
                </c:pt>
                <c:pt idx="213">
                  <c:v>67.099999999999994</c:v>
                </c:pt>
                <c:pt idx="214">
                  <c:v>67.400000000000006</c:v>
                </c:pt>
                <c:pt idx="215">
                  <c:v>67.700000000000017</c:v>
                </c:pt>
                <c:pt idx="216">
                  <c:v>68.099999999999994</c:v>
                </c:pt>
                <c:pt idx="217">
                  <c:v>68.400000000000006</c:v>
                </c:pt>
                <c:pt idx="218">
                  <c:v>68.700000000000017</c:v>
                </c:pt>
                <c:pt idx="219">
                  <c:v>69</c:v>
                </c:pt>
                <c:pt idx="220">
                  <c:v>69.300000000000011</c:v>
                </c:pt>
                <c:pt idx="221">
                  <c:v>69.599999999999994</c:v>
                </c:pt>
                <c:pt idx="222">
                  <c:v>69.900000000000006</c:v>
                </c:pt>
                <c:pt idx="223">
                  <c:v>70.300000000000011</c:v>
                </c:pt>
                <c:pt idx="224">
                  <c:v>70.599999999999994</c:v>
                </c:pt>
                <c:pt idx="225">
                  <c:v>70.900000000000006</c:v>
                </c:pt>
                <c:pt idx="226">
                  <c:v>71.200000000000017</c:v>
                </c:pt>
                <c:pt idx="227">
                  <c:v>71.5</c:v>
                </c:pt>
                <c:pt idx="228">
                  <c:v>71.800000000000011</c:v>
                </c:pt>
                <c:pt idx="229">
                  <c:v>72.099999999999994</c:v>
                </c:pt>
                <c:pt idx="230">
                  <c:v>72.5</c:v>
                </c:pt>
                <c:pt idx="231">
                  <c:v>72.800000000000011</c:v>
                </c:pt>
                <c:pt idx="232">
                  <c:v>73.099999999999994</c:v>
                </c:pt>
                <c:pt idx="233">
                  <c:v>73.400000000000006</c:v>
                </c:pt>
                <c:pt idx="234">
                  <c:v>73.700000000000017</c:v>
                </c:pt>
                <c:pt idx="235">
                  <c:v>74</c:v>
                </c:pt>
                <c:pt idx="236">
                  <c:v>74.400000000000006</c:v>
                </c:pt>
                <c:pt idx="237">
                  <c:v>74.700000000000017</c:v>
                </c:pt>
                <c:pt idx="238">
                  <c:v>75</c:v>
                </c:pt>
                <c:pt idx="239">
                  <c:v>75.300000000000011</c:v>
                </c:pt>
                <c:pt idx="240">
                  <c:v>75.599999999999994</c:v>
                </c:pt>
                <c:pt idx="241">
                  <c:v>75.900000000000006</c:v>
                </c:pt>
                <c:pt idx="242">
                  <c:v>76.200000000000017</c:v>
                </c:pt>
                <c:pt idx="243">
                  <c:v>76.599999999999994</c:v>
                </c:pt>
                <c:pt idx="244">
                  <c:v>76.900000000000006</c:v>
                </c:pt>
                <c:pt idx="245">
                  <c:v>77.200000000000017</c:v>
                </c:pt>
                <c:pt idx="246">
                  <c:v>77.5</c:v>
                </c:pt>
                <c:pt idx="247">
                  <c:v>77.800000000000011</c:v>
                </c:pt>
                <c:pt idx="248">
                  <c:v>78.099999999999994</c:v>
                </c:pt>
                <c:pt idx="249">
                  <c:v>78.400000000000006</c:v>
                </c:pt>
                <c:pt idx="250">
                  <c:v>78.800000000000011</c:v>
                </c:pt>
                <c:pt idx="251">
                  <c:v>79.099999999999994</c:v>
                </c:pt>
                <c:pt idx="252">
                  <c:v>79.400000000000006</c:v>
                </c:pt>
                <c:pt idx="253">
                  <c:v>79.700000000000017</c:v>
                </c:pt>
                <c:pt idx="254">
                  <c:v>80</c:v>
                </c:pt>
                <c:pt idx="255">
                  <c:v>80.300000000000011</c:v>
                </c:pt>
                <c:pt idx="256">
                  <c:v>80.700000000000017</c:v>
                </c:pt>
                <c:pt idx="257">
                  <c:v>81</c:v>
                </c:pt>
                <c:pt idx="258">
                  <c:v>81.300000000000011</c:v>
                </c:pt>
                <c:pt idx="259">
                  <c:v>81.599999999999994</c:v>
                </c:pt>
                <c:pt idx="260">
                  <c:v>81.900000000000006</c:v>
                </c:pt>
                <c:pt idx="261">
                  <c:v>82.200000000000017</c:v>
                </c:pt>
                <c:pt idx="262">
                  <c:v>82.5</c:v>
                </c:pt>
                <c:pt idx="263">
                  <c:v>82.9</c:v>
                </c:pt>
                <c:pt idx="264">
                  <c:v>83.200000000000017</c:v>
                </c:pt>
                <c:pt idx="265">
                  <c:v>83.5</c:v>
                </c:pt>
                <c:pt idx="266">
                  <c:v>83.800000000000011</c:v>
                </c:pt>
                <c:pt idx="267">
                  <c:v>84.1</c:v>
                </c:pt>
                <c:pt idx="268">
                  <c:v>84.4</c:v>
                </c:pt>
                <c:pt idx="269">
                  <c:v>84.700000000000017</c:v>
                </c:pt>
                <c:pt idx="270">
                  <c:v>85.1</c:v>
                </c:pt>
                <c:pt idx="271">
                  <c:v>85.4</c:v>
                </c:pt>
                <c:pt idx="272">
                  <c:v>85.700000000000017</c:v>
                </c:pt>
                <c:pt idx="273">
                  <c:v>86</c:v>
                </c:pt>
                <c:pt idx="274">
                  <c:v>86.300000000000011</c:v>
                </c:pt>
                <c:pt idx="275">
                  <c:v>86.6</c:v>
                </c:pt>
                <c:pt idx="276">
                  <c:v>87</c:v>
                </c:pt>
                <c:pt idx="277">
                  <c:v>87.300000000000011</c:v>
                </c:pt>
                <c:pt idx="278">
                  <c:v>87.6</c:v>
                </c:pt>
                <c:pt idx="279">
                  <c:v>87.9</c:v>
                </c:pt>
                <c:pt idx="280">
                  <c:v>88.200000000000017</c:v>
                </c:pt>
                <c:pt idx="281">
                  <c:v>88.5</c:v>
                </c:pt>
                <c:pt idx="282">
                  <c:v>88.800000000000011</c:v>
                </c:pt>
                <c:pt idx="283">
                  <c:v>89.200000000000017</c:v>
                </c:pt>
                <c:pt idx="284">
                  <c:v>89.5</c:v>
                </c:pt>
                <c:pt idx="285">
                  <c:v>89.800000000000011</c:v>
                </c:pt>
                <c:pt idx="286">
                  <c:v>90.1</c:v>
                </c:pt>
                <c:pt idx="287">
                  <c:v>90.4</c:v>
                </c:pt>
                <c:pt idx="288">
                  <c:v>90.700000000000017</c:v>
                </c:pt>
                <c:pt idx="289">
                  <c:v>91.1</c:v>
                </c:pt>
                <c:pt idx="290">
                  <c:v>91.4</c:v>
                </c:pt>
                <c:pt idx="291">
                  <c:v>91.700000000000017</c:v>
                </c:pt>
                <c:pt idx="292">
                  <c:v>92</c:v>
                </c:pt>
                <c:pt idx="293">
                  <c:v>92.300000000000011</c:v>
                </c:pt>
                <c:pt idx="294">
                  <c:v>92.6</c:v>
                </c:pt>
                <c:pt idx="295">
                  <c:v>92.9</c:v>
                </c:pt>
                <c:pt idx="296">
                  <c:v>93.300000000000011</c:v>
                </c:pt>
                <c:pt idx="297">
                  <c:v>93.6</c:v>
                </c:pt>
                <c:pt idx="298">
                  <c:v>93.9</c:v>
                </c:pt>
                <c:pt idx="299">
                  <c:v>94.200000000000017</c:v>
                </c:pt>
                <c:pt idx="300">
                  <c:v>94.5</c:v>
                </c:pt>
                <c:pt idx="301">
                  <c:v>94.800000000000011</c:v>
                </c:pt>
                <c:pt idx="302">
                  <c:v>95.1</c:v>
                </c:pt>
                <c:pt idx="303">
                  <c:v>95.5</c:v>
                </c:pt>
                <c:pt idx="304">
                  <c:v>95.800000000000011</c:v>
                </c:pt>
                <c:pt idx="305">
                  <c:v>96.1</c:v>
                </c:pt>
                <c:pt idx="306">
                  <c:v>96.4</c:v>
                </c:pt>
                <c:pt idx="307">
                  <c:v>96.700000000000017</c:v>
                </c:pt>
                <c:pt idx="308">
                  <c:v>97</c:v>
                </c:pt>
                <c:pt idx="309">
                  <c:v>97.4</c:v>
                </c:pt>
                <c:pt idx="310">
                  <c:v>97.700000000000017</c:v>
                </c:pt>
                <c:pt idx="311">
                  <c:v>98</c:v>
                </c:pt>
                <c:pt idx="312">
                  <c:v>98.300000000000011</c:v>
                </c:pt>
                <c:pt idx="313">
                  <c:v>98.6</c:v>
                </c:pt>
                <c:pt idx="314">
                  <c:v>98.9</c:v>
                </c:pt>
                <c:pt idx="315">
                  <c:v>99.200000000000017</c:v>
                </c:pt>
                <c:pt idx="316">
                  <c:v>99.6</c:v>
                </c:pt>
                <c:pt idx="317">
                  <c:v>99.9</c:v>
                </c:pt>
                <c:pt idx="318">
                  <c:v>100.20000000000002</c:v>
                </c:pt>
                <c:pt idx="319">
                  <c:v>100.5</c:v>
                </c:pt>
                <c:pt idx="320">
                  <c:v>100.80000000000001</c:v>
                </c:pt>
                <c:pt idx="321">
                  <c:v>101.1</c:v>
                </c:pt>
                <c:pt idx="322">
                  <c:v>101.4</c:v>
                </c:pt>
                <c:pt idx="323">
                  <c:v>101.80000000000001</c:v>
                </c:pt>
                <c:pt idx="324">
                  <c:v>102.1</c:v>
                </c:pt>
                <c:pt idx="325">
                  <c:v>102.4</c:v>
                </c:pt>
                <c:pt idx="326">
                  <c:v>102.70000000000002</c:v>
                </c:pt>
                <c:pt idx="327">
                  <c:v>103</c:v>
                </c:pt>
                <c:pt idx="328">
                  <c:v>103.30000000000001</c:v>
                </c:pt>
                <c:pt idx="329">
                  <c:v>103.70000000000002</c:v>
                </c:pt>
                <c:pt idx="330">
                  <c:v>104</c:v>
                </c:pt>
                <c:pt idx="331">
                  <c:v>104.30000000000001</c:v>
                </c:pt>
                <c:pt idx="332">
                  <c:v>104.6</c:v>
                </c:pt>
                <c:pt idx="333">
                  <c:v>104.9</c:v>
                </c:pt>
                <c:pt idx="334">
                  <c:v>105.20000000000002</c:v>
                </c:pt>
                <c:pt idx="335">
                  <c:v>105.5</c:v>
                </c:pt>
                <c:pt idx="336">
                  <c:v>105.9</c:v>
                </c:pt>
                <c:pt idx="337">
                  <c:v>106.20000000000002</c:v>
                </c:pt>
                <c:pt idx="338">
                  <c:v>106.5</c:v>
                </c:pt>
                <c:pt idx="339">
                  <c:v>106.80000000000001</c:v>
                </c:pt>
                <c:pt idx="340">
                  <c:v>107.1</c:v>
                </c:pt>
                <c:pt idx="341">
                  <c:v>107.4</c:v>
                </c:pt>
                <c:pt idx="342">
                  <c:v>107.70000000000002</c:v>
                </c:pt>
                <c:pt idx="343">
                  <c:v>108.1</c:v>
                </c:pt>
                <c:pt idx="344">
                  <c:v>108.4</c:v>
                </c:pt>
                <c:pt idx="345">
                  <c:v>108.70000000000002</c:v>
                </c:pt>
                <c:pt idx="346">
                  <c:v>109</c:v>
                </c:pt>
                <c:pt idx="347">
                  <c:v>109.30000000000001</c:v>
                </c:pt>
                <c:pt idx="348">
                  <c:v>109.6</c:v>
                </c:pt>
                <c:pt idx="349">
                  <c:v>110</c:v>
                </c:pt>
                <c:pt idx="350">
                  <c:v>110.30000000000001</c:v>
                </c:pt>
                <c:pt idx="351">
                  <c:v>110.6</c:v>
                </c:pt>
                <c:pt idx="352">
                  <c:v>110.9</c:v>
                </c:pt>
                <c:pt idx="353">
                  <c:v>111.20000000000002</c:v>
                </c:pt>
                <c:pt idx="354">
                  <c:v>111.5</c:v>
                </c:pt>
                <c:pt idx="355">
                  <c:v>111.80000000000001</c:v>
                </c:pt>
                <c:pt idx="356">
                  <c:v>112.20000000000002</c:v>
                </c:pt>
                <c:pt idx="357">
                  <c:v>112.5</c:v>
                </c:pt>
                <c:pt idx="358">
                  <c:v>112.80000000000001</c:v>
                </c:pt>
                <c:pt idx="359">
                  <c:v>113.1</c:v>
                </c:pt>
                <c:pt idx="360">
                  <c:v>113.4</c:v>
                </c:pt>
                <c:pt idx="361">
                  <c:v>113.70000000000002</c:v>
                </c:pt>
                <c:pt idx="362">
                  <c:v>114.1</c:v>
                </c:pt>
                <c:pt idx="363">
                  <c:v>114.4</c:v>
                </c:pt>
                <c:pt idx="364">
                  <c:v>114.70000000000002</c:v>
                </c:pt>
                <c:pt idx="365">
                  <c:v>115</c:v>
                </c:pt>
                <c:pt idx="366">
                  <c:v>115.30000000000001</c:v>
                </c:pt>
                <c:pt idx="367">
                  <c:v>115.6</c:v>
                </c:pt>
                <c:pt idx="368">
                  <c:v>115.9</c:v>
                </c:pt>
                <c:pt idx="369">
                  <c:v>116.30000000000001</c:v>
                </c:pt>
                <c:pt idx="370">
                  <c:v>116.6</c:v>
                </c:pt>
                <c:pt idx="371">
                  <c:v>116.9</c:v>
                </c:pt>
                <c:pt idx="372">
                  <c:v>117.20000000000002</c:v>
                </c:pt>
                <c:pt idx="373">
                  <c:v>117.5</c:v>
                </c:pt>
                <c:pt idx="374">
                  <c:v>117.80000000000001</c:v>
                </c:pt>
                <c:pt idx="375">
                  <c:v>118.1</c:v>
                </c:pt>
                <c:pt idx="376">
                  <c:v>118.5</c:v>
                </c:pt>
                <c:pt idx="377">
                  <c:v>118.80000000000001</c:v>
                </c:pt>
                <c:pt idx="378">
                  <c:v>119.1</c:v>
                </c:pt>
                <c:pt idx="379">
                  <c:v>119.4</c:v>
                </c:pt>
                <c:pt idx="380">
                  <c:v>119.70000000000002</c:v>
                </c:pt>
                <c:pt idx="381">
                  <c:v>120</c:v>
                </c:pt>
                <c:pt idx="382">
                  <c:v>120.4</c:v>
                </c:pt>
                <c:pt idx="383">
                  <c:v>120.70000000000002</c:v>
                </c:pt>
                <c:pt idx="384">
                  <c:v>121</c:v>
                </c:pt>
                <c:pt idx="385">
                  <c:v>121.30000000000001</c:v>
                </c:pt>
                <c:pt idx="386">
                  <c:v>121.6</c:v>
                </c:pt>
                <c:pt idx="387">
                  <c:v>121.9</c:v>
                </c:pt>
                <c:pt idx="388">
                  <c:v>122.20000000000002</c:v>
                </c:pt>
                <c:pt idx="389">
                  <c:v>122.6</c:v>
                </c:pt>
                <c:pt idx="390">
                  <c:v>122.9</c:v>
                </c:pt>
                <c:pt idx="391">
                  <c:v>123.20000000000002</c:v>
                </c:pt>
                <c:pt idx="392">
                  <c:v>123.5</c:v>
                </c:pt>
                <c:pt idx="393">
                  <c:v>123.80000000000001</c:v>
                </c:pt>
                <c:pt idx="394">
                  <c:v>124.1</c:v>
                </c:pt>
                <c:pt idx="395">
                  <c:v>124.4</c:v>
                </c:pt>
                <c:pt idx="396">
                  <c:v>124.80000000000001</c:v>
                </c:pt>
                <c:pt idx="397">
                  <c:v>125.1</c:v>
                </c:pt>
                <c:pt idx="398">
                  <c:v>125.4</c:v>
                </c:pt>
                <c:pt idx="399">
                  <c:v>125.70000000000002</c:v>
                </c:pt>
                <c:pt idx="400">
                  <c:v>126</c:v>
                </c:pt>
                <c:pt idx="401">
                  <c:v>126.30000000000001</c:v>
                </c:pt>
                <c:pt idx="402">
                  <c:v>126.70000000000002</c:v>
                </c:pt>
                <c:pt idx="403">
                  <c:v>127</c:v>
                </c:pt>
                <c:pt idx="404">
                  <c:v>127.30000000000001</c:v>
                </c:pt>
                <c:pt idx="405">
                  <c:v>127.6</c:v>
                </c:pt>
                <c:pt idx="406">
                  <c:v>127.9</c:v>
                </c:pt>
                <c:pt idx="407">
                  <c:v>128.20000000000002</c:v>
                </c:pt>
                <c:pt idx="408">
                  <c:v>128.5</c:v>
                </c:pt>
                <c:pt idx="409">
                  <c:v>128.9</c:v>
                </c:pt>
                <c:pt idx="410">
                  <c:v>129.20000000000002</c:v>
                </c:pt>
                <c:pt idx="411">
                  <c:v>129.5</c:v>
                </c:pt>
                <c:pt idx="412">
                  <c:v>129.80000000000001</c:v>
                </c:pt>
                <c:pt idx="413">
                  <c:v>130.1</c:v>
                </c:pt>
                <c:pt idx="414">
                  <c:v>130.4</c:v>
                </c:pt>
                <c:pt idx="415">
                  <c:v>130.70000000000002</c:v>
                </c:pt>
                <c:pt idx="416">
                  <c:v>131.1</c:v>
                </c:pt>
                <c:pt idx="417">
                  <c:v>131.4</c:v>
                </c:pt>
                <c:pt idx="418">
                  <c:v>131.70000000000002</c:v>
                </c:pt>
                <c:pt idx="419">
                  <c:v>132</c:v>
                </c:pt>
                <c:pt idx="420">
                  <c:v>132.30000000000001</c:v>
                </c:pt>
                <c:pt idx="421">
                  <c:v>132.6</c:v>
                </c:pt>
                <c:pt idx="422">
                  <c:v>133</c:v>
                </c:pt>
                <c:pt idx="423">
                  <c:v>133.30000000000001</c:v>
                </c:pt>
                <c:pt idx="424">
                  <c:v>133.6</c:v>
                </c:pt>
                <c:pt idx="425">
                  <c:v>133.9</c:v>
                </c:pt>
                <c:pt idx="426">
                  <c:v>134.20000000000002</c:v>
                </c:pt>
                <c:pt idx="427">
                  <c:v>134.5</c:v>
                </c:pt>
                <c:pt idx="428">
                  <c:v>134.80000000000001</c:v>
                </c:pt>
                <c:pt idx="429">
                  <c:v>135.20000000000002</c:v>
                </c:pt>
                <c:pt idx="430">
                  <c:v>135.5</c:v>
                </c:pt>
                <c:pt idx="431">
                  <c:v>135.80000000000001</c:v>
                </c:pt>
                <c:pt idx="432">
                  <c:v>136.1</c:v>
                </c:pt>
                <c:pt idx="433">
                  <c:v>136.4</c:v>
                </c:pt>
                <c:pt idx="434">
                  <c:v>136.70000000000002</c:v>
                </c:pt>
                <c:pt idx="435">
                  <c:v>137.1</c:v>
                </c:pt>
                <c:pt idx="436">
                  <c:v>137.4</c:v>
                </c:pt>
                <c:pt idx="437">
                  <c:v>137.70000000000002</c:v>
                </c:pt>
                <c:pt idx="438">
                  <c:v>138</c:v>
                </c:pt>
                <c:pt idx="439">
                  <c:v>138.30000000000001</c:v>
                </c:pt>
                <c:pt idx="440">
                  <c:v>138.6</c:v>
                </c:pt>
                <c:pt idx="441">
                  <c:v>138.9</c:v>
                </c:pt>
                <c:pt idx="442">
                  <c:v>139.30000000000001</c:v>
                </c:pt>
                <c:pt idx="443">
                  <c:v>139.6</c:v>
                </c:pt>
                <c:pt idx="444">
                  <c:v>139.9</c:v>
                </c:pt>
                <c:pt idx="445">
                  <c:v>140.20000000000002</c:v>
                </c:pt>
                <c:pt idx="446">
                  <c:v>140.5</c:v>
                </c:pt>
                <c:pt idx="447">
                  <c:v>140.80000000000001</c:v>
                </c:pt>
                <c:pt idx="448">
                  <c:v>141.1</c:v>
                </c:pt>
                <c:pt idx="449">
                  <c:v>141.5</c:v>
                </c:pt>
                <c:pt idx="450">
                  <c:v>141.80000000000001</c:v>
                </c:pt>
                <c:pt idx="451">
                  <c:v>142.1</c:v>
                </c:pt>
                <c:pt idx="452">
                  <c:v>142.4</c:v>
                </c:pt>
                <c:pt idx="453">
                  <c:v>142.70000000000002</c:v>
                </c:pt>
                <c:pt idx="454">
                  <c:v>143</c:v>
                </c:pt>
                <c:pt idx="455">
                  <c:v>143.4</c:v>
                </c:pt>
                <c:pt idx="456">
                  <c:v>143.70000000000002</c:v>
                </c:pt>
                <c:pt idx="457">
                  <c:v>144</c:v>
                </c:pt>
                <c:pt idx="458">
                  <c:v>144.30000000000001</c:v>
                </c:pt>
                <c:pt idx="459">
                  <c:v>144.6</c:v>
                </c:pt>
                <c:pt idx="460">
                  <c:v>144.9</c:v>
                </c:pt>
                <c:pt idx="461">
                  <c:v>145.20000000000002</c:v>
                </c:pt>
                <c:pt idx="462">
                  <c:v>145.6</c:v>
                </c:pt>
                <c:pt idx="463">
                  <c:v>145.9</c:v>
                </c:pt>
                <c:pt idx="464">
                  <c:v>146.20000000000002</c:v>
                </c:pt>
                <c:pt idx="465">
                  <c:v>146.5</c:v>
                </c:pt>
                <c:pt idx="466">
                  <c:v>146.80000000000001</c:v>
                </c:pt>
                <c:pt idx="467">
                  <c:v>147.1</c:v>
                </c:pt>
                <c:pt idx="468">
                  <c:v>147.4</c:v>
                </c:pt>
                <c:pt idx="469">
                  <c:v>147.80000000000001</c:v>
                </c:pt>
                <c:pt idx="470">
                  <c:v>148.1</c:v>
                </c:pt>
                <c:pt idx="471">
                  <c:v>148.4</c:v>
                </c:pt>
                <c:pt idx="472">
                  <c:v>148.70000000000002</c:v>
                </c:pt>
                <c:pt idx="473">
                  <c:v>149</c:v>
                </c:pt>
                <c:pt idx="474">
                  <c:v>149.30000000000001</c:v>
                </c:pt>
                <c:pt idx="475">
                  <c:v>149.70000000000002</c:v>
                </c:pt>
                <c:pt idx="476">
                  <c:v>150</c:v>
                </c:pt>
                <c:pt idx="477">
                  <c:v>150.30000000000001</c:v>
                </c:pt>
                <c:pt idx="478">
                  <c:v>150.6</c:v>
                </c:pt>
                <c:pt idx="479">
                  <c:v>150.9</c:v>
                </c:pt>
                <c:pt idx="480">
                  <c:v>151.20000000000002</c:v>
                </c:pt>
                <c:pt idx="481">
                  <c:v>151.5</c:v>
                </c:pt>
                <c:pt idx="482">
                  <c:v>151.9</c:v>
                </c:pt>
                <c:pt idx="483">
                  <c:v>152.20000000000002</c:v>
                </c:pt>
                <c:pt idx="484">
                  <c:v>152.5</c:v>
                </c:pt>
                <c:pt idx="485">
                  <c:v>152.80000000000001</c:v>
                </c:pt>
                <c:pt idx="486">
                  <c:v>153.1</c:v>
                </c:pt>
                <c:pt idx="487">
                  <c:v>153.4</c:v>
                </c:pt>
                <c:pt idx="488">
                  <c:v>153.70000000000002</c:v>
                </c:pt>
                <c:pt idx="489">
                  <c:v>154.1</c:v>
                </c:pt>
                <c:pt idx="490">
                  <c:v>154.4</c:v>
                </c:pt>
                <c:pt idx="491">
                  <c:v>154.70000000000002</c:v>
                </c:pt>
                <c:pt idx="492">
                  <c:v>155</c:v>
                </c:pt>
                <c:pt idx="493">
                  <c:v>155.30000000000001</c:v>
                </c:pt>
                <c:pt idx="494">
                  <c:v>155.6</c:v>
                </c:pt>
                <c:pt idx="495">
                  <c:v>156</c:v>
                </c:pt>
                <c:pt idx="496">
                  <c:v>156.30000000000001</c:v>
                </c:pt>
                <c:pt idx="497">
                  <c:v>156.6</c:v>
                </c:pt>
              </c:numCache>
            </c:numRef>
          </c:xVal>
          <c:yVal>
            <c:numRef>
              <c:f>'sheet 1'!$R$39:$R$841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21-4875-B88C-B488B95351CA}"/>
            </c:ext>
          </c:extLst>
        </c:ser>
        <c:ser>
          <c:idx val="5"/>
          <c:order val="5"/>
          <c:tx>
            <c:strRef>
              <c:f>'sheet 1'!$S$38</c:f>
              <c:strCache>
                <c:ptCount val="1"/>
                <c:pt idx="0">
                  <c:v>I4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0.30000000000001137</c:v>
                </c:pt>
                <c:pt idx="2">
                  <c:v>0.60000000000000853</c:v>
                </c:pt>
                <c:pt idx="3">
                  <c:v>0.90000000000000568</c:v>
                </c:pt>
                <c:pt idx="4">
                  <c:v>1.3000000000000114</c:v>
                </c:pt>
                <c:pt idx="5">
                  <c:v>1.6000000000000085</c:v>
                </c:pt>
                <c:pt idx="6">
                  <c:v>1.9000000000000057</c:v>
                </c:pt>
                <c:pt idx="7">
                  <c:v>2.2000000000000028</c:v>
                </c:pt>
                <c:pt idx="8">
                  <c:v>2.5</c:v>
                </c:pt>
                <c:pt idx="9">
                  <c:v>2.8000000000000114</c:v>
                </c:pt>
                <c:pt idx="10">
                  <c:v>3.1000000000000085</c:v>
                </c:pt>
                <c:pt idx="11">
                  <c:v>3.5</c:v>
                </c:pt>
                <c:pt idx="12">
                  <c:v>3.8000000000000114</c:v>
                </c:pt>
                <c:pt idx="13">
                  <c:v>4.1000000000000085</c:v>
                </c:pt>
                <c:pt idx="14">
                  <c:v>4.4000000000000057</c:v>
                </c:pt>
                <c:pt idx="15">
                  <c:v>4.7000000000000028</c:v>
                </c:pt>
                <c:pt idx="16">
                  <c:v>5</c:v>
                </c:pt>
                <c:pt idx="17">
                  <c:v>5.4000000000000057</c:v>
                </c:pt>
                <c:pt idx="18">
                  <c:v>5.7000000000000028</c:v>
                </c:pt>
                <c:pt idx="19">
                  <c:v>6</c:v>
                </c:pt>
                <c:pt idx="20">
                  <c:v>6.3000000000000114</c:v>
                </c:pt>
                <c:pt idx="21">
                  <c:v>6.6000000000000085</c:v>
                </c:pt>
                <c:pt idx="22">
                  <c:v>6.9000000000000057</c:v>
                </c:pt>
                <c:pt idx="23">
                  <c:v>7.2000000000000028</c:v>
                </c:pt>
                <c:pt idx="24">
                  <c:v>7.6000000000000085</c:v>
                </c:pt>
                <c:pt idx="25">
                  <c:v>7.9000000000000057</c:v>
                </c:pt>
                <c:pt idx="26">
                  <c:v>8.2000000000000028</c:v>
                </c:pt>
                <c:pt idx="27">
                  <c:v>8.5</c:v>
                </c:pt>
                <c:pt idx="28">
                  <c:v>8.8000000000000114</c:v>
                </c:pt>
                <c:pt idx="29">
                  <c:v>9.1000000000000085</c:v>
                </c:pt>
                <c:pt idx="30">
                  <c:v>9.4000000000000057</c:v>
                </c:pt>
                <c:pt idx="31">
                  <c:v>9.8000000000000114</c:v>
                </c:pt>
                <c:pt idx="32">
                  <c:v>10.100000000000009</c:v>
                </c:pt>
                <c:pt idx="33">
                  <c:v>10.400000000000006</c:v>
                </c:pt>
                <c:pt idx="34">
                  <c:v>10.700000000000003</c:v>
                </c:pt>
                <c:pt idx="35">
                  <c:v>11</c:v>
                </c:pt>
                <c:pt idx="36">
                  <c:v>11.300000000000011</c:v>
                </c:pt>
                <c:pt idx="37">
                  <c:v>11.700000000000003</c:v>
                </c:pt>
                <c:pt idx="38">
                  <c:v>12</c:v>
                </c:pt>
                <c:pt idx="39">
                  <c:v>12.300000000000011</c:v>
                </c:pt>
                <c:pt idx="40">
                  <c:v>12.600000000000009</c:v>
                </c:pt>
                <c:pt idx="41">
                  <c:v>12.900000000000006</c:v>
                </c:pt>
                <c:pt idx="42">
                  <c:v>13.200000000000003</c:v>
                </c:pt>
                <c:pt idx="43">
                  <c:v>13.5</c:v>
                </c:pt>
                <c:pt idx="44">
                  <c:v>13.900000000000006</c:v>
                </c:pt>
                <c:pt idx="45">
                  <c:v>14.200000000000003</c:v>
                </c:pt>
                <c:pt idx="46">
                  <c:v>14.5</c:v>
                </c:pt>
                <c:pt idx="47">
                  <c:v>14.800000000000011</c:v>
                </c:pt>
                <c:pt idx="48">
                  <c:v>15.100000000000009</c:v>
                </c:pt>
                <c:pt idx="49">
                  <c:v>15.400000000000006</c:v>
                </c:pt>
                <c:pt idx="50">
                  <c:v>15.700000000000003</c:v>
                </c:pt>
                <c:pt idx="51">
                  <c:v>16.100000000000009</c:v>
                </c:pt>
                <c:pt idx="52">
                  <c:v>16.400000000000006</c:v>
                </c:pt>
                <c:pt idx="53">
                  <c:v>16.700000000000003</c:v>
                </c:pt>
                <c:pt idx="54">
                  <c:v>17</c:v>
                </c:pt>
                <c:pt idx="55">
                  <c:v>17.300000000000011</c:v>
                </c:pt>
                <c:pt idx="56">
                  <c:v>17.600000000000009</c:v>
                </c:pt>
                <c:pt idx="57">
                  <c:v>18</c:v>
                </c:pt>
                <c:pt idx="58">
                  <c:v>18.300000000000011</c:v>
                </c:pt>
                <c:pt idx="59">
                  <c:v>18.600000000000009</c:v>
                </c:pt>
                <c:pt idx="60">
                  <c:v>18.900000000000006</c:v>
                </c:pt>
                <c:pt idx="61">
                  <c:v>19.200000000000003</c:v>
                </c:pt>
                <c:pt idx="62">
                  <c:v>19.5</c:v>
                </c:pt>
                <c:pt idx="63">
                  <c:v>19.800000000000011</c:v>
                </c:pt>
                <c:pt idx="64">
                  <c:v>20.200000000000003</c:v>
                </c:pt>
                <c:pt idx="65">
                  <c:v>20.5</c:v>
                </c:pt>
                <c:pt idx="66">
                  <c:v>20.800000000000011</c:v>
                </c:pt>
                <c:pt idx="67">
                  <c:v>21.100000000000009</c:v>
                </c:pt>
                <c:pt idx="68">
                  <c:v>21.400000000000006</c:v>
                </c:pt>
                <c:pt idx="69">
                  <c:v>21.700000000000003</c:v>
                </c:pt>
                <c:pt idx="70">
                  <c:v>22.100000000000009</c:v>
                </c:pt>
                <c:pt idx="71">
                  <c:v>22.400000000000006</c:v>
                </c:pt>
                <c:pt idx="72">
                  <c:v>22.700000000000003</c:v>
                </c:pt>
                <c:pt idx="73">
                  <c:v>23</c:v>
                </c:pt>
                <c:pt idx="74">
                  <c:v>23.300000000000011</c:v>
                </c:pt>
                <c:pt idx="75">
                  <c:v>23.600000000000009</c:v>
                </c:pt>
                <c:pt idx="76">
                  <c:v>23.900000000000006</c:v>
                </c:pt>
                <c:pt idx="77">
                  <c:v>24.300000000000011</c:v>
                </c:pt>
                <c:pt idx="78">
                  <c:v>24.600000000000009</c:v>
                </c:pt>
                <c:pt idx="79">
                  <c:v>24.900000000000006</c:v>
                </c:pt>
                <c:pt idx="80">
                  <c:v>25.200000000000003</c:v>
                </c:pt>
                <c:pt idx="81">
                  <c:v>25.5</c:v>
                </c:pt>
                <c:pt idx="82">
                  <c:v>25.800000000000011</c:v>
                </c:pt>
                <c:pt idx="83">
                  <c:v>26.100000000000009</c:v>
                </c:pt>
                <c:pt idx="84">
                  <c:v>26.5</c:v>
                </c:pt>
                <c:pt idx="85">
                  <c:v>26.800000000000011</c:v>
                </c:pt>
                <c:pt idx="86">
                  <c:v>27.100000000000009</c:v>
                </c:pt>
                <c:pt idx="87">
                  <c:v>27.400000000000006</c:v>
                </c:pt>
                <c:pt idx="88">
                  <c:v>27.700000000000003</c:v>
                </c:pt>
                <c:pt idx="89">
                  <c:v>28</c:v>
                </c:pt>
                <c:pt idx="90">
                  <c:v>28.400000000000006</c:v>
                </c:pt>
                <c:pt idx="91">
                  <c:v>28.700000000000003</c:v>
                </c:pt>
                <c:pt idx="92">
                  <c:v>29</c:v>
                </c:pt>
                <c:pt idx="93">
                  <c:v>29.300000000000011</c:v>
                </c:pt>
                <c:pt idx="94">
                  <c:v>29.600000000000009</c:v>
                </c:pt>
                <c:pt idx="95">
                  <c:v>29.900000000000006</c:v>
                </c:pt>
                <c:pt idx="96">
                  <c:v>30.200000000000003</c:v>
                </c:pt>
                <c:pt idx="97">
                  <c:v>30.600000000000009</c:v>
                </c:pt>
                <c:pt idx="98">
                  <c:v>30.900000000000006</c:v>
                </c:pt>
                <c:pt idx="99">
                  <c:v>31.200000000000003</c:v>
                </c:pt>
                <c:pt idx="100">
                  <c:v>31.5</c:v>
                </c:pt>
                <c:pt idx="101">
                  <c:v>31.800000000000011</c:v>
                </c:pt>
                <c:pt idx="102">
                  <c:v>32.100000000000009</c:v>
                </c:pt>
                <c:pt idx="103">
                  <c:v>32.400000000000006</c:v>
                </c:pt>
                <c:pt idx="104">
                  <c:v>32.800000000000011</c:v>
                </c:pt>
                <c:pt idx="105">
                  <c:v>33.100000000000009</c:v>
                </c:pt>
                <c:pt idx="106">
                  <c:v>33.400000000000006</c:v>
                </c:pt>
                <c:pt idx="107">
                  <c:v>33.700000000000003</c:v>
                </c:pt>
                <c:pt idx="108">
                  <c:v>34</c:v>
                </c:pt>
                <c:pt idx="109">
                  <c:v>34.300000000000011</c:v>
                </c:pt>
                <c:pt idx="110">
                  <c:v>34.700000000000003</c:v>
                </c:pt>
                <c:pt idx="111">
                  <c:v>35</c:v>
                </c:pt>
                <c:pt idx="112">
                  <c:v>35.300000000000011</c:v>
                </c:pt>
                <c:pt idx="113">
                  <c:v>35.600000000000009</c:v>
                </c:pt>
                <c:pt idx="114">
                  <c:v>35.900000000000006</c:v>
                </c:pt>
                <c:pt idx="115">
                  <c:v>36.200000000000003</c:v>
                </c:pt>
                <c:pt idx="116">
                  <c:v>36.5</c:v>
                </c:pt>
                <c:pt idx="117">
                  <c:v>36.900000000000006</c:v>
                </c:pt>
                <c:pt idx="118">
                  <c:v>37.200000000000003</c:v>
                </c:pt>
                <c:pt idx="119">
                  <c:v>37.5</c:v>
                </c:pt>
                <c:pt idx="120">
                  <c:v>37.800000000000011</c:v>
                </c:pt>
                <c:pt idx="121">
                  <c:v>38.100000000000009</c:v>
                </c:pt>
                <c:pt idx="122">
                  <c:v>38.400000000000006</c:v>
                </c:pt>
                <c:pt idx="123">
                  <c:v>38.700000000000003</c:v>
                </c:pt>
                <c:pt idx="124">
                  <c:v>39.100000000000009</c:v>
                </c:pt>
                <c:pt idx="125">
                  <c:v>39.400000000000006</c:v>
                </c:pt>
                <c:pt idx="126">
                  <c:v>39.700000000000003</c:v>
                </c:pt>
                <c:pt idx="127">
                  <c:v>40</c:v>
                </c:pt>
                <c:pt idx="128">
                  <c:v>40.300000000000011</c:v>
                </c:pt>
                <c:pt idx="129">
                  <c:v>40.600000000000009</c:v>
                </c:pt>
                <c:pt idx="130">
                  <c:v>41</c:v>
                </c:pt>
                <c:pt idx="131">
                  <c:v>41.300000000000011</c:v>
                </c:pt>
                <c:pt idx="132">
                  <c:v>41.600000000000009</c:v>
                </c:pt>
                <c:pt idx="133">
                  <c:v>41.900000000000006</c:v>
                </c:pt>
                <c:pt idx="134">
                  <c:v>42.2</c:v>
                </c:pt>
                <c:pt idx="135">
                  <c:v>42.5</c:v>
                </c:pt>
                <c:pt idx="136">
                  <c:v>42.800000000000011</c:v>
                </c:pt>
                <c:pt idx="137">
                  <c:v>43.2</c:v>
                </c:pt>
                <c:pt idx="138">
                  <c:v>43.5</c:v>
                </c:pt>
                <c:pt idx="139">
                  <c:v>43.800000000000011</c:v>
                </c:pt>
                <c:pt idx="140">
                  <c:v>44.100000000000009</c:v>
                </c:pt>
                <c:pt idx="141">
                  <c:v>44.400000000000006</c:v>
                </c:pt>
                <c:pt idx="142">
                  <c:v>44.7</c:v>
                </c:pt>
                <c:pt idx="143">
                  <c:v>45.100000000000009</c:v>
                </c:pt>
                <c:pt idx="144">
                  <c:v>45.400000000000006</c:v>
                </c:pt>
                <c:pt idx="145">
                  <c:v>45.7</c:v>
                </c:pt>
                <c:pt idx="146">
                  <c:v>46</c:v>
                </c:pt>
                <c:pt idx="147">
                  <c:v>46.300000000000011</c:v>
                </c:pt>
                <c:pt idx="148">
                  <c:v>46.600000000000009</c:v>
                </c:pt>
                <c:pt idx="149">
                  <c:v>46.900000000000006</c:v>
                </c:pt>
                <c:pt idx="150">
                  <c:v>47.300000000000011</c:v>
                </c:pt>
                <c:pt idx="151">
                  <c:v>47.600000000000009</c:v>
                </c:pt>
                <c:pt idx="152">
                  <c:v>47.900000000000006</c:v>
                </c:pt>
                <c:pt idx="153">
                  <c:v>48.2</c:v>
                </c:pt>
                <c:pt idx="154">
                  <c:v>48.5</c:v>
                </c:pt>
                <c:pt idx="155">
                  <c:v>48.800000000000011</c:v>
                </c:pt>
                <c:pt idx="156">
                  <c:v>49.100000000000009</c:v>
                </c:pt>
                <c:pt idx="157">
                  <c:v>49.5</c:v>
                </c:pt>
                <c:pt idx="158">
                  <c:v>49.800000000000011</c:v>
                </c:pt>
                <c:pt idx="159">
                  <c:v>50.100000000000009</c:v>
                </c:pt>
                <c:pt idx="160">
                  <c:v>50.400000000000006</c:v>
                </c:pt>
                <c:pt idx="161">
                  <c:v>50.7</c:v>
                </c:pt>
                <c:pt idx="162">
                  <c:v>51</c:v>
                </c:pt>
                <c:pt idx="163">
                  <c:v>51.400000000000006</c:v>
                </c:pt>
                <c:pt idx="164">
                  <c:v>51.7</c:v>
                </c:pt>
                <c:pt idx="165">
                  <c:v>52</c:v>
                </c:pt>
                <c:pt idx="166">
                  <c:v>52.300000000000011</c:v>
                </c:pt>
                <c:pt idx="167">
                  <c:v>52.600000000000009</c:v>
                </c:pt>
                <c:pt idx="168">
                  <c:v>52.900000000000006</c:v>
                </c:pt>
                <c:pt idx="169">
                  <c:v>53.2</c:v>
                </c:pt>
                <c:pt idx="170">
                  <c:v>53.600000000000009</c:v>
                </c:pt>
                <c:pt idx="171">
                  <c:v>53.900000000000006</c:v>
                </c:pt>
                <c:pt idx="172">
                  <c:v>54.2</c:v>
                </c:pt>
                <c:pt idx="173">
                  <c:v>54.5</c:v>
                </c:pt>
                <c:pt idx="174">
                  <c:v>54.800000000000011</c:v>
                </c:pt>
                <c:pt idx="175">
                  <c:v>55.099999999999994</c:v>
                </c:pt>
                <c:pt idx="176">
                  <c:v>55.400000000000006</c:v>
                </c:pt>
                <c:pt idx="177">
                  <c:v>55.800000000000011</c:v>
                </c:pt>
                <c:pt idx="178">
                  <c:v>56.099999999999994</c:v>
                </c:pt>
                <c:pt idx="179">
                  <c:v>56.400000000000006</c:v>
                </c:pt>
                <c:pt idx="180">
                  <c:v>56.700000000000017</c:v>
                </c:pt>
                <c:pt idx="181">
                  <c:v>57</c:v>
                </c:pt>
                <c:pt idx="182">
                  <c:v>57.300000000000011</c:v>
                </c:pt>
                <c:pt idx="183">
                  <c:v>57.700000000000017</c:v>
                </c:pt>
                <c:pt idx="184">
                  <c:v>58</c:v>
                </c:pt>
                <c:pt idx="185">
                  <c:v>58.300000000000011</c:v>
                </c:pt>
                <c:pt idx="186">
                  <c:v>58.599999999999994</c:v>
                </c:pt>
                <c:pt idx="187">
                  <c:v>58.900000000000006</c:v>
                </c:pt>
                <c:pt idx="188">
                  <c:v>59.200000000000017</c:v>
                </c:pt>
                <c:pt idx="189">
                  <c:v>59.5</c:v>
                </c:pt>
                <c:pt idx="190">
                  <c:v>59.900000000000006</c:v>
                </c:pt>
                <c:pt idx="191">
                  <c:v>60.200000000000017</c:v>
                </c:pt>
                <c:pt idx="192">
                  <c:v>60.5</c:v>
                </c:pt>
                <c:pt idx="193">
                  <c:v>60.800000000000011</c:v>
                </c:pt>
                <c:pt idx="194">
                  <c:v>61.099999999999994</c:v>
                </c:pt>
                <c:pt idx="195">
                  <c:v>61.400000000000006</c:v>
                </c:pt>
                <c:pt idx="196">
                  <c:v>61.700000000000017</c:v>
                </c:pt>
                <c:pt idx="197">
                  <c:v>62.099999999999994</c:v>
                </c:pt>
                <c:pt idx="198">
                  <c:v>62.400000000000006</c:v>
                </c:pt>
                <c:pt idx="199">
                  <c:v>62.700000000000017</c:v>
                </c:pt>
                <c:pt idx="200">
                  <c:v>63</c:v>
                </c:pt>
                <c:pt idx="201">
                  <c:v>63.300000000000011</c:v>
                </c:pt>
                <c:pt idx="202">
                  <c:v>63.599999999999994</c:v>
                </c:pt>
                <c:pt idx="203">
                  <c:v>64</c:v>
                </c:pt>
                <c:pt idx="204">
                  <c:v>64.300000000000011</c:v>
                </c:pt>
                <c:pt idx="205">
                  <c:v>64.599999999999994</c:v>
                </c:pt>
                <c:pt idx="206">
                  <c:v>64.900000000000006</c:v>
                </c:pt>
                <c:pt idx="207">
                  <c:v>65.200000000000017</c:v>
                </c:pt>
                <c:pt idx="208">
                  <c:v>65.5</c:v>
                </c:pt>
                <c:pt idx="209">
                  <c:v>65.800000000000011</c:v>
                </c:pt>
                <c:pt idx="210">
                  <c:v>66.200000000000017</c:v>
                </c:pt>
                <c:pt idx="211">
                  <c:v>66.5</c:v>
                </c:pt>
                <c:pt idx="212">
                  <c:v>66.800000000000011</c:v>
                </c:pt>
                <c:pt idx="213">
                  <c:v>67.099999999999994</c:v>
                </c:pt>
                <c:pt idx="214">
                  <c:v>67.400000000000006</c:v>
                </c:pt>
                <c:pt idx="215">
                  <c:v>67.700000000000017</c:v>
                </c:pt>
                <c:pt idx="216">
                  <c:v>68.099999999999994</c:v>
                </c:pt>
                <c:pt idx="217">
                  <c:v>68.400000000000006</c:v>
                </c:pt>
                <c:pt idx="218">
                  <c:v>68.700000000000017</c:v>
                </c:pt>
                <c:pt idx="219">
                  <c:v>69</c:v>
                </c:pt>
                <c:pt idx="220">
                  <c:v>69.300000000000011</c:v>
                </c:pt>
                <c:pt idx="221">
                  <c:v>69.599999999999994</c:v>
                </c:pt>
                <c:pt idx="222">
                  <c:v>69.900000000000006</c:v>
                </c:pt>
                <c:pt idx="223">
                  <c:v>70.300000000000011</c:v>
                </c:pt>
                <c:pt idx="224">
                  <c:v>70.599999999999994</c:v>
                </c:pt>
                <c:pt idx="225">
                  <c:v>70.900000000000006</c:v>
                </c:pt>
                <c:pt idx="226">
                  <c:v>71.200000000000017</c:v>
                </c:pt>
                <c:pt idx="227">
                  <c:v>71.5</c:v>
                </c:pt>
                <c:pt idx="228">
                  <c:v>71.800000000000011</c:v>
                </c:pt>
                <c:pt idx="229">
                  <c:v>72.099999999999994</c:v>
                </c:pt>
                <c:pt idx="230">
                  <c:v>72.5</c:v>
                </c:pt>
                <c:pt idx="231">
                  <c:v>72.800000000000011</c:v>
                </c:pt>
                <c:pt idx="232">
                  <c:v>73.099999999999994</c:v>
                </c:pt>
                <c:pt idx="233">
                  <c:v>73.400000000000006</c:v>
                </c:pt>
                <c:pt idx="234">
                  <c:v>73.700000000000017</c:v>
                </c:pt>
                <c:pt idx="235">
                  <c:v>74</c:v>
                </c:pt>
                <c:pt idx="236">
                  <c:v>74.400000000000006</c:v>
                </c:pt>
                <c:pt idx="237">
                  <c:v>74.700000000000017</c:v>
                </c:pt>
                <c:pt idx="238">
                  <c:v>75</c:v>
                </c:pt>
                <c:pt idx="239">
                  <c:v>75.300000000000011</c:v>
                </c:pt>
                <c:pt idx="240">
                  <c:v>75.599999999999994</c:v>
                </c:pt>
                <c:pt idx="241">
                  <c:v>75.900000000000006</c:v>
                </c:pt>
                <c:pt idx="242">
                  <c:v>76.200000000000017</c:v>
                </c:pt>
                <c:pt idx="243">
                  <c:v>76.599999999999994</c:v>
                </c:pt>
                <c:pt idx="244">
                  <c:v>76.900000000000006</c:v>
                </c:pt>
                <c:pt idx="245">
                  <c:v>77.200000000000017</c:v>
                </c:pt>
                <c:pt idx="246">
                  <c:v>77.5</c:v>
                </c:pt>
                <c:pt idx="247">
                  <c:v>77.800000000000011</c:v>
                </c:pt>
                <c:pt idx="248">
                  <c:v>78.099999999999994</c:v>
                </c:pt>
                <c:pt idx="249">
                  <c:v>78.400000000000006</c:v>
                </c:pt>
                <c:pt idx="250">
                  <c:v>78.800000000000011</c:v>
                </c:pt>
                <c:pt idx="251">
                  <c:v>79.099999999999994</c:v>
                </c:pt>
                <c:pt idx="252">
                  <c:v>79.400000000000006</c:v>
                </c:pt>
                <c:pt idx="253">
                  <c:v>79.700000000000017</c:v>
                </c:pt>
                <c:pt idx="254">
                  <c:v>80</c:v>
                </c:pt>
                <c:pt idx="255">
                  <c:v>80.300000000000011</c:v>
                </c:pt>
                <c:pt idx="256">
                  <c:v>80.700000000000017</c:v>
                </c:pt>
                <c:pt idx="257">
                  <c:v>81</c:v>
                </c:pt>
                <c:pt idx="258">
                  <c:v>81.300000000000011</c:v>
                </c:pt>
                <c:pt idx="259">
                  <c:v>81.599999999999994</c:v>
                </c:pt>
                <c:pt idx="260">
                  <c:v>81.900000000000006</c:v>
                </c:pt>
                <c:pt idx="261">
                  <c:v>82.200000000000017</c:v>
                </c:pt>
                <c:pt idx="262">
                  <c:v>82.5</c:v>
                </c:pt>
                <c:pt idx="263">
                  <c:v>82.9</c:v>
                </c:pt>
                <c:pt idx="264">
                  <c:v>83.200000000000017</c:v>
                </c:pt>
                <c:pt idx="265">
                  <c:v>83.5</c:v>
                </c:pt>
                <c:pt idx="266">
                  <c:v>83.800000000000011</c:v>
                </c:pt>
                <c:pt idx="267">
                  <c:v>84.1</c:v>
                </c:pt>
                <c:pt idx="268">
                  <c:v>84.4</c:v>
                </c:pt>
                <c:pt idx="269">
                  <c:v>84.700000000000017</c:v>
                </c:pt>
                <c:pt idx="270">
                  <c:v>85.1</c:v>
                </c:pt>
                <c:pt idx="271">
                  <c:v>85.4</c:v>
                </c:pt>
                <c:pt idx="272">
                  <c:v>85.700000000000017</c:v>
                </c:pt>
                <c:pt idx="273">
                  <c:v>86</c:v>
                </c:pt>
                <c:pt idx="274">
                  <c:v>86.300000000000011</c:v>
                </c:pt>
                <c:pt idx="275">
                  <c:v>86.6</c:v>
                </c:pt>
                <c:pt idx="276">
                  <c:v>87</c:v>
                </c:pt>
                <c:pt idx="277">
                  <c:v>87.300000000000011</c:v>
                </c:pt>
                <c:pt idx="278">
                  <c:v>87.6</c:v>
                </c:pt>
                <c:pt idx="279">
                  <c:v>87.9</c:v>
                </c:pt>
                <c:pt idx="280">
                  <c:v>88.200000000000017</c:v>
                </c:pt>
                <c:pt idx="281">
                  <c:v>88.5</c:v>
                </c:pt>
                <c:pt idx="282">
                  <c:v>88.800000000000011</c:v>
                </c:pt>
                <c:pt idx="283">
                  <c:v>89.200000000000017</c:v>
                </c:pt>
                <c:pt idx="284">
                  <c:v>89.5</c:v>
                </c:pt>
                <c:pt idx="285">
                  <c:v>89.800000000000011</c:v>
                </c:pt>
                <c:pt idx="286">
                  <c:v>90.1</c:v>
                </c:pt>
                <c:pt idx="287">
                  <c:v>90.4</c:v>
                </c:pt>
                <c:pt idx="288">
                  <c:v>90.700000000000017</c:v>
                </c:pt>
                <c:pt idx="289">
                  <c:v>91.1</c:v>
                </c:pt>
                <c:pt idx="290">
                  <c:v>91.4</c:v>
                </c:pt>
                <c:pt idx="291">
                  <c:v>91.700000000000017</c:v>
                </c:pt>
                <c:pt idx="292">
                  <c:v>92</c:v>
                </c:pt>
                <c:pt idx="293">
                  <c:v>92.300000000000011</c:v>
                </c:pt>
                <c:pt idx="294">
                  <c:v>92.6</c:v>
                </c:pt>
                <c:pt idx="295">
                  <c:v>92.9</c:v>
                </c:pt>
                <c:pt idx="296">
                  <c:v>93.300000000000011</c:v>
                </c:pt>
                <c:pt idx="297">
                  <c:v>93.6</c:v>
                </c:pt>
                <c:pt idx="298">
                  <c:v>93.9</c:v>
                </c:pt>
                <c:pt idx="299">
                  <c:v>94.200000000000017</c:v>
                </c:pt>
                <c:pt idx="300">
                  <c:v>94.5</c:v>
                </c:pt>
                <c:pt idx="301">
                  <c:v>94.800000000000011</c:v>
                </c:pt>
                <c:pt idx="302">
                  <c:v>95.1</c:v>
                </c:pt>
                <c:pt idx="303">
                  <c:v>95.5</c:v>
                </c:pt>
                <c:pt idx="304">
                  <c:v>95.800000000000011</c:v>
                </c:pt>
                <c:pt idx="305">
                  <c:v>96.1</c:v>
                </c:pt>
                <c:pt idx="306">
                  <c:v>96.4</c:v>
                </c:pt>
                <c:pt idx="307">
                  <c:v>96.700000000000017</c:v>
                </c:pt>
                <c:pt idx="308">
                  <c:v>97</c:v>
                </c:pt>
                <c:pt idx="309">
                  <c:v>97.4</c:v>
                </c:pt>
                <c:pt idx="310">
                  <c:v>97.700000000000017</c:v>
                </c:pt>
                <c:pt idx="311">
                  <c:v>98</c:v>
                </c:pt>
                <c:pt idx="312">
                  <c:v>98.300000000000011</c:v>
                </c:pt>
                <c:pt idx="313">
                  <c:v>98.6</c:v>
                </c:pt>
                <c:pt idx="314">
                  <c:v>98.9</c:v>
                </c:pt>
                <c:pt idx="315">
                  <c:v>99.200000000000017</c:v>
                </c:pt>
                <c:pt idx="316">
                  <c:v>99.6</c:v>
                </c:pt>
                <c:pt idx="317">
                  <c:v>99.9</c:v>
                </c:pt>
                <c:pt idx="318">
                  <c:v>100.20000000000002</c:v>
                </c:pt>
                <c:pt idx="319">
                  <c:v>100.5</c:v>
                </c:pt>
                <c:pt idx="320">
                  <c:v>100.80000000000001</c:v>
                </c:pt>
                <c:pt idx="321">
                  <c:v>101.1</c:v>
                </c:pt>
                <c:pt idx="322">
                  <c:v>101.4</c:v>
                </c:pt>
                <c:pt idx="323">
                  <c:v>101.80000000000001</c:v>
                </c:pt>
                <c:pt idx="324">
                  <c:v>102.1</c:v>
                </c:pt>
                <c:pt idx="325">
                  <c:v>102.4</c:v>
                </c:pt>
                <c:pt idx="326">
                  <c:v>102.70000000000002</c:v>
                </c:pt>
                <c:pt idx="327">
                  <c:v>103</c:v>
                </c:pt>
                <c:pt idx="328">
                  <c:v>103.30000000000001</c:v>
                </c:pt>
                <c:pt idx="329">
                  <c:v>103.70000000000002</c:v>
                </c:pt>
                <c:pt idx="330">
                  <c:v>104</c:v>
                </c:pt>
                <c:pt idx="331">
                  <c:v>104.30000000000001</c:v>
                </c:pt>
                <c:pt idx="332">
                  <c:v>104.6</c:v>
                </c:pt>
                <c:pt idx="333">
                  <c:v>104.9</c:v>
                </c:pt>
                <c:pt idx="334">
                  <c:v>105.20000000000002</c:v>
                </c:pt>
                <c:pt idx="335">
                  <c:v>105.5</c:v>
                </c:pt>
                <c:pt idx="336">
                  <c:v>105.9</c:v>
                </c:pt>
                <c:pt idx="337">
                  <c:v>106.20000000000002</c:v>
                </c:pt>
                <c:pt idx="338">
                  <c:v>106.5</c:v>
                </c:pt>
                <c:pt idx="339">
                  <c:v>106.80000000000001</c:v>
                </c:pt>
                <c:pt idx="340">
                  <c:v>107.1</c:v>
                </c:pt>
                <c:pt idx="341">
                  <c:v>107.4</c:v>
                </c:pt>
                <c:pt idx="342">
                  <c:v>107.70000000000002</c:v>
                </c:pt>
                <c:pt idx="343">
                  <c:v>108.1</c:v>
                </c:pt>
                <c:pt idx="344">
                  <c:v>108.4</c:v>
                </c:pt>
                <c:pt idx="345">
                  <c:v>108.70000000000002</c:v>
                </c:pt>
                <c:pt idx="346">
                  <c:v>109</c:v>
                </c:pt>
                <c:pt idx="347">
                  <c:v>109.30000000000001</c:v>
                </c:pt>
                <c:pt idx="348">
                  <c:v>109.6</c:v>
                </c:pt>
                <c:pt idx="349">
                  <c:v>110</c:v>
                </c:pt>
                <c:pt idx="350">
                  <c:v>110.30000000000001</c:v>
                </c:pt>
                <c:pt idx="351">
                  <c:v>110.6</c:v>
                </c:pt>
                <c:pt idx="352">
                  <c:v>110.9</c:v>
                </c:pt>
                <c:pt idx="353">
                  <c:v>111.20000000000002</c:v>
                </c:pt>
                <c:pt idx="354">
                  <c:v>111.5</c:v>
                </c:pt>
                <c:pt idx="355">
                  <c:v>111.80000000000001</c:v>
                </c:pt>
                <c:pt idx="356">
                  <c:v>112.20000000000002</c:v>
                </c:pt>
                <c:pt idx="357">
                  <c:v>112.5</c:v>
                </c:pt>
                <c:pt idx="358">
                  <c:v>112.80000000000001</c:v>
                </c:pt>
                <c:pt idx="359">
                  <c:v>113.1</c:v>
                </c:pt>
                <c:pt idx="360">
                  <c:v>113.4</c:v>
                </c:pt>
                <c:pt idx="361">
                  <c:v>113.70000000000002</c:v>
                </c:pt>
                <c:pt idx="362">
                  <c:v>114.1</c:v>
                </c:pt>
                <c:pt idx="363">
                  <c:v>114.4</c:v>
                </c:pt>
                <c:pt idx="364">
                  <c:v>114.70000000000002</c:v>
                </c:pt>
                <c:pt idx="365">
                  <c:v>115</c:v>
                </c:pt>
                <c:pt idx="366">
                  <c:v>115.30000000000001</c:v>
                </c:pt>
                <c:pt idx="367">
                  <c:v>115.6</c:v>
                </c:pt>
                <c:pt idx="368">
                  <c:v>115.9</c:v>
                </c:pt>
                <c:pt idx="369">
                  <c:v>116.30000000000001</c:v>
                </c:pt>
                <c:pt idx="370">
                  <c:v>116.6</c:v>
                </c:pt>
                <c:pt idx="371">
                  <c:v>116.9</c:v>
                </c:pt>
                <c:pt idx="372">
                  <c:v>117.20000000000002</c:v>
                </c:pt>
                <c:pt idx="373">
                  <c:v>117.5</c:v>
                </c:pt>
                <c:pt idx="374">
                  <c:v>117.80000000000001</c:v>
                </c:pt>
                <c:pt idx="375">
                  <c:v>118.1</c:v>
                </c:pt>
                <c:pt idx="376">
                  <c:v>118.5</c:v>
                </c:pt>
                <c:pt idx="377">
                  <c:v>118.80000000000001</c:v>
                </c:pt>
                <c:pt idx="378">
                  <c:v>119.1</c:v>
                </c:pt>
                <c:pt idx="379">
                  <c:v>119.4</c:v>
                </c:pt>
                <c:pt idx="380">
                  <c:v>119.70000000000002</c:v>
                </c:pt>
                <c:pt idx="381">
                  <c:v>120</c:v>
                </c:pt>
                <c:pt idx="382">
                  <c:v>120.4</c:v>
                </c:pt>
                <c:pt idx="383">
                  <c:v>120.70000000000002</c:v>
                </c:pt>
                <c:pt idx="384">
                  <c:v>121</c:v>
                </c:pt>
                <c:pt idx="385">
                  <c:v>121.30000000000001</c:v>
                </c:pt>
                <c:pt idx="386">
                  <c:v>121.6</c:v>
                </c:pt>
                <c:pt idx="387">
                  <c:v>121.9</c:v>
                </c:pt>
                <c:pt idx="388">
                  <c:v>122.20000000000002</c:v>
                </c:pt>
                <c:pt idx="389">
                  <c:v>122.6</c:v>
                </c:pt>
                <c:pt idx="390">
                  <c:v>122.9</c:v>
                </c:pt>
                <c:pt idx="391">
                  <c:v>123.20000000000002</c:v>
                </c:pt>
                <c:pt idx="392">
                  <c:v>123.5</c:v>
                </c:pt>
                <c:pt idx="393">
                  <c:v>123.80000000000001</c:v>
                </c:pt>
                <c:pt idx="394">
                  <c:v>124.1</c:v>
                </c:pt>
                <c:pt idx="395">
                  <c:v>124.4</c:v>
                </c:pt>
                <c:pt idx="396">
                  <c:v>124.80000000000001</c:v>
                </c:pt>
                <c:pt idx="397">
                  <c:v>125.1</c:v>
                </c:pt>
                <c:pt idx="398">
                  <c:v>125.4</c:v>
                </c:pt>
                <c:pt idx="399">
                  <c:v>125.70000000000002</c:v>
                </c:pt>
                <c:pt idx="400">
                  <c:v>126</c:v>
                </c:pt>
                <c:pt idx="401">
                  <c:v>126.30000000000001</c:v>
                </c:pt>
                <c:pt idx="402">
                  <c:v>126.70000000000002</c:v>
                </c:pt>
                <c:pt idx="403">
                  <c:v>127</c:v>
                </c:pt>
                <c:pt idx="404">
                  <c:v>127.30000000000001</c:v>
                </c:pt>
                <c:pt idx="405">
                  <c:v>127.6</c:v>
                </c:pt>
                <c:pt idx="406">
                  <c:v>127.9</c:v>
                </c:pt>
                <c:pt idx="407">
                  <c:v>128.20000000000002</c:v>
                </c:pt>
                <c:pt idx="408">
                  <c:v>128.5</c:v>
                </c:pt>
                <c:pt idx="409">
                  <c:v>128.9</c:v>
                </c:pt>
                <c:pt idx="410">
                  <c:v>129.20000000000002</c:v>
                </c:pt>
                <c:pt idx="411">
                  <c:v>129.5</c:v>
                </c:pt>
                <c:pt idx="412">
                  <c:v>129.80000000000001</c:v>
                </c:pt>
                <c:pt idx="413">
                  <c:v>130.1</c:v>
                </c:pt>
                <c:pt idx="414">
                  <c:v>130.4</c:v>
                </c:pt>
                <c:pt idx="415">
                  <c:v>130.70000000000002</c:v>
                </c:pt>
                <c:pt idx="416">
                  <c:v>131.1</c:v>
                </c:pt>
                <c:pt idx="417">
                  <c:v>131.4</c:v>
                </c:pt>
                <c:pt idx="418">
                  <c:v>131.70000000000002</c:v>
                </c:pt>
                <c:pt idx="419">
                  <c:v>132</c:v>
                </c:pt>
                <c:pt idx="420">
                  <c:v>132.30000000000001</c:v>
                </c:pt>
                <c:pt idx="421">
                  <c:v>132.6</c:v>
                </c:pt>
                <c:pt idx="422">
                  <c:v>133</c:v>
                </c:pt>
                <c:pt idx="423">
                  <c:v>133.30000000000001</c:v>
                </c:pt>
                <c:pt idx="424">
                  <c:v>133.6</c:v>
                </c:pt>
                <c:pt idx="425">
                  <c:v>133.9</c:v>
                </c:pt>
                <c:pt idx="426">
                  <c:v>134.20000000000002</c:v>
                </c:pt>
                <c:pt idx="427">
                  <c:v>134.5</c:v>
                </c:pt>
                <c:pt idx="428">
                  <c:v>134.80000000000001</c:v>
                </c:pt>
                <c:pt idx="429">
                  <c:v>135.20000000000002</c:v>
                </c:pt>
                <c:pt idx="430">
                  <c:v>135.5</c:v>
                </c:pt>
                <c:pt idx="431">
                  <c:v>135.80000000000001</c:v>
                </c:pt>
                <c:pt idx="432">
                  <c:v>136.1</c:v>
                </c:pt>
                <c:pt idx="433">
                  <c:v>136.4</c:v>
                </c:pt>
                <c:pt idx="434">
                  <c:v>136.70000000000002</c:v>
                </c:pt>
                <c:pt idx="435">
                  <c:v>137.1</c:v>
                </c:pt>
                <c:pt idx="436">
                  <c:v>137.4</c:v>
                </c:pt>
                <c:pt idx="437">
                  <c:v>137.70000000000002</c:v>
                </c:pt>
                <c:pt idx="438">
                  <c:v>138</c:v>
                </c:pt>
                <c:pt idx="439">
                  <c:v>138.30000000000001</c:v>
                </c:pt>
                <c:pt idx="440">
                  <c:v>138.6</c:v>
                </c:pt>
                <c:pt idx="441">
                  <c:v>138.9</c:v>
                </c:pt>
                <c:pt idx="442">
                  <c:v>139.30000000000001</c:v>
                </c:pt>
                <c:pt idx="443">
                  <c:v>139.6</c:v>
                </c:pt>
                <c:pt idx="444">
                  <c:v>139.9</c:v>
                </c:pt>
                <c:pt idx="445">
                  <c:v>140.20000000000002</c:v>
                </c:pt>
                <c:pt idx="446">
                  <c:v>140.5</c:v>
                </c:pt>
                <c:pt idx="447">
                  <c:v>140.80000000000001</c:v>
                </c:pt>
                <c:pt idx="448">
                  <c:v>141.1</c:v>
                </c:pt>
                <c:pt idx="449">
                  <c:v>141.5</c:v>
                </c:pt>
                <c:pt idx="450">
                  <c:v>141.80000000000001</c:v>
                </c:pt>
                <c:pt idx="451">
                  <c:v>142.1</c:v>
                </c:pt>
                <c:pt idx="452">
                  <c:v>142.4</c:v>
                </c:pt>
                <c:pt idx="453">
                  <c:v>142.70000000000002</c:v>
                </c:pt>
                <c:pt idx="454">
                  <c:v>143</c:v>
                </c:pt>
                <c:pt idx="455">
                  <c:v>143.4</c:v>
                </c:pt>
                <c:pt idx="456">
                  <c:v>143.70000000000002</c:v>
                </c:pt>
                <c:pt idx="457">
                  <c:v>144</c:v>
                </c:pt>
                <c:pt idx="458">
                  <c:v>144.30000000000001</c:v>
                </c:pt>
                <c:pt idx="459">
                  <c:v>144.6</c:v>
                </c:pt>
                <c:pt idx="460">
                  <c:v>144.9</c:v>
                </c:pt>
                <c:pt idx="461">
                  <c:v>145.20000000000002</c:v>
                </c:pt>
                <c:pt idx="462">
                  <c:v>145.6</c:v>
                </c:pt>
                <c:pt idx="463">
                  <c:v>145.9</c:v>
                </c:pt>
                <c:pt idx="464">
                  <c:v>146.20000000000002</c:v>
                </c:pt>
                <c:pt idx="465">
                  <c:v>146.5</c:v>
                </c:pt>
                <c:pt idx="466">
                  <c:v>146.80000000000001</c:v>
                </c:pt>
                <c:pt idx="467">
                  <c:v>147.1</c:v>
                </c:pt>
                <c:pt idx="468">
                  <c:v>147.4</c:v>
                </c:pt>
                <c:pt idx="469">
                  <c:v>147.80000000000001</c:v>
                </c:pt>
                <c:pt idx="470">
                  <c:v>148.1</c:v>
                </c:pt>
                <c:pt idx="471">
                  <c:v>148.4</c:v>
                </c:pt>
                <c:pt idx="472">
                  <c:v>148.70000000000002</c:v>
                </c:pt>
                <c:pt idx="473">
                  <c:v>149</c:v>
                </c:pt>
                <c:pt idx="474">
                  <c:v>149.30000000000001</c:v>
                </c:pt>
                <c:pt idx="475">
                  <c:v>149.70000000000002</c:v>
                </c:pt>
                <c:pt idx="476">
                  <c:v>150</c:v>
                </c:pt>
                <c:pt idx="477">
                  <c:v>150.30000000000001</c:v>
                </c:pt>
                <c:pt idx="478">
                  <c:v>150.6</c:v>
                </c:pt>
                <c:pt idx="479">
                  <c:v>150.9</c:v>
                </c:pt>
                <c:pt idx="480">
                  <c:v>151.20000000000002</c:v>
                </c:pt>
                <c:pt idx="481">
                  <c:v>151.5</c:v>
                </c:pt>
                <c:pt idx="482">
                  <c:v>151.9</c:v>
                </c:pt>
                <c:pt idx="483">
                  <c:v>152.20000000000002</c:v>
                </c:pt>
                <c:pt idx="484">
                  <c:v>152.5</c:v>
                </c:pt>
                <c:pt idx="485">
                  <c:v>152.80000000000001</c:v>
                </c:pt>
                <c:pt idx="486">
                  <c:v>153.1</c:v>
                </c:pt>
                <c:pt idx="487">
                  <c:v>153.4</c:v>
                </c:pt>
                <c:pt idx="488">
                  <c:v>153.70000000000002</c:v>
                </c:pt>
                <c:pt idx="489">
                  <c:v>154.1</c:v>
                </c:pt>
                <c:pt idx="490">
                  <c:v>154.4</c:v>
                </c:pt>
                <c:pt idx="491">
                  <c:v>154.70000000000002</c:v>
                </c:pt>
                <c:pt idx="492">
                  <c:v>155</c:v>
                </c:pt>
                <c:pt idx="493">
                  <c:v>155.30000000000001</c:v>
                </c:pt>
                <c:pt idx="494">
                  <c:v>155.6</c:v>
                </c:pt>
                <c:pt idx="495">
                  <c:v>156</c:v>
                </c:pt>
                <c:pt idx="496">
                  <c:v>156.30000000000001</c:v>
                </c:pt>
                <c:pt idx="497">
                  <c:v>156.6</c:v>
                </c:pt>
              </c:numCache>
            </c:numRef>
          </c:xVal>
          <c:yVal>
            <c:numRef>
              <c:f>'sheet 1'!$S$39:$S$841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21-4875-B88C-B488B95351CA}"/>
            </c:ext>
          </c:extLst>
        </c:ser>
        <c:ser>
          <c:idx val="6"/>
          <c:order val="6"/>
          <c:tx>
            <c:strRef>
              <c:f>'sheet 1'!$T$38</c:f>
              <c:strCache>
                <c:ptCount val="1"/>
                <c:pt idx="0">
                  <c:v>I5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1'!$B$39:$B$841</c:f>
              <c:numCache>
                <c:formatCode>General</c:formatCode>
                <c:ptCount val="803"/>
                <c:pt idx="0">
                  <c:v>0</c:v>
                </c:pt>
                <c:pt idx="1">
                  <c:v>0.30000000000001137</c:v>
                </c:pt>
                <c:pt idx="2">
                  <c:v>0.60000000000000853</c:v>
                </c:pt>
                <c:pt idx="3">
                  <c:v>0.90000000000000568</c:v>
                </c:pt>
                <c:pt idx="4">
                  <c:v>1.3000000000000114</c:v>
                </c:pt>
                <c:pt idx="5">
                  <c:v>1.6000000000000085</c:v>
                </c:pt>
                <c:pt idx="6">
                  <c:v>1.9000000000000057</c:v>
                </c:pt>
                <c:pt idx="7">
                  <c:v>2.2000000000000028</c:v>
                </c:pt>
                <c:pt idx="8">
                  <c:v>2.5</c:v>
                </c:pt>
                <c:pt idx="9">
                  <c:v>2.8000000000000114</c:v>
                </c:pt>
                <c:pt idx="10">
                  <c:v>3.1000000000000085</c:v>
                </c:pt>
                <c:pt idx="11">
                  <c:v>3.5</c:v>
                </c:pt>
                <c:pt idx="12">
                  <c:v>3.8000000000000114</c:v>
                </c:pt>
                <c:pt idx="13">
                  <c:v>4.1000000000000085</c:v>
                </c:pt>
                <c:pt idx="14">
                  <c:v>4.4000000000000057</c:v>
                </c:pt>
                <c:pt idx="15">
                  <c:v>4.7000000000000028</c:v>
                </c:pt>
                <c:pt idx="16">
                  <c:v>5</c:v>
                </c:pt>
                <c:pt idx="17">
                  <c:v>5.4000000000000057</c:v>
                </c:pt>
                <c:pt idx="18">
                  <c:v>5.7000000000000028</c:v>
                </c:pt>
                <c:pt idx="19">
                  <c:v>6</c:v>
                </c:pt>
                <c:pt idx="20">
                  <c:v>6.3000000000000114</c:v>
                </c:pt>
                <c:pt idx="21">
                  <c:v>6.6000000000000085</c:v>
                </c:pt>
                <c:pt idx="22">
                  <c:v>6.9000000000000057</c:v>
                </c:pt>
                <c:pt idx="23">
                  <c:v>7.2000000000000028</c:v>
                </c:pt>
                <c:pt idx="24">
                  <c:v>7.6000000000000085</c:v>
                </c:pt>
                <c:pt idx="25">
                  <c:v>7.9000000000000057</c:v>
                </c:pt>
                <c:pt idx="26">
                  <c:v>8.2000000000000028</c:v>
                </c:pt>
                <c:pt idx="27">
                  <c:v>8.5</c:v>
                </c:pt>
                <c:pt idx="28">
                  <c:v>8.8000000000000114</c:v>
                </c:pt>
                <c:pt idx="29">
                  <c:v>9.1000000000000085</c:v>
                </c:pt>
                <c:pt idx="30">
                  <c:v>9.4000000000000057</c:v>
                </c:pt>
                <c:pt idx="31">
                  <c:v>9.8000000000000114</c:v>
                </c:pt>
                <c:pt idx="32">
                  <c:v>10.100000000000009</c:v>
                </c:pt>
                <c:pt idx="33">
                  <c:v>10.400000000000006</c:v>
                </c:pt>
                <c:pt idx="34">
                  <c:v>10.700000000000003</c:v>
                </c:pt>
                <c:pt idx="35">
                  <c:v>11</c:v>
                </c:pt>
                <c:pt idx="36">
                  <c:v>11.300000000000011</c:v>
                </c:pt>
                <c:pt idx="37">
                  <c:v>11.700000000000003</c:v>
                </c:pt>
                <c:pt idx="38">
                  <c:v>12</c:v>
                </c:pt>
                <c:pt idx="39">
                  <c:v>12.300000000000011</c:v>
                </c:pt>
                <c:pt idx="40">
                  <c:v>12.600000000000009</c:v>
                </c:pt>
                <c:pt idx="41">
                  <c:v>12.900000000000006</c:v>
                </c:pt>
                <c:pt idx="42">
                  <c:v>13.200000000000003</c:v>
                </c:pt>
                <c:pt idx="43">
                  <c:v>13.5</c:v>
                </c:pt>
                <c:pt idx="44">
                  <c:v>13.900000000000006</c:v>
                </c:pt>
                <c:pt idx="45">
                  <c:v>14.200000000000003</c:v>
                </c:pt>
                <c:pt idx="46">
                  <c:v>14.5</c:v>
                </c:pt>
                <c:pt idx="47">
                  <c:v>14.800000000000011</c:v>
                </c:pt>
                <c:pt idx="48">
                  <c:v>15.100000000000009</c:v>
                </c:pt>
                <c:pt idx="49">
                  <c:v>15.400000000000006</c:v>
                </c:pt>
                <c:pt idx="50">
                  <c:v>15.700000000000003</c:v>
                </c:pt>
                <c:pt idx="51">
                  <c:v>16.100000000000009</c:v>
                </c:pt>
                <c:pt idx="52">
                  <c:v>16.400000000000006</c:v>
                </c:pt>
                <c:pt idx="53">
                  <c:v>16.700000000000003</c:v>
                </c:pt>
                <c:pt idx="54">
                  <c:v>17</c:v>
                </c:pt>
                <c:pt idx="55">
                  <c:v>17.300000000000011</c:v>
                </c:pt>
                <c:pt idx="56">
                  <c:v>17.600000000000009</c:v>
                </c:pt>
                <c:pt idx="57">
                  <c:v>18</c:v>
                </c:pt>
                <c:pt idx="58">
                  <c:v>18.300000000000011</c:v>
                </c:pt>
                <c:pt idx="59">
                  <c:v>18.600000000000009</c:v>
                </c:pt>
                <c:pt idx="60">
                  <c:v>18.900000000000006</c:v>
                </c:pt>
                <c:pt idx="61">
                  <c:v>19.200000000000003</c:v>
                </c:pt>
                <c:pt idx="62">
                  <c:v>19.5</c:v>
                </c:pt>
                <c:pt idx="63">
                  <c:v>19.800000000000011</c:v>
                </c:pt>
                <c:pt idx="64">
                  <c:v>20.200000000000003</c:v>
                </c:pt>
                <c:pt idx="65">
                  <c:v>20.5</c:v>
                </c:pt>
                <c:pt idx="66">
                  <c:v>20.800000000000011</c:v>
                </c:pt>
                <c:pt idx="67">
                  <c:v>21.100000000000009</c:v>
                </c:pt>
                <c:pt idx="68">
                  <c:v>21.400000000000006</c:v>
                </c:pt>
                <c:pt idx="69">
                  <c:v>21.700000000000003</c:v>
                </c:pt>
                <c:pt idx="70">
                  <c:v>22.100000000000009</c:v>
                </c:pt>
                <c:pt idx="71">
                  <c:v>22.400000000000006</c:v>
                </c:pt>
                <c:pt idx="72">
                  <c:v>22.700000000000003</c:v>
                </c:pt>
                <c:pt idx="73">
                  <c:v>23</c:v>
                </c:pt>
                <c:pt idx="74">
                  <c:v>23.300000000000011</c:v>
                </c:pt>
                <c:pt idx="75">
                  <c:v>23.600000000000009</c:v>
                </c:pt>
                <c:pt idx="76">
                  <c:v>23.900000000000006</c:v>
                </c:pt>
                <c:pt idx="77">
                  <c:v>24.300000000000011</c:v>
                </c:pt>
                <c:pt idx="78">
                  <c:v>24.600000000000009</c:v>
                </c:pt>
                <c:pt idx="79">
                  <c:v>24.900000000000006</c:v>
                </c:pt>
                <c:pt idx="80">
                  <c:v>25.200000000000003</c:v>
                </c:pt>
                <c:pt idx="81">
                  <c:v>25.5</c:v>
                </c:pt>
                <c:pt idx="82">
                  <c:v>25.800000000000011</c:v>
                </c:pt>
                <c:pt idx="83">
                  <c:v>26.100000000000009</c:v>
                </c:pt>
                <c:pt idx="84">
                  <c:v>26.5</c:v>
                </c:pt>
                <c:pt idx="85">
                  <c:v>26.800000000000011</c:v>
                </c:pt>
                <c:pt idx="86">
                  <c:v>27.100000000000009</c:v>
                </c:pt>
                <c:pt idx="87">
                  <c:v>27.400000000000006</c:v>
                </c:pt>
                <c:pt idx="88">
                  <c:v>27.700000000000003</c:v>
                </c:pt>
                <c:pt idx="89">
                  <c:v>28</c:v>
                </c:pt>
                <c:pt idx="90">
                  <c:v>28.400000000000006</c:v>
                </c:pt>
                <c:pt idx="91">
                  <c:v>28.700000000000003</c:v>
                </c:pt>
                <c:pt idx="92">
                  <c:v>29</c:v>
                </c:pt>
                <c:pt idx="93">
                  <c:v>29.300000000000011</c:v>
                </c:pt>
                <c:pt idx="94">
                  <c:v>29.600000000000009</c:v>
                </c:pt>
                <c:pt idx="95">
                  <c:v>29.900000000000006</c:v>
                </c:pt>
                <c:pt idx="96">
                  <c:v>30.200000000000003</c:v>
                </c:pt>
                <c:pt idx="97">
                  <c:v>30.600000000000009</c:v>
                </c:pt>
                <c:pt idx="98">
                  <c:v>30.900000000000006</c:v>
                </c:pt>
                <c:pt idx="99">
                  <c:v>31.200000000000003</c:v>
                </c:pt>
                <c:pt idx="100">
                  <c:v>31.5</c:v>
                </c:pt>
                <c:pt idx="101">
                  <c:v>31.800000000000011</c:v>
                </c:pt>
                <c:pt idx="102">
                  <c:v>32.100000000000009</c:v>
                </c:pt>
                <c:pt idx="103">
                  <c:v>32.400000000000006</c:v>
                </c:pt>
                <c:pt idx="104">
                  <c:v>32.800000000000011</c:v>
                </c:pt>
                <c:pt idx="105">
                  <c:v>33.100000000000009</c:v>
                </c:pt>
                <c:pt idx="106">
                  <c:v>33.400000000000006</c:v>
                </c:pt>
                <c:pt idx="107">
                  <c:v>33.700000000000003</c:v>
                </c:pt>
                <c:pt idx="108">
                  <c:v>34</c:v>
                </c:pt>
                <c:pt idx="109">
                  <c:v>34.300000000000011</c:v>
                </c:pt>
                <c:pt idx="110">
                  <c:v>34.700000000000003</c:v>
                </c:pt>
                <c:pt idx="111">
                  <c:v>35</c:v>
                </c:pt>
                <c:pt idx="112">
                  <c:v>35.300000000000011</c:v>
                </c:pt>
                <c:pt idx="113">
                  <c:v>35.600000000000009</c:v>
                </c:pt>
                <c:pt idx="114">
                  <c:v>35.900000000000006</c:v>
                </c:pt>
                <c:pt idx="115">
                  <c:v>36.200000000000003</c:v>
                </c:pt>
                <c:pt idx="116">
                  <c:v>36.5</c:v>
                </c:pt>
                <c:pt idx="117">
                  <c:v>36.900000000000006</c:v>
                </c:pt>
                <c:pt idx="118">
                  <c:v>37.200000000000003</c:v>
                </c:pt>
                <c:pt idx="119">
                  <c:v>37.5</c:v>
                </c:pt>
                <c:pt idx="120">
                  <c:v>37.800000000000011</c:v>
                </c:pt>
                <c:pt idx="121">
                  <c:v>38.100000000000009</c:v>
                </c:pt>
                <c:pt idx="122">
                  <c:v>38.400000000000006</c:v>
                </c:pt>
                <c:pt idx="123">
                  <c:v>38.700000000000003</c:v>
                </c:pt>
                <c:pt idx="124">
                  <c:v>39.100000000000009</c:v>
                </c:pt>
                <c:pt idx="125">
                  <c:v>39.400000000000006</c:v>
                </c:pt>
                <c:pt idx="126">
                  <c:v>39.700000000000003</c:v>
                </c:pt>
                <c:pt idx="127">
                  <c:v>40</c:v>
                </c:pt>
                <c:pt idx="128">
                  <c:v>40.300000000000011</c:v>
                </c:pt>
                <c:pt idx="129">
                  <c:v>40.600000000000009</c:v>
                </c:pt>
                <c:pt idx="130">
                  <c:v>41</c:v>
                </c:pt>
                <c:pt idx="131">
                  <c:v>41.300000000000011</c:v>
                </c:pt>
                <c:pt idx="132">
                  <c:v>41.600000000000009</c:v>
                </c:pt>
                <c:pt idx="133">
                  <c:v>41.900000000000006</c:v>
                </c:pt>
                <c:pt idx="134">
                  <c:v>42.2</c:v>
                </c:pt>
                <c:pt idx="135">
                  <c:v>42.5</c:v>
                </c:pt>
                <c:pt idx="136">
                  <c:v>42.800000000000011</c:v>
                </c:pt>
                <c:pt idx="137">
                  <c:v>43.2</c:v>
                </c:pt>
                <c:pt idx="138">
                  <c:v>43.5</c:v>
                </c:pt>
                <c:pt idx="139">
                  <c:v>43.800000000000011</c:v>
                </c:pt>
                <c:pt idx="140">
                  <c:v>44.100000000000009</c:v>
                </c:pt>
                <c:pt idx="141">
                  <c:v>44.400000000000006</c:v>
                </c:pt>
                <c:pt idx="142">
                  <c:v>44.7</c:v>
                </c:pt>
                <c:pt idx="143">
                  <c:v>45.100000000000009</c:v>
                </c:pt>
                <c:pt idx="144">
                  <c:v>45.400000000000006</c:v>
                </c:pt>
                <c:pt idx="145">
                  <c:v>45.7</c:v>
                </c:pt>
                <c:pt idx="146">
                  <c:v>46</c:v>
                </c:pt>
                <c:pt idx="147">
                  <c:v>46.300000000000011</c:v>
                </c:pt>
                <c:pt idx="148">
                  <c:v>46.600000000000009</c:v>
                </c:pt>
                <c:pt idx="149">
                  <c:v>46.900000000000006</c:v>
                </c:pt>
                <c:pt idx="150">
                  <c:v>47.300000000000011</c:v>
                </c:pt>
                <c:pt idx="151">
                  <c:v>47.600000000000009</c:v>
                </c:pt>
                <c:pt idx="152">
                  <c:v>47.900000000000006</c:v>
                </c:pt>
                <c:pt idx="153">
                  <c:v>48.2</c:v>
                </c:pt>
                <c:pt idx="154">
                  <c:v>48.5</c:v>
                </c:pt>
                <c:pt idx="155">
                  <c:v>48.800000000000011</c:v>
                </c:pt>
                <c:pt idx="156">
                  <c:v>49.100000000000009</c:v>
                </c:pt>
                <c:pt idx="157">
                  <c:v>49.5</c:v>
                </c:pt>
                <c:pt idx="158">
                  <c:v>49.800000000000011</c:v>
                </c:pt>
                <c:pt idx="159">
                  <c:v>50.100000000000009</c:v>
                </c:pt>
                <c:pt idx="160">
                  <c:v>50.400000000000006</c:v>
                </c:pt>
                <c:pt idx="161">
                  <c:v>50.7</c:v>
                </c:pt>
                <c:pt idx="162">
                  <c:v>51</c:v>
                </c:pt>
                <c:pt idx="163">
                  <c:v>51.400000000000006</c:v>
                </c:pt>
                <c:pt idx="164">
                  <c:v>51.7</c:v>
                </c:pt>
                <c:pt idx="165">
                  <c:v>52</c:v>
                </c:pt>
                <c:pt idx="166">
                  <c:v>52.300000000000011</c:v>
                </c:pt>
                <c:pt idx="167">
                  <c:v>52.600000000000009</c:v>
                </c:pt>
                <c:pt idx="168">
                  <c:v>52.900000000000006</c:v>
                </c:pt>
                <c:pt idx="169">
                  <c:v>53.2</c:v>
                </c:pt>
                <c:pt idx="170">
                  <c:v>53.600000000000009</c:v>
                </c:pt>
                <c:pt idx="171">
                  <c:v>53.900000000000006</c:v>
                </c:pt>
                <c:pt idx="172">
                  <c:v>54.2</c:v>
                </c:pt>
                <c:pt idx="173">
                  <c:v>54.5</c:v>
                </c:pt>
                <c:pt idx="174">
                  <c:v>54.800000000000011</c:v>
                </c:pt>
                <c:pt idx="175">
                  <c:v>55.099999999999994</c:v>
                </c:pt>
                <c:pt idx="176">
                  <c:v>55.400000000000006</c:v>
                </c:pt>
                <c:pt idx="177">
                  <c:v>55.800000000000011</c:v>
                </c:pt>
                <c:pt idx="178">
                  <c:v>56.099999999999994</c:v>
                </c:pt>
                <c:pt idx="179">
                  <c:v>56.400000000000006</c:v>
                </c:pt>
                <c:pt idx="180">
                  <c:v>56.700000000000017</c:v>
                </c:pt>
                <c:pt idx="181">
                  <c:v>57</c:v>
                </c:pt>
                <c:pt idx="182">
                  <c:v>57.300000000000011</c:v>
                </c:pt>
                <c:pt idx="183">
                  <c:v>57.700000000000017</c:v>
                </c:pt>
                <c:pt idx="184">
                  <c:v>58</c:v>
                </c:pt>
                <c:pt idx="185">
                  <c:v>58.300000000000011</c:v>
                </c:pt>
                <c:pt idx="186">
                  <c:v>58.599999999999994</c:v>
                </c:pt>
                <c:pt idx="187">
                  <c:v>58.900000000000006</c:v>
                </c:pt>
                <c:pt idx="188">
                  <c:v>59.200000000000017</c:v>
                </c:pt>
                <c:pt idx="189">
                  <c:v>59.5</c:v>
                </c:pt>
                <c:pt idx="190">
                  <c:v>59.900000000000006</c:v>
                </c:pt>
                <c:pt idx="191">
                  <c:v>60.200000000000017</c:v>
                </c:pt>
                <c:pt idx="192">
                  <c:v>60.5</c:v>
                </c:pt>
                <c:pt idx="193">
                  <c:v>60.800000000000011</c:v>
                </c:pt>
                <c:pt idx="194">
                  <c:v>61.099999999999994</c:v>
                </c:pt>
                <c:pt idx="195">
                  <c:v>61.400000000000006</c:v>
                </c:pt>
                <c:pt idx="196">
                  <c:v>61.700000000000017</c:v>
                </c:pt>
                <c:pt idx="197">
                  <c:v>62.099999999999994</c:v>
                </c:pt>
                <c:pt idx="198">
                  <c:v>62.400000000000006</c:v>
                </c:pt>
                <c:pt idx="199">
                  <c:v>62.700000000000017</c:v>
                </c:pt>
                <c:pt idx="200">
                  <c:v>63</c:v>
                </c:pt>
                <c:pt idx="201">
                  <c:v>63.300000000000011</c:v>
                </c:pt>
                <c:pt idx="202">
                  <c:v>63.599999999999994</c:v>
                </c:pt>
                <c:pt idx="203">
                  <c:v>64</c:v>
                </c:pt>
                <c:pt idx="204">
                  <c:v>64.300000000000011</c:v>
                </c:pt>
                <c:pt idx="205">
                  <c:v>64.599999999999994</c:v>
                </c:pt>
                <c:pt idx="206">
                  <c:v>64.900000000000006</c:v>
                </c:pt>
                <c:pt idx="207">
                  <c:v>65.200000000000017</c:v>
                </c:pt>
                <c:pt idx="208">
                  <c:v>65.5</c:v>
                </c:pt>
                <c:pt idx="209">
                  <c:v>65.800000000000011</c:v>
                </c:pt>
                <c:pt idx="210">
                  <c:v>66.200000000000017</c:v>
                </c:pt>
                <c:pt idx="211">
                  <c:v>66.5</c:v>
                </c:pt>
                <c:pt idx="212">
                  <c:v>66.800000000000011</c:v>
                </c:pt>
                <c:pt idx="213">
                  <c:v>67.099999999999994</c:v>
                </c:pt>
                <c:pt idx="214">
                  <c:v>67.400000000000006</c:v>
                </c:pt>
                <c:pt idx="215">
                  <c:v>67.700000000000017</c:v>
                </c:pt>
                <c:pt idx="216">
                  <c:v>68.099999999999994</c:v>
                </c:pt>
                <c:pt idx="217">
                  <c:v>68.400000000000006</c:v>
                </c:pt>
                <c:pt idx="218">
                  <c:v>68.700000000000017</c:v>
                </c:pt>
                <c:pt idx="219">
                  <c:v>69</c:v>
                </c:pt>
                <c:pt idx="220">
                  <c:v>69.300000000000011</c:v>
                </c:pt>
                <c:pt idx="221">
                  <c:v>69.599999999999994</c:v>
                </c:pt>
                <c:pt idx="222">
                  <c:v>69.900000000000006</c:v>
                </c:pt>
                <c:pt idx="223">
                  <c:v>70.300000000000011</c:v>
                </c:pt>
                <c:pt idx="224">
                  <c:v>70.599999999999994</c:v>
                </c:pt>
                <c:pt idx="225">
                  <c:v>70.900000000000006</c:v>
                </c:pt>
                <c:pt idx="226">
                  <c:v>71.200000000000017</c:v>
                </c:pt>
                <c:pt idx="227">
                  <c:v>71.5</c:v>
                </c:pt>
                <c:pt idx="228">
                  <c:v>71.800000000000011</c:v>
                </c:pt>
                <c:pt idx="229">
                  <c:v>72.099999999999994</c:v>
                </c:pt>
                <c:pt idx="230">
                  <c:v>72.5</c:v>
                </c:pt>
                <c:pt idx="231">
                  <c:v>72.800000000000011</c:v>
                </c:pt>
                <c:pt idx="232">
                  <c:v>73.099999999999994</c:v>
                </c:pt>
                <c:pt idx="233">
                  <c:v>73.400000000000006</c:v>
                </c:pt>
                <c:pt idx="234">
                  <c:v>73.700000000000017</c:v>
                </c:pt>
                <c:pt idx="235">
                  <c:v>74</c:v>
                </c:pt>
                <c:pt idx="236">
                  <c:v>74.400000000000006</c:v>
                </c:pt>
                <c:pt idx="237">
                  <c:v>74.700000000000017</c:v>
                </c:pt>
                <c:pt idx="238">
                  <c:v>75</c:v>
                </c:pt>
                <c:pt idx="239">
                  <c:v>75.300000000000011</c:v>
                </c:pt>
                <c:pt idx="240">
                  <c:v>75.599999999999994</c:v>
                </c:pt>
                <c:pt idx="241">
                  <c:v>75.900000000000006</c:v>
                </c:pt>
                <c:pt idx="242">
                  <c:v>76.200000000000017</c:v>
                </c:pt>
                <c:pt idx="243">
                  <c:v>76.599999999999994</c:v>
                </c:pt>
                <c:pt idx="244">
                  <c:v>76.900000000000006</c:v>
                </c:pt>
                <c:pt idx="245">
                  <c:v>77.200000000000017</c:v>
                </c:pt>
                <c:pt idx="246">
                  <c:v>77.5</c:v>
                </c:pt>
                <c:pt idx="247">
                  <c:v>77.800000000000011</c:v>
                </c:pt>
                <c:pt idx="248">
                  <c:v>78.099999999999994</c:v>
                </c:pt>
                <c:pt idx="249">
                  <c:v>78.400000000000006</c:v>
                </c:pt>
                <c:pt idx="250">
                  <c:v>78.800000000000011</c:v>
                </c:pt>
                <c:pt idx="251">
                  <c:v>79.099999999999994</c:v>
                </c:pt>
                <c:pt idx="252">
                  <c:v>79.400000000000006</c:v>
                </c:pt>
                <c:pt idx="253">
                  <c:v>79.700000000000017</c:v>
                </c:pt>
                <c:pt idx="254">
                  <c:v>80</c:v>
                </c:pt>
                <c:pt idx="255">
                  <c:v>80.300000000000011</c:v>
                </c:pt>
                <c:pt idx="256">
                  <c:v>80.700000000000017</c:v>
                </c:pt>
                <c:pt idx="257">
                  <c:v>81</c:v>
                </c:pt>
                <c:pt idx="258">
                  <c:v>81.300000000000011</c:v>
                </c:pt>
                <c:pt idx="259">
                  <c:v>81.599999999999994</c:v>
                </c:pt>
                <c:pt idx="260">
                  <c:v>81.900000000000006</c:v>
                </c:pt>
                <c:pt idx="261">
                  <c:v>82.200000000000017</c:v>
                </c:pt>
                <c:pt idx="262">
                  <c:v>82.5</c:v>
                </c:pt>
                <c:pt idx="263">
                  <c:v>82.9</c:v>
                </c:pt>
                <c:pt idx="264">
                  <c:v>83.200000000000017</c:v>
                </c:pt>
                <c:pt idx="265">
                  <c:v>83.5</c:v>
                </c:pt>
                <c:pt idx="266">
                  <c:v>83.800000000000011</c:v>
                </c:pt>
                <c:pt idx="267">
                  <c:v>84.1</c:v>
                </c:pt>
                <c:pt idx="268">
                  <c:v>84.4</c:v>
                </c:pt>
                <c:pt idx="269">
                  <c:v>84.700000000000017</c:v>
                </c:pt>
                <c:pt idx="270">
                  <c:v>85.1</c:v>
                </c:pt>
                <c:pt idx="271">
                  <c:v>85.4</c:v>
                </c:pt>
                <c:pt idx="272">
                  <c:v>85.700000000000017</c:v>
                </c:pt>
                <c:pt idx="273">
                  <c:v>86</c:v>
                </c:pt>
                <c:pt idx="274">
                  <c:v>86.300000000000011</c:v>
                </c:pt>
                <c:pt idx="275">
                  <c:v>86.6</c:v>
                </c:pt>
                <c:pt idx="276">
                  <c:v>87</c:v>
                </c:pt>
                <c:pt idx="277">
                  <c:v>87.300000000000011</c:v>
                </c:pt>
                <c:pt idx="278">
                  <c:v>87.6</c:v>
                </c:pt>
                <c:pt idx="279">
                  <c:v>87.9</c:v>
                </c:pt>
                <c:pt idx="280">
                  <c:v>88.200000000000017</c:v>
                </c:pt>
                <c:pt idx="281">
                  <c:v>88.5</c:v>
                </c:pt>
                <c:pt idx="282">
                  <c:v>88.800000000000011</c:v>
                </c:pt>
                <c:pt idx="283">
                  <c:v>89.200000000000017</c:v>
                </c:pt>
                <c:pt idx="284">
                  <c:v>89.5</c:v>
                </c:pt>
                <c:pt idx="285">
                  <c:v>89.800000000000011</c:v>
                </c:pt>
                <c:pt idx="286">
                  <c:v>90.1</c:v>
                </c:pt>
                <c:pt idx="287">
                  <c:v>90.4</c:v>
                </c:pt>
                <c:pt idx="288">
                  <c:v>90.700000000000017</c:v>
                </c:pt>
                <c:pt idx="289">
                  <c:v>91.1</c:v>
                </c:pt>
                <c:pt idx="290">
                  <c:v>91.4</c:v>
                </c:pt>
                <c:pt idx="291">
                  <c:v>91.700000000000017</c:v>
                </c:pt>
                <c:pt idx="292">
                  <c:v>92</c:v>
                </c:pt>
                <c:pt idx="293">
                  <c:v>92.300000000000011</c:v>
                </c:pt>
                <c:pt idx="294">
                  <c:v>92.6</c:v>
                </c:pt>
                <c:pt idx="295">
                  <c:v>92.9</c:v>
                </c:pt>
                <c:pt idx="296">
                  <c:v>93.300000000000011</c:v>
                </c:pt>
                <c:pt idx="297">
                  <c:v>93.6</c:v>
                </c:pt>
                <c:pt idx="298">
                  <c:v>93.9</c:v>
                </c:pt>
                <c:pt idx="299">
                  <c:v>94.200000000000017</c:v>
                </c:pt>
                <c:pt idx="300">
                  <c:v>94.5</c:v>
                </c:pt>
                <c:pt idx="301">
                  <c:v>94.800000000000011</c:v>
                </c:pt>
                <c:pt idx="302">
                  <c:v>95.1</c:v>
                </c:pt>
                <c:pt idx="303">
                  <c:v>95.5</c:v>
                </c:pt>
                <c:pt idx="304">
                  <c:v>95.800000000000011</c:v>
                </c:pt>
                <c:pt idx="305">
                  <c:v>96.1</c:v>
                </c:pt>
                <c:pt idx="306">
                  <c:v>96.4</c:v>
                </c:pt>
                <c:pt idx="307">
                  <c:v>96.700000000000017</c:v>
                </c:pt>
                <c:pt idx="308">
                  <c:v>97</c:v>
                </c:pt>
                <c:pt idx="309">
                  <c:v>97.4</c:v>
                </c:pt>
                <c:pt idx="310">
                  <c:v>97.700000000000017</c:v>
                </c:pt>
                <c:pt idx="311">
                  <c:v>98</c:v>
                </c:pt>
                <c:pt idx="312">
                  <c:v>98.300000000000011</c:v>
                </c:pt>
                <c:pt idx="313">
                  <c:v>98.6</c:v>
                </c:pt>
                <c:pt idx="314">
                  <c:v>98.9</c:v>
                </c:pt>
                <c:pt idx="315">
                  <c:v>99.200000000000017</c:v>
                </c:pt>
                <c:pt idx="316">
                  <c:v>99.6</c:v>
                </c:pt>
                <c:pt idx="317">
                  <c:v>99.9</c:v>
                </c:pt>
                <c:pt idx="318">
                  <c:v>100.20000000000002</c:v>
                </c:pt>
                <c:pt idx="319">
                  <c:v>100.5</c:v>
                </c:pt>
                <c:pt idx="320">
                  <c:v>100.80000000000001</c:v>
                </c:pt>
                <c:pt idx="321">
                  <c:v>101.1</c:v>
                </c:pt>
                <c:pt idx="322">
                  <c:v>101.4</c:v>
                </c:pt>
                <c:pt idx="323">
                  <c:v>101.80000000000001</c:v>
                </c:pt>
                <c:pt idx="324">
                  <c:v>102.1</c:v>
                </c:pt>
                <c:pt idx="325">
                  <c:v>102.4</c:v>
                </c:pt>
                <c:pt idx="326">
                  <c:v>102.70000000000002</c:v>
                </c:pt>
                <c:pt idx="327">
                  <c:v>103</c:v>
                </c:pt>
                <c:pt idx="328">
                  <c:v>103.30000000000001</c:v>
                </c:pt>
                <c:pt idx="329">
                  <c:v>103.70000000000002</c:v>
                </c:pt>
                <c:pt idx="330">
                  <c:v>104</c:v>
                </c:pt>
                <c:pt idx="331">
                  <c:v>104.30000000000001</c:v>
                </c:pt>
                <c:pt idx="332">
                  <c:v>104.6</c:v>
                </c:pt>
                <c:pt idx="333">
                  <c:v>104.9</c:v>
                </c:pt>
                <c:pt idx="334">
                  <c:v>105.20000000000002</c:v>
                </c:pt>
                <c:pt idx="335">
                  <c:v>105.5</c:v>
                </c:pt>
                <c:pt idx="336">
                  <c:v>105.9</c:v>
                </c:pt>
                <c:pt idx="337">
                  <c:v>106.20000000000002</c:v>
                </c:pt>
                <c:pt idx="338">
                  <c:v>106.5</c:v>
                </c:pt>
                <c:pt idx="339">
                  <c:v>106.80000000000001</c:v>
                </c:pt>
                <c:pt idx="340">
                  <c:v>107.1</c:v>
                </c:pt>
                <c:pt idx="341">
                  <c:v>107.4</c:v>
                </c:pt>
                <c:pt idx="342">
                  <c:v>107.70000000000002</c:v>
                </c:pt>
                <c:pt idx="343">
                  <c:v>108.1</c:v>
                </c:pt>
                <c:pt idx="344">
                  <c:v>108.4</c:v>
                </c:pt>
                <c:pt idx="345">
                  <c:v>108.70000000000002</c:v>
                </c:pt>
                <c:pt idx="346">
                  <c:v>109</c:v>
                </c:pt>
                <c:pt idx="347">
                  <c:v>109.30000000000001</c:v>
                </c:pt>
                <c:pt idx="348">
                  <c:v>109.6</c:v>
                </c:pt>
                <c:pt idx="349">
                  <c:v>110</c:v>
                </c:pt>
                <c:pt idx="350">
                  <c:v>110.30000000000001</c:v>
                </c:pt>
                <c:pt idx="351">
                  <c:v>110.6</c:v>
                </c:pt>
                <c:pt idx="352">
                  <c:v>110.9</c:v>
                </c:pt>
                <c:pt idx="353">
                  <c:v>111.20000000000002</c:v>
                </c:pt>
                <c:pt idx="354">
                  <c:v>111.5</c:v>
                </c:pt>
                <c:pt idx="355">
                  <c:v>111.80000000000001</c:v>
                </c:pt>
                <c:pt idx="356">
                  <c:v>112.20000000000002</c:v>
                </c:pt>
                <c:pt idx="357">
                  <c:v>112.5</c:v>
                </c:pt>
                <c:pt idx="358">
                  <c:v>112.80000000000001</c:v>
                </c:pt>
                <c:pt idx="359">
                  <c:v>113.1</c:v>
                </c:pt>
                <c:pt idx="360">
                  <c:v>113.4</c:v>
                </c:pt>
                <c:pt idx="361">
                  <c:v>113.70000000000002</c:v>
                </c:pt>
                <c:pt idx="362">
                  <c:v>114.1</c:v>
                </c:pt>
                <c:pt idx="363">
                  <c:v>114.4</c:v>
                </c:pt>
                <c:pt idx="364">
                  <c:v>114.70000000000002</c:v>
                </c:pt>
                <c:pt idx="365">
                  <c:v>115</c:v>
                </c:pt>
                <c:pt idx="366">
                  <c:v>115.30000000000001</c:v>
                </c:pt>
                <c:pt idx="367">
                  <c:v>115.6</c:v>
                </c:pt>
                <c:pt idx="368">
                  <c:v>115.9</c:v>
                </c:pt>
                <c:pt idx="369">
                  <c:v>116.30000000000001</c:v>
                </c:pt>
                <c:pt idx="370">
                  <c:v>116.6</c:v>
                </c:pt>
                <c:pt idx="371">
                  <c:v>116.9</c:v>
                </c:pt>
                <c:pt idx="372">
                  <c:v>117.20000000000002</c:v>
                </c:pt>
                <c:pt idx="373">
                  <c:v>117.5</c:v>
                </c:pt>
                <c:pt idx="374">
                  <c:v>117.80000000000001</c:v>
                </c:pt>
                <c:pt idx="375">
                  <c:v>118.1</c:v>
                </c:pt>
                <c:pt idx="376">
                  <c:v>118.5</c:v>
                </c:pt>
                <c:pt idx="377">
                  <c:v>118.80000000000001</c:v>
                </c:pt>
                <c:pt idx="378">
                  <c:v>119.1</c:v>
                </c:pt>
                <c:pt idx="379">
                  <c:v>119.4</c:v>
                </c:pt>
                <c:pt idx="380">
                  <c:v>119.70000000000002</c:v>
                </c:pt>
                <c:pt idx="381">
                  <c:v>120</c:v>
                </c:pt>
                <c:pt idx="382">
                  <c:v>120.4</c:v>
                </c:pt>
                <c:pt idx="383">
                  <c:v>120.70000000000002</c:v>
                </c:pt>
                <c:pt idx="384">
                  <c:v>121</c:v>
                </c:pt>
                <c:pt idx="385">
                  <c:v>121.30000000000001</c:v>
                </c:pt>
                <c:pt idx="386">
                  <c:v>121.6</c:v>
                </c:pt>
                <c:pt idx="387">
                  <c:v>121.9</c:v>
                </c:pt>
                <c:pt idx="388">
                  <c:v>122.20000000000002</c:v>
                </c:pt>
                <c:pt idx="389">
                  <c:v>122.6</c:v>
                </c:pt>
                <c:pt idx="390">
                  <c:v>122.9</c:v>
                </c:pt>
                <c:pt idx="391">
                  <c:v>123.20000000000002</c:v>
                </c:pt>
                <c:pt idx="392">
                  <c:v>123.5</c:v>
                </c:pt>
                <c:pt idx="393">
                  <c:v>123.80000000000001</c:v>
                </c:pt>
                <c:pt idx="394">
                  <c:v>124.1</c:v>
                </c:pt>
                <c:pt idx="395">
                  <c:v>124.4</c:v>
                </c:pt>
                <c:pt idx="396">
                  <c:v>124.80000000000001</c:v>
                </c:pt>
                <c:pt idx="397">
                  <c:v>125.1</c:v>
                </c:pt>
                <c:pt idx="398">
                  <c:v>125.4</c:v>
                </c:pt>
                <c:pt idx="399">
                  <c:v>125.70000000000002</c:v>
                </c:pt>
                <c:pt idx="400">
                  <c:v>126</c:v>
                </c:pt>
                <c:pt idx="401">
                  <c:v>126.30000000000001</c:v>
                </c:pt>
                <c:pt idx="402">
                  <c:v>126.70000000000002</c:v>
                </c:pt>
                <c:pt idx="403">
                  <c:v>127</c:v>
                </c:pt>
                <c:pt idx="404">
                  <c:v>127.30000000000001</c:v>
                </c:pt>
                <c:pt idx="405">
                  <c:v>127.6</c:v>
                </c:pt>
                <c:pt idx="406">
                  <c:v>127.9</c:v>
                </c:pt>
                <c:pt idx="407">
                  <c:v>128.20000000000002</c:v>
                </c:pt>
                <c:pt idx="408">
                  <c:v>128.5</c:v>
                </c:pt>
                <c:pt idx="409">
                  <c:v>128.9</c:v>
                </c:pt>
                <c:pt idx="410">
                  <c:v>129.20000000000002</c:v>
                </c:pt>
                <c:pt idx="411">
                  <c:v>129.5</c:v>
                </c:pt>
                <c:pt idx="412">
                  <c:v>129.80000000000001</c:v>
                </c:pt>
                <c:pt idx="413">
                  <c:v>130.1</c:v>
                </c:pt>
                <c:pt idx="414">
                  <c:v>130.4</c:v>
                </c:pt>
                <c:pt idx="415">
                  <c:v>130.70000000000002</c:v>
                </c:pt>
                <c:pt idx="416">
                  <c:v>131.1</c:v>
                </c:pt>
                <c:pt idx="417">
                  <c:v>131.4</c:v>
                </c:pt>
                <c:pt idx="418">
                  <c:v>131.70000000000002</c:v>
                </c:pt>
                <c:pt idx="419">
                  <c:v>132</c:v>
                </c:pt>
                <c:pt idx="420">
                  <c:v>132.30000000000001</c:v>
                </c:pt>
                <c:pt idx="421">
                  <c:v>132.6</c:v>
                </c:pt>
                <c:pt idx="422">
                  <c:v>133</c:v>
                </c:pt>
                <c:pt idx="423">
                  <c:v>133.30000000000001</c:v>
                </c:pt>
                <c:pt idx="424">
                  <c:v>133.6</c:v>
                </c:pt>
                <c:pt idx="425">
                  <c:v>133.9</c:v>
                </c:pt>
                <c:pt idx="426">
                  <c:v>134.20000000000002</c:v>
                </c:pt>
                <c:pt idx="427">
                  <c:v>134.5</c:v>
                </c:pt>
                <c:pt idx="428">
                  <c:v>134.80000000000001</c:v>
                </c:pt>
                <c:pt idx="429">
                  <c:v>135.20000000000002</c:v>
                </c:pt>
                <c:pt idx="430">
                  <c:v>135.5</c:v>
                </c:pt>
                <c:pt idx="431">
                  <c:v>135.80000000000001</c:v>
                </c:pt>
                <c:pt idx="432">
                  <c:v>136.1</c:v>
                </c:pt>
                <c:pt idx="433">
                  <c:v>136.4</c:v>
                </c:pt>
                <c:pt idx="434">
                  <c:v>136.70000000000002</c:v>
                </c:pt>
                <c:pt idx="435">
                  <c:v>137.1</c:v>
                </c:pt>
                <c:pt idx="436">
                  <c:v>137.4</c:v>
                </c:pt>
                <c:pt idx="437">
                  <c:v>137.70000000000002</c:v>
                </c:pt>
                <c:pt idx="438">
                  <c:v>138</c:v>
                </c:pt>
                <c:pt idx="439">
                  <c:v>138.30000000000001</c:v>
                </c:pt>
                <c:pt idx="440">
                  <c:v>138.6</c:v>
                </c:pt>
                <c:pt idx="441">
                  <c:v>138.9</c:v>
                </c:pt>
                <c:pt idx="442">
                  <c:v>139.30000000000001</c:v>
                </c:pt>
                <c:pt idx="443">
                  <c:v>139.6</c:v>
                </c:pt>
                <c:pt idx="444">
                  <c:v>139.9</c:v>
                </c:pt>
                <c:pt idx="445">
                  <c:v>140.20000000000002</c:v>
                </c:pt>
                <c:pt idx="446">
                  <c:v>140.5</c:v>
                </c:pt>
                <c:pt idx="447">
                  <c:v>140.80000000000001</c:v>
                </c:pt>
                <c:pt idx="448">
                  <c:v>141.1</c:v>
                </c:pt>
                <c:pt idx="449">
                  <c:v>141.5</c:v>
                </c:pt>
                <c:pt idx="450">
                  <c:v>141.80000000000001</c:v>
                </c:pt>
                <c:pt idx="451">
                  <c:v>142.1</c:v>
                </c:pt>
                <c:pt idx="452">
                  <c:v>142.4</c:v>
                </c:pt>
                <c:pt idx="453">
                  <c:v>142.70000000000002</c:v>
                </c:pt>
                <c:pt idx="454">
                  <c:v>143</c:v>
                </c:pt>
                <c:pt idx="455">
                  <c:v>143.4</c:v>
                </c:pt>
                <c:pt idx="456">
                  <c:v>143.70000000000002</c:v>
                </c:pt>
                <c:pt idx="457">
                  <c:v>144</c:v>
                </c:pt>
                <c:pt idx="458">
                  <c:v>144.30000000000001</c:v>
                </c:pt>
                <c:pt idx="459">
                  <c:v>144.6</c:v>
                </c:pt>
                <c:pt idx="460">
                  <c:v>144.9</c:v>
                </c:pt>
                <c:pt idx="461">
                  <c:v>145.20000000000002</c:v>
                </c:pt>
                <c:pt idx="462">
                  <c:v>145.6</c:v>
                </c:pt>
                <c:pt idx="463">
                  <c:v>145.9</c:v>
                </c:pt>
                <c:pt idx="464">
                  <c:v>146.20000000000002</c:v>
                </c:pt>
                <c:pt idx="465">
                  <c:v>146.5</c:v>
                </c:pt>
                <c:pt idx="466">
                  <c:v>146.80000000000001</c:v>
                </c:pt>
                <c:pt idx="467">
                  <c:v>147.1</c:v>
                </c:pt>
                <c:pt idx="468">
                  <c:v>147.4</c:v>
                </c:pt>
                <c:pt idx="469">
                  <c:v>147.80000000000001</c:v>
                </c:pt>
                <c:pt idx="470">
                  <c:v>148.1</c:v>
                </c:pt>
                <c:pt idx="471">
                  <c:v>148.4</c:v>
                </c:pt>
                <c:pt idx="472">
                  <c:v>148.70000000000002</c:v>
                </c:pt>
                <c:pt idx="473">
                  <c:v>149</c:v>
                </c:pt>
                <c:pt idx="474">
                  <c:v>149.30000000000001</c:v>
                </c:pt>
                <c:pt idx="475">
                  <c:v>149.70000000000002</c:v>
                </c:pt>
                <c:pt idx="476">
                  <c:v>150</c:v>
                </c:pt>
                <c:pt idx="477">
                  <c:v>150.30000000000001</c:v>
                </c:pt>
                <c:pt idx="478">
                  <c:v>150.6</c:v>
                </c:pt>
                <c:pt idx="479">
                  <c:v>150.9</c:v>
                </c:pt>
                <c:pt idx="480">
                  <c:v>151.20000000000002</c:v>
                </c:pt>
                <c:pt idx="481">
                  <c:v>151.5</c:v>
                </c:pt>
                <c:pt idx="482">
                  <c:v>151.9</c:v>
                </c:pt>
                <c:pt idx="483">
                  <c:v>152.20000000000002</c:v>
                </c:pt>
                <c:pt idx="484">
                  <c:v>152.5</c:v>
                </c:pt>
                <c:pt idx="485">
                  <c:v>152.80000000000001</c:v>
                </c:pt>
                <c:pt idx="486">
                  <c:v>153.1</c:v>
                </c:pt>
                <c:pt idx="487">
                  <c:v>153.4</c:v>
                </c:pt>
                <c:pt idx="488">
                  <c:v>153.70000000000002</c:v>
                </c:pt>
                <c:pt idx="489">
                  <c:v>154.1</c:v>
                </c:pt>
                <c:pt idx="490">
                  <c:v>154.4</c:v>
                </c:pt>
                <c:pt idx="491">
                  <c:v>154.70000000000002</c:v>
                </c:pt>
                <c:pt idx="492">
                  <c:v>155</c:v>
                </c:pt>
                <c:pt idx="493">
                  <c:v>155.30000000000001</c:v>
                </c:pt>
                <c:pt idx="494">
                  <c:v>155.6</c:v>
                </c:pt>
                <c:pt idx="495">
                  <c:v>156</c:v>
                </c:pt>
                <c:pt idx="496">
                  <c:v>156.30000000000001</c:v>
                </c:pt>
                <c:pt idx="497">
                  <c:v>156.6</c:v>
                </c:pt>
              </c:numCache>
            </c:numRef>
          </c:xVal>
          <c:yVal>
            <c:numRef>
              <c:f>'sheet 1'!$T$39:$T$841</c:f>
              <c:numCache>
                <c:formatCode>General</c:formatCode>
                <c:ptCount val="80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101</c:v>
                </c:pt>
                <c:pt idx="494">
                  <c:v>102</c:v>
                </c:pt>
                <c:pt idx="495">
                  <c:v>103</c:v>
                </c:pt>
                <c:pt idx="496">
                  <c:v>104</c:v>
                </c:pt>
                <c:pt idx="497">
                  <c:v>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21-4875-B88C-B488B9535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29312"/>
        <c:axId val="90530176"/>
      </c:scatterChart>
      <c:valAx>
        <c:axId val="868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Τ(</a:t>
                </a:r>
                <a:r>
                  <a:rPr lang="en-US"/>
                  <a:t>s)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0530176"/>
        <c:crosses val="autoZero"/>
        <c:crossBetween val="midCat"/>
      </c:valAx>
      <c:valAx>
        <c:axId val="90530176"/>
        <c:scaling>
          <c:logBase val="10"/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CW OSL Intensity (au)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86829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142874</xdr:colOff>
      <xdr:row>2</xdr:row>
      <xdr:rowOff>33867</xdr:rowOff>
    </xdr:from>
    <xdr:to>
      <xdr:col>8</xdr:col>
      <xdr:colOff>173355</xdr:colOff>
      <xdr:row>11</xdr:row>
      <xdr:rowOff>169332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49652" y="400756"/>
          <a:ext cx="5343314" cy="178646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 u="sng"/>
            <a:t>CW - OSL fitting</a:t>
          </a:r>
          <a:r>
            <a:rPr lang="en-US" sz="1100" b="1" u="sng" baseline="0"/>
            <a:t> with Lambert W0 function:</a:t>
          </a:r>
        </a:p>
        <a:p>
          <a:endParaRPr lang="en-US" sz="1100" b="1" baseline="0"/>
        </a:p>
        <a:p>
          <a:r>
            <a:rPr lang="en-US" sz="1100" b="1" baseline="0"/>
            <a:t>r=AD/am</a:t>
          </a:r>
        </a:p>
        <a:p>
          <a:endParaRPr lang="en-US" sz="1100" b="1" baseline="0"/>
        </a:p>
        <a:p>
          <a:r>
            <a:rPr lang="en-US" sz="1100" b="1" baseline="0"/>
            <a:t>zi=r/n0-ln[n0/r]+</a:t>
          </a:r>
          <a:r>
            <a:rPr lang="el-GR" sz="1100" b="1" baseline="0"/>
            <a:t>λ</a:t>
          </a:r>
          <a:r>
            <a:rPr lang="en-US" sz="1100" b="1" baseline="0"/>
            <a:t>t </a:t>
          </a:r>
        </a:p>
        <a:p>
          <a:endParaRPr lang="en-US" sz="1100" b="1" baseline="0"/>
        </a:p>
        <a:p>
          <a:r>
            <a:rPr lang="en-US" sz="1100" b="1" baseline="0"/>
            <a:t>C=r/n0</a:t>
          </a:r>
        </a:p>
        <a:p>
          <a:endParaRPr lang="en-US" sz="1100" b="1" baseline="0"/>
        </a:p>
        <a:p>
          <a:r>
            <a:rPr lang="en-US" sz="1100" b="1" baseline="0"/>
            <a:t>Itot= </a:t>
          </a:r>
          <a:r>
            <a:rPr lang="el-GR" sz="1100" b="1" baseline="0"/>
            <a:t>Σ</a:t>
          </a:r>
          <a:r>
            <a:rPr lang="en-US" sz="1100" b="1" baseline="0"/>
            <a:t>(Ii)=[n0*C*</a:t>
          </a:r>
          <a:r>
            <a:rPr lang="el-GR" sz="1100" b="1" baseline="0"/>
            <a:t>λ1/</a:t>
          </a:r>
          <a:r>
            <a:rPr lang="en-US" sz="1100" b="1" baseline="0"/>
            <a:t>(W(e^z1)+W(e^z1)^2)+ n0*C*</a:t>
          </a:r>
          <a:r>
            <a:rPr lang="el-GR" sz="1100" b="1" baseline="0"/>
            <a:t>λ2/(</a:t>
          </a:r>
          <a:r>
            <a:rPr lang="en-US" sz="1100" b="1" baseline="0"/>
            <a:t>W(e^z2)+W(e^z2)+...</a:t>
          </a:r>
          <a:endParaRPr lang="el-GR" sz="1100" b="1"/>
        </a:p>
      </xdr:txBody>
    </xdr:sp>
    <xdr:clientData/>
  </xdr:twoCellAnchor>
  <xdr:twoCellAnchor>
    <xdr:from>
      <xdr:col>9</xdr:col>
      <xdr:colOff>259293</xdr:colOff>
      <xdr:row>7</xdr:row>
      <xdr:rowOff>107948</xdr:rowOff>
    </xdr:from>
    <xdr:to>
      <xdr:col>20</xdr:col>
      <xdr:colOff>221547</xdr:colOff>
      <xdr:row>34</xdr:row>
      <xdr:rowOff>152399</xdr:rowOff>
    </xdr:to>
    <xdr:graphicFrame macro="">
      <xdr:nvGraphicFramePr>
        <xdr:cNvPr id="4" name="3 - Γράφημα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____2"/>
  <dimension ref="A2:AB838"/>
  <sheetViews>
    <sheetView tabSelected="1" topLeftCell="G1" zoomScale="90" zoomScaleNormal="90" workbookViewId="0">
      <selection activeCell="D531" sqref="D531:AA536"/>
    </sheetView>
  </sheetViews>
  <sheetFormatPr defaultRowHeight="14.5" x14ac:dyDescent="0.35"/>
  <cols>
    <col min="2" max="3" width="14.453125" customWidth="1"/>
    <col min="4" max="4" width="10" bestFit="1" customWidth="1"/>
    <col min="5" max="5" width="11.08984375" customWidth="1"/>
    <col min="9" max="9" width="5.90625" customWidth="1"/>
    <col min="10" max="10" width="12" customWidth="1"/>
    <col min="11" max="11" width="13" customWidth="1"/>
    <col min="12" max="12" width="14.08984375" customWidth="1"/>
    <col min="13" max="13" width="15.54296875" customWidth="1"/>
    <col min="14" max="14" width="14" customWidth="1"/>
    <col min="15" max="15" width="5.90625" customWidth="1"/>
    <col min="16" max="16" width="12" bestFit="1" customWidth="1"/>
    <col min="21" max="21" width="4.6328125" customWidth="1"/>
    <col min="22" max="22" width="15.453125" customWidth="1"/>
    <col min="23" max="23" width="6.08984375" customWidth="1"/>
    <col min="24" max="24" width="23.36328125" customWidth="1"/>
    <col min="25" max="25" width="19.54296875" customWidth="1"/>
    <col min="26" max="26" width="12.1796875" bestFit="1" customWidth="1"/>
  </cols>
  <sheetData>
    <row r="2" spans="11:11" x14ac:dyDescent="0.35">
      <c r="K2" s="21"/>
    </row>
    <row r="3" spans="11:11" x14ac:dyDescent="0.35">
      <c r="K3" s="22"/>
    </row>
    <row r="4" spans="11:11" x14ac:dyDescent="0.35">
      <c r="K4" s="22"/>
    </row>
    <row r="5" spans="11:11" x14ac:dyDescent="0.35">
      <c r="K5" s="22"/>
    </row>
    <row r="6" spans="11:11" x14ac:dyDescent="0.35">
      <c r="K6" s="22"/>
    </row>
    <row r="19" spans="1:7" x14ac:dyDescent="0.35">
      <c r="E19" s="25" t="s">
        <v>29</v>
      </c>
    </row>
    <row r="20" spans="1:7" x14ac:dyDescent="0.35">
      <c r="A20" s="24" t="s">
        <v>28</v>
      </c>
      <c r="B20" s="8"/>
      <c r="C20" s="1">
        <v>1</v>
      </c>
      <c r="D20" s="1">
        <v>2</v>
      </c>
      <c r="E20" s="1">
        <v>3</v>
      </c>
      <c r="F20" s="1">
        <v>4</v>
      </c>
      <c r="G20" s="1">
        <v>5</v>
      </c>
    </row>
    <row r="21" spans="1:7" x14ac:dyDescent="0.35">
      <c r="A21">
        <v>10000</v>
      </c>
      <c r="B21" s="6" t="s">
        <v>33</v>
      </c>
      <c r="C21" s="18">
        <v>20.781764838444357</v>
      </c>
      <c r="D21" s="18">
        <v>15.696761597696636</v>
      </c>
      <c r="E21" s="18">
        <v>0</v>
      </c>
      <c r="F21" s="18">
        <v>0</v>
      </c>
      <c r="G21" s="18">
        <v>0</v>
      </c>
    </row>
    <row r="22" spans="1:7" x14ac:dyDescent="0.35">
      <c r="B22" s="6" t="s">
        <v>0</v>
      </c>
      <c r="C22" s="18">
        <v>0.44904542767009492</v>
      </c>
      <c r="D22" s="18">
        <v>4.6883202216215017E-2</v>
      </c>
      <c r="E22" s="18">
        <v>0.1</v>
      </c>
      <c r="F22" s="9">
        <v>0.1</v>
      </c>
      <c r="G22" s="9">
        <v>0.1</v>
      </c>
    </row>
    <row r="23" spans="1:7" x14ac:dyDescent="0.35">
      <c r="B23" s="6" t="s">
        <v>34</v>
      </c>
      <c r="C23" s="18">
        <v>4.5350381919972218</v>
      </c>
      <c r="D23" s="18">
        <v>1.9269522292536005</v>
      </c>
      <c r="E23" s="18">
        <v>0.1</v>
      </c>
      <c r="F23" s="9">
        <v>0.1</v>
      </c>
      <c r="G23" s="9">
        <v>0.1</v>
      </c>
    </row>
    <row r="24" spans="1:7" x14ac:dyDescent="0.35">
      <c r="G24" s="23"/>
    </row>
    <row r="25" spans="1:7" x14ac:dyDescent="0.35">
      <c r="B25" s="6" t="s">
        <v>30</v>
      </c>
      <c r="C25">
        <f>1/C22</f>
        <v>2.2269461804534414</v>
      </c>
      <c r="D25" s="18">
        <f t="shared" ref="D25:G25" si="0">1/D22</f>
        <v>21.329601066672449</v>
      </c>
      <c r="E25" s="18">
        <f t="shared" si="0"/>
        <v>10</v>
      </c>
      <c r="F25" s="18">
        <f t="shared" si="0"/>
        <v>10</v>
      </c>
      <c r="G25" s="18">
        <f t="shared" si="0"/>
        <v>10</v>
      </c>
    </row>
    <row r="26" spans="1:7" s="18" customFormat="1" x14ac:dyDescent="0.35">
      <c r="B26" s="6" t="s">
        <v>32</v>
      </c>
      <c r="C26" s="18">
        <f>10^(-17)*C22/1.13</f>
        <v>3.9738533422132301E-18</v>
      </c>
      <c r="D26" s="18">
        <f t="shared" ref="D26:G26" si="1">10^(-17)*D22/1.13</f>
        <v>4.1489559483376126E-19</v>
      </c>
      <c r="E26" s="18">
        <f t="shared" si="1"/>
        <v>8.8495575221238944E-19</v>
      </c>
      <c r="F26" s="18">
        <f t="shared" si="1"/>
        <v>8.8495575221238944E-19</v>
      </c>
      <c r="G26" s="18">
        <f t="shared" si="1"/>
        <v>8.8495575221238944E-19</v>
      </c>
    </row>
    <row r="28" spans="1:7" x14ac:dyDescent="0.35">
      <c r="C28" s="1">
        <v>1</v>
      </c>
      <c r="D28" s="1">
        <v>2</v>
      </c>
      <c r="E28" s="1">
        <v>3</v>
      </c>
      <c r="F28" s="1">
        <v>4</v>
      </c>
      <c r="G28" s="1">
        <v>5</v>
      </c>
    </row>
    <row r="29" spans="1:7" x14ac:dyDescent="0.35">
      <c r="B29" s="13" t="s">
        <v>14</v>
      </c>
      <c r="C29">
        <f>SUM(P39:P838)</f>
        <v>626918.66979824845</v>
      </c>
      <c r="D29" s="18">
        <f t="shared" ref="D29:G29" si="2">SUM(Q39:Q838)</f>
        <v>377490.22706472751</v>
      </c>
      <c r="E29" s="18">
        <f t="shared" si="2"/>
        <v>0</v>
      </c>
      <c r="F29" s="18">
        <f t="shared" si="2"/>
        <v>0</v>
      </c>
      <c r="G29" s="18">
        <f t="shared" si="2"/>
        <v>49815</v>
      </c>
    </row>
    <row r="30" spans="1:7" x14ac:dyDescent="0.35">
      <c r="B30" s="13" t="s">
        <v>31</v>
      </c>
      <c r="C30">
        <f>100*C29/SUM($C$29:$G$29)</f>
        <v>59.467317299840424</v>
      </c>
      <c r="D30" s="18">
        <f t="shared" ref="D30:G30" si="3">100*D29/SUM($C$29:$G$29)</f>
        <v>35.807405636318286</v>
      </c>
      <c r="E30" s="18">
        <f t="shared" si="3"/>
        <v>0</v>
      </c>
      <c r="F30" s="18">
        <f t="shared" si="3"/>
        <v>0</v>
      </c>
      <c r="G30" s="18">
        <f t="shared" si="3"/>
        <v>4.7252770638412844</v>
      </c>
    </row>
    <row r="31" spans="1:7" s="18" customFormat="1" x14ac:dyDescent="0.35">
      <c r="B31" s="20"/>
    </row>
    <row r="32" spans="1:7" x14ac:dyDescent="0.35">
      <c r="B32" s="13" t="s">
        <v>15</v>
      </c>
      <c r="C32">
        <f>SUM(X39:X138)</f>
        <v>1248730610.1822405</v>
      </c>
    </row>
    <row r="33" spans="2:28" x14ac:dyDescent="0.35">
      <c r="B33" s="13" t="s">
        <v>16</v>
      </c>
      <c r="C33">
        <f>SUM(AA39:AA850)*100</f>
        <v>32.481815524320581</v>
      </c>
    </row>
    <row r="37" spans="2:28" x14ac:dyDescent="0.35">
      <c r="B37" s="5"/>
      <c r="C37" s="7" t="s">
        <v>1</v>
      </c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2" t="s">
        <v>23</v>
      </c>
      <c r="W37" s="3"/>
      <c r="X37" s="16"/>
      <c r="Y37" s="16"/>
      <c r="Z37" s="16"/>
      <c r="AA37" s="16"/>
      <c r="AB37" s="16"/>
    </row>
    <row r="38" spans="2:28" x14ac:dyDescent="0.35">
      <c r="B38" s="11" t="s">
        <v>2</v>
      </c>
      <c r="C38" s="12" t="s">
        <v>3</v>
      </c>
      <c r="D38" s="10" t="s">
        <v>4</v>
      </c>
      <c r="E38" s="10" t="s">
        <v>5</v>
      </c>
      <c r="F38" s="10" t="s">
        <v>6</v>
      </c>
      <c r="G38" s="10" t="s">
        <v>7</v>
      </c>
      <c r="H38" s="10" t="s">
        <v>8</v>
      </c>
      <c r="I38" s="3"/>
      <c r="J38" s="15" t="s">
        <v>9</v>
      </c>
      <c r="K38" s="15" t="s">
        <v>10</v>
      </c>
      <c r="L38" s="15" t="s">
        <v>11</v>
      </c>
      <c r="M38" s="15" t="s">
        <v>12</v>
      </c>
      <c r="N38" s="15" t="s">
        <v>13</v>
      </c>
      <c r="O38" s="3"/>
      <c r="P38" s="4" t="s">
        <v>17</v>
      </c>
      <c r="Q38" s="4" t="s">
        <v>18</v>
      </c>
      <c r="R38" s="4" t="s">
        <v>19</v>
      </c>
      <c r="S38" s="4" t="s">
        <v>20</v>
      </c>
      <c r="T38" s="4" t="s">
        <v>21</v>
      </c>
      <c r="U38" s="3"/>
      <c r="V38" s="19" t="s">
        <v>22</v>
      </c>
      <c r="W38" s="3"/>
      <c r="X38" s="13" t="s">
        <v>26</v>
      </c>
      <c r="Y38" s="13" t="s">
        <v>27</v>
      </c>
      <c r="Z38" s="20" t="s">
        <v>24</v>
      </c>
      <c r="AA38" s="20" t="s">
        <v>25</v>
      </c>
      <c r="AB38" s="16"/>
    </row>
    <row r="39" spans="2:28" x14ac:dyDescent="0.35">
      <c r="B39" s="26">
        <v>0</v>
      </c>
      <c r="C39" s="26">
        <v>8170</v>
      </c>
      <c r="D39">
        <f>C$23-LN(1/C$23)+$B39*C$22</f>
        <v>6.0468716971379504</v>
      </c>
      <c r="E39" s="18">
        <f t="shared" ref="E39:H39" si="4">D$23-LN(1/D$23)+$B39*D$22</f>
        <v>2.5828918281624604</v>
      </c>
      <c r="F39" s="18">
        <f t="shared" si="4"/>
        <v>-2.2025850929940458</v>
      </c>
      <c r="G39" s="18">
        <f t="shared" si="4"/>
        <v>-2.2025850929940458</v>
      </c>
      <c r="H39" s="18">
        <f t="shared" si="4"/>
        <v>-2.2025850929940458</v>
      </c>
      <c r="I39" s="3"/>
      <c r="J39">
        <f>lmb_2(D39)</f>
        <v>4.5350381919972218</v>
      </c>
      <c r="K39" s="17">
        <f>lmb_2(E39)</f>
        <v>1.9269522292536005</v>
      </c>
      <c r="L39" s="17">
        <f t="shared" ref="L39:N39" si="5">lmb_2(F39)</f>
        <v>9.9999999999999978E-2</v>
      </c>
      <c r="M39" s="17">
        <f t="shared" si="5"/>
        <v>9.9999999999999978E-2</v>
      </c>
      <c r="N39" s="17">
        <f t="shared" si="5"/>
        <v>9.9999999999999978E-2</v>
      </c>
      <c r="O39" s="3"/>
      <c r="P39" s="18">
        <f>(C$21*$A$21*C$23*C$22)/(J39+J39^2)</f>
        <v>16859.786971499314</v>
      </c>
      <c r="Q39" s="18">
        <f t="shared" ref="Q39:S54" si="6">(D$21*$A$21*D$23*D$22)/(K39+K39^2)</f>
        <v>2514.2687358180578</v>
      </c>
      <c r="R39" s="18">
        <f t="shared" si="6"/>
        <v>0</v>
      </c>
      <c r="S39" s="18">
        <f t="shared" si="6"/>
        <v>0</v>
      </c>
      <c r="T39" s="18">
        <v>100</v>
      </c>
      <c r="U39" s="3"/>
      <c r="V39">
        <f>SUM(P39:T39)</f>
        <v>19474.055707317373</v>
      </c>
      <c r="W39" s="3"/>
      <c r="X39">
        <f>(V39-C39)^2</f>
        <v>127781675.43413448</v>
      </c>
      <c r="Y39">
        <f>ABS(V39-C39)</f>
        <v>11304.055707317373</v>
      </c>
      <c r="Z39">
        <f>SUM(V39:V838)</f>
        <v>1054223.8968629774</v>
      </c>
      <c r="AA39">
        <f>Y39/$Z$39</f>
        <v>1.0722632773696854E-2</v>
      </c>
      <c r="AB39" s="16"/>
    </row>
    <row r="40" spans="2:28" x14ac:dyDescent="0.35">
      <c r="B40" s="26">
        <v>0.30000000000001137</v>
      </c>
      <c r="C40" s="26">
        <v>8121</v>
      </c>
      <c r="D40" s="18">
        <f t="shared" ref="D40:H103" si="7">C$23-LN(1/C$23)+$B40*C$22</f>
        <v>6.1815853254389843</v>
      </c>
      <c r="E40" s="18">
        <f t="shared" si="7"/>
        <v>2.5969567888273253</v>
      </c>
      <c r="F40" s="18">
        <f t="shared" si="7"/>
        <v>-2.1725850929940447</v>
      </c>
      <c r="G40" s="18">
        <f t="shared" si="7"/>
        <v>-2.1725850929940447</v>
      </c>
      <c r="H40" s="18">
        <f t="shared" si="7"/>
        <v>-2.1725850929940447</v>
      </c>
      <c r="I40" s="3"/>
      <c r="J40" s="17">
        <f t="shared" ref="J40:J103" si="8">lmb_2(D40)</f>
        <v>4.6456533141592713</v>
      </c>
      <c r="K40" s="17">
        <f t="shared" ref="K40:K103" si="9">lmb_2(E40)</f>
        <v>1.9362194527195362</v>
      </c>
      <c r="L40" s="17">
        <f t="shared" ref="L40:L103" si="10">lmb_2(F40)</f>
        <v>0.10276130586970733</v>
      </c>
      <c r="M40" s="17">
        <f t="shared" ref="M40:M103" si="11">lmb_2(G40)</f>
        <v>0.10276130586970733</v>
      </c>
      <c r="N40" s="17">
        <f t="shared" ref="N40:N103" si="12">lmb_2(H40)</f>
        <v>0.10276130586970733</v>
      </c>
      <c r="O40" s="3"/>
      <c r="P40" s="18">
        <f t="shared" ref="P40:P103" si="13">(C$21*$A$21*C$23*C$22)/(J40+J40^2)</f>
        <v>16135.879829825983</v>
      </c>
      <c r="Q40" s="18">
        <f t="shared" si="6"/>
        <v>2494.337334143916</v>
      </c>
      <c r="R40" s="18">
        <f t="shared" si="6"/>
        <v>0</v>
      </c>
      <c r="S40" s="18">
        <f t="shared" si="6"/>
        <v>0</v>
      </c>
      <c r="T40" s="18">
        <v>100</v>
      </c>
      <c r="U40" s="3"/>
      <c r="V40" s="18">
        <f t="shared" ref="V40:V103" si="14">SUM(P40:T40)</f>
        <v>18730.217163969897</v>
      </c>
      <c r="W40" s="3"/>
      <c r="X40" s="14">
        <f t="shared" ref="X40:X103" si="15">(V40-C40)^2</f>
        <v>112555488.83227347</v>
      </c>
      <c r="Y40" s="14">
        <f t="shared" ref="Y40:Y103" si="16">ABS(V40-C40)</f>
        <v>10609.217163969897</v>
      </c>
      <c r="AA40" s="14">
        <f t="shared" ref="AA40:AA103" si="17">Y40/$Z$39</f>
        <v>1.0063533178805211E-2</v>
      </c>
      <c r="AB40" s="16"/>
    </row>
    <row r="41" spans="2:28" x14ac:dyDescent="0.35">
      <c r="B41" s="26">
        <v>0.60000000000000853</v>
      </c>
      <c r="C41" s="26">
        <v>7993</v>
      </c>
      <c r="D41" s="18">
        <f t="shared" si="7"/>
        <v>6.3162989537400112</v>
      </c>
      <c r="E41" s="18">
        <f t="shared" si="7"/>
        <v>2.6110217494921897</v>
      </c>
      <c r="F41" s="18">
        <f t="shared" si="7"/>
        <v>-2.1425850929940449</v>
      </c>
      <c r="G41" s="18">
        <f t="shared" si="7"/>
        <v>-2.1425850929940449</v>
      </c>
      <c r="H41" s="18">
        <f t="shared" si="7"/>
        <v>-2.1425850929940449</v>
      </c>
      <c r="I41" s="3"/>
      <c r="J41" s="17">
        <f t="shared" si="8"/>
        <v>4.7567370204620927</v>
      </c>
      <c r="K41" s="17">
        <f t="shared" si="9"/>
        <v>1.9455018071585695</v>
      </c>
      <c r="L41" s="17">
        <f t="shared" si="10"/>
        <v>0.10559157739680851</v>
      </c>
      <c r="M41" s="17">
        <f t="shared" si="11"/>
        <v>0.10559157739680851</v>
      </c>
      <c r="N41" s="17">
        <f t="shared" si="12"/>
        <v>0.10559157739680851</v>
      </c>
      <c r="O41" s="3"/>
      <c r="P41" s="18">
        <f t="shared" si="13"/>
        <v>15454.968397153183</v>
      </c>
      <c r="Q41" s="18">
        <f t="shared" si="6"/>
        <v>2474.61331657443</v>
      </c>
      <c r="R41" s="18">
        <f t="shared" si="6"/>
        <v>0</v>
      </c>
      <c r="S41" s="18">
        <f t="shared" si="6"/>
        <v>0</v>
      </c>
      <c r="T41" s="18">
        <v>100</v>
      </c>
      <c r="U41" s="3"/>
      <c r="V41" s="18">
        <f t="shared" si="14"/>
        <v>18029.581713727614</v>
      </c>
      <c r="W41" s="3"/>
      <c r="X41" s="14">
        <f t="shared" si="15"/>
        <v>100732972.49633151</v>
      </c>
      <c r="Y41" s="14">
        <f t="shared" si="16"/>
        <v>10036.581713727614</v>
      </c>
      <c r="AA41" s="14">
        <f t="shared" si="17"/>
        <v>9.5203511735914639E-3</v>
      </c>
      <c r="AB41" s="16"/>
    </row>
    <row r="42" spans="2:28" x14ac:dyDescent="0.35">
      <c r="B42" s="26">
        <v>0.90000000000000568</v>
      </c>
      <c r="C42" s="26">
        <v>7881</v>
      </c>
      <c r="D42" s="18">
        <f t="shared" si="7"/>
        <v>6.451012582041038</v>
      </c>
      <c r="E42" s="18">
        <f t="shared" si="7"/>
        <v>2.6250867101570541</v>
      </c>
      <c r="F42" s="18">
        <f t="shared" si="7"/>
        <v>-2.1125850929940451</v>
      </c>
      <c r="G42" s="18">
        <f t="shared" si="7"/>
        <v>-2.1125850929940451</v>
      </c>
      <c r="H42" s="18">
        <f t="shared" si="7"/>
        <v>-2.1125850929940451</v>
      </c>
      <c r="I42" s="3"/>
      <c r="J42" s="17">
        <f t="shared" si="8"/>
        <v>4.868273272074962</v>
      </c>
      <c r="K42" s="17">
        <f t="shared" si="9"/>
        <v>1.9547992218266363</v>
      </c>
      <c r="L42" s="17">
        <f t="shared" si="10"/>
        <v>0.10849217112655297</v>
      </c>
      <c r="M42" s="17">
        <f t="shared" si="11"/>
        <v>0.10849217112655297</v>
      </c>
      <c r="N42" s="17">
        <f t="shared" si="12"/>
        <v>0.10849217112655297</v>
      </c>
      <c r="O42" s="3"/>
      <c r="P42" s="18">
        <f t="shared" si="13"/>
        <v>14813.864750012555</v>
      </c>
      <c r="Q42" s="18">
        <f t="shared" si="6"/>
        <v>2455.094109421575</v>
      </c>
      <c r="R42" s="18">
        <f t="shared" si="6"/>
        <v>0</v>
      </c>
      <c r="S42" s="18">
        <f t="shared" si="6"/>
        <v>0</v>
      </c>
      <c r="T42" s="18">
        <v>100</v>
      </c>
      <c r="U42" s="3"/>
      <c r="V42" s="18">
        <f t="shared" si="14"/>
        <v>17368.958859434129</v>
      </c>
      <c r="W42" s="3"/>
      <c r="X42" s="14">
        <f t="shared" si="15"/>
        <v>90021363.318314582</v>
      </c>
      <c r="Y42" s="14">
        <f t="shared" si="16"/>
        <v>9487.9588594341294</v>
      </c>
      <c r="AA42" s="14">
        <f t="shared" si="17"/>
        <v>8.9999466789428377E-3</v>
      </c>
      <c r="AB42" s="16"/>
    </row>
    <row r="43" spans="2:28" x14ac:dyDescent="0.35">
      <c r="B43" s="26">
        <v>1.3000000000000114</v>
      </c>
      <c r="C43" s="26">
        <v>7844</v>
      </c>
      <c r="D43" s="18">
        <f t="shared" si="7"/>
        <v>6.6306307531090791</v>
      </c>
      <c r="E43" s="18">
        <f t="shared" si="7"/>
        <v>2.6438399910435404</v>
      </c>
      <c r="F43" s="18">
        <f t="shared" si="7"/>
        <v>-2.0725850929940446</v>
      </c>
      <c r="G43" s="18">
        <f t="shared" si="7"/>
        <v>-2.0725850929940446</v>
      </c>
      <c r="H43" s="18">
        <f t="shared" si="7"/>
        <v>-2.0725850929940446</v>
      </c>
      <c r="I43" s="3"/>
      <c r="J43" s="17">
        <f t="shared" si="8"/>
        <v>5.0176658897375583</v>
      </c>
      <c r="K43" s="17">
        <f t="shared" si="9"/>
        <v>1.9672190800703226</v>
      </c>
      <c r="L43" s="17">
        <f t="shared" si="10"/>
        <v>0.11247138168926624</v>
      </c>
      <c r="M43" s="17">
        <f t="shared" si="11"/>
        <v>0.11247138168926624</v>
      </c>
      <c r="N43" s="17">
        <f t="shared" si="12"/>
        <v>0.11247138168926624</v>
      </c>
      <c r="O43" s="3"/>
      <c r="P43" s="18">
        <f t="shared" si="13"/>
        <v>14015.992052578804</v>
      </c>
      <c r="Q43" s="18">
        <f t="shared" si="6"/>
        <v>2429.3827128737034</v>
      </c>
      <c r="R43" s="18">
        <f t="shared" si="6"/>
        <v>0</v>
      </c>
      <c r="S43" s="18">
        <f t="shared" si="6"/>
        <v>0</v>
      </c>
      <c r="T43" s="18">
        <v>100</v>
      </c>
      <c r="U43" s="3"/>
      <c r="V43" s="18">
        <f t="shared" si="14"/>
        <v>16545.374765452507</v>
      </c>
      <c r="W43" s="3"/>
      <c r="X43" s="14">
        <f t="shared" si="15"/>
        <v>75713922.808853671</v>
      </c>
      <c r="Y43" s="14">
        <f t="shared" si="16"/>
        <v>8701.3747654525068</v>
      </c>
      <c r="AA43" s="14">
        <f t="shared" si="17"/>
        <v>8.2538204563043279E-3</v>
      </c>
      <c r="AB43" s="16"/>
    </row>
    <row r="44" spans="2:28" x14ac:dyDescent="0.35">
      <c r="B44" s="26">
        <v>1.6000000000000085</v>
      </c>
      <c r="C44" s="26">
        <v>7729</v>
      </c>
      <c r="D44" s="18">
        <f t="shared" si="7"/>
        <v>6.765344381410106</v>
      </c>
      <c r="E44" s="18">
        <f t="shared" si="7"/>
        <v>2.6579049517084048</v>
      </c>
      <c r="F44" s="18">
        <f t="shared" si="7"/>
        <v>-2.0425850929940448</v>
      </c>
      <c r="G44" s="18">
        <f t="shared" si="7"/>
        <v>-2.0425850929940448</v>
      </c>
      <c r="H44" s="18">
        <f t="shared" si="7"/>
        <v>-2.0425850929940448</v>
      </c>
      <c r="I44" s="3"/>
      <c r="J44" s="17">
        <f t="shared" si="8"/>
        <v>5.1301997795948857</v>
      </c>
      <c r="K44" s="17">
        <f t="shared" si="9"/>
        <v>1.9765513619680941</v>
      </c>
      <c r="L44" s="17">
        <f t="shared" si="10"/>
        <v>0.11554138743567693</v>
      </c>
      <c r="M44" s="17">
        <f t="shared" si="11"/>
        <v>0.11554138743567693</v>
      </c>
      <c r="N44" s="17">
        <f t="shared" si="12"/>
        <v>0.11554138743567693</v>
      </c>
      <c r="O44" s="3"/>
      <c r="P44" s="18">
        <f t="shared" si="13"/>
        <v>13456.891405878563</v>
      </c>
      <c r="Q44" s="18">
        <f t="shared" si="6"/>
        <v>2410.3315891637835</v>
      </c>
      <c r="R44" s="18">
        <f t="shared" si="6"/>
        <v>0</v>
      </c>
      <c r="S44" s="18">
        <f t="shared" si="6"/>
        <v>0</v>
      </c>
      <c r="T44" s="18">
        <v>100</v>
      </c>
      <c r="U44" s="3"/>
      <c r="V44" s="18">
        <f t="shared" si="14"/>
        <v>15967.222995042346</v>
      </c>
      <c r="W44" s="3"/>
      <c r="X44" s="14">
        <f t="shared" si="15"/>
        <v>67868318.116044492</v>
      </c>
      <c r="Y44" s="14">
        <f t="shared" si="16"/>
        <v>8238.2229950423462</v>
      </c>
      <c r="AA44" s="14">
        <f t="shared" si="17"/>
        <v>7.8144908491987134E-3</v>
      </c>
      <c r="AB44" s="16"/>
    </row>
    <row r="45" spans="2:28" x14ac:dyDescent="0.35">
      <c r="B45" s="26">
        <v>1.9000000000000057</v>
      </c>
      <c r="C45" s="26">
        <v>7414</v>
      </c>
      <c r="D45" s="18">
        <f t="shared" si="7"/>
        <v>6.9000580097111328</v>
      </c>
      <c r="E45" s="18">
        <f t="shared" si="7"/>
        <v>2.6719699123732692</v>
      </c>
      <c r="F45" s="18">
        <f t="shared" si="7"/>
        <v>-2.0125850929940454</v>
      </c>
      <c r="G45" s="18">
        <f t="shared" si="7"/>
        <v>-2.0125850929940454</v>
      </c>
      <c r="H45" s="18">
        <f t="shared" si="7"/>
        <v>-2.0125850929940454</v>
      </c>
      <c r="I45" s="3"/>
      <c r="J45" s="17">
        <f t="shared" si="8"/>
        <v>5.2431378619819791</v>
      </c>
      <c r="K45" s="17">
        <f t="shared" si="9"/>
        <v>1.9858984706099738</v>
      </c>
      <c r="L45" s="17">
        <f t="shared" si="10"/>
        <v>0.11868630085418874</v>
      </c>
      <c r="M45" s="17">
        <f t="shared" si="11"/>
        <v>0.11868630085418874</v>
      </c>
      <c r="N45" s="17">
        <f t="shared" si="12"/>
        <v>0.11868630085418874</v>
      </c>
      <c r="O45" s="3"/>
      <c r="P45" s="18">
        <f t="shared" si="13"/>
        <v>12928.836736615875</v>
      </c>
      <c r="Q45" s="18">
        <f t="shared" si="6"/>
        <v>2391.4769539353456</v>
      </c>
      <c r="R45" s="18">
        <f t="shared" si="6"/>
        <v>0</v>
      </c>
      <c r="S45" s="18">
        <f t="shared" si="6"/>
        <v>0</v>
      </c>
      <c r="T45" s="18">
        <v>100</v>
      </c>
      <c r="U45" s="3"/>
      <c r="V45" s="18">
        <f t="shared" si="14"/>
        <v>15420.31369055122</v>
      </c>
      <c r="W45" s="3"/>
      <c r="X45" s="14">
        <f t="shared" si="15"/>
        <v>64101058.911507897</v>
      </c>
      <c r="Y45" s="14">
        <f t="shared" si="16"/>
        <v>8006.3136905512201</v>
      </c>
      <c r="AA45" s="14">
        <f t="shared" si="17"/>
        <v>7.5945097757462799E-3</v>
      </c>
      <c r="AB45" s="16"/>
    </row>
    <row r="46" spans="2:28" x14ac:dyDescent="0.35">
      <c r="B46" s="26">
        <v>2.2000000000000028</v>
      </c>
      <c r="C46" s="26">
        <v>7300</v>
      </c>
      <c r="D46" s="18">
        <f t="shared" si="7"/>
        <v>7.0347716380121605</v>
      </c>
      <c r="E46" s="18">
        <f t="shared" si="7"/>
        <v>2.6860348730381336</v>
      </c>
      <c r="F46" s="18">
        <f t="shared" si="7"/>
        <v>-1.9825850929940456</v>
      </c>
      <c r="G46" s="18">
        <f t="shared" si="7"/>
        <v>-1.9825850929940456</v>
      </c>
      <c r="H46" s="18">
        <f t="shared" si="7"/>
        <v>-1.9825850929940456</v>
      </c>
      <c r="I46" s="3"/>
      <c r="J46" s="17">
        <f t="shared" si="8"/>
        <v>5.3564670185810508</v>
      </c>
      <c r="K46" s="17">
        <f t="shared" si="9"/>
        <v>1.9952603366490527</v>
      </c>
      <c r="L46" s="17">
        <f t="shared" si="10"/>
        <v>0.12190751364266693</v>
      </c>
      <c r="M46" s="17">
        <f t="shared" si="11"/>
        <v>0.12190751364266693</v>
      </c>
      <c r="N46" s="17">
        <f t="shared" si="12"/>
        <v>0.12190751364266693</v>
      </c>
      <c r="O46" s="3"/>
      <c r="P46" s="18">
        <f t="shared" si="13"/>
        <v>12429.664903943187</v>
      </c>
      <c r="Q46" s="18">
        <f t="shared" si="6"/>
        <v>2372.8163856543351</v>
      </c>
      <c r="R46" s="18">
        <f t="shared" si="6"/>
        <v>0</v>
      </c>
      <c r="S46" s="18">
        <f t="shared" si="6"/>
        <v>0</v>
      </c>
      <c r="T46" s="18">
        <v>100</v>
      </c>
      <c r="U46" s="3"/>
      <c r="V46" s="18">
        <f t="shared" si="14"/>
        <v>14902.481289597523</v>
      </c>
      <c r="W46" s="3"/>
      <c r="X46" s="14">
        <f t="shared" si="15"/>
        <v>57797721.758680411</v>
      </c>
      <c r="Y46" s="14">
        <f t="shared" si="16"/>
        <v>7602.4812895975228</v>
      </c>
      <c r="AA46" s="14">
        <f t="shared" si="17"/>
        <v>7.2114484524776938E-3</v>
      </c>
      <c r="AB46" s="16"/>
    </row>
    <row r="47" spans="2:28" x14ac:dyDescent="0.35">
      <c r="B47" s="26">
        <v>2.5</v>
      </c>
      <c r="C47" s="26">
        <v>7185</v>
      </c>
      <c r="D47" s="18">
        <f t="shared" si="7"/>
        <v>7.1694852663131874</v>
      </c>
      <c r="E47" s="18">
        <f t="shared" si="7"/>
        <v>2.700099833702998</v>
      </c>
      <c r="F47" s="18">
        <f t="shared" si="7"/>
        <v>-1.9525850929940458</v>
      </c>
      <c r="G47" s="18">
        <f t="shared" si="7"/>
        <v>-1.9525850929940458</v>
      </c>
      <c r="H47" s="18">
        <f t="shared" si="7"/>
        <v>-1.9525850929940458</v>
      </c>
      <c r="I47" s="3"/>
      <c r="J47" s="17">
        <f t="shared" si="8"/>
        <v>5.470174710607389</v>
      </c>
      <c r="K47" s="17">
        <f t="shared" si="9"/>
        <v>2.0046368910607151</v>
      </c>
      <c r="L47" s="17">
        <f t="shared" si="10"/>
        <v>0.12520642341405777</v>
      </c>
      <c r="M47" s="17">
        <f t="shared" si="11"/>
        <v>0.12520642341405777</v>
      </c>
      <c r="N47" s="17">
        <f t="shared" si="12"/>
        <v>0.12520642341405777</v>
      </c>
      <c r="O47" s="3"/>
      <c r="P47" s="18">
        <f t="shared" si="13"/>
        <v>11957.391487464587</v>
      </c>
      <c r="Q47" s="18">
        <f t="shared" si="6"/>
        <v>2354.3474964959869</v>
      </c>
      <c r="R47" s="18">
        <f t="shared" si="6"/>
        <v>0</v>
      </c>
      <c r="S47" s="18">
        <f t="shared" si="6"/>
        <v>0</v>
      </c>
      <c r="T47" s="18">
        <v>100</v>
      </c>
      <c r="U47" s="3"/>
      <c r="V47" s="18">
        <f t="shared" si="14"/>
        <v>14411.738983960575</v>
      </c>
      <c r="W47" s="3"/>
      <c r="X47" s="14">
        <f t="shared" si="15"/>
        <v>52225756.34229552</v>
      </c>
      <c r="Y47" s="14">
        <f t="shared" si="16"/>
        <v>7226.7389839605748</v>
      </c>
      <c r="AA47" s="14">
        <f t="shared" si="17"/>
        <v>6.8550324133848286E-3</v>
      </c>
      <c r="AB47" s="16"/>
    </row>
    <row r="48" spans="2:28" x14ac:dyDescent="0.35">
      <c r="B48" s="26">
        <v>2.8000000000000114</v>
      </c>
      <c r="C48" s="26">
        <v>7154</v>
      </c>
      <c r="D48" s="18">
        <f t="shared" si="7"/>
        <v>7.3041988946142213</v>
      </c>
      <c r="E48" s="18">
        <f t="shared" si="7"/>
        <v>2.7141647943678628</v>
      </c>
      <c r="F48" s="18">
        <f t="shared" si="7"/>
        <v>-1.9225850929940447</v>
      </c>
      <c r="G48" s="18">
        <f t="shared" si="7"/>
        <v>-1.9225850929940447</v>
      </c>
      <c r="H48" s="18">
        <f t="shared" si="7"/>
        <v>-1.9225850929940447</v>
      </c>
      <c r="I48" s="3"/>
      <c r="J48" s="17">
        <f t="shared" si="8"/>
        <v>5.58424894780467</v>
      </c>
      <c r="K48" s="17">
        <f t="shared" si="9"/>
        <v>2.0140280651425111</v>
      </c>
      <c r="L48" s="17">
        <f t="shared" si="10"/>
        <v>0.12858443280385146</v>
      </c>
      <c r="M48" s="17">
        <f t="shared" si="11"/>
        <v>0.12858443280385146</v>
      </c>
      <c r="N48" s="17">
        <f t="shared" si="12"/>
        <v>0.12858443280385146</v>
      </c>
      <c r="O48" s="3"/>
      <c r="P48" s="18">
        <f t="shared" si="13"/>
        <v>11510.193893201342</v>
      </c>
      <c r="Q48" s="18">
        <f t="shared" si="6"/>
        <v>2336.0679318360744</v>
      </c>
      <c r="R48" s="18">
        <f t="shared" si="6"/>
        <v>0</v>
      </c>
      <c r="S48" s="18">
        <f t="shared" si="6"/>
        <v>0</v>
      </c>
      <c r="T48" s="18">
        <v>100</v>
      </c>
      <c r="U48" s="3"/>
      <c r="V48" s="18">
        <f t="shared" si="14"/>
        <v>13946.261825037416</v>
      </c>
      <c r="W48" s="3"/>
      <c r="X48" s="14">
        <f t="shared" si="15"/>
        <v>46134820.69986061</v>
      </c>
      <c r="Y48" s="14">
        <f t="shared" si="16"/>
        <v>6792.2618250374162</v>
      </c>
      <c r="AA48" s="14">
        <f t="shared" si="17"/>
        <v>6.4429025420965572E-3</v>
      </c>
      <c r="AB48" s="16"/>
    </row>
    <row r="49" spans="2:28" x14ac:dyDescent="0.35">
      <c r="B49" s="26">
        <v>3.1000000000000085</v>
      </c>
      <c r="C49" s="26">
        <v>7082</v>
      </c>
      <c r="D49" s="18">
        <f t="shared" si="7"/>
        <v>7.4389125229152482</v>
      </c>
      <c r="E49" s="18">
        <f t="shared" si="7"/>
        <v>2.7282297550327272</v>
      </c>
      <c r="F49" s="18">
        <f t="shared" si="7"/>
        <v>-1.8925850929940449</v>
      </c>
      <c r="G49" s="18">
        <f t="shared" si="7"/>
        <v>-1.8925850929940449</v>
      </c>
      <c r="H49" s="18">
        <f t="shared" si="7"/>
        <v>-1.8925850929940449</v>
      </c>
      <c r="I49" s="3"/>
      <c r="J49" s="17">
        <f t="shared" si="8"/>
        <v>5.6986782592977931</v>
      </c>
      <c r="K49" s="17">
        <f t="shared" si="9"/>
        <v>2.0234337905139848</v>
      </c>
      <c r="L49" s="17">
        <f t="shared" si="10"/>
        <v>0.13204294854642096</v>
      </c>
      <c r="M49" s="17">
        <f t="shared" si="11"/>
        <v>0.13204294854642096</v>
      </c>
      <c r="N49" s="17">
        <f t="shared" si="12"/>
        <v>0.13204294854642096</v>
      </c>
      <c r="O49" s="3"/>
      <c r="P49" s="18">
        <f t="shared" si="13"/>
        <v>11086.396241781855</v>
      </c>
      <c r="Q49" s="18">
        <f t="shared" si="6"/>
        <v>2317.9753697502033</v>
      </c>
      <c r="R49" s="18">
        <f t="shared" si="6"/>
        <v>0</v>
      </c>
      <c r="S49" s="18">
        <f t="shared" si="6"/>
        <v>0</v>
      </c>
      <c r="T49" s="18">
        <v>100</v>
      </c>
      <c r="U49" s="3"/>
      <c r="V49" s="18">
        <f t="shared" si="14"/>
        <v>13504.371611532059</v>
      </c>
      <c r="W49" s="3"/>
      <c r="X49" s="14">
        <f t="shared" si="15"/>
        <v>41246857.116612889</v>
      </c>
      <c r="Y49" s="14">
        <f t="shared" si="16"/>
        <v>6422.3716115320585</v>
      </c>
      <c r="AA49" s="14">
        <f t="shared" si="17"/>
        <v>6.0920375933830734E-3</v>
      </c>
      <c r="AB49" s="16"/>
    </row>
    <row r="50" spans="2:28" x14ac:dyDescent="0.35">
      <c r="B50" s="26">
        <v>3.5</v>
      </c>
      <c r="C50" s="26">
        <v>6920</v>
      </c>
      <c r="D50" s="18">
        <f t="shared" si="7"/>
        <v>7.6185306939832831</v>
      </c>
      <c r="E50" s="18">
        <f t="shared" si="7"/>
        <v>2.7469830359192131</v>
      </c>
      <c r="F50" s="18">
        <f t="shared" si="7"/>
        <v>-1.8525850929940457</v>
      </c>
      <c r="G50" s="18">
        <f t="shared" si="7"/>
        <v>-1.8525850929940457</v>
      </c>
      <c r="H50" s="18">
        <f t="shared" si="7"/>
        <v>-1.8525850929940457</v>
      </c>
      <c r="I50" s="3"/>
      <c r="J50" s="17">
        <f t="shared" si="8"/>
        <v>5.8517841041641647</v>
      </c>
      <c r="K50" s="17">
        <f t="shared" si="9"/>
        <v>2.0359972754295161</v>
      </c>
      <c r="L50" s="17">
        <f t="shared" si="10"/>
        <v>0.13678197213351101</v>
      </c>
      <c r="M50" s="17">
        <f t="shared" si="11"/>
        <v>0.13678197213351101</v>
      </c>
      <c r="N50" s="17">
        <f t="shared" si="12"/>
        <v>0.13678197213351101</v>
      </c>
      <c r="O50" s="3"/>
      <c r="P50" s="18">
        <f t="shared" si="13"/>
        <v>10555.083871151674</v>
      </c>
      <c r="Q50" s="18">
        <f t="shared" si="6"/>
        <v>2294.1388935706373</v>
      </c>
      <c r="R50" s="18">
        <f t="shared" si="6"/>
        <v>0</v>
      </c>
      <c r="S50" s="18">
        <f t="shared" si="6"/>
        <v>0</v>
      </c>
      <c r="T50" s="18">
        <v>100</v>
      </c>
      <c r="U50" s="3"/>
      <c r="V50" s="18">
        <f t="shared" si="14"/>
        <v>12949.222764722312</v>
      </c>
      <c r="W50" s="3"/>
      <c r="X50" s="14">
        <f t="shared" si="15"/>
        <v>36351527.146645755</v>
      </c>
      <c r="Y50" s="14">
        <f t="shared" si="16"/>
        <v>6029.2227647223117</v>
      </c>
      <c r="AA50" s="14">
        <f t="shared" si="17"/>
        <v>5.7191103167584132E-3</v>
      </c>
      <c r="AB50" s="16"/>
    </row>
    <row r="51" spans="2:28" x14ac:dyDescent="0.35">
      <c r="B51" s="26">
        <v>3.8000000000000114</v>
      </c>
      <c r="C51" s="26">
        <v>6817</v>
      </c>
      <c r="D51" s="18">
        <f t="shared" si="7"/>
        <v>7.7532443222843161</v>
      </c>
      <c r="E51" s="18">
        <f t="shared" si="7"/>
        <v>2.761047996584078</v>
      </c>
      <c r="F51" s="18">
        <f t="shared" si="7"/>
        <v>-1.8225850929940446</v>
      </c>
      <c r="G51" s="18">
        <f t="shared" si="7"/>
        <v>-1.8225850929940446</v>
      </c>
      <c r="H51" s="18">
        <f t="shared" si="7"/>
        <v>-1.8225850929940446</v>
      </c>
      <c r="I51" s="3"/>
      <c r="J51" s="17">
        <f t="shared" si="8"/>
        <v>5.9670000289009133</v>
      </c>
      <c r="K51" s="17">
        <f t="shared" si="9"/>
        <v>2.045436689693402</v>
      </c>
      <c r="L51" s="17">
        <f t="shared" si="10"/>
        <v>0.14043382248906716</v>
      </c>
      <c r="M51" s="17">
        <f t="shared" si="11"/>
        <v>0.14043382248906716</v>
      </c>
      <c r="N51" s="17">
        <f t="shared" si="12"/>
        <v>0.14043382248906716</v>
      </c>
      <c r="O51" s="3"/>
      <c r="P51" s="18">
        <f t="shared" si="13"/>
        <v>10180.094308128182</v>
      </c>
      <c r="Q51" s="18">
        <f t="shared" si="6"/>
        <v>2276.4738211268354</v>
      </c>
      <c r="R51" s="18">
        <f t="shared" si="6"/>
        <v>0</v>
      </c>
      <c r="S51" s="18">
        <f t="shared" si="6"/>
        <v>0</v>
      </c>
      <c r="T51" s="18">
        <v>100</v>
      </c>
      <c r="U51" s="3"/>
      <c r="V51" s="18">
        <f t="shared" si="14"/>
        <v>12556.568129255018</v>
      </c>
      <c r="W51" s="3"/>
      <c r="X51" s="14">
        <f t="shared" si="15"/>
        <v>32942642.310359947</v>
      </c>
      <c r="Y51" s="14">
        <f t="shared" si="16"/>
        <v>5739.568129255018</v>
      </c>
      <c r="AA51" s="14">
        <f t="shared" si="17"/>
        <v>5.4443540374431651E-3</v>
      </c>
      <c r="AB51" s="16"/>
    </row>
    <row r="52" spans="2:28" x14ac:dyDescent="0.35">
      <c r="B52" s="26">
        <v>4.1000000000000085</v>
      </c>
      <c r="C52" s="26">
        <v>6659</v>
      </c>
      <c r="D52" s="18">
        <f t="shared" si="7"/>
        <v>7.8879579505853439</v>
      </c>
      <c r="E52" s="18">
        <f t="shared" si="7"/>
        <v>2.7751129572489424</v>
      </c>
      <c r="F52" s="18">
        <f t="shared" si="7"/>
        <v>-1.792585092994045</v>
      </c>
      <c r="G52" s="18">
        <f t="shared" si="7"/>
        <v>-1.792585092994045</v>
      </c>
      <c r="H52" s="18">
        <f t="shared" si="7"/>
        <v>-1.792585092994045</v>
      </c>
      <c r="I52" s="3"/>
      <c r="J52" s="17">
        <f t="shared" si="8"/>
        <v>6.0825362029433983</v>
      </c>
      <c r="K52" s="17">
        <f t="shared" si="9"/>
        <v>2.0548904296347694</v>
      </c>
      <c r="L52" s="17">
        <f t="shared" si="10"/>
        <v>0.14417088545320475</v>
      </c>
      <c r="M52" s="17">
        <f t="shared" si="11"/>
        <v>0.14417088545320475</v>
      </c>
      <c r="N52" s="17">
        <f t="shared" si="12"/>
        <v>0.14417088545320475</v>
      </c>
      <c r="O52" s="3"/>
      <c r="P52" s="18">
        <f t="shared" si="13"/>
        <v>9823.8143807857796</v>
      </c>
      <c r="Q52" s="18">
        <f t="shared" si="6"/>
        <v>2258.9882414048916</v>
      </c>
      <c r="R52" s="18">
        <f t="shared" si="6"/>
        <v>0</v>
      </c>
      <c r="S52" s="18">
        <f t="shared" si="6"/>
        <v>0</v>
      </c>
      <c r="T52" s="18">
        <v>100</v>
      </c>
      <c r="U52" s="3"/>
      <c r="V52" s="18">
        <f t="shared" si="14"/>
        <v>12182.802622190671</v>
      </c>
      <c r="W52" s="3"/>
      <c r="X52" s="14">
        <f t="shared" si="15"/>
        <v>30512395.408920534</v>
      </c>
      <c r="Y52" s="14">
        <f t="shared" si="16"/>
        <v>5523.8026221906712</v>
      </c>
      <c r="AA52" s="14">
        <f t="shared" si="17"/>
        <v>5.2396864068701967E-3</v>
      </c>
      <c r="AB52" s="16"/>
    </row>
    <row r="53" spans="2:28" x14ac:dyDescent="0.35">
      <c r="B53" s="26">
        <v>4.4000000000000057</v>
      </c>
      <c r="C53" s="26">
        <v>6330</v>
      </c>
      <c r="D53" s="18">
        <f t="shared" si="7"/>
        <v>8.0226715788863707</v>
      </c>
      <c r="E53" s="18">
        <f t="shared" si="7"/>
        <v>2.7891779179138068</v>
      </c>
      <c r="F53" s="18">
        <f t="shared" si="7"/>
        <v>-1.7625850929940452</v>
      </c>
      <c r="G53" s="18">
        <f t="shared" si="7"/>
        <v>-1.7625850929940452</v>
      </c>
      <c r="H53" s="18">
        <f t="shared" si="7"/>
        <v>-1.7625850929940452</v>
      </c>
      <c r="I53" s="3"/>
      <c r="J53" s="17">
        <f t="shared" si="8"/>
        <v>6.1983831096179314</v>
      </c>
      <c r="K53" s="17">
        <f t="shared" si="9"/>
        <v>2.0643584282656766</v>
      </c>
      <c r="L53" s="17">
        <f t="shared" si="10"/>
        <v>0.14799457413642025</v>
      </c>
      <c r="M53" s="17">
        <f t="shared" si="11"/>
        <v>0.14799457413642025</v>
      </c>
      <c r="N53" s="17">
        <f t="shared" si="12"/>
        <v>0.14799457413642025</v>
      </c>
      <c r="O53" s="3"/>
      <c r="P53" s="18">
        <f t="shared" si="13"/>
        <v>9485.0643404754464</v>
      </c>
      <c r="Q53" s="18">
        <f t="shared" si="6"/>
        <v>2241.6799685837273</v>
      </c>
      <c r="R53" s="18">
        <f t="shared" si="6"/>
        <v>0</v>
      </c>
      <c r="S53" s="18">
        <f t="shared" si="6"/>
        <v>0</v>
      </c>
      <c r="T53" s="18">
        <v>100</v>
      </c>
      <c r="U53" s="3"/>
      <c r="V53" s="18">
        <f t="shared" si="14"/>
        <v>11826.744309059173</v>
      </c>
      <c r="W53" s="3"/>
      <c r="X53" s="14">
        <f t="shared" si="15"/>
        <v>30214197.999174409</v>
      </c>
      <c r="Y53" s="14">
        <f t="shared" si="16"/>
        <v>5496.7443090591732</v>
      </c>
      <c r="AA53" s="14">
        <f t="shared" si="17"/>
        <v>5.2140198352699759E-3</v>
      </c>
      <c r="AB53" s="16"/>
    </row>
    <row r="54" spans="2:28" x14ac:dyDescent="0.35">
      <c r="B54" s="26">
        <v>4.7000000000000028</v>
      </c>
      <c r="C54" s="26">
        <v>6360</v>
      </c>
      <c r="D54" s="18">
        <f t="shared" si="7"/>
        <v>8.1573852071873976</v>
      </c>
      <c r="E54" s="18">
        <f t="shared" si="7"/>
        <v>2.8032428785786712</v>
      </c>
      <c r="F54" s="18">
        <f t="shared" si="7"/>
        <v>-1.7325850929940456</v>
      </c>
      <c r="G54" s="18">
        <f t="shared" si="7"/>
        <v>-1.7325850929940456</v>
      </c>
      <c r="H54" s="18">
        <f t="shared" si="7"/>
        <v>-1.7325850929940456</v>
      </c>
      <c r="I54" s="3"/>
      <c r="J54" s="17">
        <f t="shared" si="8"/>
        <v>6.3145316230849335</v>
      </c>
      <c r="K54" s="17">
        <f t="shared" si="9"/>
        <v>2.0738406189186915</v>
      </c>
      <c r="L54" s="17">
        <f t="shared" si="10"/>
        <v>0.15190630034182173</v>
      </c>
      <c r="M54" s="17">
        <f t="shared" si="11"/>
        <v>0.15190630034182173</v>
      </c>
      <c r="N54" s="17">
        <f t="shared" si="12"/>
        <v>0.15190630034182173</v>
      </c>
      <c r="O54" s="3"/>
      <c r="P54" s="18">
        <f t="shared" si="13"/>
        <v>9162.7532058415745</v>
      </c>
      <c r="Q54" s="18">
        <f t="shared" si="6"/>
        <v>2224.5468470019637</v>
      </c>
      <c r="R54" s="18">
        <f t="shared" si="6"/>
        <v>0</v>
      </c>
      <c r="S54" s="18">
        <f t="shared" si="6"/>
        <v>0</v>
      </c>
      <c r="T54" s="18">
        <v>100</v>
      </c>
      <c r="U54" s="3"/>
      <c r="V54" s="18">
        <f t="shared" si="14"/>
        <v>11487.300052843539</v>
      </c>
      <c r="W54" s="3"/>
      <c r="X54" s="14">
        <f t="shared" si="15"/>
        <v>26289205.831889354</v>
      </c>
      <c r="Y54" s="14">
        <f t="shared" si="16"/>
        <v>5127.3000528435387</v>
      </c>
      <c r="AA54" s="14">
        <f t="shared" si="17"/>
        <v>4.863577906079242E-3</v>
      </c>
      <c r="AB54" s="16"/>
    </row>
    <row r="55" spans="2:28" x14ac:dyDescent="0.35">
      <c r="B55" s="26">
        <v>5</v>
      </c>
      <c r="C55" s="26">
        <v>6342</v>
      </c>
      <c r="D55" s="18">
        <f t="shared" si="7"/>
        <v>8.2920988354884244</v>
      </c>
      <c r="E55" s="18">
        <f t="shared" si="7"/>
        <v>2.8173078392435356</v>
      </c>
      <c r="F55" s="18">
        <f t="shared" si="7"/>
        <v>-1.7025850929940458</v>
      </c>
      <c r="G55" s="18">
        <f t="shared" si="7"/>
        <v>-1.7025850929940458</v>
      </c>
      <c r="H55" s="18">
        <f t="shared" si="7"/>
        <v>-1.7025850929940458</v>
      </c>
      <c r="I55" s="3"/>
      <c r="J55" s="17">
        <f t="shared" si="8"/>
        <v>6.4309729885403852</v>
      </c>
      <c r="K55" s="17">
        <f t="shared" si="9"/>
        <v>2.0833369352465065</v>
      </c>
      <c r="L55" s="17">
        <f t="shared" si="10"/>
        <v>0.15590747347204101</v>
      </c>
      <c r="M55" s="17">
        <f t="shared" si="11"/>
        <v>0.15590747347204101</v>
      </c>
      <c r="N55" s="17">
        <f t="shared" si="12"/>
        <v>0.15590747347204101</v>
      </c>
      <c r="O55" s="3"/>
      <c r="P55" s="18">
        <f t="shared" si="13"/>
        <v>8855.8710767553821</v>
      </c>
      <c r="Q55" s="18">
        <f t="shared" ref="Q55:Q118" si="18">(D$21*$A$21*D$23*D$22)/(K55+K55^2)</f>
        <v>2207.5867507051626</v>
      </c>
      <c r="R55" s="18">
        <f t="shared" ref="R55:R118" si="19">(E$21*$A$21*E$23*E$22)/(L55+L55^2)</f>
        <v>0</v>
      </c>
      <c r="S55" s="18">
        <f t="shared" ref="S55:S118" si="20">(F$21*$A$21*F$23*F$22)/(M55+M55^2)</f>
        <v>0</v>
      </c>
      <c r="T55" s="18">
        <v>100</v>
      </c>
      <c r="U55" s="3"/>
      <c r="V55" s="18">
        <f t="shared" si="14"/>
        <v>11163.457827460545</v>
      </c>
      <c r="W55" s="3"/>
      <c r="X55" s="14">
        <f t="shared" si="15"/>
        <v>23246455.581980556</v>
      </c>
      <c r="Y55" s="14">
        <f t="shared" si="16"/>
        <v>4821.4578274605446</v>
      </c>
      <c r="AA55" s="14">
        <f t="shared" si="17"/>
        <v>4.5734666438577353E-3</v>
      </c>
      <c r="AB55" s="16"/>
    </row>
    <row r="56" spans="2:28" x14ac:dyDescent="0.35">
      <c r="B56" s="26">
        <v>5.4000000000000057</v>
      </c>
      <c r="C56" s="26">
        <v>6189</v>
      </c>
      <c r="D56" s="18">
        <f t="shared" si="7"/>
        <v>8.4717170065564655</v>
      </c>
      <c r="E56" s="18">
        <f t="shared" si="7"/>
        <v>2.8360611201300219</v>
      </c>
      <c r="F56" s="18">
        <f t="shared" si="7"/>
        <v>-1.6625850929940453</v>
      </c>
      <c r="G56" s="18">
        <f t="shared" si="7"/>
        <v>-1.6625850929940453</v>
      </c>
      <c r="H56" s="18">
        <f t="shared" si="7"/>
        <v>-1.6625850929940453</v>
      </c>
      <c r="I56" s="3"/>
      <c r="J56" s="17">
        <f t="shared" si="8"/>
        <v>6.5866692158787954</v>
      </c>
      <c r="K56" s="17">
        <f t="shared" si="9"/>
        <v>2.0960205495463904</v>
      </c>
      <c r="L56" s="17">
        <f t="shared" si="10"/>
        <v>0.16138393992220826</v>
      </c>
      <c r="M56" s="17">
        <f t="shared" si="11"/>
        <v>0.16138393992220826</v>
      </c>
      <c r="N56" s="17">
        <f t="shared" si="12"/>
        <v>0.16138393992220826</v>
      </c>
      <c r="O56" s="3"/>
      <c r="P56" s="18">
        <f t="shared" si="13"/>
        <v>8469.0881076965215</v>
      </c>
      <c r="Q56" s="18">
        <f t="shared" si="18"/>
        <v>2185.2388196650727</v>
      </c>
      <c r="R56" s="18">
        <f t="shared" si="19"/>
        <v>0</v>
      </c>
      <c r="S56" s="18">
        <f t="shared" si="20"/>
        <v>0</v>
      </c>
      <c r="T56" s="18">
        <v>100</v>
      </c>
      <c r="U56" s="3"/>
      <c r="V56" s="18">
        <f t="shared" si="14"/>
        <v>10754.326927361595</v>
      </c>
      <c r="W56" s="3"/>
      <c r="X56" s="14">
        <f t="shared" si="15"/>
        <v>20842209.953692865</v>
      </c>
      <c r="Y56" s="14">
        <f t="shared" si="16"/>
        <v>4565.3269273615952</v>
      </c>
      <c r="AA56" s="14">
        <f t="shared" si="17"/>
        <v>4.3305098100569553E-3</v>
      </c>
      <c r="AB56" s="16"/>
    </row>
    <row r="57" spans="2:28" x14ac:dyDescent="0.35">
      <c r="B57" s="26">
        <v>5.7000000000000028</v>
      </c>
      <c r="C57" s="26">
        <v>6222</v>
      </c>
      <c r="D57" s="18">
        <f t="shared" si="7"/>
        <v>8.6064306348574924</v>
      </c>
      <c r="E57" s="18">
        <f t="shared" si="7"/>
        <v>2.8501260807948863</v>
      </c>
      <c r="F57" s="18">
        <f t="shared" si="7"/>
        <v>-1.6325850929940455</v>
      </c>
      <c r="G57" s="18">
        <f t="shared" si="7"/>
        <v>-1.6325850929940455</v>
      </c>
      <c r="H57" s="18">
        <f t="shared" si="7"/>
        <v>-1.6325850929940455</v>
      </c>
      <c r="I57" s="3"/>
      <c r="J57" s="17">
        <f t="shared" si="8"/>
        <v>6.7037618029022736</v>
      </c>
      <c r="K57" s="17">
        <f t="shared" si="9"/>
        <v>2.1055495695598276</v>
      </c>
      <c r="L57" s="17">
        <f t="shared" si="10"/>
        <v>0.16559928168674834</v>
      </c>
      <c r="M57" s="17">
        <f t="shared" si="11"/>
        <v>0.16559928168674834</v>
      </c>
      <c r="N57" s="17">
        <f t="shared" si="12"/>
        <v>0.16559928168674834</v>
      </c>
      <c r="O57" s="3"/>
      <c r="P57" s="18">
        <f t="shared" si="13"/>
        <v>8194.6844098774309</v>
      </c>
      <c r="Q57" s="18">
        <f t="shared" si="18"/>
        <v>2168.6743449813011</v>
      </c>
      <c r="R57" s="18">
        <f t="shared" si="19"/>
        <v>0</v>
      </c>
      <c r="S57" s="18">
        <f t="shared" si="20"/>
        <v>0</v>
      </c>
      <c r="T57" s="18">
        <v>100</v>
      </c>
      <c r="U57" s="3"/>
      <c r="V57" s="18">
        <f t="shared" si="14"/>
        <v>10463.358754858731</v>
      </c>
      <c r="W57" s="3"/>
      <c r="X57" s="14">
        <f t="shared" si="15"/>
        <v>17989124.087416805</v>
      </c>
      <c r="Y57" s="14">
        <f t="shared" si="16"/>
        <v>4241.3587548587311</v>
      </c>
      <c r="AA57" s="14">
        <f t="shared" si="17"/>
        <v>4.0232049069269023E-3</v>
      </c>
      <c r="AB57" s="16"/>
    </row>
    <row r="58" spans="2:28" x14ac:dyDescent="0.35">
      <c r="B58" s="26">
        <v>6</v>
      </c>
      <c r="C58" s="26">
        <v>6047</v>
      </c>
      <c r="D58" s="18">
        <f t="shared" si="7"/>
        <v>8.741144263158521</v>
      </c>
      <c r="E58" s="18">
        <f t="shared" si="7"/>
        <v>2.8641910414597507</v>
      </c>
      <c r="F58" s="18">
        <f t="shared" si="7"/>
        <v>-1.6025850929940457</v>
      </c>
      <c r="G58" s="18">
        <f t="shared" si="7"/>
        <v>-1.6025850929940457</v>
      </c>
      <c r="H58" s="18">
        <f t="shared" si="7"/>
        <v>-1.6025850929940457</v>
      </c>
      <c r="I58" s="3"/>
      <c r="J58" s="17">
        <f t="shared" si="8"/>
        <v>6.821120507509665</v>
      </c>
      <c r="K58" s="17">
        <f t="shared" si="9"/>
        <v>2.1150924963968314</v>
      </c>
      <c r="L58" s="17">
        <f t="shared" si="10"/>
        <v>0.16990873660280625</v>
      </c>
      <c r="M58" s="17">
        <f t="shared" si="11"/>
        <v>0.16990873660280625</v>
      </c>
      <c r="N58" s="17">
        <f t="shared" si="12"/>
        <v>0.16990873660280625</v>
      </c>
      <c r="O58" s="3"/>
      <c r="P58" s="18">
        <f t="shared" si="13"/>
        <v>7932.844729324981</v>
      </c>
      <c r="Q58" s="18">
        <f t="shared" si="18"/>
        <v>2152.2760179485549</v>
      </c>
      <c r="R58" s="18">
        <f t="shared" si="19"/>
        <v>0</v>
      </c>
      <c r="S58" s="18">
        <f t="shared" si="20"/>
        <v>0</v>
      </c>
      <c r="T58" s="18">
        <v>100</v>
      </c>
      <c r="U58" s="3"/>
      <c r="V58" s="18">
        <f t="shared" si="14"/>
        <v>10185.120747273537</v>
      </c>
      <c r="W58" s="3"/>
      <c r="X58" s="14">
        <f t="shared" si="15"/>
        <v>17124043.319015697</v>
      </c>
      <c r="Y58" s="14">
        <f t="shared" si="16"/>
        <v>4138.1207472735368</v>
      </c>
      <c r="AA58" s="14">
        <f t="shared" si="17"/>
        <v>3.9252769355610506E-3</v>
      </c>
      <c r="AB58" s="16"/>
    </row>
    <row r="59" spans="2:28" x14ac:dyDescent="0.35">
      <c r="B59" s="26">
        <v>6.3000000000000114</v>
      </c>
      <c r="C59" s="26">
        <v>5875</v>
      </c>
      <c r="D59" s="18">
        <f t="shared" si="7"/>
        <v>8.8758578914595532</v>
      </c>
      <c r="E59" s="18">
        <f t="shared" si="7"/>
        <v>2.8782560021246155</v>
      </c>
      <c r="F59" s="18">
        <f t="shared" si="7"/>
        <v>-1.5725850929940446</v>
      </c>
      <c r="G59" s="18">
        <f t="shared" si="7"/>
        <v>-1.5725850929940446</v>
      </c>
      <c r="H59" s="18">
        <f t="shared" si="7"/>
        <v>-1.5725850929940446</v>
      </c>
      <c r="I59" s="3"/>
      <c r="J59" s="17">
        <f t="shared" si="8"/>
        <v>6.93873798064618</v>
      </c>
      <c r="K59" s="17">
        <f t="shared" si="9"/>
        <v>2.1246492650921232</v>
      </c>
      <c r="L59" s="17">
        <f t="shared" si="10"/>
        <v>0.17431369056466686</v>
      </c>
      <c r="M59" s="17">
        <f t="shared" si="11"/>
        <v>0.17431369056466686</v>
      </c>
      <c r="N59" s="17">
        <f t="shared" si="12"/>
        <v>0.17431369056466686</v>
      </c>
      <c r="O59" s="3"/>
      <c r="P59" s="18">
        <f t="shared" si="13"/>
        <v>7682.8383813201954</v>
      </c>
      <c r="Q59" s="18">
        <f t="shared" si="18"/>
        <v>2136.0418362823289</v>
      </c>
      <c r="R59" s="18">
        <f t="shared" si="19"/>
        <v>0</v>
      </c>
      <c r="S59" s="18">
        <f t="shared" si="20"/>
        <v>0</v>
      </c>
      <c r="T59" s="18">
        <v>100</v>
      </c>
      <c r="U59" s="3"/>
      <c r="V59" s="18">
        <f t="shared" si="14"/>
        <v>9918.8802176025238</v>
      </c>
      <c r="W59" s="3"/>
      <c r="X59" s="14">
        <f t="shared" si="15"/>
        <v>16352967.214317035</v>
      </c>
      <c r="Y59" s="14">
        <f t="shared" si="16"/>
        <v>4043.8802176025238</v>
      </c>
      <c r="AA59" s="14">
        <f t="shared" si="17"/>
        <v>3.8358836577654684E-3</v>
      </c>
      <c r="AB59" s="16"/>
    </row>
    <row r="60" spans="2:28" x14ac:dyDescent="0.35">
      <c r="B60" s="26">
        <v>6.6000000000000085</v>
      </c>
      <c r="C60" s="26">
        <v>5980</v>
      </c>
      <c r="D60" s="18">
        <f t="shared" si="7"/>
        <v>9.01057151976058</v>
      </c>
      <c r="E60" s="18">
        <f t="shared" si="7"/>
        <v>2.8923209627894799</v>
      </c>
      <c r="F60" s="18">
        <f t="shared" si="7"/>
        <v>-1.5425850929940448</v>
      </c>
      <c r="G60" s="18">
        <f t="shared" si="7"/>
        <v>-1.5425850929940448</v>
      </c>
      <c r="H60" s="18">
        <f t="shared" si="7"/>
        <v>-1.5425850929940448</v>
      </c>
      <c r="I60" s="3"/>
      <c r="J60" s="17">
        <f t="shared" si="8"/>
        <v>7.056607156501074</v>
      </c>
      <c r="K60" s="17">
        <f t="shared" si="9"/>
        <v>2.1342198109979957</v>
      </c>
      <c r="L60" s="17">
        <f t="shared" si="10"/>
        <v>0.17881552092846986</v>
      </c>
      <c r="M60" s="17">
        <f t="shared" si="11"/>
        <v>0.17881552092846986</v>
      </c>
      <c r="N60" s="17">
        <f t="shared" si="12"/>
        <v>0.17881552092846986</v>
      </c>
      <c r="O60" s="3"/>
      <c r="P60" s="18">
        <f t="shared" si="13"/>
        <v>7443.9856115759067</v>
      </c>
      <c r="Q60" s="18">
        <f t="shared" si="18"/>
        <v>2119.9698251081068</v>
      </c>
      <c r="R60" s="18">
        <f t="shared" si="19"/>
        <v>0</v>
      </c>
      <c r="S60" s="18">
        <f t="shared" si="20"/>
        <v>0</v>
      </c>
      <c r="T60" s="18">
        <v>100</v>
      </c>
      <c r="U60" s="3"/>
      <c r="V60" s="18">
        <f t="shared" si="14"/>
        <v>9663.955436684013</v>
      </c>
      <c r="W60" s="3"/>
      <c r="X60" s="14">
        <f t="shared" si="15"/>
        <v>13571527.659473697</v>
      </c>
      <c r="Y60" s="14">
        <f t="shared" si="16"/>
        <v>3683.955436684013</v>
      </c>
      <c r="AA60" s="14">
        <f t="shared" si="17"/>
        <v>3.4944715706466617E-3</v>
      </c>
      <c r="AB60" s="16"/>
    </row>
    <row r="61" spans="2:28" x14ac:dyDescent="0.35">
      <c r="B61" s="26">
        <v>6.9000000000000057</v>
      </c>
      <c r="C61" s="26">
        <v>5807</v>
      </c>
      <c r="D61" s="18">
        <f t="shared" si="7"/>
        <v>9.1452851480616069</v>
      </c>
      <c r="E61" s="18">
        <f t="shared" si="7"/>
        <v>2.9063859234543443</v>
      </c>
      <c r="F61" s="18">
        <f t="shared" si="7"/>
        <v>-1.5125850929940452</v>
      </c>
      <c r="G61" s="18">
        <f t="shared" si="7"/>
        <v>-1.5125850929940452</v>
      </c>
      <c r="H61" s="18">
        <f t="shared" si="7"/>
        <v>-1.5125850929940452</v>
      </c>
      <c r="I61" s="3"/>
      <c r="J61" s="17">
        <f t="shared" si="8"/>
        <v>7.1747212388929116</v>
      </c>
      <c r="K61" s="17">
        <f t="shared" si="9"/>
        <v>2.1438040697837448</v>
      </c>
      <c r="L61" s="17">
        <f t="shared" si="10"/>
        <v>0.18341559532011714</v>
      </c>
      <c r="M61" s="17">
        <f t="shared" si="11"/>
        <v>0.18341559532011714</v>
      </c>
      <c r="N61" s="17">
        <f t="shared" si="12"/>
        <v>0.18341559532011714</v>
      </c>
      <c r="O61" s="3"/>
      <c r="P61" s="18">
        <f t="shared" si="13"/>
        <v>7215.6534945990725</v>
      </c>
      <c r="Q61" s="18">
        <f t="shared" si="18"/>
        <v>2104.0580365519236</v>
      </c>
      <c r="R61" s="18">
        <f t="shared" si="19"/>
        <v>0</v>
      </c>
      <c r="S61" s="18">
        <f t="shared" si="20"/>
        <v>0</v>
      </c>
      <c r="T61" s="18">
        <v>100</v>
      </c>
      <c r="U61" s="3"/>
      <c r="V61" s="18">
        <f t="shared" si="14"/>
        <v>9419.7115311509951</v>
      </c>
      <c r="W61" s="3"/>
      <c r="X61" s="14">
        <f t="shared" si="15"/>
        <v>13051684.607311368</v>
      </c>
      <c r="Y61" s="14">
        <f t="shared" si="16"/>
        <v>3612.7115311509951</v>
      </c>
      <c r="AA61" s="14">
        <f t="shared" si="17"/>
        <v>3.4268920880101781E-3</v>
      </c>
      <c r="AB61" s="16"/>
    </row>
    <row r="62" spans="2:28" x14ac:dyDescent="0.35">
      <c r="B62" s="26">
        <v>7.2000000000000028</v>
      </c>
      <c r="C62" s="26">
        <v>5805</v>
      </c>
      <c r="D62" s="18">
        <f t="shared" si="7"/>
        <v>9.2799987763626355</v>
      </c>
      <c r="E62" s="18">
        <f t="shared" si="7"/>
        <v>2.9204508841192087</v>
      </c>
      <c r="F62" s="18">
        <f t="shared" si="7"/>
        <v>-1.4825850929940456</v>
      </c>
      <c r="G62" s="18">
        <f t="shared" si="7"/>
        <v>-1.4825850929940456</v>
      </c>
      <c r="H62" s="18">
        <f t="shared" si="7"/>
        <v>-1.4825850929940456</v>
      </c>
      <c r="I62" s="3"/>
      <c r="J62" s="17">
        <f t="shared" si="8"/>
        <v>7.2930736884188692</v>
      </c>
      <c r="K62" s="17">
        <f t="shared" si="9"/>
        <v>2.1534019774350774</v>
      </c>
      <c r="L62" s="17">
        <f t="shared" si="10"/>
        <v>0.18811527043584633</v>
      </c>
      <c r="M62" s="17">
        <f t="shared" si="11"/>
        <v>0.18811527043584633</v>
      </c>
      <c r="N62" s="17">
        <f t="shared" si="12"/>
        <v>0.18811527043584633</v>
      </c>
      <c r="O62" s="3"/>
      <c r="P62" s="18">
        <f t="shared" si="13"/>
        <v>6997.2522041689026</v>
      </c>
      <c r="Q62" s="18">
        <f t="shared" si="18"/>
        <v>2088.3045493373629</v>
      </c>
      <c r="R62" s="18">
        <f t="shared" si="19"/>
        <v>0</v>
      </c>
      <c r="S62" s="18">
        <f t="shared" si="20"/>
        <v>0</v>
      </c>
      <c r="T62" s="18">
        <v>100</v>
      </c>
      <c r="U62" s="3"/>
      <c r="V62" s="18">
        <f t="shared" si="14"/>
        <v>9185.5567535062655</v>
      </c>
      <c r="W62" s="3"/>
      <c r="X62" s="14">
        <f t="shared" si="15"/>
        <v>11428163.963676821</v>
      </c>
      <c r="Y62" s="14">
        <f t="shared" si="16"/>
        <v>3380.5567535062655</v>
      </c>
      <c r="AA62" s="14">
        <f t="shared" si="17"/>
        <v>3.2066781672903518E-3</v>
      </c>
      <c r="AB62" s="16"/>
    </row>
    <row r="63" spans="2:28" x14ac:dyDescent="0.35">
      <c r="B63" s="26">
        <v>7.6000000000000085</v>
      </c>
      <c r="C63" s="26">
        <v>5734</v>
      </c>
      <c r="D63" s="18">
        <f t="shared" si="7"/>
        <v>9.4596169474306748</v>
      </c>
      <c r="E63" s="18">
        <f t="shared" si="7"/>
        <v>2.939204165005695</v>
      </c>
      <c r="F63" s="18">
        <f t="shared" si="7"/>
        <v>-1.4425850929940449</v>
      </c>
      <c r="G63" s="18">
        <f t="shared" si="7"/>
        <v>-1.4425850929940449</v>
      </c>
      <c r="H63" s="18">
        <f t="shared" si="7"/>
        <v>-1.4425850929940449</v>
      </c>
      <c r="I63" s="3"/>
      <c r="J63" s="17">
        <f t="shared" si="8"/>
        <v>7.4512369017408657</v>
      </c>
      <c r="K63" s="17">
        <f t="shared" si="9"/>
        <v>2.1662203091547658</v>
      </c>
      <c r="L63" s="17">
        <f t="shared" si="10"/>
        <v>0.19453876041977938</v>
      </c>
      <c r="M63" s="17">
        <f t="shared" si="11"/>
        <v>0.19453876041977938</v>
      </c>
      <c r="N63" s="17">
        <f t="shared" si="12"/>
        <v>0.19453876041977938</v>
      </c>
      <c r="O63" s="3"/>
      <c r="P63" s="18">
        <f t="shared" si="13"/>
        <v>6720.5529371770117</v>
      </c>
      <c r="Q63" s="18">
        <f t="shared" si="18"/>
        <v>2067.5428745351705</v>
      </c>
      <c r="R63" s="18">
        <f t="shared" si="19"/>
        <v>0</v>
      </c>
      <c r="S63" s="18">
        <f t="shared" si="20"/>
        <v>0</v>
      </c>
      <c r="T63" s="18">
        <v>100</v>
      </c>
      <c r="U63" s="3"/>
      <c r="V63" s="18">
        <f t="shared" si="14"/>
        <v>8888.0958117121827</v>
      </c>
      <c r="W63" s="3"/>
      <c r="X63" s="14">
        <f t="shared" si="15"/>
        <v>9948320.3894603327</v>
      </c>
      <c r="Y63" s="14">
        <f t="shared" si="16"/>
        <v>3154.0958117121827</v>
      </c>
      <c r="AA63" s="14">
        <f t="shared" si="17"/>
        <v>2.9918652205643713E-3</v>
      </c>
      <c r="AB63" s="16"/>
    </row>
    <row r="64" spans="2:28" x14ac:dyDescent="0.35">
      <c r="B64" s="26">
        <v>7.9000000000000057</v>
      </c>
      <c r="C64" s="26">
        <v>5768</v>
      </c>
      <c r="D64" s="18">
        <f t="shared" si="7"/>
        <v>9.5943305757317034</v>
      </c>
      <c r="E64" s="18">
        <f t="shared" si="7"/>
        <v>2.9532691256705594</v>
      </c>
      <c r="F64" s="18">
        <f t="shared" si="7"/>
        <v>-1.4125850929940453</v>
      </c>
      <c r="G64" s="18">
        <f t="shared" si="7"/>
        <v>-1.4125850929940453</v>
      </c>
      <c r="H64" s="18">
        <f t="shared" si="7"/>
        <v>-1.4125850929940453</v>
      </c>
      <c r="I64" s="3"/>
      <c r="J64" s="17">
        <f t="shared" si="8"/>
        <v>7.570121463088892</v>
      </c>
      <c r="K64" s="17">
        <f t="shared" si="9"/>
        <v>2.1758498169873279</v>
      </c>
      <c r="L64" s="17">
        <f t="shared" si="10"/>
        <v>0.19947604284733628</v>
      </c>
      <c r="M64" s="17">
        <f t="shared" si="11"/>
        <v>0.19947604284733628</v>
      </c>
      <c r="N64" s="17">
        <f t="shared" si="12"/>
        <v>0.19947604284733628</v>
      </c>
      <c r="O64" s="3"/>
      <c r="P64" s="18">
        <f t="shared" si="13"/>
        <v>6523.2470808965963</v>
      </c>
      <c r="Q64" s="18">
        <f t="shared" si="18"/>
        <v>2052.1514319348662</v>
      </c>
      <c r="R64" s="18">
        <f t="shared" si="19"/>
        <v>0</v>
      </c>
      <c r="S64" s="18">
        <f t="shared" si="20"/>
        <v>0</v>
      </c>
      <c r="T64" s="18">
        <v>100</v>
      </c>
      <c r="U64" s="3"/>
      <c r="V64" s="18">
        <f t="shared" si="14"/>
        <v>8675.3985128314634</v>
      </c>
      <c r="W64" s="3"/>
      <c r="X64" s="14">
        <f t="shared" si="15"/>
        <v>8452966.1124146059</v>
      </c>
      <c r="Y64" s="14">
        <f t="shared" si="16"/>
        <v>2907.3985128314634</v>
      </c>
      <c r="AA64" s="14">
        <f t="shared" si="17"/>
        <v>2.7578567716809708E-3</v>
      </c>
      <c r="AB64" s="16"/>
    </row>
    <row r="65" spans="2:28" x14ac:dyDescent="0.35">
      <c r="B65" s="26">
        <v>8.2000000000000028</v>
      </c>
      <c r="C65" s="26">
        <v>5485</v>
      </c>
      <c r="D65" s="18">
        <f t="shared" si="7"/>
        <v>9.7290442040327303</v>
      </c>
      <c r="E65" s="18">
        <f t="shared" si="7"/>
        <v>2.9673340863354238</v>
      </c>
      <c r="F65" s="18">
        <f t="shared" si="7"/>
        <v>-1.3825850929940455</v>
      </c>
      <c r="G65" s="18">
        <f t="shared" si="7"/>
        <v>-1.3825850929940455</v>
      </c>
      <c r="H65" s="18">
        <f t="shared" si="7"/>
        <v>-1.3825850929940455</v>
      </c>
      <c r="I65" s="3"/>
      <c r="J65" s="17">
        <f t="shared" si="8"/>
        <v>7.6892242972252642</v>
      </c>
      <c r="K65" s="17">
        <f t="shared" si="9"/>
        <v>2.185492762581541</v>
      </c>
      <c r="L65" s="17">
        <f t="shared" si="10"/>
        <v>0.20451735391000997</v>
      </c>
      <c r="M65" s="17">
        <f t="shared" si="11"/>
        <v>0.20451735391000997</v>
      </c>
      <c r="N65" s="17">
        <f t="shared" si="12"/>
        <v>0.20451735391000997</v>
      </c>
      <c r="O65" s="3"/>
      <c r="P65" s="18">
        <f t="shared" si="13"/>
        <v>6334.1758491182536</v>
      </c>
      <c r="Q65" s="18">
        <f t="shared" si="18"/>
        <v>2036.9120734686164</v>
      </c>
      <c r="R65" s="18">
        <f t="shared" si="19"/>
        <v>0</v>
      </c>
      <c r="S65" s="18">
        <f t="shared" si="20"/>
        <v>0</v>
      </c>
      <c r="T65" s="18">
        <v>100</v>
      </c>
      <c r="U65" s="3"/>
      <c r="V65" s="18">
        <f t="shared" si="14"/>
        <v>8471.0879225868703</v>
      </c>
      <c r="W65" s="3"/>
      <c r="X65" s="14">
        <f t="shared" si="15"/>
        <v>8916721.0814191699</v>
      </c>
      <c r="Y65" s="14">
        <f t="shared" si="16"/>
        <v>2986.0879225868703</v>
      </c>
      <c r="AA65" s="14">
        <f t="shared" si="17"/>
        <v>2.8324987998019045E-3</v>
      </c>
      <c r="AB65" s="16"/>
    </row>
    <row r="66" spans="2:28" x14ac:dyDescent="0.35">
      <c r="B66" s="26">
        <v>8.5</v>
      </c>
      <c r="C66" s="26">
        <v>5238</v>
      </c>
      <c r="D66" s="18">
        <f t="shared" si="7"/>
        <v>9.8637578323337571</v>
      </c>
      <c r="E66" s="18">
        <f t="shared" si="7"/>
        <v>2.9813990470002882</v>
      </c>
      <c r="F66" s="18">
        <f t="shared" si="7"/>
        <v>-1.3525850929940457</v>
      </c>
      <c r="G66" s="18">
        <f t="shared" si="7"/>
        <v>-1.3525850929940457</v>
      </c>
      <c r="H66" s="18">
        <f t="shared" si="7"/>
        <v>-1.3525850929940457</v>
      </c>
      <c r="I66" s="3"/>
      <c r="J66" s="17">
        <f t="shared" si="8"/>
        <v>7.8085398455570543</v>
      </c>
      <c r="K66" s="17">
        <f t="shared" si="9"/>
        <v>2.195149083286752</v>
      </c>
      <c r="L66" s="17">
        <f t="shared" si="10"/>
        <v>0.20966398901776473</v>
      </c>
      <c r="M66" s="17">
        <f t="shared" si="11"/>
        <v>0.20966398901776473</v>
      </c>
      <c r="N66" s="17">
        <f t="shared" si="12"/>
        <v>0.20966398901776473</v>
      </c>
      <c r="O66" s="3"/>
      <c r="P66" s="18">
        <f t="shared" si="13"/>
        <v>6152.9006069272045</v>
      </c>
      <c r="Q66" s="18">
        <f t="shared" si="18"/>
        <v>2021.8229886119072</v>
      </c>
      <c r="R66" s="18">
        <f t="shared" si="19"/>
        <v>0</v>
      </c>
      <c r="S66" s="18">
        <f t="shared" si="20"/>
        <v>0</v>
      </c>
      <c r="T66" s="18">
        <v>100</v>
      </c>
      <c r="U66" s="3"/>
      <c r="V66" s="18">
        <f t="shared" si="14"/>
        <v>8274.7235955391116</v>
      </c>
      <c r="W66" s="3"/>
      <c r="X66" s="14">
        <f t="shared" si="15"/>
        <v>9221690.1957039889</v>
      </c>
      <c r="Y66" s="14">
        <f t="shared" si="16"/>
        <v>3036.7235955391116</v>
      </c>
      <c r="AA66" s="14">
        <f t="shared" si="17"/>
        <v>2.8805300321643242E-3</v>
      </c>
      <c r="AB66" s="16"/>
    </row>
    <row r="67" spans="2:28" x14ac:dyDescent="0.35">
      <c r="B67" s="26">
        <v>8.8000000000000114</v>
      </c>
      <c r="C67" s="26">
        <v>5479</v>
      </c>
      <c r="D67" s="18">
        <f t="shared" si="7"/>
        <v>9.9984714606347911</v>
      </c>
      <c r="E67" s="18">
        <f t="shared" si="7"/>
        <v>2.9954640076651531</v>
      </c>
      <c r="F67" s="18">
        <f t="shared" si="7"/>
        <v>-1.3225850929940446</v>
      </c>
      <c r="G67" s="18">
        <f t="shared" si="7"/>
        <v>-1.3225850929940446</v>
      </c>
      <c r="H67" s="18">
        <f t="shared" si="7"/>
        <v>-1.3225850929940446</v>
      </c>
      <c r="I67" s="3"/>
      <c r="J67" s="17">
        <f t="shared" si="8"/>
        <v>7.9280627488043729</v>
      </c>
      <c r="K67" s="17">
        <f t="shared" si="9"/>
        <v>2.2048187167651365</v>
      </c>
      <c r="L67" s="17">
        <f t="shared" si="10"/>
        <v>0.21491722623686785</v>
      </c>
      <c r="M67" s="17">
        <f t="shared" si="11"/>
        <v>0.21491722623686785</v>
      </c>
      <c r="N67" s="17">
        <f t="shared" si="12"/>
        <v>0.21491722623686785</v>
      </c>
      <c r="O67" s="3"/>
      <c r="P67" s="18">
        <f t="shared" si="13"/>
        <v>5979.0108402926189</v>
      </c>
      <c r="Q67" s="18">
        <f t="shared" si="18"/>
        <v>2006.8823913931458</v>
      </c>
      <c r="R67" s="18">
        <f t="shared" si="19"/>
        <v>0</v>
      </c>
      <c r="S67" s="18">
        <f t="shared" si="20"/>
        <v>0</v>
      </c>
      <c r="T67" s="18">
        <v>100</v>
      </c>
      <c r="U67" s="3"/>
      <c r="V67" s="18">
        <f t="shared" si="14"/>
        <v>8085.8932316857645</v>
      </c>
      <c r="W67" s="3"/>
      <c r="X67" s="14">
        <f t="shared" si="15"/>
        <v>6795892.3214090485</v>
      </c>
      <c r="Y67" s="14">
        <f t="shared" si="16"/>
        <v>2606.8932316857645</v>
      </c>
      <c r="AA67" s="14">
        <f t="shared" si="17"/>
        <v>2.4728079485230973E-3</v>
      </c>
      <c r="AB67" s="16"/>
    </row>
    <row r="68" spans="2:28" x14ac:dyDescent="0.35">
      <c r="B68" s="26">
        <v>9.1000000000000085</v>
      </c>
      <c r="C68" s="26">
        <v>5367</v>
      </c>
      <c r="D68" s="18">
        <f t="shared" si="7"/>
        <v>10.133185088935818</v>
      </c>
      <c r="E68" s="18">
        <f t="shared" si="7"/>
        <v>3.0095289683300175</v>
      </c>
      <c r="F68" s="18">
        <f t="shared" si="7"/>
        <v>-1.2925850929940448</v>
      </c>
      <c r="G68" s="18">
        <f t="shared" si="7"/>
        <v>-1.2925850929940448</v>
      </c>
      <c r="H68" s="18">
        <f t="shared" si="7"/>
        <v>-1.2925850929940448</v>
      </c>
      <c r="I68" s="3"/>
      <c r="J68" s="17">
        <f t="shared" si="8"/>
        <v>8.0477878380030727</v>
      </c>
      <c r="K68" s="17">
        <f t="shared" si="9"/>
        <v>2.2145016009909542</v>
      </c>
      <c r="L68" s="17">
        <f t="shared" si="10"/>
        <v>0.22027832510493689</v>
      </c>
      <c r="M68" s="17">
        <f t="shared" si="11"/>
        <v>0.22027832510493689</v>
      </c>
      <c r="N68" s="17">
        <f t="shared" si="12"/>
        <v>0.22027832510493689</v>
      </c>
      <c r="O68" s="3"/>
      <c r="P68" s="18">
        <f t="shared" si="13"/>
        <v>5812.1220651135036</v>
      </c>
      <c r="Q68" s="18">
        <f t="shared" si="18"/>
        <v>1992.0885200291611</v>
      </c>
      <c r="R68" s="18">
        <f t="shared" si="19"/>
        <v>0</v>
      </c>
      <c r="S68" s="18">
        <f t="shared" si="20"/>
        <v>0</v>
      </c>
      <c r="T68" s="18">
        <v>100</v>
      </c>
      <c r="U68" s="3"/>
      <c r="V68" s="18">
        <f t="shared" si="14"/>
        <v>7904.210585142665</v>
      </c>
      <c r="W68" s="3"/>
      <c r="X68" s="14">
        <f t="shared" si="15"/>
        <v>6437437.5533599844</v>
      </c>
      <c r="Y68" s="14">
        <f t="shared" si="16"/>
        <v>2537.210585142665</v>
      </c>
      <c r="AA68" s="14">
        <f t="shared" si="17"/>
        <v>2.4067094216822125E-3</v>
      </c>
      <c r="AB68" s="16"/>
    </row>
    <row r="69" spans="2:28" x14ac:dyDescent="0.35">
      <c r="B69" s="26">
        <v>9.4000000000000057</v>
      </c>
      <c r="C69" s="26">
        <v>5195</v>
      </c>
      <c r="D69" s="18">
        <f t="shared" si="7"/>
        <v>10.267898717236845</v>
      </c>
      <c r="E69" s="18">
        <f t="shared" si="7"/>
        <v>3.0235939289948819</v>
      </c>
      <c r="F69" s="18">
        <f t="shared" si="7"/>
        <v>-1.2625850929940452</v>
      </c>
      <c r="G69" s="18">
        <f t="shared" si="7"/>
        <v>-1.2625850929940452</v>
      </c>
      <c r="H69" s="18">
        <f t="shared" si="7"/>
        <v>-1.2625850929940452</v>
      </c>
      <c r="I69" s="3"/>
      <c r="J69" s="17">
        <f t="shared" si="8"/>
        <v>8.1677101259871883</v>
      </c>
      <c r="K69" s="17">
        <f t="shared" si="9"/>
        <v>2.224197674249786</v>
      </c>
      <c r="L69" s="17">
        <f t="shared" si="10"/>
        <v>0.2257485254583384</v>
      </c>
      <c r="M69" s="17">
        <f t="shared" si="11"/>
        <v>0.2257485254583384</v>
      </c>
      <c r="N69" s="17">
        <f t="shared" si="12"/>
        <v>0.2257485254583384</v>
      </c>
      <c r="O69" s="3"/>
      <c r="P69" s="18">
        <f t="shared" si="13"/>
        <v>5651.8739120404953</v>
      </c>
      <c r="Q69" s="18">
        <f t="shared" si="18"/>
        <v>1977.4396365664261</v>
      </c>
      <c r="R69" s="18">
        <f t="shared" si="19"/>
        <v>0</v>
      </c>
      <c r="S69" s="18">
        <f t="shared" si="20"/>
        <v>0</v>
      </c>
      <c r="T69" s="18">
        <v>100</v>
      </c>
      <c r="U69" s="3"/>
      <c r="V69" s="18">
        <f t="shared" si="14"/>
        <v>7729.3135486069214</v>
      </c>
      <c r="W69" s="3"/>
      <c r="X69" s="14">
        <f t="shared" si="15"/>
        <v>6422745.1626526061</v>
      </c>
      <c r="Y69" s="14">
        <f t="shared" si="16"/>
        <v>2534.3135486069214</v>
      </c>
      <c r="AA69" s="14">
        <f t="shared" si="17"/>
        <v>2.403961393920402E-3</v>
      </c>
      <c r="AB69" s="16"/>
    </row>
    <row r="70" spans="2:28" x14ac:dyDescent="0.35">
      <c r="B70" s="26">
        <v>9.8000000000000114</v>
      </c>
      <c r="C70" s="26">
        <v>5249</v>
      </c>
      <c r="D70" s="18">
        <f t="shared" si="7"/>
        <v>10.447516888304886</v>
      </c>
      <c r="E70" s="18">
        <f t="shared" si="7"/>
        <v>3.0423472098813682</v>
      </c>
      <c r="F70" s="18">
        <f t="shared" si="7"/>
        <v>-1.2225850929940445</v>
      </c>
      <c r="G70" s="18">
        <f t="shared" si="7"/>
        <v>-1.2225850929940445</v>
      </c>
      <c r="H70" s="18">
        <f t="shared" si="7"/>
        <v>-1.2225850929940445</v>
      </c>
      <c r="I70" s="3"/>
      <c r="J70" s="17">
        <f t="shared" si="8"/>
        <v>8.3279049681789665</v>
      </c>
      <c r="K70" s="17">
        <f t="shared" si="9"/>
        <v>2.237146182116263</v>
      </c>
      <c r="L70" s="17">
        <f t="shared" si="10"/>
        <v>0.23321394307926904</v>
      </c>
      <c r="M70" s="17">
        <f t="shared" si="11"/>
        <v>0.23321394307926904</v>
      </c>
      <c r="N70" s="17">
        <f t="shared" si="12"/>
        <v>0.23321394307926904</v>
      </c>
      <c r="O70" s="3"/>
      <c r="P70" s="18">
        <f t="shared" si="13"/>
        <v>5447.9583664989905</v>
      </c>
      <c r="Q70" s="18">
        <f t="shared" si="18"/>
        <v>1958.1303687290297</v>
      </c>
      <c r="R70" s="18">
        <f t="shared" si="19"/>
        <v>0</v>
      </c>
      <c r="S70" s="18">
        <f t="shared" si="20"/>
        <v>0</v>
      </c>
      <c r="T70" s="18">
        <v>100</v>
      </c>
      <c r="U70" s="3"/>
      <c r="V70" s="18">
        <f t="shared" si="14"/>
        <v>7506.0887352280206</v>
      </c>
      <c r="W70" s="3"/>
      <c r="X70" s="14">
        <f t="shared" si="15"/>
        <v>5094449.5586932255</v>
      </c>
      <c r="Y70" s="14">
        <f t="shared" si="16"/>
        <v>2257.0887352280206</v>
      </c>
      <c r="AA70" s="14">
        <f t="shared" si="17"/>
        <v>2.1409956100828034E-3</v>
      </c>
      <c r="AB70" s="16"/>
    </row>
    <row r="71" spans="2:28" x14ac:dyDescent="0.35">
      <c r="B71" s="26">
        <v>10.100000000000009</v>
      </c>
      <c r="C71" s="26">
        <v>4905</v>
      </c>
      <c r="D71" s="18">
        <f t="shared" si="7"/>
        <v>10.582230516605913</v>
      </c>
      <c r="E71" s="18">
        <f t="shared" si="7"/>
        <v>3.0564121705462326</v>
      </c>
      <c r="F71" s="18">
        <f t="shared" si="7"/>
        <v>-1.1925850929940449</v>
      </c>
      <c r="G71" s="18">
        <f t="shared" si="7"/>
        <v>-1.1925850929940449</v>
      </c>
      <c r="H71" s="18">
        <f t="shared" si="7"/>
        <v>-1.1925850929940449</v>
      </c>
      <c r="I71" s="3"/>
      <c r="J71" s="17">
        <f t="shared" si="8"/>
        <v>8.4482689537655418</v>
      </c>
      <c r="K71" s="17">
        <f t="shared" si="9"/>
        <v>2.2468727915277942</v>
      </c>
      <c r="L71" s="17">
        <f t="shared" si="10"/>
        <v>0.23894341585055329</v>
      </c>
      <c r="M71" s="17">
        <f t="shared" si="11"/>
        <v>0.23894341585055329</v>
      </c>
      <c r="N71" s="17">
        <f t="shared" si="12"/>
        <v>0.23894341585055329</v>
      </c>
      <c r="O71" s="3"/>
      <c r="P71" s="18">
        <f t="shared" si="13"/>
        <v>5301.9261583996931</v>
      </c>
      <c r="Q71" s="18">
        <f t="shared" si="18"/>
        <v>1943.813162885084</v>
      </c>
      <c r="R71" s="18">
        <f t="shared" si="19"/>
        <v>0</v>
      </c>
      <c r="S71" s="18">
        <f t="shared" si="20"/>
        <v>0</v>
      </c>
      <c r="T71" s="18">
        <v>100</v>
      </c>
      <c r="U71" s="3"/>
      <c r="V71" s="18">
        <f t="shared" si="14"/>
        <v>7345.7393212847774</v>
      </c>
      <c r="W71" s="3"/>
      <c r="X71" s="14">
        <f t="shared" si="15"/>
        <v>5957208.4344656756</v>
      </c>
      <c r="Y71" s="14">
        <f t="shared" si="16"/>
        <v>2440.7393212847774</v>
      </c>
      <c r="AA71" s="14">
        <f t="shared" si="17"/>
        <v>2.3152001472814387E-3</v>
      </c>
      <c r="AB71" s="16"/>
    </row>
    <row r="72" spans="2:28" x14ac:dyDescent="0.35">
      <c r="B72" s="26">
        <v>10.400000000000006</v>
      </c>
      <c r="C72" s="26">
        <v>4935</v>
      </c>
      <c r="D72" s="18">
        <f t="shared" si="7"/>
        <v>10.71694414490694</v>
      </c>
      <c r="E72" s="18">
        <f t="shared" si="7"/>
        <v>3.070477131211097</v>
      </c>
      <c r="F72" s="18">
        <f t="shared" si="7"/>
        <v>-1.1625850929940451</v>
      </c>
      <c r="G72" s="18">
        <f t="shared" si="7"/>
        <v>-1.1625850929940451</v>
      </c>
      <c r="H72" s="18">
        <f t="shared" si="7"/>
        <v>-1.1625850929940451</v>
      </c>
      <c r="I72" s="3"/>
      <c r="J72" s="17">
        <f t="shared" si="8"/>
        <v>8.5688147267878332</v>
      </c>
      <c r="K72" s="17">
        <f t="shared" si="9"/>
        <v>2.2566123864957994</v>
      </c>
      <c r="L72" s="17">
        <f t="shared" si="10"/>
        <v>0.2447859658868542</v>
      </c>
      <c r="M72" s="17">
        <f t="shared" si="11"/>
        <v>0.2447859658868542</v>
      </c>
      <c r="N72" s="17">
        <f t="shared" si="12"/>
        <v>0.2447859658868542</v>
      </c>
      <c r="O72" s="3"/>
      <c r="P72" s="18">
        <f t="shared" si="13"/>
        <v>5161.4860169064686</v>
      </c>
      <c r="Q72" s="18">
        <f t="shared" si="18"/>
        <v>1929.6353193741659</v>
      </c>
      <c r="R72" s="18">
        <f t="shared" si="19"/>
        <v>0</v>
      </c>
      <c r="S72" s="18">
        <f t="shared" si="20"/>
        <v>0</v>
      </c>
      <c r="T72" s="18">
        <v>100</v>
      </c>
      <c r="U72" s="3"/>
      <c r="V72" s="18">
        <f t="shared" si="14"/>
        <v>7191.1213362806348</v>
      </c>
      <c r="W72" s="3"/>
      <c r="X72" s="14">
        <f t="shared" si="15"/>
        <v>5090083.4840207174</v>
      </c>
      <c r="Y72" s="14">
        <f t="shared" si="16"/>
        <v>2256.1213362806348</v>
      </c>
      <c r="AA72" s="14">
        <f t="shared" si="17"/>
        <v>2.1400779692000035E-3</v>
      </c>
      <c r="AB72" s="16"/>
    </row>
    <row r="73" spans="2:28" x14ac:dyDescent="0.35">
      <c r="B73" s="26">
        <v>10.700000000000003</v>
      </c>
      <c r="C73" s="26">
        <v>4928</v>
      </c>
      <c r="D73" s="18">
        <f t="shared" si="7"/>
        <v>10.851657773207968</v>
      </c>
      <c r="E73" s="18">
        <f t="shared" si="7"/>
        <v>3.0845420918759614</v>
      </c>
      <c r="F73" s="18">
        <f t="shared" si="7"/>
        <v>-1.1325850929940455</v>
      </c>
      <c r="G73" s="18">
        <f t="shared" si="7"/>
        <v>-1.1325850929940455</v>
      </c>
      <c r="H73" s="18">
        <f t="shared" si="7"/>
        <v>-1.1325850929940455</v>
      </c>
      <c r="I73" s="3"/>
      <c r="J73" s="17">
        <f t="shared" si="8"/>
        <v>8.6895379999111402</v>
      </c>
      <c r="K73" s="17">
        <f t="shared" si="9"/>
        <v>2.2663649066455842</v>
      </c>
      <c r="L73" s="17">
        <f t="shared" si="10"/>
        <v>0.25074273452818835</v>
      </c>
      <c r="M73" s="17">
        <f t="shared" si="11"/>
        <v>0.25074273452818835</v>
      </c>
      <c r="N73" s="17">
        <f t="shared" si="12"/>
        <v>0.25074273452818835</v>
      </c>
      <c r="O73" s="3"/>
      <c r="P73" s="18">
        <f t="shared" si="13"/>
        <v>5026.3635415274994</v>
      </c>
      <c r="Q73" s="18">
        <f t="shared" si="18"/>
        <v>1915.5951994943391</v>
      </c>
      <c r="R73" s="18">
        <f t="shared" si="19"/>
        <v>0</v>
      </c>
      <c r="S73" s="18">
        <f t="shared" si="20"/>
        <v>0</v>
      </c>
      <c r="T73" s="18">
        <v>100</v>
      </c>
      <c r="U73" s="3"/>
      <c r="V73" s="18">
        <f t="shared" si="14"/>
        <v>7041.9587410218383</v>
      </c>
      <c r="W73" s="3"/>
      <c r="X73" s="14">
        <f t="shared" si="15"/>
        <v>4468821.558742635</v>
      </c>
      <c r="Y73" s="14">
        <f t="shared" si="16"/>
        <v>2113.9587410218383</v>
      </c>
      <c r="AA73" s="14">
        <f t="shared" si="17"/>
        <v>2.0052274922929391E-3</v>
      </c>
      <c r="AB73" s="16"/>
    </row>
    <row r="74" spans="2:28" x14ac:dyDescent="0.35">
      <c r="B74" s="26">
        <v>11</v>
      </c>
      <c r="C74" s="26">
        <v>4924</v>
      </c>
      <c r="D74" s="18">
        <f t="shared" si="7"/>
        <v>10.986371401508993</v>
      </c>
      <c r="E74" s="18">
        <f t="shared" si="7"/>
        <v>3.0986070525408254</v>
      </c>
      <c r="F74" s="18">
        <f t="shared" si="7"/>
        <v>-1.1025850929940457</v>
      </c>
      <c r="G74" s="18">
        <f t="shared" si="7"/>
        <v>-1.1025850929940457</v>
      </c>
      <c r="H74" s="18">
        <f t="shared" si="7"/>
        <v>-1.1025850929940457</v>
      </c>
      <c r="I74" s="3"/>
      <c r="J74" s="17">
        <f t="shared" si="8"/>
        <v>8.8104346291612785</v>
      </c>
      <c r="K74" s="17">
        <f t="shared" si="9"/>
        <v>2.2761302919093604</v>
      </c>
      <c r="L74" s="17">
        <f t="shared" si="10"/>
        <v>0.25681483748255013</v>
      </c>
      <c r="M74" s="17">
        <f t="shared" si="11"/>
        <v>0.25681483748255013</v>
      </c>
      <c r="N74" s="17">
        <f t="shared" si="12"/>
        <v>0.25681483748255013</v>
      </c>
      <c r="O74" s="3"/>
      <c r="P74" s="18">
        <f t="shared" si="13"/>
        <v>4896.3005935644442</v>
      </c>
      <c r="Q74" s="18">
        <f t="shared" si="18"/>
        <v>1901.6911865528311</v>
      </c>
      <c r="R74" s="18">
        <f t="shared" si="19"/>
        <v>0</v>
      </c>
      <c r="S74" s="18">
        <f t="shared" si="20"/>
        <v>0</v>
      </c>
      <c r="T74" s="18">
        <v>100</v>
      </c>
      <c r="U74" s="3"/>
      <c r="V74" s="18">
        <f t="shared" si="14"/>
        <v>6897.9917801172751</v>
      </c>
      <c r="W74" s="3"/>
      <c r="X74" s="14">
        <f t="shared" si="15"/>
        <v>3896643.5479705683</v>
      </c>
      <c r="Y74" s="14">
        <f t="shared" si="16"/>
        <v>1973.9917801172751</v>
      </c>
      <c r="AA74" s="14">
        <f t="shared" si="17"/>
        <v>1.8724597175146793E-3</v>
      </c>
      <c r="AB74" s="16"/>
    </row>
    <row r="75" spans="2:28" x14ac:dyDescent="0.35">
      <c r="B75" s="26">
        <v>11.300000000000011</v>
      </c>
      <c r="C75" s="26">
        <v>4833</v>
      </c>
      <c r="D75" s="18">
        <f t="shared" si="7"/>
        <v>11.121085029810029</v>
      </c>
      <c r="E75" s="18">
        <f t="shared" si="7"/>
        <v>3.1126720132056906</v>
      </c>
      <c r="F75" s="18">
        <f t="shared" si="7"/>
        <v>-1.0725850929940446</v>
      </c>
      <c r="G75" s="18">
        <f t="shared" si="7"/>
        <v>-1.0725850929940446</v>
      </c>
      <c r="H75" s="18">
        <f t="shared" si="7"/>
        <v>-1.0725850929940446</v>
      </c>
      <c r="I75" s="3"/>
      <c r="J75" s="17">
        <f t="shared" si="8"/>
        <v>8.9315006078467185</v>
      </c>
      <c r="K75" s="17">
        <f t="shared" si="9"/>
        <v>2.2859084825253655</v>
      </c>
      <c r="L75" s="17">
        <f t="shared" si="10"/>
        <v>0.26300336379542971</v>
      </c>
      <c r="M75" s="17">
        <f t="shared" si="11"/>
        <v>0.26300336379542971</v>
      </c>
      <c r="N75" s="17">
        <f t="shared" si="12"/>
        <v>0.26300336379542971</v>
      </c>
      <c r="O75" s="3"/>
      <c r="P75" s="18">
        <f t="shared" si="13"/>
        <v>4771.0541748540882</v>
      </c>
      <c r="Q75" s="18">
        <f t="shared" si="18"/>
        <v>1887.9216855414461</v>
      </c>
      <c r="R75" s="18">
        <f t="shared" si="19"/>
        <v>0</v>
      </c>
      <c r="S75" s="18">
        <f t="shared" si="20"/>
        <v>0</v>
      </c>
      <c r="T75" s="18">
        <v>100</v>
      </c>
      <c r="U75" s="3"/>
      <c r="V75" s="18">
        <f t="shared" si="14"/>
        <v>6758.9758603955343</v>
      </c>
      <c r="W75" s="3"/>
      <c r="X75" s="14">
        <f t="shared" si="15"/>
        <v>3709383.0148263182</v>
      </c>
      <c r="Y75" s="14">
        <f t="shared" si="16"/>
        <v>1925.9758603955343</v>
      </c>
      <c r="AA75" s="14">
        <f t="shared" si="17"/>
        <v>1.8269134916468913E-3</v>
      </c>
      <c r="AB75" s="16"/>
    </row>
    <row r="76" spans="2:28" x14ac:dyDescent="0.35">
      <c r="B76" s="26">
        <v>11.700000000000003</v>
      </c>
      <c r="C76" s="26">
        <v>4769</v>
      </c>
      <c r="D76" s="18">
        <f t="shared" si="7"/>
        <v>11.300703200878061</v>
      </c>
      <c r="E76" s="18">
        <f t="shared" si="7"/>
        <v>3.1314252940921765</v>
      </c>
      <c r="F76" s="18">
        <f t="shared" si="7"/>
        <v>-1.0325850929940454</v>
      </c>
      <c r="G76" s="18">
        <f t="shared" si="7"/>
        <v>-1.0325850929940454</v>
      </c>
      <c r="H76" s="18">
        <f t="shared" si="7"/>
        <v>-1.0325850929940454</v>
      </c>
      <c r="I76" s="3"/>
      <c r="J76" s="17">
        <f t="shared" si="8"/>
        <v>9.0931786656274944</v>
      </c>
      <c r="K76" s="17">
        <f t="shared" si="9"/>
        <v>2.2989658867294294</v>
      </c>
      <c r="L76" s="17">
        <f t="shared" si="10"/>
        <v>0.271437665601717</v>
      </c>
      <c r="M76" s="17">
        <f t="shared" si="11"/>
        <v>0.271437665601717</v>
      </c>
      <c r="N76" s="17">
        <f t="shared" si="12"/>
        <v>0.271437665601717</v>
      </c>
      <c r="O76" s="3"/>
      <c r="P76" s="18">
        <f t="shared" si="13"/>
        <v>4611.1576260814536</v>
      </c>
      <c r="Q76" s="18">
        <f t="shared" si="18"/>
        <v>1869.7688748007638</v>
      </c>
      <c r="R76" s="18">
        <f t="shared" si="19"/>
        <v>0</v>
      </c>
      <c r="S76" s="18">
        <f t="shared" si="20"/>
        <v>0</v>
      </c>
      <c r="T76" s="18">
        <v>100</v>
      </c>
      <c r="U76" s="3"/>
      <c r="V76" s="18">
        <f t="shared" si="14"/>
        <v>6580.9265008822176</v>
      </c>
      <c r="W76" s="3"/>
      <c r="X76" s="14">
        <f t="shared" si="15"/>
        <v>3283077.6445992771</v>
      </c>
      <c r="Y76" s="14">
        <f t="shared" si="16"/>
        <v>1811.9265008822176</v>
      </c>
      <c r="AA76" s="14">
        <f t="shared" si="17"/>
        <v>1.7187302491187245E-3</v>
      </c>
      <c r="AB76" s="16"/>
    </row>
    <row r="77" spans="2:28" x14ac:dyDescent="0.35">
      <c r="B77" s="26">
        <v>12</v>
      </c>
      <c r="C77" s="26">
        <v>4633</v>
      </c>
      <c r="D77" s="18">
        <f t="shared" si="7"/>
        <v>11.43541682917909</v>
      </c>
      <c r="E77" s="18">
        <f t="shared" si="7"/>
        <v>3.1454902547570409</v>
      </c>
      <c r="F77" s="18">
        <f t="shared" si="7"/>
        <v>-1.0025850929940456</v>
      </c>
      <c r="G77" s="18">
        <f t="shared" si="7"/>
        <v>-1.0025850929940456</v>
      </c>
      <c r="H77" s="18">
        <f t="shared" si="7"/>
        <v>-1.0025850929940456</v>
      </c>
      <c r="I77" s="3"/>
      <c r="J77" s="17">
        <f t="shared" si="8"/>
        <v>9.2146249399247111</v>
      </c>
      <c r="K77" s="17">
        <f t="shared" si="9"/>
        <v>2.3087737258059868</v>
      </c>
      <c r="L77" s="17">
        <f t="shared" si="10"/>
        <v>0.27790192441533546</v>
      </c>
      <c r="M77" s="17">
        <f t="shared" si="11"/>
        <v>0.27790192441533546</v>
      </c>
      <c r="N77" s="17">
        <f t="shared" si="12"/>
        <v>0.27790192441533546</v>
      </c>
      <c r="O77" s="3"/>
      <c r="P77" s="18">
        <f t="shared" si="13"/>
        <v>4496.2822492074401</v>
      </c>
      <c r="Q77" s="18">
        <f t="shared" si="18"/>
        <v>1856.3071515755157</v>
      </c>
      <c r="R77" s="18">
        <f t="shared" si="19"/>
        <v>0</v>
      </c>
      <c r="S77" s="18">
        <f t="shared" si="20"/>
        <v>0</v>
      </c>
      <c r="T77" s="18">
        <v>100</v>
      </c>
      <c r="U77" s="3"/>
      <c r="V77" s="18">
        <f t="shared" si="14"/>
        <v>6452.5894007829556</v>
      </c>
      <c r="W77" s="3"/>
      <c r="X77" s="14">
        <f t="shared" si="15"/>
        <v>3310905.5874416754</v>
      </c>
      <c r="Y77" s="14">
        <f t="shared" si="16"/>
        <v>1819.5894007829556</v>
      </c>
      <c r="AA77" s="14">
        <f t="shared" si="17"/>
        <v>1.725999008557341E-3</v>
      </c>
      <c r="AB77" s="16"/>
    </row>
    <row r="78" spans="2:28" x14ac:dyDescent="0.35">
      <c r="B78" s="26">
        <v>12.300000000000011</v>
      </c>
      <c r="C78" s="26">
        <v>4688</v>
      </c>
      <c r="D78" s="18">
        <f t="shared" si="7"/>
        <v>11.570130457480122</v>
      </c>
      <c r="E78" s="18">
        <f t="shared" si="7"/>
        <v>3.1595552154219058</v>
      </c>
      <c r="F78" s="18">
        <f t="shared" si="7"/>
        <v>-0.9725850929940445</v>
      </c>
      <c r="G78" s="18">
        <f t="shared" si="7"/>
        <v>-0.9725850929940445</v>
      </c>
      <c r="H78" s="18">
        <f t="shared" si="7"/>
        <v>-0.9725850929940445</v>
      </c>
      <c r="I78" s="3"/>
      <c r="J78" s="17">
        <f t="shared" si="8"/>
        <v>9.3362281275395276</v>
      </c>
      <c r="K78" s="17">
        <f t="shared" si="9"/>
        <v>2.3185941732273392</v>
      </c>
      <c r="L78" s="17">
        <f t="shared" si="10"/>
        <v>0.28448603162078362</v>
      </c>
      <c r="M78" s="17">
        <f t="shared" si="11"/>
        <v>0.28448603162078362</v>
      </c>
      <c r="N78" s="17">
        <f t="shared" si="12"/>
        <v>0.28448603162078362</v>
      </c>
      <c r="O78" s="3"/>
      <c r="P78" s="18">
        <f t="shared" si="13"/>
        <v>4385.5100709149638</v>
      </c>
      <c r="Q78" s="18">
        <f t="shared" si="18"/>
        <v>1842.9747761323908</v>
      </c>
      <c r="R78" s="18">
        <f t="shared" si="19"/>
        <v>0</v>
      </c>
      <c r="S78" s="18">
        <f t="shared" si="20"/>
        <v>0</v>
      </c>
      <c r="T78" s="18">
        <v>100</v>
      </c>
      <c r="U78" s="3"/>
      <c r="V78" s="18">
        <f t="shared" si="14"/>
        <v>6328.4848470473544</v>
      </c>
      <c r="W78" s="3"/>
      <c r="X78" s="14">
        <f t="shared" si="15"/>
        <v>2691190.5333919819</v>
      </c>
      <c r="Y78" s="14">
        <f t="shared" si="16"/>
        <v>1640.4848470473544</v>
      </c>
      <c r="AA78" s="14">
        <f t="shared" si="17"/>
        <v>1.556106678978627E-3</v>
      </c>
      <c r="AB78" s="16"/>
    </row>
    <row r="79" spans="2:28" x14ac:dyDescent="0.35">
      <c r="B79" s="26">
        <v>12.600000000000009</v>
      </c>
      <c r="C79" s="26">
        <v>4504</v>
      </c>
      <c r="D79" s="18">
        <f t="shared" si="7"/>
        <v>11.704844085781151</v>
      </c>
      <c r="E79" s="18">
        <f t="shared" si="7"/>
        <v>3.1736201760867702</v>
      </c>
      <c r="F79" s="18">
        <f t="shared" si="7"/>
        <v>-0.94258509299404492</v>
      </c>
      <c r="G79" s="18">
        <f t="shared" si="7"/>
        <v>-0.94258509299404492</v>
      </c>
      <c r="H79" s="18">
        <f t="shared" si="7"/>
        <v>-0.94258509299404492</v>
      </c>
      <c r="I79" s="3"/>
      <c r="J79" s="17">
        <f t="shared" si="8"/>
        <v>9.4579847535744612</v>
      </c>
      <c r="K79" s="17">
        <f t="shared" si="9"/>
        <v>2.3284271705471835</v>
      </c>
      <c r="L79" s="17">
        <f t="shared" si="10"/>
        <v>0.29119094964936071</v>
      </c>
      <c r="M79" s="17">
        <f t="shared" si="11"/>
        <v>0.29119094964936071</v>
      </c>
      <c r="N79" s="17">
        <f t="shared" si="12"/>
        <v>0.29119094964936071</v>
      </c>
      <c r="O79" s="3"/>
      <c r="P79" s="18">
        <f t="shared" si="13"/>
        <v>4278.6527355209746</v>
      </c>
      <c r="Q79" s="18">
        <f t="shared" si="18"/>
        <v>1829.7702438013698</v>
      </c>
      <c r="R79" s="18">
        <f t="shared" si="19"/>
        <v>0</v>
      </c>
      <c r="S79" s="18">
        <f t="shared" si="20"/>
        <v>0</v>
      </c>
      <c r="T79" s="18">
        <v>100</v>
      </c>
      <c r="U79" s="3"/>
      <c r="V79" s="18">
        <f t="shared" si="14"/>
        <v>6208.422979322344</v>
      </c>
      <c r="W79" s="3"/>
      <c r="X79" s="14">
        <f t="shared" si="15"/>
        <v>2905057.6924420553</v>
      </c>
      <c r="Y79" s="14">
        <f t="shared" si="16"/>
        <v>1704.422979322344</v>
      </c>
      <c r="AA79" s="14">
        <f t="shared" si="17"/>
        <v>1.616756160047353E-3</v>
      </c>
      <c r="AB79" s="16"/>
    </row>
    <row r="80" spans="2:28" x14ac:dyDescent="0.35">
      <c r="B80" s="26">
        <v>12.900000000000006</v>
      </c>
      <c r="C80" s="26">
        <v>4481</v>
      </c>
      <c r="D80" s="18">
        <f t="shared" si="7"/>
        <v>11.839557714082177</v>
      </c>
      <c r="E80" s="18">
        <f t="shared" si="7"/>
        <v>3.1876851367516346</v>
      </c>
      <c r="F80" s="18">
        <f t="shared" si="7"/>
        <v>-0.91258509299404511</v>
      </c>
      <c r="G80" s="18">
        <f t="shared" si="7"/>
        <v>-0.91258509299404511</v>
      </c>
      <c r="H80" s="18">
        <f t="shared" si="7"/>
        <v>-0.91258509299404511</v>
      </c>
      <c r="I80" s="3"/>
      <c r="J80" s="17">
        <f t="shared" si="8"/>
        <v>9.579891452771955</v>
      </c>
      <c r="K80" s="17">
        <f t="shared" si="9"/>
        <v>2.3382726596202446</v>
      </c>
      <c r="L80" s="17">
        <f t="shared" si="10"/>
        <v>0.29801760937296273</v>
      </c>
      <c r="M80" s="17">
        <f t="shared" si="11"/>
        <v>0.29801760937296273</v>
      </c>
      <c r="N80" s="17">
        <f t="shared" si="12"/>
        <v>0.29801760937296273</v>
      </c>
      <c r="O80" s="3"/>
      <c r="P80" s="18">
        <f t="shared" si="13"/>
        <v>4175.5323564186992</v>
      </c>
      <c r="Q80" s="18">
        <f t="shared" si="18"/>
        <v>1816.6920699498137</v>
      </c>
      <c r="R80" s="18">
        <f t="shared" si="19"/>
        <v>0</v>
      </c>
      <c r="S80" s="18">
        <f t="shared" si="20"/>
        <v>0</v>
      </c>
      <c r="T80" s="18">
        <v>100</v>
      </c>
      <c r="U80" s="3"/>
      <c r="V80" s="18">
        <f t="shared" si="14"/>
        <v>6092.2244263685134</v>
      </c>
      <c r="W80" s="3"/>
      <c r="X80" s="14">
        <f t="shared" si="15"/>
        <v>2596044.1521265451</v>
      </c>
      <c r="Y80" s="14">
        <f t="shared" si="16"/>
        <v>1611.2244263685134</v>
      </c>
      <c r="AA80" s="14">
        <f t="shared" si="17"/>
        <v>1.528351265004508E-3</v>
      </c>
      <c r="AB80" s="16"/>
    </row>
    <row r="81" spans="2:28" x14ac:dyDescent="0.35">
      <c r="B81" s="26">
        <v>13.200000000000003</v>
      </c>
      <c r="C81" s="26">
        <v>4455</v>
      </c>
      <c r="D81" s="18">
        <f t="shared" si="7"/>
        <v>11.974271342383204</v>
      </c>
      <c r="E81" s="18">
        <f t="shared" si="7"/>
        <v>3.2017500974164985</v>
      </c>
      <c r="F81" s="18">
        <f t="shared" si="7"/>
        <v>-0.88258509299404553</v>
      </c>
      <c r="G81" s="18">
        <f t="shared" si="7"/>
        <v>-0.88258509299404553</v>
      </c>
      <c r="H81" s="18">
        <f t="shared" si="7"/>
        <v>-0.88258509299404553</v>
      </c>
      <c r="I81" s="3"/>
      <c r="J81" s="17">
        <f t="shared" si="8"/>
        <v>9.7019449651069856</v>
      </c>
      <c r="K81" s="17">
        <f t="shared" si="9"/>
        <v>2.3481305826012915</v>
      </c>
      <c r="L81" s="17">
        <f t="shared" si="10"/>
        <v>0.30496690931517884</v>
      </c>
      <c r="M81" s="17">
        <f t="shared" si="11"/>
        <v>0.30496690931517884</v>
      </c>
      <c r="N81" s="17">
        <f t="shared" si="12"/>
        <v>0.30496690931517884</v>
      </c>
      <c r="O81" s="3"/>
      <c r="P81" s="18">
        <f t="shared" si="13"/>
        <v>4075.9808375176958</v>
      </c>
      <c r="Q81" s="18">
        <f t="shared" si="18"/>
        <v>1803.7387896887337</v>
      </c>
      <c r="R81" s="18">
        <f t="shared" si="19"/>
        <v>0</v>
      </c>
      <c r="S81" s="18">
        <f t="shared" si="20"/>
        <v>0</v>
      </c>
      <c r="T81" s="18">
        <v>100</v>
      </c>
      <c r="U81" s="3"/>
      <c r="V81" s="18">
        <f t="shared" si="14"/>
        <v>5979.7196272064293</v>
      </c>
      <c r="W81" s="3"/>
      <c r="X81" s="14">
        <f t="shared" si="15"/>
        <v>2324769.9415885126</v>
      </c>
      <c r="Y81" s="14">
        <f t="shared" si="16"/>
        <v>1524.7196272064293</v>
      </c>
      <c r="AA81" s="14">
        <f t="shared" si="17"/>
        <v>1.4462958312209504E-3</v>
      </c>
      <c r="AB81" s="16"/>
    </row>
    <row r="82" spans="2:28" x14ac:dyDescent="0.35">
      <c r="B82" s="26">
        <v>13.5</v>
      </c>
      <c r="C82" s="26">
        <v>4432</v>
      </c>
      <c r="D82" s="18">
        <f t="shared" si="7"/>
        <v>12.108984970684233</v>
      </c>
      <c r="E82" s="18">
        <f t="shared" si="7"/>
        <v>3.2158150580813629</v>
      </c>
      <c r="F82" s="18">
        <f t="shared" si="7"/>
        <v>-0.85258509299404572</v>
      </c>
      <c r="G82" s="18">
        <f t="shared" si="7"/>
        <v>-0.85258509299404572</v>
      </c>
      <c r="H82" s="18">
        <f t="shared" si="7"/>
        <v>-0.85258509299404572</v>
      </c>
      <c r="I82" s="3"/>
      <c r="J82" s="17">
        <f t="shared" si="8"/>
        <v>9.8241421315917812</v>
      </c>
      <c r="K82" s="17">
        <f t="shared" si="9"/>
        <v>2.3580008819441414</v>
      </c>
      <c r="L82" s="17">
        <f t="shared" si="10"/>
        <v>0.31203971490792232</v>
      </c>
      <c r="M82" s="17">
        <f t="shared" si="11"/>
        <v>0.31203971490792232</v>
      </c>
      <c r="N82" s="17">
        <f t="shared" si="12"/>
        <v>0.31203971490792232</v>
      </c>
      <c r="O82" s="3"/>
      <c r="P82" s="18">
        <f t="shared" si="13"/>
        <v>3979.8392446608709</v>
      </c>
      <c r="Q82" s="18">
        <f t="shared" si="18"/>
        <v>1790.9089575836495</v>
      </c>
      <c r="R82" s="18">
        <f t="shared" si="19"/>
        <v>0</v>
      </c>
      <c r="S82" s="18">
        <f t="shared" si="20"/>
        <v>0</v>
      </c>
      <c r="T82" s="18">
        <v>100</v>
      </c>
      <c r="U82" s="3"/>
      <c r="V82" s="18">
        <f t="shared" si="14"/>
        <v>5870.7482022445201</v>
      </c>
      <c r="W82" s="3"/>
      <c r="X82" s="14">
        <f t="shared" si="15"/>
        <v>2069996.3894618386</v>
      </c>
      <c r="Y82" s="14">
        <f t="shared" si="16"/>
        <v>1438.7482022445201</v>
      </c>
      <c r="AA82" s="14">
        <f t="shared" si="17"/>
        <v>1.3647463375908667E-3</v>
      </c>
      <c r="AB82" s="16"/>
    </row>
    <row r="83" spans="2:28" x14ac:dyDescent="0.35">
      <c r="B83" s="26">
        <v>13.900000000000006</v>
      </c>
      <c r="C83" s="26">
        <v>4369</v>
      </c>
      <c r="D83" s="18">
        <f t="shared" si="7"/>
        <v>12.288603141752272</v>
      </c>
      <c r="E83" s="18">
        <f t="shared" si="7"/>
        <v>3.2345683389678497</v>
      </c>
      <c r="F83" s="18">
        <f t="shared" si="7"/>
        <v>-0.81258509299404524</v>
      </c>
      <c r="G83" s="18">
        <f t="shared" si="7"/>
        <v>-0.81258509299404524</v>
      </c>
      <c r="H83" s="18">
        <f t="shared" si="7"/>
        <v>-0.81258509299404524</v>
      </c>
      <c r="I83" s="3"/>
      <c r="J83" s="17">
        <f t="shared" si="8"/>
        <v>9.9872898701639201</v>
      </c>
      <c r="K83" s="17">
        <f t="shared" si="9"/>
        <v>2.371180434281686</v>
      </c>
      <c r="L83" s="17">
        <f t="shared" si="10"/>
        <v>0.32166367472707613</v>
      </c>
      <c r="M83" s="17">
        <f t="shared" si="11"/>
        <v>0.32166367472707613</v>
      </c>
      <c r="N83" s="17">
        <f t="shared" si="12"/>
        <v>0.32166367472707613</v>
      </c>
      <c r="O83" s="3"/>
      <c r="P83" s="18">
        <f t="shared" si="13"/>
        <v>3856.6960785260021</v>
      </c>
      <c r="Q83" s="18">
        <f t="shared" si="18"/>
        <v>1773.9920828191262</v>
      </c>
      <c r="R83" s="18">
        <f t="shared" si="19"/>
        <v>0</v>
      </c>
      <c r="S83" s="18">
        <f t="shared" si="20"/>
        <v>0</v>
      </c>
      <c r="T83" s="18">
        <v>100</v>
      </c>
      <c r="U83" s="3"/>
      <c r="V83" s="18">
        <f t="shared" si="14"/>
        <v>5730.6881613451278</v>
      </c>
      <c r="W83" s="3"/>
      <c r="X83" s="14">
        <f t="shared" si="15"/>
        <v>1854194.6487474749</v>
      </c>
      <c r="Y83" s="14">
        <f t="shared" si="16"/>
        <v>1361.6881613451278</v>
      </c>
      <c r="AA83" s="14">
        <f t="shared" si="17"/>
        <v>1.2916498719077252E-3</v>
      </c>
      <c r="AB83" s="16"/>
    </row>
    <row r="84" spans="2:28" x14ac:dyDescent="0.35">
      <c r="B84" s="26">
        <v>14.200000000000003</v>
      </c>
      <c r="C84" s="26">
        <v>4450</v>
      </c>
      <c r="D84" s="18">
        <f t="shared" si="7"/>
        <v>12.423316770053299</v>
      </c>
      <c r="E84" s="18">
        <f t="shared" si="7"/>
        <v>3.2486332996327141</v>
      </c>
      <c r="F84" s="18">
        <f t="shared" si="7"/>
        <v>-0.78258509299404544</v>
      </c>
      <c r="G84" s="18">
        <f t="shared" si="7"/>
        <v>-0.78258509299404544</v>
      </c>
      <c r="H84" s="18">
        <f t="shared" si="7"/>
        <v>-0.78258509299404544</v>
      </c>
      <c r="I84" s="3"/>
      <c r="J84" s="17">
        <f t="shared" si="8"/>
        <v>10.109810482723475</v>
      </c>
      <c r="K84" s="17">
        <f t="shared" si="9"/>
        <v>2.3810793896836011</v>
      </c>
      <c r="L84" s="17">
        <f t="shared" si="10"/>
        <v>0.32902783473715153</v>
      </c>
      <c r="M84" s="17">
        <f t="shared" si="11"/>
        <v>0.32902783473715153</v>
      </c>
      <c r="N84" s="17">
        <f t="shared" si="12"/>
        <v>0.32902783473715153</v>
      </c>
      <c r="O84" s="3"/>
      <c r="P84" s="18">
        <f t="shared" si="13"/>
        <v>3767.9400871269804</v>
      </c>
      <c r="Q84" s="18">
        <f t="shared" si="18"/>
        <v>1761.4447824358756</v>
      </c>
      <c r="R84" s="18">
        <f t="shared" si="19"/>
        <v>0</v>
      </c>
      <c r="S84" s="18">
        <f t="shared" si="20"/>
        <v>0</v>
      </c>
      <c r="T84" s="18">
        <v>100</v>
      </c>
      <c r="U84" s="3"/>
      <c r="V84" s="18">
        <f t="shared" si="14"/>
        <v>5629.3848695628558</v>
      </c>
      <c r="W84" s="3"/>
      <c r="X84" s="14">
        <f t="shared" si="15"/>
        <v>1390948.6705537944</v>
      </c>
      <c r="Y84" s="14">
        <f t="shared" si="16"/>
        <v>1179.3848695628558</v>
      </c>
      <c r="AA84" s="14">
        <f t="shared" si="17"/>
        <v>1.1187233310422161E-3</v>
      </c>
      <c r="AB84" s="16"/>
    </row>
    <row r="85" spans="2:28" x14ac:dyDescent="0.35">
      <c r="B85" s="26">
        <v>14.5</v>
      </c>
      <c r="C85" s="26">
        <v>4327</v>
      </c>
      <c r="D85" s="18">
        <f t="shared" si="7"/>
        <v>12.558030398354326</v>
      </c>
      <c r="E85" s="18">
        <f t="shared" si="7"/>
        <v>3.262698260297578</v>
      </c>
      <c r="F85" s="18">
        <f t="shared" si="7"/>
        <v>-0.75258509299404563</v>
      </c>
      <c r="G85" s="18">
        <f t="shared" si="7"/>
        <v>-0.75258509299404563</v>
      </c>
      <c r="H85" s="18">
        <f t="shared" si="7"/>
        <v>-0.75258509299404563</v>
      </c>
      <c r="I85" s="3"/>
      <c r="J85" s="17">
        <f t="shared" si="8"/>
        <v>10.232464899291765</v>
      </c>
      <c r="K85" s="17">
        <f t="shared" si="9"/>
        <v>2.390990531773427</v>
      </c>
      <c r="L85" s="17">
        <f t="shared" si="10"/>
        <v>0.3365181376032631</v>
      </c>
      <c r="M85" s="17">
        <f t="shared" si="11"/>
        <v>0.3365181376032631</v>
      </c>
      <c r="N85" s="17">
        <f t="shared" si="12"/>
        <v>0.3365181376032631</v>
      </c>
      <c r="O85" s="3"/>
      <c r="P85" s="18">
        <f t="shared" si="13"/>
        <v>3682.1232379103535</v>
      </c>
      <c r="Q85" s="18">
        <f t="shared" si="18"/>
        <v>1749.0162489771387</v>
      </c>
      <c r="R85" s="18">
        <f t="shared" si="19"/>
        <v>0</v>
      </c>
      <c r="S85" s="18">
        <f t="shared" si="20"/>
        <v>0</v>
      </c>
      <c r="T85" s="18">
        <v>100</v>
      </c>
      <c r="U85" s="3"/>
      <c r="V85" s="18">
        <f t="shared" si="14"/>
        <v>5531.1394868874922</v>
      </c>
      <c r="W85" s="3"/>
      <c r="X85" s="14">
        <f t="shared" si="15"/>
        <v>1449951.903881673</v>
      </c>
      <c r="Y85" s="14">
        <f t="shared" si="16"/>
        <v>1204.1394868874922</v>
      </c>
      <c r="AA85" s="14">
        <f t="shared" si="17"/>
        <v>1.1422046971906197E-3</v>
      </c>
      <c r="AB85" s="16"/>
    </row>
    <row r="86" spans="2:28" x14ac:dyDescent="0.35">
      <c r="B86" s="26">
        <v>14.800000000000011</v>
      </c>
      <c r="C86" s="26">
        <v>4333</v>
      </c>
      <c r="D86" s="18">
        <f t="shared" si="7"/>
        <v>12.69274402665536</v>
      </c>
      <c r="E86" s="18">
        <f t="shared" si="7"/>
        <v>3.2767632209624433</v>
      </c>
      <c r="F86" s="18">
        <f t="shared" si="7"/>
        <v>-0.7225850929940445</v>
      </c>
      <c r="G86" s="18">
        <f t="shared" si="7"/>
        <v>-0.7225850929940445</v>
      </c>
      <c r="H86" s="18">
        <f t="shared" si="7"/>
        <v>-0.7225850929940445</v>
      </c>
      <c r="I86" s="3"/>
      <c r="J86" s="17">
        <f t="shared" si="8"/>
        <v>10.355250354900598</v>
      </c>
      <c r="K86" s="17">
        <f t="shared" si="9"/>
        <v>2.4009138042890195</v>
      </c>
      <c r="L86" s="17">
        <f t="shared" si="10"/>
        <v>0.34413529794893055</v>
      </c>
      <c r="M86" s="17">
        <f t="shared" si="11"/>
        <v>0.34413529794893055</v>
      </c>
      <c r="N86" s="17">
        <f t="shared" si="12"/>
        <v>0.34413529794893055</v>
      </c>
      <c r="O86" s="3"/>
      <c r="P86" s="18">
        <f t="shared" si="13"/>
        <v>3599.1200810726627</v>
      </c>
      <c r="Q86" s="18">
        <f t="shared" si="18"/>
        <v>1736.7051180787823</v>
      </c>
      <c r="R86" s="18">
        <f t="shared" si="19"/>
        <v>0</v>
      </c>
      <c r="S86" s="18">
        <f t="shared" si="20"/>
        <v>0</v>
      </c>
      <c r="T86" s="18">
        <v>100</v>
      </c>
      <c r="U86" s="3"/>
      <c r="V86" s="18">
        <f t="shared" si="14"/>
        <v>5435.8251991514453</v>
      </c>
      <c r="W86" s="3"/>
      <c r="X86" s="14">
        <f t="shared" si="15"/>
        <v>1216223.4198834249</v>
      </c>
      <c r="Y86" s="14">
        <f t="shared" si="16"/>
        <v>1102.8251991514453</v>
      </c>
      <c r="AA86" s="14">
        <f t="shared" si="17"/>
        <v>1.0461014993428713E-3</v>
      </c>
      <c r="AB86" s="16"/>
    </row>
    <row r="87" spans="2:28" x14ac:dyDescent="0.35">
      <c r="B87" s="26">
        <v>15.100000000000009</v>
      </c>
      <c r="C87" s="26">
        <v>4154</v>
      </c>
      <c r="D87" s="18">
        <f t="shared" si="7"/>
        <v>12.827457654956387</v>
      </c>
      <c r="E87" s="18">
        <f t="shared" si="7"/>
        <v>3.2908281816273077</v>
      </c>
      <c r="F87" s="18">
        <f t="shared" si="7"/>
        <v>-0.69258509299404492</v>
      </c>
      <c r="G87" s="18">
        <f t="shared" si="7"/>
        <v>-0.69258509299404492</v>
      </c>
      <c r="H87" s="18">
        <f t="shared" ref="E87:H102" si="21">G$23-LN(1/G$23)+$B87*G$22</f>
        <v>-0.69258509299404492</v>
      </c>
      <c r="I87" s="3"/>
      <c r="J87" s="17">
        <f t="shared" si="8"/>
        <v>10.47816416637284</v>
      </c>
      <c r="K87" s="17">
        <f t="shared" si="9"/>
        <v>2.4108491512617509</v>
      </c>
      <c r="L87" s="17">
        <f t="shared" si="10"/>
        <v>0.35187999417045984</v>
      </c>
      <c r="M87" s="17">
        <f t="shared" si="11"/>
        <v>0.35187999417045984</v>
      </c>
      <c r="N87" s="17">
        <f t="shared" si="12"/>
        <v>0.35187999417045984</v>
      </c>
      <c r="O87" s="3"/>
      <c r="P87" s="18">
        <f t="shared" si="13"/>
        <v>3518.8116664479576</v>
      </c>
      <c r="Q87" s="18">
        <f t="shared" si="18"/>
        <v>1724.5100433635926</v>
      </c>
      <c r="R87" s="18">
        <f t="shared" si="19"/>
        <v>0</v>
      </c>
      <c r="S87" s="18">
        <f t="shared" si="20"/>
        <v>0</v>
      </c>
      <c r="T87" s="18">
        <v>100</v>
      </c>
      <c r="U87" s="3"/>
      <c r="V87" s="18">
        <f t="shared" si="14"/>
        <v>5343.3217098115501</v>
      </c>
      <c r="W87" s="3"/>
      <c r="X87" s="14">
        <f t="shared" si="15"/>
        <v>1414486.1294290691</v>
      </c>
      <c r="Y87" s="14">
        <f t="shared" si="16"/>
        <v>1189.3217098115501</v>
      </c>
      <c r="AA87" s="14">
        <f t="shared" si="17"/>
        <v>1.1281490709426898E-3</v>
      </c>
      <c r="AB87" s="16"/>
    </row>
    <row r="88" spans="2:28" x14ac:dyDescent="0.35">
      <c r="B88" s="26">
        <v>15.400000000000006</v>
      </c>
      <c r="C88" s="26">
        <v>4256</v>
      </c>
      <c r="D88" s="18">
        <f t="shared" si="7"/>
        <v>12.962171283257415</v>
      </c>
      <c r="E88" s="18">
        <f t="shared" si="21"/>
        <v>3.3048931422921721</v>
      </c>
      <c r="F88" s="18">
        <f t="shared" si="21"/>
        <v>-0.66258509299404511</v>
      </c>
      <c r="G88" s="18">
        <f t="shared" si="21"/>
        <v>-0.66258509299404511</v>
      </c>
      <c r="H88" s="18">
        <f t="shared" si="21"/>
        <v>-0.66258509299404511</v>
      </c>
      <c r="I88" s="3"/>
      <c r="J88" s="17">
        <f t="shared" si="8"/>
        <v>10.601203729225842</v>
      </c>
      <c r="K88" s="17">
        <f t="shared" si="9"/>
        <v>2.4207965170154422</v>
      </c>
      <c r="L88" s="17">
        <f t="shared" si="10"/>
        <v>0.35975286801308942</v>
      </c>
      <c r="M88" s="17">
        <f t="shared" si="11"/>
        <v>0.35975286801308942</v>
      </c>
      <c r="N88" s="17">
        <f t="shared" si="12"/>
        <v>0.35975286801308942</v>
      </c>
      <c r="O88" s="3"/>
      <c r="P88" s="18">
        <f t="shared" si="13"/>
        <v>3441.0851499146274</v>
      </c>
      <c r="Q88" s="18">
        <f t="shared" si="18"/>
        <v>1712.4296961795169</v>
      </c>
      <c r="R88" s="18">
        <f t="shared" si="19"/>
        <v>0</v>
      </c>
      <c r="S88" s="18">
        <f t="shared" si="20"/>
        <v>0</v>
      </c>
      <c r="T88" s="18">
        <v>100</v>
      </c>
      <c r="U88" s="3"/>
      <c r="V88" s="18">
        <f t="shared" si="14"/>
        <v>5253.5148460941446</v>
      </c>
      <c r="W88" s="3"/>
      <c r="X88" s="14">
        <f t="shared" si="15"/>
        <v>995035.86817822489</v>
      </c>
      <c r="Y88" s="14">
        <f t="shared" si="16"/>
        <v>997.51484609414456</v>
      </c>
      <c r="AA88" s="14">
        <f t="shared" si="17"/>
        <v>9.4620777337946877E-4</v>
      </c>
      <c r="AB88" s="16"/>
    </row>
    <row r="89" spans="2:28" x14ac:dyDescent="0.35">
      <c r="B89" s="26">
        <v>15.700000000000003</v>
      </c>
      <c r="C89" s="26">
        <v>4075</v>
      </c>
      <c r="D89" s="18">
        <f t="shared" si="7"/>
        <v>13.096884911558442</v>
      </c>
      <c r="E89" s="18">
        <f t="shared" si="21"/>
        <v>3.3189581029570361</v>
      </c>
      <c r="F89" s="18">
        <f t="shared" si="21"/>
        <v>-0.63258509299404553</v>
      </c>
      <c r="G89" s="18">
        <f t="shared" si="21"/>
        <v>-0.63258509299404553</v>
      </c>
      <c r="H89" s="18">
        <f t="shared" si="21"/>
        <v>-0.63258509299404553</v>
      </c>
      <c r="I89" s="3"/>
      <c r="J89" s="17">
        <f t="shared" si="8"/>
        <v>10.724366514715804</v>
      </c>
      <c r="K89" s="17">
        <f t="shared" si="9"/>
        <v>2.4307558461652774</v>
      </c>
      <c r="L89" s="17">
        <f t="shared" si="10"/>
        <v>0.36775452420077553</v>
      </c>
      <c r="M89" s="17">
        <f t="shared" si="11"/>
        <v>0.36775452420077553</v>
      </c>
      <c r="N89" s="17">
        <f t="shared" si="12"/>
        <v>0.36775452420077553</v>
      </c>
      <c r="O89" s="3"/>
      <c r="P89" s="18">
        <f t="shared" si="13"/>
        <v>3365.8334269432617</v>
      </c>
      <c r="Q89" s="18">
        <f t="shared" si="18"/>
        <v>1700.4627653419864</v>
      </c>
      <c r="R89" s="18">
        <f t="shared" si="19"/>
        <v>0</v>
      </c>
      <c r="S89" s="18">
        <f t="shared" si="20"/>
        <v>0</v>
      </c>
      <c r="T89" s="18">
        <v>100</v>
      </c>
      <c r="U89" s="3"/>
      <c r="V89" s="18">
        <f t="shared" si="14"/>
        <v>5166.2961922852483</v>
      </c>
      <c r="W89" s="3"/>
      <c r="X89" s="14">
        <f t="shared" si="15"/>
        <v>1190927.3792962816</v>
      </c>
      <c r="Y89" s="14">
        <f t="shared" si="16"/>
        <v>1091.2961922852483</v>
      </c>
      <c r="AA89" s="14">
        <f t="shared" si="17"/>
        <v>1.0351654857498353E-3</v>
      </c>
      <c r="AB89" s="16"/>
    </row>
    <row r="90" spans="2:28" x14ac:dyDescent="0.35">
      <c r="B90" s="26">
        <v>16.100000000000009</v>
      </c>
      <c r="C90" s="26">
        <v>4018</v>
      </c>
      <c r="D90" s="18">
        <f t="shared" si="7"/>
        <v>13.276503082626483</v>
      </c>
      <c r="E90" s="18">
        <f t="shared" si="21"/>
        <v>3.3377113838435228</v>
      </c>
      <c r="F90" s="18">
        <f t="shared" si="21"/>
        <v>-0.59258509299404483</v>
      </c>
      <c r="G90" s="18">
        <f t="shared" si="21"/>
        <v>-0.59258509299404483</v>
      </c>
      <c r="H90" s="18">
        <f t="shared" si="21"/>
        <v>-0.59258509299404483</v>
      </c>
      <c r="I90" s="3"/>
      <c r="J90" s="17">
        <f t="shared" si="8"/>
        <v>10.888771007218427</v>
      </c>
      <c r="K90" s="17">
        <f t="shared" si="9"/>
        <v>2.4440534662422593</v>
      </c>
      <c r="L90" s="17">
        <f t="shared" si="10"/>
        <v>0.37862470246673208</v>
      </c>
      <c r="M90" s="17">
        <f t="shared" si="11"/>
        <v>0.37862470246673208</v>
      </c>
      <c r="N90" s="17">
        <f t="shared" si="12"/>
        <v>0.37862470246673208</v>
      </c>
      <c r="O90" s="3"/>
      <c r="P90" s="18">
        <f t="shared" si="13"/>
        <v>3269.1724239406608</v>
      </c>
      <c r="Q90" s="18">
        <f t="shared" si="18"/>
        <v>1684.6810489420391</v>
      </c>
      <c r="R90" s="18">
        <f t="shared" si="19"/>
        <v>0</v>
      </c>
      <c r="S90" s="18">
        <f t="shared" si="20"/>
        <v>0</v>
      </c>
      <c r="T90" s="18">
        <v>100</v>
      </c>
      <c r="U90" s="3"/>
      <c r="V90" s="18">
        <f t="shared" si="14"/>
        <v>5053.8534728826999</v>
      </c>
      <c r="W90" s="3"/>
      <c r="X90" s="14">
        <f t="shared" si="15"/>
        <v>1072992.4172831501</v>
      </c>
      <c r="Y90" s="14">
        <f t="shared" si="16"/>
        <v>1035.8534728826999</v>
      </c>
      <c r="AA90" s="14">
        <f t="shared" si="17"/>
        <v>9.8257445687302113E-4</v>
      </c>
      <c r="AB90" s="16"/>
    </row>
    <row r="91" spans="2:28" x14ac:dyDescent="0.35">
      <c r="B91" s="26">
        <v>16.400000000000006</v>
      </c>
      <c r="C91" s="26">
        <v>4043</v>
      </c>
      <c r="D91" s="18">
        <f t="shared" si="7"/>
        <v>13.411216710927508</v>
      </c>
      <c r="E91" s="18">
        <f t="shared" si="21"/>
        <v>3.3517763445083872</v>
      </c>
      <c r="F91" s="18">
        <f t="shared" si="21"/>
        <v>-0.56258509299404524</v>
      </c>
      <c r="G91" s="18">
        <f t="shared" si="21"/>
        <v>-0.56258509299404524</v>
      </c>
      <c r="H91" s="18">
        <f t="shared" si="21"/>
        <v>-0.56258509299404524</v>
      </c>
      <c r="I91" s="3"/>
      <c r="J91" s="17">
        <f t="shared" si="8"/>
        <v>11.012211882753979</v>
      </c>
      <c r="K91" s="17">
        <f t="shared" si="9"/>
        <v>2.4540404962261717</v>
      </c>
      <c r="L91" s="17">
        <f t="shared" si="10"/>
        <v>0.38692899227829819</v>
      </c>
      <c r="M91" s="17">
        <f t="shared" si="11"/>
        <v>0.38692899227829819</v>
      </c>
      <c r="N91" s="17">
        <f t="shared" si="12"/>
        <v>0.38692899227829819</v>
      </c>
      <c r="O91" s="3"/>
      <c r="P91" s="18">
        <f t="shared" si="13"/>
        <v>3199.3084315950623</v>
      </c>
      <c r="Q91" s="18">
        <f t="shared" si="18"/>
        <v>1672.9737534231183</v>
      </c>
      <c r="R91" s="18">
        <f t="shared" si="19"/>
        <v>0</v>
      </c>
      <c r="S91" s="18">
        <f t="shared" si="20"/>
        <v>0</v>
      </c>
      <c r="T91" s="18">
        <v>100</v>
      </c>
      <c r="U91" s="3"/>
      <c r="V91" s="18">
        <f t="shared" si="14"/>
        <v>4972.2821850181808</v>
      </c>
      <c r="W91" s="3"/>
      <c r="X91" s="14">
        <f t="shared" si="15"/>
        <v>863565.37939216441</v>
      </c>
      <c r="Y91" s="14">
        <f t="shared" si="16"/>
        <v>929.28218501818083</v>
      </c>
      <c r="AA91" s="14">
        <f t="shared" si="17"/>
        <v>8.8148465215351129E-4</v>
      </c>
      <c r="AB91" s="16"/>
    </row>
    <row r="92" spans="2:28" x14ac:dyDescent="0.35">
      <c r="B92" s="26">
        <v>16.700000000000003</v>
      </c>
      <c r="C92" s="26">
        <v>4027</v>
      </c>
      <c r="D92" s="18">
        <f t="shared" si="7"/>
        <v>13.545930339228537</v>
      </c>
      <c r="E92" s="18">
        <f t="shared" si="21"/>
        <v>3.3658413051732512</v>
      </c>
      <c r="F92" s="18">
        <f t="shared" si="21"/>
        <v>-0.53258509299404544</v>
      </c>
      <c r="G92" s="18">
        <f t="shared" si="21"/>
        <v>-0.53258509299404544</v>
      </c>
      <c r="H92" s="18">
        <f t="shared" si="21"/>
        <v>-0.53258509299404544</v>
      </c>
      <c r="I92" s="3"/>
      <c r="J92" s="17">
        <f t="shared" si="8"/>
        <v>11.135768063485758</v>
      </c>
      <c r="K92" s="17">
        <f t="shared" si="9"/>
        <v>2.4640393070803679</v>
      </c>
      <c r="L92" s="17">
        <f t="shared" si="10"/>
        <v>0.39536380915210173</v>
      </c>
      <c r="M92" s="17">
        <f t="shared" si="11"/>
        <v>0.39536380915210173</v>
      </c>
      <c r="N92" s="17">
        <f t="shared" si="12"/>
        <v>0.39536380915210173</v>
      </c>
      <c r="O92" s="3"/>
      <c r="P92" s="18">
        <f t="shared" si="13"/>
        <v>3131.5994566903187</v>
      </c>
      <c r="Q92" s="18">
        <f t="shared" si="18"/>
        <v>1661.3756265619641</v>
      </c>
      <c r="R92" s="18">
        <f t="shared" si="19"/>
        <v>0</v>
      </c>
      <c r="S92" s="18">
        <f t="shared" si="20"/>
        <v>0</v>
      </c>
      <c r="T92" s="18">
        <v>100</v>
      </c>
      <c r="U92" s="3"/>
      <c r="V92" s="18">
        <f t="shared" si="14"/>
        <v>4892.9750832522823</v>
      </c>
      <c r="W92" s="3"/>
      <c r="X92" s="14">
        <f t="shared" si="15"/>
        <v>749912.84481379727</v>
      </c>
      <c r="Y92" s="14">
        <f t="shared" si="16"/>
        <v>865.97508325228227</v>
      </c>
      <c r="AA92" s="14">
        <f t="shared" si="17"/>
        <v>8.2143374460504873E-4</v>
      </c>
      <c r="AB92" s="16"/>
    </row>
    <row r="93" spans="2:28" x14ac:dyDescent="0.35">
      <c r="B93" s="26">
        <v>17</v>
      </c>
      <c r="C93" s="26">
        <v>4033</v>
      </c>
      <c r="D93" s="18">
        <f t="shared" si="7"/>
        <v>13.680643967529564</v>
      </c>
      <c r="E93" s="18">
        <f t="shared" si="21"/>
        <v>3.3799062658381156</v>
      </c>
      <c r="F93" s="18">
        <f t="shared" si="21"/>
        <v>-0.50258509299404563</v>
      </c>
      <c r="G93" s="18">
        <f t="shared" si="21"/>
        <v>-0.50258509299404563</v>
      </c>
      <c r="H93" s="18">
        <f t="shared" si="21"/>
        <v>-0.50258509299404563</v>
      </c>
      <c r="I93" s="3"/>
      <c r="J93" s="17">
        <f t="shared" si="8"/>
        <v>11.259437317839355</v>
      </c>
      <c r="K93" s="17">
        <f t="shared" si="9"/>
        <v>2.4740498446698616</v>
      </c>
      <c r="L93" s="17">
        <f t="shared" si="10"/>
        <v>0.40392959442908072</v>
      </c>
      <c r="M93" s="17">
        <f t="shared" si="11"/>
        <v>0.40392959442908072</v>
      </c>
      <c r="N93" s="17">
        <f t="shared" si="12"/>
        <v>0.40392959442908072</v>
      </c>
      <c r="O93" s="3"/>
      <c r="P93" s="18">
        <f t="shared" si="13"/>
        <v>3065.9596053968212</v>
      </c>
      <c r="Q93" s="18">
        <f t="shared" si="18"/>
        <v>1649.8854299852781</v>
      </c>
      <c r="R93" s="18">
        <f t="shared" si="19"/>
        <v>0</v>
      </c>
      <c r="S93" s="18">
        <f t="shared" si="20"/>
        <v>0</v>
      </c>
      <c r="T93" s="18">
        <v>100</v>
      </c>
      <c r="U93" s="3"/>
      <c r="V93" s="18">
        <f t="shared" si="14"/>
        <v>4815.845035382099</v>
      </c>
      <c r="W93" s="3"/>
      <c r="X93" s="14">
        <f t="shared" si="15"/>
        <v>612846.34942239989</v>
      </c>
      <c r="Y93" s="14">
        <f t="shared" si="16"/>
        <v>782.84503538209901</v>
      </c>
      <c r="AA93" s="14">
        <f t="shared" si="17"/>
        <v>7.4257948213049204E-4</v>
      </c>
      <c r="AB93" s="16"/>
    </row>
    <row r="94" spans="2:28" x14ac:dyDescent="0.35">
      <c r="B94" s="26">
        <v>17.300000000000011</v>
      </c>
      <c r="C94" s="26">
        <v>3929</v>
      </c>
      <c r="D94" s="18">
        <f t="shared" si="7"/>
        <v>13.815357595830598</v>
      </c>
      <c r="E94" s="18">
        <f t="shared" si="21"/>
        <v>3.3939712265029809</v>
      </c>
      <c r="F94" s="18">
        <f t="shared" si="21"/>
        <v>-0.4725850929940445</v>
      </c>
      <c r="G94" s="18">
        <f t="shared" si="21"/>
        <v>-0.4725850929940445</v>
      </c>
      <c r="H94" s="18">
        <f t="shared" si="21"/>
        <v>-0.4725850929940445</v>
      </c>
      <c r="I94" s="3"/>
      <c r="J94" s="17">
        <f t="shared" si="8"/>
        <v>11.383217476310254</v>
      </c>
      <c r="K94" s="17">
        <f t="shared" si="9"/>
        <v>2.4840720551450977</v>
      </c>
      <c r="L94" s="17">
        <f t="shared" si="10"/>
        <v>0.41262675136839</v>
      </c>
      <c r="M94" s="17">
        <f t="shared" si="11"/>
        <v>0.41262675136839</v>
      </c>
      <c r="N94" s="17">
        <f t="shared" si="12"/>
        <v>0.41262675136839</v>
      </c>
      <c r="O94" s="3"/>
      <c r="P94" s="18">
        <f t="shared" si="13"/>
        <v>3002.3071485869759</v>
      </c>
      <c r="Q94" s="18">
        <f t="shared" si="18"/>
        <v>1638.5019414790797</v>
      </c>
      <c r="R94" s="18">
        <f t="shared" si="19"/>
        <v>0</v>
      </c>
      <c r="S94" s="18">
        <f t="shared" si="20"/>
        <v>0</v>
      </c>
      <c r="T94" s="18">
        <v>100</v>
      </c>
      <c r="U94" s="3"/>
      <c r="V94" s="18">
        <f t="shared" si="14"/>
        <v>4740.8090900660554</v>
      </c>
      <c r="W94" s="3"/>
      <c r="X94" s="14">
        <f t="shared" si="15"/>
        <v>659033.99871387694</v>
      </c>
      <c r="Y94" s="14">
        <f t="shared" si="16"/>
        <v>811.80909006605543</v>
      </c>
      <c r="AA94" s="14">
        <f t="shared" si="17"/>
        <v>7.7005377366395455E-4</v>
      </c>
      <c r="AB94" s="16"/>
    </row>
    <row r="95" spans="2:28" x14ac:dyDescent="0.35">
      <c r="B95" s="26">
        <v>17.600000000000009</v>
      </c>
      <c r="C95" s="26">
        <v>3873</v>
      </c>
      <c r="D95" s="18">
        <f t="shared" si="7"/>
        <v>13.950071224131625</v>
      </c>
      <c r="E95" s="18">
        <f t="shared" si="21"/>
        <v>3.4080361871678453</v>
      </c>
      <c r="F95" s="18">
        <f t="shared" si="21"/>
        <v>-0.44258509299404492</v>
      </c>
      <c r="G95" s="18">
        <f t="shared" si="21"/>
        <v>-0.44258509299404492</v>
      </c>
      <c r="H95" s="18">
        <f t="shared" si="21"/>
        <v>-0.44258509299404492</v>
      </c>
      <c r="I95" s="3"/>
      <c r="J95" s="17">
        <f t="shared" si="8"/>
        <v>11.507106429245919</v>
      </c>
      <c r="K95" s="17">
        <f t="shared" si="9"/>
        <v>2.494105884940812</v>
      </c>
      <c r="L95" s="17">
        <f t="shared" si="10"/>
        <v>0.42145564511863137</v>
      </c>
      <c r="M95" s="17">
        <f t="shared" si="11"/>
        <v>0.42145564511863137</v>
      </c>
      <c r="N95" s="17">
        <f t="shared" si="12"/>
        <v>0.42145564511863137</v>
      </c>
      <c r="O95" s="3"/>
      <c r="P95" s="18">
        <f t="shared" si="13"/>
        <v>2940.5642853561631</v>
      </c>
      <c r="Q95" s="18">
        <f t="shared" si="18"/>
        <v>1627.2239547553468</v>
      </c>
      <c r="R95" s="18">
        <f t="shared" si="19"/>
        <v>0</v>
      </c>
      <c r="S95" s="18">
        <f t="shared" si="20"/>
        <v>0</v>
      </c>
      <c r="T95" s="18">
        <v>100</v>
      </c>
      <c r="U95" s="3"/>
      <c r="V95" s="18">
        <f t="shared" si="14"/>
        <v>4667.7882401115094</v>
      </c>
      <c r="W95" s="3"/>
      <c r="X95" s="14">
        <f t="shared" si="15"/>
        <v>631688.34661955026</v>
      </c>
      <c r="Y95" s="14">
        <f t="shared" si="16"/>
        <v>794.78824011150937</v>
      </c>
      <c r="AA95" s="14">
        <f t="shared" si="17"/>
        <v>7.5390838936257947E-4</v>
      </c>
      <c r="AB95" s="16"/>
    </row>
    <row r="96" spans="2:28" x14ac:dyDescent="0.35">
      <c r="B96" s="26">
        <v>18</v>
      </c>
      <c r="C96" s="26">
        <v>3829</v>
      </c>
      <c r="D96" s="18">
        <f t="shared" si="7"/>
        <v>14.129689395199659</v>
      </c>
      <c r="E96" s="18">
        <f t="shared" si="21"/>
        <v>3.4267894680543307</v>
      </c>
      <c r="F96" s="18">
        <f t="shared" si="21"/>
        <v>-0.40258509299404577</v>
      </c>
      <c r="G96" s="18">
        <f t="shared" si="21"/>
        <v>-0.40258509299404577</v>
      </c>
      <c r="H96" s="18">
        <f t="shared" si="21"/>
        <v>-0.40258509299404577</v>
      </c>
      <c r="I96" s="3"/>
      <c r="J96" s="17">
        <f t="shared" si="8"/>
        <v>11.672457397188039</v>
      </c>
      <c r="K96" s="17">
        <f t="shared" si="9"/>
        <v>2.5075023071150411</v>
      </c>
      <c r="L96" s="17">
        <f t="shared" si="10"/>
        <v>0.43343298719521872</v>
      </c>
      <c r="M96" s="17">
        <f t="shared" si="11"/>
        <v>0.43343298719521872</v>
      </c>
      <c r="N96" s="17">
        <f t="shared" si="12"/>
        <v>0.43343298719521872</v>
      </c>
      <c r="O96" s="3"/>
      <c r="P96" s="18">
        <f t="shared" si="13"/>
        <v>2861.0833911033637</v>
      </c>
      <c r="Q96" s="18">
        <f t="shared" si="18"/>
        <v>1612.3486974269983</v>
      </c>
      <c r="R96" s="18">
        <f t="shared" si="19"/>
        <v>0</v>
      </c>
      <c r="S96" s="18">
        <f t="shared" si="20"/>
        <v>0</v>
      </c>
      <c r="T96" s="18">
        <v>100</v>
      </c>
      <c r="U96" s="3"/>
      <c r="V96" s="18">
        <f t="shared" si="14"/>
        <v>4573.4320885303623</v>
      </c>
      <c r="W96" s="3"/>
      <c r="X96" s="14">
        <f t="shared" si="15"/>
        <v>554179.13443367719</v>
      </c>
      <c r="Y96" s="14">
        <f t="shared" si="16"/>
        <v>744.43208853036231</v>
      </c>
      <c r="AA96" s="14">
        <f t="shared" si="17"/>
        <v>7.0614230121850456E-4</v>
      </c>
      <c r="AB96" s="16"/>
    </row>
    <row r="97" spans="2:28" x14ac:dyDescent="0.35">
      <c r="B97" s="26">
        <v>18.300000000000011</v>
      </c>
      <c r="C97" s="26">
        <v>3790</v>
      </c>
      <c r="D97" s="18">
        <f t="shared" si="7"/>
        <v>14.264403023500693</v>
      </c>
      <c r="E97" s="18">
        <f t="shared" si="21"/>
        <v>3.440854428719196</v>
      </c>
      <c r="F97" s="18">
        <f t="shared" si="21"/>
        <v>-0.37258509299404463</v>
      </c>
      <c r="G97" s="18">
        <f t="shared" si="21"/>
        <v>-0.37258509299404463</v>
      </c>
      <c r="H97" s="18">
        <f t="shared" si="21"/>
        <v>-0.37258509299404463</v>
      </c>
      <c r="I97" s="3"/>
      <c r="J97" s="17">
        <f t="shared" si="8"/>
        <v>11.796592320162786</v>
      </c>
      <c r="K97" s="17">
        <f t="shared" si="9"/>
        <v>2.517563041937529</v>
      </c>
      <c r="L97" s="17">
        <f t="shared" si="10"/>
        <v>0.44257047306253927</v>
      </c>
      <c r="M97" s="17">
        <f t="shared" si="11"/>
        <v>0.44257047306253927</v>
      </c>
      <c r="N97" s="17">
        <f t="shared" si="12"/>
        <v>0.44257047306253927</v>
      </c>
      <c r="O97" s="3"/>
      <c r="P97" s="18">
        <f t="shared" si="13"/>
        <v>2803.5141249242893</v>
      </c>
      <c r="Q97" s="18">
        <f t="shared" si="18"/>
        <v>1601.3122781558527</v>
      </c>
      <c r="R97" s="18">
        <f t="shared" si="19"/>
        <v>0</v>
      </c>
      <c r="S97" s="18">
        <f t="shared" si="20"/>
        <v>0</v>
      </c>
      <c r="T97" s="18">
        <v>100</v>
      </c>
      <c r="U97" s="3"/>
      <c r="V97" s="18">
        <f t="shared" si="14"/>
        <v>4504.826403080142</v>
      </c>
      <c r="W97" s="3"/>
      <c r="X97" s="14">
        <f t="shared" si="15"/>
        <v>510976.7865404936</v>
      </c>
      <c r="Y97" s="14">
        <f t="shared" si="16"/>
        <v>714.82640308014197</v>
      </c>
      <c r="AA97" s="14">
        <f t="shared" si="17"/>
        <v>6.7805938113073467E-4</v>
      </c>
      <c r="AB97" s="16"/>
    </row>
    <row r="98" spans="2:28" x14ac:dyDescent="0.35">
      <c r="B98" s="26">
        <v>18.600000000000009</v>
      </c>
      <c r="C98" s="26">
        <v>3798</v>
      </c>
      <c r="D98" s="18">
        <f t="shared" si="7"/>
        <v>14.39911665180172</v>
      </c>
      <c r="E98" s="18">
        <f t="shared" si="21"/>
        <v>3.4549193893840604</v>
      </c>
      <c r="F98" s="18">
        <f t="shared" si="21"/>
        <v>-0.34258509299404483</v>
      </c>
      <c r="G98" s="18">
        <f t="shared" si="21"/>
        <v>-0.34258509299404483</v>
      </c>
      <c r="H98" s="18">
        <f t="shared" si="21"/>
        <v>-0.34258509299404483</v>
      </c>
      <c r="I98" s="3"/>
      <c r="J98" s="17">
        <f t="shared" si="8"/>
        <v>11.920829411115752</v>
      </c>
      <c r="K98" s="17">
        <f t="shared" si="9"/>
        <v>2.5276352195680638</v>
      </c>
      <c r="L98" s="17">
        <f t="shared" si="10"/>
        <v>0.4518406383485708</v>
      </c>
      <c r="M98" s="17">
        <f t="shared" si="11"/>
        <v>0.4518406383485708</v>
      </c>
      <c r="N98" s="17">
        <f t="shared" si="12"/>
        <v>0.4518406383485708</v>
      </c>
      <c r="O98" s="3"/>
      <c r="P98" s="18">
        <f t="shared" si="13"/>
        <v>2747.6207512573383</v>
      </c>
      <c r="Q98" s="18">
        <f t="shared" si="18"/>
        <v>1590.3774518045011</v>
      </c>
      <c r="R98" s="18">
        <f t="shared" si="19"/>
        <v>0</v>
      </c>
      <c r="S98" s="18">
        <f t="shared" si="20"/>
        <v>0</v>
      </c>
      <c r="T98" s="18">
        <v>100</v>
      </c>
      <c r="U98" s="3"/>
      <c r="V98" s="18">
        <f t="shared" si="14"/>
        <v>4437.9982030618394</v>
      </c>
      <c r="W98" s="3"/>
      <c r="X98" s="14">
        <f t="shared" si="15"/>
        <v>409597.69992238341</v>
      </c>
      <c r="Y98" s="14">
        <f t="shared" si="16"/>
        <v>639.99820306183938</v>
      </c>
      <c r="AA98" s="14">
        <f t="shared" si="17"/>
        <v>6.0707996182429833E-4</v>
      </c>
      <c r="AB98" s="16"/>
    </row>
    <row r="99" spans="2:28" x14ac:dyDescent="0.35">
      <c r="B99" s="26">
        <v>18.900000000000006</v>
      </c>
      <c r="C99" s="26">
        <v>3757</v>
      </c>
      <c r="D99" s="18">
        <f t="shared" si="7"/>
        <v>14.533830280102746</v>
      </c>
      <c r="E99" s="18">
        <f t="shared" si="21"/>
        <v>3.4689843500489244</v>
      </c>
      <c r="F99" s="18">
        <f t="shared" si="21"/>
        <v>-0.31258509299404524</v>
      </c>
      <c r="G99" s="18">
        <f t="shared" si="21"/>
        <v>-0.31258509299404524</v>
      </c>
      <c r="H99" s="18">
        <f t="shared" si="21"/>
        <v>-0.31258509299404524</v>
      </c>
      <c r="I99" s="3"/>
      <c r="J99" s="17">
        <f t="shared" si="8"/>
        <v>12.045166796363926</v>
      </c>
      <c r="K99" s="17">
        <f t="shared" si="9"/>
        <v>2.5377187876599772</v>
      </c>
      <c r="L99" s="17">
        <f t="shared" si="10"/>
        <v>0.46124368398486143</v>
      </c>
      <c r="M99" s="17">
        <f t="shared" si="11"/>
        <v>0.46124368398486143</v>
      </c>
      <c r="N99" s="17">
        <f t="shared" si="12"/>
        <v>0.46124368398486143</v>
      </c>
      <c r="O99" s="3"/>
      <c r="P99" s="18">
        <f t="shared" si="13"/>
        <v>2693.3401107884411</v>
      </c>
      <c r="Q99" s="18">
        <f t="shared" si="18"/>
        <v>1579.5430784877217</v>
      </c>
      <c r="R99" s="18">
        <f t="shared" si="19"/>
        <v>0</v>
      </c>
      <c r="S99" s="18">
        <f t="shared" si="20"/>
        <v>0</v>
      </c>
      <c r="T99" s="18">
        <v>100</v>
      </c>
      <c r="U99" s="3"/>
      <c r="V99" s="18">
        <f t="shared" si="14"/>
        <v>4372.8831892761627</v>
      </c>
      <c r="W99" s="3"/>
      <c r="X99" s="14">
        <f t="shared" si="15"/>
        <v>379312.10283297772</v>
      </c>
      <c r="Y99" s="14">
        <f t="shared" si="16"/>
        <v>615.88318927616274</v>
      </c>
      <c r="AA99" s="14">
        <f t="shared" si="17"/>
        <v>5.8420530127312425E-4</v>
      </c>
      <c r="AB99" s="16"/>
    </row>
    <row r="100" spans="2:28" x14ac:dyDescent="0.35">
      <c r="B100" s="26">
        <v>19.200000000000003</v>
      </c>
      <c r="C100" s="26">
        <v>3626</v>
      </c>
      <c r="D100" s="18">
        <f t="shared" si="7"/>
        <v>14.668543908403775</v>
      </c>
      <c r="E100" s="18">
        <f t="shared" si="21"/>
        <v>3.4830493107137888</v>
      </c>
      <c r="F100" s="18">
        <f t="shared" si="21"/>
        <v>-0.28258509299404544</v>
      </c>
      <c r="G100" s="18">
        <f t="shared" si="21"/>
        <v>-0.28258509299404544</v>
      </c>
      <c r="H100" s="18">
        <f t="shared" si="21"/>
        <v>-0.28258509299404544</v>
      </c>
      <c r="I100" s="3"/>
      <c r="J100" s="17">
        <f t="shared" si="8"/>
        <v>12.169602651752287</v>
      </c>
      <c r="K100" s="17">
        <f t="shared" si="9"/>
        <v>2.5478136941447005</v>
      </c>
      <c r="L100" s="17">
        <f t="shared" si="10"/>
        <v>0.47077977350143124</v>
      </c>
      <c r="M100" s="17">
        <f t="shared" si="11"/>
        <v>0.47077977350143124</v>
      </c>
      <c r="N100" s="17">
        <f t="shared" si="12"/>
        <v>0.47077977350143124</v>
      </c>
      <c r="O100" s="3"/>
      <c r="P100" s="18">
        <f t="shared" si="13"/>
        <v>2640.6119445543613</v>
      </c>
      <c r="Q100" s="18">
        <f t="shared" si="18"/>
        <v>1568.8080330612756</v>
      </c>
      <c r="R100" s="18">
        <f t="shared" si="19"/>
        <v>0</v>
      </c>
      <c r="S100" s="18">
        <f t="shared" si="20"/>
        <v>0</v>
      </c>
      <c r="T100" s="18">
        <v>100</v>
      </c>
      <c r="U100" s="3"/>
      <c r="V100" s="18">
        <f>SUM(P100:T100)</f>
        <v>4309.4199776156365</v>
      </c>
      <c r="W100" s="3"/>
      <c r="X100" s="14">
        <f t="shared" si="15"/>
        <v>467062.8658041571</v>
      </c>
      <c r="Y100" s="14">
        <f t="shared" si="16"/>
        <v>683.41997761563653</v>
      </c>
      <c r="AA100" s="14">
        <f t="shared" si="17"/>
        <v>6.4826834190466465E-4</v>
      </c>
      <c r="AB100" s="16"/>
    </row>
    <row r="101" spans="2:28" x14ac:dyDescent="0.35">
      <c r="B101" s="26">
        <v>19.5</v>
      </c>
      <c r="C101" s="26">
        <v>3730</v>
      </c>
      <c r="D101" s="18">
        <f t="shared" si="7"/>
        <v>14.803257536704802</v>
      </c>
      <c r="E101" s="18">
        <f t="shared" si="21"/>
        <v>3.4971142713786532</v>
      </c>
      <c r="F101" s="18">
        <f t="shared" si="21"/>
        <v>-0.25258509299404563</v>
      </c>
      <c r="G101" s="18">
        <f t="shared" si="21"/>
        <v>-0.25258509299404563</v>
      </c>
      <c r="H101" s="18">
        <f t="shared" si="21"/>
        <v>-0.25258509299404563</v>
      </c>
      <c r="I101" s="3"/>
      <c r="J101" s="17">
        <f t="shared" si="8"/>
        <v>12.294135200967347</v>
      </c>
      <c r="K101" s="17">
        <f t="shared" si="9"/>
        <v>2.5579198872305828</v>
      </c>
      <c r="L101" s="17">
        <f t="shared" si="10"/>
        <v>0.48044903331260946</v>
      </c>
      <c r="M101" s="17">
        <f t="shared" si="11"/>
        <v>0.48044903331260946</v>
      </c>
      <c r="N101" s="17">
        <f t="shared" si="12"/>
        <v>0.48044903331260946</v>
      </c>
      <c r="O101" s="3"/>
      <c r="P101" s="18">
        <f t="shared" si="13"/>
        <v>2589.3787377394115</v>
      </c>
      <c r="Q101" s="18">
        <f t="shared" si="18"/>
        <v>1558.1712049104781</v>
      </c>
      <c r="R101" s="18">
        <f t="shared" si="19"/>
        <v>0</v>
      </c>
      <c r="S101" s="18">
        <f t="shared" si="20"/>
        <v>0</v>
      </c>
      <c r="T101" s="18">
        <v>100</v>
      </c>
      <c r="U101" s="3"/>
      <c r="V101" s="18">
        <f t="shared" si="14"/>
        <v>4247.54994264989</v>
      </c>
      <c r="W101" s="3"/>
      <c r="X101" s="14">
        <f t="shared" si="15"/>
        <v>267857.94313690445</v>
      </c>
      <c r="Y101" s="14">
        <f t="shared" si="16"/>
        <v>517.54994264989</v>
      </c>
      <c r="AA101" s="14">
        <f t="shared" si="17"/>
        <v>4.9092981499465897E-4</v>
      </c>
      <c r="AB101" s="16"/>
    </row>
    <row r="102" spans="2:28" x14ac:dyDescent="0.35">
      <c r="B102" s="26">
        <v>19.800000000000011</v>
      </c>
      <c r="C102" s="26">
        <v>3741</v>
      </c>
      <c r="D102" s="18">
        <f t="shared" si="7"/>
        <v>14.937971165005836</v>
      </c>
      <c r="E102" s="18">
        <f t="shared" si="21"/>
        <v>3.5111792320435185</v>
      </c>
      <c r="F102" s="18">
        <f t="shared" si="21"/>
        <v>-0.2225850929940445</v>
      </c>
      <c r="G102" s="18">
        <f t="shared" si="21"/>
        <v>-0.2225850929940445</v>
      </c>
      <c r="H102" s="18">
        <f t="shared" si="21"/>
        <v>-0.2225850929940445</v>
      </c>
      <c r="I102" s="3"/>
      <c r="J102" s="17">
        <f t="shared" si="8"/>
        <v>12.418762713920257</v>
      </c>
      <c r="K102" s="17">
        <f t="shared" si="9"/>
        <v>2.5680373154017082</v>
      </c>
      <c r="L102" s="17">
        <f t="shared" si="10"/>
        <v>0.49025155304773693</v>
      </c>
      <c r="M102" s="17">
        <f t="shared" si="11"/>
        <v>0.49025155304773693</v>
      </c>
      <c r="N102" s="17">
        <f t="shared" si="12"/>
        <v>0.49025155304773693</v>
      </c>
      <c r="O102" s="3"/>
      <c r="P102" s="18">
        <f t="shared" si="13"/>
        <v>2539.5855730821777</v>
      </c>
      <c r="Q102" s="18">
        <f t="shared" si="18"/>
        <v>1547.6314977420211</v>
      </c>
      <c r="R102" s="18">
        <f t="shared" si="19"/>
        <v>0</v>
      </c>
      <c r="S102" s="18">
        <f t="shared" si="20"/>
        <v>0</v>
      </c>
      <c r="T102" s="18">
        <v>100</v>
      </c>
      <c r="U102" s="3"/>
      <c r="V102" s="18">
        <f t="shared" si="14"/>
        <v>4187.2170708241993</v>
      </c>
      <c r="W102" s="3"/>
      <c r="X102" s="14">
        <f t="shared" si="15"/>
        <v>199109.67429492847</v>
      </c>
      <c r="Y102" s="14">
        <f t="shared" si="16"/>
        <v>446.21707082419925</v>
      </c>
      <c r="AA102" s="14">
        <f t="shared" si="17"/>
        <v>4.2326594203754447E-4</v>
      </c>
      <c r="AB102" s="16"/>
    </row>
    <row r="103" spans="2:28" x14ac:dyDescent="0.35">
      <c r="B103" s="26">
        <v>20.200000000000003</v>
      </c>
      <c r="C103" s="26">
        <v>3599</v>
      </c>
      <c r="D103" s="18">
        <f t="shared" si="7"/>
        <v>15.11758933607387</v>
      </c>
      <c r="E103" s="18">
        <f t="shared" ref="E103:H103" si="22">D$23-LN(1/D$23)+$B103*D$22</f>
        <v>3.5299325129300039</v>
      </c>
      <c r="F103" s="18">
        <f t="shared" si="22"/>
        <v>-0.18258509299404535</v>
      </c>
      <c r="G103" s="18">
        <f t="shared" si="22"/>
        <v>-0.18258509299404535</v>
      </c>
      <c r="H103" s="18">
        <f t="shared" si="22"/>
        <v>-0.18258509299404535</v>
      </c>
      <c r="I103" s="3"/>
      <c r="J103" s="17">
        <f t="shared" si="8"/>
        <v>12.58507754574587</v>
      </c>
      <c r="K103" s="17">
        <f t="shared" si="9"/>
        <v>2.5815446079031914</v>
      </c>
      <c r="L103" s="17">
        <f t="shared" si="10"/>
        <v>0.50352895936542985</v>
      </c>
      <c r="M103" s="17">
        <f t="shared" si="11"/>
        <v>0.50352895936542985</v>
      </c>
      <c r="N103" s="17">
        <f t="shared" si="12"/>
        <v>0.50352895936542985</v>
      </c>
      <c r="O103" s="3"/>
      <c r="P103" s="18">
        <f t="shared" si="13"/>
        <v>2475.344423478211</v>
      </c>
      <c r="Q103" s="18">
        <f t="shared" si="18"/>
        <v>1533.7277635131936</v>
      </c>
      <c r="R103" s="18">
        <f t="shared" si="19"/>
        <v>0</v>
      </c>
      <c r="S103" s="18">
        <f t="shared" si="20"/>
        <v>0</v>
      </c>
      <c r="T103" s="18">
        <v>100</v>
      </c>
      <c r="U103" s="3"/>
      <c r="V103" s="18">
        <f t="shared" si="14"/>
        <v>4109.072186991405</v>
      </c>
      <c r="W103" s="3"/>
      <c r="X103" s="14">
        <f t="shared" si="15"/>
        <v>260173.63594219487</v>
      </c>
      <c r="Y103" s="14">
        <f t="shared" si="16"/>
        <v>510.07218699140503</v>
      </c>
      <c r="AA103" s="14">
        <f t="shared" si="17"/>
        <v>4.8383667692338564E-4</v>
      </c>
      <c r="AB103" s="16"/>
    </row>
    <row r="104" spans="2:28" x14ac:dyDescent="0.35">
      <c r="B104" s="26">
        <v>20.5</v>
      </c>
      <c r="C104" s="26">
        <v>3607</v>
      </c>
      <c r="D104" s="18">
        <f t="shared" ref="D104:H167" si="23">C$23-LN(1/C$23)+$B104*C$22</f>
        <v>15.252302964374897</v>
      </c>
      <c r="E104" s="18">
        <f t="shared" si="23"/>
        <v>3.5439974735948683</v>
      </c>
      <c r="F104" s="18">
        <f t="shared" si="23"/>
        <v>-0.15258509299404555</v>
      </c>
      <c r="G104" s="18">
        <f t="shared" si="23"/>
        <v>-0.15258509299404555</v>
      </c>
      <c r="H104" s="18">
        <f t="shared" si="23"/>
        <v>-0.15258509299404555</v>
      </c>
      <c r="I104" s="3"/>
      <c r="J104" s="17">
        <f t="shared" ref="J104:J113" si="24">lmb_2(D104)</f>
        <v>12.709920160798422</v>
      </c>
      <c r="K104" s="17">
        <f t="shared" ref="K104:K113" si="25">lmb_2(E104)</f>
        <v>2.5916880524734727</v>
      </c>
      <c r="L104" s="17">
        <f t="shared" ref="L104:L113" si="26">lmb_2(F104)</f>
        <v>0.51364256373341655</v>
      </c>
      <c r="M104" s="17">
        <f t="shared" ref="M104:M113" si="27">lmb_2(G104)</f>
        <v>0.51364256373341655</v>
      </c>
      <c r="N104" s="17">
        <f t="shared" ref="N104:N113" si="28">lmb_2(H104)</f>
        <v>0.51364256373341655</v>
      </c>
      <c r="O104" s="3"/>
      <c r="P104" s="18">
        <f t="shared" ref="P104:P167" si="29">(C$21*$A$21*C$23*C$22)/(J104+J104^2)</f>
        <v>2428.7113669190308</v>
      </c>
      <c r="Q104" s="18">
        <f t="shared" si="18"/>
        <v>1523.4104875257926</v>
      </c>
      <c r="R104" s="18">
        <f t="shared" si="19"/>
        <v>0</v>
      </c>
      <c r="S104" s="18">
        <f t="shared" si="20"/>
        <v>0</v>
      </c>
      <c r="T104" s="18">
        <v>100</v>
      </c>
      <c r="U104" s="3"/>
      <c r="V104" s="18">
        <f t="shared" ref="V104:V113" si="30">SUM(P104:T104)</f>
        <v>4052.1218544448234</v>
      </c>
      <c r="W104" s="3"/>
      <c r="X104" s="14">
        <f t="shared" ref="X104:X113" si="31">(V104-C104)^2</f>
        <v>198133.46530439853</v>
      </c>
      <c r="Y104" s="14">
        <f t="shared" ref="Y104:Y113" si="32">ABS(V104-C104)</f>
        <v>445.12185444482338</v>
      </c>
      <c r="AA104" s="14">
        <f t="shared" ref="AA104:AA113" si="33">Y104/$Z$39</f>
        <v>4.2222705799912071E-4</v>
      </c>
      <c r="AB104" s="16"/>
    </row>
    <row r="105" spans="2:28" x14ac:dyDescent="0.35">
      <c r="B105" s="26">
        <v>20.800000000000011</v>
      </c>
      <c r="C105" s="26">
        <v>3525</v>
      </c>
      <c r="D105" s="18">
        <f t="shared" si="23"/>
        <v>15.387016592675931</v>
      </c>
      <c r="E105" s="18">
        <f t="shared" si="23"/>
        <v>3.5580624342597336</v>
      </c>
      <c r="F105" s="18">
        <f t="shared" si="23"/>
        <v>-0.12258509299404441</v>
      </c>
      <c r="G105" s="18">
        <f t="shared" si="23"/>
        <v>-0.12258509299404441</v>
      </c>
      <c r="H105" s="18">
        <f t="shared" si="23"/>
        <v>-0.12258509299404441</v>
      </c>
      <c r="I105" s="3"/>
      <c r="J105" s="17">
        <f t="shared" si="24"/>
        <v>12.834852287026276</v>
      </c>
      <c r="K105" s="17">
        <f t="shared" si="25"/>
        <v>2.6018425623853454</v>
      </c>
      <c r="L105" s="17">
        <f t="shared" si="26"/>
        <v>0.52388946622919863</v>
      </c>
      <c r="M105" s="17">
        <f t="shared" si="27"/>
        <v>0.52388946622919863</v>
      </c>
      <c r="N105" s="17">
        <f t="shared" si="28"/>
        <v>0.52388946622919863</v>
      </c>
      <c r="O105" s="3"/>
      <c r="P105" s="18">
        <f t="shared" si="29"/>
        <v>2383.3523490950101</v>
      </c>
      <c r="Q105" s="18">
        <f t="shared" si="18"/>
        <v>1513.1867790338292</v>
      </c>
      <c r="R105" s="18">
        <f t="shared" si="19"/>
        <v>0</v>
      </c>
      <c r="S105" s="18">
        <f t="shared" si="20"/>
        <v>0</v>
      </c>
      <c r="T105" s="18">
        <v>100</v>
      </c>
      <c r="U105" s="3"/>
      <c r="V105" s="18">
        <f t="shared" si="30"/>
        <v>3996.5391281288394</v>
      </c>
      <c r="W105" s="3"/>
      <c r="X105" s="14">
        <f t="shared" si="31"/>
        <v>222349.14935650598</v>
      </c>
      <c r="Y105" s="14">
        <f t="shared" si="32"/>
        <v>471.53912812883937</v>
      </c>
      <c r="AA105" s="14">
        <f t="shared" si="33"/>
        <v>4.4728556194939642E-4</v>
      </c>
      <c r="AB105" s="16"/>
    </row>
    <row r="106" spans="2:28" x14ac:dyDescent="0.35">
      <c r="B106" s="26">
        <v>21.100000000000009</v>
      </c>
      <c r="C106" s="26">
        <v>3470</v>
      </c>
      <c r="D106" s="18">
        <f t="shared" si="23"/>
        <v>15.521730220976957</v>
      </c>
      <c r="E106" s="18">
        <f t="shared" si="23"/>
        <v>3.572127394924598</v>
      </c>
      <c r="F106" s="18">
        <f t="shared" si="23"/>
        <v>-9.2585092994045048E-2</v>
      </c>
      <c r="G106" s="18">
        <f t="shared" si="23"/>
        <v>-9.2585092994045048E-2</v>
      </c>
      <c r="H106" s="18">
        <f t="shared" si="23"/>
        <v>-9.2585092994045048E-2</v>
      </c>
      <c r="I106" s="3"/>
      <c r="J106" s="17">
        <f t="shared" si="24"/>
        <v>12.959872377515261</v>
      </c>
      <c r="K106" s="17">
        <f t="shared" si="25"/>
        <v>2.6120080873039093</v>
      </c>
      <c r="L106" s="17">
        <f t="shared" si="26"/>
        <v>0.5342696019213159</v>
      </c>
      <c r="M106" s="17">
        <f t="shared" si="27"/>
        <v>0.5342696019213159</v>
      </c>
      <c r="N106" s="17">
        <f t="shared" si="28"/>
        <v>0.5342696019213159</v>
      </c>
      <c r="O106" s="3"/>
      <c r="P106" s="18">
        <f t="shared" si="29"/>
        <v>2339.2222211094968</v>
      </c>
      <c r="Q106" s="18">
        <f t="shared" si="18"/>
        <v>1503.055601475015</v>
      </c>
      <c r="R106" s="18">
        <f t="shared" si="19"/>
        <v>0</v>
      </c>
      <c r="S106" s="18">
        <f t="shared" si="20"/>
        <v>0</v>
      </c>
      <c r="T106" s="18">
        <v>100</v>
      </c>
      <c r="U106" s="3"/>
      <c r="V106" s="18">
        <f t="shared" si="30"/>
        <v>3942.2778225845118</v>
      </c>
      <c r="W106" s="3"/>
      <c r="X106" s="14">
        <f t="shared" si="31"/>
        <v>223046.34170516761</v>
      </c>
      <c r="Y106" s="14">
        <f t="shared" si="32"/>
        <v>472.2778225845118</v>
      </c>
      <c r="AA106" s="14">
        <f t="shared" si="33"/>
        <v>4.4798626173230829E-4</v>
      </c>
      <c r="AB106" s="16"/>
    </row>
    <row r="107" spans="2:28" x14ac:dyDescent="0.35">
      <c r="B107" s="26">
        <v>21.400000000000006</v>
      </c>
      <c r="C107" s="26">
        <v>3437</v>
      </c>
      <c r="D107" s="18">
        <f t="shared" si="23"/>
        <v>15.656443849277984</v>
      </c>
      <c r="E107" s="18">
        <f t="shared" si="23"/>
        <v>3.5861923555894624</v>
      </c>
      <c r="F107" s="18">
        <f t="shared" si="23"/>
        <v>-6.2585092994045244E-2</v>
      </c>
      <c r="G107" s="18">
        <f t="shared" si="23"/>
        <v>-6.2585092994045244E-2</v>
      </c>
      <c r="H107" s="18">
        <f t="shared" si="23"/>
        <v>-6.2585092994045244E-2</v>
      </c>
      <c r="I107" s="3"/>
      <c r="J107" s="17">
        <f t="shared" si="24"/>
        <v>13.084978923996699</v>
      </c>
      <c r="K107" s="17">
        <f t="shared" si="25"/>
        <v>2.6221845771635941</v>
      </c>
      <c r="L107" s="17">
        <f t="shared" si="26"/>
        <v>0.54478287154408578</v>
      </c>
      <c r="M107" s="17">
        <f t="shared" si="27"/>
        <v>0.54478287154408578</v>
      </c>
      <c r="N107" s="17">
        <f t="shared" si="28"/>
        <v>0.54478287154408578</v>
      </c>
      <c r="O107" s="3"/>
      <c r="P107" s="18">
        <f t="shared" si="29"/>
        <v>2296.2777868758508</v>
      </c>
      <c r="Q107" s="18">
        <f t="shared" si="18"/>
        <v>1493.0159315511423</v>
      </c>
      <c r="R107" s="18">
        <f t="shared" si="19"/>
        <v>0</v>
      </c>
      <c r="S107" s="18">
        <f t="shared" si="20"/>
        <v>0</v>
      </c>
      <c r="T107" s="18">
        <v>100</v>
      </c>
      <c r="U107" s="3"/>
      <c r="V107" s="18">
        <f t="shared" si="30"/>
        <v>3889.2937184269931</v>
      </c>
      <c r="W107" s="3"/>
      <c r="X107" s="14">
        <f t="shared" si="31"/>
        <v>204569.60772851613</v>
      </c>
      <c r="Y107" s="14">
        <f t="shared" si="32"/>
        <v>452.29371842699311</v>
      </c>
      <c r="AA107" s="14">
        <f t="shared" si="33"/>
        <v>4.2903003790074391E-4</v>
      </c>
      <c r="AB107" s="16"/>
    </row>
    <row r="108" spans="2:28" x14ac:dyDescent="0.35">
      <c r="B108" s="26">
        <v>21.700000000000003</v>
      </c>
      <c r="C108" s="26">
        <v>3424</v>
      </c>
      <c r="D108" s="18">
        <f t="shared" si="23"/>
        <v>15.791157477579011</v>
      </c>
      <c r="E108" s="18">
        <f t="shared" si="23"/>
        <v>3.6002573162543268</v>
      </c>
      <c r="F108" s="18">
        <f t="shared" si="23"/>
        <v>-3.2585092994045439E-2</v>
      </c>
      <c r="G108" s="18">
        <f t="shared" si="23"/>
        <v>-3.2585092994045439E-2</v>
      </c>
      <c r="H108" s="18">
        <f t="shared" si="23"/>
        <v>-3.2585092994045439E-2</v>
      </c>
      <c r="I108" s="3"/>
      <c r="J108" s="17">
        <f t="shared" si="24"/>
        <v>13.210170455600368</v>
      </c>
      <c r="K108" s="17">
        <f t="shared" si="25"/>
        <v>2.6323719821669447</v>
      </c>
      <c r="L108" s="17">
        <f t="shared" si="26"/>
        <v>0.55542914207149963</v>
      </c>
      <c r="M108" s="17">
        <f t="shared" si="27"/>
        <v>0.55542914207149963</v>
      </c>
      <c r="N108" s="17">
        <f t="shared" si="28"/>
        <v>0.55542914207149963</v>
      </c>
      <c r="O108" s="3"/>
      <c r="P108" s="18">
        <f t="shared" si="29"/>
        <v>2254.4777039081591</v>
      </c>
      <c r="Q108" s="18">
        <f t="shared" si="18"/>
        <v>1483.0667590393853</v>
      </c>
      <c r="R108" s="18">
        <f t="shared" si="19"/>
        <v>0</v>
      </c>
      <c r="S108" s="18">
        <f t="shared" si="20"/>
        <v>0</v>
      </c>
      <c r="T108" s="18">
        <v>100</v>
      </c>
      <c r="U108" s="3"/>
      <c r="V108" s="18">
        <f t="shared" si="30"/>
        <v>3837.5444629475442</v>
      </c>
      <c r="W108" s="3"/>
      <c r="X108" s="14">
        <f t="shared" si="31"/>
        <v>171019.02283457274</v>
      </c>
      <c r="Y108" s="14">
        <f t="shared" si="32"/>
        <v>413.54446294754416</v>
      </c>
      <c r="AA108" s="14">
        <f t="shared" si="33"/>
        <v>3.9227384636045156E-4</v>
      </c>
      <c r="AB108" s="16"/>
    </row>
    <row r="109" spans="2:28" x14ac:dyDescent="0.35">
      <c r="B109" s="26">
        <v>22.100000000000009</v>
      </c>
      <c r="C109" s="26">
        <v>3443</v>
      </c>
      <c r="D109" s="18">
        <f t="shared" si="23"/>
        <v>15.970775648647052</v>
      </c>
      <c r="E109" s="18">
        <f t="shared" si="23"/>
        <v>3.6190105971408126</v>
      </c>
      <c r="F109" s="18">
        <f t="shared" si="23"/>
        <v>7.4149070059550404E-3</v>
      </c>
      <c r="G109" s="18">
        <f t="shared" si="23"/>
        <v>7.4149070059550404E-3</v>
      </c>
      <c r="H109" s="18">
        <f t="shared" si="23"/>
        <v>7.4149070059550404E-3</v>
      </c>
      <c r="I109" s="3"/>
      <c r="J109" s="17">
        <f t="shared" si="24"/>
        <v>13.37722222221092</v>
      </c>
      <c r="K109" s="17">
        <f t="shared" si="25"/>
        <v>2.6459720823803661</v>
      </c>
      <c r="L109" s="17">
        <f t="shared" si="26"/>
        <v>0.5698307678141934</v>
      </c>
      <c r="M109" s="17">
        <f t="shared" si="27"/>
        <v>0.5698307678141934</v>
      </c>
      <c r="N109" s="17">
        <f t="shared" si="28"/>
        <v>0.5698307678141934</v>
      </c>
      <c r="O109" s="3"/>
      <c r="P109" s="18">
        <f t="shared" si="29"/>
        <v>2200.4561904765328</v>
      </c>
      <c r="Q109" s="18">
        <f t="shared" si="18"/>
        <v>1469.9402474903416</v>
      </c>
      <c r="R109" s="18">
        <f t="shared" si="19"/>
        <v>0</v>
      </c>
      <c r="S109" s="18">
        <f t="shared" si="20"/>
        <v>0</v>
      </c>
      <c r="T109" s="18">
        <v>100</v>
      </c>
      <c r="U109" s="3"/>
      <c r="V109" s="18">
        <f t="shared" si="30"/>
        <v>3770.3964379668741</v>
      </c>
      <c r="W109" s="3"/>
      <c r="X109" s="14">
        <f t="shared" si="31"/>
        <v>107188.42759339727</v>
      </c>
      <c r="Y109" s="14">
        <f t="shared" si="32"/>
        <v>327.39643796687415</v>
      </c>
      <c r="AA109" s="14">
        <f t="shared" si="33"/>
        <v>3.1055683611526733E-4</v>
      </c>
      <c r="AB109" s="16"/>
    </row>
    <row r="110" spans="2:28" x14ac:dyDescent="0.35">
      <c r="B110" s="26">
        <v>22.400000000000006</v>
      </c>
      <c r="C110" s="26">
        <v>3450</v>
      </c>
      <c r="D110" s="18">
        <f t="shared" si="23"/>
        <v>16.105489276948077</v>
      </c>
      <c r="E110" s="18">
        <f t="shared" si="23"/>
        <v>3.633075557805677</v>
      </c>
      <c r="F110" s="18">
        <f t="shared" si="23"/>
        <v>3.7414907005954845E-2</v>
      </c>
      <c r="G110" s="18">
        <f t="shared" si="23"/>
        <v>3.7414907005954845E-2</v>
      </c>
      <c r="H110" s="18">
        <f t="shared" si="23"/>
        <v>3.7414907005954845E-2</v>
      </c>
      <c r="I110" s="3"/>
      <c r="J110" s="17">
        <f t="shared" si="24"/>
        <v>13.502606533579154</v>
      </c>
      <c r="K110" s="17">
        <f t="shared" si="25"/>
        <v>2.6561847638924569</v>
      </c>
      <c r="L110" s="17">
        <f t="shared" si="26"/>
        <v>0.5807866714118638</v>
      </c>
      <c r="M110" s="17">
        <f t="shared" si="27"/>
        <v>0.5807866714118638</v>
      </c>
      <c r="N110" s="17">
        <f t="shared" si="28"/>
        <v>0.5807866714118638</v>
      </c>
      <c r="O110" s="3"/>
      <c r="P110" s="18">
        <f t="shared" si="29"/>
        <v>2161.1752071890542</v>
      </c>
      <c r="Q110" s="18">
        <f t="shared" si="18"/>
        <v>1460.1983790247243</v>
      </c>
      <c r="R110" s="18">
        <f t="shared" si="19"/>
        <v>0</v>
      </c>
      <c r="S110" s="18">
        <f t="shared" si="20"/>
        <v>0</v>
      </c>
      <c r="T110" s="18">
        <v>100</v>
      </c>
      <c r="U110" s="3"/>
      <c r="V110" s="18">
        <f t="shared" si="30"/>
        <v>3721.3735862137783</v>
      </c>
      <c r="W110" s="3"/>
      <c r="X110" s="14">
        <f t="shared" si="31"/>
        <v>73643.623294526944</v>
      </c>
      <c r="Y110" s="14">
        <f t="shared" si="32"/>
        <v>271.37358621377825</v>
      </c>
      <c r="AA110" s="14">
        <f t="shared" si="33"/>
        <v>2.5741551393522433E-4</v>
      </c>
      <c r="AB110" s="16"/>
    </row>
    <row r="111" spans="2:28" x14ac:dyDescent="0.35">
      <c r="B111" s="26">
        <v>22.700000000000003</v>
      </c>
      <c r="C111" s="26">
        <v>3327</v>
      </c>
      <c r="D111" s="18">
        <f t="shared" si="23"/>
        <v>16.240202905249106</v>
      </c>
      <c r="E111" s="18">
        <f t="shared" si="23"/>
        <v>3.6471405184705414</v>
      </c>
      <c r="F111" s="18">
        <f t="shared" si="23"/>
        <v>6.741490700595465E-2</v>
      </c>
      <c r="G111" s="18">
        <f t="shared" si="23"/>
        <v>6.741490700595465E-2</v>
      </c>
      <c r="H111" s="18">
        <f t="shared" si="23"/>
        <v>6.741490700595465E-2</v>
      </c>
      <c r="I111" s="3"/>
      <c r="J111" s="17">
        <f t="shared" si="24"/>
        <v>13.628071182230228</v>
      </c>
      <c r="K111" s="17">
        <f t="shared" si="25"/>
        <v>2.6664081964774362</v>
      </c>
      <c r="L111" s="17">
        <f t="shared" si="26"/>
        <v>0.59187489665458692</v>
      </c>
      <c r="M111" s="17">
        <f t="shared" si="27"/>
        <v>0.59187489665458692</v>
      </c>
      <c r="N111" s="17">
        <f t="shared" si="28"/>
        <v>0.59187489665458692</v>
      </c>
      <c r="O111" s="3"/>
      <c r="P111" s="18">
        <f t="shared" si="29"/>
        <v>2122.9129938988312</v>
      </c>
      <c r="Q111" s="18">
        <f t="shared" si="18"/>
        <v>1450.5437326307144</v>
      </c>
      <c r="R111" s="18">
        <f t="shared" si="19"/>
        <v>0</v>
      </c>
      <c r="S111" s="18">
        <f t="shared" si="20"/>
        <v>0</v>
      </c>
      <c r="T111" s="18">
        <v>100</v>
      </c>
      <c r="U111" s="3"/>
      <c r="V111" s="18">
        <f t="shared" si="30"/>
        <v>3673.4567265295454</v>
      </c>
      <c r="W111" s="3"/>
      <c r="X111" s="14">
        <f t="shared" si="31"/>
        <v>120032.26335756824</v>
      </c>
      <c r="Y111" s="14">
        <f t="shared" si="32"/>
        <v>346.45672652954545</v>
      </c>
      <c r="AA111" s="14">
        <f t="shared" si="33"/>
        <v>3.2863676071135018E-4</v>
      </c>
      <c r="AB111" s="16"/>
    </row>
    <row r="112" spans="2:28" x14ac:dyDescent="0.35">
      <c r="B112" s="26">
        <v>23</v>
      </c>
      <c r="C112" s="26">
        <v>3222</v>
      </c>
      <c r="D112" s="18">
        <f t="shared" si="23"/>
        <v>16.374916533550135</v>
      </c>
      <c r="E112" s="18">
        <f t="shared" si="23"/>
        <v>3.6612054791354058</v>
      </c>
      <c r="F112" s="18">
        <f t="shared" si="23"/>
        <v>9.7414907005954454E-2</v>
      </c>
      <c r="G112" s="18">
        <f t="shared" si="23"/>
        <v>9.7414907005954454E-2</v>
      </c>
      <c r="H112" s="18">
        <f t="shared" si="23"/>
        <v>9.7414907005954454E-2</v>
      </c>
      <c r="I112" s="3"/>
      <c r="J112" s="17">
        <f t="shared" si="24"/>
        <v>13.753614846091581</v>
      </c>
      <c r="K112" s="17">
        <f t="shared" si="25"/>
        <v>2.6766423314855827</v>
      </c>
      <c r="L112" s="17">
        <f t="shared" si="26"/>
        <v>0.60309517157455261</v>
      </c>
      <c r="M112" s="17">
        <f t="shared" si="27"/>
        <v>0.60309517157455261</v>
      </c>
      <c r="N112" s="17">
        <f t="shared" si="28"/>
        <v>0.60309517157455261</v>
      </c>
      <c r="O112" s="3"/>
      <c r="P112" s="18">
        <f t="shared" si="29"/>
        <v>2085.6352272323866</v>
      </c>
      <c r="Q112" s="18">
        <f t="shared" si="18"/>
        <v>1440.9753526346237</v>
      </c>
      <c r="R112" s="18">
        <f t="shared" si="19"/>
        <v>0</v>
      </c>
      <c r="S112" s="18">
        <f t="shared" si="20"/>
        <v>0</v>
      </c>
      <c r="T112" s="18">
        <v>100</v>
      </c>
      <c r="U112" s="3"/>
      <c r="V112" s="18">
        <f t="shared" si="30"/>
        <v>3626.6105798670105</v>
      </c>
      <c r="W112" s="3"/>
      <c r="X112" s="14">
        <f t="shared" si="31"/>
        <v>163709.7213403185</v>
      </c>
      <c r="Y112" s="14">
        <f t="shared" si="32"/>
        <v>404.61057986701053</v>
      </c>
      <c r="AA112" s="14">
        <f t="shared" si="33"/>
        <v>3.8379947663015244E-4</v>
      </c>
      <c r="AB112" s="16"/>
    </row>
    <row r="113" spans="2:28" x14ac:dyDescent="0.35">
      <c r="B113" s="26">
        <v>23.300000000000011</v>
      </c>
      <c r="C113" s="26">
        <v>3428</v>
      </c>
      <c r="D113" s="18">
        <f t="shared" si="23"/>
        <v>16.509630161851167</v>
      </c>
      <c r="E113" s="18">
        <f t="shared" si="23"/>
        <v>3.6752704398002711</v>
      </c>
      <c r="F113" s="18">
        <f t="shared" si="23"/>
        <v>0.12741490700595559</v>
      </c>
      <c r="G113" s="18">
        <f t="shared" si="23"/>
        <v>0.12741490700595559</v>
      </c>
      <c r="H113" s="18">
        <f t="shared" si="23"/>
        <v>0.12741490700595559</v>
      </c>
      <c r="I113" s="3"/>
      <c r="J113" s="17">
        <f t="shared" si="24"/>
        <v>13.879236234611342</v>
      </c>
      <c r="K113" s="17">
        <f t="shared" si="25"/>
        <v>2.6868871205287705</v>
      </c>
      <c r="L113" s="17">
        <f t="shared" si="26"/>
        <v>0.61444719398232817</v>
      </c>
      <c r="M113" s="17">
        <f t="shared" si="27"/>
        <v>0.61444719398232817</v>
      </c>
      <c r="N113" s="17">
        <f t="shared" si="28"/>
        <v>0.61444719398232817</v>
      </c>
      <c r="O113" s="3"/>
      <c r="P113" s="18">
        <f t="shared" si="29"/>
        <v>2049.3089970344454</v>
      </c>
      <c r="Q113" s="18">
        <f t="shared" si="18"/>
        <v>1431.4922954795181</v>
      </c>
      <c r="R113" s="18">
        <f t="shared" si="19"/>
        <v>0</v>
      </c>
      <c r="S113" s="18">
        <f t="shared" si="20"/>
        <v>0</v>
      </c>
      <c r="T113" s="18">
        <v>100</v>
      </c>
      <c r="U113" s="3"/>
      <c r="V113" s="18">
        <f t="shared" si="30"/>
        <v>3580.8012925139637</v>
      </c>
      <c r="W113" s="3"/>
      <c r="X113" s="14">
        <f t="shared" si="31"/>
        <v>23348.234993937913</v>
      </c>
      <c r="Y113" s="14">
        <f t="shared" si="32"/>
        <v>152.80129251396374</v>
      </c>
      <c r="AA113" s="14">
        <f t="shared" si="33"/>
        <v>1.4494197387163201E-4</v>
      </c>
      <c r="AB113" s="16"/>
    </row>
    <row r="114" spans="2:28" x14ac:dyDescent="0.35">
      <c r="B114" s="26">
        <v>23.600000000000009</v>
      </c>
      <c r="C114" s="26">
        <v>3346</v>
      </c>
      <c r="D114" s="18">
        <f t="shared" si="23"/>
        <v>16.644343790152192</v>
      </c>
      <c r="E114" s="18">
        <f t="shared" si="23"/>
        <v>3.6893354004651355</v>
      </c>
      <c r="F114" s="18">
        <f t="shared" si="23"/>
        <v>0.15741490700595495</v>
      </c>
      <c r="G114" s="18">
        <f t="shared" si="23"/>
        <v>0.15741490700595495</v>
      </c>
      <c r="H114" s="18">
        <f t="shared" si="23"/>
        <v>0.15741490700595495</v>
      </c>
      <c r="I114" s="16"/>
      <c r="J114" s="18">
        <f t="shared" ref="J114:J177" si="34">lmb_2(D114)</f>
        <v>14.004934087785671</v>
      </c>
      <c r="K114" s="18">
        <f t="shared" ref="K114:K177" si="35">lmb_2(E114)</f>
        <v>2.6971425154792339</v>
      </c>
      <c r="L114" s="18">
        <f t="shared" ref="L114:L177" si="36">lmb_2(F114)</f>
        <v>0.62593063220389378</v>
      </c>
      <c r="M114" s="18">
        <f t="shared" ref="M114:M177" si="37">lmb_2(G114)</f>
        <v>0.62593063220389378</v>
      </c>
      <c r="N114" s="18">
        <f t="shared" ref="N114:N177" si="38">lmb_2(H114)</f>
        <v>0.62593063220389378</v>
      </c>
      <c r="O114" s="16"/>
      <c r="P114" s="18">
        <f t="shared" si="29"/>
        <v>2013.9027379439469</v>
      </c>
      <c r="Q114" s="18">
        <f t="shared" si="18"/>
        <v>1422.0936295540898</v>
      </c>
      <c r="R114" s="18">
        <f t="shared" si="19"/>
        <v>0</v>
      </c>
      <c r="S114" s="18">
        <f t="shared" si="20"/>
        <v>0</v>
      </c>
      <c r="T114" s="18">
        <v>100</v>
      </c>
      <c r="U114" s="16"/>
      <c r="V114" s="18">
        <f t="shared" ref="V114:V177" si="39">SUM(P114:T114)</f>
        <v>3535.9963674980368</v>
      </c>
      <c r="W114" s="16"/>
      <c r="X114" s="18">
        <f t="shared" ref="X114:X177" si="40">(V114-C114)^2</f>
        <v>36098.61966244904</v>
      </c>
      <c r="Y114" s="18">
        <f t="shared" ref="Y114:Y177" si="41">ABS(V114-C114)</f>
        <v>189.99636749803676</v>
      </c>
      <c r="Z114" s="18"/>
      <c r="AA114" s="18">
        <f t="shared" ref="AA114:AA177" si="42">Y114/$Z$39</f>
        <v>1.8022392402923447E-4</v>
      </c>
      <c r="AB114" s="16"/>
    </row>
    <row r="115" spans="2:28" x14ac:dyDescent="0.35">
      <c r="B115" s="26">
        <v>23.900000000000006</v>
      </c>
      <c r="C115" s="26">
        <v>3244</v>
      </c>
      <c r="D115" s="18">
        <f t="shared" si="23"/>
        <v>16.77905741845322</v>
      </c>
      <c r="E115" s="18">
        <f t="shared" si="23"/>
        <v>3.7034003611299999</v>
      </c>
      <c r="F115" s="18">
        <f t="shared" si="23"/>
        <v>0.18741490700595476</v>
      </c>
      <c r="G115" s="18">
        <f t="shared" si="23"/>
        <v>0.18741490700595476</v>
      </c>
      <c r="H115" s="18">
        <f t="shared" si="23"/>
        <v>0.18741490700595476</v>
      </c>
      <c r="I115" s="16"/>
      <c r="J115" s="18">
        <f t="shared" si="34"/>
        <v>14.130707175222673</v>
      </c>
      <c r="K115" s="18">
        <f t="shared" si="35"/>
        <v>2.7074084684683415</v>
      </c>
      <c r="L115" s="18">
        <f t="shared" si="36"/>
        <v>0.637545125835843</v>
      </c>
      <c r="M115" s="18">
        <f t="shared" si="37"/>
        <v>0.637545125835843</v>
      </c>
      <c r="N115" s="18">
        <f t="shared" si="38"/>
        <v>0.637545125835843</v>
      </c>
      <c r="O115" s="16"/>
      <c r="P115" s="18">
        <f t="shared" si="29"/>
        <v>1979.3861647637593</v>
      </c>
      <c r="Q115" s="18">
        <f t="shared" si="18"/>
        <v>1412.7784350241327</v>
      </c>
      <c r="R115" s="18">
        <f t="shared" si="19"/>
        <v>0</v>
      </c>
      <c r="S115" s="18">
        <f t="shared" si="20"/>
        <v>0</v>
      </c>
      <c r="T115" s="18">
        <v>100</v>
      </c>
      <c r="U115" s="16"/>
      <c r="V115" s="18">
        <f t="shared" si="39"/>
        <v>3492.1645997878923</v>
      </c>
      <c r="W115" s="16"/>
      <c r="X115" s="18">
        <f t="shared" si="40"/>
        <v>61585.668587884735</v>
      </c>
      <c r="Y115" s="18">
        <f t="shared" si="41"/>
        <v>248.16459978789226</v>
      </c>
      <c r="Z115" s="18"/>
      <c r="AA115" s="18">
        <f t="shared" si="42"/>
        <v>2.3540027932050133E-4</v>
      </c>
      <c r="AB115" s="16"/>
    </row>
    <row r="116" spans="2:28" x14ac:dyDescent="0.35">
      <c r="B116" s="26">
        <v>24.300000000000011</v>
      </c>
      <c r="C116" s="26">
        <v>3176</v>
      </c>
      <c r="D116" s="18">
        <f t="shared" si="23"/>
        <v>16.958675589521263</v>
      </c>
      <c r="E116" s="18">
        <f t="shared" si="23"/>
        <v>3.7221536420164858</v>
      </c>
      <c r="F116" s="18">
        <f t="shared" si="23"/>
        <v>0.22741490700595568</v>
      </c>
      <c r="G116" s="18">
        <f t="shared" si="23"/>
        <v>0.22741490700595568</v>
      </c>
      <c r="H116" s="18">
        <f t="shared" si="23"/>
        <v>0.22741490700595568</v>
      </c>
      <c r="I116" s="16"/>
      <c r="J116" s="18">
        <f t="shared" si="34"/>
        <v>14.298519583260658</v>
      </c>
      <c r="K116" s="18">
        <f t="shared" si="35"/>
        <v>2.7211127471496548</v>
      </c>
      <c r="L116" s="18">
        <f t="shared" si="36"/>
        <v>0.65323430614575517</v>
      </c>
      <c r="M116" s="18">
        <f t="shared" si="37"/>
        <v>0.65323430614575517</v>
      </c>
      <c r="N116" s="18">
        <f t="shared" si="38"/>
        <v>0.65323430614575517</v>
      </c>
      <c r="O116" s="16"/>
      <c r="P116" s="18">
        <f t="shared" si="29"/>
        <v>1934.6979536747763</v>
      </c>
      <c r="Q116" s="18">
        <f t="shared" si="18"/>
        <v>1400.4864519275322</v>
      </c>
      <c r="R116" s="18">
        <f t="shared" si="19"/>
        <v>0</v>
      </c>
      <c r="S116" s="18">
        <f t="shared" si="20"/>
        <v>0</v>
      </c>
      <c r="T116" s="18">
        <v>100</v>
      </c>
      <c r="U116" s="16"/>
      <c r="V116" s="18">
        <f t="shared" si="39"/>
        <v>3435.1844056023083</v>
      </c>
      <c r="W116" s="16"/>
      <c r="X116" s="18">
        <f t="shared" si="40"/>
        <v>67176.556107421857</v>
      </c>
      <c r="Y116" s="18">
        <f t="shared" si="41"/>
        <v>259.18440560230829</v>
      </c>
      <c r="Z116" s="18"/>
      <c r="AA116" s="18">
        <f t="shared" si="42"/>
        <v>2.4585328256507521E-4</v>
      </c>
      <c r="AB116" s="16"/>
    </row>
    <row r="117" spans="2:28" x14ac:dyDescent="0.35">
      <c r="B117" s="26">
        <v>24.600000000000009</v>
      </c>
      <c r="C117" s="26">
        <v>3173</v>
      </c>
      <c r="D117" s="18">
        <f t="shared" si="23"/>
        <v>17.093389217822288</v>
      </c>
      <c r="E117" s="18">
        <f t="shared" si="23"/>
        <v>3.7362186026813502</v>
      </c>
      <c r="F117" s="18">
        <f t="shared" si="23"/>
        <v>0.25741490700595504</v>
      </c>
      <c r="G117" s="18">
        <f t="shared" si="23"/>
        <v>0.25741490700595504</v>
      </c>
      <c r="H117" s="18">
        <f t="shared" si="23"/>
        <v>0.25741490700595504</v>
      </c>
      <c r="I117" s="16"/>
      <c r="J117" s="18">
        <f t="shared" si="34"/>
        <v>14.42446359210855</v>
      </c>
      <c r="K117" s="18">
        <f t="shared" si="35"/>
        <v>2.7314031508528487</v>
      </c>
      <c r="L117" s="18">
        <f t="shared" si="36"/>
        <v>0.6651530385903115</v>
      </c>
      <c r="M117" s="18">
        <f t="shared" si="37"/>
        <v>0.6651530385903115</v>
      </c>
      <c r="N117" s="18">
        <f t="shared" si="38"/>
        <v>0.6651530385903115</v>
      </c>
      <c r="O117" s="16"/>
      <c r="P117" s="18">
        <f t="shared" si="29"/>
        <v>1902.1462787884539</v>
      </c>
      <c r="Q117" s="18">
        <f t="shared" si="18"/>
        <v>1391.3625117714689</v>
      </c>
      <c r="R117" s="18">
        <f t="shared" si="19"/>
        <v>0</v>
      </c>
      <c r="S117" s="18">
        <f t="shared" si="20"/>
        <v>0</v>
      </c>
      <c r="T117" s="18">
        <v>100</v>
      </c>
      <c r="U117" s="16"/>
      <c r="V117" s="18">
        <f t="shared" si="39"/>
        <v>3393.508790559923</v>
      </c>
      <c r="W117" s="16"/>
      <c r="X117" s="18">
        <f t="shared" si="40"/>
        <v>48624.126714199985</v>
      </c>
      <c r="Y117" s="18">
        <f t="shared" si="41"/>
        <v>220.508790559923</v>
      </c>
      <c r="Z117" s="18"/>
      <c r="AA117" s="18">
        <f t="shared" si="42"/>
        <v>2.0916694377359917E-4</v>
      </c>
      <c r="AB117" s="16"/>
    </row>
    <row r="118" spans="2:28" x14ac:dyDescent="0.35">
      <c r="B118" s="26">
        <v>24.900000000000006</v>
      </c>
      <c r="C118" s="26">
        <v>3217</v>
      </c>
      <c r="D118" s="18">
        <f t="shared" si="23"/>
        <v>17.228102846123317</v>
      </c>
      <c r="E118" s="18">
        <f t="shared" si="23"/>
        <v>3.7502835633462146</v>
      </c>
      <c r="F118" s="18">
        <f t="shared" si="23"/>
        <v>0.28741490700595484</v>
      </c>
      <c r="G118" s="18">
        <f t="shared" si="23"/>
        <v>0.28741490700595484</v>
      </c>
      <c r="H118" s="18">
        <f t="shared" si="23"/>
        <v>0.28741490700595484</v>
      </c>
      <c r="I118" s="16"/>
      <c r="J118" s="18">
        <f t="shared" si="34"/>
        <v>14.550478936452857</v>
      </c>
      <c r="K118" s="18">
        <f t="shared" si="35"/>
        <v>2.7417039548882371</v>
      </c>
      <c r="L118" s="18">
        <f t="shared" si="36"/>
        <v>0.67720142761582347</v>
      </c>
      <c r="M118" s="18">
        <f t="shared" si="37"/>
        <v>0.67720142761582347</v>
      </c>
      <c r="N118" s="18">
        <f t="shared" si="38"/>
        <v>0.67720142761582347</v>
      </c>
      <c r="O118" s="16"/>
      <c r="P118" s="18">
        <f t="shared" si="29"/>
        <v>1870.3918252287253</v>
      </c>
      <c r="Q118" s="18">
        <f t="shared" si="18"/>
        <v>1382.3190598418976</v>
      </c>
      <c r="R118" s="18">
        <f t="shared" si="19"/>
        <v>0</v>
      </c>
      <c r="S118" s="18">
        <f t="shared" si="20"/>
        <v>0</v>
      </c>
      <c r="T118" s="18">
        <v>100</v>
      </c>
      <c r="U118" s="16"/>
      <c r="V118" s="18">
        <f t="shared" si="39"/>
        <v>3352.7108850706227</v>
      </c>
      <c r="W118" s="16"/>
      <c r="X118" s="18">
        <f t="shared" si="40"/>
        <v>18417.444326651759</v>
      </c>
      <c r="Y118" s="18">
        <f t="shared" si="41"/>
        <v>135.71088507062268</v>
      </c>
      <c r="Z118" s="18"/>
      <c r="AA118" s="18">
        <f t="shared" si="42"/>
        <v>1.2873060976368827E-4</v>
      </c>
      <c r="AB118" s="16"/>
    </row>
    <row r="119" spans="2:28" x14ac:dyDescent="0.35">
      <c r="B119" s="26">
        <v>25.200000000000003</v>
      </c>
      <c r="C119" s="26">
        <v>3203</v>
      </c>
      <c r="D119" s="18">
        <f t="shared" si="23"/>
        <v>17.362816474424342</v>
      </c>
      <c r="E119" s="18">
        <f t="shared" si="23"/>
        <v>3.764348524011079</v>
      </c>
      <c r="F119" s="18">
        <f t="shared" si="23"/>
        <v>0.31741490700595465</v>
      </c>
      <c r="G119" s="18">
        <f t="shared" si="23"/>
        <v>0.31741490700595465</v>
      </c>
      <c r="H119" s="18">
        <f t="shared" si="23"/>
        <v>0.31741490700595465</v>
      </c>
      <c r="I119" s="16"/>
      <c r="J119" s="18">
        <f t="shared" si="34"/>
        <v>14.676564504224052</v>
      </c>
      <c r="K119" s="18">
        <f t="shared" si="35"/>
        <v>2.7520151124958221</v>
      </c>
      <c r="L119" s="18">
        <f t="shared" si="36"/>
        <v>0.68937899740467701</v>
      </c>
      <c r="M119" s="18">
        <f t="shared" si="37"/>
        <v>0.68937899740467701</v>
      </c>
      <c r="N119" s="18">
        <f t="shared" si="38"/>
        <v>0.68937899740467701</v>
      </c>
      <c r="O119" s="16"/>
      <c r="P119" s="18">
        <f t="shared" si="29"/>
        <v>1839.4091907906595</v>
      </c>
      <c r="Q119" s="18">
        <f t="shared" ref="Q119:Q182" si="43">(D$21*$A$21*D$23*D$22)/(K119+K119^2)</f>
        <v>1373.3552254532858</v>
      </c>
      <c r="R119" s="18">
        <f t="shared" ref="R119:R182" si="44">(E$21*$A$21*E$23*E$22)/(L119+L119^2)</f>
        <v>0</v>
      </c>
      <c r="S119" s="18">
        <f t="shared" ref="S119:S182" si="45">(F$21*$A$21*F$23*F$22)/(M119+M119^2)</f>
        <v>0</v>
      </c>
      <c r="T119" s="18">
        <v>100</v>
      </c>
      <c r="U119" s="16"/>
      <c r="V119" s="18">
        <f t="shared" si="39"/>
        <v>3312.7644162439456</v>
      </c>
      <c r="W119" s="16"/>
      <c r="X119" s="18">
        <f t="shared" si="40"/>
        <v>12048.227073374141</v>
      </c>
      <c r="Y119" s="18">
        <f t="shared" si="41"/>
        <v>109.76441624394556</v>
      </c>
      <c r="Z119" s="18"/>
      <c r="AA119" s="18">
        <f t="shared" si="42"/>
        <v>1.0411869487171393E-4</v>
      </c>
      <c r="AB119" s="16"/>
    </row>
    <row r="120" spans="2:28" x14ac:dyDescent="0.35">
      <c r="B120" s="26">
        <v>25.5</v>
      </c>
      <c r="C120" s="26">
        <v>3131</v>
      </c>
      <c r="D120" s="18">
        <f t="shared" si="23"/>
        <v>17.497530102725371</v>
      </c>
      <c r="E120" s="18">
        <f t="shared" si="23"/>
        <v>3.7784134846759434</v>
      </c>
      <c r="F120" s="18">
        <f t="shared" si="23"/>
        <v>0.34741490700595445</v>
      </c>
      <c r="G120" s="18">
        <f t="shared" si="23"/>
        <v>0.34741490700595445</v>
      </c>
      <c r="H120" s="18">
        <f t="shared" si="23"/>
        <v>0.34741490700595445</v>
      </c>
      <c r="I120" s="16"/>
      <c r="J120" s="18">
        <f t="shared" si="34"/>
        <v>14.802719208525847</v>
      </c>
      <c r="K120" s="18">
        <f t="shared" si="35"/>
        <v>2.7623365771681434</v>
      </c>
      <c r="L120" s="18">
        <f t="shared" si="36"/>
        <v>0.70168524766193296</v>
      </c>
      <c r="M120" s="18">
        <f t="shared" si="37"/>
        <v>0.70168524766193296</v>
      </c>
      <c r="N120" s="18">
        <f t="shared" si="38"/>
        <v>0.70168524766193296</v>
      </c>
      <c r="O120" s="16"/>
      <c r="P120" s="18">
        <f t="shared" si="29"/>
        <v>1809.1739637499527</v>
      </c>
      <c r="Q120" s="18">
        <f t="shared" si="43"/>
        <v>1364.4701488408666</v>
      </c>
      <c r="R120" s="18">
        <f t="shared" si="44"/>
        <v>0</v>
      </c>
      <c r="S120" s="18">
        <f t="shared" si="45"/>
        <v>0</v>
      </c>
      <c r="T120" s="18">
        <v>100</v>
      </c>
      <c r="U120" s="16"/>
      <c r="V120" s="18">
        <f t="shared" si="39"/>
        <v>3273.6441125908195</v>
      </c>
      <c r="W120" s="16"/>
      <c r="X120" s="18">
        <f t="shared" si="40"/>
        <v>20347.342856822401</v>
      </c>
      <c r="Y120" s="18">
        <f t="shared" si="41"/>
        <v>142.64411259081953</v>
      </c>
      <c r="Z120" s="18"/>
      <c r="AA120" s="18">
        <f t="shared" si="42"/>
        <v>1.3530722744502506E-4</v>
      </c>
      <c r="AB120" s="16"/>
    </row>
    <row r="121" spans="2:28" x14ac:dyDescent="0.35">
      <c r="B121" s="26">
        <v>25.800000000000011</v>
      </c>
      <c r="C121" s="26">
        <v>3164</v>
      </c>
      <c r="D121" s="18">
        <f t="shared" si="23"/>
        <v>17.632243731026406</v>
      </c>
      <c r="E121" s="18">
        <f t="shared" si="23"/>
        <v>3.7924784453408087</v>
      </c>
      <c r="F121" s="18">
        <f t="shared" si="23"/>
        <v>0.37741490700595559</v>
      </c>
      <c r="G121" s="18">
        <f t="shared" si="23"/>
        <v>0.37741490700595559</v>
      </c>
      <c r="H121" s="18">
        <f t="shared" si="23"/>
        <v>0.37741490700595559</v>
      </c>
      <c r="I121" s="16"/>
      <c r="J121" s="18">
        <f t="shared" si="34"/>
        <v>14.928941986896177</v>
      </c>
      <c r="K121" s="18">
        <f t="shared" si="35"/>
        <v>2.772668302649044</v>
      </c>
      <c r="L121" s="18">
        <f t="shared" si="36"/>
        <v>0.71411965443988024</v>
      </c>
      <c r="M121" s="18">
        <f t="shared" si="37"/>
        <v>0.71411965443988024</v>
      </c>
      <c r="N121" s="18">
        <f t="shared" si="38"/>
        <v>0.71411965443988024</v>
      </c>
      <c r="O121" s="16"/>
      <c r="P121" s="18">
        <f t="shared" si="29"/>
        <v>1779.6626773936337</v>
      </c>
      <c r="Q121" s="18">
        <f t="shared" si="43"/>
        <v>1355.6629810077181</v>
      </c>
      <c r="R121" s="18">
        <f t="shared" si="44"/>
        <v>0</v>
      </c>
      <c r="S121" s="18">
        <f t="shared" si="45"/>
        <v>0</v>
      </c>
      <c r="T121" s="18">
        <v>100</v>
      </c>
      <c r="U121" s="16"/>
      <c r="V121" s="18">
        <f t="shared" si="39"/>
        <v>3235.3256584013516</v>
      </c>
      <c r="W121" s="16"/>
      <c r="X121" s="18">
        <f t="shared" si="40"/>
        <v>5087.3495463862946</v>
      </c>
      <c r="Y121" s="18">
        <f t="shared" si="41"/>
        <v>71.325658401351575</v>
      </c>
      <c r="Z121" s="18"/>
      <c r="AA121" s="18">
        <f t="shared" si="42"/>
        <v>6.7657030554508596E-5</v>
      </c>
      <c r="AB121" s="16"/>
    </row>
    <row r="122" spans="2:28" x14ac:dyDescent="0.35">
      <c r="B122" s="26">
        <v>26.100000000000009</v>
      </c>
      <c r="C122" s="26">
        <v>3151</v>
      </c>
      <c r="D122" s="18">
        <f t="shared" si="23"/>
        <v>17.766957359327431</v>
      </c>
      <c r="E122" s="18">
        <f t="shared" si="23"/>
        <v>3.8065434060056731</v>
      </c>
      <c r="F122" s="18">
        <f t="shared" si="23"/>
        <v>0.4074149070059554</v>
      </c>
      <c r="G122" s="18">
        <f t="shared" si="23"/>
        <v>0.4074149070059554</v>
      </c>
      <c r="H122" s="18">
        <f t="shared" si="23"/>
        <v>0.4074149070059554</v>
      </c>
      <c r="I122" s="16"/>
      <c r="J122" s="18">
        <f t="shared" si="34"/>
        <v>15.055231800594653</v>
      </c>
      <c r="K122" s="18">
        <f t="shared" si="35"/>
        <v>2.783010242932427</v>
      </c>
      <c r="L122" s="18">
        <f t="shared" si="36"/>
        <v>0.7266816709667947</v>
      </c>
      <c r="M122" s="18">
        <f t="shared" si="37"/>
        <v>0.7266816709667947</v>
      </c>
      <c r="N122" s="18">
        <f t="shared" si="38"/>
        <v>0.7266816709667947</v>
      </c>
      <c r="O122" s="16"/>
      <c r="P122" s="18">
        <f t="shared" si="29"/>
        <v>1750.8527669436698</v>
      </c>
      <c r="Q122" s="18">
        <f t="shared" si="43"/>
        <v>1346.9328835741719</v>
      </c>
      <c r="R122" s="18">
        <f t="shared" si="44"/>
        <v>0</v>
      </c>
      <c r="S122" s="18">
        <f t="shared" si="45"/>
        <v>0</v>
      </c>
      <c r="T122" s="18">
        <v>100</v>
      </c>
      <c r="U122" s="16"/>
      <c r="V122" s="18">
        <f t="shared" si="39"/>
        <v>3197.7856505178415</v>
      </c>
      <c r="W122" s="16"/>
      <c r="X122" s="18">
        <f t="shared" si="40"/>
        <v>2188.8970943776058</v>
      </c>
      <c r="Y122" s="18">
        <f t="shared" si="41"/>
        <v>46.785650517841532</v>
      </c>
      <c r="Z122" s="18"/>
      <c r="AA122" s="18">
        <f t="shared" si="42"/>
        <v>4.4379235432871701E-5</v>
      </c>
      <c r="AB122" s="16"/>
    </row>
    <row r="123" spans="2:28" x14ac:dyDescent="0.35">
      <c r="B123" s="26">
        <v>26.5</v>
      </c>
      <c r="C123" s="26">
        <v>3028</v>
      </c>
      <c r="D123" s="18">
        <f t="shared" si="23"/>
        <v>17.946575530395464</v>
      </c>
      <c r="E123" s="18">
        <f t="shared" si="23"/>
        <v>3.8252966868921581</v>
      </c>
      <c r="F123" s="18">
        <f t="shared" si="23"/>
        <v>0.44741490700595454</v>
      </c>
      <c r="G123" s="18">
        <f t="shared" si="23"/>
        <v>0.44741490700595454</v>
      </c>
      <c r="H123" s="18">
        <f t="shared" si="23"/>
        <v>0.44741490700595454</v>
      </c>
      <c r="I123" s="16"/>
      <c r="J123" s="18">
        <f t="shared" si="34"/>
        <v>15.223720743729995</v>
      </c>
      <c r="K123" s="18">
        <f t="shared" si="35"/>
        <v>2.796815307285395</v>
      </c>
      <c r="L123" s="18">
        <f t="shared" si="36"/>
        <v>0.74362854427652325</v>
      </c>
      <c r="M123" s="18">
        <f t="shared" si="37"/>
        <v>0.74362854427652325</v>
      </c>
      <c r="N123" s="18">
        <f t="shared" si="38"/>
        <v>0.74362854427652325</v>
      </c>
      <c r="O123" s="16"/>
      <c r="P123" s="18">
        <f t="shared" si="29"/>
        <v>1713.4931888536385</v>
      </c>
      <c r="Q123" s="18">
        <f t="shared" si="43"/>
        <v>1335.411211483834</v>
      </c>
      <c r="R123" s="18">
        <f t="shared" si="44"/>
        <v>0</v>
      </c>
      <c r="S123" s="18">
        <f t="shared" si="45"/>
        <v>0</v>
      </c>
      <c r="T123" s="18">
        <v>100</v>
      </c>
      <c r="U123" s="16"/>
      <c r="V123" s="18">
        <f t="shared" si="39"/>
        <v>3148.9044003374725</v>
      </c>
      <c r="W123" s="16"/>
      <c r="X123" s="18">
        <f t="shared" si="40"/>
        <v>14617.874020963809</v>
      </c>
      <c r="Y123" s="18">
        <f t="shared" si="41"/>
        <v>120.90440033747245</v>
      </c>
      <c r="Z123" s="18"/>
      <c r="AA123" s="18">
        <f t="shared" si="42"/>
        <v>1.146856950380693E-4</v>
      </c>
      <c r="AB123" s="16"/>
    </row>
    <row r="124" spans="2:28" x14ac:dyDescent="0.35">
      <c r="B124" s="26">
        <v>26.800000000000011</v>
      </c>
      <c r="C124" s="26">
        <v>3047</v>
      </c>
      <c r="D124" s="18">
        <f t="shared" si="23"/>
        <v>18.081289158696499</v>
      </c>
      <c r="E124" s="18">
        <f t="shared" si="23"/>
        <v>3.8393616475570234</v>
      </c>
      <c r="F124" s="18">
        <f t="shared" si="23"/>
        <v>0.47741490700595568</v>
      </c>
      <c r="G124" s="18">
        <f t="shared" si="23"/>
        <v>0.47741490700595568</v>
      </c>
      <c r="H124" s="18">
        <f t="shared" si="23"/>
        <v>0.47741490700595568</v>
      </c>
      <c r="I124" s="16"/>
      <c r="J124" s="18">
        <f t="shared" si="34"/>
        <v>15.350163061801078</v>
      </c>
      <c r="K124" s="18">
        <f t="shared" si="35"/>
        <v>2.8071809045907035</v>
      </c>
      <c r="L124" s="18">
        <f t="shared" si="36"/>
        <v>0.75648606856873291</v>
      </c>
      <c r="M124" s="18">
        <f t="shared" si="37"/>
        <v>0.75648606856873291</v>
      </c>
      <c r="N124" s="18">
        <f t="shared" si="38"/>
        <v>0.75648606856873291</v>
      </c>
      <c r="O124" s="16"/>
      <c r="P124" s="18">
        <f t="shared" si="29"/>
        <v>1686.2368351456</v>
      </c>
      <c r="Q124" s="18">
        <f t="shared" si="43"/>
        <v>1326.8577431510853</v>
      </c>
      <c r="R124" s="18">
        <f t="shared" si="44"/>
        <v>0</v>
      </c>
      <c r="S124" s="18">
        <f t="shared" si="45"/>
        <v>0</v>
      </c>
      <c r="T124" s="18">
        <v>100</v>
      </c>
      <c r="U124" s="16"/>
      <c r="V124" s="18">
        <f t="shared" si="39"/>
        <v>3113.0945782966855</v>
      </c>
      <c r="W124" s="16"/>
      <c r="X124" s="18">
        <f t="shared" si="40"/>
        <v>4368.493280216695</v>
      </c>
      <c r="Y124" s="18">
        <f t="shared" si="41"/>
        <v>66.09457829668554</v>
      </c>
      <c r="Z124" s="18"/>
      <c r="AA124" s="18">
        <f t="shared" si="42"/>
        <v>6.2695010512815358E-5</v>
      </c>
      <c r="AB124" s="16"/>
    </row>
    <row r="125" spans="2:28" x14ac:dyDescent="0.35">
      <c r="B125" s="26">
        <v>27.100000000000009</v>
      </c>
      <c r="C125" s="26">
        <v>2982</v>
      </c>
      <c r="D125" s="18">
        <f t="shared" si="23"/>
        <v>18.216002786997528</v>
      </c>
      <c r="E125" s="18">
        <f t="shared" si="23"/>
        <v>3.8534266082218878</v>
      </c>
      <c r="F125" s="18">
        <f t="shared" si="23"/>
        <v>0.50741490700595504</v>
      </c>
      <c r="G125" s="18">
        <f t="shared" si="23"/>
        <v>0.50741490700595504</v>
      </c>
      <c r="H125" s="18">
        <f t="shared" si="23"/>
        <v>0.50741490700595504</v>
      </c>
      <c r="I125" s="16"/>
      <c r="J125" s="18">
        <f t="shared" si="34"/>
        <v>15.476669115412063</v>
      </c>
      <c r="K125" s="18">
        <f t="shared" si="35"/>
        <v>2.8175565651349421</v>
      </c>
      <c r="L125" s="18">
        <f t="shared" si="36"/>
        <v>0.76946922587458522</v>
      </c>
      <c r="M125" s="18">
        <f t="shared" si="37"/>
        <v>0.76946922587458522</v>
      </c>
      <c r="N125" s="18">
        <f t="shared" si="38"/>
        <v>0.76946922587458522</v>
      </c>
      <c r="O125" s="16"/>
      <c r="P125" s="18">
        <f t="shared" si="29"/>
        <v>1659.6126468425887</v>
      </c>
      <c r="Q125" s="18">
        <f t="shared" si="43"/>
        <v>1318.378625411681</v>
      </c>
      <c r="R125" s="18">
        <f t="shared" si="44"/>
        <v>0</v>
      </c>
      <c r="S125" s="18">
        <f t="shared" si="45"/>
        <v>0</v>
      </c>
      <c r="T125" s="18">
        <v>100</v>
      </c>
      <c r="U125" s="16"/>
      <c r="V125" s="18">
        <f t="shared" si="39"/>
        <v>3077.9912722542695</v>
      </c>
      <c r="W125" s="16"/>
      <c r="X125" s="18">
        <f t="shared" si="40"/>
        <v>9214.3243489932829</v>
      </c>
      <c r="Y125" s="18">
        <f t="shared" si="41"/>
        <v>95.991272254269461</v>
      </c>
      <c r="Z125" s="18"/>
      <c r="AA125" s="18">
        <f t="shared" si="42"/>
        <v>9.10539711155361E-5</v>
      </c>
      <c r="AB125" s="16"/>
    </row>
    <row r="126" spans="2:28" x14ac:dyDescent="0.35">
      <c r="B126" s="26">
        <v>27.400000000000006</v>
      </c>
      <c r="C126" s="26">
        <v>3019</v>
      </c>
      <c r="D126" s="18">
        <f t="shared" si="23"/>
        <v>18.350716415298553</v>
      </c>
      <c r="E126" s="18">
        <f t="shared" si="23"/>
        <v>3.8674915688867522</v>
      </c>
      <c r="F126" s="18">
        <f t="shared" si="23"/>
        <v>0.53741490700595484</v>
      </c>
      <c r="G126" s="18">
        <f t="shared" si="23"/>
        <v>0.53741490700595484</v>
      </c>
      <c r="H126" s="18">
        <f t="shared" si="23"/>
        <v>0.53741490700595484</v>
      </c>
      <c r="I126" s="16"/>
      <c r="J126" s="18">
        <f t="shared" si="34"/>
        <v>15.603237960979726</v>
      </c>
      <c r="K126" s="18">
        <f t="shared" si="35"/>
        <v>2.8279422439813064</v>
      </c>
      <c r="L126" s="18">
        <f t="shared" si="36"/>
        <v>0.78257738012467282</v>
      </c>
      <c r="M126" s="18">
        <f t="shared" si="37"/>
        <v>0.78257738012467282</v>
      </c>
      <c r="N126" s="18">
        <f t="shared" si="38"/>
        <v>0.78257738012467282</v>
      </c>
      <c r="O126" s="16"/>
      <c r="P126" s="18">
        <f t="shared" si="29"/>
        <v>1633.6015220915558</v>
      </c>
      <c r="Q126" s="18">
        <f t="shared" si="43"/>
        <v>1309.973064208785</v>
      </c>
      <c r="R126" s="18">
        <f t="shared" si="44"/>
        <v>0</v>
      </c>
      <c r="S126" s="18">
        <f t="shared" si="45"/>
        <v>0</v>
      </c>
      <c r="T126" s="18">
        <v>100</v>
      </c>
      <c r="U126" s="16"/>
      <c r="V126" s="18">
        <f t="shared" si="39"/>
        <v>3043.5745863003408</v>
      </c>
      <c r="W126" s="16"/>
      <c r="X126" s="18">
        <f t="shared" si="40"/>
        <v>603.91029183289766</v>
      </c>
      <c r="Y126" s="18">
        <f t="shared" si="41"/>
        <v>24.574586300340798</v>
      </c>
      <c r="Z126" s="18"/>
      <c r="AA126" s="18">
        <f t="shared" si="42"/>
        <v>2.3310595001182065E-5</v>
      </c>
      <c r="AB126" s="16"/>
    </row>
    <row r="127" spans="2:28" x14ac:dyDescent="0.35">
      <c r="B127" s="26">
        <v>27.700000000000003</v>
      </c>
      <c r="C127" s="26">
        <v>2968</v>
      </c>
      <c r="D127" s="18">
        <f t="shared" si="23"/>
        <v>18.485430043599582</v>
      </c>
      <c r="E127" s="18">
        <f t="shared" si="23"/>
        <v>3.8815565295516166</v>
      </c>
      <c r="F127" s="18">
        <f t="shared" si="23"/>
        <v>0.56741490700595465</v>
      </c>
      <c r="G127" s="18">
        <f t="shared" si="23"/>
        <v>0.56741490700595465</v>
      </c>
      <c r="H127" s="18">
        <f t="shared" si="23"/>
        <v>0.56741490700595465</v>
      </c>
      <c r="I127" s="16"/>
      <c r="J127" s="18">
        <f t="shared" si="34"/>
        <v>15.729868675245402</v>
      </c>
      <c r="K127" s="18">
        <f t="shared" si="35"/>
        <v>2.8383378964364492</v>
      </c>
      <c r="L127" s="18">
        <f t="shared" si="36"/>
        <v>0.7958098768503854</v>
      </c>
      <c r="M127" s="18">
        <f t="shared" si="37"/>
        <v>0.7958098768503854</v>
      </c>
      <c r="N127" s="18">
        <f t="shared" si="38"/>
        <v>0.7958098768503854</v>
      </c>
      <c r="O127" s="16"/>
      <c r="P127" s="18">
        <f t="shared" si="29"/>
        <v>1608.1850661977612</v>
      </c>
      <c r="Q127" s="18">
        <f t="shared" si="43"/>
        <v>1301.6402753373206</v>
      </c>
      <c r="R127" s="18">
        <f t="shared" si="44"/>
        <v>0</v>
      </c>
      <c r="S127" s="18">
        <f t="shared" si="45"/>
        <v>0</v>
      </c>
      <c r="T127" s="18">
        <v>100</v>
      </c>
      <c r="U127" s="16"/>
      <c r="V127" s="18">
        <f t="shared" si="39"/>
        <v>3009.8253415350819</v>
      </c>
      <c r="W127" s="16"/>
      <c r="X127" s="18">
        <f t="shared" si="40"/>
        <v>1749.359194526244</v>
      </c>
      <c r="Y127" s="18">
        <f t="shared" si="41"/>
        <v>41.825341535081861</v>
      </c>
      <c r="Z127" s="18"/>
      <c r="AA127" s="18">
        <f t="shared" si="42"/>
        <v>3.9674059428495484E-5</v>
      </c>
      <c r="AB127" s="16"/>
    </row>
    <row r="128" spans="2:28" x14ac:dyDescent="0.35">
      <c r="B128" s="26">
        <v>28</v>
      </c>
      <c r="C128" s="26">
        <v>2890</v>
      </c>
      <c r="D128" s="18">
        <f t="shared" si="23"/>
        <v>18.620143671900607</v>
      </c>
      <c r="E128" s="18">
        <f t="shared" si="23"/>
        <v>3.895621490216481</v>
      </c>
      <c r="F128" s="18">
        <f t="shared" si="23"/>
        <v>0.59741490700595445</v>
      </c>
      <c r="G128" s="18">
        <f t="shared" si="23"/>
        <v>0.59741490700595445</v>
      </c>
      <c r="H128" s="18">
        <f t="shared" si="23"/>
        <v>0.59741490700595445</v>
      </c>
      <c r="I128" s="16"/>
      <c r="J128" s="18">
        <f t="shared" si="34"/>
        <v>15.856560354706208</v>
      </c>
      <c r="K128" s="18">
        <f t="shared" si="35"/>
        <v>2.8487434780492449</v>
      </c>
      <c r="L128" s="18">
        <f t="shared" si="36"/>
        <v>0.80916604400312198</v>
      </c>
      <c r="M128" s="18">
        <f t="shared" si="37"/>
        <v>0.80916604400312198</v>
      </c>
      <c r="N128" s="18">
        <f t="shared" si="38"/>
        <v>0.80916604400312198</v>
      </c>
      <c r="O128" s="16"/>
      <c r="P128" s="18">
        <f t="shared" si="29"/>
        <v>1583.3455607703766</v>
      </c>
      <c r="Q128" s="18">
        <f t="shared" si="43"/>
        <v>1293.3794843072333</v>
      </c>
      <c r="R128" s="18">
        <f t="shared" si="44"/>
        <v>0</v>
      </c>
      <c r="S128" s="18">
        <f t="shared" si="45"/>
        <v>0</v>
      </c>
      <c r="T128" s="18">
        <v>100</v>
      </c>
      <c r="U128" s="16"/>
      <c r="V128" s="18">
        <f t="shared" si="39"/>
        <v>2976.72504507761</v>
      </c>
      <c r="W128" s="16"/>
      <c r="X128" s="18">
        <f t="shared" si="40"/>
        <v>7521.233443713495</v>
      </c>
      <c r="Y128" s="18">
        <f t="shared" si="41"/>
        <v>86.725045077610048</v>
      </c>
      <c r="Z128" s="18"/>
      <c r="AA128" s="18">
        <f t="shared" si="42"/>
        <v>8.2264351373247349E-5</v>
      </c>
      <c r="AB128" s="16"/>
    </row>
    <row r="129" spans="2:28" x14ac:dyDescent="0.35">
      <c r="B129" s="26">
        <v>28.400000000000006</v>
      </c>
      <c r="C129" s="26">
        <v>2942</v>
      </c>
      <c r="D129" s="18">
        <f t="shared" si="23"/>
        <v>18.79976184296865</v>
      </c>
      <c r="E129" s="18">
        <f t="shared" si="23"/>
        <v>3.9143747711029673</v>
      </c>
      <c r="F129" s="18">
        <f t="shared" si="23"/>
        <v>0.63741490700595493</v>
      </c>
      <c r="G129" s="18">
        <f t="shared" si="23"/>
        <v>0.63741490700595493</v>
      </c>
      <c r="H129" s="18">
        <f t="shared" si="23"/>
        <v>0.63741490700595493</v>
      </c>
      <c r="I129" s="16"/>
      <c r="J129" s="18">
        <f t="shared" si="34"/>
        <v>16.025575903021604</v>
      </c>
      <c r="K129" s="18">
        <f t="shared" si="35"/>
        <v>2.8626329558446222</v>
      </c>
      <c r="L129" s="18">
        <f t="shared" si="36"/>
        <v>0.82716545023284094</v>
      </c>
      <c r="M129" s="18">
        <f t="shared" si="37"/>
        <v>0.82716545023284094</v>
      </c>
      <c r="N129" s="18">
        <f t="shared" si="38"/>
        <v>0.82716545023284094</v>
      </c>
      <c r="O129" s="16"/>
      <c r="P129" s="18">
        <f t="shared" si="29"/>
        <v>1551.0942822788547</v>
      </c>
      <c r="Q129" s="18">
        <f t="shared" si="43"/>
        <v>1282.4757722063991</v>
      </c>
      <c r="R129" s="18">
        <f t="shared" si="44"/>
        <v>0</v>
      </c>
      <c r="S129" s="18">
        <f t="shared" si="45"/>
        <v>0</v>
      </c>
      <c r="T129" s="18">
        <v>100</v>
      </c>
      <c r="U129" s="16"/>
      <c r="V129" s="18">
        <f t="shared" si="39"/>
        <v>2933.5700544852539</v>
      </c>
      <c r="W129" s="16"/>
      <c r="X129" s="18">
        <f t="shared" si="40"/>
        <v>71.063981381588277</v>
      </c>
      <c r="Y129" s="18">
        <f t="shared" si="41"/>
        <v>8.4299455147461231</v>
      </c>
      <c r="Z129" s="18"/>
      <c r="AA129" s="18">
        <f t="shared" si="42"/>
        <v>7.9963521409739048E-6</v>
      </c>
      <c r="AB129" s="16"/>
    </row>
    <row r="130" spans="2:28" x14ac:dyDescent="0.35">
      <c r="B130" s="26">
        <v>28.700000000000003</v>
      </c>
      <c r="C130" s="26">
        <v>2904</v>
      </c>
      <c r="D130" s="18">
        <f t="shared" si="23"/>
        <v>18.934475471269678</v>
      </c>
      <c r="E130" s="18">
        <f t="shared" si="23"/>
        <v>3.9284397317678312</v>
      </c>
      <c r="F130" s="18">
        <f t="shared" si="23"/>
        <v>0.66741490700595474</v>
      </c>
      <c r="G130" s="18">
        <f t="shared" si="23"/>
        <v>0.66741490700595474</v>
      </c>
      <c r="H130" s="18">
        <f t="shared" si="23"/>
        <v>0.66741490700595474</v>
      </c>
      <c r="I130" s="16"/>
      <c r="J130" s="18">
        <f t="shared" si="34"/>
        <v>16.152406427878905</v>
      </c>
      <c r="K130" s="18">
        <f t="shared" si="35"/>
        <v>2.8730615339778254</v>
      </c>
      <c r="L130" s="18">
        <f t="shared" si="36"/>
        <v>0.84080747551263946</v>
      </c>
      <c r="M130" s="18">
        <f t="shared" si="37"/>
        <v>0.84080747551263946</v>
      </c>
      <c r="N130" s="18">
        <f t="shared" si="38"/>
        <v>0.84080747551263946</v>
      </c>
      <c r="O130" s="16"/>
      <c r="P130" s="18">
        <f t="shared" si="29"/>
        <v>1527.5356721264031</v>
      </c>
      <c r="Q130" s="18">
        <f t="shared" si="43"/>
        <v>1274.380017801172</v>
      </c>
      <c r="R130" s="18">
        <f t="shared" si="44"/>
        <v>0</v>
      </c>
      <c r="S130" s="18">
        <f t="shared" si="45"/>
        <v>0</v>
      </c>
      <c r="T130" s="18">
        <v>100</v>
      </c>
      <c r="U130" s="16"/>
      <c r="V130" s="18">
        <f t="shared" si="39"/>
        <v>2901.9156899275749</v>
      </c>
      <c r="W130" s="16"/>
      <c r="X130" s="18">
        <f t="shared" si="40"/>
        <v>4.3443484780125958</v>
      </c>
      <c r="Y130" s="18">
        <f t="shared" si="41"/>
        <v>2.0843100724250689</v>
      </c>
      <c r="Z130" s="18"/>
      <c r="AA130" s="18">
        <f t="shared" si="42"/>
        <v>1.9771037998923077E-6</v>
      </c>
      <c r="AB130" s="16"/>
    </row>
    <row r="131" spans="2:28" x14ac:dyDescent="0.35">
      <c r="B131" s="26">
        <v>29</v>
      </c>
      <c r="C131" s="26">
        <v>2992</v>
      </c>
      <c r="D131" s="18">
        <f t="shared" si="23"/>
        <v>19.069189099570703</v>
      </c>
      <c r="E131" s="18">
        <f t="shared" si="23"/>
        <v>3.9425046924326956</v>
      </c>
      <c r="F131" s="18">
        <f t="shared" si="23"/>
        <v>0.69741490700595454</v>
      </c>
      <c r="G131" s="18">
        <f t="shared" si="23"/>
        <v>0.69741490700595454</v>
      </c>
      <c r="H131" s="18">
        <f t="shared" si="23"/>
        <v>0.69741490700595454</v>
      </c>
      <c r="I131" s="16"/>
      <c r="J131" s="18">
        <f t="shared" si="34"/>
        <v>16.279295042021033</v>
      </c>
      <c r="K131" s="18">
        <f t="shared" si="35"/>
        <v>2.8834998948317834</v>
      </c>
      <c r="L131" s="18">
        <f t="shared" si="36"/>
        <v>0.85457081446597216</v>
      </c>
      <c r="M131" s="18">
        <f t="shared" si="37"/>
        <v>0.85457081446597216</v>
      </c>
      <c r="N131" s="18">
        <f t="shared" si="38"/>
        <v>0.85457081446597216</v>
      </c>
      <c r="O131" s="16"/>
      <c r="P131" s="18">
        <f t="shared" si="29"/>
        <v>1504.4994699900669</v>
      </c>
      <c r="Q131" s="18">
        <f t="shared" si="43"/>
        <v>1266.3537480538332</v>
      </c>
      <c r="R131" s="18">
        <f t="shared" si="44"/>
        <v>0</v>
      </c>
      <c r="S131" s="18">
        <f t="shared" si="45"/>
        <v>0</v>
      </c>
      <c r="T131" s="18">
        <v>100</v>
      </c>
      <c r="U131" s="16"/>
      <c r="V131" s="18">
        <f t="shared" si="39"/>
        <v>2870.8532180439001</v>
      </c>
      <c r="W131" s="16"/>
      <c r="X131" s="18">
        <f t="shared" si="40"/>
        <v>14676.542778318802</v>
      </c>
      <c r="Y131" s="18">
        <f t="shared" si="41"/>
        <v>121.14678195609986</v>
      </c>
      <c r="Z131" s="18"/>
      <c r="AA131" s="18">
        <f t="shared" si="42"/>
        <v>1.1491560978326589E-4</v>
      </c>
      <c r="AB131" s="16"/>
    </row>
    <row r="132" spans="2:28" x14ac:dyDescent="0.35">
      <c r="B132" s="26">
        <v>29.300000000000011</v>
      </c>
      <c r="C132" s="26">
        <v>2848</v>
      </c>
      <c r="D132" s="18">
        <f t="shared" si="23"/>
        <v>19.203902727871736</v>
      </c>
      <c r="E132" s="18">
        <f t="shared" si="23"/>
        <v>3.9565696530975609</v>
      </c>
      <c r="F132" s="18">
        <f t="shared" si="23"/>
        <v>0.72741490700595568</v>
      </c>
      <c r="G132" s="18">
        <f t="shared" si="23"/>
        <v>0.72741490700595568</v>
      </c>
      <c r="H132" s="18">
        <f t="shared" si="23"/>
        <v>0.72741490700595568</v>
      </c>
      <c r="I132" s="16"/>
      <c r="J132" s="18">
        <f t="shared" si="34"/>
        <v>16.406240921439849</v>
      </c>
      <c r="K132" s="18">
        <f t="shared" si="35"/>
        <v>2.8939479949907341</v>
      </c>
      <c r="L132" s="18">
        <f t="shared" si="36"/>
        <v>0.86845472814907343</v>
      </c>
      <c r="M132" s="18">
        <f t="shared" si="37"/>
        <v>0.86845472814907343</v>
      </c>
      <c r="N132" s="18">
        <f t="shared" si="38"/>
        <v>0.86845472814907343</v>
      </c>
      <c r="O132" s="16"/>
      <c r="P132" s="18">
        <f t="shared" si="29"/>
        <v>1481.9705675568323</v>
      </c>
      <c r="Q132" s="18">
        <f t="shared" si="43"/>
        <v>1258.396229042329</v>
      </c>
      <c r="R132" s="18">
        <f t="shared" si="44"/>
        <v>0</v>
      </c>
      <c r="S132" s="18">
        <f t="shared" si="45"/>
        <v>0</v>
      </c>
      <c r="T132" s="18">
        <v>100</v>
      </c>
      <c r="U132" s="16"/>
      <c r="V132" s="18">
        <f t="shared" si="39"/>
        <v>2840.3667965991613</v>
      </c>
      <c r="W132" s="16"/>
      <c r="X132" s="18">
        <f t="shared" si="40"/>
        <v>58.265794158576078</v>
      </c>
      <c r="Y132" s="18">
        <f t="shared" si="41"/>
        <v>7.6332034008387382</v>
      </c>
      <c r="Z132" s="18"/>
      <c r="AA132" s="18">
        <f t="shared" si="42"/>
        <v>7.2405903751116187E-6</v>
      </c>
      <c r="AB132" s="16"/>
    </row>
    <row r="133" spans="2:28" x14ac:dyDescent="0.35">
      <c r="B133" s="26">
        <v>29.600000000000009</v>
      </c>
      <c r="C133" s="26">
        <v>2808</v>
      </c>
      <c r="D133" s="18">
        <f t="shared" si="23"/>
        <v>19.338616356172764</v>
      </c>
      <c r="E133" s="18">
        <f t="shared" si="23"/>
        <v>3.9706346137624253</v>
      </c>
      <c r="F133" s="18">
        <f t="shared" si="23"/>
        <v>0.75741490700595504</v>
      </c>
      <c r="G133" s="18">
        <f t="shared" si="23"/>
        <v>0.75741490700595504</v>
      </c>
      <c r="H133" s="18">
        <f t="shared" si="23"/>
        <v>0.75741490700595504</v>
      </c>
      <c r="I133" s="16"/>
      <c r="J133" s="18">
        <f t="shared" si="34"/>
        <v>16.533243259159537</v>
      </c>
      <c r="K133" s="18">
        <f t="shared" si="35"/>
        <v>2.9044057912745589</v>
      </c>
      <c r="L133" s="18">
        <f t="shared" si="36"/>
        <v>0.8824584642706006</v>
      </c>
      <c r="M133" s="18">
        <f t="shared" si="37"/>
        <v>0.8824584642706006</v>
      </c>
      <c r="N133" s="18">
        <f t="shared" si="38"/>
        <v>0.8824584642706006</v>
      </c>
      <c r="O133" s="16"/>
      <c r="P133" s="18">
        <f t="shared" si="29"/>
        <v>1459.9343923347803</v>
      </c>
      <c r="Q133" s="18">
        <f t="shared" si="43"/>
        <v>1250.5067358643994</v>
      </c>
      <c r="R133" s="18">
        <f t="shared" si="44"/>
        <v>0</v>
      </c>
      <c r="S133" s="18">
        <f t="shared" si="45"/>
        <v>0</v>
      </c>
      <c r="T133" s="18">
        <v>100</v>
      </c>
      <c r="U133" s="16"/>
      <c r="V133" s="18">
        <f t="shared" si="39"/>
        <v>2810.4411281991797</v>
      </c>
      <c r="W133" s="16"/>
      <c r="X133" s="18">
        <f t="shared" si="40"/>
        <v>5.9591068848304696</v>
      </c>
      <c r="Y133" s="18">
        <f t="shared" si="41"/>
        <v>2.4411281991797296</v>
      </c>
      <c r="Z133" s="18"/>
      <c r="AA133" s="18">
        <f t="shared" si="42"/>
        <v>2.3155690232821715E-6</v>
      </c>
      <c r="AB133" s="16"/>
    </row>
    <row r="134" spans="2:28" x14ac:dyDescent="0.35">
      <c r="B134" s="26">
        <v>29.900000000000006</v>
      </c>
      <c r="C134" s="26">
        <v>2877</v>
      </c>
      <c r="D134" s="18">
        <f t="shared" si="23"/>
        <v>19.473329984473793</v>
      </c>
      <c r="E134" s="18">
        <f t="shared" si="23"/>
        <v>3.9846995744272897</v>
      </c>
      <c r="F134" s="18">
        <f t="shared" si="23"/>
        <v>0.78741490700595484</v>
      </c>
      <c r="G134" s="18">
        <f t="shared" si="23"/>
        <v>0.78741490700595484</v>
      </c>
      <c r="H134" s="18">
        <f t="shared" si="23"/>
        <v>0.78741490700595484</v>
      </c>
      <c r="I134" s="16"/>
      <c r="J134" s="18">
        <f t="shared" si="34"/>
        <v>16.660301264778628</v>
      </c>
      <c r="K134" s="18">
        <f t="shared" si="35"/>
        <v>2.9148732407375593</v>
      </c>
      <c r="L134" s="18">
        <f t="shared" si="36"/>
        <v>0.89658125795184029</v>
      </c>
      <c r="M134" s="18">
        <f t="shared" si="37"/>
        <v>0.89658125795184029</v>
      </c>
      <c r="N134" s="18">
        <f t="shared" si="38"/>
        <v>0.89658125795184029</v>
      </c>
      <c r="O134" s="16"/>
      <c r="P134" s="18">
        <f t="shared" si="29"/>
        <v>1438.3768852378576</v>
      </c>
      <c r="Q134" s="18">
        <f t="shared" si="43"/>
        <v>1242.6845525133556</v>
      </c>
      <c r="R134" s="18">
        <f t="shared" si="44"/>
        <v>0</v>
      </c>
      <c r="S134" s="18">
        <f t="shared" si="45"/>
        <v>0</v>
      </c>
      <c r="T134" s="18">
        <v>100</v>
      </c>
      <c r="U134" s="16"/>
      <c r="V134" s="18">
        <f t="shared" si="39"/>
        <v>2781.0614377512129</v>
      </c>
      <c r="W134" s="16"/>
      <c r="X134" s="18">
        <f t="shared" si="40"/>
        <v>9204.2077263643969</v>
      </c>
      <c r="Y134" s="18">
        <f t="shared" si="41"/>
        <v>95.938562248787093</v>
      </c>
      <c r="Z134" s="18"/>
      <c r="AA134" s="18">
        <f t="shared" si="42"/>
        <v>9.100397224372224E-5</v>
      </c>
      <c r="AB134" s="16"/>
    </row>
    <row r="135" spans="2:28" x14ac:dyDescent="0.35">
      <c r="B135" s="26">
        <v>30.200000000000003</v>
      </c>
      <c r="C135" s="26">
        <v>2837</v>
      </c>
      <c r="D135" s="18">
        <f t="shared" si="23"/>
        <v>19.608043612774818</v>
      </c>
      <c r="E135" s="18">
        <f t="shared" si="23"/>
        <v>3.9987645350921541</v>
      </c>
      <c r="F135" s="18">
        <f t="shared" si="23"/>
        <v>0.81741490700595465</v>
      </c>
      <c r="G135" s="18">
        <f t="shared" si="23"/>
        <v>0.81741490700595465</v>
      </c>
      <c r="H135" s="18">
        <f t="shared" si="23"/>
        <v>0.81741490700595465</v>
      </c>
      <c r="I135" s="16"/>
      <c r="J135" s="18">
        <f t="shared" si="34"/>
        <v>16.78741416402702</v>
      </c>
      <c r="K135" s="18">
        <f t="shared" si="35"/>
        <v>2.925350300667227</v>
      </c>
      <c r="L135" s="18">
        <f t="shared" si="36"/>
        <v>0.91082233247428712</v>
      </c>
      <c r="M135" s="18">
        <f t="shared" si="37"/>
        <v>0.91082233247428712</v>
      </c>
      <c r="N135" s="18">
        <f t="shared" si="38"/>
        <v>0.91082233247428712</v>
      </c>
      <c r="O135" s="16"/>
      <c r="P135" s="18">
        <f t="shared" si="29"/>
        <v>1417.2844792475164</v>
      </c>
      <c r="Q135" s="18">
        <f t="shared" si="43"/>
        <v>1234.9289717557247</v>
      </c>
      <c r="R135" s="18">
        <f t="shared" si="44"/>
        <v>0</v>
      </c>
      <c r="S135" s="18">
        <f t="shared" si="45"/>
        <v>0</v>
      </c>
      <c r="T135" s="18">
        <v>100</v>
      </c>
      <c r="U135" s="16"/>
      <c r="V135" s="18">
        <f t="shared" si="39"/>
        <v>2752.2134510032411</v>
      </c>
      <c r="W135" s="16"/>
      <c r="X135" s="18">
        <f t="shared" si="40"/>
        <v>7188.7588907798045</v>
      </c>
      <c r="Y135" s="18">
        <f t="shared" si="41"/>
        <v>84.786548996758938</v>
      </c>
      <c r="Z135" s="18"/>
      <c r="AA135" s="18">
        <f t="shared" si="42"/>
        <v>8.0425561637386273E-5</v>
      </c>
      <c r="AB135" s="16"/>
    </row>
    <row r="136" spans="2:28" x14ac:dyDescent="0.35">
      <c r="B136" s="26">
        <v>30.600000000000009</v>
      </c>
      <c r="C136" s="26">
        <v>2818</v>
      </c>
      <c r="D136" s="18">
        <f t="shared" si="23"/>
        <v>19.787661783842857</v>
      </c>
      <c r="E136" s="18">
        <f t="shared" si="23"/>
        <v>4.0175178159786409</v>
      </c>
      <c r="F136" s="18">
        <f t="shared" si="23"/>
        <v>0.85741490700595513</v>
      </c>
      <c r="G136" s="18">
        <f t="shared" si="23"/>
        <v>0.85741490700595513</v>
      </c>
      <c r="H136" s="18">
        <f t="shared" si="23"/>
        <v>0.85741490700595513</v>
      </c>
      <c r="I136" s="16"/>
      <c r="J136" s="18">
        <f t="shared" si="34"/>
        <v>16.956982110887605</v>
      </c>
      <c r="K136" s="18">
        <f t="shared" si="35"/>
        <v>2.9393345901317014</v>
      </c>
      <c r="L136" s="18">
        <f t="shared" si="36"/>
        <v>0.92999306107659152</v>
      </c>
      <c r="M136" s="18">
        <f t="shared" si="37"/>
        <v>0.92999306107659152</v>
      </c>
      <c r="N136" s="18">
        <f t="shared" si="38"/>
        <v>0.92999306107659152</v>
      </c>
      <c r="O136" s="16"/>
      <c r="P136" s="18">
        <f t="shared" si="29"/>
        <v>1389.8621935874282</v>
      </c>
      <c r="Q136" s="18">
        <f t="shared" si="43"/>
        <v>1224.6905952542631</v>
      </c>
      <c r="R136" s="18">
        <f t="shared" si="44"/>
        <v>0</v>
      </c>
      <c r="S136" s="18">
        <f t="shared" si="45"/>
        <v>0</v>
      </c>
      <c r="T136" s="18">
        <v>100</v>
      </c>
      <c r="U136" s="16"/>
      <c r="V136" s="18">
        <f t="shared" si="39"/>
        <v>2714.5527888416914</v>
      </c>
      <c r="W136" s="16"/>
      <c r="X136" s="18">
        <f t="shared" si="40"/>
        <v>10701.325496431691</v>
      </c>
      <c r="Y136" s="18">
        <f t="shared" si="41"/>
        <v>103.44721115830862</v>
      </c>
      <c r="Z136" s="18"/>
      <c r="AA136" s="18">
        <f t="shared" si="42"/>
        <v>9.8126414574867249E-5</v>
      </c>
      <c r="AB136" s="16"/>
    </row>
    <row r="137" spans="2:28" x14ac:dyDescent="0.35">
      <c r="B137" s="26">
        <v>30.900000000000006</v>
      </c>
      <c r="C137" s="26">
        <v>2751</v>
      </c>
      <c r="D137" s="18">
        <f t="shared" si="23"/>
        <v>19.922375412143886</v>
      </c>
      <c r="E137" s="18">
        <f t="shared" si="23"/>
        <v>4.0315827766435044</v>
      </c>
      <c r="F137" s="18">
        <f t="shared" si="23"/>
        <v>0.88741490700595493</v>
      </c>
      <c r="G137" s="18">
        <f t="shared" si="23"/>
        <v>0.88741490700595493</v>
      </c>
      <c r="H137" s="18">
        <f t="shared" si="23"/>
        <v>0.88741490700595493</v>
      </c>
      <c r="I137" s="16"/>
      <c r="J137" s="18">
        <f t="shared" si="34"/>
        <v>17.084220171653833</v>
      </c>
      <c r="K137" s="18">
        <f t="shared" si="35"/>
        <v>2.9498339096801285</v>
      </c>
      <c r="L137" s="18">
        <f t="shared" si="36"/>
        <v>0.94450704262057172</v>
      </c>
      <c r="M137" s="18">
        <f t="shared" si="37"/>
        <v>0.94450704262057172</v>
      </c>
      <c r="N137" s="18">
        <f t="shared" si="38"/>
        <v>0.94450704262057172</v>
      </c>
      <c r="O137" s="16"/>
      <c r="P137" s="18">
        <f t="shared" si="29"/>
        <v>1369.8048766976769</v>
      </c>
      <c r="Q137" s="18">
        <f t="shared" si="43"/>
        <v>1217.0877185780705</v>
      </c>
      <c r="R137" s="18">
        <f t="shared" si="44"/>
        <v>0</v>
      </c>
      <c r="S137" s="18">
        <f t="shared" si="45"/>
        <v>0</v>
      </c>
      <c r="T137" s="18">
        <v>100</v>
      </c>
      <c r="U137" s="16"/>
      <c r="V137" s="18">
        <f t="shared" si="39"/>
        <v>2686.8925952757472</v>
      </c>
      <c r="W137" s="16"/>
      <c r="X137" s="18">
        <f t="shared" si="40"/>
        <v>4109.7593404791469</v>
      </c>
      <c r="Y137" s="18">
        <f t="shared" si="41"/>
        <v>64.107404724252774</v>
      </c>
      <c r="Z137" s="18"/>
      <c r="AA137" s="18">
        <f t="shared" si="42"/>
        <v>6.0810047007106617E-5</v>
      </c>
      <c r="AB137" s="16"/>
    </row>
    <row r="138" spans="2:28" x14ac:dyDescent="0.35">
      <c r="B138" s="26">
        <v>31.200000000000003</v>
      </c>
      <c r="C138" s="26">
        <v>2828</v>
      </c>
      <c r="D138" s="18">
        <f t="shared" si="23"/>
        <v>20.057089040444914</v>
      </c>
      <c r="E138" s="18">
        <f t="shared" si="23"/>
        <v>4.0456477373083688</v>
      </c>
      <c r="F138" s="18">
        <f t="shared" si="23"/>
        <v>0.91741490700595474</v>
      </c>
      <c r="G138" s="18">
        <f t="shared" si="23"/>
        <v>0.91741490700595474</v>
      </c>
      <c r="H138" s="18">
        <f t="shared" si="23"/>
        <v>0.91741490700595474</v>
      </c>
      <c r="I138" s="16"/>
      <c r="J138" s="18">
        <f t="shared" si="34"/>
        <v>17.211510656255278</v>
      </c>
      <c r="K138" s="18">
        <f t="shared" si="35"/>
        <v>2.9603426989886485</v>
      </c>
      <c r="L138" s="18">
        <f t="shared" si="36"/>
        <v>0.95913663975638419</v>
      </c>
      <c r="M138" s="18">
        <f t="shared" si="37"/>
        <v>0.95913663975638419</v>
      </c>
      <c r="N138" s="18">
        <f t="shared" si="38"/>
        <v>0.95913663975638419</v>
      </c>
      <c r="O138" s="16"/>
      <c r="P138" s="18">
        <f t="shared" si="29"/>
        <v>1350.170737560702</v>
      </c>
      <c r="Q138" s="18">
        <f t="shared" si="43"/>
        <v>1209.5491488784533</v>
      </c>
      <c r="R138" s="18">
        <f t="shared" si="44"/>
        <v>0</v>
      </c>
      <c r="S138" s="18">
        <f t="shared" si="45"/>
        <v>0</v>
      </c>
      <c r="T138" s="18">
        <v>100</v>
      </c>
      <c r="U138" s="16"/>
      <c r="V138" s="18">
        <f t="shared" si="39"/>
        <v>2659.7198864391553</v>
      </c>
      <c r="W138" s="16"/>
      <c r="X138" s="18">
        <f t="shared" si="40"/>
        <v>28318.196620050792</v>
      </c>
      <c r="Y138" s="18">
        <f t="shared" si="41"/>
        <v>168.28011356084471</v>
      </c>
      <c r="Z138" s="18"/>
      <c r="AA138" s="18">
        <f t="shared" si="42"/>
        <v>1.5962464336237379E-4</v>
      </c>
      <c r="AB138" s="16"/>
    </row>
    <row r="139" spans="2:28" x14ac:dyDescent="0.35">
      <c r="B139" s="26">
        <v>31.5</v>
      </c>
      <c r="C139" s="26">
        <v>2773</v>
      </c>
      <c r="D139" s="18">
        <f t="shared" si="23"/>
        <v>20.19180266874594</v>
      </c>
      <c r="E139" s="18">
        <f t="shared" si="23"/>
        <v>4.0597126979732332</v>
      </c>
      <c r="F139" s="18">
        <f t="shared" si="23"/>
        <v>0.94741490700595454</v>
      </c>
      <c r="G139" s="18">
        <f t="shared" si="23"/>
        <v>0.94741490700595454</v>
      </c>
      <c r="H139" s="18">
        <f t="shared" si="23"/>
        <v>0.94741490700595454</v>
      </c>
      <c r="I139" s="16"/>
      <c r="J139" s="18">
        <f t="shared" si="34"/>
        <v>17.338852855548033</v>
      </c>
      <c r="K139" s="18">
        <f t="shared" si="35"/>
        <v>2.9708609163411266</v>
      </c>
      <c r="L139" s="18">
        <f t="shared" si="36"/>
        <v>0.97388103276123028</v>
      </c>
      <c r="M139" s="18">
        <f t="shared" si="37"/>
        <v>0.97388103276123028</v>
      </c>
      <c r="N139" s="18">
        <f t="shared" si="38"/>
        <v>0.97388103276123028</v>
      </c>
      <c r="O139" s="16"/>
      <c r="P139" s="18">
        <f t="shared" si="29"/>
        <v>1330.9481186397757</v>
      </c>
      <c r="Q139" s="18">
        <f t="shared" si="43"/>
        <v>1202.0742155694115</v>
      </c>
      <c r="R139" s="18">
        <f t="shared" si="44"/>
        <v>0</v>
      </c>
      <c r="S139" s="18">
        <f t="shared" si="45"/>
        <v>0</v>
      </c>
      <c r="T139" s="18">
        <v>100</v>
      </c>
      <c r="U139" s="16"/>
      <c r="V139" s="18">
        <f t="shared" si="39"/>
        <v>2633.0223342091872</v>
      </c>
      <c r="W139" s="16"/>
      <c r="X139" s="18">
        <f t="shared" si="40"/>
        <v>19593.746920244484</v>
      </c>
      <c r="Y139" s="18">
        <f t="shared" si="41"/>
        <v>139.97766579081281</v>
      </c>
      <c r="Z139" s="18"/>
      <c r="AA139" s="18">
        <f t="shared" si="42"/>
        <v>1.3277792905979477E-4</v>
      </c>
    </row>
    <row r="140" spans="2:28" x14ac:dyDescent="0.35">
      <c r="B140" s="26">
        <v>31.800000000000011</v>
      </c>
      <c r="C140" s="26">
        <v>2735</v>
      </c>
      <c r="D140" s="18">
        <f t="shared" si="23"/>
        <v>20.326516297046972</v>
      </c>
      <c r="E140" s="18">
        <f t="shared" si="23"/>
        <v>4.0737776586380985</v>
      </c>
      <c r="F140" s="18">
        <f t="shared" si="23"/>
        <v>0.97741490700595568</v>
      </c>
      <c r="G140" s="18">
        <f t="shared" si="23"/>
        <v>0.97741490700595568</v>
      </c>
      <c r="H140" s="18">
        <f t="shared" si="23"/>
        <v>0.97741490700595568</v>
      </c>
      <c r="I140" s="16"/>
      <c r="J140" s="18">
        <f t="shared" si="34"/>
        <v>17.466246074388582</v>
      </c>
      <c r="K140" s="18">
        <f t="shared" si="35"/>
        <v>2.981388520248113</v>
      </c>
      <c r="L140" s="18">
        <f t="shared" si="36"/>
        <v>0.98873939382044995</v>
      </c>
      <c r="M140" s="18">
        <f t="shared" si="37"/>
        <v>0.98873939382044995</v>
      </c>
      <c r="N140" s="18">
        <f t="shared" si="38"/>
        <v>0.98873939382044995</v>
      </c>
      <c r="O140" s="16"/>
      <c r="P140" s="18">
        <f t="shared" si="29"/>
        <v>1312.1257565925021</v>
      </c>
      <c r="Q140" s="18">
        <f t="shared" si="43"/>
        <v>1194.6622562158361</v>
      </c>
      <c r="R140" s="18">
        <f t="shared" si="44"/>
        <v>0</v>
      </c>
      <c r="S140" s="18">
        <f t="shared" si="45"/>
        <v>0</v>
      </c>
      <c r="T140" s="18">
        <v>100</v>
      </c>
      <c r="U140" s="16"/>
      <c r="V140" s="18">
        <f t="shared" si="39"/>
        <v>2606.788012808338</v>
      </c>
      <c r="W140" s="16"/>
      <c r="X140" s="18">
        <f t="shared" si="40"/>
        <v>16438.313659634914</v>
      </c>
      <c r="Y140" s="18">
        <f t="shared" si="41"/>
        <v>128.21198719166205</v>
      </c>
      <c r="Z140" s="18"/>
      <c r="AA140" s="18">
        <f t="shared" si="42"/>
        <v>1.2161741691985794E-4</v>
      </c>
    </row>
    <row r="141" spans="2:28" x14ac:dyDescent="0.35">
      <c r="B141" s="26">
        <v>32.100000000000009</v>
      </c>
      <c r="C141" s="26">
        <v>2675</v>
      </c>
      <c r="D141" s="18">
        <f t="shared" si="23"/>
        <v>20.461229925348</v>
      </c>
      <c r="E141" s="18">
        <f t="shared" si="23"/>
        <v>4.0878426193029629</v>
      </c>
      <c r="F141" s="18">
        <f t="shared" si="23"/>
        <v>1.007414907005955</v>
      </c>
      <c r="G141" s="18">
        <f t="shared" si="23"/>
        <v>1.007414907005955</v>
      </c>
      <c r="H141" s="18">
        <f t="shared" si="23"/>
        <v>1.007414907005955</v>
      </c>
      <c r="I141" s="16"/>
      <c r="J141" s="18">
        <f t="shared" si="34"/>
        <v>17.59368963127368</v>
      </c>
      <c r="K141" s="18">
        <f t="shared" si="35"/>
        <v>2.9919254694456319</v>
      </c>
      <c r="L141" s="18">
        <f t="shared" si="36"/>
        <v>1.0037108876815453</v>
      </c>
      <c r="M141" s="18">
        <f t="shared" si="37"/>
        <v>1.0037108876815453</v>
      </c>
      <c r="N141" s="18">
        <f t="shared" si="38"/>
        <v>1.0037108876815453</v>
      </c>
      <c r="O141" s="16"/>
      <c r="P141" s="18">
        <f t="shared" si="29"/>
        <v>1293.6927665341866</v>
      </c>
      <c r="Q141" s="18">
        <f t="shared" si="43"/>
        <v>1187.3126164222797</v>
      </c>
      <c r="R141" s="18">
        <f t="shared" si="44"/>
        <v>0</v>
      </c>
      <c r="S141" s="18">
        <f t="shared" si="45"/>
        <v>0</v>
      </c>
      <c r="T141" s="18">
        <v>100</v>
      </c>
      <c r="U141" s="16"/>
      <c r="V141" s="18">
        <f t="shared" si="39"/>
        <v>2581.0053829564663</v>
      </c>
      <c r="W141" s="16"/>
      <c r="X141" s="18">
        <f t="shared" si="40"/>
        <v>8834.9880331605582</v>
      </c>
      <c r="Y141" s="18">
        <f t="shared" si="41"/>
        <v>93.994617043533708</v>
      </c>
      <c r="Z141" s="18"/>
      <c r="AA141" s="18">
        <f t="shared" si="42"/>
        <v>8.9160013658607713E-5</v>
      </c>
    </row>
    <row r="142" spans="2:28" x14ac:dyDescent="0.35">
      <c r="B142" s="26">
        <v>32.400000000000006</v>
      </c>
      <c r="C142" s="26">
        <v>2661</v>
      </c>
      <c r="D142" s="18">
        <f t="shared" si="23"/>
        <v>20.595943553649029</v>
      </c>
      <c r="E142" s="18">
        <f t="shared" si="23"/>
        <v>4.1019075799678273</v>
      </c>
      <c r="F142" s="18">
        <f t="shared" si="23"/>
        <v>1.0374149070059548</v>
      </c>
      <c r="G142" s="18">
        <f t="shared" si="23"/>
        <v>1.0374149070059548</v>
      </c>
      <c r="H142" s="18">
        <f t="shared" si="23"/>
        <v>1.0374149070059548</v>
      </c>
      <c r="I142" s="16"/>
      <c r="J142" s="18">
        <f t="shared" si="34"/>
        <v>17.721182857991625</v>
      </c>
      <c r="K142" s="18">
        <f t="shared" si="35"/>
        <v>3.0024717228939717</v>
      </c>
      <c r="L142" s="18">
        <f t="shared" si="36"/>
        <v>1.0187946722919143</v>
      </c>
      <c r="M142" s="18">
        <f t="shared" si="37"/>
        <v>1.0187946722919143</v>
      </c>
      <c r="N142" s="18">
        <f t="shared" si="38"/>
        <v>1.0187946722919143</v>
      </c>
      <c r="O142" s="16"/>
      <c r="P142" s="18">
        <f t="shared" si="29"/>
        <v>1275.6386270232185</v>
      </c>
      <c r="Q142" s="18">
        <f t="shared" si="43"/>
        <v>1180.02464972338</v>
      </c>
      <c r="R142" s="18">
        <f t="shared" si="44"/>
        <v>0</v>
      </c>
      <c r="S142" s="18">
        <f t="shared" si="45"/>
        <v>0</v>
      </c>
      <c r="T142" s="18">
        <v>100</v>
      </c>
      <c r="U142" s="16"/>
      <c r="V142" s="18">
        <f t="shared" si="39"/>
        <v>2555.6632767465985</v>
      </c>
      <c r="W142" s="16"/>
      <c r="X142" s="18">
        <f t="shared" si="40"/>
        <v>11095.825265763693</v>
      </c>
      <c r="Y142" s="18">
        <f t="shared" si="41"/>
        <v>105.33672325340149</v>
      </c>
      <c r="Z142" s="18"/>
      <c r="AA142" s="18">
        <f t="shared" si="42"/>
        <v>9.9918739811200285E-5</v>
      </c>
    </row>
    <row r="143" spans="2:28" x14ac:dyDescent="0.35">
      <c r="B143" s="26">
        <v>32.800000000000011</v>
      </c>
      <c r="C143" s="26">
        <v>2627</v>
      </c>
      <c r="D143" s="18">
        <f t="shared" si="23"/>
        <v>20.775561724717068</v>
      </c>
      <c r="E143" s="18">
        <f t="shared" si="23"/>
        <v>4.1206608608543132</v>
      </c>
      <c r="F143" s="18">
        <f t="shared" si="23"/>
        <v>1.0774149070059553</v>
      </c>
      <c r="G143" s="18">
        <f t="shared" si="23"/>
        <v>1.0774149070059553</v>
      </c>
      <c r="H143" s="18">
        <f t="shared" si="23"/>
        <v>1.0774149070059553</v>
      </c>
      <c r="I143" s="16"/>
      <c r="J143" s="18">
        <f t="shared" si="34"/>
        <v>17.891249960413401</v>
      </c>
      <c r="K143" s="18">
        <f t="shared" si="35"/>
        <v>3.0165477969221564</v>
      </c>
      <c r="L143" s="18">
        <f t="shared" si="36"/>
        <v>1.0390795927111227</v>
      </c>
      <c r="M143" s="18">
        <f t="shared" si="37"/>
        <v>1.0390795927111227</v>
      </c>
      <c r="N143" s="18">
        <f t="shared" si="38"/>
        <v>1.0390795927111227</v>
      </c>
      <c r="O143" s="16"/>
      <c r="P143" s="18">
        <f t="shared" si="29"/>
        <v>1252.1382308474269</v>
      </c>
      <c r="Q143" s="18">
        <f t="shared" si="43"/>
        <v>1170.4021940020923</v>
      </c>
      <c r="R143" s="18">
        <f t="shared" si="44"/>
        <v>0</v>
      </c>
      <c r="S143" s="18">
        <f t="shared" si="45"/>
        <v>0</v>
      </c>
      <c r="T143" s="18">
        <v>100</v>
      </c>
      <c r="U143" s="16"/>
      <c r="V143" s="18">
        <f t="shared" si="39"/>
        <v>2522.5404248495192</v>
      </c>
      <c r="W143" s="16"/>
      <c r="X143" s="18">
        <f t="shared" si="40"/>
        <v>10911.802840618937</v>
      </c>
      <c r="Y143" s="18">
        <f t="shared" si="41"/>
        <v>104.45957515048076</v>
      </c>
      <c r="Z143" s="18"/>
      <c r="AA143" s="18">
        <f t="shared" si="42"/>
        <v>9.9086707730035336E-5</v>
      </c>
    </row>
    <row r="144" spans="2:28" x14ac:dyDescent="0.35">
      <c r="B144" s="26">
        <v>33.100000000000009</v>
      </c>
      <c r="C144" s="26">
        <v>2627</v>
      </c>
      <c r="D144" s="18">
        <f t="shared" si="23"/>
        <v>20.910275353018097</v>
      </c>
      <c r="E144" s="18">
        <f t="shared" si="23"/>
        <v>4.1347258215191776</v>
      </c>
      <c r="F144" s="18">
        <f t="shared" si="23"/>
        <v>1.1074149070059551</v>
      </c>
      <c r="G144" s="18">
        <f t="shared" si="23"/>
        <v>1.1074149070059551</v>
      </c>
      <c r="H144" s="18">
        <f t="shared" si="23"/>
        <v>1.1074149070059551</v>
      </c>
      <c r="I144" s="16"/>
      <c r="J144" s="18">
        <f t="shared" si="34"/>
        <v>18.018856556959971</v>
      </c>
      <c r="K144" s="18">
        <f t="shared" si="35"/>
        <v>3.0271156019409275</v>
      </c>
      <c r="L144" s="18">
        <f t="shared" si="36"/>
        <v>1.0544220808415588</v>
      </c>
      <c r="M144" s="18">
        <f t="shared" si="37"/>
        <v>1.0544220808415588</v>
      </c>
      <c r="N144" s="18">
        <f t="shared" si="38"/>
        <v>1.0544220808415588</v>
      </c>
      <c r="O144" s="16"/>
      <c r="P144" s="18">
        <f t="shared" si="29"/>
        <v>1234.9290947591267</v>
      </c>
      <c r="Q144" s="18">
        <f t="shared" si="43"/>
        <v>1163.2556608990249</v>
      </c>
      <c r="R144" s="18">
        <f t="shared" si="44"/>
        <v>0</v>
      </c>
      <c r="S144" s="18">
        <f t="shared" si="45"/>
        <v>0</v>
      </c>
      <c r="T144" s="18">
        <v>100</v>
      </c>
      <c r="U144" s="16"/>
      <c r="V144" s="18">
        <f t="shared" si="39"/>
        <v>2498.1847556581515</v>
      </c>
      <c r="W144" s="16"/>
      <c r="X144" s="18">
        <f t="shared" si="40"/>
        <v>16593.367174850129</v>
      </c>
      <c r="Y144" s="18">
        <f t="shared" si="41"/>
        <v>128.81524434184848</v>
      </c>
      <c r="Z144" s="18"/>
      <c r="AA144" s="18">
        <f t="shared" si="42"/>
        <v>1.221896456010532E-4</v>
      </c>
    </row>
    <row r="145" spans="2:27" x14ac:dyDescent="0.35">
      <c r="B145" s="26">
        <v>33.400000000000006</v>
      </c>
      <c r="C145" s="26">
        <v>2633</v>
      </c>
      <c r="D145" s="18">
        <f t="shared" si="23"/>
        <v>21.044988981319122</v>
      </c>
      <c r="E145" s="18">
        <f t="shared" si="23"/>
        <v>4.148790782184042</v>
      </c>
      <c r="F145" s="18">
        <f t="shared" si="23"/>
        <v>1.1374149070059549</v>
      </c>
      <c r="G145" s="18">
        <f t="shared" si="23"/>
        <v>1.1374149070059549</v>
      </c>
      <c r="H145" s="18">
        <f t="shared" si="23"/>
        <v>1.1374149070059549</v>
      </c>
      <c r="I145" s="16"/>
      <c r="J145" s="18">
        <f t="shared" si="34"/>
        <v>18.146510687701863</v>
      </c>
      <c r="K145" s="18">
        <f t="shared" si="35"/>
        <v>3.0376925760156981</v>
      </c>
      <c r="L145" s="18">
        <f t="shared" si="36"/>
        <v>1.0698740116170511</v>
      </c>
      <c r="M145" s="18">
        <f t="shared" si="37"/>
        <v>1.0698740116170511</v>
      </c>
      <c r="N145" s="18">
        <f t="shared" si="38"/>
        <v>1.0698740116170511</v>
      </c>
      <c r="O145" s="16"/>
      <c r="P145" s="18">
        <f t="shared" si="29"/>
        <v>1218.0661834222904</v>
      </c>
      <c r="Q145" s="18">
        <f t="shared" si="43"/>
        <v>1156.1687019049143</v>
      </c>
      <c r="R145" s="18">
        <f t="shared" si="44"/>
        <v>0</v>
      </c>
      <c r="S145" s="18">
        <f t="shared" si="45"/>
        <v>0</v>
      </c>
      <c r="T145" s="18">
        <v>100</v>
      </c>
      <c r="U145" s="16"/>
      <c r="V145" s="18">
        <f t="shared" si="39"/>
        <v>2474.2348853272047</v>
      </c>
      <c r="W145" s="16"/>
      <c r="X145" s="18">
        <f t="shared" si="40"/>
        <v>25206.361637065853</v>
      </c>
      <c r="Y145" s="18">
        <f t="shared" si="41"/>
        <v>158.76511467279533</v>
      </c>
      <c r="Z145" s="18"/>
      <c r="AA145" s="18">
        <f t="shared" si="42"/>
        <v>1.505990474558848E-4</v>
      </c>
    </row>
    <row r="146" spans="2:27" x14ac:dyDescent="0.35">
      <c r="B146" s="26">
        <v>33.700000000000003</v>
      </c>
      <c r="C146" s="26">
        <v>2610</v>
      </c>
      <c r="D146" s="18">
        <f t="shared" si="23"/>
        <v>21.179702609620151</v>
      </c>
      <c r="E146" s="18">
        <f t="shared" si="23"/>
        <v>4.1628557428489064</v>
      </c>
      <c r="F146" s="18">
        <f t="shared" si="23"/>
        <v>1.1674149070059547</v>
      </c>
      <c r="G146" s="18">
        <f t="shared" si="23"/>
        <v>1.1674149070059547</v>
      </c>
      <c r="H146" s="18">
        <f t="shared" si="23"/>
        <v>1.1674149070059547</v>
      </c>
      <c r="I146" s="16"/>
      <c r="J146" s="18">
        <f t="shared" si="34"/>
        <v>18.274211738252344</v>
      </c>
      <c r="K146" s="18">
        <f t="shared" si="35"/>
        <v>3.0482786790646621</v>
      </c>
      <c r="L146" s="18">
        <f t="shared" si="36"/>
        <v>1.0854345204795088</v>
      </c>
      <c r="M146" s="18">
        <f t="shared" si="37"/>
        <v>1.0854345204795088</v>
      </c>
      <c r="N146" s="18">
        <f t="shared" si="38"/>
        <v>1.0854345204795088</v>
      </c>
      <c r="O146" s="16"/>
      <c r="P146" s="18">
        <f t="shared" si="29"/>
        <v>1201.5403928196465</v>
      </c>
      <c r="Q146" s="18">
        <f t="shared" si="43"/>
        <v>1149.1407036911442</v>
      </c>
      <c r="R146" s="18">
        <f t="shared" si="44"/>
        <v>0</v>
      </c>
      <c r="S146" s="18">
        <f t="shared" si="45"/>
        <v>0</v>
      </c>
      <c r="T146" s="18">
        <v>100</v>
      </c>
      <c r="U146" s="16"/>
      <c r="V146" s="18">
        <f t="shared" si="39"/>
        <v>2450.6810965107907</v>
      </c>
      <c r="W146" s="16"/>
      <c r="X146" s="18">
        <f t="shared" si="40"/>
        <v>25382.513009003997</v>
      </c>
      <c r="Y146" s="18">
        <f t="shared" si="41"/>
        <v>159.31890348920933</v>
      </c>
      <c r="Z146" s="18"/>
      <c r="AA146" s="18">
        <f t="shared" si="42"/>
        <v>1.5112435220192774E-4</v>
      </c>
    </row>
    <row r="147" spans="2:27" x14ac:dyDescent="0.35">
      <c r="B147" s="26">
        <v>34</v>
      </c>
      <c r="C147" s="26">
        <v>2533</v>
      </c>
      <c r="D147" s="18">
        <f t="shared" si="23"/>
        <v>21.314416237921179</v>
      </c>
      <c r="E147" s="18">
        <f t="shared" si="23"/>
        <v>4.1769207035137708</v>
      </c>
      <c r="F147" s="18">
        <f t="shared" si="23"/>
        <v>1.1974149070059545</v>
      </c>
      <c r="G147" s="18">
        <f t="shared" si="23"/>
        <v>1.1974149070059545</v>
      </c>
      <c r="H147" s="18">
        <f t="shared" si="23"/>
        <v>1.1974149070059545</v>
      </c>
      <c r="I147" s="16"/>
      <c r="J147" s="18">
        <f t="shared" si="34"/>
        <v>18.401959105831107</v>
      </c>
      <c r="K147" s="18">
        <f t="shared" si="35"/>
        <v>3.0588738712238759</v>
      </c>
      <c r="L147" s="18">
        <f t="shared" si="36"/>
        <v>1.1011027391882173</v>
      </c>
      <c r="M147" s="18">
        <f t="shared" si="37"/>
        <v>1.1011027391882173</v>
      </c>
      <c r="N147" s="18">
        <f t="shared" si="38"/>
        <v>1.1011027391882173</v>
      </c>
      <c r="O147" s="16"/>
      <c r="P147" s="18">
        <f t="shared" si="29"/>
        <v>1185.3429130439233</v>
      </c>
      <c r="Q147" s="18">
        <f t="shared" si="43"/>
        <v>1142.1710603016884</v>
      </c>
      <c r="R147" s="18">
        <f t="shared" si="44"/>
        <v>0</v>
      </c>
      <c r="S147" s="18">
        <f t="shared" si="45"/>
        <v>0</v>
      </c>
      <c r="T147" s="18">
        <v>100</v>
      </c>
      <c r="U147" s="16"/>
      <c r="V147" s="18">
        <f t="shared" si="39"/>
        <v>2427.5139733456117</v>
      </c>
      <c r="W147" s="16"/>
      <c r="X147" s="18">
        <f t="shared" si="40"/>
        <v>11127.301819330318</v>
      </c>
      <c r="Y147" s="18">
        <f t="shared" si="41"/>
        <v>105.4860266543883</v>
      </c>
      <c r="Z147" s="18"/>
      <c r="AA147" s="18">
        <f t="shared" si="42"/>
        <v>1.000603638072329E-4</v>
      </c>
    </row>
    <row r="148" spans="2:27" x14ac:dyDescent="0.35">
      <c r="B148" s="26">
        <v>34.300000000000011</v>
      </c>
      <c r="C148" s="26">
        <v>2612</v>
      </c>
      <c r="D148" s="18">
        <f t="shared" si="23"/>
        <v>21.449129866222211</v>
      </c>
      <c r="E148" s="18">
        <f t="shared" si="23"/>
        <v>4.190985664178636</v>
      </c>
      <c r="F148" s="18">
        <f t="shared" si="23"/>
        <v>1.2274149070059557</v>
      </c>
      <c r="G148" s="18">
        <f t="shared" si="23"/>
        <v>1.2274149070059557</v>
      </c>
      <c r="H148" s="18">
        <f t="shared" si="23"/>
        <v>1.2274149070059557</v>
      </c>
      <c r="I148" s="16"/>
      <c r="J148" s="18">
        <f t="shared" si="34"/>
        <v>18.529752198978297</v>
      </c>
      <c r="K148" s="18">
        <f t="shared" si="35"/>
        <v>3.0694781128460695</v>
      </c>
      <c r="L148" s="18">
        <f t="shared" si="36"/>
        <v>1.116877796350326</v>
      </c>
      <c r="M148" s="18">
        <f t="shared" si="37"/>
        <v>1.116877796350326</v>
      </c>
      <c r="N148" s="18">
        <f t="shared" si="38"/>
        <v>1.116877796350326</v>
      </c>
      <c r="O148" s="16"/>
      <c r="P148" s="18">
        <f t="shared" si="29"/>
        <v>1169.4652170717907</v>
      </c>
      <c r="Q148" s="18">
        <f t="shared" si="43"/>
        <v>1135.2591730534336</v>
      </c>
      <c r="R148" s="18">
        <f t="shared" si="44"/>
        <v>0</v>
      </c>
      <c r="S148" s="18">
        <f t="shared" si="45"/>
        <v>0</v>
      </c>
      <c r="T148" s="18">
        <v>100</v>
      </c>
      <c r="U148" s="16"/>
      <c r="V148" s="18">
        <f t="shared" si="39"/>
        <v>2404.7243901252241</v>
      </c>
      <c r="W148" s="16"/>
      <c r="X148" s="18">
        <f t="shared" si="40"/>
        <v>42963.178448960301</v>
      </c>
      <c r="Y148" s="18">
        <f t="shared" si="41"/>
        <v>207.27560987477591</v>
      </c>
      <c r="Z148" s="18"/>
      <c r="AA148" s="18">
        <f t="shared" si="42"/>
        <v>1.9661441036535006E-4</v>
      </c>
    </row>
    <row r="149" spans="2:27" x14ac:dyDescent="0.35">
      <c r="B149" s="26">
        <v>34.700000000000003</v>
      </c>
      <c r="C149" s="26">
        <v>2570</v>
      </c>
      <c r="D149" s="18">
        <f t="shared" si="23"/>
        <v>21.628748037290244</v>
      </c>
      <c r="E149" s="18">
        <f t="shared" si="23"/>
        <v>4.2097389450651219</v>
      </c>
      <c r="F149" s="18">
        <f t="shared" si="23"/>
        <v>1.2674149070059548</v>
      </c>
      <c r="G149" s="18">
        <f t="shared" si="23"/>
        <v>1.2674149070059548</v>
      </c>
      <c r="H149" s="18">
        <f t="shared" si="23"/>
        <v>1.2674149070059548</v>
      </c>
      <c r="I149" s="16"/>
      <c r="J149" s="18">
        <f t="shared" si="34"/>
        <v>18.70021311687055</v>
      </c>
      <c r="K149" s="18">
        <f t="shared" si="35"/>
        <v>3.0836311104952561</v>
      </c>
      <c r="L149" s="18">
        <f t="shared" si="36"/>
        <v>1.1380758880597142</v>
      </c>
      <c r="M149" s="18">
        <f t="shared" si="37"/>
        <v>1.1380758880597142</v>
      </c>
      <c r="N149" s="18">
        <f t="shared" si="38"/>
        <v>1.1380758880597142</v>
      </c>
      <c r="O149" s="16"/>
      <c r="P149" s="18">
        <f t="shared" si="29"/>
        <v>1148.7781674778867</v>
      </c>
      <c r="Q149" s="18">
        <f t="shared" si="43"/>
        <v>1126.1321449365018</v>
      </c>
      <c r="R149" s="18">
        <f t="shared" si="44"/>
        <v>0</v>
      </c>
      <c r="S149" s="18">
        <f t="shared" si="45"/>
        <v>0</v>
      </c>
      <c r="T149" s="18">
        <v>100</v>
      </c>
      <c r="U149" s="16"/>
      <c r="V149" s="18">
        <f t="shared" si="39"/>
        <v>2374.9103124143885</v>
      </c>
      <c r="W149" s="16"/>
      <c r="X149" s="18">
        <f t="shared" si="40"/>
        <v>38059.986202251501</v>
      </c>
      <c r="Y149" s="18">
        <f t="shared" si="41"/>
        <v>195.0896875856115</v>
      </c>
      <c r="Z149" s="18"/>
      <c r="AA149" s="18">
        <f t="shared" si="42"/>
        <v>1.8505526972603642E-4</v>
      </c>
    </row>
    <row r="150" spans="2:27" x14ac:dyDescent="0.35">
      <c r="B150" s="26">
        <v>35</v>
      </c>
      <c r="C150" s="26">
        <v>2538</v>
      </c>
      <c r="D150" s="18">
        <f t="shared" si="23"/>
        <v>21.763461665591272</v>
      </c>
      <c r="E150" s="18">
        <f t="shared" si="23"/>
        <v>4.2238039057299863</v>
      </c>
      <c r="F150" s="18">
        <f t="shared" si="23"/>
        <v>1.2974149070059542</v>
      </c>
      <c r="G150" s="18">
        <f t="shared" si="23"/>
        <v>1.2974149070059542</v>
      </c>
      <c r="H150" s="18">
        <f t="shared" si="23"/>
        <v>1.2974149070059542</v>
      </c>
      <c r="I150" s="16"/>
      <c r="J150" s="18">
        <f t="shared" si="34"/>
        <v>18.828110664418368</v>
      </c>
      <c r="K150" s="18">
        <f t="shared" si="35"/>
        <v>3.0942563145554591</v>
      </c>
      <c r="L150" s="18">
        <f t="shared" si="36"/>
        <v>1.1540968323008878</v>
      </c>
      <c r="M150" s="18">
        <f t="shared" si="37"/>
        <v>1.1540968323008878</v>
      </c>
      <c r="N150" s="18">
        <f t="shared" si="38"/>
        <v>1.1540968323008878</v>
      </c>
      <c r="O150" s="16"/>
      <c r="P150" s="18">
        <f t="shared" si="29"/>
        <v>1133.6149826515355</v>
      </c>
      <c r="Q150" s="18">
        <f t="shared" si="43"/>
        <v>1119.3527339270031</v>
      </c>
      <c r="R150" s="18">
        <f t="shared" si="44"/>
        <v>0</v>
      </c>
      <c r="S150" s="18">
        <f t="shared" si="45"/>
        <v>0</v>
      </c>
      <c r="T150" s="18">
        <v>100</v>
      </c>
      <c r="U150" s="16"/>
      <c r="V150" s="18">
        <f t="shared" si="39"/>
        <v>2352.9677165785388</v>
      </c>
      <c r="W150" s="16"/>
      <c r="X150" s="18">
        <f t="shared" si="40"/>
        <v>34236.945908159949</v>
      </c>
      <c r="Y150" s="18">
        <f t="shared" si="41"/>
        <v>185.03228342146122</v>
      </c>
      <c r="Z150" s="18"/>
      <c r="AA150" s="18">
        <f t="shared" si="42"/>
        <v>1.7551516710260151E-4</v>
      </c>
    </row>
    <row r="151" spans="2:27" x14ac:dyDescent="0.35">
      <c r="B151" s="26">
        <v>35.300000000000011</v>
      </c>
      <c r="C151" s="26">
        <v>2403</v>
      </c>
      <c r="D151" s="18">
        <f t="shared" si="23"/>
        <v>21.898175293892308</v>
      </c>
      <c r="E151" s="18">
        <f t="shared" si="23"/>
        <v>4.2378688663948516</v>
      </c>
      <c r="F151" s="18">
        <f t="shared" si="23"/>
        <v>1.3274149070059553</v>
      </c>
      <c r="G151" s="18">
        <f t="shared" si="23"/>
        <v>1.3274149070059553</v>
      </c>
      <c r="H151" s="18">
        <f t="shared" ref="E151:H166" si="46">G$23-LN(1/G$23)+$B151*G$22</f>
        <v>1.3274149070059553</v>
      </c>
      <c r="I151" s="16"/>
      <c r="J151" s="18">
        <f t="shared" si="34"/>
        <v>18.956052044261032</v>
      </c>
      <c r="K151" s="18">
        <f t="shared" si="35"/>
        <v>3.10489043747071</v>
      </c>
      <c r="L151" s="18">
        <f t="shared" si="36"/>
        <v>1.1702216940509371</v>
      </c>
      <c r="M151" s="18">
        <f t="shared" si="37"/>
        <v>1.1702216940509371</v>
      </c>
      <c r="N151" s="18">
        <f t="shared" si="38"/>
        <v>1.1702216940509371</v>
      </c>
      <c r="O151" s="16"/>
      <c r="P151" s="18">
        <f t="shared" si="29"/>
        <v>1118.7450669215884</v>
      </c>
      <c r="Q151" s="18">
        <f t="shared" si="43"/>
        <v>1112.6291347248421</v>
      </c>
      <c r="R151" s="18">
        <f t="shared" si="44"/>
        <v>0</v>
      </c>
      <c r="S151" s="18">
        <f t="shared" si="45"/>
        <v>0</v>
      </c>
      <c r="T151" s="18">
        <v>100</v>
      </c>
      <c r="U151" s="16"/>
      <c r="V151" s="18">
        <f t="shared" si="39"/>
        <v>2331.3742016464303</v>
      </c>
      <c r="W151" s="16"/>
      <c r="X151" s="18">
        <f t="shared" si="40"/>
        <v>5130.2549897862327</v>
      </c>
      <c r="Y151" s="18">
        <f t="shared" si="41"/>
        <v>71.625798353569735</v>
      </c>
      <c r="Z151" s="18"/>
      <c r="AA151" s="18">
        <f t="shared" si="42"/>
        <v>6.7941732839394439E-5</v>
      </c>
    </row>
    <row r="152" spans="2:27" x14ac:dyDescent="0.35">
      <c r="B152" s="26">
        <v>35.600000000000009</v>
      </c>
      <c r="C152" s="26">
        <v>2485</v>
      </c>
      <c r="D152" s="18">
        <f t="shared" si="23"/>
        <v>22.032888922193333</v>
      </c>
      <c r="E152" s="18">
        <f t="shared" si="46"/>
        <v>4.2519338270597151</v>
      </c>
      <c r="F152" s="18">
        <f t="shared" si="46"/>
        <v>1.3574149070059551</v>
      </c>
      <c r="G152" s="18">
        <f t="shared" si="46"/>
        <v>1.3574149070059551</v>
      </c>
      <c r="H152" s="18">
        <f t="shared" si="46"/>
        <v>1.3574149070059551</v>
      </c>
      <c r="I152" s="16"/>
      <c r="J152" s="18">
        <f t="shared" si="34"/>
        <v>19.084036710893578</v>
      </c>
      <c r="K152" s="18">
        <f t="shared" si="35"/>
        <v>3.1155334405189752</v>
      </c>
      <c r="L152" s="18">
        <f t="shared" si="36"/>
        <v>1.1864495939716178</v>
      </c>
      <c r="M152" s="18">
        <f t="shared" si="37"/>
        <v>1.1864495939716178</v>
      </c>
      <c r="N152" s="18">
        <f t="shared" si="38"/>
        <v>1.1864495939716178</v>
      </c>
      <c r="O152" s="16"/>
      <c r="P152" s="18">
        <f t="shared" si="29"/>
        <v>1104.1610009110227</v>
      </c>
      <c r="Q152" s="18">
        <f t="shared" si="43"/>
        <v>1105.9607790465036</v>
      </c>
      <c r="R152" s="18">
        <f t="shared" si="44"/>
        <v>0</v>
      </c>
      <c r="S152" s="18">
        <f t="shared" si="45"/>
        <v>0</v>
      </c>
      <c r="T152" s="18">
        <v>100</v>
      </c>
      <c r="U152" s="16"/>
      <c r="V152" s="18">
        <f t="shared" si="39"/>
        <v>2310.1217799575261</v>
      </c>
      <c r="W152" s="16"/>
      <c r="X152" s="18">
        <f t="shared" si="40"/>
        <v>30582.391845223923</v>
      </c>
      <c r="Y152" s="18">
        <f t="shared" si="41"/>
        <v>174.87822004247391</v>
      </c>
      <c r="Z152" s="18"/>
      <c r="AA152" s="18">
        <f t="shared" si="42"/>
        <v>1.658833769210258E-4</v>
      </c>
    </row>
    <row r="153" spans="2:27" x14ac:dyDescent="0.35">
      <c r="B153" s="26">
        <v>35.900000000000006</v>
      </c>
      <c r="C153" s="26">
        <v>2450</v>
      </c>
      <c r="D153" s="18">
        <f t="shared" si="23"/>
        <v>22.167602550494358</v>
      </c>
      <c r="E153" s="18">
        <f t="shared" si="46"/>
        <v>4.2659987877245795</v>
      </c>
      <c r="F153" s="18">
        <f t="shared" si="46"/>
        <v>1.3874149070059549</v>
      </c>
      <c r="G153" s="18">
        <f t="shared" si="46"/>
        <v>1.3874149070059549</v>
      </c>
      <c r="H153" s="18">
        <f t="shared" si="46"/>
        <v>1.3874149070059549</v>
      </c>
      <c r="I153" s="16"/>
      <c r="J153" s="18">
        <f t="shared" si="34"/>
        <v>19.212064128744782</v>
      </c>
      <c r="K153" s="18">
        <f t="shared" si="35"/>
        <v>3.1261852851886069</v>
      </c>
      <c r="L153" s="18">
        <f t="shared" si="36"/>
        <v>1.202779652114683</v>
      </c>
      <c r="M153" s="18">
        <f t="shared" si="37"/>
        <v>1.202779652114683</v>
      </c>
      <c r="N153" s="18">
        <f t="shared" si="38"/>
        <v>1.202779652114683</v>
      </c>
      <c r="O153" s="16"/>
      <c r="P153" s="18">
        <f t="shared" si="29"/>
        <v>1089.8555960091376</v>
      </c>
      <c r="Q153" s="18">
        <f t="shared" si="43"/>
        <v>1099.3471053740905</v>
      </c>
      <c r="R153" s="18">
        <f t="shared" si="44"/>
        <v>0</v>
      </c>
      <c r="S153" s="18">
        <f t="shared" si="45"/>
        <v>0</v>
      </c>
      <c r="T153" s="18">
        <v>100</v>
      </c>
      <c r="U153" s="16"/>
      <c r="V153" s="18">
        <f t="shared" si="39"/>
        <v>2289.202701383228</v>
      </c>
      <c r="W153" s="16"/>
      <c r="X153" s="18">
        <f t="shared" si="40"/>
        <v>25855.771242451337</v>
      </c>
      <c r="Y153" s="18">
        <f t="shared" si="41"/>
        <v>160.79729861677197</v>
      </c>
      <c r="Z153" s="18"/>
      <c r="AA153" s="18">
        <f t="shared" si="42"/>
        <v>1.5252670622934245E-4</v>
      </c>
    </row>
    <row r="154" spans="2:27" x14ac:dyDescent="0.35">
      <c r="B154" s="26">
        <v>36.200000000000003</v>
      </c>
      <c r="C154" s="26">
        <v>2411</v>
      </c>
      <c r="D154" s="18">
        <f t="shared" si="23"/>
        <v>22.302316178795387</v>
      </c>
      <c r="E154" s="18">
        <f t="shared" si="46"/>
        <v>4.2800637483894439</v>
      </c>
      <c r="F154" s="18">
        <f t="shared" si="46"/>
        <v>1.4174149070059547</v>
      </c>
      <c r="G154" s="18">
        <f t="shared" si="46"/>
        <v>1.4174149070059547</v>
      </c>
      <c r="H154" s="18">
        <f t="shared" si="46"/>
        <v>1.4174149070059547</v>
      </c>
      <c r="I154" s="16"/>
      <c r="J154" s="18">
        <f t="shared" si="34"/>
        <v>19.340133771940955</v>
      </c>
      <c r="K154" s="18">
        <f t="shared" si="35"/>
        <v>3.1368459331771676</v>
      </c>
      <c r="L154" s="18">
        <f t="shared" si="36"/>
        <v>1.2192109883456377</v>
      </c>
      <c r="M154" s="18">
        <f t="shared" si="37"/>
        <v>1.2192109883456377</v>
      </c>
      <c r="N154" s="18">
        <f t="shared" si="38"/>
        <v>1.2192109883456377</v>
      </c>
      <c r="O154" s="16"/>
      <c r="P154" s="18">
        <f t="shared" si="29"/>
        <v>1075.8218858858274</v>
      </c>
      <c r="Q154" s="18">
        <f t="shared" si="43"/>
        <v>1092.7875588645989</v>
      </c>
      <c r="R154" s="18">
        <f t="shared" si="44"/>
        <v>0</v>
      </c>
      <c r="S154" s="18">
        <f t="shared" si="45"/>
        <v>0</v>
      </c>
      <c r="T154" s="18">
        <v>100</v>
      </c>
      <c r="U154" s="16"/>
      <c r="V154" s="18">
        <f t="shared" si="39"/>
        <v>2268.6094447504265</v>
      </c>
      <c r="W154" s="16"/>
      <c r="X154" s="18">
        <f t="shared" si="40"/>
        <v>20275.070224281837</v>
      </c>
      <c r="Y154" s="18">
        <f t="shared" si="41"/>
        <v>142.39055524957348</v>
      </c>
      <c r="Z154" s="18"/>
      <c r="AA154" s="18">
        <f t="shared" si="42"/>
        <v>1.3506671179934433E-4</v>
      </c>
    </row>
    <row r="155" spans="2:27" x14ac:dyDescent="0.35">
      <c r="B155" s="26">
        <v>36.5</v>
      </c>
      <c r="C155" s="26">
        <v>2495</v>
      </c>
      <c r="D155" s="18">
        <f t="shared" si="23"/>
        <v>22.437029807096415</v>
      </c>
      <c r="E155" s="18">
        <f t="shared" si="46"/>
        <v>4.2941287090543083</v>
      </c>
      <c r="F155" s="18">
        <f t="shared" si="46"/>
        <v>1.4474149070059545</v>
      </c>
      <c r="G155" s="18">
        <f t="shared" si="46"/>
        <v>1.4474149070059545</v>
      </c>
      <c r="H155" s="18">
        <f t="shared" si="46"/>
        <v>1.4474149070059545</v>
      </c>
      <c r="I155" s="16"/>
      <c r="J155" s="18">
        <f t="shared" si="34"/>
        <v>19.468245124076642</v>
      </c>
      <c r="K155" s="18">
        <f t="shared" si="35"/>
        <v>3.1475153463902688</v>
      </c>
      <c r="L155" s="18">
        <f t="shared" si="36"/>
        <v>1.2357427227512205</v>
      </c>
      <c r="M155" s="18">
        <f t="shared" si="37"/>
        <v>1.2357427227512205</v>
      </c>
      <c r="N155" s="18">
        <f t="shared" si="38"/>
        <v>1.2357427227512205</v>
      </c>
      <c r="O155" s="16"/>
      <c r="P155" s="18">
        <f t="shared" si="29"/>
        <v>1062.0531183649509</v>
      </c>
      <c r="Q155" s="18">
        <f t="shared" si="43"/>
        <v>1086.2815912605188</v>
      </c>
      <c r="R155" s="18">
        <f t="shared" si="44"/>
        <v>0</v>
      </c>
      <c r="S155" s="18">
        <f t="shared" si="45"/>
        <v>0</v>
      </c>
      <c r="T155" s="18">
        <v>100</v>
      </c>
      <c r="U155" s="16"/>
      <c r="V155" s="18">
        <f t="shared" si="39"/>
        <v>2248.3347096254697</v>
      </c>
      <c r="W155" s="16"/>
      <c r="X155" s="18">
        <f t="shared" si="40"/>
        <v>60843.765475551343</v>
      </c>
      <c r="Y155" s="18">
        <f t="shared" si="41"/>
        <v>246.66529037453029</v>
      </c>
      <c r="Z155" s="18"/>
      <c r="AA155" s="18">
        <f t="shared" si="42"/>
        <v>2.3397808673140955E-4</v>
      </c>
    </row>
    <row r="156" spans="2:27" x14ac:dyDescent="0.35">
      <c r="B156" s="26">
        <v>36.900000000000006</v>
      </c>
      <c r="C156" s="26">
        <v>2441</v>
      </c>
      <c r="D156" s="18">
        <f t="shared" si="23"/>
        <v>22.616647978164458</v>
      </c>
      <c r="E156" s="18">
        <f t="shared" si="46"/>
        <v>4.3128819899407951</v>
      </c>
      <c r="F156" s="18">
        <f t="shared" si="46"/>
        <v>1.487414907005955</v>
      </c>
      <c r="G156" s="18">
        <f t="shared" si="46"/>
        <v>1.487414907005955</v>
      </c>
      <c r="H156" s="18">
        <f t="shared" si="46"/>
        <v>1.487414907005955</v>
      </c>
      <c r="I156" s="16"/>
      <c r="J156" s="18">
        <f t="shared" si="34"/>
        <v>19.639124265562103</v>
      </c>
      <c r="K156" s="18">
        <f t="shared" si="35"/>
        <v>3.1617548000132212</v>
      </c>
      <c r="L156" s="18">
        <f t="shared" si="36"/>
        <v>1.2579396905868638</v>
      </c>
      <c r="M156" s="18">
        <f t="shared" si="37"/>
        <v>1.2579396905868638</v>
      </c>
      <c r="N156" s="18">
        <f t="shared" si="38"/>
        <v>1.2579396905868638</v>
      </c>
      <c r="O156" s="16"/>
      <c r="P156" s="18">
        <f t="shared" si="29"/>
        <v>1044.0956096558361</v>
      </c>
      <c r="Q156" s="18">
        <f t="shared" si="43"/>
        <v>1077.6893773018867</v>
      </c>
      <c r="R156" s="18">
        <f t="shared" si="44"/>
        <v>0</v>
      </c>
      <c r="S156" s="18">
        <f t="shared" si="45"/>
        <v>0</v>
      </c>
      <c r="T156" s="18">
        <v>100</v>
      </c>
      <c r="U156" s="16"/>
      <c r="V156" s="18">
        <f t="shared" si="39"/>
        <v>2221.784986957723</v>
      </c>
      <c r="W156" s="16"/>
      <c r="X156" s="18">
        <f t="shared" si="40"/>
        <v>48055.221943125653</v>
      </c>
      <c r="Y156" s="18">
        <f t="shared" si="41"/>
        <v>219.21501304227695</v>
      </c>
      <c r="Z156" s="18"/>
      <c r="AA156" s="18">
        <f t="shared" si="42"/>
        <v>2.0793971156847092E-4</v>
      </c>
    </row>
    <row r="157" spans="2:27" x14ac:dyDescent="0.35">
      <c r="B157" s="26">
        <v>37.200000000000003</v>
      </c>
      <c r="C157" s="26">
        <v>2462</v>
      </c>
      <c r="D157" s="18">
        <f t="shared" si="23"/>
        <v>22.75136160646548</v>
      </c>
      <c r="E157" s="18">
        <f t="shared" si="46"/>
        <v>4.3269469506056595</v>
      </c>
      <c r="F157" s="18">
        <f t="shared" si="46"/>
        <v>1.5174149070059548</v>
      </c>
      <c r="G157" s="18">
        <f t="shared" si="46"/>
        <v>1.5174149070059548</v>
      </c>
      <c r="H157" s="18">
        <f t="shared" si="46"/>
        <v>1.5174149070059548</v>
      </c>
      <c r="I157" s="16"/>
      <c r="J157" s="18">
        <f t="shared" si="34"/>
        <v>19.767330981844175</v>
      </c>
      <c r="K157" s="18">
        <f t="shared" si="35"/>
        <v>3.1724445184320618</v>
      </c>
      <c r="L157" s="18">
        <f t="shared" si="36"/>
        <v>1.27470226965796</v>
      </c>
      <c r="M157" s="18">
        <f t="shared" si="37"/>
        <v>1.27470226965796</v>
      </c>
      <c r="N157" s="18">
        <f t="shared" si="38"/>
        <v>1.27470226965796</v>
      </c>
      <c r="O157" s="16"/>
      <c r="P157" s="18">
        <f t="shared" si="29"/>
        <v>1030.9199283852588</v>
      </c>
      <c r="Q157" s="18">
        <f t="shared" si="43"/>
        <v>1071.3063313666514</v>
      </c>
      <c r="R157" s="18">
        <f t="shared" si="44"/>
        <v>0</v>
      </c>
      <c r="S157" s="18">
        <f t="shared" si="45"/>
        <v>0</v>
      </c>
      <c r="T157" s="18">
        <v>100</v>
      </c>
      <c r="U157" s="16"/>
      <c r="V157" s="18">
        <f t="shared" si="39"/>
        <v>2202.2262597519102</v>
      </c>
      <c r="W157" s="16"/>
      <c r="X157" s="18">
        <f t="shared" si="40"/>
        <v>67482.396122482023</v>
      </c>
      <c r="Y157" s="18">
        <f t="shared" si="41"/>
        <v>259.77374024808978</v>
      </c>
      <c r="Z157" s="18"/>
      <c r="AA157" s="18">
        <f t="shared" si="42"/>
        <v>2.4641230484443653E-4</v>
      </c>
    </row>
    <row r="158" spans="2:27" x14ac:dyDescent="0.35">
      <c r="B158" s="26">
        <v>37.5</v>
      </c>
      <c r="C158" s="26">
        <v>2365</v>
      </c>
      <c r="D158" s="18">
        <f t="shared" si="23"/>
        <v>22.886075234766508</v>
      </c>
      <c r="E158" s="18">
        <f t="shared" si="46"/>
        <v>4.3410119112705239</v>
      </c>
      <c r="F158" s="18">
        <f t="shared" si="46"/>
        <v>1.5474149070059542</v>
      </c>
      <c r="G158" s="18">
        <f t="shared" si="46"/>
        <v>1.5474149070059542</v>
      </c>
      <c r="H158" s="18">
        <f t="shared" si="46"/>
        <v>1.5474149070059542</v>
      </c>
      <c r="I158" s="16"/>
      <c r="J158" s="18">
        <f t="shared" si="34"/>
        <v>19.895577751284897</v>
      </c>
      <c r="K158" s="18">
        <f t="shared" si="35"/>
        <v>3.1831428765818552</v>
      </c>
      <c r="L158" s="18">
        <f t="shared" si="36"/>
        <v>1.2915623203652953</v>
      </c>
      <c r="M158" s="18">
        <f t="shared" si="37"/>
        <v>1.2915623203652953</v>
      </c>
      <c r="N158" s="18">
        <f t="shared" si="38"/>
        <v>1.2915623203652953</v>
      </c>
      <c r="O158" s="16"/>
      <c r="P158" s="18">
        <f t="shared" si="29"/>
        <v>1017.9881315881788</v>
      </c>
      <c r="Q158" s="18">
        <f t="shared" si="43"/>
        <v>1064.9750832523418</v>
      </c>
      <c r="R158" s="18">
        <f t="shared" si="44"/>
        <v>0</v>
      </c>
      <c r="S158" s="18">
        <f t="shared" si="45"/>
        <v>0</v>
      </c>
      <c r="T158" s="18">
        <v>100</v>
      </c>
      <c r="U158" s="16"/>
      <c r="V158" s="18">
        <f t="shared" si="39"/>
        <v>2182.9632148405208</v>
      </c>
      <c r="W158" s="16"/>
      <c r="X158" s="18">
        <f t="shared" si="40"/>
        <v>33137.391151198397</v>
      </c>
      <c r="Y158" s="18">
        <f t="shared" si="41"/>
        <v>182.03678515947922</v>
      </c>
      <c r="Z158" s="18"/>
      <c r="AA158" s="18">
        <f t="shared" si="42"/>
        <v>1.7267374198323587E-4</v>
      </c>
    </row>
    <row r="159" spans="2:27" x14ac:dyDescent="0.35">
      <c r="B159" s="26">
        <v>37.800000000000011</v>
      </c>
      <c r="C159" s="26">
        <v>2380</v>
      </c>
      <c r="D159" s="18">
        <f t="shared" si="23"/>
        <v>23.020788863067544</v>
      </c>
      <c r="E159" s="18">
        <f t="shared" si="46"/>
        <v>4.3550768719353883</v>
      </c>
      <c r="F159" s="18">
        <f t="shared" si="46"/>
        <v>1.5774149070059553</v>
      </c>
      <c r="G159" s="18">
        <f t="shared" si="46"/>
        <v>1.5774149070059553</v>
      </c>
      <c r="H159" s="18">
        <f t="shared" si="46"/>
        <v>1.5774149070059553</v>
      </c>
      <c r="I159" s="16"/>
      <c r="J159" s="18">
        <f t="shared" si="34"/>
        <v>20.023864096015846</v>
      </c>
      <c r="K159" s="18">
        <f t="shared" si="35"/>
        <v>3.1938498372564013</v>
      </c>
      <c r="L159" s="18">
        <f t="shared" si="36"/>
        <v>1.308518968076626</v>
      </c>
      <c r="M159" s="18">
        <f t="shared" si="37"/>
        <v>1.308518968076626</v>
      </c>
      <c r="N159" s="18">
        <f t="shared" si="38"/>
        <v>1.308518968076626</v>
      </c>
      <c r="O159" s="16"/>
      <c r="P159" s="18">
        <f t="shared" si="29"/>
        <v>1005.2943092010082</v>
      </c>
      <c r="Q159" s="18">
        <f t="shared" si="43"/>
        <v>1058.6951122371302</v>
      </c>
      <c r="R159" s="18">
        <f t="shared" si="44"/>
        <v>0</v>
      </c>
      <c r="S159" s="18">
        <f t="shared" si="45"/>
        <v>0</v>
      </c>
      <c r="T159" s="18">
        <v>100</v>
      </c>
      <c r="U159" s="16"/>
      <c r="V159" s="18">
        <f t="shared" si="39"/>
        <v>2163.9894214381384</v>
      </c>
      <c r="W159" s="16"/>
      <c r="X159" s="18">
        <f t="shared" si="40"/>
        <v>46660.570050630195</v>
      </c>
      <c r="Y159" s="18">
        <f t="shared" si="41"/>
        <v>216.01057856186162</v>
      </c>
      <c r="Z159" s="18"/>
      <c r="AA159" s="18">
        <f t="shared" si="42"/>
        <v>2.0490009684341045E-4</v>
      </c>
    </row>
    <row r="160" spans="2:27" x14ac:dyDescent="0.35">
      <c r="B160" s="26">
        <v>38.100000000000009</v>
      </c>
      <c r="C160" s="26">
        <v>2352</v>
      </c>
      <c r="D160" s="18">
        <f t="shared" si="23"/>
        <v>23.155502491368573</v>
      </c>
      <c r="E160" s="18">
        <f t="shared" si="46"/>
        <v>4.3691418326002527</v>
      </c>
      <c r="F160" s="18">
        <f t="shared" si="46"/>
        <v>1.6074149070059551</v>
      </c>
      <c r="G160" s="18">
        <f t="shared" si="46"/>
        <v>1.6074149070059551</v>
      </c>
      <c r="H160" s="18">
        <f t="shared" si="46"/>
        <v>1.6074149070059551</v>
      </c>
      <c r="I160" s="16"/>
      <c r="J160" s="18">
        <f t="shared" si="34"/>
        <v>20.152189546520852</v>
      </c>
      <c r="K160" s="18">
        <f t="shared" si="35"/>
        <v>3.2045653634514046</v>
      </c>
      <c r="L160" s="18">
        <f t="shared" si="36"/>
        <v>1.3255713402894298</v>
      </c>
      <c r="M160" s="18">
        <f t="shared" si="37"/>
        <v>1.3255713402894298</v>
      </c>
      <c r="N160" s="18">
        <f t="shared" si="38"/>
        <v>1.3255713402894298</v>
      </c>
      <c r="O160" s="16"/>
      <c r="P160" s="18">
        <f t="shared" si="29"/>
        <v>992.8327273680776</v>
      </c>
      <c r="Q160" s="18">
        <f t="shared" si="43"/>
        <v>1052.4659037295526</v>
      </c>
      <c r="R160" s="18">
        <f t="shared" si="44"/>
        <v>0</v>
      </c>
      <c r="S160" s="18">
        <f t="shared" si="45"/>
        <v>0</v>
      </c>
      <c r="T160" s="18">
        <v>100</v>
      </c>
      <c r="U160" s="16"/>
      <c r="V160" s="18">
        <f t="shared" si="39"/>
        <v>2145.2986310976303</v>
      </c>
      <c r="W160" s="16"/>
      <c r="X160" s="18">
        <f t="shared" si="40"/>
        <v>42725.455906113537</v>
      </c>
      <c r="Y160" s="18">
        <f t="shared" si="41"/>
        <v>206.70136890236972</v>
      </c>
      <c r="Z160" s="18"/>
      <c r="AA160" s="18">
        <f t="shared" si="42"/>
        <v>1.9606970541783848E-4</v>
      </c>
    </row>
    <row r="161" spans="2:27" x14ac:dyDescent="0.35">
      <c r="B161" s="26">
        <v>38.400000000000006</v>
      </c>
      <c r="C161" s="26">
        <v>2308</v>
      </c>
      <c r="D161" s="18">
        <f t="shared" si="23"/>
        <v>23.290216119669601</v>
      </c>
      <c r="E161" s="18">
        <f t="shared" si="46"/>
        <v>4.3832067932651171</v>
      </c>
      <c r="F161" s="18">
        <f t="shared" si="46"/>
        <v>1.6374149070059549</v>
      </c>
      <c r="G161" s="18">
        <f t="shared" si="46"/>
        <v>1.6374149070059549</v>
      </c>
      <c r="H161" s="18">
        <f t="shared" si="46"/>
        <v>1.6374149070059549</v>
      </c>
      <c r="I161" s="16"/>
      <c r="J161" s="18">
        <f t="shared" si="34"/>
        <v>20.280553641445227</v>
      </c>
      <c r="K161" s="18">
        <f t="shared" si="35"/>
        <v>3.2152894183633367</v>
      </c>
      <c r="L161" s="18">
        <f t="shared" si="36"/>
        <v>1.3427185669412482</v>
      </c>
      <c r="M161" s="18">
        <f t="shared" si="37"/>
        <v>1.3427185669412482</v>
      </c>
      <c r="N161" s="18">
        <f t="shared" si="38"/>
        <v>1.3427185669412482</v>
      </c>
      <c r="O161" s="16"/>
      <c r="P161" s="18">
        <f t="shared" si="29"/>
        <v>980.59782222638307</v>
      </c>
      <c r="Q161" s="18">
        <f t="shared" si="43"/>
        <v>1046.2869491870792</v>
      </c>
      <c r="R161" s="18">
        <f t="shared" si="44"/>
        <v>0</v>
      </c>
      <c r="S161" s="18">
        <f t="shared" si="45"/>
        <v>0</v>
      </c>
      <c r="T161" s="18">
        <v>100</v>
      </c>
      <c r="U161" s="16"/>
      <c r="V161" s="18">
        <f t="shared" si="39"/>
        <v>2126.8847714134622</v>
      </c>
      <c r="W161" s="16"/>
      <c r="X161" s="18">
        <f t="shared" si="40"/>
        <v>32802.726025953838</v>
      </c>
      <c r="Y161" s="18">
        <f t="shared" si="41"/>
        <v>181.1152285865378</v>
      </c>
      <c r="Z161" s="18"/>
      <c r="AA161" s="18">
        <f t="shared" si="42"/>
        <v>1.7179958557710272E-4</v>
      </c>
    </row>
    <row r="162" spans="2:27" x14ac:dyDescent="0.35">
      <c r="B162" s="26">
        <v>38.700000000000003</v>
      </c>
      <c r="C162" s="26">
        <v>2367</v>
      </c>
      <c r="D162" s="18">
        <f t="shared" si="23"/>
        <v>23.424929747970623</v>
      </c>
      <c r="E162" s="18">
        <f t="shared" si="46"/>
        <v>4.3972717539299815</v>
      </c>
      <c r="F162" s="18">
        <f t="shared" si="46"/>
        <v>1.6674149070059547</v>
      </c>
      <c r="G162" s="18">
        <f t="shared" si="46"/>
        <v>1.6674149070059547</v>
      </c>
      <c r="H162" s="18">
        <f t="shared" si="46"/>
        <v>1.6674149070059547</v>
      </c>
      <c r="I162" s="16"/>
      <c r="J162" s="18">
        <f t="shared" si="34"/>
        <v>20.408955927410279</v>
      </c>
      <c r="K162" s="18">
        <f t="shared" si="35"/>
        <v>3.2260219653883024</v>
      </c>
      <c r="L162" s="18">
        <f t="shared" si="36"/>
        <v>1.3599597807057571</v>
      </c>
      <c r="M162" s="18">
        <f t="shared" si="37"/>
        <v>1.3599597807057571</v>
      </c>
      <c r="N162" s="18">
        <f t="shared" si="38"/>
        <v>1.3599597807057571</v>
      </c>
      <c r="O162" s="16"/>
      <c r="P162" s="18">
        <f t="shared" si="29"/>
        <v>968.58419394278144</v>
      </c>
      <c r="Q162" s="18">
        <f t="shared" si="43"/>
        <v>1040.157746035869</v>
      </c>
      <c r="R162" s="18">
        <f t="shared" si="44"/>
        <v>0</v>
      </c>
      <c r="S162" s="18">
        <f t="shared" si="45"/>
        <v>0</v>
      </c>
      <c r="T162" s="18">
        <v>100</v>
      </c>
      <c r="U162" s="16"/>
      <c r="V162" s="18">
        <f t="shared" si="39"/>
        <v>2108.7419399786504</v>
      </c>
      <c r="W162" s="16"/>
      <c r="X162" s="18">
        <f t="shared" si="40"/>
        <v>66697.225565991015</v>
      </c>
      <c r="Y162" s="18">
        <f t="shared" si="41"/>
        <v>258.25806002134959</v>
      </c>
      <c r="Z162" s="18"/>
      <c r="AA162" s="18">
        <f t="shared" si="42"/>
        <v>2.4497458347305575E-4</v>
      </c>
    </row>
    <row r="163" spans="2:27" x14ac:dyDescent="0.35">
      <c r="B163" s="26">
        <v>39.100000000000009</v>
      </c>
      <c r="C163" s="26">
        <v>2287</v>
      </c>
      <c r="D163" s="18">
        <f t="shared" si="23"/>
        <v>23.604547919038666</v>
      </c>
      <c r="E163" s="18">
        <f t="shared" si="46"/>
        <v>4.4160250348164682</v>
      </c>
      <c r="F163" s="18">
        <f t="shared" si="46"/>
        <v>1.7074149070059552</v>
      </c>
      <c r="G163" s="18">
        <f t="shared" si="46"/>
        <v>1.7074149070059552</v>
      </c>
      <c r="H163" s="18">
        <f t="shared" si="46"/>
        <v>1.7074149070059552</v>
      </c>
      <c r="I163" s="16"/>
      <c r="J163" s="18">
        <f t="shared" si="34"/>
        <v>20.58021761460671</v>
      </c>
      <c r="K163" s="18">
        <f t="shared" si="35"/>
        <v>3.240345175147413</v>
      </c>
      <c r="L163" s="18">
        <f t="shared" si="36"/>
        <v>1.383092774503057</v>
      </c>
      <c r="M163" s="18">
        <f t="shared" si="37"/>
        <v>1.383092774503057</v>
      </c>
      <c r="N163" s="18">
        <f t="shared" si="38"/>
        <v>1.383092774503057</v>
      </c>
      <c r="O163" s="16"/>
      <c r="P163" s="18">
        <f t="shared" si="29"/>
        <v>952.90119403048766</v>
      </c>
      <c r="Q163" s="18">
        <f t="shared" si="43"/>
        <v>1032.0620085926562</v>
      </c>
      <c r="R163" s="18">
        <f t="shared" si="44"/>
        <v>0</v>
      </c>
      <c r="S163" s="18">
        <f t="shared" si="45"/>
        <v>0</v>
      </c>
      <c r="T163" s="18">
        <v>100</v>
      </c>
      <c r="U163" s="16"/>
      <c r="V163" s="18">
        <f t="shared" si="39"/>
        <v>2084.9632026231438</v>
      </c>
      <c r="W163" s="16"/>
      <c r="X163" s="18">
        <f t="shared" si="40"/>
        <v>40818.867494296828</v>
      </c>
      <c r="Y163" s="18">
        <f t="shared" si="41"/>
        <v>202.03679737685616</v>
      </c>
      <c r="Z163" s="18"/>
      <c r="AA163" s="18">
        <f t="shared" si="42"/>
        <v>1.9164505564524863E-4</v>
      </c>
    </row>
    <row r="164" spans="2:27" x14ac:dyDescent="0.35">
      <c r="B164" s="26">
        <v>39.400000000000006</v>
      </c>
      <c r="C164" s="26">
        <v>2291</v>
      </c>
      <c r="D164" s="18">
        <f t="shared" si="23"/>
        <v>23.739261547339694</v>
      </c>
      <c r="E164" s="18">
        <f t="shared" si="46"/>
        <v>4.4300899954813326</v>
      </c>
      <c r="F164" s="18">
        <f t="shared" si="46"/>
        <v>1.737414907005955</v>
      </c>
      <c r="G164" s="18">
        <f t="shared" si="46"/>
        <v>1.737414907005955</v>
      </c>
      <c r="H164" s="18">
        <f t="shared" si="46"/>
        <v>1.737414907005955</v>
      </c>
      <c r="I164" s="16"/>
      <c r="J164" s="18">
        <f t="shared" si="34"/>
        <v>20.708707293323933</v>
      </c>
      <c r="K164" s="18">
        <f t="shared" si="35"/>
        <v>3.2510973958672413</v>
      </c>
      <c r="L164" s="18">
        <f t="shared" si="36"/>
        <v>1.4005499360503979</v>
      </c>
      <c r="M164" s="18">
        <f t="shared" si="37"/>
        <v>1.4005499360503979</v>
      </c>
      <c r="N164" s="18">
        <f t="shared" si="38"/>
        <v>1.4005499360503979</v>
      </c>
      <c r="O164" s="16"/>
      <c r="P164" s="18">
        <f t="shared" si="29"/>
        <v>941.38375806920487</v>
      </c>
      <c r="Q164" s="18">
        <f t="shared" si="43"/>
        <v>1026.0469705051059</v>
      </c>
      <c r="R164" s="18">
        <f t="shared" si="44"/>
        <v>0</v>
      </c>
      <c r="S164" s="18">
        <f t="shared" si="45"/>
        <v>0</v>
      </c>
      <c r="T164" s="18">
        <v>100</v>
      </c>
      <c r="U164" s="16"/>
      <c r="V164" s="18">
        <f t="shared" si="39"/>
        <v>2067.4307285743107</v>
      </c>
      <c r="W164" s="16"/>
      <c r="X164" s="18">
        <f t="shared" si="40"/>
        <v>49983.219125813528</v>
      </c>
      <c r="Y164" s="18">
        <f t="shared" si="41"/>
        <v>223.56927142568929</v>
      </c>
      <c r="Z164" s="18"/>
      <c r="AA164" s="18">
        <f t="shared" si="42"/>
        <v>2.1207000912325903E-4</v>
      </c>
    </row>
    <row r="165" spans="2:27" x14ac:dyDescent="0.35">
      <c r="B165" s="26">
        <v>39.700000000000003</v>
      </c>
      <c r="C165" s="26">
        <v>2297</v>
      </c>
      <c r="D165" s="18">
        <f t="shared" si="23"/>
        <v>23.873975175640723</v>
      </c>
      <c r="E165" s="18">
        <f t="shared" si="46"/>
        <v>4.444154956146197</v>
      </c>
      <c r="F165" s="18">
        <f t="shared" si="46"/>
        <v>1.7674149070059548</v>
      </c>
      <c r="G165" s="18">
        <f t="shared" si="46"/>
        <v>1.7674149070059548</v>
      </c>
      <c r="H165" s="18">
        <f t="shared" si="46"/>
        <v>1.7674149070059548</v>
      </c>
      <c r="I165" s="16"/>
      <c r="J165" s="18">
        <f t="shared" si="34"/>
        <v>20.837233707146535</v>
      </c>
      <c r="K165" s="18">
        <f t="shared" si="35"/>
        <v>3.2618579881144267</v>
      </c>
      <c r="L165" s="18">
        <f t="shared" si="36"/>
        <v>1.4180982169048242</v>
      </c>
      <c r="M165" s="18">
        <f t="shared" si="37"/>
        <v>1.4180982169048242</v>
      </c>
      <c r="N165" s="18">
        <f t="shared" si="38"/>
        <v>1.4180982169048242</v>
      </c>
      <c r="O165" s="16"/>
      <c r="P165" s="18">
        <f t="shared" si="29"/>
        <v>930.07071241632696</v>
      </c>
      <c r="Q165" s="18">
        <f t="shared" si="43"/>
        <v>1020.0800506631791</v>
      </c>
      <c r="R165" s="18">
        <f t="shared" si="44"/>
        <v>0</v>
      </c>
      <c r="S165" s="18">
        <f t="shared" si="45"/>
        <v>0</v>
      </c>
      <c r="T165" s="18">
        <v>100</v>
      </c>
      <c r="U165" s="16"/>
      <c r="V165" s="18">
        <f t="shared" si="39"/>
        <v>2050.1507630795059</v>
      </c>
      <c r="W165" s="16"/>
      <c r="X165" s="18">
        <f t="shared" si="40"/>
        <v>60934.545768230251</v>
      </c>
      <c r="Y165" s="18">
        <f t="shared" si="41"/>
        <v>246.84923692049415</v>
      </c>
      <c r="Z165" s="18"/>
      <c r="AA165" s="18">
        <f t="shared" si="42"/>
        <v>2.3415257200584815E-4</v>
      </c>
    </row>
    <row r="166" spans="2:27" x14ac:dyDescent="0.35">
      <c r="B166" s="26">
        <v>40</v>
      </c>
      <c r="C166" s="26">
        <v>2323</v>
      </c>
      <c r="D166" s="18">
        <f t="shared" si="23"/>
        <v>24.008688803941745</v>
      </c>
      <c r="E166" s="18">
        <f t="shared" si="46"/>
        <v>4.4582199168110606</v>
      </c>
      <c r="F166" s="18">
        <f t="shared" si="46"/>
        <v>1.7974149070059542</v>
      </c>
      <c r="G166" s="18">
        <f t="shared" si="46"/>
        <v>1.7974149070059542</v>
      </c>
      <c r="H166" s="18">
        <f t="shared" si="46"/>
        <v>1.7974149070059542</v>
      </c>
      <c r="I166" s="16"/>
      <c r="J166" s="18">
        <f t="shared" si="34"/>
        <v>20.965796435238364</v>
      </c>
      <c r="K166" s="18">
        <f t="shared" si="35"/>
        <v>3.2726269161371389</v>
      </c>
      <c r="L166" s="18">
        <f t="shared" si="36"/>
        <v>1.4357367646845431</v>
      </c>
      <c r="M166" s="18">
        <f t="shared" si="37"/>
        <v>1.4357367646845431</v>
      </c>
      <c r="N166" s="18">
        <f t="shared" si="38"/>
        <v>1.4357367646845431</v>
      </c>
      <c r="O166" s="16"/>
      <c r="P166" s="18">
        <f t="shared" si="29"/>
        <v>918.95730478901169</v>
      </c>
      <c r="Q166" s="18">
        <f t="shared" si="43"/>
        <v>1014.1607714582336</v>
      </c>
      <c r="R166" s="18">
        <f t="shared" si="44"/>
        <v>0</v>
      </c>
      <c r="S166" s="18">
        <f t="shared" si="45"/>
        <v>0</v>
      </c>
      <c r="T166" s="18">
        <v>100</v>
      </c>
      <c r="U166" s="16"/>
      <c r="V166" s="18">
        <f t="shared" si="39"/>
        <v>2033.1180762472454</v>
      </c>
      <c r="W166" s="16"/>
      <c r="X166" s="18">
        <f t="shared" si="40"/>
        <v>84031.529718597812</v>
      </c>
      <c r="Y166" s="18">
        <f t="shared" si="41"/>
        <v>289.88192375275457</v>
      </c>
      <c r="Z166" s="18"/>
      <c r="AA166" s="18">
        <f t="shared" si="42"/>
        <v>2.7497187705130527E-4</v>
      </c>
    </row>
    <row r="167" spans="2:27" x14ac:dyDescent="0.35">
      <c r="B167" s="26">
        <v>40.300000000000011</v>
      </c>
      <c r="C167" s="26">
        <v>2364</v>
      </c>
      <c r="D167" s="18">
        <f t="shared" si="23"/>
        <v>24.14340243224278</v>
      </c>
      <c r="E167" s="18">
        <f t="shared" ref="E167:H167" si="47">D$23-LN(1/D$23)+$B167*D$22</f>
        <v>4.4722848774759258</v>
      </c>
      <c r="F167" s="18">
        <f t="shared" si="47"/>
        <v>1.8274149070059553</v>
      </c>
      <c r="G167" s="18">
        <f t="shared" si="47"/>
        <v>1.8274149070059553</v>
      </c>
      <c r="H167" s="18">
        <f t="shared" si="47"/>
        <v>1.8274149070059553</v>
      </c>
      <c r="I167" s="16"/>
      <c r="J167" s="18">
        <f t="shared" si="34"/>
        <v>21.094395063833598</v>
      </c>
      <c r="K167" s="18">
        <f t="shared" si="35"/>
        <v>3.2834041443772057</v>
      </c>
      <c r="L167" s="18">
        <f t="shared" si="36"/>
        <v>1.453464731095639</v>
      </c>
      <c r="M167" s="18">
        <f t="shared" si="37"/>
        <v>1.453464731095639</v>
      </c>
      <c r="N167" s="18">
        <f t="shared" si="38"/>
        <v>1.453464731095639</v>
      </c>
      <c r="O167" s="16"/>
      <c r="P167" s="18">
        <f t="shared" si="29"/>
        <v>908.03891894361595</v>
      </c>
      <c r="Q167" s="18">
        <f t="shared" si="43"/>
        <v>1008.2886608416421</v>
      </c>
      <c r="R167" s="18">
        <f t="shared" si="44"/>
        <v>0</v>
      </c>
      <c r="S167" s="18">
        <f t="shared" si="45"/>
        <v>0</v>
      </c>
      <c r="T167" s="18">
        <v>100</v>
      </c>
      <c r="U167" s="16"/>
      <c r="V167" s="18">
        <f t="shared" si="39"/>
        <v>2016.327579785258</v>
      </c>
      <c r="W167" s="16"/>
      <c r="X167" s="18">
        <f t="shared" si="40"/>
        <v>120876.11177797617</v>
      </c>
      <c r="Y167" s="18">
        <f t="shared" si="41"/>
        <v>347.67242021474203</v>
      </c>
      <c r="Z167" s="18"/>
      <c r="AA167" s="18">
        <f t="shared" si="42"/>
        <v>3.2978992531785753E-4</v>
      </c>
    </row>
    <row r="168" spans="2:27" x14ac:dyDescent="0.35">
      <c r="B168" s="26">
        <v>40.600000000000009</v>
      </c>
      <c r="C168" s="26">
        <v>2291</v>
      </c>
      <c r="D168" s="18">
        <f t="shared" ref="D168:H231" si="48">C$23-LN(1/C$23)+$B168*C$22</f>
        <v>24.278116060543809</v>
      </c>
      <c r="E168" s="18">
        <f t="shared" si="48"/>
        <v>4.4863498381407902</v>
      </c>
      <c r="F168" s="18">
        <f t="shared" si="48"/>
        <v>1.8574149070059556</v>
      </c>
      <c r="G168" s="18">
        <f t="shared" si="48"/>
        <v>1.8574149070059556</v>
      </c>
      <c r="H168" s="18">
        <f t="shared" si="48"/>
        <v>1.8574149070059556</v>
      </c>
      <c r="I168" s="16"/>
      <c r="J168" s="18">
        <f t="shared" si="34"/>
        <v>21.223029186081277</v>
      </c>
      <c r="K168" s="18">
        <f t="shared" si="35"/>
        <v>3.2941896374689974</v>
      </c>
      <c r="L168" s="18">
        <f t="shared" si="36"/>
        <v>1.4712812721455197</v>
      </c>
      <c r="M168" s="18">
        <f t="shared" si="37"/>
        <v>1.4712812721455197</v>
      </c>
      <c r="N168" s="18">
        <f t="shared" si="38"/>
        <v>1.4712812721455197</v>
      </c>
      <c r="O168" s="16"/>
      <c r="P168" s="18">
        <f t="shared" ref="P168:P231" si="49">(C$21*$A$21*C$23*C$22)/(J168+J168^2)</f>
        <v>897.31107006581806</v>
      </c>
      <c r="Q168" s="18">
        <f t="shared" si="43"/>
        <v>1002.4632522516514</v>
      </c>
      <c r="R168" s="18">
        <f t="shared" si="44"/>
        <v>0</v>
      </c>
      <c r="S168" s="18">
        <f t="shared" si="45"/>
        <v>0</v>
      </c>
      <c r="T168" s="18">
        <v>100</v>
      </c>
      <c r="U168" s="16"/>
      <c r="V168" s="18">
        <f t="shared" si="39"/>
        <v>1999.7743223174693</v>
      </c>
      <c r="W168" s="16"/>
      <c r="X168" s="18">
        <f t="shared" si="40"/>
        <v>84812.39534164923</v>
      </c>
      <c r="Y168" s="18">
        <f t="shared" si="41"/>
        <v>291.22567768253066</v>
      </c>
      <c r="Z168" s="18"/>
      <c r="AA168" s="18">
        <f t="shared" si="42"/>
        <v>2.7624651513698581E-4</v>
      </c>
    </row>
    <row r="169" spans="2:27" x14ac:dyDescent="0.35">
      <c r="B169" s="26">
        <v>41</v>
      </c>
      <c r="C169" s="26">
        <v>2287</v>
      </c>
      <c r="D169" s="18">
        <f t="shared" si="48"/>
        <v>24.457734231611845</v>
      </c>
      <c r="E169" s="18">
        <f t="shared" si="48"/>
        <v>4.5051031190272761</v>
      </c>
      <c r="F169" s="18">
        <f t="shared" si="48"/>
        <v>1.8974149070059547</v>
      </c>
      <c r="G169" s="18">
        <f t="shared" si="48"/>
        <v>1.8974149070059547</v>
      </c>
      <c r="H169" s="18">
        <f t="shared" si="48"/>
        <v>1.8974149070059547</v>
      </c>
      <c r="I169" s="16"/>
      <c r="J169" s="18">
        <f t="shared" si="34"/>
        <v>21.394595870873395</v>
      </c>
      <c r="K169" s="18">
        <f t="shared" si="35"/>
        <v>3.3085830905932894</v>
      </c>
      <c r="L169" s="18">
        <f t="shared" si="36"/>
        <v>1.4951729926862611</v>
      </c>
      <c r="M169" s="18">
        <f t="shared" si="37"/>
        <v>1.4951729926862611</v>
      </c>
      <c r="N169" s="18">
        <f t="shared" si="38"/>
        <v>1.4951729926862611</v>
      </c>
      <c r="O169" s="16"/>
      <c r="P169" s="18">
        <f t="shared" si="49"/>
        <v>883.29614813309627</v>
      </c>
      <c r="Q169" s="18">
        <f t="shared" si="43"/>
        <v>994.76789212214362</v>
      </c>
      <c r="R169" s="18">
        <f t="shared" si="44"/>
        <v>0</v>
      </c>
      <c r="S169" s="18">
        <f t="shared" si="45"/>
        <v>0</v>
      </c>
      <c r="T169" s="18">
        <v>100</v>
      </c>
      <c r="U169" s="16"/>
      <c r="V169" s="18">
        <f t="shared" si="39"/>
        <v>1978.0640402552399</v>
      </c>
      <c r="W169" s="16"/>
      <c r="X169" s="18">
        <f t="shared" si="40"/>
        <v>95441.427223416045</v>
      </c>
      <c r="Y169" s="18">
        <f t="shared" si="41"/>
        <v>308.93595974476011</v>
      </c>
      <c r="Z169" s="18"/>
      <c r="AA169" s="18">
        <f t="shared" si="42"/>
        <v>2.9304587067704654E-4</v>
      </c>
    </row>
    <row r="170" spans="2:27" x14ac:dyDescent="0.35">
      <c r="B170" s="26">
        <v>41.300000000000011</v>
      </c>
      <c r="C170" s="26">
        <v>2261</v>
      </c>
      <c r="D170" s="18">
        <f t="shared" si="48"/>
        <v>24.592447859912873</v>
      </c>
      <c r="E170" s="18">
        <f t="shared" si="48"/>
        <v>4.5191680796921414</v>
      </c>
      <c r="F170" s="18">
        <f t="shared" si="48"/>
        <v>1.9274149070059559</v>
      </c>
      <c r="G170" s="18">
        <f t="shared" si="48"/>
        <v>1.9274149070059559</v>
      </c>
      <c r="H170" s="18">
        <f t="shared" si="48"/>
        <v>1.9274149070059559</v>
      </c>
      <c r="I170" s="16"/>
      <c r="J170" s="18">
        <f t="shared" si="34"/>
        <v>21.523311267163951</v>
      </c>
      <c r="K170" s="18">
        <f t="shared" si="35"/>
        <v>3.3193877318794529</v>
      </c>
      <c r="L170" s="18">
        <f t="shared" si="36"/>
        <v>1.5131929513492242</v>
      </c>
      <c r="M170" s="18">
        <f t="shared" si="37"/>
        <v>1.5131929513492242</v>
      </c>
      <c r="N170" s="18">
        <f t="shared" si="38"/>
        <v>1.5131929513492242</v>
      </c>
      <c r="O170" s="16"/>
      <c r="P170" s="18">
        <f t="shared" si="49"/>
        <v>872.99615000831761</v>
      </c>
      <c r="Q170" s="18">
        <f t="shared" si="43"/>
        <v>989.04967080421295</v>
      </c>
      <c r="R170" s="18">
        <f t="shared" si="44"/>
        <v>0</v>
      </c>
      <c r="S170" s="18">
        <f t="shared" si="45"/>
        <v>0</v>
      </c>
      <c r="T170" s="18">
        <v>100</v>
      </c>
      <c r="U170" s="16"/>
      <c r="V170" s="18">
        <f t="shared" si="39"/>
        <v>1962.0458208125306</v>
      </c>
      <c r="W170" s="16"/>
      <c r="X170" s="18">
        <f t="shared" si="40"/>
        <v>89373.601253653585</v>
      </c>
      <c r="Y170" s="18">
        <f t="shared" si="41"/>
        <v>298.95417918746944</v>
      </c>
      <c r="Z170" s="18"/>
      <c r="AA170" s="18">
        <f t="shared" si="42"/>
        <v>2.8357750196809093E-4</v>
      </c>
    </row>
    <row r="171" spans="2:27" x14ac:dyDescent="0.35">
      <c r="B171" s="26">
        <v>41.600000000000009</v>
      </c>
      <c r="C171" s="26">
        <v>2297</v>
      </c>
      <c r="D171" s="18">
        <f t="shared" si="48"/>
        <v>24.727161488213902</v>
      </c>
      <c r="E171" s="18">
        <f t="shared" si="48"/>
        <v>4.5332330403570058</v>
      </c>
      <c r="F171" s="18">
        <f t="shared" si="48"/>
        <v>1.9574149070059552</v>
      </c>
      <c r="G171" s="18">
        <f t="shared" si="48"/>
        <v>1.9574149070059552</v>
      </c>
      <c r="H171" s="18">
        <f t="shared" si="48"/>
        <v>1.9574149070059552</v>
      </c>
      <c r="I171" s="16"/>
      <c r="J171" s="18">
        <f t="shared" si="34"/>
        <v>21.652060848966894</v>
      </c>
      <c r="K171" s="18">
        <f t="shared" si="35"/>
        <v>3.3302005215084116</v>
      </c>
      <c r="L171" s="18">
        <f t="shared" si="36"/>
        <v>1.5312987049116533</v>
      </c>
      <c r="M171" s="18">
        <f t="shared" si="37"/>
        <v>1.5312987049116533</v>
      </c>
      <c r="N171" s="18">
        <f t="shared" si="38"/>
        <v>1.5312987049116533</v>
      </c>
      <c r="O171" s="16"/>
      <c r="P171" s="18">
        <f t="shared" si="49"/>
        <v>862.87263307756803</v>
      </c>
      <c r="Q171" s="18">
        <f t="shared" si="43"/>
        <v>983.37663501664292</v>
      </c>
      <c r="R171" s="18">
        <f t="shared" si="44"/>
        <v>0</v>
      </c>
      <c r="S171" s="18">
        <f t="shared" si="45"/>
        <v>0</v>
      </c>
      <c r="T171" s="18">
        <v>100</v>
      </c>
      <c r="U171" s="16"/>
      <c r="V171" s="18">
        <f t="shared" si="39"/>
        <v>1946.2492680942109</v>
      </c>
      <c r="W171" s="16"/>
      <c r="X171" s="18">
        <f t="shared" si="40"/>
        <v>123026.07593244671</v>
      </c>
      <c r="Y171" s="18">
        <f t="shared" si="41"/>
        <v>350.75073190578905</v>
      </c>
      <c r="Z171" s="18"/>
      <c r="AA171" s="18">
        <f t="shared" si="42"/>
        <v>3.3270990436614798E-4</v>
      </c>
    </row>
    <row r="172" spans="2:27" x14ac:dyDescent="0.35">
      <c r="B172" s="26">
        <v>41.900000000000006</v>
      </c>
      <c r="C172" s="26">
        <v>2182</v>
      </c>
      <c r="D172" s="18">
        <f t="shared" si="48"/>
        <v>24.861875116514931</v>
      </c>
      <c r="E172" s="18">
        <f t="shared" si="48"/>
        <v>4.5472980010218702</v>
      </c>
      <c r="F172" s="18">
        <f t="shared" si="48"/>
        <v>1.9874149070059546</v>
      </c>
      <c r="G172" s="18">
        <f t="shared" si="48"/>
        <v>1.9874149070059546</v>
      </c>
      <c r="H172" s="18">
        <f t="shared" si="48"/>
        <v>1.9874149070059546</v>
      </c>
      <c r="I172" s="16"/>
      <c r="J172" s="18">
        <f t="shared" si="34"/>
        <v>21.780844237699828</v>
      </c>
      <c r="K172" s="18">
        <f t="shared" si="35"/>
        <v>3.3410214249362267</v>
      </c>
      <c r="L172" s="18">
        <f t="shared" si="36"/>
        <v>1.549489430205969</v>
      </c>
      <c r="M172" s="18">
        <f t="shared" si="37"/>
        <v>1.549489430205969</v>
      </c>
      <c r="N172" s="18">
        <f t="shared" si="38"/>
        <v>1.549489430205969</v>
      </c>
      <c r="O172" s="16"/>
      <c r="P172" s="18">
        <f t="shared" si="49"/>
        <v>852.92163301674384</v>
      </c>
      <c r="Q172" s="18">
        <f t="shared" si="43"/>
        <v>977.74834115436272</v>
      </c>
      <c r="R172" s="18">
        <f t="shared" si="44"/>
        <v>0</v>
      </c>
      <c r="S172" s="18">
        <f t="shared" si="45"/>
        <v>0</v>
      </c>
      <c r="T172" s="18">
        <v>100</v>
      </c>
      <c r="U172" s="16"/>
      <c r="V172" s="18">
        <f t="shared" si="39"/>
        <v>1930.6699741711066</v>
      </c>
      <c r="W172" s="16"/>
      <c r="X172" s="18">
        <f t="shared" si="40"/>
        <v>63166.781883152245</v>
      </c>
      <c r="Y172" s="18">
        <f t="shared" si="41"/>
        <v>251.33002582889344</v>
      </c>
      <c r="Z172" s="18"/>
      <c r="AA172" s="18">
        <f t="shared" si="42"/>
        <v>2.3840289200118561E-4</v>
      </c>
    </row>
    <row r="173" spans="2:27" x14ac:dyDescent="0.35">
      <c r="B173" s="26">
        <v>42.2</v>
      </c>
      <c r="C173" s="26">
        <v>2229</v>
      </c>
      <c r="D173" s="18">
        <f t="shared" si="48"/>
        <v>24.996588744815959</v>
      </c>
      <c r="E173" s="18">
        <f t="shared" si="48"/>
        <v>4.5613629616867346</v>
      </c>
      <c r="F173" s="18">
        <f t="shared" si="48"/>
        <v>2.0174149070059548</v>
      </c>
      <c r="G173" s="18">
        <f t="shared" si="48"/>
        <v>2.0174149070059548</v>
      </c>
      <c r="H173" s="18">
        <f t="shared" si="48"/>
        <v>2.0174149070059548</v>
      </c>
      <c r="I173" s="16"/>
      <c r="J173" s="18">
        <f t="shared" si="34"/>
        <v>21.909661060934166</v>
      </c>
      <c r="K173" s="18">
        <f t="shared" si="35"/>
        <v>3.3518504078056806</v>
      </c>
      <c r="L173" s="18">
        <f t="shared" si="36"/>
        <v>1.5677643093136095</v>
      </c>
      <c r="M173" s="18">
        <f t="shared" si="37"/>
        <v>1.5677643093136095</v>
      </c>
      <c r="N173" s="18">
        <f t="shared" si="38"/>
        <v>1.5677643093136095</v>
      </c>
      <c r="O173" s="16"/>
      <c r="P173" s="18">
        <f t="shared" si="49"/>
        <v>843.13929519878127</v>
      </c>
      <c r="Q173" s="18">
        <f t="shared" si="43"/>
        <v>972.1643507265336</v>
      </c>
      <c r="R173" s="18">
        <f t="shared" si="44"/>
        <v>0</v>
      </c>
      <c r="S173" s="18">
        <f t="shared" si="45"/>
        <v>0</v>
      </c>
      <c r="T173" s="18">
        <v>100</v>
      </c>
      <c r="U173" s="16"/>
      <c r="V173" s="18">
        <f t="shared" si="39"/>
        <v>1915.3036459253149</v>
      </c>
      <c r="W173" s="16"/>
      <c r="X173" s="18">
        <f t="shared" si="40"/>
        <v>98405.402559750219</v>
      </c>
      <c r="Y173" s="18">
        <f t="shared" si="41"/>
        <v>313.69635407468513</v>
      </c>
      <c r="Z173" s="18"/>
      <c r="AA173" s="18">
        <f t="shared" si="42"/>
        <v>2.9756141461803512E-4</v>
      </c>
    </row>
    <row r="174" spans="2:27" x14ac:dyDescent="0.35">
      <c r="B174" s="26">
        <v>42.5</v>
      </c>
      <c r="C174" s="26">
        <v>2210</v>
      </c>
      <c r="D174" s="18">
        <f t="shared" si="48"/>
        <v>25.131302373116988</v>
      </c>
      <c r="E174" s="18">
        <f t="shared" si="48"/>
        <v>4.575427922351599</v>
      </c>
      <c r="F174" s="18">
        <f t="shared" si="48"/>
        <v>2.0474149070059542</v>
      </c>
      <c r="G174" s="18">
        <f t="shared" si="48"/>
        <v>2.0474149070059542</v>
      </c>
      <c r="H174" s="18">
        <f t="shared" si="48"/>
        <v>2.0474149070059542</v>
      </c>
      <c r="I174" s="16"/>
      <c r="J174" s="18">
        <f t="shared" si="34"/>
        <v>22.038510952264168</v>
      </c>
      <c r="K174" s="18">
        <f t="shared" si="35"/>
        <v>3.3626874359451975</v>
      </c>
      <c r="L174" s="18">
        <f t="shared" si="36"/>
        <v>1.5861225297096171</v>
      </c>
      <c r="M174" s="18">
        <f t="shared" si="37"/>
        <v>1.5861225297096171</v>
      </c>
      <c r="N174" s="18">
        <f t="shared" si="38"/>
        <v>1.5861225297096171</v>
      </c>
      <c r="O174" s="16"/>
      <c r="P174" s="18">
        <f t="shared" si="49"/>
        <v>833.52187109868316</v>
      </c>
      <c r="Q174" s="18">
        <f t="shared" si="43"/>
        <v>966.62423028983278</v>
      </c>
      <c r="R174" s="18">
        <f t="shared" si="44"/>
        <v>0</v>
      </c>
      <c r="S174" s="18">
        <f t="shared" si="45"/>
        <v>0</v>
      </c>
      <c r="T174" s="18">
        <v>100</v>
      </c>
      <c r="U174" s="16"/>
      <c r="V174" s="18">
        <f t="shared" si="39"/>
        <v>1900.1461013885159</v>
      </c>
      <c r="W174" s="16"/>
      <c r="X174" s="18">
        <f t="shared" si="40"/>
        <v>96009.438484735845</v>
      </c>
      <c r="Y174" s="18">
        <f t="shared" si="41"/>
        <v>309.85389861148406</v>
      </c>
      <c r="Z174" s="18"/>
      <c r="AA174" s="18">
        <f t="shared" si="42"/>
        <v>2.9391659545330653E-4</v>
      </c>
    </row>
    <row r="175" spans="2:27" x14ac:dyDescent="0.35">
      <c r="B175" s="26">
        <v>42.800000000000011</v>
      </c>
      <c r="C175" s="26">
        <v>2156</v>
      </c>
      <c r="D175" s="18">
        <f t="shared" si="48"/>
        <v>25.266016001418016</v>
      </c>
      <c r="E175" s="18">
        <f t="shared" si="48"/>
        <v>4.5894928830164634</v>
      </c>
      <c r="F175" s="18">
        <f t="shared" si="48"/>
        <v>2.0774149070059553</v>
      </c>
      <c r="G175" s="18">
        <f t="shared" si="48"/>
        <v>2.0774149070059553</v>
      </c>
      <c r="H175" s="18">
        <f t="shared" si="48"/>
        <v>2.0774149070059553</v>
      </c>
      <c r="I175" s="16"/>
      <c r="J175" s="18">
        <f t="shared" si="34"/>
        <v>22.167393551179426</v>
      </c>
      <c r="K175" s="18">
        <f t="shared" si="35"/>
        <v>3.3735324753677713</v>
      </c>
      <c r="L175" s="18">
        <f t="shared" si="36"/>
        <v>1.6045632843976019</v>
      </c>
      <c r="M175" s="18">
        <f t="shared" si="37"/>
        <v>1.6045632843976019</v>
      </c>
      <c r="N175" s="18">
        <f t="shared" si="38"/>
        <v>1.6045632843976019</v>
      </c>
      <c r="O175" s="16"/>
      <c r="P175" s="18">
        <f t="shared" si="49"/>
        <v>824.06571483434516</v>
      </c>
      <c r="Q175" s="18">
        <f t="shared" si="43"/>
        <v>961.12755138269301</v>
      </c>
      <c r="R175" s="18">
        <f t="shared" si="44"/>
        <v>0</v>
      </c>
      <c r="S175" s="18">
        <f t="shared" si="45"/>
        <v>0</v>
      </c>
      <c r="T175" s="18">
        <v>100</v>
      </c>
      <c r="U175" s="16"/>
      <c r="V175" s="18">
        <f t="shared" si="39"/>
        <v>1885.1932662170382</v>
      </c>
      <c r="W175" s="16"/>
      <c r="X175" s="18">
        <f t="shared" si="40"/>
        <v>73336.287062195959</v>
      </c>
      <c r="Y175" s="18">
        <f t="shared" si="41"/>
        <v>270.80673378296183</v>
      </c>
      <c r="Z175" s="18"/>
      <c r="AA175" s="18">
        <f t="shared" si="42"/>
        <v>2.5687781750043169E-4</v>
      </c>
    </row>
    <row r="176" spans="2:27" x14ac:dyDescent="0.35">
      <c r="B176" s="26">
        <v>43.2</v>
      </c>
      <c r="C176" s="26">
        <v>2137</v>
      </c>
      <c r="D176" s="18">
        <f t="shared" si="48"/>
        <v>25.445634172486052</v>
      </c>
      <c r="E176" s="18">
        <f t="shared" si="48"/>
        <v>4.6082461639029493</v>
      </c>
      <c r="F176" s="18">
        <f t="shared" si="48"/>
        <v>2.1174149070059545</v>
      </c>
      <c r="G176" s="18">
        <f t="shared" si="48"/>
        <v>2.1174149070059545</v>
      </c>
      <c r="H176" s="18">
        <f t="shared" si="48"/>
        <v>2.1174149070059545</v>
      </c>
      <c r="I176" s="16"/>
      <c r="J176" s="18">
        <f t="shared" si="34"/>
        <v>22.339287282552121</v>
      </c>
      <c r="K176" s="18">
        <f t="shared" si="35"/>
        <v>3.3880049315275551</v>
      </c>
      <c r="L176" s="18">
        <f t="shared" si="36"/>
        <v>1.629277959784561</v>
      </c>
      <c r="M176" s="18">
        <f t="shared" si="37"/>
        <v>1.629277959784561</v>
      </c>
      <c r="N176" s="18">
        <f t="shared" si="38"/>
        <v>1.629277959784561</v>
      </c>
      <c r="O176" s="16"/>
      <c r="P176" s="18">
        <f t="shared" si="49"/>
        <v>811.7022515912098</v>
      </c>
      <c r="Q176" s="18">
        <f t="shared" si="43"/>
        <v>953.86549053359545</v>
      </c>
      <c r="R176" s="18">
        <f t="shared" si="44"/>
        <v>0</v>
      </c>
      <c r="S176" s="18">
        <f t="shared" si="45"/>
        <v>0</v>
      </c>
      <c r="T176" s="18">
        <v>100</v>
      </c>
      <c r="U176" s="16"/>
      <c r="V176" s="18">
        <f t="shared" si="39"/>
        <v>1865.5677421248051</v>
      </c>
      <c r="W176" s="16"/>
      <c r="X176" s="18">
        <f t="shared" si="40"/>
        <v>73675.470615226281</v>
      </c>
      <c r="Y176" s="18">
        <f t="shared" si="41"/>
        <v>271.43225787519486</v>
      </c>
      <c r="Z176" s="18"/>
      <c r="AA176" s="18">
        <f t="shared" si="42"/>
        <v>2.5747116782581737E-4</v>
      </c>
    </row>
    <row r="177" spans="2:27" x14ac:dyDescent="0.35">
      <c r="B177" s="26">
        <v>43.5</v>
      </c>
      <c r="C177" s="26">
        <v>2148</v>
      </c>
      <c r="D177" s="18">
        <f t="shared" si="48"/>
        <v>25.580347800787081</v>
      </c>
      <c r="E177" s="18">
        <f t="shared" si="48"/>
        <v>4.6223111245678137</v>
      </c>
      <c r="F177" s="18">
        <f t="shared" si="48"/>
        <v>2.1474149070059547</v>
      </c>
      <c r="G177" s="18">
        <f t="shared" si="48"/>
        <v>2.1474149070059547</v>
      </c>
      <c r="H177" s="18">
        <f t="shared" si="48"/>
        <v>2.1474149070059547</v>
      </c>
      <c r="I177" s="16"/>
      <c r="J177" s="18">
        <f t="shared" si="34"/>
        <v>22.468244829373116</v>
      </c>
      <c r="K177" s="18">
        <f t="shared" si="35"/>
        <v>3.3988685328010244</v>
      </c>
      <c r="L177" s="18">
        <f t="shared" si="36"/>
        <v>1.647908188146654</v>
      </c>
      <c r="M177" s="18">
        <f t="shared" si="37"/>
        <v>1.647908188146654</v>
      </c>
      <c r="N177" s="18">
        <f t="shared" si="38"/>
        <v>1.647908188146654</v>
      </c>
      <c r="O177" s="16"/>
      <c r="P177" s="18">
        <f t="shared" si="49"/>
        <v>802.60876040103756</v>
      </c>
      <c r="Q177" s="18">
        <f t="shared" si="43"/>
        <v>948.46853645634201</v>
      </c>
      <c r="R177" s="18">
        <f t="shared" si="44"/>
        <v>0</v>
      </c>
      <c r="S177" s="18">
        <f t="shared" si="45"/>
        <v>0</v>
      </c>
      <c r="T177" s="18">
        <v>100</v>
      </c>
      <c r="U177" s="16"/>
      <c r="V177" s="18">
        <f t="shared" si="39"/>
        <v>1851.0772968573797</v>
      </c>
      <c r="W177" s="16"/>
      <c r="X177" s="18">
        <f t="shared" si="40"/>
        <v>88163.09164152063</v>
      </c>
      <c r="Y177" s="18">
        <f t="shared" si="41"/>
        <v>296.92270314262032</v>
      </c>
      <c r="Z177" s="18"/>
      <c r="AA177" s="18">
        <f t="shared" si="42"/>
        <v>2.8165051468304254E-4</v>
      </c>
    </row>
    <row r="178" spans="2:27" x14ac:dyDescent="0.35">
      <c r="B178" s="26">
        <v>43.800000000000011</v>
      </c>
      <c r="C178" s="26">
        <v>2138</v>
      </c>
      <c r="D178" s="18">
        <f t="shared" si="48"/>
        <v>25.715061429088117</v>
      </c>
      <c r="E178" s="18">
        <f t="shared" si="48"/>
        <v>4.6363760852326781</v>
      </c>
      <c r="F178" s="18">
        <f t="shared" si="48"/>
        <v>2.1774149070059559</v>
      </c>
      <c r="G178" s="18">
        <f t="shared" si="48"/>
        <v>2.1774149070059559</v>
      </c>
      <c r="H178" s="18">
        <f t="shared" si="48"/>
        <v>2.1774149070059559</v>
      </c>
      <c r="I178" s="16"/>
      <c r="J178" s="18">
        <f t="shared" ref="J178:J241" si="50">lmb_2(D178)</f>
        <v>22.597233923084364</v>
      </c>
      <c r="K178" s="18">
        <f t="shared" ref="K178:K241" si="51">lmb_2(E178)</f>
        <v>3.4097400333868513</v>
      </c>
      <c r="L178" s="18">
        <f t="shared" ref="L178:L241" si="52">lmb_2(F178)</f>
        <v>1.6666183022881336</v>
      </c>
      <c r="M178" s="18">
        <f t="shared" ref="M178:M241" si="53">lmb_2(G178)</f>
        <v>1.6666183022881336</v>
      </c>
      <c r="N178" s="18">
        <f t="shared" ref="N178:N241" si="54">lmb_2(H178)</f>
        <v>1.6666183022881336</v>
      </c>
      <c r="O178" s="16"/>
      <c r="P178" s="18">
        <f t="shared" si="49"/>
        <v>793.66508359302873</v>
      </c>
      <c r="Q178" s="18">
        <f t="shared" si="43"/>
        <v>943.11363085749656</v>
      </c>
      <c r="R178" s="18">
        <f t="shared" si="44"/>
        <v>0</v>
      </c>
      <c r="S178" s="18">
        <f t="shared" si="45"/>
        <v>0</v>
      </c>
      <c r="T178" s="18">
        <v>100</v>
      </c>
      <c r="U178" s="16"/>
      <c r="V178" s="18">
        <f t="shared" ref="V178:V241" si="55">SUM(P178:T178)</f>
        <v>1836.7787144505253</v>
      </c>
      <c r="W178" s="16"/>
      <c r="X178" s="18">
        <f t="shared" ref="X178:X241" si="56">(V178-C178)^2</f>
        <v>90734.262868078178</v>
      </c>
      <c r="Y178" s="18">
        <f t="shared" ref="Y178:Y241" si="57">ABS(V178-C178)</f>
        <v>301.22128554947471</v>
      </c>
      <c r="Z178" s="18"/>
      <c r="AA178" s="18">
        <f t="shared" ref="AA178:AA241" si="58">Y178/$Z$39</f>
        <v>2.8572799994935601E-4</v>
      </c>
    </row>
    <row r="179" spans="2:27" x14ac:dyDescent="0.35">
      <c r="B179" s="26">
        <v>44.100000000000009</v>
      </c>
      <c r="C179" s="26">
        <v>2128</v>
      </c>
      <c r="D179" s="18">
        <f t="shared" si="48"/>
        <v>25.849775057389138</v>
      </c>
      <c r="E179" s="18">
        <f t="shared" si="48"/>
        <v>4.6504410458975425</v>
      </c>
      <c r="F179" s="18">
        <f t="shared" si="48"/>
        <v>2.2074149070059552</v>
      </c>
      <c r="G179" s="18">
        <f t="shared" si="48"/>
        <v>2.2074149070059552</v>
      </c>
      <c r="H179" s="18">
        <f t="shared" si="48"/>
        <v>2.2074149070059552</v>
      </c>
      <c r="I179" s="16"/>
      <c r="J179" s="18">
        <f t="shared" si="50"/>
        <v>22.72625422732705</v>
      </c>
      <c r="K179" s="18">
        <f t="shared" si="51"/>
        <v>3.4206194000855459</v>
      </c>
      <c r="L179" s="18">
        <f t="shared" si="52"/>
        <v>1.6854075205089811</v>
      </c>
      <c r="M179" s="18">
        <f t="shared" si="53"/>
        <v>1.6854075205089811</v>
      </c>
      <c r="N179" s="18">
        <f t="shared" si="54"/>
        <v>1.6854075205089811</v>
      </c>
      <c r="O179" s="16"/>
      <c r="P179" s="18">
        <f t="shared" si="49"/>
        <v>784.86798315992814</v>
      </c>
      <c r="Q179" s="18">
        <f t="shared" si="43"/>
        <v>937.8003661259346</v>
      </c>
      <c r="R179" s="18">
        <f t="shared" si="44"/>
        <v>0</v>
      </c>
      <c r="S179" s="18">
        <f t="shared" si="45"/>
        <v>0</v>
      </c>
      <c r="T179" s="18">
        <v>100</v>
      </c>
      <c r="U179" s="16"/>
      <c r="V179" s="18">
        <f t="shared" si="55"/>
        <v>1822.6683492858629</v>
      </c>
      <c r="W179" s="16"/>
      <c r="X179" s="18">
        <f t="shared" si="56"/>
        <v>93227.416927819839</v>
      </c>
      <c r="Y179" s="18">
        <f t="shared" si="57"/>
        <v>305.33165071413714</v>
      </c>
      <c r="Z179" s="18"/>
      <c r="AA179" s="18">
        <f t="shared" si="58"/>
        <v>2.8962694890782067E-4</v>
      </c>
    </row>
    <row r="180" spans="2:27" x14ac:dyDescent="0.35">
      <c r="B180" s="26">
        <v>44.400000000000006</v>
      </c>
      <c r="C180" s="26">
        <v>2165</v>
      </c>
      <c r="D180" s="18">
        <f t="shared" si="48"/>
        <v>25.984488685690167</v>
      </c>
      <c r="E180" s="18">
        <f t="shared" si="48"/>
        <v>4.6645060065624069</v>
      </c>
      <c r="F180" s="18">
        <f t="shared" si="48"/>
        <v>2.2374149070059546</v>
      </c>
      <c r="G180" s="18">
        <f t="shared" si="48"/>
        <v>2.2374149070059546</v>
      </c>
      <c r="H180" s="18">
        <f t="shared" si="48"/>
        <v>2.2374149070059546</v>
      </c>
      <c r="I180" s="16"/>
      <c r="J180" s="18">
        <f t="shared" si="50"/>
        <v>22.855305411011223</v>
      </c>
      <c r="K180" s="18">
        <f t="shared" si="51"/>
        <v>3.4315065998765477</v>
      </c>
      <c r="L180" s="18">
        <f t="shared" si="52"/>
        <v>1.7042750672083211</v>
      </c>
      <c r="M180" s="18">
        <f t="shared" si="53"/>
        <v>1.7042750672083211</v>
      </c>
      <c r="N180" s="18">
        <f t="shared" si="54"/>
        <v>1.7042750672083211</v>
      </c>
      <c r="O180" s="16"/>
      <c r="P180" s="18">
        <f t="shared" si="49"/>
        <v>776.21430735454203</v>
      </c>
      <c r="Q180" s="18">
        <f t="shared" si="43"/>
        <v>932.52833929715121</v>
      </c>
      <c r="R180" s="18">
        <f t="shared" si="44"/>
        <v>0</v>
      </c>
      <c r="S180" s="18">
        <f t="shared" si="45"/>
        <v>0</v>
      </c>
      <c r="T180" s="18">
        <v>100</v>
      </c>
      <c r="U180" s="16"/>
      <c r="V180" s="18">
        <f t="shared" si="55"/>
        <v>1808.7426466516931</v>
      </c>
      <c r="W180" s="16"/>
      <c r="X180" s="18">
        <f t="shared" si="56"/>
        <v>126919.30181474038</v>
      </c>
      <c r="Y180" s="18">
        <f t="shared" si="57"/>
        <v>356.25735334830688</v>
      </c>
      <c r="Z180" s="18"/>
      <c r="AA180" s="18">
        <f t="shared" si="58"/>
        <v>3.3793329330554094E-4</v>
      </c>
    </row>
    <row r="181" spans="2:27" x14ac:dyDescent="0.35">
      <c r="B181" s="26">
        <v>44.7</v>
      </c>
      <c r="C181" s="26">
        <v>2147</v>
      </c>
      <c r="D181" s="18">
        <f t="shared" si="48"/>
        <v>26.119202313991195</v>
      </c>
      <c r="E181" s="18">
        <f t="shared" si="48"/>
        <v>4.6785709672272713</v>
      </c>
      <c r="F181" s="18">
        <f t="shared" si="48"/>
        <v>2.2674149070059548</v>
      </c>
      <c r="G181" s="18">
        <f t="shared" si="48"/>
        <v>2.2674149070059548</v>
      </c>
      <c r="H181" s="18">
        <f t="shared" si="48"/>
        <v>2.2674149070059548</v>
      </c>
      <c r="I181" s="16"/>
      <c r="J181" s="18">
        <f t="shared" si="50"/>
        <v>22.984387148207567</v>
      </c>
      <c r="K181" s="18">
        <f t="shared" si="51"/>
        <v>3.4424015999171798</v>
      </c>
      <c r="L181" s="18">
        <f t="shared" si="52"/>
        <v>1.7232201729658556</v>
      </c>
      <c r="M181" s="18">
        <f t="shared" si="53"/>
        <v>1.7232201729658556</v>
      </c>
      <c r="N181" s="18">
        <f t="shared" si="54"/>
        <v>1.7232201729658556</v>
      </c>
      <c r="O181" s="16"/>
      <c r="P181" s="18">
        <f t="shared" si="49"/>
        <v>767.70098796676973</v>
      </c>
      <c r="Q181" s="18">
        <f t="shared" si="43"/>
        <v>927.29715199323698</v>
      </c>
      <c r="R181" s="18">
        <f t="shared" si="44"/>
        <v>0</v>
      </c>
      <c r="S181" s="18">
        <f t="shared" si="45"/>
        <v>0</v>
      </c>
      <c r="T181" s="18">
        <v>100</v>
      </c>
      <c r="U181" s="16"/>
      <c r="V181" s="18">
        <f t="shared" si="55"/>
        <v>1794.9981399600067</v>
      </c>
      <c r="W181" s="16"/>
      <c r="X181" s="18">
        <f t="shared" si="56"/>
        <v>123905.30947161502</v>
      </c>
      <c r="Y181" s="18">
        <f t="shared" si="57"/>
        <v>352.00186003999329</v>
      </c>
      <c r="Z181" s="18"/>
      <c r="AA181" s="18">
        <f t="shared" si="58"/>
        <v>3.3389668085445103E-4</v>
      </c>
    </row>
    <row r="182" spans="2:27" x14ac:dyDescent="0.35">
      <c r="B182" s="26">
        <v>45.100000000000009</v>
      </c>
      <c r="C182" s="26">
        <v>2054</v>
      </c>
      <c r="D182" s="18">
        <f t="shared" si="48"/>
        <v>26.298820485059238</v>
      </c>
      <c r="E182" s="18">
        <f t="shared" si="48"/>
        <v>4.697324248113758</v>
      </c>
      <c r="F182" s="18">
        <f t="shared" si="48"/>
        <v>2.3074149070059549</v>
      </c>
      <c r="G182" s="18">
        <f t="shared" si="48"/>
        <v>2.3074149070059549</v>
      </c>
      <c r="H182" s="18">
        <f t="shared" si="48"/>
        <v>2.3074149070059549</v>
      </c>
      <c r="I182" s="16"/>
      <c r="J182" s="18">
        <f t="shared" si="50"/>
        <v>23.156543104939782</v>
      </c>
      <c r="K182" s="18">
        <f t="shared" si="51"/>
        <v>3.4569403439255528</v>
      </c>
      <c r="L182" s="18">
        <f t="shared" si="52"/>
        <v>1.7485996432574313</v>
      </c>
      <c r="M182" s="18">
        <f t="shared" si="53"/>
        <v>1.7485996432574313</v>
      </c>
      <c r="N182" s="18">
        <f t="shared" si="54"/>
        <v>1.7485996432574313</v>
      </c>
      <c r="O182" s="16"/>
      <c r="P182" s="18">
        <f t="shared" si="49"/>
        <v>756.56307576301288</v>
      </c>
      <c r="Q182" s="18">
        <f t="shared" si="43"/>
        <v>920.38508365338737</v>
      </c>
      <c r="R182" s="18">
        <f t="shared" si="44"/>
        <v>0</v>
      </c>
      <c r="S182" s="18">
        <f t="shared" si="45"/>
        <v>0</v>
      </c>
      <c r="T182" s="18">
        <v>100</v>
      </c>
      <c r="U182" s="16"/>
      <c r="V182" s="18">
        <f t="shared" si="55"/>
        <v>1776.9481594164004</v>
      </c>
      <c r="W182" s="16"/>
      <c r="X182" s="18">
        <f t="shared" si="56"/>
        <v>76757.722370760312</v>
      </c>
      <c r="Y182" s="18">
        <f t="shared" si="57"/>
        <v>277.05184058359964</v>
      </c>
      <c r="Z182" s="18"/>
      <c r="AA182" s="18">
        <f t="shared" si="58"/>
        <v>2.6280170788009504E-4</v>
      </c>
    </row>
    <row r="183" spans="2:27" x14ac:dyDescent="0.35">
      <c r="B183" s="26">
        <v>45.400000000000006</v>
      </c>
      <c r="C183" s="26">
        <v>2105</v>
      </c>
      <c r="D183" s="18">
        <f t="shared" si="48"/>
        <v>26.43353411336026</v>
      </c>
      <c r="E183" s="18">
        <f t="shared" si="48"/>
        <v>4.7113892087786224</v>
      </c>
      <c r="F183" s="18">
        <f t="shared" si="48"/>
        <v>2.3374149070059551</v>
      </c>
      <c r="G183" s="18">
        <f t="shared" si="48"/>
        <v>2.3374149070059551</v>
      </c>
      <c r="H183" s="18">
        <f t="shared" si="48"/>
        <v>2.3374149070059551</v>
      </c>
      <c r="I183" s="16"/>
      <c r="J183" s="18">
        <f t="shared" si="50"/>
        <v>23.285694894366426</v>
      </c>
      <c r="K183" s="18">
        <f t="shared" si="51"/>
        <v>3.4678534178185991</v>
      </c>
      <c r="L183" s="18">
        <f t="shared" si="52"/>
        <v>1.7677227632197881</v>
      </c>
      <c r="M183" s="18">
        <f t="shared" si="53"/>
        <v>1.7677227632197881</v>
      </c>
      <c r="N183" s="18">
        <f t="shared" si="54"/>
        <v>1.7677227632197881</v>
      </c>
      <c r="O183" s="16"/>
      <c r="P183" s="18">
        <f t="shared" si="49"/>
        <v>748.36577254395047</v>
      </c>
      <c r="Q183" s="18">
        <f t="shared" ref="Q183:Q246" si="59">(D$21*$A$21*D$23*D$22)/(K183+K183^2)</f>
        <v>915.24766464946038</v>
      </c>
      <c r="R183" s="18">
        <f t="shared" ref="R183:R246" si="60">(E$21*$A$21*E$23*E$22)/(L183+L183^2)</f>
        <v>0</v>
      </c>
      <c r="S183" s="18">
        <f t="shared" ref="S183:S246" si="61">(F$21*$A$21*F$23*F$22)/(M183+M183^2)</f>
        <v>0</v>
      </c>
      <c r="T183" s="18">
        <v>100</v>
      </c>
      <c r="U183" s="16"/>
      <c r="V183" s="18">
        <f t="shared" si="55"/>
        <v>1763.6134371934108</v>
      </c>
      <c r="W183" s="16"/>
      <c r="X183" s="18">
        <f t="shared" si="56"/>
        <v>116544.78526489725</v>
      </c>
      <c r="Y183" s="18">
        <f t="shared" si="57"/>
        <v>341.38656280658915</v>
      </c>
      <c r="Z183" s="18"/>
      <c r="AA183" s="18">
        <f t="shared" si="58"/>
        <v>3.2382738033395276E-4</v>
      </c>
    </row>
    <row r="184" spans="2:27" x14ac:dyDescent="0.35">
      <c r="B184" s="26">
        <v>45.7</v>
      </c>
      <c r="C184" s="26">
        <v>1999</v>
      </c>
      <c r="D184" s="18">
        <f t="shared" si="48"/>
        <v>26.568247741661288</v>
      </c>
      <c r="E184" s="18">
        <f t="shared" si="48"/>
        <v>4.7254541694434868</v>
      </c>
      <c r="F184" s="18">
        <f t="shared" si="48"/>
        <v>2.3674149070059545</v>
      </c>
      <c r="G184" s="18">
        <f t="shared" si="48"/>
        <v>2.3674149070059545</v>
      </c>
      <c r="H184" s="18">
        <f t="shared" si="48"/>
        <v>2.3674149070059545</v>
      </c>
      <c r="I184" s="16"/>
      <c r="J184" s="18">
        <f t="shared" si="50"/>
        <v>23.414876186812045</v>
      </c>
      <c r="K184" s="18">
        <f t="shared" si="51"/>
        <v>3.4787741837571198</v>
      </c>
      <c r="L184" s="18">
        <f t="shared" si="52"/>
        <v>1.7869209230428775</v>
      </c>
      <c r="M184" s="18">
        <f t="shared" si="53"/>
        <v>1.7869209230428775</v>
      </c>
      <c r="N184" s="18">
        <f t="shared" si="54"/>
        <v>1.7869209230428775</v>
      </c>
      <c r="O184" s="16"/>
      <c r="P184" s="18">
        <f t="shared" si="49"/>
        <v>740.29916871417004</v>
      </c>
      <c r="Q184" s="18">
        <f t="shared" si="59"/>
        <v>910.14978961600798</v>
      </c>
      <c r="R184" s="18">
        <f t="shared" si="60"/>
        <v>0</v>
      </c>
      <c r="S184" s="18">
        <f t="shared" si="61"/>
        <v>0</v>
      </c>
      <c r="T184" s="18">
        <v>100</v>
      </c>
      <c r="U184" s="16"/>
      <c r="V184" s="18">
        <f t="shared" si="55"/>
        <v>1750.4489583301779</v>
      </c>
      <c r="W184" s="16"/>
      <c r="X184" s="18">
        <f t="shared" si="56"/>
        <v>61777.620315153639</v>
      </c>
      <c r="Y184" s="18">
        <f t="shared" si="57"/>
        <v>248.5510416698221</v>
      </c>
      <c r="Z184" s="18"/>
      <c r="AA184" s="18">
        <f t="shared" si="58"/>
        <v>2.3576684460428949E-4</v>
      </c>
    </row>
    <row r="185" spans="2:27" x14ac:dyDescent="0.35">
      <c r="B185" s="26">
        <v>46</v>
      </c>
      <c r="C185" s="26">
        <v>2057</v>
      </c>
      <c r="D185" s="18">
        <f t="shared" si="48"/>
        <v>26.702961369962317</v>
      </c>
      <c r="E185" s="18">
        <f t="shared" si="48"/>
        <v>4.7395191301083512</v>
      </c>
      <c r="F185" s="18">
        <f t="shared" si="48"/>
        <v>2.3974149070059547</v>
      </c>
      <c r="G185" s="18">
        <f t="shared" si="48"/>
        <v>2.3974149070059547</v>
      </c>
      <c r="H185" s="18">
        <f t="shared" si="48"/>
        <v>2.3974149070059547</v>
      </c>
      <c r="I185" s="16"/>
      <c r="J185" s="18">
        <f t="shared" si="50"/>
        <v>23.54408667752562</v>
      </c>
      <c r="K185" s="18">
        <f t="shared" si="51"/>
        <v>3.4897026096573422</v>
      </c>
      <c r="L185" s="18">
        <f t="shared" si="52"/>
        <v>1.806193380856995</v>
      </c>
      <c r="M185" s="18">
        <f t="shared" si="53"/>
        <v>1.806193380856995</v>
      </c>
      <c r="N185" s="18">
        <f t="shared" si="54"/>
        <v>1.806193380856995</v>
      </c>
      <c r="O185" s="16"/>
      <c r="P185" s="18">
        <f t="shared" si="49"/>
        <v>732.36052892918781</v>
      </c>
      <c r="Q185" s="18">
        <f t="shared" si="59"/>
        <v>905.0910793773312</v>
      </c>
      <c r="R185" s="18">
        <f t="shared" si="60"/>
        <v>0</v>
      </c>
      <c r="S185" s="18">
        <f t="shared" si="61"/>
        <v>0</v>
      </c>
      <c r="T185" s="18">
        <v>100</v>
      </c>
      <c r="U185" s="16"/>
      <c r="V185" s="18">
        <f t="shared" si="55"/>
        <v>1737.4516083065191</v>
      </c>
      <c r="W185" s="16"/>
      <c r="X185" s="18">
        <f t="shared" si="56"/>
        <v>102111.17463389027</v>
      </c>
      <c r="Y185" s="18">
        <f t="shared" si="57"/>
        <v>319.54839169348088</v>
      </c>
      <c r="Z185" s="18"/>
      <c r="AA185" s="18">
        <f t="shared" si="58"/>
        <v>3.0311245328848218E-4</v>
      </c>
    </row>
    <row r="186" spans="2:27" x14ac:dyDescent="0.35">
      <c r="B186" s="26">
        <v>46.300000000000011</v>
      </c>
      <c r="C186" s="26">
        <v>1987</v>
      </c>
      <c r="D186" s="18">
        <f t="shared" si="48"/>
        <v>26.837674998263353</v>
      </c>
      <c r="E186" s="18">
        <f t="shared" si="48"/>
        <v>4.7535840907732165</v>
      </c>
      <c r="F186" s="18">
        <f t="shared" si="48"/>
        <v>2.4274149070059559</v>
      </c>
      <c r="G186" s="18">
        <f t="shared" si="48"/>
        <v>2.4274149070059559</v>
      </c>
      <c r="H186" s="18">
        <f t="shared" si="48"/>
        <v>2.4274149070059559</v>
      </c>
      <c r="I186" s="16"/>
      <c r="J186" s="18">
        <f t="shared" si="50"/>
        <v>23.673326066384284</v>
      </c>
      <c r="K186" s="18">
        <f t="shared" si="51"/>
        <v>3.500638663607901</v>
      </c>
      <c r="L186" s="18">
        <f t="shared" si="52"/>
        <v>1.8255394012904931</v>
      </c>
      <c r="M186" s="18">
        <f t="shared" si="53"/>
        <v>1.8255394012904931</v>
      </c>
      <c r="N186" s="18">
        <f t="shared" si="54"/>
        <v>1.8255394012904931</v>
      </c>
      <c r="O186" s="16"/>
      <c r="P186" s="18">
        <f t="shared" si="49"/>
        <v>724.54718843741261</v>
      </c>
      <c r="Q186" s="18">
        <f t="shared" si="59"/>
        <v>900.07115903831459</v>
      </c>
      <c r="R186" s="18">
        <f t="shared" si="60"/>
        <v>0</v>
      </c>
      <c r="S186" s="18">
        <f t="shared" si="61"/>
        <v>0</v>
      </c>
      <c r="T186" s="18">
        <v>100</v>
      </c>
      <c r="U186" s="16"/>
      <c r="V186" s="18">
        <f t="shared" si="55"/>
        <v>1724.6183474757272</v>
      </c>
      <c r="W186" s="16"/>
      <c r="X186" s="18">
        <f t="shared" si="56"/>
        <v>68844.13158136823</v>
      </c>
      <c r="Y186" s="18">
        <f t="shared" si="57"/>
        <v>262.38165252427279</v>
      </c>
      <c r="Z186" s="18"/>
      <c r="AA186" s="18">
        <f t="shared" si="58"/>
        <v>2.4888607942300878E-4</v>
      </c>
    </row>
    <row r="187" spans="2:27" x14ac:dyDescent="0.35">
      <c r="B187" s="26">
        <v>46.600000000000009</v>
      </c>
      <c r="C187" s="26">
        <v>2006</v>
      </c>
      <c r="D187" s="18">
        <f t="shared" si="48"/>
        <v>26.972388626564374</v>
      </c>
      <c r="E187" s="18">
        <f t="shared" si="48"/>
        <v>4.7676490514380809</v>
      </c>
      <c r="F187" s="18">
        <f t="shared" si="48"/>
        <v>2.4574149070059552</v>
      </c>
      <c r="G187" s="18">
        <f t="shared" si="48"/>
        <v>2.4574149070059552</v>
      </c>
      <c r="H187" s="18">
        <f t="shared" si="48"/>
        <v>2.4574149070059552</v>
      </c>
      <c r="I187" s="16"/>
      <c r="J187" s="18">
        <f t="shared" si="50"/>
        <v>23.802594057801105</v>
      </c>
      <c r="K187" s="18">
        <f t="shared" si="51"/>
        <v>3.5115823138688236</v>
      </c>
      <c r="L187" s="18">
        <f t="shared" si="52"/>
        <v>1.8449582555095252</v>
      </c>
      <c r="M187" s="18">
        <f t="shared" si="53"/>
        <v>1.8449582555095252</v>
      </c>
      <c r="N187" s="18">
        <f t="shared" si="54"/>
        <v>1.8449582555095252</v>
      </c>
      <c r="O187" s="16"/>
      <c r="P187" s="18">
        <f t="shared" si="49"/>
        <v>716.85655092045135</v>
      </c>
      <c r="Q187" s="18">
        <f t="shared" si="59"/>
        <v>895.08965792959953</v>
      </c>
      <c r="R187" s="18">
        <f t="shared" si="60"/>
        <v>0</v>
      </c>
      <c r="S187" s="18">
        <f t="shared" si="61"/>
        <v>0</v>
      </c>
      <c r="T187" s="18">
        <v>100</v>
      </c>
      <c r="U187" s="16"/>
      <c r="V187" s="18">
        <f t="shared" si="55"/>
        <v>1711.9462088500509</v>
      </c>
      <c r="W187" s="16"/>
      <c r="X187" s="18">
        <f t="shared" si="56"/>
        <v>86467.632089657898</v>
      </c>
      <c r="Y187" s="18">
        <f t="shared" si="57"/>
        <v>294.05379114994912</v>
      </c>
      <c r="Z187" s="18"/>
      <c r="AA187" s="18">
        <f t="shared" si="58"/>
        <v>2.7892916488134656E-4</v>
      </c>
    </row>
    <row r="188" spans="2:27" x14ac:dyDescent="0.35">
      <c r="B188" s="26">
        <v>46.900000000000006</v>
      </c>
      <c r="C188" s="26">
        <v>1997</v>
      </c>
      <c r="D188" s="18">
        <f t="shared" si="48"/>
        <v>27.107102254865403</v>
      </c>
      <c r="E188" s="18">
        <f t="shared" si="48"/>
        <v>4.7817140121029453</v>
      </c>
      <c r="F188" s="18">
        <f t="shared" si="48"/>
        <v>2.4874149070059546</v>
      </c>
      <c r="G188" s="18">
        <f t="shared" si="48"/>
        <v>2.4874149070059546</v>
      </c>
      <c r="H188" s="18">
        <f t="shared" si="48"/>
        <v>2.4874149070059546</v>
      </c>
      <c r="I188" s="16"/>
      <c r="J188" s="18">
        <f t="shared" si="50"/>
        <v>23.93189036063529</v>
      </c>
      <c r="K188" s="18">
        <f t="shared" si="51"/>
        <v>3.522533528870528</v>
      </c>
      <c r="L188" s="18">
        <f t="shared" si="52"/>
        <v>1.8644492212521848</v>
      </c>
      <c r="M188" s="18">
        <f t="shared" si="53"/>
        <v>1.8644492212521848</v>
      </c>
      <c r="N188" s="18">
        <f t="shared" si="54"/>
        <v>1.8644492212521848</v>
      </c>
      <c r="O188" s="16"/>
      <c r="P188" s="18">
        <f t="shared" si="49"/>
        <v>709.28608640962875</v>
      </c>
      <c r="Q188" s="18">
        <f t="shared" si="59"/>
        <v>890.14620955352973</v>
      </c>
      <c r="R188" s="18">
        <f t="shared" si="60"/>
        <v>0</v>
      </c>
      <c r="S188" s="18">
        <f t="shared" si="61"/>
        <v>0</v>
      </c>
      <c r="T188" s="18">
        <v>100</v>
      </c>
      <c r="U188" s="16"/>
      <c r="V188" s="18">
        <f t="shared" si="55"/>
        <v>1699.4322959631586</v>
      </c>
      <c r="W188" s="16"/>
      <c r="X188" s="18">
        <f t="shared" si="56"/>
        <v>88546.538485757235</v>
      </c>
      <c r="Y188" s="18">
        <f t="shared" si="57"/>
        <v>297.56770403684141</v>
      </c>
      <c r="Z188" s="18"/>
      <c r="AA188" s="18">
        <f t="shared" si="58"/>
        <v>2.8226234002312481E-4</v>
      </c>
    </row>
    <row r="189" spans="2:27" x14ac:dyDescent="0.35">
      <c r="B189" s="26">
        <v>47.300000000000011</v>
      </c>
      <c r="C189" s="26">
        <v>1961</v>
      </c>
      <c r="D189" s="18">
        <f t="shared" si="48"/>
        <v>27.286720425933446</v>
      </c>
      <c r="E189" s="18">
        <f t="shared" si="48"/>
        <v>4.8004672929894312</v>
      </c>
      <c r="F189" s="18">
        <f t="shared" si="48"/>
        <v>2.5274149070059555</v>
      </c>
      <c r="G189" s="18">
        <f t="shared" si="48"/>
        <v>2.5274149070059555</v>
      </c>
      <c r="H189" s="18">
        <f t="shared" si="48"/>
        <v>2.5274149070059555</v>
      </c>
      <c r="I189" s="16"/>
      <c r="J189" s="18">
        <f t="shared" si="50"/>
        <v>24.104328976007114</v>
      </c>
      <c r="K189" s="18">
        <f t="shared" si="51"/>
        <v>3.5371468619996786</v>
      </c>
      <c r="L189" s="18">
        <f t="shared" si="52"/>
        <v>1.8905481130653807</v>
      </c>
      <c r="M189" s="18">
        <f t="shared" si="53"/>
        <v>1.8905481130653807</v>
      </c>
      <c r="N189" s="18">
        <f t="shared" si="54"/>
        <v>1.8905481130653807</v>
      </c>
      <c r="O189" s="16"/>
      <c r="P189" s="18">
        <f t="shared" si="49"/>
        <v>699.37481695833685</v>
      </c>
      <c r="Q189" s="18">
        <f t="shared" si="59"/>
        <v>883.61351244390517</v>
      </c>
      <c r="R189" s="18">
        <f t="shared" si="60"/>
        <v>0</v>
      </c>
      <c r="S189" s="18">
        <f t="shared" si="61"/>
        <v>0</v>
      </c>
      <c r="T189" s="18">
        <v>100</v>
      </c>
      <c r="U189" s="16"/>
      <c r="V189" s="18">
        <f t="shared" si="55"/>
        <v>1682.988329402242</v>
      </c>
      <c r="W189" s="16"/>
      <c r="X189" s="18">
        <f t="shared" si="56"/>
        <v>77290.488988556288</v>
      </c>
      <c r="Y189" s="18">
        <f t="shared" si="57"/>
        <v>278.01167059775798</v>
      </c>
      <c r="Z189" s="18"/>
      <c r="AA189" s="18">
        <f t="shared" si="58"/>
        <v>2.6371216913696321E-4</v>
      </c>
    </row>
    <row r="190" spans="2:27" x14ac:dyDescent="0.35">
      <c r="B190" s="26">
        <v>47.600000000000009</v>
      </c>
      <c r="C190" s="26">
        <v>2055</v>
      </c>
      <c r="D190" s="18">
        <f t="shared" si="48"/>
        <v>27.421434054234474</v>
      </c>
      <c r="E190" s="18">
        <f t="shared" si="48"/>
        <v>4.8145322536542956</v>
      </c>
      <c r="F190" s="18">
        <f t="shared" si="48"/>
        <v>2.5574149070059549</v>
      </c>
      <c r="G190" s="18">
        <f t="shared" si="48"/>
        <v>2.5574149070059549</v>
      </c>
      <c r="H190" s="18">
        <f t="shared" si="48"/>
        <v>2.5574149070059549</v>
      </c>
      <c r="I190" s="16"/>
      <c r="J190" s="18">
        <f t="shared" si="50"/>
        <v>24.233690230923148</v>
      </c>
      <c r="K190" s="18">
        <f t="shared" si="51"/>
        <v>3.5481156062422361</v>
      </c>
      <c r="L190" s="18">
        <f t="shared" si="52"/>
        <v>1.9102045673552253</v>
      </c>
      <c r="M190" s="18">
        <f t="shared" si="53"/>
        <v>1.9102045673552253</v>
      </c>
      <c r="N190" s="18">
        <f t="shared" si="54"/>
        <v>1.9102045673552253</v>
      </c>
      <c r="O190" s="16"/>
      <c r="P190" s="18">
        <f t="shared" si="49"/>
        <v>692.07527515022832</v>
      </c>
      <c r="Q190" s="18">
        <f t="shared" si="59"/>
        <v>878.75745154471326</v>
      </c>
      <c r="R190" s="18">
        <f t="shared" si="60"/>
        <v>0</v>
      </c>
      <c r="S190" s="18">
        <f t="shared" si="61"/>
        <v>0</v>
      </c>
      <c r="T190" s="18">
        <v>100</v>
      </c>
      <c r="U190" s="16"/>
      <c r="V190" s="18">
        <f t="shared" si="55"/>
        <v>1670.8327266949416</v>
      </c>
      <c r="W190" s="16"/>
      <c r="X190" s="18">
        <f t="shared" si="56"/>
        <v>147584.49387864344</v>
      </c>
      <c r="Y190" s="18">
        <f t="shared" si="57"/>
        <v>384.16727330505842</v>
      </c>
      <c r="Z190" s="18"/>
      <c r="AA190" s="18">
        <f t="shared" si="58"/>
        <v>3.6440766942222948E-4</v>
      </c>
    </row>
    <row r="191" spans="2:27" x14ac:dyDescent="0.35">
      <c r="B191" s="26">
        <v>47.900000000000006</v>
      </c>
      <c r="C191" s="26">
        <v>2018</v>
      </c>
      <c r="D191" s="18">
        <f t="shared" si="48"/>
        <v>27.556147682535503</v>
      </c>
      <c r="E191" s="18">
        <f t="shared" si="48"/>
        <v>4.82859721431916</v>
      </c>
      <c r="F191" s="18">
        <f t="shared" si="48"/>
        <v>2.5874149070059551</v>
      </c>
      <c r="G191" s="18">
        <f t="shared" si="48"/>
        <v>2.5874149070059551</v>
      </c>
      <c r="H191" s="18">
        <f t="shared" si="48"/>
        <v>2.5874149070059551</v>
      </c>
      <c r="I191" s="16"/>
      <c r="J191" s="18">
        <f t="shared" si="50"/>
        <v>24.363078857787578</v>
      </c>
      <c r="K191" s="18">
        <f t="shared" si="51"/>
        <v>3.5590918112113936</v>
      </c>
      <c r="L191" s="18">
        <f t="shared" si="52"/>
        <v>1.9299307734244517</v>
      </c>
      <c r="M191" s="18">
        <f t="shared" si="53"/>
        <v>1.9299307734244517</v>
      </c>
      <c r="N191" s="18">
        <f t="shared" si="54"/>
        <v>1.9299307734244517</v>
      </c>
      <c r="O191" s="16"/>
      <c r="P191" s="18">
        <f t="shared" si="49"/>
        <v>684.88792702146702</v>
      </c>
      <c r="Q191" s="18">
        <f t="shared" si="59"/>
        <v>873.93825116970049</v>
      </c>
      <c r="R191" s="18">
        <f t="shared" si="60"/>
        <v>0</v>
      </c>
      <c r="S191" s="18">
        <f t="shared" si="61"/>
        <v>0</v>
      </c>
      <c r="T191" s="18">
        <v>100</v>
      </c>
      <c r="U191" s="16"/>
      <c r="V191" s="18">
        <f t="shared" si="55"/>
        <v>1658.8261781911674</v>
      </c>
      <c r="W191" s="16"/>
      <c r="X191" s="18">
        <f t="shared" si="56"/>
        <v>129005.83427276304</v>
      </c>
      <c r="Y191" s="18">
        <f t="shared" si="57"/>
        <v>359.1738218088326</v>
      </c>
      <c r="Z191" s="18"/>
      <c r="AA191" s="18">
        <f t="shared" si="58"/>
        <v>3.4069975351309662E-4</v>
      </c>
    </row>
    <row r="192" spans="2:27" x14ac:dyDescent="0.35">
      <c r="B192" s="26">
        <v>48.2</v>
      </c>
      <c r="C192" s="26">
        <v>1948</v>
      </c>
      <c r="D192" s="18">
        <f t="shared" si="48"/>
        <v>27.690861310836524</v>
      </c>
      <c r="E192" s="18">
        <f t="shared" si="48"/>
        <v>4.8426621749840244</v>
      </c>
      <c r="F192" s="18">
        <f t="shared" si="48"/>
        <v>2.6174149070059545</v>
      </c>
      <c r="G192" s="18">
        <f t="shared" si="48"/>
        <v>2.6174149070059545</v>
      </c>
      <c r="H192" s="18">
        <f t="shared" si="48"/>
        <v>2.6174149070059545</v>
      </c>
      <c r="I192" s="16"/>
      <c r="J192" s="18">
        <f t="shared" si="50"/>
        <v>24.492494583739443</v>
      </c>
      <c r="K192" s="18">
        <f t="shared" si="51"/>
        <v>3.5700754460644082</v>
      </c>
      <c r="L192" s="18">
        <f t="shared" si="52"/>
        <v>1.9497260377579109</v>
      </c>
      <c r="M192" s="18">
        <f t="shared" si="53"/>
        <v>1.9497260377579109</v>
      </c>
      <c r="N192" s="18">
        <f t="shared" si="54"/>
        <v>1.9497260377579109</v>
      </c>
      <c r="O192" s="16"/>
      <c r="P192" s="18">
        <f t="shared" si="49"/>
        <v>677.81050777056953</v>
      </c>
      <c r="Q192" s="18">
        <f t="shared" si="59"/>
        <v>869.15556229238587</v>
      </c>
      <c r="R192" s="18">
        <f t="shared" si="60"/>
        <v>0</v>
      </c>
      <c r="S192" s="18">
        <f t="shared" si="61"/>
        <v>0</v>
      </c>
      <c r="T192" s="18">
        <v>100</v>
      </c>
      <c r="U192" s="16"/>
      <c r="V192" s="18">
        <f t="shared" si="55"/>
        <v>1646.9660700629554</v>
      </c>
      <c r="W192" s="16"/>
      <c r="X192" s="18">
        <f t="shared" si="56"/>
        <v>90621.426973341484</v>
      </c>
      <c r="Y192" s="18">
        <f t="shared" si="57"/>
        <v>301.0339299370446</v>
      </c>
      <c r="Z192" s="18"/>
      <c r="AA192" s="18">
        <f t="shared" si="58"/>
        <v>2.855502809534315E-4</v>
      </c>
    </row>
    <row r="193" spans="2:27" x14ac:dyDescent="0.35">
      <c r="B193" s="26">
        <v>48.5</v>
      </c>
      <c r="C193" s="26">
        <v>1936</v>
      </c>
      <c r="D193" s="18">
        <f t="shared" si="48"/>
        <v>27.825574939137553</v>
      </c>
      <c r="E193" s="18">
        <f t="shared" si="48"/>
        <v>4.8567271356488888</v>
      </c>
      <c r="F193" s="18">
        <f t="shared" si="48"/>
        <v>2.6474149070059547</v>
      </c>
      <c r="G193" s="18">
        <f t="shared" si="48"/>
        <v>2.6474149070059547</v>
      </c>
      <c r="H193" s="18">
        <f t="shared" si="48"/>
        <v>2.6474149070059547</v>
      </c>
      <c r="I193" s="16"/>
      <c r="J193" s="18">
        <f t="shared" si="50"/>
        <v>24.621937139920018</v>
      </c>
      <c r="K193" s="18">
        <f t="shared" si="51"/>
        <v>3.5810664801236411</v>
      </c>
      <c r="L193" s="18">
        <f t="shared" si="52"/>
        <v>1.9695896735095353</v>
      </c>
      <c r="M193" s="18">
        <f t="shared" si="53"/>
        <v>1.9695896735095353</v>
      </c>
      <c r="N193" s="18">
        <f t="shared" si="54"/>
        <v>1.9695896735095353</v>
      </c>
      <c r="O193" s="16"/>
      <c r="P193" s="18">
        <f t="shared" si="49"/>
        <v>670.84080900153447</v>
      </c>
      <c r="Q193" s="18">
        <f t="shared" si="59"/>
        <v>864.40903978233041</v>
      </c>
      <c r="R193" s="18">
        <f t="shared" si="60"/>
        <v>0</v>
      </c>
      <c r="S193" s="18">
        <f t="shared" si="61"/>
        <v>0</v>
      </c>
      <c r="T193" s="18">
        <v>100</v>
      </c>
      <c r="U193" s="16"/>
      <c r="V193" s="18">
        <f t="shared" si="55"/>
        <v>1635.2498487838648</v>
      </c>
      <c r="W193" s="16"/>
      <c r="X193" s="18">
        <f t="shared" si="56"/>
        <v>90450.653456528205</v>
      </c>
      <c r="Y193" s="18">
        <f t="shared" si="57"/>
        <v>300.75015121613524</v>
      </c>
      <c r="Z193" s="18"/>
      <c r="AA193" s="18">
        <f t="shared" si="58"/>
        <v>2.8528109836161797E-4</v>
      </c>
    </row>
    <row r="194" spans="2:27" x14ac:dyDescent="0.35">
      <c r="B194" s="26">
        <v>48.800000000000011</v>
      </c>
      <c r="C194" s="26">
        <v>1879</v>
      </c>
      <c r="D194" s="18">
        <f t="shared" si="48"/>
        <v>27.960288567438589</v>
      </c>
      <c r="E194" s="18">
        <f t="shared" si="48"/>
        <v>4.8707920963137532</v>
      </c>
      <c r="F194" s="18">
        <f t="shared" si="48"/>
        <v>2.6774149070059559</v>
      </c>
      <c r="G194" s="18">
        <f t="shared" si="48"/>
        <v>2.6774149070059559</v>
      </c>
      <c r="H194" s="18">
        <f t="shared" si="48"/>
        <v>2.6774149070059559</v>
      </c>
      <c r="I194" s="16"/>
      <c r="J194" s="18">
        <f t="shared" si="50"/>
        <v>24.751406261395754</v>
      </c>
      <c r="K194" s="18">
        <f t="shared" si="51"/>
        <v>3.592064882875583</v>
      </c>
      <c r="L194" s="18">
        <f t="shared" si="52"/>
        <v>1.9895210005063668</v>
      </c>
      <c r="M194" s="18">
        <f t="shared" si="53"/>
        <v>1.9895210005063668</v>
      </c>
      <c r="N194" s="18">
        <f t="shared" si="54"/>
        <v>1.9895210005063668</v>
      </c>
      <c r="O194" s="16"/>
      <c r="P194" s="18">
        <f t="shared" si="49"/>
        <v>663.9766770577786</v>
      </c>
      <c r="Q194" s="18">
        <f t="shared" si="59"/>
        <v>859.69834235572694</v>
      </c>
      <c r="R194" s="18">
        <f t="shared" si="60"/>
        <v>0</v>
      </c>
      <c r="S194" s="18">
        <f t="shared" si="61"/>
        <v>0</v>
      </c>
      <c r="T194" s="18">
        <v>100</v>
      </c>
      <c r="U194" s="16"/>
      <c r="V194" s="18">
        <f t="shared" si="55"/>
        <v>1623.6750194135057</v>
      </c>
      <c r="W194" s="16"/>
      <c r="X194" s="18">
        <f t="shared" si="56"/>
        <v>65190.845711493719</v>
      </c>
      <c r="Y194" s="18">
        <f t="shared" si="57"/>
        <v>255.32498058649435</v>
      </c>
      <c r="Z194" s="18"/>
      <c r="AA194" s="18">
        <f t="shared" si="58"/>
        <v>2.4219236667491343E-4</v>
      </c>
    </row>
    <row r="195" spans="2:27" x14ac:dyDescent="0.35">
      <c r="B195" s="26">
        <v>49.100000000000009</v>
      </c>
      <c r="C195" s="26">
        <v>1887</v>
      </c>
      <c r="D195" s="18">
        <f t="shared" si="48"/>
        <v>28.095002195739617</v>
      </c>
      <c r="E195" s="18">
        <f t="shared" si="48"/>
        <v>4.8848570569786176</v>
      </c>
      <c r="F195" s="18">
        <f t="shared" si="48"/>
        <v>2.7074149070059552</v>
      </c>
      <c r="G195" s="18">
        <f t="shared" si="48"/>
        <v>2.7074149070059552</v>
      </c>
      <c r="H195" s="18">
        <f t="shared" si="48"/>
        <v>2.7074149070059552</v>
      </c>
      <c r="I195" s="16"/>
      <c r="J195" s="18">
        <f t="shared" si="50"/>
        <v>24.880901687083096</v>
      </c>
      <c r="K195" s="18">
        <f t="shared" si="51"/>
        <v>3.603070623969884</v>
      </c>
      <c r="L195" s="18">
        <f t="shared" si="52"/>
        <v>2.0095193452486222</v>
      </c>
      <c r="M195" s="18">
        <f t="shared" si="53"/>
        <v>2.0095193452486222</v>
      </c>
      <c r="N195" s="18">
        <f t="shared" si="54"/>
        <v>2.0095193452486222</v>
      </c>
      <c r="O195" s="16"/>
      <c r="P195" s="18">
        <f t="shared" si="49"/>
        <v>657.21601141286817</v>
      </c>
      <c r="Q195" s="18">
        <f t="shared" si="59"/>
        <v>855.02313252668591</v>
      </c>
      <c r="R195" s="18">
        <f t="shared" si="60"/>
        <v>0</v>
      </c>
      <c r="S195" s="18">
        <f t="shared" si="61"/>
        <v>0</v>
      </c>
      <c r="T195" s="18">
        <v>100</v>
      </c>
      <c r="U195" s="16"/>
      <c r="V195" s="18">
        <f t="shared" si="55"/>
        <v>1612.2391439395542</v>
      </c>
      <c r="W195" s="16"/>
      <c r="X195" s="18">
        <f t="shared" si="56"/>
        <v>75493.528023069011</v>
      </c>
      <c r="Y195" s="18">
        <f t="shared" si="57"/>
        <v>274.7608560604458</v>
      </c>
      <c r="Z195" s="18"/>
      <c r="AA195" s="18">
        <f t="shared" si="58"/>
        <v>2.6062855990842502E-4</v>
      </c>
    </row>
    <row r="196" spans="2:27" x14ac:dyDescent="0.35">
      <c r="B196" s="26">
        <v>49.5</v>
      </c>
      <c r="C196" s="26">
        <v>1916</v>
      </c>
      <c r="D196" s="18">
        <f t="shared" si="48"/>
        <v>28.274620366807646</v>
      </c>
      <c r="E196" s="18">
        <f t="shared" si="48"/>
        <v>4.9036103378651035</v>
      </c>
      <c r="F196" s="18">
        <f t="shared" si="48"/>
        <v>2.7474149070059544</v>
      </c>
      <c r="G196" s="18">
        <f t="shared" si="48"/>
        <v>2.7474149070059544</v>
      </c>
      <c r="H196" s="18">
        <f t="shared" si="48"/>
        <v>2.7474149070059544</v>
      </c>
      <c r="I196" s="16"/>
      <c r="J196" s="18">
        <f t="shared" si="50"/>
        <v>25.05360272813563</v>
      </c>
      <c r="K196" s="18">
        <f t="shared" si="51"/>
        <v>3.6177563084743576</v>
      </c>
      <c r="L196" s="18">
        <f t="shared" si="52"/>
        <v>2.0362869031447253</v>
      </c>
      <c r="M196" s="18">
        <f t="shared" si="53"/>
        <v>2.0362869031447253</v>
      </c>
      <c r="N196" s="18">
        <f t="shared" si="54"/>
        <v>2.0362869031447253</v>
      </c>
      <c r="O196" s="16"/>
      <c r="P196" s="18">
        <f t="shared" si="49"/>
        <v>648.35920397261327</v>
      </c>
      <c r="Q196" s="18">
        <f t="shared" si="59"/>
        <v>848.8441460573589</v>
      </c>
      <c r="R196" s="18">
        <f t="shared" si="60"/>
        <v>0</v>
      </c>
      <c r="S196" s="18">
        <f t="shared" si="61"/>
        <v>0</v>
      </c>
      <c r="T196" s="18">
        <v>100</v>
      </c>
      <c r="U196" s="16"/>
      <c r="V196" s="18">
        <f t="shared" si="55"/>
        <v>1597.2033500299722</v>
      </c>
      <c r="W196" s="16"/>
      <c r="X196" s="18">
        <f t="shared" si="56"/>
        <v>101631.30403211244</v>
      </c>
      <c r="Y196" s="18">
        <f t="shared" si="57"/>
        <v>318.79664997002783</v>
      </c>
      <c r="Z196" s="18"/>
      <c r="AA196" s="18">
        <f t="shared" si="58"/>
        <v>3.0239937732265556E-4</v>
      </c>
    </row>
    <row r="197" spans="2:27" x14ac:dyDescent="0.35">
      <c r="B197" s="26">
        <v>49.800000000000011</v>
      </c>
      <c r="C197" s="26">
        <v>1877</v>
      </c>
      <c r="D197" s="18">
        <f t="shared" si="48"/>
        <v>28.409333995108682</v>
      </c>
      <c r="E197" s="18">
        <f t="shared" si="48"/>
        <v>4.9176752985299688</v>
      </c>
      <c r="F197" s="18">
        <f t="shared" si="48"/>
        <v>2.7774149070059555</v>
      </c>
      <c r="G197" s="18">
        <f t="shared" si="48"/>
        <v>2.7774149070059555</v>
      </c>
      <c r="H197" s="18">
        <f t="shared" si="48"/>
        <v>2.7774149070059555</v>
      </c>
      <c r="I197" s="16"/>
      <c r="J197" s="18">
        <f t="shared" si="50"/>
        <v>25.183158536071993</v>
      </c>
      <c r="K197" s="18">
        <f t="shared" si="51"/>
        <v>3.6287790552476502</v>
      </c>
      <c r="L197" s="18">
        <f t="shared" si="52"/>
        <v>2.0564390409107376</v>
      </c>
      <c r="M197" s="18">
        <f t="shared" si="53"/>
        <v>2.0564390409107376</v>
      </c>
      <c r="N197" s="18">
        <f t="shared" si="54"/>
        <v>2.0564390409107376</v>
      </c>
      <c r="O197" s="16"/>
      <c r="P197" s="18">
        <f t="shared" si="49"/>
        <v>641.8320778855574</v>
      </c>
      <c r="Q197" s="18">
        <f t="shared" si="59"/>
        <v>844.2504491530633</v>
      </c>
      <c r="R197" s="18">
        <f t="shared" si="60"/>
        <v>0</v>
      </c>
      <c r="S197" s="18">
        <f t="shared" si="61"/>
        <v>0</v>
      </c>
      <c r="T197" s="18">
        <v>100</v>
      </c>
      <c r="U197" s="16"/>
      <c r="V197" s="18">
        <f t="shared" si="55"/>
        <v>1586.0825270386208</v>
      </c>
      <c r="W197" s="16"/>
      <c r="X197" s="18">
        <f t="shared" si="56"/>
        <v>84632.976074234786</v>
      </c>
      <c r="Y197" s="18">
        <f t="shared" si="57"/>
        <v>290.91747296137919</v>
      </c>
      <c r="Z197" s="18"/>
      <c r="AA197" s="18">
        <f t="shared" si="58"/>
        <v>2.7595416289372078E-4</v>
      </c>
    </row>
    <row r="198" spans="2:27" x14ac:dyDescent="0.35">
      <c r="B198" s="26">
        <v>50.100000000000009</v>
      </c>
      <c r="C198" s="26">
        <v>1844</v>
      </c>
      <c r="D198" s="18">
        <f t="shared" si="48"/>
        <v>28.54404762340971</v>
      </c>
      <c r="E198" s="18">
        <f t="shared" si="48"/>
        <v>4.9317402591948332</v>
      </c>
      <c r="F198" s="18">
        <f t="shared" si="48"/>
        <v>2.8074149070059558</v>
      </c>
      <c r="G198" s="18">
        <f t="shared" si="48"/>
        <v>2.8074149070059558</v>
      </c>
      <c r="H198" s="18">
        <f t="shared" si="48"/>
        <v>2.8074149070059558</v>
      </c>
      <c r="I198" s="16"/>
      <c r="J198" s="18">
        <f t="shared" si="50"/>
        <v>25.312739804817269</v>
      </c>
      <c r="K198" s="18">
        <f t="shared" si="51"/>
        <v>3.6398090403614858</v>
      </c>
      <c r="L198" s="18">
        <f t="shared" si="52"/>
        <v>2.0766559995440512</v>
      </c>
      <c r="M198" s="18">
        <f t="shared" si="53"/>
        <v>2.0766559995440512</v>
      </c>
      <c r="N198" s="18">
        <f t="shared" si="54"/>
        <v>2.0766559995440512</v>
      </c>
      <c r="O198" s="16"/>
      <c r="P198" s="18">
        <f t="shared" si="49"/>
        <v>635.40178048847076</v>
      </c>
      <c r="Q198" s="18">
        <f t="shared" si="59"/>
        <v>839.69114171104923</v>
      </c>
      <c r="R198" s="18">
        <f t="shared" si="60"/>
        <v>0</v>
      </c>
      <c r="S198" s="18">
        <f t="shared" si="61"/>
        <v>0</v>
      </c>
      <c r="T198" s="18">
        <v>100</v>
      </c>
      <c r="U198" s="16"/>
      <c r="V198" s="18">
        <f t="shared" si="55"/>
        <v>1575.09292219952</v>
      </c>
      <c r="W198" s="16"/>
      <c r="X198" s="18">
        <f t="shared" si="56"/>
        <v>72311.016491193412</v>
      </c>
      <c r="Y198" s="18">
        <f t="shared" si="57"/>
        <v>268.90707780048001</v>
      </c>
      <c r="Z198" s="18"/>
      <c r="AA198" s="18">
        <f t="shared" si="58"/>
        <v>2.5507587012650612E-4</v>
      </c>
    </row>
    <row r="199" spans="2:27" x14ac:dyDescent="0.35">
      <c r="B199" s="26">
        <v>50.400000000000006</v>
      </c>
      <c r="C199" s="26">
        <v>1808</v>
      </c>
      <c r="D199" s="18">
        <f t="shared" si="48"/>
        <v>28.678761251710739</v>
      </c>
      <c r="E199" s="18">
        <f t="shared" si="48"/>
        <v>4.9458052198596976</v>
      </c>
      <c r="F199" s="18">
        <f t="shared" si="48"/>
        <v>2.8374149070059551</v>
      </c>
      <c r="G199" s="18">
        <f t="shared" si="48"/>
        <v>2.8374149070059551</v>
      </c>
      <c r="H199" s="18">
        <f t="shared" si="48"/>
        <v>2.8374149070059551</v>
      </c>
      <c r="I199" s="16"/>
      <c r="J199" s="18">
        <f t="shared" si="50"/>
        <v>25.442346289144709</v>
      </c>
      <c r="K199" s="18">
        <f t="shared" si="51"/>
        <v>3.6508462341614507</v>
      </c>
      <c r="L199" s="18">
        <f t="shared" si="52"/>
        <v>2.0969371343745693</v>
      </c>
      <c r="M199" s="18">
        <f t="shared" si="53"/>
        <v>2.0969371343745693</v>
      </c>
      <c r="N199" s="18">
        <f t="shared" si="54"/>
        <v>2.0969371343745693</v>
      </c>
      <c r="O199" s="16"/>
      <c r="P199" s="18">
        <f t="shared" si="49"/>
        <v>629.06642417989565</v>
      </c>
      <c r="Q199" s="18">
        <f t="shared" si="59"/>
        <v>835.16590215656413</v>
      </c>
      <c r="R199" s="18">
        <f t="shared" si="60"/>
        <v>0</v>
      </c>
      <c r="S199" s="18">
        <f t="shared" si="61"/>
        <v>0</v>
      </c>
      <c r="T199" s="18">
        <v>100</v>
      </c>
      <c r="U199" s="16"/>
      <c r="V199" s="18">
        <f t="shared" si="55"/>
        <v>1564.2323263364597</v>
      </c>
      <c r="W199" s="16"/>
      <c r="X199" s="18">
        <f t="shared" si="56"/>
        <v>59422.678723334298</v>
      </c>
      <c r="Y199" s="18">
        <f t="shared" si="57"/>
        <v>243.76767366354034</v>
      </c>
      <c r="Z199" s="18"/>
      <c r="AA199" s="18">
        <f t="shared" si="58"/>
        <v>2.3122950863560627E-4</v>
      </c>
    </row>
    <row r="200" spans="2:27" x14ac:dyDescent="0.35">
      <c r="B200" s="26">
        <v>50.7</v>
      </c>
      <c r="C200" s="26">
        <v>1881</v>
      </c>
      <c r="D200" s="18">
        <f t="shared" si="48"/>
        <v>28.813474880011761</v>
      </c>
      <c r="E200" s="18">
        <f t="shared" si="48"/>
        <v>4.959870180524562</v>
      </c>
      <c r="F200" s="18">
        <f t="shared" si="48"/>
        <v>2.8674149070059545</v>
      </c>
      <c r="G200" s="18">
        <f t="shared" si="48"/>
        <v>2.8674149070059545</v>
      </c>
      <c r="H200" s="18">
        <f t="shared" si="48"/>
        <v>2.8674149070059545</v>
      </c>
      <c r="I200" s="16"/>
      <c r="J200" s="18">
        <f t="shared" si="50"/>
        <v>25.571977747305322</v>
      </c>
      <c r="K200" s="18">
        <f t="shared" si="51"/>
        <v>3.6618906071512014</v>
      </c>
      <c r="L200" s="18">
        <f t="shared" si="52"/>
        <v>2.1172818073465516</v>
      </c>
      <c r="M200" s="18">
        <f t="shared" si="53"/>
        <v>2.1172818073465516</v>
      </c>
      <c r="N200" s="18">
        <f t="shared" si="54"/>
        <v>2.1172818073465516</v>
      </c>
      <c r="O200" s="16"/>
      <c r="P200" s="18">
        <f t="shared" si="49"/>
        <v>622.82416677862761</v>
      </c>
      <c r="Q200" s="18">
        <f t="shared" si="59"/>
        <v>830.67441246422948</v>
      </c>
      <c r="R200" s="18">
        <f t="shared" si="60"/>
        <v>0</v>
      </c>
      <c r="S200" s="18">
        <f t="shared" si="61"/>
        <v>0</v>
      </c>
      <c r="T200" s="18">
        <v>100</v>
      </c>
      <c r="U200" s="16"/>
      <c r="V200" s="18">
        <f t="shared" si="55"/>
        <v>1553.498579242857</v>
      </c>
      <c r="W200" s="16"/>
      <c r="X200" s="18">
        <f t="shared" si="56"/>
        <v>107257.18059794723</v>
      </c>
      <c r="Y200" s="18">
        <f t="shared" si="57"/>
        <v>327.50142075714302</v>
      </c>
      <c r="Z200" s="18"/>
      <c r="AA200" s="18">
        <f t="shared" si="58"/>
        <v>3.1065641912660037E-4</v>
      </c>
    </row>
    <row r="201" spans="2:27" x14ac:dyDescent="0.35">
      <c r="B201" s="26">
        <v>51</v>
      </c>
      <c r="C201" s="26">
        <v>1833</v>
      </c>
      <c r="D201" s="18">
        <f t="shared" si="48"/>
        <v>28.948188508312789</v>
      </c>
      <c r="E201" s="18">
        <f t="shared" si="48"/>
        <v>4.9739351411894264</v>
      </c>
      <c r="F201" s="18">
        <f t="shared" si="48"/>
        <v>2.8974149070059547</v>
      </c>
      <c r="G201" s="18">
        <f t="shared" si="48"/>
        <v>2.8974149070059547</v>
      </c>
      <c r="H201" s="18">
        <f t="shared" si="48"/>
        <v>2.8974149070059547</v>
      </c>
      <c r="I201" s="16"/>
      <c r="J201" s="18">
        <f t="shared" si="50"/>
        <v>25.701633940963191</v>
      </c>
      <c r="K201" s="18">
        <f t="shared" si="51"/>
        <v>3.6729421299915268</v>
      </c>
      <c r="L201" s="18">
        <f t="shared" si="52"/>
        <v>2.1376893869978524</v>
      </c>
      <c r="M201" s="18">
        <f t="shared" si="53"/>
        <v>2.1376893869978524</v>
      </c>
      <c r="N201" s="18">
        <f t="shared" si="54"/>
        <v>2.1376893869978524</v>
      </c>
      <c r="O201" s="16"/>
      <c r="P201" s="18">
        <f t="shared" si="49"/>
        <v>616.67321022697865</v>
      </c>
      <c r="Q201" s="18">
        <f t="shared" si="59"/>
        <v>826.21635811347471</v>
      </c>
      <c r="R201" s="18">
        <f t="shared" si="60"/>
        <v>0</v>
      </c>
      <c r="S201" s="18">
        <f t="shared" si="61"/>
        <v>0</v>
      </c>
      <c r="T201" s="18">
        <v>100</v>
      </c>
      <c r="U201" s="16"/>
      <c r="V201" s="18">
        <f t="shared" si="55"/>
        <v>1542.8895683404535</v>
      </c>
      <c r="W201" s="16"/>
      <c r="X201" s="18">
        <f t="shared" si="56"/>
        <v>84164.062557688405</v>
      </c>
      <c r="Y201" s="18">
        <f t="shared" si="57"/>
        <v>290.11043165954652</v>
      </c>
      <c r="Z201" s="18"/>
      <c r="AA201" s="18">
        <f t="shared" si="58"/>
        <v>2.7518863167759662E-4</v>
      </c>
    </row>
    <row r="202" spans="2:27" x14ac:dyDescent="0.35">
      <c r="B202" s="26">
        <v>51.400000000000006</v>
      </c>
      <c r="C202" s="26">
        <v>1827</v>
      </c>
      <c r="D202" s="18">
        <f t="shared" si="48"/>
        <v>29.127806679380832</v>
      </c>
      <c r="E202" s="18">
        <f t="shared" si="48"/>
        <v>4.9926884220759131</v>
      </c>
      <c r="F202" s="18">
        <f t="shared" si="48"/>
        <v>2.9374149070059548</v>
      </c>
      <c r="G202" s="18">
        <f t="shared" si="48"/>
        <v>2.9374149070059548</v>
      </c>
      <c r="H202" s="18">
        <f t="shared" si="48"/>
        <v>2.9374149070059548</v>
      </c>
      <c r="I202" s="16"/>
      <c r="J202" s="18">
        <f t="shared" si="50"/>
        <v>25.874546937606322</v>
      </c>
      <c r="K202" s="18">
        <f t="shared" si="51"/>
        <v>3.6876885653510167</v>
      </c>
      <c r="L202" s="18">
        <f t="shared" si="52"/>
        <v>2.1649962689169717</v>
      </c>
      <c r="M202" s="18">
        <f t="shared" si="53"/>
        <v>2.1649962689169717</v>
      </c>
      <c r="N202" s="18">
        <f t="shared" si="54"/>
        <v>2.1649962689169717</v>
      </c>
      <c r="O202" s="16"/>
      <c r="P202" s="18">
        <f t="shared" si="49"/>
        <v>608.61093073275811</v>
      </c>
      <c r="Q202" s="18">
        <f t="shared" si="59"/>
        <v>820.32375903614673</v>
      </c>
      <c r="R202" s="18">
        <f t="shared" si="60"/>
        <v>0</v>
      </c>
      <c r="S202" s="18">
        <f t="shared" si="61"/>
        <v>0</v>
      </c>
      <c r="T202" s="18">
        <v>100</v>
      </c>
      <c r="U202" s="16"/>
      <c r="V202" s="18">
        <f t="shared" si="55"/>
        <v>1528.9346897689047</v>
      </c>
      <c r="W202" s="16"/>
      <c r="X202" s="18">
        <f t="shared" si="56"/>
        <v>88842.929163159075</v>
      </c>
      <c r="Y202" s="18">
        <f t="shared" si="57"/>
        <v>298.06531023109528</v>
      </c>
      <c r="Z202" s="18"/>
      <c r="AA202" s="18">
        <f t="shared" si="58"/>
        <v>2.82734351894355E-4</v>
      </c>
    </row>
    <row r="203" spans="2:27" x14ac:dyDescent="0.35">
      <c r="B203" s="26">
        <v>51.7</v>
      </c>
      <c r="C203" s="26">
        <v>1802</v>
      </c>
      <c r="D203" s="18">
        <f t="shared" si="48"/>
        <v>29.262520307681861</v>
      </c>
      <c r="E203" s="18">
        <f t="shared" si="48"/>
        <v>5.0067533827407775</v>
      </c>
      <c r="F203" s="18">
        <f t="shared" si="48"/>
        <v>2.967414907005955</v>
      </c>
      <c r="G203" s="18">
        <f t="shared" si="48"/>
        <v>2.967414907005955</v>
      </c>
      <c r="H203" s="18">
        <f t="shared" si="48"/>
        <v>2.967414907005955</v>
      </c>
      <c r="I203" s="16"/>
      <c r="J203" s="18">
        <f t="shared" si="50"/>
        <v>26.004259939263484</v>
      </c>
      <c r="K203" s="18">
        <f t="shared" si="51"/>
        <v>3.6987566579547568</v>
      </c>
      <c r="L203" s="18">
        <f t="shared" si="52"/>
        <v>2.1855482119914393</v>
      </c>
      <c r="M203" s="18">
        <f t="shared" si="53"/>
        <v>2.1855482119914393</v>
      </c>
      <c r="N203" s="18">
        <f t="shared" si="54"/>
        <v>2.1855482119914393</v>
      </c>
      <c r="O203" s="16"/>
      <c r="P203" s="18">
        <f t="shared" si="49"/>
        <v>602.66625559464944</v>
      </c>
      <c r="Q203" s="18">
        <f t="shared" si="59"/>
        <v>815.94251670644439</v>
      </c>
      <c r="R203" s="18">
        <f t="shared" si="60"/>
        <v>0</v>
      </c>
      <c r="S203" s="18">
        <f t="shared" si="61"/>
        <v>0</v>
      </c>
      <c r="T203" s="18">
        <v>100</v>
      </c>
      <c r="U203" s="16"/>
      <c r="V203" s="18">
        <f t="shared" si="55"/>
        <v>1518.6087723010937</v>
      </c>
      <c r="W203" s="16"/>
      <c r="X203" s="18">
        <f t="shared" si="56"/>
        <v>80310.587936693351</v>
      </c>
      <c r="Y203" s="18">
        <f t="shared" si="57"/>
        <v>283.39122769890628</v>
      </c>
      <c r="Z203" s="18"/>
      <c r="AA203" s="18">
        <f t="shared" si="58"/>
        <v>2.6881502927621458E-4</v>
      </c>
    </row>
    <row r="204" spans="2:27" x14ac:dyDescent="0.35">
      <c r="B204" s="26">
        <v>52</v>
      </c>
      <c r="C204" s="26">
        <v>1763</v>
      </c>
      <c r="D204" s="18">
        <f t="shared" si="48"/>
        <v>29.397233935982889</v>
      </c>
      <c r="E204" s="18">
        <f t="shared" si="48"/>
        <v>5.0208183434056419</v>
      </c>
      <c r="F204" s="18">
        <f t="shared" si="48"/>
        <v>2.9974149070059544</v>
      </c>
      <c r="G204" s="18">
        <f t="shared" si="48"/>
        <v>2.9974149070059544</v>
      </c>
      <c r="H204" s="18">
        <f t="shared" si="48"/>
        <v>2.9974149070059544</v>
      </c>
      <c r="I204" s="16"/>
      <c r="J204" s="18">
        <f t="shared" si="50"/>
        <v>26.133996905812936</v>
      </c>
      <c r="K204" s="18">
        <f t="shared" si="51"/>
        <v>3.7098318037345961</v>
      </c>
      <c r="L204" s="18">
        <f t="shared" si="52"/>
        <v>2.2061610041723005</v>
      </c>
      <c r="M204" s="18">
        <f t="shared" si="53"/>
        <v>2.2061610041723005</v>
      </c>
      <c r="N204" s="18">
        <f t="shared" si="54"/>
        <v>2.2061610041723005</v>
      </c>
      <c r="O204" s="16"/>
      <c r="P204" s="18">
        <f t="shared" si="49"/>
        <v>596.80719065493065</v>
      </c>
      <c r="Q204" s="18">
        <f t="shared" si="59"/>
        <v>811.59368606924033</v>
      </c>
      <c r="R204" s="18">
        <f t="shared" si="60"/>
        <v>0</v>
      </c>
      <c r="S204" s="18">
        <f t="shared" si="61"/>
        <v>0</v>
      </c>
      <c r="T204" s="18">
        <v>100</v>
      </c>
      <c r="U204" s="16"/>
      <c r="V204" s="18">
        <f t="shared" si="55"/>
        <v>1508.400876724171</v>
      </c>
      <c r="W204" s="16"/>
      <c r="X204" s="18">
        <f t="shared" si="56"/>
        <v>64820.71357282078</v>
      </c>
      <c r="Y204" s="18">
        <f t="shared" si="57"/>
        <v>254.59912327582902</v>
      </c>
      <c r="Z204" s="18"/>
      <c r="AA204" s="18">
        <f t="shared" si="58"/>
        <v>2.4150384375978579E-4</v>
      </c>
    </row>
    <row r="205" spans="2:27" x14ac:dyDescent="0.35">
      <c r="B205" s="26">
        <v>52.300000000000011</v>
      </c>
      <c r="C205" s="26">
        <v>1838</v>
      </c>
      <c r="D205" s="18">
        <f t="shared" si="48"/>
        <v>29.531947564283918</v>
      </c>
      <c r="E205" s="18">
        <f t="shared" si="48"/>
        <v>5.0348833040705063</v>
      </c>
      <c r="F205" s="18">
        <f t="shared" si="48"/>
        <v>3.0274149070059555</v>
      </c>
      <c r="G205" s="18">
        <f t="shared" si="48"/>
        <v>3.0274149070059555</v>
      </c>
      <c r="H205" s="18">
        <f t="shared" si="48"/>
        <v>3.0274149070059555</v>
      </c>
      <c r="I205" s="16"/>
      <c r="J205" s="18">
        <f t="shared" si="50"/>
        <v>26.263757612995786</v>
      </c>
      <c r="K205" s="18">
        <f t="shared" si="51"/>
        <v>3.7209139740215078</v>
      </c>
      <c r="L205" s="18">
        <f t="shared" si="52"/>
        <v>2.2268340422675177</v>
      </c>
      <c r="M205" s="18">
        <f t="shared" si="53"/>
        <v>2.2268340422675177</v>
      </c>
      <c r="N205" s="18">
        <f t="shared" si="54"/>
        <v>2.2268340422675177</v>
      </c>
      <c r="O205" s="16"/>
      <c r="P205" s="18">
        <f t="shared" si="49"/>
        <v>591.03211508429604</v>
      </c>
      <c r="Q205" s="18">
        <f t="shared" si="59"/>
        <v>807.2769672914194</v>
      </c>
      <c r="R205" s="18">
        <f t="shared" si="60"/>
        <v>0</v>
      </c>
      <c r="S205" s="18">
        <f t="shared" si="61"/>
        <v>0</v>
      </c>
      <c r="T205" s="18">
        <v>100</v>
      </c>
      <c r="U205" s="16"/>
      <c r="V205" s="18">
        <f t="shared" si="55"/>
        <v>1498.3090823757154</v>
      </c>
      <c r="W205" s="16"/>
      <c r="X205" s="18">
        <f t="shared" si="56"/>
        <v>115389.91951642848</v>
      </c>
      <c r="Y205" s="18">
        <f t="shared" si="57"/>
        <v>339.69091762428457</v>
      </c>
      <c r="Z205" s="18"/>
      <c r="AA205" s="18">
        <f t="shared" si="58"/>
        <v>3.2221895048584339E-4</v>
      </c>
    </row>
    <row r="206" spans="2:27" x14ac:dyDescent="0.35">
      <c r="B206" s="26">
        <v>52.600000000000009</v>
      </c>
      <c r="C206" s="26">
        <v>1840</v>
      </c>
      <c r="D206" s="18">
        <f t="shared" si="48"/>
        <v>29.666661192584947</v>
      </c>
      <c r="E206" s="18">
        <f t="shared" si="48"/>
        <v>5.0489482647353707</v>
      </c>
      <c r="F206" s="18">
        <f t="shared" si="48"/>
        <v>3.0574149070059558</v>
      </c>
      <c r="G206" s="18">
        <f t="shared" si="48"/>
        <v>3.0574149070059558</v>
      </c>
      <c r="H206" s="18">
        <f t="shared" si="48"/>
        <v>3.0574149070059558</v>
      </c>
      <c r="I206" s="16"/>
      <c r="J206" s="18">
        <f t="shared" si="50"/>
        <v>26.393541839644985</v>
      </c>
      <c r="K206" s="18">
        <f t="shared" si="51"/>
        <v>3.7320031402986773</v>
      </c>
      <c r="L206" s="18">
        <f t="shared" si="52"/>
        <v>2.2475667295263149</v>
      </c>
      <c r="M206" s="18">
        <f t="shared" si="53"/>
        <v>2.2475667295263149</v>
      </c>
      <c r="N206" s="18">
        <f t="shared" si="54"/>
        <v>2.2475667295263149</v>
      </c>
      <c r="O206" s="16"/>
      <c r="P206" s="18">
        <f t="shared" si="49"/>
        <v>585.33944594536342</v>
      </c>
      <c r="Q206" s="18">
        <f t="shared" si="59"/>
        <v>802.99206381723343</v>
      </c>
      <c r="R206" s="18">
        <f t="shared" si="60"/>
        <v>0</v>
      </c>
      <c r="S206" s="18">
        <f t="shared" si="61"/>
        <v>0</v>
      </c>
      <c r="T206" s="18">
        <v>100</v>
      </c>
      <c r="U206" s="16"/>
      <c r="V206" s="18">
        <f t="shared" si="55"/>
        <v>1488.3315097625969</v>
      </c>
      <c r="W206" s="16"/>
      <c r="X206" s="18">
        <f t="shared" si="56"/>
        <v>123670.72702585452</v>
      </c>
      <c r="Y206" s="18">
        <f t="shared" si="57"/>
        <v>351.66849023740315</v>
      </c>
      <c r="Z206" s="18"/>
      <c r="AA206" s="18">
        <f t="shared" si="58"/>
        <v>3.3358045789310276E-4</v>
      </c>
    </row>
    <row r="207" spans="2:27" x14ac:dyDescent="0.35">
      <c r="B207" s="26">
        <v>52.900000000000006</v>
      </c>
      <c r="C207" s="26">
        <v>1852</v>
      </c>
      <c r="D207" s="18">
        <f t="shared" si="48"/>
        <v>29.801374820885975</v>
      </c>
      <c r="E207" s="18">
        <f t="shared" si="48"/>
        <v>5.0630132254002351</v>
      </c>
      <c r="F207" s="18">
        <f t="shared" si="48"/>
        <v>3.0874149070059551</v>
      </c>
      <c r="G207" s="18">
        <f t="shared" si="48"/>
        <v>3.0874149070059551</v>
      </c>
      <c r="H207" s="18">
        <f t="shared" si="48"/>
        <v>3.0874149070059551</v>
      </c>
      <c r="I207" s="16"/>
      <c r="J207" s="18">
        <f t="shared" si="50"/>
        <v>26.523349367629347</v>
      </c>
      <c r="K207" s="18">
        <f t="shared" si="51"/>
        <v>3.7430992742005955</v>
      </c>
      <c r="L207" s="18">
        <f t="shared" si="52"/>
        <v>2.2683584756038946</v>
      </c>
      <c r="M207" s="18">
        <f t="shared" si="53"/>
        <v>2.2683584756038946</v>
      </c>
      <c r="N207" s="18">
        <f t="shared" si="54"/>
        <v>2.2683584756038946</v>
      </c>
      <c r="O207" s="16"/>
      <c r="P207" s="18">
        <f t="shared" si="49"/>
        <v>579.72763714127984</v>
      </c>
      <c r="Q207" s="18">
        <f t="shared" si="59"/>
        <v>798.73868232750578</v>
      </c>
      <c r="R207" s="18">
        <f t="shared" si="60"/>
        <v>0</v>
      </c>
      <c r="S207" s="18">
        <f t="shared" si="61"/>
        <v>0</v>
      </c>
      <c r="T207" s="18">
        <v>100</v>
      </c>
      <c r="U207" s="16"/>
      <c r="V207" s="18">
        <f t="shared" si="55"/>
        <v>1478.4663194687855</v>
      </c>
      <c r="W207" s="16"/>
      <c r="X207" s="18">
        <f t="shared" si="56"/>
        <v>139527.41049119539</v>
      </c>
      <c r="Y207" s="18">
        <f t="shared" si="57"/>
        <v>373.53368053121449</v>
      </c>
      <c r="Z207" s="18"/>
      <c r="AA207" s="18">
        <f t="shared" si="58"/>
        <v>3.5432101439051753E-4</v>
      </c>
    </row>
    <row r="208" spans="2:27" x14ac:dyDescent="0.35">
      <c r="B208" s="26">
        <v>53.2</v>
      </c>
      <c r="C208" s="26">
        <v>1745</v>
      </c>
      <c r="D208" s="18">
        <f t="shared" si="48"/>
        <v>29.936088449187004</v>
      </c>
      <c r="E208" s="18">
        <f t="shared" si="48"/>
        <v>5.0770781860650995</v>
      </c>
      <c r="F208" s="18">
        <f t="shared" si="48"/>
        <v>3.1174149070059545</v>
      </c>
      <c r="G208" s="18">
        <f t="shared" si="48"/>
        <v>3.1174149070059545</v>
      </c>
      <c r="H208" s="18">
        <f t="shared" si="48"/>
        <v>3.1174149070059545</v>
      </c>
      <c r="I208" s="16"/>
      <c r="J208" s="18">
        <f t="shared" si="50"/>
        <v>26.65317998179879</v>
      </c>
      <c r="K208" s="18">
        <f t="shared" si="51"/>
        <v>3.7542023475121566</v>
      </c>
      <c r="L208" s="18">
        <f t="shared" si="52"/>
        <v>2.289208696524339</v>
      </c>
      <c r="M208" s="18">
        <f t="shared" si="53"/>
        <v>2.289208696524339</v>
      </c>
      <c r="N208" s="18">
        <f t="shared" si="54"/>
        <v>2.289208696524339</v>
      </c>
      <c r="O208" s="16"/>
      <c r="P208" s="18">
        <f t="shared" si="49"/>
        <v>574.19517839801961</v>
      </c>
      <c r="Q208" s="18">
        <f t="shared" si="59"/>
        <v>794.51653269939982</v>
      </c>
      <c r="R208" s="18">
        <f t="shared" si="60"/>
        <v>0</v>
      </c>
      <c r="S208" s="18">
        <f t="shared" si="61"/>
        <v>0</v>
      </c>
      <c r="T208" s="18">
        <v>100</v>
      </c>
      <c r="U208" s="16"/>
      <c r="V208" s="18">
        <f t="shared" si="55"/>
        <v>1468.7117110974195</v>
      </c>
      <c r="W208" s="16"/>
      <c r="X208" s="18">
        <f t="shared" si="56"/>
        <v>76335.218584715767</v>
      </c>
      <c r="Y208" s="18">
        <f t="shared" si="57"/>
        <v>276.28828890258046</v>
      </c>
      <c r="Z208" s="18"/>
      <c r="AA208" s="18">
        <f t="shared" si="58"/>
        <v>2.6207742940064562E-4</v>
      </c>
    </row>
    <row r="209" spans="2:27" x14ac:dyDescent="0.35">
      <c r="B209" s="26">
        <v>53.600000000000009</v>
      </c>
      <c r="C209" s="26">
        <v>1796</v>
      </c>
      <c r="D209" s="18">
        <f t="shared" si="48"/>
        <v>30.11570662025504</v>
      </c>
      <c r="E209" s="18">
        <f t="shared" si="48"/>
        <v>5.0958314669515854</v>
      </c>
      <c r="F209" s="18">
        <f t="shared" si="48"/>
        <v>3.1574149070059554</v>
      </c>
      <c r="G209" s="18">
        <f t="shared" si="48"/>
        <v>3.1574149070059554</v>
      </c>
      <c r="H209" s="18">
        <f t="shared" si="48"/>
        <v>3.1574149070059554</v>
      </c>
      <c r="I209" s="16"/>
      <c r="J209" s="18">
        <f t="shared" si="50"/>
        <v>26.826323012812356</v>
      </c>
      <c r="K209" s="18">
        <f t="shared" si="51"/>
        <v>3.7690171914111081</v>
      </c>
      <c r="L209" s="18">
        <f t="shared" si="52"/>
        <v>2.3170989544581273</v>
      </c>
      <c r="M209" s="18">
        <f t="shared" si="53"/>
        <v>2.3170989544581273</v>
      </c>
      <c r="N209" s="18">
        <f t="shared" si="54"/>
        <v>2.3170989544581273</v>
      </c>
      <c r="O209" s="16"/>
      <c r="P209" s="18">
        <f t="shared" si="49"/>
        <v>566.93945492951093</v>
      </c>
      <c r="Q209" s="18">
        <f t="shared" si="59"/>
        <v>788.93508721663181</v>
      </c>
      <c r="R209" s="18">
        <f t="shared" si="60"/>
        <v>0</v>
      </c>
      <c r="S209" s="18">
        <f t="shared" si="61"/>
        <v>0</v>
      </c>
      <c r="T209" s="18">
        <v>100</v>
      </c>
      <c r="U209" s="16"/>
      <c r="V209" s="18">
        <f t="shared" si="55"/>
        <v>1455.8745421461426</v>
      </c>
      <c r="W209" s="16"/>
      <c r="X209" s="18">
        <f t="shared" si="56"/>
        <v>115685.32708029611</v>
      </c>
      <c r="Y209" s="18">
        <f t="shared" si="57"/>
        <v>340.12545785385737</v>
      </c>
      <c r="Z209" s="18"/>
      <c r="AA209" s="18">
        <f t="shared" si="58"/>
        <v>3.2263114018374898E-4</v>
      </c>
    </row>
    <row r="210" spans="2:27" x14ac:dyDescent="0.35">
      <c r="B210" s="26">
        <v>53.900000000000006</v>
      </c>
      <c r="C210" s="26">
        <v>1781</v>
      </c>
      <c r="D210" s="18">
        <f t="shared" si="48"/>
        <v>30.250420248556068</v>
      </c>
      <c r="E210" s="18">
        <f t="shared" si="48"/>
        <v>5.1098964276164498</v>
      </c>
      <c r="F210" s="18">
        <f t="shared" si="48"/>
        <v>3.1874149070059548</v>
      </c>
      <c r="G210" s="18">
        <f t="shared" si="48"/>
        <v>3.1874149070059548</v>
      </c>
      <c r="H210" s="18">
        <f t="shared" si="48"/>
        <v>3.1874149070059548</v>
      </c>
      <c r="I210" s="16"/>
      <c r="J210" s="18">
        <f t="shared" si="50"/>
        <v>26.956206674399564</v>
      </c>
      <c r="K210" s="18">
        <f t="shared" si="51"/>
        <v>3.7801363477912457</v>
      </c>
      <c r="L210" s="18">
        <f t="shared" si="52"/>
        <v>2.3380833811432309</v>
      </c>
      <c r="M210" s="18">
        <f t="shared" si="53"/>
        <v>2.3380833811432309</v>
      </c>
      <c r="N210" s="18">
        <f t="shared" si="54"/>
        <v>2.3380833811432309</v>
      </c>
      <c r="O210" s="16"/>
      <c r="P210" s="18">
        <f t="shared" si="49"/>
        <v>561.58646695058292</v>
      </c>
      <c r="Q210" s="18">
        <f t="shared" si="59"/>
        <v>784.78470133549433</v>
      </c>
      <c r="R210" s="18">
        <f t="shared" si="60"/>
        <v>0</v>
      </c>
      <c r="S210" s="18">
        <f t="shared" si="61"/>
        <v>0</v>
      </c>
      <c r="T210" s="18">
        <v>100</v>
      </c>
      <c r="U210" s="16"/>
      <c r="V210" s="18">
        <f t="shared" si="55"/>
        <v>1446.3711682860771</v>
      </c>
      <c r="W210" s="16"/>
      <c r="X210" s="18">
        <f t="shared" si="56"/>
        <v>111976.45501422491</v>
      </c>
      <c r="Y210" s="18">
        <f t="shared" si="57"/>
        <v>334.62883171392286</v>
      </c>
      <c r="Z210" s="18"/>
      <c r="AA210" s="18">
        <f t="shared" si="58"/>
        <v>3.1741723243958696E-4</v>
      </c>
    </row>
    <row r="211" spans="2:27" x14ac:dyDescent="0.35">
      <c r="B211" s="26">
        <v>54.2</v>
      </c>
      <c r="C211" s="26">
        <v>1728</v>
      </c>
      <c r="D211" s="18">
        <f t="shared" si="48"/>
        <v>30.385133876857097</v>
      </c>
      <c r="E211" s="18">
        <f t="shared" si="48"/>
        <v>5.1239613882813142</v>
      </c>
      <c r="F211" s="18">
        <f t="shared" si="48"/>
        <v>3.217414907005955</v>
      </c>
      <c r="G211" s="18">
        <f t="shared" si="48"/>
        <v>3.217414907005955</v>
      </c>
      <c r="H211" s="18">
        <f t="shared" si="48"/>
        <v>3.217414907005955</v>
      </c>
      <c r="I211" s="16"/>
      <c r="J211" s="18">
        <f t="shared" si="50"/>
        <v>27.086112725856868</v>
      </c>
      <c r="K211" s="18">
        <f t="shared" si="51"/>
        <v>3.7912623506054466</v>
      </c>
      <c r="L211" s="18">
        <f t="shared" si="52"/>
        <v>2.3591243815725469</v>
      </c>
      <c r="M211" s="18">
        <f t="shared" si="53"/>
        <v>2.3591243815725469</v>
      </c>
      <c r="N211" s="18">
        <f t="shared" si="54"/>
        <v>2.3591243815725469</v>
      </c>
      <c r="O211" s="16"/>
      <c r="P211" s="18">
        <f t="shared" si="49"/>
        <v>556.30804108844916</v>
      </c>
      <c r="Q211" s="18">
        <f t="shared" si="59"/>
        <v>780.66460281916193</v>
      </c>
      <c r="R211" s="18">
        <f t="shared" si="60"/>
        <v>0</v>
      </c>
      <c r="S211" s="18">
        <f t="shared" si="61"/>
        <v>0</v>
      </c>
      <c r="T211" s="18">
        <v>100</v>
      </c>
      <c r="U211" s="16"/>
      <c r="V211" s="18">
        <f t="shared" si="55"/>
        <v>1436.9726439076112</v>
      </c>
      <c r="W211" s="16"/>
      <c r="X211" s="18">
        <f t="shared" si="56"/>
        <v>84696.921994126067</v>
      </c>
      <c r="Y211" s="18">
        <f t="shared" si="57"/>
        <v>291.0273560923888</v>
      </c>
      <c r="Z211" s="18"/>
      <c r="AA211" s="18">
        <f t="shared" si="58"/>
        <v>2.7605839419727652E-4</v>
      </c>
    </row>
    <row r="212" spans="2:27" x14ac:dyDescent="0.35">
      <c r="B212" s="26">
        <v>54.5</v>
      </c>
      <c r="C212" s="26">
        <v>1695</v>
      </c>
      <c r="D212" s="18">
        <f t="shared" si="48"/>
        <v>30.519847505158126</v>
      </c>
      <c r="E212" s="18">
        <f t="shared" si="48"/>
        <v>5.1380263489461786</v>
      </c>
      <c r="F212" s="18">
        <f t="shared" si="48"/>
        <v>3.2474149070059544</v>
      </c>
      <c r="G212" s="18">
        <f t="shared" si="48"/>
        <v>3.2474149070059544</v>
      </c>
      <c r="H212" s="18">
        <f t="shared" si="48"/>
        <v>3.2474149070059544</v>
      </c>
      <c r="I212" s="16"/>
      <c r="J212" s="18">
        <f t="shared" si="50"/>
        <v>27.216040964348899</v>
      </c>
      <c r="K212" s="18">
        <f t="shared" si="51"/>
        <v>3.8023951722800544</v>
      </c>
      <c r="L212" s="18">
        <f t="shared" si="52"/>
        <v>2.3802213989008489</v>
      </c>
      <c r="M212" s="18">
        <f t="shared" si="53"/>
        <v>2.3802213989008489</v>
      </c>
      <c r="N212" s="18">
        <f t="shared" si="54"/>
        <v>2.3802213989008489</v>
      </c>
      <c r="O212" s="16"/>
      <c r="P212" s="18">
        <f t="shared" si="49"/>
        <v>551.10281130996577</v>
      </c>
      <c r="Q212" s="18">
        <f t="shared" si="59"/>
        <v>776.57451494405564</v>
      </c>
      <c r="R212" s="18">
        <f t="shared" si="60"/>
        <v>0</v>
      </c>
      <c r="S212" s="18">
        <f t="shared" si="61"/>
        <v>0</v>
      </c>
      <c r="T212" s="18">
        <v>100</v>
      </c>
      <c r="U212" s="16"/>
      <c r="V212" s="18">
        <f t="shared" si="55"/>
        <v>1427.6773262540214</v>
      </c>
      <c r="W212" s="16"/>
      <c r="X212" s="18">
        <f t="shared" si="56"/>
        <v>71461.411898698905</v>
      </c>
      <c r="Y212" s="18">
        <f t="shared" si="57"/>
        <v>267.32267374597859</v>
      </c>
      <c r="Z212" s="18"/>
      <c r="AA212" s="18">
        <f t="shared" si="58"/>
        <v>2.5357295973032172E-4</v>
      </c>
    </row>
    <row r="213" spans="2:27" x14ac:dyDescent="0.35">
      <c r="B213" s="26">
        <v>54.800000000000011</v>
      </c>
      <c r="C213" s="26">
        <v>1728</v>
      </c>
      <c r="D213" s="18">
        <f t="shared" si="48"/>
        <v>30.654561133459154</v>
      </c>
      <c r="E213" s="18">
        <f t="shared" si="48"/>
        <v>5.1520913096110439</v>
      </c>
      <c r="F213" s="18">
        <f t="shared" si="48"/>
        <v>3.2774149070059555</v>
      </c>
      <c r="G213" s="18">
        <f t="shared" si="48"/>
        <v>3.2774149070059555</v>
      </c>
      <c r="H213" s="18">
        <f t="shared" si="48"/>
        <v>3.2774149070059555</v>
      </c>
      <c r="I213" s="16"/>
      <c r="J213" s="18">
        <f t="shared" si="50"/>
        <v>27.34599118974926</v>
      </c>
      <c r="K213" s="18">
        <f t="shared" si="51"/>
        <v>3.8135347853870929</v>
      </c>
      <c r="L213" s="18">
        <f t="shared" si="52"/>
        <v>2.4013738824279756</v>
      </c>
      <c r="M213" s="18">
        <f t="shared" si="53"/>
        <v>2.4013738824279756</v>
      </c>
      <c r="N213" s="18">
        <f t="shared" si="54"/>
        <v>2.4013738824279756</v>
      </c>
      <c r="O213" s="16"/>
      <c r="P213" s="18">
        <f t="shared" si="49"/>
        <v>545.96944249780393</v>
      </c>
      <c r="Q213" s="18">
        <f t="shared" si="59"/>
        <v>772.51416397752962</v>
      </c>
      <c r="R213" s="18">
        <f t="shared" si="60"/>
        <v>0</v>
      </c>
      <c r="S213" s="18">
        <f t="shared" si="61"/>
        <v>0</v>
      </c>
      <c r="T213" s="18">
        <v>100</v>
      </c>
      <c r="U213" s="16"/>
      <c r="V213" s="18">
        <f t="shared" si="55"/>
        <v>1418.4836064753335</v>
      </c>
      <c r="W213" s="16"/>
      <c r="X213" s="18">
        <f t="shared" si="56"/>
        <v>95800.397860516183</v>
      </c>
      <c r="Y213" s="18">
        <f t="shared" si="57"/>
        <v>309.51639352466646</v>
      </c>
      <c r="Z213" s="18"/>
      <c r="AA213" s="18">
        <f t="shared" si="58"/>
        <v>2.9359644990564635E-4</v>
      </c>
    </row>
    <row r="214" spans="2:27" x14ac:dyDescent="0.35">
      <c r="B214" s="26">
        <v>55.099999999999994</v>
      </c>
      <c r="C214" s="26">
        <v>1763</v>
      </c>
      <c r="D214" s="18">
        <f t="shared" si="48"/>
        <v>30.789274761760176</v>
      </c>
      <c r="E214" s="18">
        <f t="shared" si="48"/>
        <v>5.1661562702759074</v>
      </c>
      <c r="F214" s="18">
        <f t="shared" si="48"/>
        <v>3.307414907005954</v>
      </c>
      <c r="G214" s="18">
        <f t="shared" si="48"/>
        <v>3.307414907005954</v>
      </c>
      <c r="H214" s="18">
        <f t="shared" si="48"/>
        <v>3.307414907005954</v>
      </c>
      <c r="I214" s="16"/>
      <c r="J214" s="18">
        <f t="shared" si="50"/>
        <v>27.475963204592979</v>
      </c>
      <c r="K214" s="18">
        <f t="shared" si="51"/>
        <v>3.8246811626433899</v>
      </c>
      <c r="L214" s="18">
        <f t="shared" si="52"/>
        <v>2.4225812875527857</v>
      </c>
      <c r="M214" s="18">
        <f t="shared" si="53"/>
        <v>2.4225812875527857</v>
      </c>
      <c r="N214" s="18">
        <f t="shared" si="54"/>
        <v>2.4225812875527857</v>
      </c>
      <c r="O214" s="16"/>
      <c r="P214" s="18">
        <f t="shared" si="49"/>
        <v>540.90662961969952</v>
      </c>
      <c r="Q214" s="18">
        <f t="shared" si="59"/>
        <v>768.4832791410139</v>
      </c>
      <c r="R214" s="18">
        <f t="shared" si="60"/>
        <v>0</v>
      </c>
      <c r="S214" s="18">
        <f t="shared" si="61"/>
        <v>0</v>
      </c>
      <c r="T214" s="18">
        <v>100</v>
      </c>
      <c r="U214" s="16"/>
      <c r="V214" s="18">
        <f t="shared" si="55"/>
        <v>1409.3899087607133</v>
      </c>
      <c r="W214" s="16"/>
      <c r="X214" s="18">
        <f t="shared" si="56"/>
        <v>125040.09662625667</v>
      </c>
      <c r="Y214" s="18">
        <f t="shared" si="57"/>
        <v>353.6100912392867</v>
      </c>
      <c r="Z214" s="18"/>
      <c r="AA214" s="18">
        <f t="shared" si="58"/>
        <v>3.3542219284870482E-4</v>
      </c>
    </row>
    <row r="215" spans="2:27" x14ac:dyDescent="0.35">
      <c r="B215" s="26">
        <v>55.400000000000006</v>
      </c>
      <c r="C215" s="26">
        <v>1712</v>
      </c>
      <c r="D215" s="18">
        <f t="shared" si="48"/>
        <v>30.923988390061211</v>
      </c>
      <c r="E215" s="18">
        <f t="shared" si="48"/>
        <v>5.1802212309407727</v>
      </c>
      <c r="F215" s="18">
        <f t="shared" si="48"/>
        <v>3.3374149070059551</v>
      </c>
      <c r="G215" s="18">
        <f t="shared" si="48"/>
        <v>3.3374149070059551</v>
      </c>
      <c r="H215" s="18">
        <f t="shared" ref="E215:H230" si="62">G$23-LN(1/G$23)+$B215*G$22</f>
        <v>3.3374149070059551</v>
      </c>
      <c r="I215" s="16"/>
      <c r="J215" s="18">
        <f t="shared" si="50"/>
        <v>27.605956814030026</v>
      </c>
      <c r="K215" s="18">
        <f t="shared" si="51"/>
        <v>3.8358342769097198</v>
      </c>
      <c r="L215" s="18">
        <f t="shared" si="52"/>
        <v>2.443843075726079</v>
      </c>
      <c r="M215" s="18">
        <f t="shared" si="53"/>
        <v>2.443843075726079</v>
      </c>
      <c r="N215" s="18">
        <f t="shared" si="54"/>
        <v>2.443843075726079</v>
      </c>
      <c r="O215" s="16"/>
      <c r="P215" s="18">
        <f t="shared" si="49"/>
        <v>535.91309692349284</v>
      </c>
      <c r="Q215" s="18">
        <f t="shared" si="59"/>
        <v>764.48159257365955</v>
      </c>
      <c r="R215" s="18">
        <f t="shared" si="60"/>
        <v>0</v>
      </c>
      <c r="S215" s="18">
        <f t="shared" si="61"/>
        <v>0</v>
      </c>
      <c r="T215" s="18">
        <v>100</v>
      </c>
      <c r="U215" s="16"/>
      <c r="V215" s="18">
        <f t="shared" si="55"/>
        <v>1400.3946894971523</v>
      </c>
      <c r="W215" s="16"/>
      <c r="X215" s="18">
        <f t="shared" si="56"/>
        <v>97097.869533576129</v>
      </c>
      <c r="Y215" s="18">
        <f t="shared" si="57"/>
        <v>311.60531050284771</v>
      </c>
      <c r="Z215" s="18"/>
      <c r="AA215" s="18">
        <f t="shared" si="58"/>
        <v>2.9557792365557481E-4</v>
      </c>
    </row>
    <row r="216" spans="2:27" x14ac:dyDescent="0.35">
      <c r="B216" s="26">
        <v>55.800000000000011</v>
      </c>
      <c r="C216" s="26">
        <v>1732</v>
      </c>
      <c r="D216" s="18">
        <f t="shared" si="48"/>
        <v>31.103606561129254</v>
      </c>
      <c r="E216" s="18">
        <f t="shared" si="62"/>
        <v>5.1989745118272594</v>
      </c>
      <c r="F216" s="18">
        <f t="shared" si="62"/>
        <v>3.377414907005956</v>
      </c>
      <c r="G216" s="18">
        <f t="shared" si="62"/>
        <v>3.377414907005956</v>
      </c>
      <c r="H216" s="18">
        <f t="shared" si="62"/>
        <v>3.377414907005956</v>
      </c>
      <c r="I216" s="16"/>
      <c r="J216" s="18">
        <f t="shared" si="50"/>
        <v>27.779314886229926</v>
      </c>
      <c r="K216" s="18">
        <f t="shared" si="51"/>
        <v>3.8507155290853703</v>
      </c>
      <c r="L216" s="18">
        <f t="shared" si="52"/>
        <v>2.4722758028869261</v>
      </c>
      <c r="M216" s="18">
        <f t="shared" si="53"/>
        <v>2.4722758028869261</v>
      </c>
      <c r="N216" s="18">
        <f t="shared" si="54"/>
        <v>2.4722758028869261</v>
      </c>
      <c r="O216" s="16"/>
      <c r="P216" s="18">
        <f t="shared" si="49"/>
        <v>529.36067076621487</v>
      </c>
      <c r="Q216" s="18">
        <f t="shared" si="59"/>
        <v>759.19097243595797</v>
      </c>
      <c r="R216" s="18">
        <f t="shared" si="60"/>
        <v>0</v>
      </c>
      <c r="S216" s="18">
        <f t="shared" si="61"/>
        <v>0</v>
      </c>
      <c r="T216" s="18">
        <v>100</v>
      </c>
      <c r="U216" s="16"/>
      <c r="V216" s="18">
        <f t="shared" si="55"/>
        <v>1388.5516432021727</v>
      </c>
      <c r="W216" s="16"/>
      <c r="X216" s="18">
        <f t="shared" si="56"/>
        <v>117956.77378712766</v>
      </c>
      <c r="Y216" s="18">
        <f t="shared" si="57"/>
        <v>343.44835679782727</v>
      </c>
      <c r="Z216" s="18"/>
      <c r="AA216" s="18">
        <f t="shared" si="58"/>
        <v>3.2578312616496011E-4</v>
      </c>
    </row>
    <row r="217" spans="2:27" x14ac:dyDescent="0.35">
      <c r="B217" s="26">
        <v>56.099999999999994</v>
      </c>
      <c r="C217" s="26">
        <v>1783</v>
      </c>
      <c r="D217" s="18">
        <f t="shared" si="48"/>
        <v>31.238320189430276</v>
      </c>
      <c r="E217" s="18">
        <f t="shared" si="62"/>
        <v>5.2130394724921221</v>
      </c>
      <c r="F217" s="18">
        <f t="shared" si="62"/>
        <v>3.4074149070059536</v>
      </c>
      <c r="G217" s="18">
        <f t="shared" si="62"/>
        <v>3.4074149070059536</v>
      </c>
      <c r="H217" s="18">
        <f t="shared" si="62"/>
        <v>3.4074149070059536</v>
      </c>
      <c r="I217" s="16"/>
      <c r="J217" s="18">
        <f t="shared" si="50"/>
        <v>27.909358139650937</v>
      </c>
      <c r="K217" s="18">
        <f t="shared" si="51"/>
        <v>3.8618842583024566</v>
      </c>
      <c r="L217" s="18">
        <f t="shared" si="52"/>
        <v>2.493662424115676</v>
      </c>
      <c r="M217" s="18">
        <f t="shared" si="53"/>
        <v>2.493662424115676</v>
      </c>
      <c r="N217" s="18">
        <f t="shared" si="54"/>
        <v>2.493662424115676</v>
      </c>
      <c r="O217" s="16"/>
      <c r="P217" s="18">
        <f t="shared" si="49"/>
        <v>524.52398924937575</v>
      </c>
      <c r="Q217" s="18">
        <f t="shared" si="59"/>
        <v>755.25638960433457</v>
      </c>
      <c r="R217" s="18">
        <f t="shared" si="60"/>
        <v>0</v>
      </c>
      <c r="S217" s="18">
        <f t="shared" si="61"/>
        <v>0</v>
      </c>
      <c r="T217" s="18">
        <v>100</v>
      </c>
      <c r="U217" s="16"/>
      <c r="V217" s="18">
        <f t="shared" si="55"/>
        <v>1379.7803788537103</v>
      </c>
      <c r="W217" s="16"/>
      <c r="X217" s="18">
        <f t="shared" si="56"/>
        <v>162586.06287735738</v>
      </c>
      <c r="Y217" s="18">
        <f t="shared" si="57"/>
        <v>403.21962114628968</v>
      </c>
      <c r="Z217" s="18"/>
      <c r="AA217" s="18">
        <f t="shared" si="58"/>
        <v>3.8248006172705656E-4</v>
      </c>
    </row>
    <row r="218" spans="2:27" x14ac:dyDescent="0.35">
      <c r="B218" s="26">
        <v>56.400000000000006</v>
      </c>
      <c r="C218" s="26">
        <v>1695</v>
      </c>
      <c r="D218" s="18">
        <f t="shared" si="48"/>
        <v>31.373033817731304</v>
      </c>
      <c r="E218" s="18">
        <f t="shared" si="62"/>
        <v>5.2271044331569883</v>
      </c>
      <c r="F218" s="18">
        <f t="shared" si="62"/>
        <v>3.4374149070059548</v>
      </c>
      <c r="G218" s="18">
        <f t="shared" si="62"/>
        <v>3.4374149070059548</v>
      </c>
      <c r="H218" s="18">
        <f t="shared" si="62"/>
        <v>3.4374149070059548</v>
      </c>
      <c r="I218" s="16"/>
      <c r="J218" s="18">
        <f t="shared" si="50"/>
        <v>28.039422356473494</v>
      </c>
      <c r="K218" s="18">
        <f t="shared" si="51"/>
        <v>3.8730596350940516</v>
      </c>
      <c r="L218" s="18">
        <f t="shared" si="52"/>
        <v>2.5151016763137046</v>
      </c>
      <c r="M218" s="18">
        <f t="shared" si="53"/>
        <v>2.5151016763137046</v>
      </c>
      <c r="N218" s="18">
        <f t="shared" si="54"/>
        <v>2.5151016763137046</v>
      </c>
      <c r="O218" s="16"/>
      <c r="P218" s="18">
        <f t="shared" si="49"/>
        <v>519.75253703707608</v>
      </c>
      <c r="Q218" s="18">
        <f t="shared" si="59"/>
        <v>751.35013278808663</v>
      </c>
      <c r="R218" s="18">
        <f t="shared" si="60"/>
        <v>0</v>
      </c>
      <c r="S218" s="18">
        <f t="shared" si="61"/>
        <v>0</v>
      </c>
      <c r="T218" s="18">
        <v>100</v>
      </c>
      <c r="U218" s="16"/>
      <c r="V218" s="18">
        <f t="shared" si="55"/>
        <v>1371.1026698251626</v>
      </c>
      <c r="W218" s="16"/>
      <c r="X218" s="18">
        <f t="shared" si="56"/>
        <v>104909.48049438764</v>
      </c>
      <c r="Y218" s="18">
        <f t="shared" si="57"/>
        <v>323.89733017483741</v>
      </c>
      <c r="Z218" s="18"/>
      <c r="AA218" s="18">
        <f t="shared" si="58"/>
        <v>3.0723770456982525E-4</v>
      </c>
    </row>
    <row r="219" spans="2:27" x14ac:dyDescent="0.35">
      <c r="B219" s="26">
        <v>56.700000000000017</v>
      </c>
      <c r="C219" s="26">
        <v>1703</v>
      </c>
      <c r="D219" s="18">
        <f t="shared" si="48"/>
        <v>31.50774744603234</v>
      </c>
      <c r="E219" s="18">
        <f t="shared" si="62"/>
        <v>5.2411693938218527</v>
      </c>
      <c r="F219" s="18">
        <f t="shared" si="62"/>
        <v>3.4674149070059559</v>
      </c>
      <c r="G219" s="18">
        <f t="shared" si="62"/>
        <v>3.4674149070059559</v>
      </c>
      <c r="H219" s="18">
        <f t="shared" si="62"/>
        <v>3.4674149070059559</v>
      </c>
      <c r="I219" s="16"/>
      <c r="J219" s="18">
        <f t="shared" si="50"/>
        <v>28.169507352665271</v>
      </c>
      <c r="K219" s="18">
        <f t="shared" si="51"/>
        <v>3.884241632934788</v>
      </c>
      <c r="L219" s="18">
        <f t="shared" si="52"/>
        <v>2.5365930465906308</v>
      </c>
      <c r="M219" s="18">
        <f t="shared" si="53"/>
        <v>2.5365930465906308</v>
      </c>
      <c r="N219" s="18">
        <f t="shared" si="54"/>
        <v>2.5365930465906308</v>
      </c>
      <c r="O219" s="16"/>
      <c r="P219" s="18">
        <f t="shared" si="49"/>
        <v>515.04515654552858</v>
      </c>
      <c r="Q219" s="18">
        <f t="shared" si="59"/>
        <v>747.47194636171753</v>
      </c>
      <c r="R219" s="18">
        <f t="shared" si="60"/>
        <v>0</v>
      </c>
      <c r="S219" s="18">
        <f t="shared" si="61"/>
        <v>0</v>
      </c>
      <c r="T219" s="18">
        <v>100</v>
      </c>
      <c r="U219" s="16"/>
      <c r="V219" s="18">
        <f t="shared" si="55"/>
        <v>1362.5171029072462</v>
      </c>
      <c r="W219" s="16"/>
      <c r="X219" s="18">
        <f t="shared" si="56"/>
        <v>115928.60321267476</v>
      </c>
      <c r="Y219" s="18">
        <f t="shared" si="57"/>
        <v>340.48289709275377</v>
      </c>
      <c r="Z219" s="18"/>
      <c r="AA219" s="18">
        <f t="shared" si="58"/>
        <v>3.2297019457244193E-4</v>
      </c>
    </row>
    <row r="220" spans="2:27" x14ac:dyDescent="0.35">
      <c r="B220" s="26">
        <v>57</v>
      </c>
      <c r="C220" s="26">
        <v>1726</v>
      </c>
      <c r="D220" s="18">
        <f t="shared" si="48"/>
        <v>31.642461074333362</v>
      </c>
      <c r="E220" s="18">
        <f t="shared" si="62"/>
        <v>5.2552343544867171</v>
      </c>
      <c r="F220" s="18">
        <f t="shared" si="62"/>
        <v>3.4974149070059544</v>
      </c>
      <c r="G220" s="18">
        <f t="shared" si="62"/>
        <v>3.4974149070059544</v>
      </c>
      <c r="H220" s="18">
        <f t="shared" si="62"/>
        <v>3.4974149070059544</v>
      </c>
      <c r="I220" s="16"/>
      <c r="J220" s="18">
        <f t="shared" si="50"/>
        <v>28.299612946577096</v>
      </c>
      <c r="K220" s="18">
        <f t="shared" si="51"/>
        <v>3.8954302254387141</v>
      </c>
      <c r="L220" s="18">
        <f t="shared" si="52"/>
        <v>2.5581360278423819</v>
      </c>
      <c r="M220" s="18">
        <f t="shared" si="53"/>
        <v>2.5581360278423819</v>
      </c>
      <c r="N220" s="18">
        <f t="shared" si="54"/>
        <v>2.5581360278423819</v>
      </c>
      <c r="O220" s="16"/>
      <c r="P220" s="18">
        <f t="shared" si="49"/>
        <v>510.40071557762934</v>
      </c>
      <c r="Q220" s="18">
        <f t="shared" si="59"/>
        <v>743.62157743177715</v>
      </c>
      <c r="R220" s="18">
        <f t="shared" si="60"/>
        <v>0</v>
      </c>
      <c r="S220" s="18">
        <f t="shared" si="61"/>
        <v>0</v>
      </c>
      <c r="T220" s="18">
        <v>100</v>
      </c>
      <c r="U220" s="16"/>
      <c r="V220" s="18">
        <f t="shared" si="55"/>
        <v>1354.0222930094064</v>
      </c>
      <c r="W220" s="16"/>
      <c r="X220" s="18">
        <f t="shared" si="56"/>
        <v>138367.41449797989</v>
      </c>
      <c r="Y220" s="18">
        <f t="shared" si="57"/>
        <v>371.97770699059356</v>
      </c>
      <c r="Z220" s="18"/>
      <c r="AA220" s="18">
        <f t="shared" si="58"/>
        <v>3.5284507218767903E-4</v>
      </c>
    </row>
    <row r="221" spans="2:27" x14ac:dyDescent="0.35">
      <c r="B221" s="26">
        <v>57.300000000000011</v>
      </c>
      <c r="C221" s="26">
        <v>1641</v>
      </c>
      <c r="D221" s="18">
        <f t="shared" si="48"/>
        <v>31.777174702634397</v>
      </c>
      <c r="E221" s="18">
        <f t="shared" si="62"/>
        <v>5.2692993151515815</v>
      </c>
      <c r="F221" s="18">
        <f t="shared" si="62"/>
        <v>3.5274149070059555</v>
      </c>
      <c r="G221" s="18">
        <f t="shared" si="62"/>
        <v>3.5274149070059555</v>
      </c>
      <c r="H221" s="18">
        <f t="shared" si="62"/>
        <v>3.5274149070059555</v>
      </c>
      <c r="I221" s="16"/>
      <c r="J221" s="18">
        <f t="shared" si="50"/>
        <v>28.429738958902409</v>
      </c>
      <c r="K221" s="18">
        <f t="shared" si="51"/>
        <v>3.9066253863584484</v>
      </c>
      <c r="L221" s="18">
        <f t="shared" si="52"/>
        <v>2.5797301186992567</v>
      </c>
      <c r="M221" s="18">
        <f t="shared" si="53"/>
        <v>2.5797301186992567</v>
      </c>
      <c r="N221" s="18">
        <f t="shared" si="54"/>
        <v>2.5797301186992567</v>
      </c>
      <c r="O221" s="16"/>
      <c r="P221" s="18">
        <f t="shared" si="49"/>
        <v>505.81810666168514</v>
      </c>
      <c r="Q221" s="18">
        <f t="shared" si="59"/>
        <v>739.79877580353639</v>
      </c>
      <c r="R221" s="18">
        <f t="shared" si="60"/>
        <v>0</v>
      </c>
      <c r="S221" s="18">
        <f t="shared" si="61"/>
        <v>0</v>
      </c>
      <c r="T221" s="18">
        <v>100</v>
      </c>
      <c r="U221" s="16"/>
      <c r="V221" s="18">
        <f t="shared" si="55"/>
        <v>1345.6168824652216</v>
      </c>
      <c r="W221" s="16"/>
      <c r="X221" s="18">
        <f t="shared" si="56"/>
        <v>87251.186124564716</v>
      </c>
      <c r="Y221" s="18">
        <f t="shared" si="57"/>
        <v>295.38311753477842</v>
      </c>
      <c r="Z221" s="18"/>
      <c r="AA221" s="18">
        <f t="shared" si="58"/>
        <v>2.8019011750135921E-4</v>
      </c>
    </row>
    <row r="222" spans="2:27" x14ac:dyDescent="0.35">
      <c r="B222" s="26">
        <v>57.700000000000017</v>
      </c>
      <c r="C222" s="26">
        <v>1694</v>
      </c>
      <c r="D222" s="18">
        <f t="shared" si="48"/>
        <v>31.956792873702433</v>
      </c>
      <c r="E222" s="18">
        <f t="shared" si="62"/>
        <v>5.2880525960380673</v>
      </c>
      <c r="F222" s="18">
        <f t="shared" si="62"/>
        <v>3.5674149070059564</v>
      </c>
      <c r="G222" s="18">
        <f t="shared" si="62"/>
        <v>3.5674149070059564</v>
      </c>
      <c r="H222" s="18">
        <f t="shared" si="62"/>
        <v>3.5674149070059564</v>
      </c>
      <c r="I222" s="16"/>
      <c r="J222" s="18">
        <f t="shared" si="50"/>
        <v>28.603271765040471</v>
      </c>
      <c r="K222" s="18">
        <f t="shared" si="51"/>
        <v>3.9215624400124311</v>
      </c>
      <c r="L222" s="18">
        <f t="shared" si="52"/>
        <v>2.6086008877393909</v>
      </c>
      <c r="M222" s="18">
        <f t="shared" si="53"/>
        <v>2.6086008877393909</v>
      </c>
      <c r="N222" s="18">
        <f t="shared" si="54"/>
        <v>2.6086008877393909</v>
      </c>
      <c r="O222" s="16"/>
      <c r="P222" s="18">
        <f t="shared" si="49"/>
        <v>499.80227550147595</v>
      </c>
      <c r="Q222" s="18">
        <f t="shared" si="59"/>
        <v>734.74416198740118</v>
      </c>
      <c r="R222" s="18">
        <f t="shared" si="60"/>
        <v>0</v>
      </c>
      <c r="S222" s="18">
        <f t="shared" si="61"/>
        <v>0</v>
      </c>
      <c r="T222" s="18">
        <v>100</v>
      </c>
      <c r="U222" s="16"/>
      <c r="V222" s="18">
        <f t="shared" si="55"/>
        <v>1334.546437488877</v>
      </c>
      <c r="W222" s="16"/>
      <c r="X222" s="18">
        <f t="shared" si="56"/>
        <v>129206.8636019378</v>
      </c>
      <c r="Y222" s="18">
        <f t="shared" si="57"/>
        <v>359.45356251112298</v>
      </c>
      <c r="Z222" s="18"/>
      <c r="AA222" s="18">
        <f t="shared" si="58"/>
        <v>3.4096510578136033E-4</v>
      </c>
    </row>
    <row r="223" spans="2:27" x14ac:dyDescent="0.35">
      <c r="B223" s="26">
        <v>58</v>
      </c>
      <c r="C223" s="26">
        <v>1761</v>
      </c>
      <c r="D223" s="18">
        <f t="shared" si="48"/>
        <v>32.091506502003455</v>
      </c>
      <c r="E223" s="18">
        <f t="shared" si="62"/>
        <v>5.3021175567029317</v>
      </c>
      <c r="F223" s="18">
        <f t="shared" si="62"/>
        <v>3.5974149070059549</v>
      </c>
      <c r="G223" s="18">
        <f t="shared" si="62"/>
        <v>3.5974149070059549</v>
      </c>
      <c r="H223" s="18">
        <f t="shared" si="62"/>
        <v>3.5974149070059549</v>
      </c>
      <c r="I223" s="16"/>
      <c r="J223" s="18">
        <f t="shared" si="50"/>
        <v>28.733444735890281</v>
      </c>
      <c r="K223" s="18">
        <f t="shared" si="51"/>
        <v>3.9327728259347707</v>
      </c>
      <c r="L223" s="18">
        <f t="shared" si="52"/>
        <v>2.630312316388256</v>
      </c>
      <c r="M223" s="18">
        <f t="shared" si="53"/>
        <v>2.630312316388256</v>
      </c>
      <c r="N223" s="18">
        <f t="shared" si="54"/>
        <v>2.630312316388256</v>
      </c>
      <c r="O223" s="16"/>
      <c r="P223" s="18">
        <f t="shared" si="49"/>
        <v>495.3597686634194</v>
      </c>
      <c r="Q223" s="18">
        <f t="shared" si="59"/>
        <v>730.98472599774493</v>
      </c>
      <c r="R223" s="18">
        <f t="shared" si="60"/>
        <v>0</v>
      </c>
      <c r="S223" s="18">
        <f t="shared" si="61"/>
        <v>0</v>
      </c>
      <c r="T223" s="18">
        <v>100</v>
      </c>
      <c r="U223" s="16"/>
      <c r="V223" s="18">
        <f t="shared" si="55"/>
        <v>1326.3444946611644</v>
      </c>
      <c r="W223" s="16"/>
      <c r="X223" s="18">
        <f t="shared" si="56"/>
        <v>188925.40832135855</v>
      </c>
      <c r="Y223" s="18">
        <f t="shared" si="57"/>
        <v>434.65550533883561</v>
      </c>
      <c r="Z223" s="18"/>
      <c r="AA223" s="18">
        <f t="shared" si="58"/>
        <v>4.1229904447454382E-4</v>
      </c>
    </row>
    <row r="224" spans="2:27" x14ac:dyDescent="0.35">
      <c r="B224" s="26">
        <v>58.300000000000011</v>
      </c>
      <c r="C224" s="26">
        <v>1713</v>
      </c>
      <c r="D224" s="18">
        <f t="shared" si="48"/>
        <v>32.22622013030449</v>
      </c>
      <c r="E224" s="18">
        <f t="shared" si="62"/>
        <v>5.3161825173677961</v>
      </c>
      <c r="F224" s="18">
        <f t="shared" si="62"/>
        <v>3.627414907005956</v>
      </c>
      <c r="G224" s="18">
        <f t="shared" si="62"/>
        <v>3.627414907005956</v>
      </c>
      <c r="H224" s="18">
        <f t="shared" si="62"/>
        <v>3.627414907005956</v>
      </c>
      <c r="I224" s="16"/>
      <c r="J224" s="18">
        <f t="shared" si="50"/>
        <v>28.863637543879793</v>
      </c>
      <c r="K224" s="18">
        <f t="shared" si="51"/>
        <v>3.9439896937718366</v>
      </c>
      <c r="L224" s="18">
        <f t="shared" si="52"/>
        <v>2.6520732241479847</v>
      </c>
      <c r="M224" s="18">
        <f t="shared" si="53"/>
        <v>2.6520732241479847</v>
      </c>
      <c r="N224" s="18">
        <f t="shared" si="54"/>
        <v>2.6520732241479847</v>
      </c>
      <c r="O224" s="16"/>
      <c r="P224" s="18">
        <f t="shared" si="49"/>
        <v>490.97557278532975</v>
      </c>
      <c r="Q224" s="18">
        <f t="shared" si="59"/>
        <v>727.25204239930372</v>
      </c>
      <c r="R224" s="18">
        <f t="shared" si="60"/>
        <v>0</v>
      </c>
      <c r="S224" s="18">
        <f t="shared" si="61"/>
        <v>0</v>
      </c>
      <c r="T224" s="18">
        <v>100</v>
      </c>
      <c r="U224" s="16"/>
      <c r="V224" s="18">
        <f t="shared" si="55"/>
        <v>1318.2276151846336</v>
      </c>
      <c r="W224" s="16"/>
      <c r="X224" s="18">
        <f t="shared" si="56"/>
        <v>155845.23581281176</v>
      </c>
      <c r="Y224" s="18">
        <f t="shared" si="57"/>
        <v>394.77238481536642</v>
      </c>
      <c r="Z224" s="18"/>
      <c r="AA224" s="18">
        <f t="shared" si="58"/>
        <v>3.7446730812124333E-4</v>
      </c>
    </row>
    <row r="225" spans="2:27" x14ac:dyDescent="0.35">
      <c r="B225" s="26">
        <v>58.599999999999994</v>
      </c>
      <c r="C225" s="26">
        <v>1530</v>
      </c>
      <c r="D225" s="18">
        <f t="shared" si="48"/>
        <v>32.360933758605512</v>
      </c>
      <c r="E225" s="18">
        <f t="shared" si="62"/>
        <v>5.3302474780326605</v>
      </c>
      <c r="F225" s="18">
        <f t="shared" si="62"/>
        <v>3.6574149070059536</v>
      </c>
      <c r="G225" s="18">
        <f t="shared" si="62"/>
        <v>3.6574149070059536</v>
      </c>
      <c r="H225" s="18">
        <f t="shared" si="62"/>
        <v>3.6574149070059536</v>
      </c>
      <c r="I225" s="16"/>
      <c r="J225" s="18">
        <f t="shared" si="50"/>
        <v>28.993850019405077</v>
      </c>
      <c r="K225" s="18">
        <f t="shared" si="51"/>
        <v>3.9552130178672034</v>
      </c>
      <c r="L225" s="18">
        <f t="shared" si="52"/>
        <v>2.6738831338862639</v>
      </c>
      <c r="M225" s="18">
        <f t="shared" si="53"/>
        <v>2.6738831338862639</v>
      </c>
      <c r="N225" s="18">
        <f t="shared" si="54"/>
        <v>2.6738831338862639</v>
      </c>
      <c r="O225" s="16"/>
      <c r="P225" s="18">
        <f t="shared" si="49"/>
        <v>486.64868036967488</v>
      </c>
      <c r="Q225" s="18">
        <f t="shared" si="59"/>
        <v>723.54587231755136</v>
      </c>
      <c r="R225" s="18">
        <f t="shared" si="60"/>
        <v>0</v>
      </c>
      <c r="S225" s="18">
        <f t="shared" si="61"/>
        <v>0</v>
      </c>
      <c r="T225" s="18">
        <v>100</v>
      </c>
      <c r="U225" s="16"/>
      <c r="V225" s="18">
        <f t="shared" si="55"/>
        <v>1310.1945526872262</v>
      </c>
      <c r="W225" s="16"/>
      <c r="X225" s="18">
        <f t="shared" si="56"/>
        <v>48314.434668368587</v>
      </c>
      <c r="Y225" s="18">
        <f t="shared" si="57"/>
        <v>219.80544731277382</v>
      </c>
      <c r="Z225" s="18"/>
      <c r="AA225" s="18">
        <f t="shared" si="58"/>
        <v>2.0849977691346435E-4</v>
      </c>
    </row>
    <row r="226" spans="2:27" x14ac:dyDescent="0.35">
      <c r="B226" s="26">
        <v>58.900000000000006</v>
      </c>
      <c r="C226" s="26">
        <v>1612</v>
      </c>
      <c r="D226" s="18">
        <f t="shared" si="48"/>
        <v>32.495647386906541</v>
      </c>
      <c r="E226" s="18">
        <f t="shared" si="62"/>
        <v>5.3443124386975249</v>
      </c>
      <c r="F226" s="18">
        <f t="shared" si="62"/>
        <v>3.6874149070059548</v>
      </c>
      <c r="G226" s="18">
        <f t="shared" si="62"/>
        <v>3.6874149070059548</v>
      </c>
      <c r="H226" s="18">
        <f t="shared" si="62"/>
        <v>3.6874149070059548</v>
      </c>
      <c r="I226" s="16"/>
      <c r="J226" s="18">
        <f t="shared" si="50"/>
        <v>29.124081995002324</v>
      </c>
      <c r="K226" s="18">
        <f t="shared" si="51"/>
        <v>3.9664427726986489</v>
      </c>
      <c r="L226" s="18">
        <f t="shared" si="52"/>
        <v>2.6957415739209001</v>
      </c>
      <c r="M226" s="18">
        <f t="shared" si="53"/>
        <v>2.6957415739209001</v>
      </c>
      <c r="N226" s="18">
        <f t="shared" si="54"/>
        <v>2.6957415739209001</v>
      </c>
      <c r="O226" s="16"/>
      <c r="P226" s="18">
        <f t="shared" si="49"/>
        <v>482.37810543770775</v>
      </c>
      <c r="Q226" s="18">
        <f t="shared" si="59"/>
        <v>719.86597940639672</v>
      </c>
      <c r="R226" s="18">
        <f t="shared" si="60"/>
        <v>0</v>
      </c>
      <c r="S226" s="18">
        <f t="shared" si="61"/>
        <v>0</v>
      </c>
      <c r="T226" s="18">
        <v>100</v>
      </c>
      <c r="U226" s="16"/>
      <c r="V226" s="18">
        <f t="shared" si="55"/>
        <v>1302.2440848441045</v>
      </c>
      <c r="W226" s="16"/>
      <c r="X226" s="18">
        <f t="shared" si="56"/>
        <v>95948.726974066347</v>
      </c>
      <c r="Y226" s="18">
        <f t="shared" si="57"/>
        <v>309.75591515589554</v>
      </c>
      <c r="Z226" s="18"/>
      <c r="AA226" s="18">
        <f t="shared" si="58"/>
        <v>2.9382365176660002E-4</v>
      </c>
    </row>
    <row r="227" spans="2:27" x14ac:dyDescent="0.35">
      <c r="B227" s="26">
        <v>59.200000000000017</v>
      </c>
      <c r="C227" s="26">
        <v>1587</v>
      </c>
      <c r="D227" s="18">
        <f t="shared" si="48"/>
        <v>32.630361015207576</v>
      </c>
      <c r="E227" s="18">
        <f t="shared" si="62"/>
        <v>5.3583773993623902</v>
      </c>
      <c r="F227" s="18">
        <f t="shared" si="62"/>
        <v>3.7174149070059559</v>
      </c>
      <c r="G227" s="18">
        <f t="shared" si="62"/>
        <v>3.7174149070059559</v>
      </c>
      <c r="H227" s="18">
        <f t="shared" si="62"/>
        <v>3.7174149070059559</v>
      </c>
      <c r="I227" s="16"/>
      <c r="J227" s="18">
        <f t="shared" si="50"/>
        <v>29.254333305312258</v>
      </c>
      <c r="K227" s="18">
        <f t="shared" si="51"/>
        <v>3.9776789328773479</v>
      </c>
      <c r="L227" s="18">
        <f t="shared" si="52"/>
        <v>2.7176480779655723</v>
      </c>
      <c r="M227" s="18">
        <f t="shared" si="53"/>
        <v>2.7176480779655723</v>
      </c>
      <c r="N227" s="18">
        <f t="shared" si="54"/>
        <v>2.7176480779655723</v>
      </c>
      <c r="O227" s="16"/>
      <c r="P227" s="18">
        <f t="shared" si="49"/>
        <v>478.1628829834176</v>
      </c>
      <c r="Q227" s="18">
        <f t="shared" si="59"/>
        <v>716.21212981760573</v>
      </c>
      <c r="R227" s="18">
        <f t="shared" si="60"/>
        <v>0</v>
      </c>
      <c r="S227" s="18">
        <f t="shared" si="61"/>
        <v>0</v>
      </c>
      <c r="T227" s="18">
        <v>100</v>
      </c>
      <c r="U227" s="16"/>
      <c r="V227" s="18">
        <f t="shared" si="55"/>
        <v>1294.3750128010233</v>
      </c>
      <c r="W227" s="16"/>
      <c r="X227" s="18">
        <f t="shared" si="56"/>
        <v>85629.383133201263</v>
      </c>
      <c r="Y227" s="18">
        <f t="shared" si="57"/>
        <v>292.62498719897667</v>
      </c>
      <c r="Z227" s="18"/>
      <c r="AA227" s="18">
        <f t="shared" si="58"/>
        <v>2.7757385131349434E-4</v>
      </c>
    </row>
    <row r="228" spans="2:27" x14ac:dyDescent="0.35">
      <c r="B228" s="26">
        <v>59.5</v>
      </c>
      <c r="C228" s="26">
        <v>1607</v>
      </c>
      <c r="D228" s="18">
        <f t="shared" si="48"/>
        <v>32.765074643508598</v>
      </c>
      <c r="E228" s="18">
        <f t="shared" si="62"/>
        <v>5.3724423600272537</v>
      </c>
      <c r="F228" s="18">
        <f t="shared" si="62"/>
        <v>3.7474149070059544</v>
      </c>
      <c r="G228" s="18">
        <f t="shared" si="62"/>
        <v>3.7474149070059544</v>
      </c>
      <c r="H228" s="18">
        <f t="shared" si="62"/>
        <v>3.7474149070059544</v>
      </c>
      <c r="I228" s="16"/>
      <c r="J228" s="18">
        <f t="shared" si="50"/>
        <v>29.384603787045339</v>
      </c>
      <c r="K228" s="18">
        <f t="shared" si="51"/>
        <v>3.9889214731470708</v>
      </c>
      <c r="L228" s="18">
        <f t="shared" si="52"/>
        <v>2.739602185075436</v>
      </c>
      <c r="M228" s="18">
        <f t="shared" si="53"/>
        <v>2.739602185075436</v>
      </c>
      <c r="N228" s="18">
        <f t="shared" si="54"/>
        <v>2.739602185075436</v>
      </c>
      <c r="O228" s="16"/>
      <c r="P228" s="18">
        <f t="shared" si="49"/>
        <v>474.00206844349498</v>
      </c>
      <c r="Q228" s="18">
        <f t="shared" si="59"/>
        <v>712.58409217063638</v>
      </c>
      <c r="R228" s="18">
        <f t="shared" si="60"/>
        <v>0</v>
      </c>
      <c r="S228" s="18">
        <f t="shared" si="61"/>
        <v>0</v>
      </c>
      <c r="T228" s="18">
        <v>100</v>
      </c>
      <c r="U228" s="16"/>
      <c r="V228" s="18">
        <f t="shared" si="55"/>
        <v>1286.5861606141314</v>
      </c>
      <c r="W228" s="16"/>
      <c r="X228" s="18">
        <f t="shared" si="56"/>
        <v>102665.02846999322</v>
      </c>
      <c r="Y228" s="18">
        <f t="shared" si="57"/>
        <v>320.41383938586864</v>
      </c>
      <c r="Z228" s="18"/>
      <c r="AA228" s="18">
        <f t="shared" si="58"/>
        <v>3.0393338676851716E-4</v>
      </c>
    </row>
    <row r="229" spans="2:27" x14ac:dyDescent="0.35">
      <c r="B229" s="26">
        <v>59.900000000000006</v>
      </c>
      <c r="C229" s="26">
        <v>1649</v>
      </c>
      <c r="D229" s="18">
        <f t="shared" si="48"/>
        <v>32.944692814576641</v>
      </c>
      <c r="E229" s="18">
        <f t="shared" si="62"/>
        <v>5.3911956409137396</v>
      </c>
      <c r="F229" s="18">
        <f t="shared" si="62"/>
        <v>3.7874149070059553</v>
      </c>
      <c r="G229" s="18">
        <f t="shared" si="62"/>
        <v>3.7874149070059553</v>
      </c>
      <c r="H229" s="18">
        <f t="shared" si="62"/>
        <v>3.7874149070059553</v>
      </c>
      <c r="I229" s="16"/>
      <c r="J229" s="18">
        <f t="shared" si="50"/>
        <v>29.558327306481946</v>
      </c>
      <c r="K229" s="18">
        <f t="shared" si="51"/>
        <v>4.0039214080200303</v>
      </c>
      <c r="L229" s="18">
        <f t="shared" si="52"/>
        <v>2.7689475902989193</v>
      </c>
      <c r="M229" s="18">
        <f t="shared" si="53"/>
        <v>2.7689475902989193</v>
      </c>
      <c r="N229" s="18">
        <f t="shared" si="54"/>
        <v>2.7689475902989193</v>
      </c>
      <c r="O229" s="16"/>
      <c r="P229" s="18">
        <f t="shared" si="49"/>
        <v>468.53735492996435</v>
      </c>
      <c r="Q229" s="18">
        <f t="shared" si="59"/>
        <v>707.78646519503422</v>
      </c>
      <c r="R229" s="18">
        <f t="shared" si="60"/>
        <v>0</v>
      </c>
      <c r="S229" s="18">
        <f t="shared" si="61"/>
        <v>0</v>
      </c>
      <c r="T229" s="18">
        <v>100</v>
      </c>
      <c r="U229" s="16"/>
      <c r="V229" s="18">
        <f t="shared" si="55"/>
        <v>1276.3238201249985</v>
      </c>
      <c r="W229" s="16"/>
      <c r="X229" s="18">
        <f t="shared" si="56"/>
        <v>138887.53504622445</v>
      </c>
      <c r="Y229" s="18">
        <f t="shared" si="57"/>
        <v>372.67617987500148</v>
      </c>
      <c r="Z229" s="18"/>
      <c r="AA229" s="18">
        <f t="shared" si="58"/>
        <v>3.5350761919167539E-4</v>
      </c>
    </row>
    <row r="230" spans="2:27" x14ac:dyDescent="0.35">
      <c r="B230" s="26">
        <v>60.200000000000017</v>
      </c>
      <c r="C230" s="26">
        <v>1612</v>
      </c>
      <c r="D230" s="18">
        <f t="shared" si="48"/>
        <v>33.079406442877669</v>
      </c>
      <c r="E230" s="18">
        <f t="shared" si="62"/>
        <v>5.4052606015786058</v>
      </c>
      <c r="F230" s="18">
        <f t="shared" si="62"/>
        <v>3.8174149070059564</v>
      </c>
      <c r="G230" s="18">
        <f t="shared" si="62"/>
        <v>3.8174149070059564</v>
      </c>
      <c r="H230" s="18">
        <f t="shared" si="62"/>
        <v>3.8174149070059564</v>
      </c>
      <c r="I230" s="16"/>
      <c r="J230" s="18">
        <f t="shared" si="50"/>
        <v>29.688641897893483</v>
      </c>
      <c r="K230" s="18">
        <f t="shared" si="51"/>
        <v>4.0151787376890491</v>
      </c>
      <c r="L230" s="18">
        <f t="shared" si="52"/>
        <v>2.7910110082602486</v>
      </c>
      <c r="M230" s="18">
        <f t="shared" si="53"/>
        <v>2.7910110082602486</v>
      </c>
      <c r="N230" s="18">
        <f t="shared" si="54"/>
        <v>2.7910110082602486</v>
      </c>
      <c r="O230" s="16"/>
      <c r="P230" s="18">
        <f t="shared" si="49"/>
        <v>464.49992989695772</v>
      </c>
      <c r="Q230" s="18">
        <f t="shared" si="59"/>
        <v>704.21776923871232</v>
      </c>
      <c r="R230" s="18">
        <f t="shared" si="60"/>
        <v>0</v>
      </c>
      <c r="S230" s="18">
        <f t="shared" si="61"/>
        <v>0</v>
      </c>
      <c r="T230" s="18">
        <v>100</v>
      </c>
      <c r="U230" s="16"/>
      <c r="V230" s="18">
        <f t="shared" si="55"/>
        <v>1268.71769913567</v>
      </c>
      <c r="W230" s="16"/>
      <c r="X230" s="18">
        <f t="shared" si="56"/>
        <v>117842.73808670836</v>
      </c>
      <c r="Y230" s="18">
        <f t="shared" si="57"/>
        <v>343.28230086432995</v>
      </c>
      <c r="Z230" s="18"/>
      <c r="AA230" s="18">
        <f t="shared" si="58"/>
        <v>3.2562561130119024E-4</v>
      </c>
    </row>
    <row r="231" spans="2:27" x14ac:dyDescent="0.35">
      <c r="B231" s="26">
        <v>60.5</v>
      </c>
      <c r="C231" s="26">
        <v>1579</v>
      </c>
      <c r="D231" s="18">
        <f t="shared" si="48"/>
        <v>33.214120071178691</v>
      </c>
      <c r="E231" s="18">
        <f t="shared" ref="E231:H231" si="63">D$23-LN(1/D$23)+$B231*D$22</f>
        <v>5.4193255622434684</v>
      </c>
      <c r="F231" s="18">
        <f t="shared" si="63"/>
        <v>3.8474149070059549</v>
      </c>
      <c r="G231" s="18">
        <f t="shared" si="63"/>
        <v>3.8474149070059549</v>
      </c>
      <c r="H231" s="18">
        <f t="shared" si="63"/>
        <v>3.8474149070059549</v>
      </c>
      <c r="I231" s="16"/>
      <c r="J231" s="18">
        <f t="shared" si="50"/>
        <v>29.818975130945599</v>
      </c>
      <c r="K231" s="18">
        <f t="shared" si="51"/>
        <v>4.0264423642091449</v>
      </c>
      <c r="L231" s="18">
        <f t="shared" si="52"/>
        <v>2.8131205306804867</v>
      </c>
      <c r="M231" s="18">
        <f t="shared" si="53"/>
        <v>2.8131205306804867</v>
      </c>
      <c r="N231" s="18">
        <f t="shared" si="54"/>
        <v>2.8131205306804867</v>
      </c>
      <c r="O231" s="16"/>
      <c r="P231" s="18">
        <f t="shared" si="49"/>
        <v>460.51390538029364</v>
      </c>
      <c r="Q231" s="18">
        <f t="shared" si="59"/>
        <v>700.67413139881842</v>
      </c>
      <c r="R231" s="18">
        <f t="shared" si="60"/>
        <v>0</v>
      </c>
      <c r="S231" s="18">
        <f t="shared" si="61"/>
        <v>0</v>
      </c>
      <c r="T231" s="18">
        <v>100</v>
      </c>
      <c r="U231" s="16"/>
      <c r="V231" s="18">
        <f t="shared" si="55"/>
        <v>1261.1880367791121</v>
      </c>
      <c r="W231" s="16"/>
      <c r="X231" s="18">
        <f t="shared" si="56"/>
        <v>101004.44396631503</v>
      </c>
      <c r="Y231" s="18">
        <f t="shared" si="57"/>
        <v>317.81196322088795</v>
      </c>
      <c r="Z231" s="18"/>
      <c r="AA231" s="18">
        <f t="shared" si="58"/>
        <v>3.0146533783439317E-4</v>
      </c>
    </row>
    <row r="232" spans="2:27" x14ac:dyDescent="0.35">
      <c r="B232" s="26">
        <v>60.800000000000011</v>
      </c>
      <c r="C232" s="26">
        <v>1609</v>
      </c>
      <c r="D232" s="18">
        <f t="shared" ref="D232:H295" si="64">C$23-LN(1/C$23)+$B232*C$22</f>
        <v>33.348833699479727</v>
      </c>
      <c r="E232" s="18">
        <f t="shared" si="64"/>
        <v>5.4333905229083346</v>
      </c>
      <c r="F232" s="18">
        <f t="shared" si="64"/>
        <v>3.877414907005956</v>
      </c>
      <c r="G232" s="18">
        <f t="shared" si="64"/>
        <v>3.877414907005956</v>
      </c>
      <c r="H232" s="18">
        <f t="shared" si="64"/>
        <v>3.877414907005956</v>
      </c>
      <c r="I232" s="16"/>
      <c r="J232" s="18">
        <f t="shared" si="50"/>
        <v>29.9493268509327</v>
      </c>
      <c r="K232" s="18">
        <f t="shared" si="51"/>
        <v>4.0377122628895599</v>
      </c>
      <c r="L232" s="18">
        <f t="shared" si="52"/>
        <v>2.8352757191301468</v>
      </c>
      <c r="M232" s="18">
        <f t="shared" si="53"/>
        <v>2.8352757191301468</v>
      </c>
      <c r="N232" s="18">
        <f t="shared" si="54"/>
        <v>2.8352757191301468</v>
      </c>
      <c r="O232" s="16"/>
      <c r="P232" s="18">
        <f t="shared" ref="P232:P295" si="65">(C$21*$A$21*C$23*C$22)/(J232+J232^2)</f>
        <v>456.57841964439035</v>
      </c>
      <c r="Q232" s="18">
        <f t="shared" si="59"/>
        <v>697.15533064932038</v>
      </c>
      <c r="R232" s="18">
        <f t="shared" si="60"/>
        <v>0</v>
      </c>
      <c r="S232" s="18">
        <f t="shared" si="61"/>
        <v>0</v>
      </c>
      <c r="T232" s="18">
        <v>100</v>
      </c>
      <c r="U232" s="16"/>
      <c r="V232" s="18">
        <f t="shared" si="55"/>
        <v>1253.7337502937107</v>
      </c>
      <c r="W232" s="16"/>
      <c r="X232" s="18">
        <f t="shared" si="56"/>
        <v>126214.10818037148</v>
      </c>
      <c r="Y232" s="18">
        <f t="shared" si="57"/>
        <v>355.26624970628927</v>
      </c>
      <c r="Z232" s="18"/>
      <c r="AA232" s="18">
        <f t="shared" si="58"/>
        <v>3.3699316697662085E-4</v>
      </c>
    </row>
    <row r="233" spans="2:27" x14ac:dyDescent="0.35">
      <c r="B233" s="26">
        <v>61.099999999999994</v>
      </c>
      <c r="C233" s="26">
        <v>1608</v>
      </c>
      <c r="D233" s="18">
        <f t="shared" si="64"/>
        <v>33.483547327780748</v>
      </c>
      <c r="E233" s="18">
        <f t="shared" si="64"/>
        <v>5.4474554835731972</v>
      </c>
      <c r="F233" s="18">
        <f t="shared" si="64"/>
        <v>3.9074149070059536</v>
      </c>
      <c r="G233" s="18">
        <f t="shared" si="64"/>
        <v>3.9074149070059536</v>
      </c>
      <c r="H233" s="18">
        <f t="shared" si="64"/>
        <v>3.9074149070059536</v>
      </c>
      <c r="I233" s="16"/>
      <c r="J233" s="18">
        <f t="shared" si="50"/>
        <v>30.079696905044923</v>
      </c>
      <c r="K233" s="18">
        <f t="shared" si="51"/>
        <v>4.0489884091679382</v>
      </c>
      <c r="L233" s="18">
        <f t="shared" si="52"/>
        <v>2.8574761402298154</v>
      </c>
      <c r="M233" s="18">
        <f t="shared" si="53"/>
        <v>2.8574761402298154</v>
      </c>
      <c r="N233" s="18">
        <f t="shared" si="54"/>
        <v>2.8574761402298154</v>
      </c>
      <c r="O233" s="16"/>
      <c r="P233" s="18">
        <f t="shared" si="65"/>
        <v>452.69262881892723</v>
      </c>
      <c r="Q233" s="18">
        <f t="shared" si="59"/>
        <v>693.66114827769752</v>
      </c>
      <c r="R233" s="18">
        <f t="shared" si="60"/>
        <v>0</v>
      </c>
      <c r="S233" s="18">
        <f t="shared" si="61"/>
        <v>0</v>
      </c>
      <c r="T233" s="18">
        <v>100</v>
      </c>
      <c r="U233" s="16"/>
      <c r="V233" s="18">
        <f t="shared" si="55"/>
        <v>1246.3537770966248</v>
      </c>
      <c r="W233" s="16"/>
      <c r="X233" s="18">
        <f t="shared" si="56"/>
        <v>130787.99054027778</v>
      </c>
      <c r="Y233" s="18">
        <f t="shared" si="57"/>
        <v>361.64622290337525</v>
      </c>
      <c r="Z233" s="18"/>
      <c r="AA233" s="18">
        <f t="shared" si="58"/>
        <v>3.4304498691361022E-4</v>
      </c>
    </row>
    <row r="234" spans="2:27" x14ac:dyDescent="0.35">
      <c r="B234" s="26">
        <v>61.400000000000006</v>
      </c>
      <c r="C234" s="26">
        <v>1623</v>
      </c>
      <c r="D234" s="18">
        <f t="shared" si="64"/>
        <v>33.618260956081784</v>
      </c>
      <c r="E234" s="18">
        <f t="shared" si="64"/>
        <v>5.4615204442380634</v>
      </c>
      <c r="F234" s="18">
        <f t="shared" si="64"/>
        <v>3.9374149070059548</v>
      </c>
      <c r="G234" s="18">
        <f t="shared" si="64"/>
        <v>3.9374149070059548</v>
      </c>
      <c r="H234" s="18">
        <f t="shared" si="64"/>
        <v>3.9374149070059548</v>
      </c>
      <c r="I234" s="16"/>
      <c r="J234" s="18">
        <f t="shared" si="50"/>
        <v>30.210085142337697</v>
      </c>
      <c r="K234" s="18">
        <f t="shared" si="51"/>
        <v>4.0602707786095733</v>
      </c>
      <c r="L234" s="18">
        <f t="shared" si="52"/>
        <v>2.879721365595584</v>
      </c>
      <c r="M234" s="18">
        <f t="shared" si="53"/>
        <v>2.879721365595584</v>
      </c>
      <c r="N234" s="18">
        <f t="shared" si="54"/>
        <v>2.879721365595584</v>
      </c>
      <c r="O234" s="16"/>
      <c r="P234" s="18">
        <f t="shared" si="65"/>
        <v>448.85570645867062</v>
      </c>
      <c r="Q234" s="18">
        <f t="shared" si="59"/>
        <v>690.1913678572389</v>
      </c>
      <c r="R234" s="18">
        <f t="shared" si="60"/>
        <v>0</v>
      </c>
      <c r="S234" s="18">
        <f t="shared" si="61"/>
        <v>0</v>
      </c>
      <c r="T234" s="18">
        <v>100</v>
      </c>
      <c r="U234" s="16"/>
      <c r="V234" s="18">
        <f t="shared" si="55"/>
        <v>1239.0470743159094</v>
      </c>
      <c r="W234" s="16"/>
      <c r="X234" s="18">
        <f t="shared" si="56"/>
        <v>147419.84914137278</v>
      </c>
      <c r="Y234" s="18">
        <f t="shared" si="57"/>
        <v>383.95292568409059</v>
      </c>
      <c r="Z234" s="18"/>
      <c r="AA234" s="18">
        <f t="shared" si="58"/>
        <v>3.6420434674892864E-4</v>
      </c>
    </row>
    <row r="235" spans="2:27" x14ac:dyDescent="0.35">
      <c r="B235" s="26">
        <v>61.700000000000017</v>
      </c>
      <c r="C235" s="26">
        <v>1579</v>
      </c>
      <c r="D235" s="18">
        <f t="shared" si="64"/>
        <v>33.752974584382812</v>
      </c>
      <c r="E235" s="18">
        <f t="shared" si="64"/>
        <v>5.4755854049029278</v>
      </c>
      <c r="F235" s="18">
        <f t="shared" si="64"/>
        <v>3.9674149070059559</v>
      </c>
      <c r="G235" s="18">
        <f t="shared" si="64"/>
        <v>3.9674149070059559</v>
      </c>
      <c r="H235" s="18">
        <f t="shared" si="64"/>
        <v>3.9674149070059559</v>
      </c>
      <c r="I235" s="16"/>
      <c r="J235" s="18">
        <f t="shared" si="50"/>
        <v>30.340491413701649</v>
      </c>
      <c r="K235" s="18">
        <f t="shared" si="51"/>
        <v>4.0715593469066267</v>
      </c>
      <c r="L235" s="18">
        <f t="shared" si="52"/>
        <v>2.9020109717845495</v>
      </c>
      <c r="M235" s="18">
        <f t="shared" si="53"/>
        <v>2.9020109717845495</v>
      </c>
      <c r="N235" s="18">
        <f t="shared" si="54"/>
        <v>2.9020109717845495</v>
      </c>
      <c r="O235" s="16"/>
      <c r="P235" s="18">
        <f t="shared" si="65"/>
        <v>445.06684311584803</v>
      </c>
      <c r="Q235" s="18">
        <f t="shared" si="59"/>
        <v>686.7457752197206</v>
      </c>
      <c r="R235" s="18">
        <f t="shared" si="60"/>
        <v>0</v>
      </c>
      <c r="S235" s="18">
        <f t="shared" si="61"/>
        <v>0</v>
      </c>
      <c r="T235" s="18">
        <v>100</v>
      </c>
      <c r="U235" s="16"/>
      <c r="V235" s="18">
        <f t="shared" si="55"/>
        <v>1231.8126183355687</v>
      </c>
      <c r="W235" s="16"/>
      <c r="X235" s="18">
        <f t="shared" si="56"/>
        <v>120539.0779870035</v>
      </c>
      <c r="Y235" s="18">
        <f t="shared" si="57"/>
        <v>347.18738166443131</v>
      </c>
      <c r="Z235" s="18"/>
      <c r="AA235" s="18">
        <f t="shared" si="58"/>
        <v>3.2932983467510692E-4</v>
      </c>
    </row>
    <row r="236" spans="2:27" x14ac:dyDescent="0.35">
      <c r="B236" s="26">
        <v>62.099999999999994</v>
      </c>
      <c r="C236" s="26">
        <v>1540</v>
      </c>
      <c r="D236" s="18">
        <f t="shared" si="64"/>
        <v>33.932592755450841</v>
      </c>
      <c r="E236" s="18">
        <f t="shared" si="64"/>
        <v>5.4943386857894128</v>
      </c>
      <c r="F236" s="18">
        <f t="shared" si="64"/>
        <v>4.0074149070059537</v>
      </c>
      <c r="G236" s="18">
        <f t="shared" si="64"/>
        <v>4.0074149070059537</v>
      </c>
      <c r="H236" s="18">
        <f t="shared" si="64"/>
        <v>4.0074149070059537</v>
      </c>
      <c r="I236" s="16"/>
      <c r="J236" s="18">
        <f t="shared" si="50"/>
        <v>30.514394240844457</v>
      </c>
      <c r="K236" s="18">
        <f t="shared" si="51"/>
        <v>4.0866203721891869</v>
      </c>
      <c r="L236" s="18">
        <f t="shared" si="52"/>
        <v>2.9317987608057705</v>
      </c>
      <c r="M236" s="18">
        <f t="shared" si="53"/>
        <v>2.9317987608057705</v>
      </c>
      <c r="N236" s="18">
        <f t="shared" si="54"/>
        <v>2.9317987608057705</v>
      </c>
      <c r="O236" s="16"/>
      <c r="P236" s="18">
        <f t="shared" si="65"/>
        <v>440.08841574942608</v>
      </c>
      <c r="Q236" s="18">
        <f t="shared" si="59"/>
        <v>682.18891115089184</v>
      </c>
      <c r="R236" s="18">
        <f t="shared" si="60"/>
        <v>0</v>
      </c>
      <c r="S236" s="18">
        <f t="shared" si="61"/>
        <v>0</v>
      </c>
      <c r="T236" s="18">
        <v>100</v>
      </c>
      <c r="U236" s="16"/>
      <c r="V236" s="18">
        <f t="shared" si="55"/>
        <v>1222.2773269003178</v>
      </c>
      <c r="W236" s="16"/>
      <c r="X236" s="18">
        <f t="shared" si="56"/>
        <v>100947.69700160752</v>
      </c>
      <c r="Y236" s="18">
        <f t="shared" si="57"/>
        <v>317.7226730996822</v>
      </c>
      <c r="Z236" s="18"/>
      <c r="AA236" s="18">
        <f t="shared" si="58"/>
        <v>3.0138064034131656E-4</v>
      </c>
    </row>
    <row r="237" spans="2:27" x14ac:dyDescent="0.35">
      <c r="B237" s="26">
        <v>62.400000000000006</v>
      </c>
      <c r="C237" s="26">
        <v>1458</v>
      </c>
      <c r="D237" s="18">
        <f t="shared" si="64"/>
        <v>34.067306383751877</v>
      </c>
      <c r="E237" s="18">
        <f t="shared" si="64"/>
        <v>5.508403646454278</v>
      </c>
      <c r="F237" s="18">
        <f t="shared" si="64"/>
        <v>4.0374149070059548</v>
      </c>
      <c r="G237" s="18">
        <f t="shared" si="64"/>
        <v>4.0374149070059548</v>
      </c>
      <c r="H237" s="18">
        <f t="shared" si="64"/>
        <v>4.0374149070059548</v>
      </c>
      <c r="I237" s="16"/>
      <c r="J237" s="18">
        <f t="shared" si="50"/>
        <v>30.644842021928515</v>
      </c>
      <c r="K237" s="18">
        <f t="shared" si="51"/>
        <v>4.097923310658758</v>
      </c>
      <c r="L237" s="18">
        <f t="shared" si="52"/>
        <v>2.9541903028747196</v>
      </c>
      <c r="M237" s="18">
        <f t="shared" si="53"/>
        <v>2.9541903028747196</v>
      </c>
      <c r="N237" s="18">
        <f t="shared" si="54"/>
        <v>2.9541903028747196</v>
      </c>
      <c r="O237" s="16"/>
      <c r="P237" s="18">
        <f t="shared" si="65"/>
        <v>436.40863465253943</v>
      </c>
      <c r="Q237" s="18">
        <f t="shared" si="59"/>
        <v>678.7989362824502</v>
      </c>
      <c r="R237" s="18">
        <f t="shared" si="60"/>
        <v>0</v>
      </c>
      <c r="S237" s="18">
        <f t="shared" si="61"/>
        <v>0</v>
      </c>
      <c r="T237" s="18">
        <v>100</v>
      </c>
      <c r="U237" s="16"/>
      <c r="V237" s="18">
        <f t="shared" si="55"/>
        <v>1215.2075709349897</v>
      </c>
      <c r="W237" s="16"/>
      <c r="X237" s="18">
        <f t="shared" si="56"/>
        <v>58948.163611288066</v>
      </c>
      <c r="Y237" s="18">
        <f t="shared" si="57"/>
        <v>242.79242906501031</v>
      </c>
      <c r="Z237" s="18"/>
      <c r="AA237" s="18">
        <f t="shared" si="58"/>
        <v>2.3030442564191581E-4</v>
      </c>
    </row>
    <row r="238" spans="2:27" x14ac:dyDescent="0.35">
      <c r="B238" s="26">
        <v>62.700000000000017</v>
      </c>
      <c r="C238" s="26">
        <v>1568</v>
      </c>
      <c r="D238" s="18">
        <f t="shared" si="64"/>
        <v>34.202020012052913</v>
      </c>
      <c r="E238" s="18">
        <f t="shared" si="64"/>
        <v>5.5224686071191424</v>
      </c>
      <c r="F238" s="18">
        <f t="shared" si="64"/>
        <v>4.067414907005956</v>
      </c>
      <c r="G238" s="18">
        <f t="shared" si="64"/>
        <v>4.067414907005956</v>
      </c>
      <c r="H238" s="18">
        <f t="shared" si="64"/>
        <v>4.067414907005956</v>
      </c>
      <c r="I238" s="16"/>
      <c r="J238" s="18">
        <f t="shared" si="50"/>
        <v>30.775307352934476</v>
      </c>
      <c r="K238" s="18">
        <f t="shared" si="51"/>
        <v>4.1092323678642186</v>
      </c>
      <c r="L238" s="18">
        <f t="shared" si="52"/>
        <v>2.9766248492788883</v>
      </c>
      <c r="M238" s="18">
        <f t="shared" si="53"/>
        <v>2.9766248492788883</v>
      </c>
      <c r="N238" s="18">
        <f t="shared" si="54"/>
        <v>2.9766248492788883</v>
      </c>
      <c r="O238" s="16"/>
      <c r="P238" s="18">
        <f t="shared" si="65"/>
        <v>432.7743319257516</v>
      </c>
      <c r="Q238" s="18">
        <f t="shared" si="59"/>
        <v>675.43245127061948</v>
      </c>
      <c r="R238" s="18">
        <f t="shared" si="60"/>
        <v>0</v>
      </c>
      <c r="S238" s="18">
        <f t="shared" si="61"/>
        <v>0</v>
      </c>
      <c r="T238" s="18">
        <v>100</v>
      </c>
      <c r="U238" s="16"/>
      <c r="V238" s="18">
        <f t="shared" si="55"/>
        <v>1208.2067831963711</v>
      </c>
      <c r="W238" s="16"/>
      <c r="X238" s="18">
        <f t="shared" si="56"/>
        <v>129451.15885790308</v>
      </c>
      <c r="Y238" s="18">
        <f t="shared" si="57"/>
        <v>359.79321680362887</v>
      </c>
      <c r="Z238" s="18"/>
      <c r="AA238" s="18">
        <f t="shared" si="58"/>
        <v>3.4128728999053691E-4</v>
      </c>
    </row>
    <row r="239" spans="2:27" x14ac:dyDescent="0.35">
      <c r="B239" s="26">
        <v>63</v>
      </c>
      <c r="C239" s="26">
        <v>1525</v>
      </c>
      <c r="D239" s="18">
        <f t="shared" si="64"/>
        <v>34.336733640353927</v>
      </c>
      <c r="E239" s="18">
        <f t="shared" si="64"/>
        <v>5.5365335677840068</v>
      </c>
      <c r="F239" s="18">
        <f t="shared" si="64"/>
        <v>4.0974149070059553</v>
      </c>
      <c r="G239" s="18">
        <f t="shared" si="64"/>
        <v>4.0974149070059553</v>
      </c>
      <c r="H239" s="18">
        <f t="shared" si="64"/>
        <v>4.0974149070059553</v>
      </c>
      <c r="I239" s="16"/>
      <c r="J239" s="18">
        <f t="shared" si="50"/>
        <v>30.905790092373753</v>
      </c>
      <c r="K239" s="18">
        <f t="shared" si="51"/>
        <v>4.1205475200387935</v>
      </c>
      <c r="L239" s="18">
        <f t="shared" si="52"/>
        <v>2.9991019973604551</v>
      </c>
      <c r="M239" s="18">
        <f t="shared" si="53"/>
        <v>2.9991019973604551</v>
      </c>
      <c r="N239" s="18">
        <f t="shared" si="54"/>
        <v>2.9991019973604551</v>
      </c>
      <c r="O239" s="16"/>
      <c r="P239" s="18">
        <f t="shared" si="65"/>
        <v>429.18476712369284</v>
      </c>
      <c r="Q239" s="18">
        <f t="shared" si="59"/>
        <v>672.08925142692874</v>
      </c>
      <c r="R239" s="18">
        <f t="shared" si="60"/>
        <v>0</v>
      </c>
      <c r="S239" s="18">
        <f t="shared" si="61"/>
        <v>0</v>
      </c>
      <c r="T239" s="18">
        <v>100</v>
      </c>
      <c r="U239" s="16"/>
      <c r="V239" s="18">
        <f t="shared" si="55"/>
        <v>1201.2740185506216</v>
      </c>
      <c r="W239" s="16"/>
      <c r="X239" s="18">
        <f t="shared" si="56"/>
        <v>104798.5110653633</v>
      </c>
      <c r="Y239" s="18">
        <f t="shared" si="57"/>
        <v>323.72598144937842</v>
      </c>
      <c r="Z239" s="18"/>
      <c r="AA239" s="18">
        <f t="shared" si="58"/>
        <v>3.0707516914829967E-4</v>
      </c>
    </row>
    <row r="240" spans="2:27" x14ac:dyDescent="0.35">
      <c r="B240" s="26">
        <v>63.300000000000011</v>
      </c>
      <c r="C240" s="26">
        <v>1520</v>
      </c>
      <c r="D240" s="18">
        <f t="shared" si="64"/>
        <v>34.471447268654963</v>
      </c>
      <c r="E240" s="18">
        <f t="shared" si="64"/>
        <v>5.5505985284488712</v>
      </c>
      <c r="F240" s="18">
        <f t="shared" si="64"/>
        <v>4.1274149070059565</v>
      </c>
      <c r="G240" s="18">
        <f t="shared" si="64"/>
        <v>4.1274149070059565</v>
      </c>
      <c r="H240" s="18">
        <f t="shared" si="64"/>
        <v>4.1274149070059565</v>
      </c>
      <c r="I240" s="16"/>
      <c r="J240" s="18">
        <f t="shared" si="50"/>
        <v>31.036290100442979</v>
      </c>
      <c r="K240" s="18">
        <f t="shared" si="51"/>
        <v>4.1318687435385764</v>
      </c>
      <c r="L240" s="18">
        <f t="shared" si="52"/>
        <v>3.0216213491148052</v>
      </c>
      <c r="M240" s="18">
        <f t="shared" si="53"/>
        <v>3.0216213491148052</v>
      </c>
      <c r="N240" s="18">
        <f t="shared" si="54"/>
        <v>3.0216213491148052</v>
      </c>
      <c r="O240" s="16"/>
      <c r="P240" s="18">
        <f t="shared" si="65"/>
        <v>425.63921471347317</v>
      </c>
      <c r="Q240" s="18">
        <f t="shared" si="59"/>
        <v>668.7691341816643</v>
      </c>
      <c r="R240" s="18">
        <f t="shared" si="60"/>
        <v>0</v>
      </c>
      <c r="S240" s="18">
        <f t="shared" si="61"/>
        <v>0</v>
      </c>
      <c r="T240" s="18">
        <v>100</v>
      </c>
      <c r="U240" s="16"/>
      <c r="V240" s="18">
        <f t="shared" si="55"/>
        <v>1194.4083488951374</v>
      </c>
      <c r="W240" s="16"/>
      <c r="X240" s="18">
        <f t="shared" si="56"/>
        <v>106009.92326919061</v>
      </c>
      <c r="Y240" s="18">
        <f t="shared" si="57"/>
        <v>325.59165110486265</v>
      </c>
      <c r="Z240" s="18"/>
      <c r="AA240" s="18">
        <f t="shared" si="58"/>
        <v>3.0884487827843404E-4</v>
      </c>
    </row>
    <row r="241" spans="2:27" x14ac:dyDescent="0.35">
      <c r="B241" s="26">
        <v>63.599999999999994</v>
      </c>
      <c r="C241" s="26">
        <v>1573</v>
      </c>
      <c r="D241" s="18">
        <f t="shared" si="64"/>
        <v>34.606160896955984</v>
      </c>
      <c r="E241" s="18">
        <f t="shared" si="64"/>
        <v>5.5646634891137357</v>
      </c>
      <c r="F241" s="18">
        <f t="shared" si="64"/>
        <v>4.1574149070059541</v>
      </c>
      <c r="G241" s="18">
        <f t="shared" si="64"/>
        <v>4.1574149070059541</v>
      </c>
      <c r="H241" s="18">
        <f t="shared" si="64"/>
        <v>4.1574149070059541</v>
      </c>
      <c r="I241" s="16"/>
      <c r="J241" s="18">
        <f t="shared" si="50"/>
        <v>31.16680723899746</v>
      </c>
      <c r="K241" s="18">
        <f t="shared" si="51"/>
        <v>4.1431960148417915</v>
      </c>
      <c r="L241" s="18">
        <f t="shared" si="52"/>
        <v>3.0441825111372607</v>
      </c>
      <c r="M241" s="18">
        <f t="shared" si="53"/>
        <v>3.0441825111372607</v>
      </c>
      <c r="N241" s="18">
        <f t="shared" si="54"/>
        <v>3.0441825111372607</v>
      </c>
      <c r="O241" s="16"/>
      <c r="P241" s="18">
        <f t="shared" si="65"/>
        <v>422.13696371765275</v>
      </c>
      <c r="Q241" s="18">
        <f t="shared" si="59"/>
        <v>665.4718990587603</v>
      </c>
      <c r="R241" s="18">
        <f t="shared" si="60"/>
        <v>0</v>
      </c>
      <c r="S241" s="18">
        <f t="shared" si="61"/>
        <v>0</v>
      </c>
      <c r="T241" s="18">
        <v>100</v>
      </c>
      <c r="U241" s="16"/>
      <c r="V241" s="18">
        <f t="shared" si="55"/>
        <v>1187.6088627764129</v>
      </c>
      <c r="W241" s="16"/>
      <c r="X241" s="18">
        <f t="shared" si="56"/>
        <v>148526.32865048971</v>
      </c>
      <c r="Y241" s="18">
        <f t="shared" si="57"/>
        <v>385.39113722358707</v>
      </c>
      <c r="Z241" s="18"/>
      <c r="AA241" s="18">
        <f t="shared" si="58"/>
        <v>3.6556858402696425E-4</v>
      </c>
    </row>
    <row r="242" spans="2:27" x14ac:dyDescent="0.35">
      <c r="B242" s="26">
        <v>64</v>
      </c>
      <c r="C242" s="26">
        <v>1522</v>
      </c>
      <c r="D242" s="18">
        <f t="shared" si="64"/>
        <v>34.785779068024027</v>
      </c>
      <c r="E242" s="18">
        <f t="shared" si="64"/>
        <v>5.5834167700002215</v>
      </c>
      <c r="F242" s="18">
        <f t="shared" si="64"/>
        <v>4.197414907005955</v>
      </c>
      <c r="G242" s="18">
        <f t="shared" si="64"/>
        <v>4.197414907005955</v>
      </c>
      <c r="H242" s="18">
        <f t="shared" si="64"/>
        <v>4.197414907005955</v>
      </c>
      <c r="I242" s="16"/>
      <c r="J242" s="18">
        <f t="shared" ref="J242:J305" si="66">lmb_2(D242)</f>
        <v>31.340856502110608</v>
      </c>
      <c r="K242" s="18">
        <f t="shared" ref="K242:K305" si="67">lmb_2(E242)</f>
        <v>4.1583084105126114</v>
      </c>
      <c r="L242" s="18">
        <f t="shared" ref="L242:L305" si="68">lmb_2(F242)</f>
        <v>3.0743284272439544</v>
      </c>
      <c r="M242" s="18">
        <f t="shared" ref="M242:M305" si="69">lmb_2(G242)</f>
        <v>3.0743284272439544</v>
      </c>
      <c r="N242" s="18">
        <f t="shared" ref="N242:N305" si="70">lmb_2(H242)</f>
        <v>3.0743284272439544</v>
      </c>
      <c r="O242" s="16"/>
      <c r="P242" s="18">
        <f t="shared" si="65"/>
        <v>417.53345119081308</v>
      </c>
      <c r="Q242" s="18">
        <f t="shared" si="59"/>
        <v>661.11083734302542</v>
      </c>
      <c r="R242" s="18">
        <f t="shared" si="60"/>
        <v>0</v>
      </c>
      <c r="S242" s="18">
        <f t="shared" si="61"/>
        <v>0</v>
      </c>
      <c r="T242" s="18">
        <v>100</v>
      </c>
      <c r="U242" s="16"/>
      <c r="V242" s="18">
        <f t="shared" ref="V242:V305" si="71">SUM(P242:T242)</f>
        <v>1178.6442885338386</v>
      </c>
      <c r="W242" s="16"/>
      <c r="X242" s="18">
        <f t="shared" ref="X242:X305" si="72">(V242-C242)^2</f>
        <v>117893.14459643391</v>
      </c>
      <c r="Y242" s="18">
        <f t="shared" ref="Y242:Y305" si="73">ABS(V242-C242)</f>
        <v>343.35571146616144</v>
      </c>
      <c r="Z242" s="18"/>
      <c r="AA242" s="18">
        <f t="shared" ref="AA242:AA305" si="74">Y242/$Z$39</f>
        <v>3.2569524603632568E-4</v>
      </c>
    </row>
    <row r="243" spans="2:27" x14ac:dyDescent="0.35">
      <c r="B243" s="26">
        <v>64.300000000000011</v>
      </c>
      <c r="C243" s="26">
        <v>1557</v>
      </c>
      <c r="D243" s="18">
        <f t="shared" si="64"/>
        <v>34.920492696325056</v>
      </c>
      <c r="E243" s="18">
        <f t="shared" si="64"/>
        <v>5.5974817306650859</v>
      </c>
      <c r="F243" s="18">
        <f t="shared" si="64"/>
        <v>4.2274149070059561</v>
      </c>
      <c r="G243" s="18">
        <f t="shared" si="64"/>
        <v>4.2274149070059561</v>
      </c>
      <c r="H243" s="18">
        <f t="shared" si="64"/>
        <v>4.2274149070059561</v>
      </c>
      <c r="I243" s="16"/>
      <c r="J243" s="18">
        <f t="shared" si="66"/>
        <v>31.471413083692713</v>
      </c>
      <c r="K243" s="18">
        <f t="shared" si="67"/>
        <v>4.1696497025641772</v>
      </c>
      <c r="L243" s="18">
        <f t="shared" si="68"/>
        <v>3.0969856420945563</v>
      </c>
      <c r="M243" s="18">
        <f t="shared" si="69"/>
        <v>3.0969856420945563</v>
      </c>
      <c r="N243" s="18">
        <f t="shared" si="70"/>
        <v>3.0969856420945563</v>
      </c>
      <c r="O243" s="16"/>
      <c r="P243" s="18">
        <f t="shared" si="65"/>
        <v>414.12955109747435</v>
      </c>
      <c r="Q243" s="18">
        <f t="shared" si="59"/>
        <v>657.86622578550225</v>
      </c>
      <c r="R243" s="18">
        <f t="shared" si="60"/>
        <v>0</v>
      </c>
      <c r="S243" s="18">
        <f t="shared" si="61"/>
        <v>0</v>
      </c>
      <c r="T243" s="18">
        <v>100</v>
      </c>
      <c r="U243" s="16"/>
      <c r="V243" s="18">
        <f t="shared" si="71"/>
        <v>1171.9957768829765</v>
      </c>
      <c r="W243" s="16"/>
      <c r="X243" s="18">
        <f t="shared" si="72"/>
        <v>148228.25181794277</v>
      </c>
      <c r="Y243" s="18">
        <f t="shared" si="73"/>
        <v>385.00422311702346</v>
      </c>
      <c r="Z243" s="18"/>
      <c r="AA243" s="18">
        <f t="shared" si="74"/>
        <v>3.6520157080736741E-4</v>
      </c>
    </row>
    <row r="244" spans="2:27" x14ac:dyDescent="0.35">
      <c r="B244" s="26">
        <v>64.599999999999994</v>
      </c>
      <c r="C244" s="26">
        <v>1544</v>
      </c>
      <c r="D244" s="18">
        <f t="shared" si="64"/>
        <v>35.055206324626077</v>
      </c>
      <c r="E244" s="18">
        <f t="shared" si="64"/>
        <v>5.6115466913299503</v>
      </c>
      <c r="F244" s="18">
        <f t="shared" si="64"/>
        <v>4.2574149070059537</v>
      </c>
      <c r="G244" s="18">
        <f t="shared" si="64"/>
        <v>4.2574149070059537</v>
      </c>
      <c r="H244" s="18">
        <f t="shared" si="64"/>
        <v>4.2574149070059537</v>
      </c>
      <c r="I244" s="16"/>
      <c r="J244" s="18">
        <f t="shared" si="66"/>
        <v>31.601986346928737</v>
      </c>
      <c r="K244" s="18">
        <f t="shared" si="67"/>
        <v>4.1809969648859564</v>
      </c>
      <c r="L244" s="18">
        <f t="shared" si="68"/>
        <v>3.1196833884081285</v>
      </c>
      <c r="M244" s="18">
        <f t="shared" si="69"/>
        <v>3.1196833884081285</v>
      </c>
      <c r="N244" s="18">
        <f t="shared" si="70"/>
        <v>3.1196833884081285</v>
      </c>
      <c r="O244" s="16"/>
      <c r="P244" s="18">
        <f t="shared" si="65"/>
        <v>410.76668323035801</v>
      </c>
      <c r="Q244" s="18">
        <f t="shared" si="59"/>
        <v>654.6438429018765</v>
      </c>
      <c r="R244" s="18">
        <f t="shared" si="60"/>
        <v>0</v>
      </c>
      <c r="S244" s="18">
        <f t="shared" si="61"/>
        <v>0</v>
      </c>
      <c r="T244" s="18">
        <v>100</v>
      </c>
      <c r="U244" s="16"/>
      <c r="V244" s="18">
        <f t="shared" si="71"/>
        <v>1165.4105261322345</v>
      </c>
      <c r="W244" s="16"/>
      <c r="X244" s="18">
        <f t="shared" si="72"/>
        <v>143329.98972347149</v>
      </c>
      <c r="Y244" s="18">
        <f t="shared" si="73"/>
        <v>378.58947386776549</v>
      </c>
      <c r="Z244" s="18"/>
      <c r="AA244" s="18">
        <f t="shared" si="74"/>
        <v>3.5911676352084495E-4</v>
      </c>
    </row>
    <row r="245" spans="2:27" x14ac:dyDescent="0.35">
      <c r="B245" s="26">
        <v>64.900000000000006</v>
      </c>
      <c r="C245" s="26">
        <v>1555</v>
      </c>
      <c r="D245" s="18">
        <f t="shared" si="64"/>
        <v>35.189919952927113</v>
      </c>
      <c r="E245" s="18">
        <f t="shared" si="64"/>
        <v>5.6256116519948147</v>
      </c>
      <c r="F245" s="18">
        <f t="shared" si="64"/>
        <v>4.2874149070059548</v>
      </c>
      <c r="G245" s="18">
        <f t="shared" si="64"/>
        <v>4.2874149070059548</v>
      </c>
      <c r="H245" s="18">
        <f t="shared" si="64"/>
        <v>4.2874149070059548</v>
      </c>
      <c r="I245" s="16"/>
      <c r="J245" s="18">
        <f t="shared" si="66"/>
        <v>31.732576160568843</v>
      </c>
      <c r="K245" s="18">
        <f t="shared" si="67"/>
        <v>4.1923501744770073</v>
      </c>
      <c r="L245" s="18">
        <f t="shared" si="68"/>
        <v>3.1424212921047388</v>
      </c>
      <c r="M245" s="18">
        <f t="shared" si="69"/>
        <v>3.1424212921047388</v>
      </c>
      <c r="N245" s="18">
        <f t="shared" si="70"/>
        <v>3.1424212921047388</v>
      </c>
      <c r="O245" s="16"/>
      <c r="P245" s="18">
        <f t="shared" si="65"/>
        <v>407.44419579490318</v>
      </c>
      <c r="Q245" s="18">
        <f t="shared" si="59"/>
        <v>651.44349700639521</v>
      </c>
      <c r="R245" s="18">
        <f t="shared" si="60"/>
        <v>0</v>
      </c>
      <c r="S245" s="18">
        <f t="shared" si="61"/>
        <v>0</v>
      </c>
      <c r="T245" s="18">
        <v>100</v>
      </c>
      <c r="U245" s="16"/>
      <c r="V245" s="18">
        <f t="shared" si="71"/>
        <v>1158.8876928012983</v>
      </c>
      <c r="W245" s="16"/>
      <c r="X245" s="18">
        <f t="shared" si="72"/>
        <v>156904.95991427865</v>
      </c>
      <c r="Y245" s="18">
        <f t="shared" si="73"/>
        <v>396.11230719870173</v>
      </c>
      <c r="Z245" s="18"/>
      <c r="AA245" s="18">
        <f t="shared" si="74"/>
        <v>3.7573831173567712E-4</v>
      </c>
    </row>
    <row r="246" spans="2:27" x14ac:dyDescent="0.35">
      <c r="B246" s="26">
        <v>65.200000000000017</v>
      </c>
      <c r="C246" s="26">
        <v>1459</v>
      </c>
      <c r="D246" s="18">
        <f t="shared" si="64"/>
        <v>35.324633581228149</v>
      </c>
      <c r="E246" s="18">
        <f t="shared" si="64"/>
        <v>5.6396766126596809</v>
      </c>
      <c r="F246" s="18">
        <f t="shared" si="64"/>
        <v>4.317414907005956</v>
      </c>
      <c r="G246" s="18">
        <f t="shared" si="64"/>
        <v>4.317414907005956</v>
      </c>
      <c r="H246" s="18">
        <f t="shared" si="64"/>
        <v>4.317414907005956</v>
      </c>
      <c r="I246" s="16"/>
      <c r="J246" s="18">
        <f t="shared" si="66"/>
        <v>31.863182394889364</v>
      </c>
      <c r="K246" s="18">
        <f t="shared" si="67"/>
        <v>4.2037093084546662</v>
      </c>
      <c r="L246" s="18">
        <f t="shared" si="68"/>
        <v>3.1651989834254137</v>
      </c>
      <c r="M246" s="18">
        <f t="shared" si="69"/>
        <v>3.1651989834254137</v>
      </c>
      <c r="N246" s="18">
        <f t="shared" si="70"/>
        <v>3.1651989834254137</v>
      </c>
      <c r="O246" s="16"/>
      <c r="P246" s="18">
        <f t="shared" si="65"/>
        <v>404.1614498074469</v>
      </c>
      <c r="Q246" s="18">
        <f t="shared" si="59"/>
        <v>648.2649983785218</v>
      </c>
      <c r="R246" s="18">
        <f t="shared" si="60"/>
        <v>0</v>
      </c>
      <c r="S246" s="18">
        <f t="shared" si="61"/>
        <v>0</v>
      </c>
      <c r="T246" s="18">
        <v>100</v>
      </c>
      <c r="U246" s="16"/>
      <c r="V246" s="18">
        <f t="shared" si="71"/>
        <v>1152.4264481859686</v>
      </c>
      <c r="W246" s="16"/>
      <c r="X246" s="18">
        <f t="shared" si="72"/>
        <v>93987.342671870574</v>
      </c>
      <c r="Y246" s="18">
        <f t="shared" si="73"/>
        <v>306.57355181403136</v>
      </c>
      <c r="Z246" s="18"/>
      <c r="AA246" s="18">
        <f t="shared" si="74"/>
        <v>2.9080497295336705E-4</v>
      </c>
    </row>
    <row r="247" spans="2:27" x14ac:dyDescent="0.35">
      <c r="B247" s="26">
        <v>65.5</v>
      </c>
      <c r="C247" s="26">
        <v>1467</v>
      </c>
      <c r="D247" s="18">
        <f t="shared" si="64"/>
        <v>35.45934720952917</v>
      </c>
      <c r="E247" s="18">
        <f t="shared" si="64"/>
        <v>5.6537415733245435</v>
      </c>
      <c r="F247" s="18">
        <f t="shared" si="64"/>
        <v>4.3474149070059553</v>
      </c>
      <c r="G247" s="18">
        <f t="shared" si="64"/>
        <v>4.3474149070059553</v>
      </c>
      <c r="H247" s="18">
        <f t="shared" si="64"/>
        <v>4.3474149070059553</v>
      </c>
      <c r="I247" s="16"/>
      <c r="J247" s="18">
        <f t="shared" si="66"/>
        <v>31.993804921669437</v>
      </c>
      <c r="K247" s="18">
        <f t="shared" si="67"/>
        <v>4.2150743440538321</v>
      </c>
      <c r="L247" s="18">
        <f t="shared" si="68"/>
        <v>3.1880160968809119</v>
      </c>
      <c r="M247" s="18">
        <f t="shared" si="69"/>
        <v>3.1880160968809119</v>
      </c>
      <c r="N247" s="18">
        <f t="shared" si="70"/>
        <v>3.1880160968809119</v>
      </c>
      <c r="O247" s="16"/>
      <c r="P247" s="18">
        <f t="shared" si="65"/>
        <v>400.9178187958243</v>
      </c>
      <c r="Q247" s="18">
        <f t="shared" ref="Q247:Q310" si="75">(D$21*$A$21*D$23*D$22)/(K247+K247^2)</f>
        <v>645.10815923985126</v>
      </c>
      <c r="R247" s="18">
        <f t="shared" ref="R247:R310" si="76">(E$21*$A$21*E$23*E$22)/(L247+L247^2)</f>
        <v>0</v>
      </c>
      <c r="S247" s="18">
        <f t="shared" ref="S247:S310" si="77">(F$21*$A$21*F$23*F$22)/(M247+M247^2)</f>
        <v>0</v>
      </c>
      <c r="T247" s="18">
        <v>100</v>
      </c>
      <c r="U247" s="16"/>
      <c r="V247" s="18">
        <f t="shared" si="71"/>
        <v>1146.0259780356755</v>
      </c>
      <c r="W247" s="16"/>
      <c r="X247" s="18">
        <f t="shared" si="72"/>
        <v>103024.32277595466</v>
      </c>
      <c r="Y247" s="18">
        <f t="shared" si="73"/>
        <v>320.97402196432449</v>
      </c>
      <c r="Z247" s="18"/>
      <c r="AA247" s="18">
        <f t="shared" si="74"/>
        <v>3.0446475641411402E-4</v>
      </c>
    </row>
    <row r="248" spans="2:27" x14ac:dyDescent="0.35">
      <c r="B248" s="26">
        <v>65.800000000000011</v>
      </c>
      <c r="C248" s="26">
        <v>1490</v>
      </c>
      <c r="D248" s="18">
        <f t="shared" si="64"/>
        <v>35.594060837830199</v>
      </c>
      <c r="E248" s="18">
        <f t="shared" si="64"/>
        <v>5.6678065339894097</v>
      </c>
      <c r="F248" s="18">
        <f t="shared" si="64"/>
        <v>4.3774149070059565</v>
      </c>
      <c r="G248" s="18">
        <f t="shared" si="64"/>
        <v>4.3774149070059565</v>
      </c>
      <c r="H248" s="18">
        <f t="shared" si="64"/>
        <v>4.3774149070059565</v>
      </c>
      <c r="I248" s="16"/>
      <c r="J248" s="18">
        <f t="shared" si="66"/>
        <v>32.124443614168122</v>
      </c>
      <c r="K248" s="18">
        <f t="shared" si="67"/>
        <v>4.2264452586262786</v>
      </c>
      <c r="L248" s="18">
        <f t="shared" si="68"/>
        <v>3.2108722712008637</v>
      </c>
      <c r="M248" s="18">
        <f t="shared" si="69"/>
        <v>3.2108722712008637</v>
      </c>
      <c r="N248" s="18">
        <f t="shared" si="70"/>
        <v>3.2108722712008637</v>
      </c>
      <c r="O248" s="16"/>
      <c r="P248" s="18">
        <f t="shared" si="65"/>
        <v>397.71268850806121</v>
      </c>
      <c r="Q248" s="18">
        <f t="shared" si="75"/>
        <v>641.97279373131971</v>
      </c>
      <c r="R248" s="18">
        <f t="shared" si="76"/>
        <v>0</v>
      </c>
      <c r="S248" s="18">
        <f t="shared" si="77"/>
        <v>0</v>
      </c>
      <c r="T248" s="18">
        <v>100</v>
      </c>
      <c r="U248" s="16"/>
      <c r="V248" s="18">
        <f t="shared" si="71"/>
        <v>1139.6854822393809</v>
      </c>
      <c r="W248" s="16"/>
      <c r="X248" s="18">
        <f t="shared" si="72"/>
        <v>122720.26135385511</v>
      </c>
      <c r="Y248" s="18">
        <f t="shared" si="73"/>
        <v>350.31451776061908</v>
      </c>
      <c r="Z248" s="18"/>
      <c r="AA248" s="18">
        <f t="shared" si="74"/>
        <v>3.3229612685032044E-4</v>
      </c>
    </row>
    <row r="249" spans="2:27" x14ac:dyDescent="0.35">
      <c r="B249" s="26">
        <v>66.200000000000017</v>
      </c>
      <c r="C249" s="26">
        <v>1507</v>
      </c>
      <c r="D249" s="18">
        <f t="shared" si="64"/>
        <v>35.773679008898242</v>
      </c>
      <c r="E249" s="18">
        <f t="shared" si="64"/>
        <v>5.6865598148758956</v>
      </c>
      <c r="F249" s="18">
        <f t="shared" si="64"/>
        <v>4.4174149070059556</v>
      </c>
      <c r="G249" s="18">
        <f t="shared" si="64"/>
        <v>4.4174149070059556</v>
      </c>
      <c r="H249" s="18">
        <f t="shared" si="64"/>
        <v>4.4174149070059556</v>
      </c>
      <c r="I249" s="16"/>
      <c r="J249" s="18">
        <f t="shared" si="66"/>
        <v>32.298653467840758</v>
      </c>
      <c r="K249" s="18">
        <f t="shared" si="67"/>
        <v>4.2416155841980725</v>
      </c>
      <c r="L249" s="18">
        <f t="shared" si="68"/>
        <v>3.2414073150196447</v>
      </c>
      <c r="M249" s="18">
        <f t="shared" si="69"/>
        <v>3.2414073150196447</v>
      </c>
      <c r="N249" s="18">
        <f t="shared" si="70"/>
        <v>3.2414073150196447</v>
      </c>
      <c r="O249" s="16"/>
      <c r="P249" s="18">
        <f t="shared" si="65"/>
        <v>393.49803211866026</v>
      </c>
      <c r="Q249" s="18">
        <f t="shared" si="75"/>
        <v>637.82539212234656</v>
      </c>
      <c r="R249" s="18">
        <f t="shared" si="76"/>
        <v>0</v>
      </c>
      <c r="S249" s="18">
        <f t="shared" si="77"/>
        <v>0</v>
      </c>
      <c r="T249" s="18">
        <v>100</v>
      </c>
      <c r="U249" s="16"/>
      <c r="V249" s="18">
        <f t="shared" si="71"/>
        <v>1131.3234242410067</v>
      </c>
      <c r="W249" s="16"/>
      <c r="X249" s="18">
        <f t="shared" si="72"/>
        <v>141132.88957400262</v>
      </c>
      <c r="Y249" s="18">
        <f t="shared" si="73"/>
        <v>375.67657575899329</v>
      </c>
      <c r="Z249" s="18"/>
      <c r="AA249" s="18">
        <f t="shared" si="74"/>
        <v>3.5635369002437039E-4</v>
      </c>
    </row>
    <row r="250" spans="2:27" x14ac:dyDescent="0.35">
      <c r="B250" s="26">
        <v>66.5</v>
      </c>
      <c r="C250" s="26">
        <v>1421</v>
      </c>
      <c r="D250" s="18">
        <f t="shared" si="64"/>
        <v>35.908392637199263</v>
      </c>
      <c r="E250" s="18">
        <f t="shared" si="64"/>
        <v>5.7006247755407591</v>
      </c>
      <c r="F250" s="18">
        <f t="shared" si="64"/>
        <v>4.447414907005955</v>
      </c>
      <c r="G250" s="18">
        <f t="shared" si="64"/>
        <v>4.447414907005955</v>
      </c>
      <c r="H250" s="18">
        <f t="shared" si="64"/>
        <v>4.447414907005955</v>
      </c>
      <c r="I250" s="16"/>
      <c r="J250" s="18">
        <f t="shared" si="66"/>
        <v>32.429329395613316</v>
      </c>
      <c r="K250" s="18">
        <f t="shared" si="67"/>
        <v>4.2530001289495862</v>
      </c>
      <c r="L250" s="18">
        <f t="shared" si="68"/>
        <v>3.2643532497375687</v>
      </c>
      <c r="M250" s="18">
        <f t="shared" si="69"/>
        <v>3.2643532497375687</v>
      </c>
      <c r="N250" s="18">
        <f t="shared" si="70"/>
        <v>3.2643532497375687</v>
      </c>
      <c r="O250" s="16"/>
      <c r="P250" s="18">
        <f t="shared" si="65"/>
        <v>390.38041463199136</v>
      </c>
      <c r="Q250" s="18">
        <f t="shared" si="75"/>
        <v>634.73941957924501</v>
      </c>
      <c r="R250" s="18">
        <f t="shared" si="76"/>
        <v>0</v>
      </c>
      <c r="S250" s="18">
        <f t="shared" si="77"/>
        <v>0</v>
      </c>
      <c r="T250" s="18">
        <v>100</v>
      </c>
      <c r="U250" s="16"/>
      <c r="V250" s="18">
        <f t="shared" si="71"/>
        <v>1125.1198342112364</v>
      </c>
      <c r="W250" s="16"/>
      <c r="X250" s="18">
        <f t="shared" si="72"/>
        <v>87545.072507186254</v>
      </c>
      <c r="Y250" s="18">
        <f t="shared" si="73"/>
        <v>295.88016578876363</v>
      </c>
      <c r="Z250" s="18"/>
      <c r="AA250" s="18">
        <f t="shared" si="74"/>
        <v>2.8066160012992061E-4</v>
      </c>
    </row>
    <row r="251" spans="2:27" x14ac:dyDescent="0.35">
      <c r="B251" s="26">
        <v>66.800000000000011</v>
      </c>
      <c r="C251" s="26">
        <v>1493</v>
      </c>
      <c r="D251" s="18">
        <f t="shared" si="64"/>
        <v>36.043106265500299</v>
      </c>
      <c r="E251" s="18">
        <f t="shared" si="64"/>
        <v>5.7146897362056244</v>
      </c>
      <c r="F251" s="18">
        <f t="shared" si="64"/>
        <v>4.4774149070059561</v>
      </c>
      <c r="G251" s="18">
        <f t="shared" si="64"/>
        <v>4.4774149070059561</v>
      </c>
      <c r="H251" s="18">
        <f t="shared" si="64"/>
        <v>4.4774149070059561</v>
      </c>
      <c r="I251" s="16"/>
      <c r="J251" s="18">
        <f t="shared" si="66"/>
        <v>32.560021077037021</v>
      </c>
      <c r="K251" s="18">
        <f t="shared" si="67"/>
        <v>4.2643904780153221</v>
      </c>
      <c r="L251" s="18">
        <f t="shared" si="68"/>
        <v>3.2873370709097602</v>
      </c>
      <c r="M251" s="18">
        <f t="shared" si="69"/>
        <v>3.2873370709097602</v>
      </c>
      <c r="N251" s="18">
        <f t="shared" si="70"/>
        <v>3.2873370709097602</v>
      </c>
      <c r="O251" s="16"/>
      <c r="P251" s="18">
        <f t="shared" si="65"/>
        <v>387.29933503658759</v>
      </c>
      <c r="Q251" s="18">
        <f t="shared" si="75"/>
        <v>631.6743147114928</v>
      </c>
      <c r="R251" s="18">
        <f t="shared" si="76"/>
        <v>0</v>
      </c>
      <c r="S251" s="18">
        <f t="shared" si="77"/>
        <v>0</v>
      </c>
      <c r="T251" s="18">
        <v>100</v>
      </c>
      <c r="U251" s="16"/>
      <c r="V251" s="18">
        <f t="shared" si="71"/>
        <v>1118.9736497480803</v>
      </c>
      <c r="W251" s="16"/>
      <c r="X251" s="18">
        <f t="shared" si="72"/>
        <v>139895.71068277169</v>
      </c>
      <c r="Y251" s="18">
        <f t="shared" si="73"/>
        <v>374.02635025191967</v>
      </c>
      <c r="Z251" s="18"/>
      <c r="AA251" s="18">
        <f t="shared" si="74"/>
        <v>3.5478834369520433E-4</v>
      </c>
    </row>
    <row r="252" spans="2:27" x14ac:dyDescent="0.35">
      <c r="B252" s="26">
        <v>67.099999999999994</v>
      </c>
      <c r="C252" s="26">
        <v>1461</v>
      </c>
      <c r="D252" s="18">
        <f t="shared" si="64"/>
        <v>36.17781989380132</v>
      </c>
      <c r="E252" s="18">
        <f t="shared" si="64"/>
        <v>5.7287546968704879</v>
      </c>
      <c r="F252" s="18">
        <f t="shared" si="64"/>
        <v>4.5074149070059537</v>
      </c>
      <c r="G252" s="18">
        <f t="shared" si="64"/>
        <v>4.5074149070059537</v>
      </c>
      <c r="H252" s="18">
        <f t="shared" si="64"/>
        <v>4.5074149070059537</v>
      </c>
      <c r="I252" s="16"/>
      <c r="J252" s="18">
        <f t="shared" si="66"/>
        <v>32.690728391529127</v>
      </c>
      <c r="K252" s="18">
        <f t="shared" si="67"/>
        <v>4.275786609245416</v>
      </c>
      <c r="L252" s="18">
        <f t="shared" si="68"/>
        <v>3.3103584349693747</v>
      </c>
      <c r="M252" s="18">
        <f t="shared" si="69"/>
        <v>3.3103584349693747</v>
      </c>
      <c r="N252" s="18">
        <f t="shared" si="70"/>
        <v>3.3103584349693747</v>
      </c>
      <c r="O252" s="16"/>
      <c r="P252" s="18">
        <f t="shared" si="65"/>
        <v>384.25422885507146</v>
      </c>
      <c r="Q252" s="18">
        <f t="shared" si="75"/>
        <v>628.6298997210921</v>
      </c>
      <c r="R252" s="18">
        <f t="shared" si="76"/>
        <v>0</v>
      </c>
      <c r="S252" s="18">
        <f t="shared" si="77"/>
        <v>0</v>
      </c>
      <c r="T252" s="18">
        <v>100</v>
      </c>
      <c r="U252" s="16"/>
      <c r="V252" s="18">
        <f t="shared" si="71"/>
        <v>1112.8841285761637</v>
      </c>
      <c r="W252" s="16"/>
      <c r="X252" s="18">
        <f t="shared" si="72"/>
        <v>121184.65993717694</v>
      </c>
      <c r="Y252" s="18">
        <f t="shared" si="73"/>
        <v>348.11587142383632</v>
      </c>
      <c r="Z252" s="18"/>
      <c r="AA252" s="18">
        <f t="shared" si="74"/>
        <v>3.3021056765997653E-4</v>
      </c>
    </row>
    <row r="253" spans="2:27" x14ac:dyDescent="0.35">
      <c r="B253" s="26">
        <v>67.400000000000006</v>
      </c>
      <c r="C253" s="26">
        <v>1450</v>
      </c>
      <c r="D253" s="18">
        <f t="shared" si="64"/>
        <v>36.312533522102349</v>
      </c>
      <c r="E253" s="18">
        <f t="shared" si="64"/>
        <v>5.7428196575353532</v>
      </c>
      <c r="F253" s="18">
        <f t="shared" si="64"/>
        <v>4.5374149070059548</v>
      </c>
      <c r="G253" s="18">
        <f t="shared" si="64"/>
        <v>4.5374149070059548</v>
      </c>
      <c r="H253" s="18">
        <f t="shared" si="64"/>
        <v>4.5374149070059548</v>
      </c>
      <c r="I253" s="16"/>
      <c r="J253" s="18">
        <f t="shared" si="66"/>
        <v>32.821451219871612</v>
      </c>
      <c r="K253" s="18">
        <f t="shared" si="67"/>
        <v>4.287188500603186</v>
      </c>
      <c r="L253" s="18">
        <f t="shared" si="68"/>
        <v>3.3334170023038738</v>
      </c>
      <c r="M253" s="18">
        <f t="shared" si="69"/>
        <v>3.3334170023038738</v>
      </c>
      <c r="N253" s="18">
        <f t="shared" si="70"/>
        <v>3.3334170023038738</v>
      </c>
      <c r="O253" s="16"/>
      <c r="P253" s="18">
        <f t="shared" si="65"/>
        <v>381.24454240346756</v>
      </c>
      <c r="Q253" s="18">
        <f t="shared" si="75"/>
        <v>625.60599861280537</v>
      </c>
      <c r="R253" s="18">
        <f t="shared" si="76"/>
        <v>0</v>
      </c>
      <c r="S253" s="18">
        <f t="shared" si="77"/>
        <v>0</v>
      </c>
      <c r="T253" s="18">
        <v>100</v>
      </c>
      <c r="U253" s="16"/>
      <c r="V253" s="18">
        <f t="shared" si="71"/>
        <v>1106.8505410162729</v>
      </c>
      <c r="W253" s="16"/>
      <c r="X253" s="18">
        <f t="shared" si="72"/>
        <v>117751.55120082459</v>
      </c>
      <c r="Y253" s="18">
        <f t="shared" si="73"/>
        <v>343.14945898372707</v>
      </c>
      <c r="Z253" s="18"/>
      <c r="AA253" s="18">
        <f t="shared" si="74"/>
        <v>3.2549960212894689E-4</v>
      </c>
    </row>
    <row r="254" spans="2:27" x14ac:dyDescent="0.35">
      <c r="B254" s="26">
        <v>67.700000000000017</v>
      </c>
      <c r="C254" s="26">
        <v>1431</v>
      </c>
      <c r="D254" s="18">
        <f t="shared" si="64"/>
        <v>36.447247150403385</v>
      </c>
      <c r="E254" s="18">
        <f t="shared" si="64"/>
        <v>5.7568846182002176</v>
      </c>
      <c r="F254" s="18">
        <f t="shared" si="64"/>
        <v>4.567414907005956</v>
      </c>
      <c r="G254" s="18">
        <f t="shared" si="64"/>
        <v>4.567414907005956</v>
      </c>
      <c r="H254" s="18">
        <f t="shared" si="64"/>
        <v>4.567414907005956</v>
      </c>
      <c r="I254" s="16"/>
      <c r="J254" s="18">
        <f t="shared" si="66"/>
        <v>32.952189444190758</v>
      </c>
      <c r="K254" s="18">
        <f t="shared" si="67"/>
        <v>4.2985961301644471</v>
      </c>
      <c r="L254" s="18">
        <f t="shared" si="68"/>
        <v>3.356512437206729</v>
      </c>
      <c r="M254" s="18">
        <f t="shared" si="69"/>
        <v>3.356512437206729</v>
      </c>
      <c r="N254" s="18">
        <f t="shared" si="70"/>
        <v>3.356512437206729</v>
      </c>
      <c r="O254" s="16"/>
      <c r="P254" s="18">
        <f t="shared" si="65"/>
        <v>378.26973254574017</v>
      </c>
      <c r="Q254" s="18">
        <f t="shared" si="75"/>
        <v>622.60243717319349</v>
      </c>
      <c r="R254" s="18">
        <f t="shared" si="76"/>
        <v>0</v>
      </c>
      <c r="S254" s="18">
        <f t="shared" si="77"/>
        <v>0</v>
      </c>
      <c r="T254" s="18">
        <v>100</v>
      </c>
      <c r="U254" s="16"/>
      <c r="V254" s="18">
        <f t="shared" si="71"/>
        <v>1100.8721697189337</v>
      </c>
      <c r="W254" s="16"/>
      <c r="X254" s="18">
        <f t="shared" si="72"/>
        <v>108984.3843260845</v>
      </c>
      <c r="Y254" s="18">
        <f t="shared" si="73"/>
        <v>330.12783028106628</v>
      </c>
      <c r="Z254" s="18"/>
      <c r="AA254" s="18">
        <f t="shared" si="74"/>
        <v>3.1314773954889261E-4</v>
      </c>
    </row>
    <row r="255" spans="2:27" x14ac:dyDescent="0.35">
      <c r="B255" s="26">
        <v>68.099999999999994</v>
      </c>
      <c r="C255" s="26">
        <v>1385</v>
      </c>
      <c r="D255" s="18">
        <f t="shared" si="64"/>
        <v>36.626865321471413</v>
      </c>
      <c r="E255" s="18">
        <f t="shared" si="64"/>
        <v>5.7756378990867034</v>
      </c>
      <c r="F255" s="18">
        <f t="shared" si="64"/>
        <v>4.6074149070059534</v>
      </c>
      <c r="G255" s="18">
        <f t="shared" si="64"/>
        <v>4.6074149070059534</v>
      </c>
      <c r="H255" s="18">
        <f t="shared" si="64"/>
        <v>4.6074149070059534</v>
      </c>
      <c r="I255" s="16"/>
      <c r="J255" s="18">
        <f t="shared" si="66"/>
        <v>33.126530824658253</v>
      </c>
      <c r="K255" s="18">
        <f t="shared" si="67"/>
        <v>4.3138151913227709</v>
      </c>
      <c r="L255" s="18">
        <f t="shared" si="68"/>
        <v>3.3873631269460351</v>
      </c>
      <c r="M255" s="18">
        <f t="shared" si="69"/>
        <v>3.3873631269460351</v>
      </c>
      <c r="N255" s="18">
        <f t="shared" si="70"/>
        <v>3.3873631269460351</v>
      </c>
      <c r="O255" s="16"/>
      <c r="P255" s="18">
        <f t="shared" si="65"/>
        <v>374.35665240142748</v>
      </c>
      <c r="Q255" s="18">
        <f t="shared" si="75"/>
        <v>618.62903025698552</v>
      </c>
      <c r="R255" s="18">
        <f t="shared" si="76"/>
        <v>0</v>
      </c>
      <c r="S255" s="18">
        <f t="shared" si="77"/>
        <v>0</v>
      </c>
      <c r="T255" s="18">
        <v>100</v>
      </c>
      <c r="U255" s="16"/>
      <c r="V255" s="18">
        <f t="shared" si="71"/>
        <v>1092.985682658413</v>
      </c>
      <c r="W255" s="16"/>
      <c r="X255" s="18">
        <f t="shared" si="72"/>
        <v>85272.361532473078</v>
      </c>
      <c r="Y255" s="18">
        <f t="shared" si="73"/>
        <v>292.014317341587</v>
      </c>
      <c r="Z255" s="18"/>
      <c r="AA255" s="18">
        <f t="shared" si="74"/>
        <v>2.769945911969225E-4</v>
      </c>
    </row>
    <row r="256" spans="2:27" x14ac:dyDescent="0.35">
      <c r="B256" s="26">
        <v>68.400000000000006</v>
      </c>
      <c r="C256" s="26">
        <v>1423</v>
      </c>
      <c r="D256" s="18">
        <f t="shared" si="64"/>
        <v>36.761578949772442</v>
      </c>
      <c r="E256" s="18">
        <f t="shared" si="64"/>
        <v>5.7897028597515678</v>
      </c>
      <c r="F256" s="18">
        <f t="shared" si="64"/>
        <v>4.6374149070059545</v>
      </c>
      <c r="G256" s="18">
        <f t="shared" si="64"/>
        <v>4.6374149070059545</v>
      </c>
      <c r="H256" s="18">
        <f t="shared" si="64"/>
        <v>4.6374149070059545</v>
      </c>
      <c r="I256" s="16"/>
      <c r="J256" s="18">
        <f t="shared" si="66"/>
        <v>33.257304521927757</v>
      </c>
      <c r="K256" s="18">
        <f t="shared" si="67"/>
        <v>4.3252361253917115</v>
      </c>
      <c r="L256" s="18">
        <f t="shared" si="68"/>
        <v>3.410543302233433</v>
      </c>
      <c r="M256" s="18">
        <f t="shared" si="69"/>
        <v>3.410543302233433</v>
      </c>
      <c r="N256" s="18">
        <f t="shared" si="70"/>
        <v>3.410543302233433</v>
      </c>
      <c r="O256" s="16"/>
      <c r="P256" s="18">
        <f t="shared" si="65"/>
        <v>371.46116654024678</v>
      </c>
      <c r="Q256" s="18">
        <f t="shared" si="75"/>
        <v>615.67226040197659</v>
      </c>
      <c r="R256" s="18">
        <f t="shared" si="76"/>
        <v>0</v>
      </c>
      <c r="S256" s="18">
        <f t="shared" si="77"/>
        <v>0</v>
      </c>
      <c r="T256" s="18">
        <v>100</v>
      </c>
      <c r="U256" s="16"/>
      <c r="V256" s="18">
        <f t="shared" si="71"/>
        <v>1087.1334269422234</v>
      </c>
      <c r="W256" s="16"/>
      <c r="X256" s="18">
        <f t="shared" si="72"/>
        <v>112806.35489757477</v>
      </c>
      <c r="Y256" s="18">
        <f t="shared" si="73"/>
        <v>335.86657305777658</v>
      </c>
      <c r="Z256" s="18"/>
      <c r="AA256" s="18">
        <f t="shared" si="74"/>
        <v>3.1859131068571366E-4</v>
      </c>
    </row>
    <row r="257" spans="2:27" x14ac:dyDescent="0.35">
      <c r="B257" s="26">
        <v>68.700000000000017</v>
      </c>
      <c r="C257" s="26">
        <v>1445</v>
      </c>
      <c r="D257" s="18">
        <f t="shared" si="64"/>
        <v>36.896292578073478</v>
      </c>
      <c r="E257" s="18">
        <f t="shared" si="64"/>
        <v>5.8037678204164322</v>
      </c>
      <c r="F257" s="18">
        <f t="shared" si="64"/>
        <v>4.6674149070059556</v>
      </c>
      <c r="G257" s="18">
        <f t="shared" si="64"/>
        <v>4.6674149070059556</v>
      </c>
      <c r="H257" s="18">
        <f t="shared" si="64"/>
        <v>4.6674149070059556</v>
      </c>
      <c r="I257" s="16"/>
      <c r="J257" s="18">
        <f t="shared" si="66"/>
        <v>33.388093231716873</v>
      </c>
      <c r="K257" s="18">
        <f t="shared" si="67"/>
        <v>4.3366627253874226</v>
      </c>
      <c r="L257" s="18">
        <f t="shared" si="68"/>
        <v>3.4337592536665955</v>
      </c>
      <c r="M257" s="18">
        <f t="shared" si="69"/>
        <v>3.4337592536665955</v>
      </c>
      <c r="N257" s="18">
        <f t="shared" si="70"/>
        <v>3.4337592536665955</v>
      </c>
      <c r="O257" s="16"/>
      <c r="P257" s="18">
        <f t="shared" si="65"/>
        <v>368.59881997692537</v>
      </c>
      <c r="Q257" s="18">
        <f t="shared" si="75"/>
        <v>612.73526210901832</v>
      </c>
      <c r="R257" s="18">
        <f t="shared" si="76"/>
        <v>0</v>
      </c>
      <c r="S257" s="18">
        <f t="shared" si="77"/>
        <v>0</v>
      </c>
      <c r="T257" s="18">
        <v>100</v>
      </c>
      <c r="U257" s="16"/>
      <c r="V257" s="18">
        <f t="shared" si="71"/>
        <v>1081.3340820859437</v>
      </c>
      <c r="W257" s="16"/>
      <c r="X257" s="18">
        <f t="shared" si="72"/>
        <v>132252.89985227314</v>
      </c>
      <c r="Y257" s="18">
        <f t="shared" si="73"/>
        <v>363.66591791405631</v>
      </c>
      <c r="Z257" s="18"/>
      <c r="AA257" s="18">
        <f t="shared" si="74"/>
        <v>3.4496079912076186E-4</v>
      </c>
    </row>
    <row r="258" spans="2:27" x14ac:dyDescent="0.35">
      <c r="B258" s="26">
        <v>69</v>
      </c>
      <c r="C258" s="26">
        <v>1443</v>
      </c>
      <c r="D258" s="18">
        <f t="shared" si="64"/>
        <v>37.031006206374499</v>
      </c>
      <c r="E258" s="18">
        <f t="shared" si="64"/>
        <v>5.8178327810812966</v>
      </c>
      <c r="F258" s="18">
        <f t="shared" si="64"/>
        <v>4.697414907005955</v>
      </c>
      <c r="G258" s="18">
        <f t="shared" si="64"/>
        <v>4.697414907005955</v>
      </c>
      <c r="H258" s="18">
        <f t="shared" si="64"/>
        <v>4.697414907005955</v>
      </c>
      <c r="I258" s="16"/>
      <c r="J258" s="18">
        <f t="shared" si="66"/>
        <v>33.518896841751129</v>
      </c>
      <c r="K258" s="18">
        <f t="shared" si="67"/>
        <v>4.3480949698654952</v>
      </c>
      <c r="L258" s="18">
        <f t="shared" si="68"/>
        <v>3.457010661917931</v>
      </c>
      <c r="M258" s="18">
        <f t="shared" si="69"/>
        <v>3.457010661917931</v>
      </c>
      <c r="N258" s="18">
        <f t="shared" si="70"/>
        <v>3.457010661917931</v>
      </c>
      <c r="O258" s="16"/>
      <c r="P258" s="18">
        <f t="shared" si="65"/>
        <v>365.7691126004226</v>
      </c>
      <c r="Q258" s="18">
        <f t="shared" si="75"/>
        <v>609.8178686500861</v>
      </c>
      <c r="R258" s="18">
        <f t="shared" si="76"/>
        <v>0</v>
      </c>
      <c r="S258" s="18">
        <f t="shared" si="77"/>
        <v>0</v>
      </c>
      <c r="T258" s="18">
        <v>100</v>
      </c>
      <c r="U258" s="16"/>
      <c r="V258" s="18">
        <f t="shared" si="71"/>
        <v>1075.5869812505086</v>
      </c>
      <c r="W258" s="16"/>
      <c r="X258" s="18">
        <f t="shared" si="72"/>
        <v>134992.32634661408</v>
      </c>
      <c r="Y258" s="18">
        <f t="shared" si="73"/>
        <v>367.41301874949136</v>
      </c>
      <c r="Z258" s="18"/>
      <c r="AA258" s="18">
        <f t="shared" si="74"/>
        <v>3.485151682131199E-4</v>
      </c>
    </row>
    <row r="259" spans="2:27" x14ac:dyDescent="0.35">
      <c r="B259" s="26">
        <v>69.300000000000011</v>
      </c>
      <c r="C259" s="26">
        <v>1428</v>
      </c>
      <c r="D259" s="18">
        <f t="shared" si="64"/>
        <v>37.165719834675535</v>
      </c>
      <c r="E259" s="18">
        <f t="shared" si="64"/>
        <v>5.831897741746161</v>
      </c>
      <c r="F259" s="18">
        <f t="shared" si="64"/>
        <v>4.7274149070059561</v>
      </c>
      <c r="G259" s="18">
        <f t="shared" si="64"/>
        <v>4.7274149070059561</v>
      </c>
      <c r="H259" s="18">
        <f t="shared" si="64"/>
        <v>4.7274149070059561</v>
      </c>
      <c r="I259" s="16"/>
      <c r="J259" s="18">
        <f t="shared" si="66"/>
        <v>33.649715240998077</v>
      </c>
      <c r="K259" s="18">
        <f t="shared" si="67"/>
        <v>4.3595328374904767</v>
      </c>
      <c r="L259" s="18">
        <f t="shared" si="68"/>
        <v>3.4802972113158792</v>
      </c>
      <c r="M259" s="18">
        <f t="shared" si="69"/>
        <v>3.4802972113158792</v>
      </c>
      <c r="N259" s="18">
        <f t="shared" si="70"/>
        <v>3.4802972113158792</v>
      </c>
      <c r="O259" s="16"/>
      <c r="P259" s="18">
        <f t="shared" si="65"/>
        <v>362.97155364301835</v>
      </c>
      <c r="Q259" s="18">
        <f t="shared" si="75"/>
        <v>606.91991497164202</v>
      </c>
      <c r="R259" s="18">
        <f t="shared" si="76"/>
        <v>0</v>
      </c>
      <c r="S259" s="18">
        <f t="shared" si="77"/>
        <v>0</v>
      </c>
      <c r="T259" s="18">
        <v>100</v>
      </c>
      <c r="U259" s="16"/>
      <c r="V259" s="18">
        <f t="shared" si="71"/>
        <v>1069.8914686146604</v>
      </c>
      <c r="W259" s="16"/>
      <c r="X259" s="18">
        <f t="shared" si="72"/>
        <v>128241.72025096473</v>
      </c>
      <c r="Y259" s="18">
        <f t="shared" si="73"/>
        <v>358.10853138533957</v>
      </c>
      <c r="Z259" s="18"/>
      <c r="AA259" s="18">
        <f t="shared" si="74"/>
        <v>3.3968925619211674E-4</v>
      </c>
    </row>
    <row r="260" spans="2:27" x14ac:dyDescent="0.35">
      <c r="B260" s="26">
        <v>69.599999999999994</v>
      </c>
      <c r="C260" s="26">
        <v>1389</v>
      </c>
      <c r="D260" s="18">
        <f t="shared" si="64"/>
        <v>37.300433462976557</v>
      </c>
      <c r="E260" s="18">
        <f t="shared" si="64"/>
        <v>5.8459627024110254</v>
      </c>
      <c r="F260" s="18">
        <f t="shared" si="64"/>
        <v>4.7574149070059537</v>
      </c>
      <c r="G260" s="18">
        <f t="shared" si="64"/>
        <v>4.7574149070059537</v>
      </c>
      <c r="H260" s="18">
        <f t="shared" si="64"/>
        <v>4.7574149070059537</v>
      </c>
      <c r="I260" s="16"/>
      <c r="J260" s="18">
        <f t="shared" si="66"/>
        <v>33.780548319649036</v>
      </c>
      <c r="K260" s="18">
        <f t="shared" si="67"/>
        <v>4.3709763070352228</v>
      </c>
      <c r="L260" s="18">
        <f t="shared" si="68"/>
        <v>3.5036185897994678</v>
      </c>
      <c r="M260" s="18">
        <f t="shared" si="69"/>
        <v>3.5036185897994678</v>
      </c>
      <c r="N260" s="18">
        <f t="shared" si="70"/>
        <v>3.5036185897994678</v>
      </c>
      <c r="O260" s="16"/>
      <c r="P260" s="18">
        <f t="shared" si="65"/>
        <v>360.20566147265998</v>
      </c>
      <c r="Q260" s="18">
        <f t="shared" si="75"/>
        <v>604.04123767532985</v>
      </c>
      <c r="R260" s="18">
        <f t="shared" si="76"/>
        <v>0</v>
      </c>
      <c r="S260" s="18">
        <f t="shared" si="77"/>
        <v>0</v>
      </c>
      <c r="T260" s="18">
        <v>100</v>
      </c>
      <c r="U260" s="16"/>
      <c r="V260" s="18">
        <f t="shared" si="71"/>
        <v>1064.2468991479898</v>
      </c>
      <c r="W260" s="16"/>
      <c r="X260" s="18">
        <f t="shared" si="72"/>
        <v>105464.57651299592</v>
      </c>
      <c r="Y260" s="18">
        <f t="shared" si="73"/>
        <v>324.75310085201022</v>
      </c>
      <c r="Z260" s="18"/>
      <c r="AA260" s="18">
        <f t="shared" si="74"/>
        <v>3.0804945877091987E-4</v>
      </c>
    </row>
    <row r="261" spans="2:27" x14ac:dyDescent="0.35">
      <c r="B261" s="26">
        <v>69.900000000000006</v>
      </c>
      <c r="C261" s="26">
        <v>1413</v>
      </c>
      <c r="D261" s="18">
        <f t="shared" si="64"/>
        <v>37.435147091277585</v>
      </c>
      <c r="E261" s="18">
        <f t="shared" si="64"/>
        <v>5.8600276630758898</v>
      </c>
      <c r="F261" s="18">
        <f t="shared" si="64"/>
        <v>4.7874149070059548</v>
      </c>
      <c r="G261" s="18">
        <f t="shared" si="64"/>
        <v>4.7874149070059548</v>
      </c>
      <c r="H261" s="18">
        <f t="shared" si="64"/>
        <v>4.7874149070059548</v>
      </c>
      <c r="I261" s="16"/>
      <c r="J261" s="18">
        <f t="shared" si="66"/>
        <v>33.911395969101456</v>
      </c>
      <c r="K261" s="18">
        <f t="shared" si="67"/>
        <v>4.382425357380245</v>
      </c>
      <c r="L261" s="18">
        <f t="shared" si="68"/>
        <v>3.5269744888733614</v>
      </c>
      <c r="M261" s="18">
        <f t="shared" si="69"/>
        <v>3.5269744888733614</v>
      </c>
      <c r="N261" s="18">
        <f t="shared" si="70"/>
        <v>3.5269744888733614</v>
      </c>
      <c r="O261" s="16"/>
      <c r="P261" s="18">
        <f t="shared" si="65"/>
        <v>357.47096339064399</v>
      </c>
      <c r="Q261" s="18">
        <f t="shared" si="75"/>
        <v>601.18167499892047</v>
      </c>
      <c r="R261" s="18">
        <f t="shared" si="76"/>
        <v>0</v>
      </c>
      <c r="S261" s="18">
        <f t="shared" si="77"/>
        <v>0</v>
      </c>
      <c r="T261" s="18">
        <v>100</v>
      </c>
      <c r="U261" s="16"/>
      <c r="V261" s="18">
        <f t="shared" si="71"/>
        <v>1058.6526383895643</v>
      </c>
      <c r="W261" s="16"/>
      <c r="X261" s="18">
        <f t="shared" si="72"/>
        <v>125562.05268027684</v>
      </c>
      <c r="Y261" s="18">
        <f t="shared" si="73"/>
        <v>354.34736161043566</v>
      </c>
      <c r="Z261" s="18"/>
      <c r="AA261" s="18">
        <f t="shared" si="74"/>
        <v>3.3612154179473309E-4</v>
      </c>
    </row>
    <row r="262" spans="2:27" x14ac:dyDescent="0.35">
      <c r="B262" s="26">
        <v>70.300000000000011</v>
      </c>
      <c r="C262" s="26">
        <v>1439</v>
      </c>
      <c r="D262" s="18">
        <f t="shared" si="64"/>
        <v>37.614765262345628</v>
      </c>
      <c r="E262" s="18">
        <f t="shared" si="64"/>
        <v>5.8787809439623766</v>
      </c>
      <c r="F262" s="18">
        <f t="shared" si="64"/>
        <v>4.8274149070059558</v>
      </c>
      <c r="G262" s="18">
        <f t="shared" si="64"/>
        <v>4.8274149070059558</v>
      </c>
      <c r="H262" s="18">
        <f t="shared" si="64"/>
        <v>4.8274149070059558</v>
      </c>
      <c r="I262" s="16"/>
      <c r="J262" s="18">
        <f t="shared" si="66"/>
        <v>34.085881981911101</v>
      </c>
      <c r="K262" s="18">
        <f t="shared" si="67"/>
        <v>4.397699402782635</v>
      </c>
      <c r="L262" s="18">
        <f t="shared" si="68"/>
        <v>3.5581688597203054</v>
      </c>
      <c r="M262" s="18">
        <f t="shared" si="69"/>
        <v>3.5581688597203054</v>
      </c>
      <c r="N262" s="18">
        <f t="shared" si="70"/>
        <v>3.5581688597203054</v>
      </c>
      <c r="O262" s="16"/>
      <c r="P262" s="18">
        <f t="shared" si="65"/>
        <v>353.8724227425065</v>
      </c>
      <c r="Q262" s="18">
        <f t="shared" si="75"/>
        <v>597.39838205383683</v>
      </c>
      <c r="R262" s="18">
        <f t="shared" si="76"/>
        <v>0</v>
      </c>
      <c r="S262" s="18">
        <f t="shared" si="77"/>
        <v>0</v>
      </c>
      <c r="T262" s="18">
        <v>100</v>
      </c>
      <c r="U262" s="16"/>
      <c r="V262" s="18">
        <f t="shared" si="71"/>
        <v>1051.2708047963433</v>
      </c>
      <c r="W262" s="16"/>
      <c r="X262" s="18">
        <f t="shared" si="72"/>
        <v>150333.9288132753</v>
      </c>
      <c r="Y262" s="18">
        <f t="shared" si="73"/>
        <v>387.72919520365667</v>
      </c>
      <c r="Z262" s="18"/>
      <c r="AA262" s="18">
        <f t="shared" si="74"/>
        <v>3.6778638423717283E-4</v>
      </c>
    </row>
    <row r="263" spans="2:27" x14ac:dyDescent="0.35">
      <c r="B263" s="26">
        <v>70.599999999999994</v>
      </c>
      <c r="C263" s="26">
        <v>1344</v>
      </c>
      <c r="D263" s="18">
        <f t="shared" si="64"/>
        <v>37.74947889064665</v>
      </c>
      <c r="E263" s="18">
        <f t="shared" si="64"/>
        <v>5.8928459046272401</v>
      </c>
      <c r="F263" s="18">
        <f t="shared" si="64"/>
        <v>4.8574149070059534</v>
      </c>
      <c r="G263" s="18">
        <f t="shared" si="64"/>
        <v>4.8574149070059534</v>
      </c>
      <c r="H263" s="18">
        <f t="shared" si="64"/>
        <v>4.8574149070059534</v>
      </c>
      <c r="I263" s="16"/>
      <c r="J263" s="18">
        <f t="shared" si="66"/>
        <v>34.216763214201535</v>
      </c>
      <c r="K263" s="18">
        <f t="shared" si="67"/>
        <v>4.4091613934635729</v>
      </c>
      <c r="L263" s="18">
        <f t="shared" si="68"/>
        <v>3.5816041268309005</v>
      </c>
      <c r="M263" s="18">
        <f t="shared" si="69"/>
        <v>3.5816041268309005</v>
      </c>
      <c r="N263" s="18">
        <f t="shared" si="70"/>
        <v>3.5816041268309005</v>
      </c>
      <c r="O263" s="16"/>
      <c r="P263" s="18">
        <f t="shared" si="65"/>
        <v>351.20872130865837</v>
      </c>
      <c r="Q263" s="18">
        <f t="shared" si="75"/>
        <v>594.58280013204785</v>
      </c>
      <c r="R263" s="18">
        <f t="shared" si="76"/>
        <v>0</v>
      </c>
      <c r="S263" s="18">
        <f t="shared" si="77"/>
        <v>0</v>
      </c>
      <c r="T263" s="18">
        <v>100</v>
      </c>
      <c r="U263" s="16"/>
      <c r="V263" s="18">
        <f t="shared" si="71"/>
        <v>1045.7915214407062</v>
      </c>
      <c r="W263" s="16"/>
      <c r="X263" s="18">
        <f t="shared" si="72"/>
        <v>88928.296684648783</v>
      </c>
      <c r="Y263" s="18">
        <f t="shared" si="73"/>
        <v>298.20847855929378</v>
      </c>
      <c r="Z263" s="18"/>
      <c r="AA263" s="18">
        <f t="shared" si="74"/>
        <v>2.8287015637443229E-4</v>
      </c>
    </row>
    <row r="264" spans="2:27" x14ac:dyDescent="0.35">
      <c r="B264" s="26">
        <v>70.900000000000006</v>
      </c>
      <c r="C264" s="26">
        <v>1378</v>
      </c>
      <c r="D264" s="18">
        <f t="shared" si="64"/>
        <v>37.884192518947685</v>
      </c>
      <c r="E264" s="18">
        <f t="shared" si="64"/>
        <v>5.9069108652921054</v>
      </c>
      <c r="F264" s="18">
        <f t="shared" si="64"/>
        <v>4.8874149070059545</v>
      </c>
      <c r="G264" s="18">
        <f t="shared" si="64"/>
        <v>4.8874149070059545</v>
      </c>
      <c r="H264" s="18">
        <f t="shared" si="64"/>
        <v>4.8874149070059545</v>
      </c>
      <c r="I264" s="16"/>
      <c r="J264" s="18">
        <f t="shared" si="66"/>
        <v>34.34765866377348</v>
      </c>
      <c r="K264" s="18">
        <f t="shared" si="67"/>
        <v>4.420628895315807</v>
      </c>
      <c r="L264" s="18">
        <f t="shared" si="68"/>
        <v>3.6050729113978734</v>
      </c>
      <c r="M264" s="18">
        <f t="shared" si="69"/>
        <v>3.6050729113978734</v>
      </c>
      <c r="N264" s="18">
        <f t="shared" si="70"/>
        <v>3.6050729113978734</v>
      </c>
      <c r="O264" s="16"/>
      <c r="P264" s="18">
        <f t="shared" si="65"/>
        <v>348.57470032583359</v>
      </c>
      <c r="Q264" s="18">
        <f t="shared" si="75"/>
        <v>591.78580519948662</v>
      </c>
      <c r="R264" s="18">
        <f t="shared" si="76"/>
        <v>0</v>
      </c>
      <c r="S264" s="18">
        <f t="shared" si="77"/>
        <v>0</v>
      </c>
      <c r="T264" s="18">
        <v>100</v>
      </c>
      <c r="U264" s="16"/>
      <c r="V264" s="18">
        <f t="shared" si="71"/>
        <v>1040.3605055253201</v>
      </c>
      <c r="W264" s="16"/>
      <c r="X264" s="18">
        <f t="shared" si="72"/>
        <v>114000.42822911736</v>
      </c>
      <c r="Y264" s="18">
        <f t="shared" si="73"/>
        <v>337.63949447467985</v>
      </c>
      <c r="Z264" s="18"/>
      <c r="AA264" s="18">
        <f t="shared" si="74"/>
        <v>3.2027304207330495E-4</v>
      </c>
    </row>
    <row r="265" spans="2:27" x14ac:dyDescent="0.35">
      <c r="B265" s="26">
        <v>71.200000000000017</v>
      </c>
      <c r="C265" s="26">
        <v>1416</v>
      </c>
      <c r="D265" s="18">
        <f t="shared" si="64"/>
        <v>38.018906147248714</v>
      </c>
      <c r="E265" s="18">
        <f t="shared" si="64"/>
        <v>5.9209758259569707</v>
      </c>
      <c r="F265" s="18">
        <f t="shared" si="64"/>
        <v>4.9174149070059556</v>
      </c>
      <c r="G265" s="18">
        <f t="shared" si="64"/>
        <v>4.9174149070059556</v>
      </c>
      <c r="H265" s="18">
        <f t="shared" si="64"/>
        <v>4.9174149070059556</v>
      </c>
      <c r="I265" s="16"/>
      <c r="J265" s="18">
        <f t="shared" si="66"/>
        <v>34.478568227052847</v>
      </c>
      <c r="K265" s="18">
        <f t="shared" si="67"/>
        <v>4.4321018876789884</v>
      </c>
      <c r="L265" s="18">
        <f t="shared" si="68"/>
        <v>3.6285749198687012</v>
      </c>
      <c r="M265" s="18">
        <f t="shared" si="69"/>
        <v>3.6285749198687012</v>
      </c>
      <c r="N265" s="18">
        <f t="shared" si="70"/>
        <v>3.6285749198687012</v>
      </c>
      <c r="O265" s="16"/>
      <c r="P265" s="18">
        <f t="shared" si="65"/>
        <v>345.96992359214249</v>
      </c>
      <c r="Q265" s="18">
        <f t="shared" si="75"/>
        <v>589.0072423695209</v>
      </c>
      <c r="R265" s="18">
        <f t="shared" si="76"/>
        <v>0</v>
      </c>
      <c r="S265" s="18">
        <f t="shared" si="77"/>
        <v>0</v>
      </c>
      <c r="T265" s="18">
        <v>100</v>
      </c>
      <c r="U265" s="16"/>
      <c r="V265" s="18">
        <f t="shared" si="71"/>
        <v>1034.9771659616633</v>
      </c>
      <c r="W265" s="16"/>
      <c r="X265" s="18">
        <f t="shared" si="72"/>
        <v>145178.40005860585</v>
      </c>
      <c r="Y265" s="18">
        <f t="shared" si="73"/>
        <v>381.02283403833667</v>
      </c>
      <c r="Z265" s="18"/>
      <c r="AA265" s="18">
        <f t="shared" si="74"/>
        <v>3.6142496406326488E-4</v>
      </c>
    </row>
    <row r="266" spans="2:27" x14ac:dyDescent="0.35">
      <c r="B266" s="26">
        <v>71.5</v>
      </c>
      <c r="C266" s="26">
        <v>1380</v>
      </c>
      <c r="D266" s="18">
        <f t="shared" si="64"/>
        <v>38.153619775549735</v>
      </c>
      <c r="E266" s="18">
        <f t="shared" si="64"/>
        <v>5.9350407866218342</v>
      </c>
      <c r="F266" s="18">
        <f t="shared" si="64"/>
        <v>4.947414907005955</v>
      </c>
      <c r="G266" s="18">
        <f t="shared" si="64"/>
        <v>4.947414907005955</v>
      </c>
      <c r="H266" s="18">
        <f t="shared" si="64"/>
        <v>4.947414907005955</v>
      </c>
      <c r="I266" s="16"/>
      <c r="J266" s="18">
        <f t="shared" si="66"/>
        <v>34.609491801582031</v>
      </c>
      <c r="K266" s="18">
        <f t="shared" si="67"/>
        <v>4.4435803499970437</v>
      </c>
      <c r="L266" s="18">
        <f t="shared" si="68"/>
        <v>3.6521098620245671</v>
      </c>
      <c r="M266" s="18">
        <f t="shared" si="69"/>
        <v>3.6521098620245671</v>
      </c>
      <c r="N266" s="18">
        <f t="shared" si="70"/>
        <v>3.6521098620245671</v>
      </c>
      <c r="O266" s="16"/>
      <c r="P266" s="18">
        <f t="shared" si="65"/>
        <v>343.39396284403443</v>
      </c>
      <c r="Q266" s="18">
        <f t="shared" si="75"/>
        <v>586.24695829407392</v>
      </c>
      <c r="R266" s="18">
        <f t="shared" si="76"/>
        <v>0</v>
      </c>
      <c r="S266" s="18">
        <f t="shared" si="77"/>
        <v>0</v>
      </c>
      <c r="T266" s="18">
        <v>100</v>
      </c>
      <c r="U266" s="16"/>
      <c r="V266" s="18">
        <f t="shared" si="71"/>
        <v>1029.6409211381083</v>
      </c>
      <c r="W266" s="16"/>
      <c r="X266" s="18">
        <f t="shared" si="72"/>
        <v>122751.48414095325</v>
      </c>
      <c r="Y266" s="18">
        <f t="shared" si="73"/>
        <v>350.3590788618917</v>
      </c>
      <c r="Z266" s="18"/>
      <c r="AA266" s="18">
        <f t="shared" si="74"/>
        <v>3.3233839595596794E-4</v>
      </c>
    </row>
    <row r="267" spans="2:27" x14ac:dyDescent="0.35">
      <c r="B267" s="26">
        <v>71.800000000000011</v>
      </c>
      <c r="C267" s="26">
        <v>1332</v>
      </c>
      <c r="D267" s="18">
        <f t="shared" si="64"/>
        <v>38.288333403850771</v>
      </c>
      <c r="E267" s="18">
        <f t="shared" si="64"/>
        <v>5.9491057472866995</v>
      </c>
      <c r="F267" s="18">
        <f t="shared" si="64"/>
        <v>4.9774149070059561</v>
      </c>
      <c r="G267" s="18">
        <f t="shared" si="64"/>
        <v>4.9774149070059561</v>
      </c>
      <c r="H267" s="18">
        <f t="shared" si="64"/>
        <v>4.9774149070059561</v>
      </c>
      <c r="I267" s="16"/>
      <c r="J267" s="18">
        <f t="shared" si="66"/>
        <v>34.740429286004087</v>
      </c>
      <c r="K267" s="18">
        <f t="shared" si="67"/>
        <v>4.4550642618175562</v>
      </c>
      <c r="L267" s="18">
        <f t="shared" si="68"/>
        <v>3.6756774509383661</v>
      </c>
      <c r="M267" s="18">
        <f t="shared" si="69"/>
        <v>3.6756774509383661</v>
      </c>
      <c r="N267" s="18">
        <f t="shared" si="70"/>
        <v>3.6756774509383661</v>
      </c>
      <c r="O267" s="16"/>
      <c r="P267" s="18">
        <f t="shared" si="65"/>
        <v>340.84639758439369</v>
      </c>
      <c r="Q267" s="18">
        <f t="shared" si="75"/>
        <v>583.50480114606501</v>
      </c>
      <c r="R267" s="18">
        <f t="shared" si="76"/>
        <v>0</v>
      </c>
      <c r="S267" s="18">
        <f t="shared" si="77"/>
        <v>0</v>
      </c>
      <c r="T267" s="18">
        <v>100</v>
      </c>
      <c r="U267" s="16"/>
      <c r="V267" s="18">
        <f t="shared" si="71"/>
        <v>1024.3511987304587</v>
      </c>
      <c r="W267" s="16"/>
      <c r="X267" s="18">
        <f t="shared" si="72"/>
        <v>94647.784922585721</v>
      </c>
      <c r="Y267" s="18">
        <f t="shared" si="73"/>
        <v>307.64880126954131</v>
      </c>
      <c r="Z267" s="18"/>
      <c r="AA267" s="18">
        <f t="shared" si="74"/>
        <v>2.9182491706458436E-4</v>
      </c>
    </row>
    <row r="268" spans="2:27" x14ac:dyDescent="0.35">
      <c r="B268" s="26">
        <v>72.099999999999994</v>
      </c>
      <c r="C268" s="26">
        <v>1293</v>
      </c>
      <c r="D268" s="18">
        <f t="shared" si="64"/>
        <v>38.423047032151793</v>
      </c>
      <c r="E268" s="18">
        <f t="shared" si="64"/>
        <v>5.963170707951563</v>
      </c>
      <c r="F268" s="18">
        <f t="shared" si="64"/>
        <v>5.0074149070059537</v>
      </c>
      <c r="G268" s="18">
        <f t="shared" si="64"/>
        <v>5.0074149070059537</v>
      </c>
      <c r="H268" s="18">
        <f t="shared" si="64"/>
        <v>5.0074149070059537</v>
      </c>
      <c r="I268" s="16"/>
      <c r="J268" s="18">
        <f t="shared" si="66"/>
        <v>34.871380580047038</v>
      </c>
      <c r="K268" s="18">
        <f t="shared" si="67"/>
        <v>4.4665536027911363</v>
      </c>
      <c r="L268" s="18">
        <f t="shared" si="68"/>
        <v>3.6992774029331694</v>
      </c>
      <c r="M268" s="18">
        <f t="shared" si="69"/>
        <v>3.6992774029331694</v>
      </c>
      <c r="N268" s="18">
        <f t="shared" si="70"/>
        <v>3.6992774029331694</v>
      </c>
      <c r="O268" s="16"/>
      <c r="P268" s="18">
        <f t="shared" si="65"/>
        <v>338.32681491494878</v>
      </c>
      <c r="Q268" s="18">
        <f t="shared" si="75"/>
        <v>580.78062060207685</v>
      </c>
      <c r="R268" s="18">
        <f t="shared" si="76"/>
        <v>0</v>
      </c>
      <c r="S268" s="18">
        <f t="shared" si="77"/>
        <v>0</v>
      </c>
      <c r="T268" s="18">
        <v>100</v>
      </c>
      <c r="U268" s="16"/>
      <c r="V268" s="18">
        <f t="shared" si="71"/>
        <v>1019.1074355170256</v>
      </c>
      <c r="W268" s="16"/>
      <c r="X268" s="18">
        <f t="shared" si="72"/>
        <v>75017.136879060301</v>
      </c>
      <c r="Y268" s="18">
        <f t="shared" si="73"/>
        <v>273.89256448297442</v>
      </c>
      <c r="Z268" s="18"/>
      <c r="AA268" s="18">
        <f t="shared" si="74"/>
        <v>2.5980492881824094E-4</v>
      </c>
    </row>
    <row r="269" spans="2:27" x14ac:dyDescent="0.35">
      <c r="B269" s="26">
        <v>72.5</v>
      </c>
      <c r="C269" s="26">
        <v>1304</v>
      </c>
      <c r="D269" s="18">
        <f t="shared" si="64"/>
        <v>38.602665203219836</v>
      </c>
      <c r="E269" s="18">
        <f t="shared" si="64"/>
        <v>5.9819239888380498</v>
      </c>
      <c r="F269" s="18">
        <f t="shared" si="64"/>
        <v>5.0474149070059546</v>
      </c>
      <c r="G269" s="18">
        <f t="shared" si="64"/>
        <v>5.0474149070059546</v>
      </c>
      <c r="H269" s="18">
        <f t="shared" si="64"/>
        <v>5.0474149070059546</v>
      </c>
      <c r="I269" s="16"/>
      <c r="J269" s="18">
        <f t="shared" si="66"/>
        <v>35.046003615761734</v>
      </c>
      <c r="K269" s="18">
        <f t="shared" si="67"/>
        <v>4.4818811344583853</v>
      </c>
      <c r="L269" s="18">
        <f t="shared" si="68"/>
        <v>3.7307938638613627</v>
      </c>
      <c r="M269" s="18">
        <f t="shared" si="69"/>
        <v>3.7307938638613627</v>
      </c>
      <c r="N269" s="18">
        <f t="shared" si="70"/>
        <v>3.7307938638613627</v>
      </c>
      <c r="O269" s="16"/>
      <c r="P269" s="18">
        <f t="shared" si="65"/>
        <v>335.01020008036477</v>
      </c>
      <c r="Q269" s="18">
        <f t="shared" si="75"/>
        <v>577.17608644610141</v>
      </c>
      <c r="R269" s="18">
        <f t="shared" si="76"/>
        <v>0</v>
      </c>
      <c r="S269" s="18">
        <f t="shared" si="77"/>
        <v>0</v>
      </c>
      <c r="T269" s="18">
        <v>100</v>
      </c>
      <c r="U269" s="16"/>
      <c r="V269" s="18">
        <f t="shared" si="71"/>
        <v>1012.1862865264661</v>
      </c>
      <c r="W269" s="16"/>
      <c r="X269" s="18">
        <f t="shared" si="72"/>
        <v>85155.243371213728</v>
      </c>
      <c r="Y269" s="18">
        <f t="shared" si="73"/>
        <v>291.81371347353388</v>
      </c>
      <c r="Z269" s="18"/>
      <c r="AA269" s="18">
        <f t="shared" si="74"/>
        <v>2.7680430536802971E-4</v>
      </c>
    </row>
    <row r="270" spans="2:27" x14ac:dyDescent="0.35">
      <c r="B270" s="26">
        <v>72.800000000000011</v>
      </c>
      <c r="C270" s="26">
        <v>1356</v>
      </c>
      <c r="D270" s="18">
        <f t="shared" si="64"/>
        <v>38.737378831520864</v>
      </c>
      <c r="E270" s="18">
        <f t="shared" si="64"/>
        <v>5.9959889495029142</v>
      </c>
      <c r="F270" s="18">
        <f t="shared" si="64"/>
        <v>5.0774149070059558</v>
      </c>
      <c r="G270" s="18">
        <f t="shared" si="64"/>
        <v>5.0774149070059558</v>
      </c>
      <c r="H270" s="18">
        <f t="shared" si="64"/>
        <v>5.0774149070059558</v>
      </c>
      <c r="I270" s="16"/>
      <c r="J270" s="18">
        <f t="shared" si="66"/>
        <v>35.176986748287796</v>
      </c>
      <c r="K270" s="18">
        <f t="shared" si="67"/>
        <v>4.4933830648934796</v>
      </c>
      <c r="L270" s="18">
        <f t="shared" si="68"/>
        <v>3.7544682444744746</v>
      </c>
      <c r="M270" s="18">
        <f t="shared" si="69"/>
        <v>3.7544682444744746</v>
      </c>
      <c r="N270" s="18">
        <f t="shared" si="70"/>
        <v>3.7544682444744746</v>
      </c>
      <c r="O270" s="16"/>
      <c r="P270" s="18">
        <f t="shared" si="65"/>
        <v>332.5543458749741</v>
      </c>
      <c r="Q270" s="18">
        <f t="shared" si="75"/>
        <v>574.49327503917641</v>
      </c>
      <c r="R270" s="18">
        <f t="shared" si="76"/>
        <v>0</v>
      </c>
      <c r="S270" s="18">
        <f t="shared" si="77"/>
        <v>0</v>
      </c>
      <c r="T270" s="18">
        <v>100</v>
      </c>
      <c r="U270" s="16"/>
      <c r="V270" s="18">
        <f t="shared" si="71"/>
        <v>1007.0476209141505</v>
      </c>
      <c r="W270" s="16"/>
      <c r="X270" s="18">
        <f t="shared" si="72"/>
        <v>121767.76286967445</v>
      </c>
      <c r="Y270" s="18">
        <f t="shared" si="73"/>
        <v>348.95237908584954</v>
      </c>
      <c r="Z270" s="18"/>
      <c r="AA270" s="18">
        <f t="shared" si="74"/>
        <v>3.3100404963709958E-4</v>
      </c>
    </row>
    <row r="271" spans="2:27" x14ac:dyDescent="0.35">
      <c r="B271" s="26">
        <v>73.099999999999994</v>
      </c>
      <c r="C271" s="26">
        <v>1321</v>
      </c>
      <c r="D271" s="18">
        <f t="shared" si="64"/>
        <v>38.872092459821886</v>
      </c>
      <c r="E271" s="18">
        <f t="shared" si="64"/>
        <v>6.0100539101677786</v>
      </c>
      <c r="F271" s="18">
        <f t="shared" si="64"/>
        <v>5.1074149070059534</v>
      </c>
      <c r="G271" s="18">
        <f t="shared" si="64"/>
        <v>5.1074149070059534</v>
      </c>
      <c r="H271" s="18">
        <f t="shared" si="64"/>
        <v>5.1074149070059534</v>
      </c>
      <c r="I271" s="16"/>
      <c r="J271" s="18">
        <f t="shared" si="66"/>
        <v>35.307983363836641</v>
      </c>
      <c r="K271" s="18">
        <f t="shared" si="67"/>
        <v>4.504890357386639</v>
      </c>
      <c r="L271" s="18">
        <f t="shared" si="68"/>
        <v>3.7781740655288001</v>
      </c>
      <c r="M271" s="18">
        <f t="shared" si="69"/>
        <v>3.7781740655288001</v>
      </c>
      <c r="N271" s="18">
        <f t="shared" si="70"/>
        <v>3.7781740655288001</v>
      </c>
      <c r="O271" s="16"/>
      <c r="P271" s="18">
        <f t="shared" si="65"/>
        <v>330.12515074491608</v>
      </c>
      <c r="Q271" s="18">
        <f t="shared" si="75"/>
        <v>571.82794979988626</v>
      </c>
      <c r="R271" s="18">
        <f t="shared" si="76"/>
        <v>0</v>
      </c>
      <c r="S271" s="18">
        <f t="shared" si="77"/>
        <v>0</v>
      </c>
      <c r="T271" s="18">
        <v>100</v>
      </c>
      <c r="U271" s="16"/>
      <c r="V271" s="18">
        <f t="shared" si="71"/>
        <v>1001.9531005448023</v>
      </c>
      <c r="W271" s="16"/>
      <c r="X271" s="18">
        <f t="shared" si="72"/>
        <v>101790.92405197505</v>
      </c>
      <c r="Y271" s="18">
        <f t="shared" si="73"/>
        <v>319.04689945519772</v>
      </c>
      <c r="Z271" s="18"/>
      <c r="AA271" s="18">
        <f t="shared" si="74"/>
        <v>3.0263675525149454E-4</v>
      </c>
    </row>
    <row r="272" spans="2:27" x14ac:dyDescent="0.35">
      <c r="B272" s="26">
        <v>73.400000000000006</v>
      </c>
      <c r="C272" s="26">
        <v>1365</v>
      </c>
      <c r="D272" s="18">
        <f t="shared" si="64"/>
        <v>39.006806088122921</v>
      </c>
      <c r="E272" s="18">
        <f t="shared" si="64"/>
        <v>6.024118870832643</v>
      </c>
      <c r="F272" s="18">
        <f t="shared" si="64"/>
        <v>5.1374149070059545</v>
      </c>
      <c r="G272" s="18">
        <f t="shared" si="64"/>
        <v>5.1374149070059545</v>
      </c>
      <c r="H272" s="18">
        <f t="shared" si="64"/>
        <v>5.1374149070059545</v>
      </c>
      <c r="I272" s="16"/>
      <c r="J272" s="18">
        <f t="shared" si="66"/>
        <v>35.43899336666459</v>
      </c>
      <c r="K272" s="18">
        <f t="shared" si="67"/>
        <v>4.5164029920279143</v>
      </c>
      <c r="L272" s="18">
        <f t="shared" si="68"/>
        <v>3.8019110569631769</v>
      </c>
      <c r="M272" s="18">
        <f t="shared" si="69"/>
        <v>3.8019110569631769</v>
      </c>
      <c r="N272" s="18">
        <f t="shared" si="70"/>
        <v>3.8019110569631769</v>
      </c>
      <c r="O272" s="16"/>
      <c r="P272" s="18">
        <f t="shared" si="65"/>
        <v>327.72223288336158</v>
      </c>
      <c r="Q272" s="18">
        <f t="shared" si="75"/>
        <v>569.17996672569825</v>
      </c>
      <c r="R272" s="18">
        <f t="shared" si="76"/>
        <v>0</v>
      </c>
      <c r="S272" s="18">
        <f t="shared" si="77"/>
        <v>0</v>
      </c>
      <c r="T272" s="18">
        <v>100</v>
      </c>
      <c r="U272" s="16"/>
      <c r="V272" s="18">
        <f t="shared" si="71"/>
        <v>996.90219960905983</v>
      </c>
      <c r="W272" s="16"/>
      <c r="X272" s="18">
        <f t="shared" si="72"/>
        <v>135495.99065264844</v>
      </c>
      <c r="Y272" s="18">
        <f t="shared" si="73"/>
        <v>368.09780039094017</v>
      </c>
      <c r="Z272" s="18"/>
      <c r="AA272" s="18">
        <f t="shared" si="74"/>
        <v>3.4916472818181965E-4</v>
      </c>
    </row>
    <row r="273" spans="2:27" x14ac:dyDescent="0.35">
      <c r="B273" s="26">
        <v>73.700000000000017</v>
      </c>
      <c r="C273" s="26">
        <v>1364</v>
      </c>
      <c r="D273" s="18">
        <f t="shared" si="64"/>
        <v>39.141519716423957</v>
      </c>
      <c r="E273" s="18">
        <f t="shared" si="64"/>
        <v>6.0381838314975074</v>
      </c>
      <c r="F273" s="18">
        <f t="shared" si="64"/>
        <v>5.1674149070059556</v>
      </c>
      <c r="G273" s="18">
        <f t="shared" si="64"/>
        <v>5.1674149070059556</v>
      </c>
      <c r="H273" s="18">
        <f t="shared" si="64"/>
        <v>5.1674149070059556</v>
      </c>
      <c r="I273" s="16"/>
      <c r="J273" s="18">
        <f t="shared" si="66"/>
        <v>35.570016662034291</v>
      </c>
      <c r="K273" s="18">
        <f t="shared" si="67"/>
        <v>4.527920949007159</v>
      </c>
      <c r="L273" s="18">
        <f t="shared" si="68"/>
        <v>3.8256789517530829</v>
      </c>
      <c r="M273" s="18">
        <f t="shared" si="69"/>
        <v>3.8256789517530829</v>
      </c>
      <c r="N273" s="18">
        <f t="shared" si="70"/>
        <v>3.8256789517530829</v>
      </c>
      <c r="O273" s="16"/>
      <c r="P273" s="18">
        <f t="shared" si="65"/>
        <v>325.34521725638393</v>
      </c>
      <c r="Q273" s="18">
        <f t="shared" si="75"/>
        <v>566.54918322894946</v>
      </c>
      <c r="R273" s="18">
        <f t="shared" si="76"/>
        <v>0</v>
      </c>
      <c r="S273" s="18">
        <f t="shared" si="77"/>
        <v>0</v>
      </c>
      <c r="T273" s="18">
        <v>100</v>
      </c>
      <c r="U273" s="16"/>
      <c r="V273" s="18">
        <f t="shared" si="71"/>
        <v>991.89440048533334</v>
      </c>
      <c r="W273" s="16"/>
      <c r="X273" s="18">
        <f t="shared" si="72"/>
        <v>138462.57719016948</v>
      </c>
      <c r="Y273" s="18">
        <f t="shared" si="73"/>
        <v>372.10559951466666</v>
      </c>
      <c r="Z273" s="18"/>
      <c r="AA273" s="18">
        <f t="shared" si="74"/>
        <v>3.5296638657303272E-4</v>
      </c>
    </row>
    <row r="274" spans="2:27" x14ac:dyDescent="0.35">
      <c r="B274" s="26">
        <v>74</v>
      </c>
      <c r="C274" s="26">
        <v>1378</v>
      </c>
      <c r="D274" s="18">
        <f t="shared" si="64"/>
        <v>39.276233344724979</v>
      </c>
      <c r="E274" s="18">
        <f t="shared" si="64"/>
        <v>6.0522487921623718</v>
      </c>
      <c r="F274" s="18">
        <f t="shared" si="64"/>
        <v>5.197414907005955</v>
      </c>
      <c r="G274" s="18">
        <f t="shared" si="64"/>
        <v>5.197414907005955</v>
      </c>
      <c r="H274" s="18">
        <f t="shared" si="64"/>
        <v>5.197414907005955</v>
      </c>
      <c r="I274" s="16"/>
      <c r="J274" s="18">
        <f t="shared" si="66"/>
        <v>35.701053156200814</v>
      </c>
      <c r="K274" s="18">
        <f t="shared" si="67"/>
        <v>4.5394442086134354</v>
      </c>
      <c r="L274" s="18">
        <f t="shared" si="68"/>
        <v>3.8494774858720806</v>
      </c>
      <c r="M274" s="18">
        <f t="shared" si="69"/>
        <v>3.8494774858720806</v>
      </c>
      <c r="N274" s="18">
        <f t="shared" si="70"/>
        <v>3.8494774858720806</v>
      </c>
      <c r="O274" s="16"/>
      <c r="P274" s="18">
        <f t="shared" si="65"/>
        <v>322.99373545996559</v>
      </c>
      <c r="Q274" s="18">
        <f t="shared" si="75"/>
        <v>563.93545812086052</v>
      </c>
      <c r="R274" s="18">
        <f t="shared" si="76"/>
        <v>0</v>
      </c>
      <c r="S274" s="18">
        <f t="shared" si="77"/>
        <v>0</v>
      </c>
      <c r="T274" s="18">
        <v>100</v>
      </c>
      <c r="U274" s="16"/>
      <c r="V274" s="18">
        <f t="shared" si="71"/>
        <v>986.92919358082611</v>
      </c>
      <c r="W274" s="16"/>
      <c r="X274" s="18">
        <f t="shared" si="72"/>
        <v>152936.37563334298</v>
      </c>
      <c r="Y274" s="18">
        <f t="shared" si="73"/>
        <v>391.07080641917389</v>
      </c>
      <c r="Z274" s="18"/>
      <c r="AA274" s="18">
        <f t="shared" si="74"/>
        <v>3.7095612002618385E-4</v>
      </c>
    </row>
    <row r="275" spans="2:27" x14ac:dyDescent="0.35">
      <c r="B275" s="26">
        <v>74.400000000000006</v>
      </c>
      <c r="C275" s="26">
        <v>1310</v>
      </c>
      <c r="D275" s="18">
        <f t="shared" si="64"/>
        <v>39.455851515793015</v>
      </c>
      <c r="E275" s="18">
        <f t="shared" si="64"/>
        <v>6.0710020730488576</v>
      </c>
      <c r="F275" s="18">
        <f t="shared" si="64"/>
        <v>5.2374149070059559</v>
      </c>
      <c r="G275" s="18">
        <f t="shared" si="64"/>
        <v>5.2374149070059559</v>
      </c>
      <c r="H275" s="18">
        <f t="shared" si="64"/>
        <v>5.2374149070059559</v>
      </c>
      <c r="I275" s="16"/>
      <c r="J275" s="18">
        <f t="shared" si="66"/>
        <v>35.875788853020609</v>
      </c>
      <c r="K275" s="18">
        <f t="shared" si="67"/>
        <v>4.5548167694023727</v>
      </c>
      <c r="L275" s="18">
        <f t="shared" si="68"/>
        <v>3.8812560750716716</v>
      </c>
      <c r="M275" s="18">
        <f t="shared" si="69"/>
        <v>3.8812560750716716</v>
      </c>
      <c r="N275" s="18">
        <f t="shared" si="70"/>
        <v>3.8812560750716716</v>
      </c>
      <c r="O275" s="16"/>
      <c r="P275" s="18">
        <f t="shared" si="65"/>
        <v>319.89752107816366</v>
      </c>
      <c r="Q275" s="18">
        <f t="shared" si="75"/>
        <v>560.47678513914377</v>
      </c>
      <c r="R275" s="18">
        <f t="shared" si="76"/>
        <v>0</v>
      </c>
      <c r="S275" s="18">
        <f t="shared" si="77"/>
        <v>0</v>
      </c>
      <c r="T275" s="18">
        <v>100</v>
      </c>
      <c r="U275" s="16"/>
      <c r="V275" s="18">
        <f t="shared" si="71"/>
        <v>980.37430621730743</v>
      </c>
      <c r="W275" s="16"/>
      <c r="X275" s="18">
        <f t="shared" si="72"/>
        <v>108653.0980017214</v>
      </c>
      <c r="Y275" s="18">
        <f t="shared" si="73"/>
        <v>329.62569378269257</v>
      </c>
      <c r="Z275" s="18"/>
      <c r="AA275" s="18">
        <f t="shared" si="74"/>
        <v>3.1267143038926539E-4</v>
      </c>
    </row>
    <row r="276" spans="2:27" x14ac:dyDescent="0.35">
      <c r="B276" s="26">
        <v>74.700000000000017</v>
      </c>
      <c r="C276" s="26">
        <v>1357</v>
      </c>
      <c r="D276" s="18">
        <f t="shared" si="64"/>
        <v>39.59056514409405</v>
      </c>
      <c r="E276" s="18">
        <f t="shared" si="64"/>
        <v>6.0850670337137229</v>
      </c>
      <c r="F276" s="18">
        <f t="shared" si="64"/>
        <v>5.267414907005957</v>
      </c>
      <c r="G276" s="18">
        <f t="shared" si="64"/>
        <v>5.267414907005957</v>
      </c>
      <c r="H276" s="18">
        <f t="shared" si="64"/>
        <v>5.267414907005957</v>
      </c>
      <c r="I276" s="16"/>
      <c r="J276" s="18">
        <f t="shared" si="66"/>
        <v>36.006855785288799</v>
      </c>
      <c r="K276" s="18">
        <f t="shared" si="67"/>
        <v>4.5663523257042895</v>
      </c>
      <c r="L276" s="18">
        <f t="shared" si="68"/>
        <v>3.9051250907457442</v>
      </c>
      <c r="M276" s="18">
        <f t="shared" si="69"/>
        <v>3.9051250907457442</v>
      </c>
      <c r="N276" s="18">
        <f t="shared" si="70"/>
        <v>3.9051250907457442</v>
      </c>
      <c r="O276" s="16"/>
      <c r="P276" s="18">
        <f t="shared" si="65"/>
        <v>317.60422174149124</v>
      </c>
      <c r="Q276" s="18">
        <f t="shared" si="75"/>
        <v>557.90232161056667</v>
      </c>
      <c r="R276" s="18">
        <f t="shared" si="76"/>
        <v>0</v>
      </c>
      <c r="S276" s="18">
        <f t="shared" si="77"/>
        <v>0</v>
      </c>
      <c r="T276" s="18">
        <v>100</v>
      </c>
      <c r="U276" s="16"/>
      <c r="V276" s="18">
        <f t="shared" si="71"/>
        <v>975.50654335205786</v>
      </c>
      <c r="W276" s="16"/>
      <c r="X276" s="18">
        <f t="shared" si="72"/>
        <v>145537.25746519532</v>
      </c>
      <c r="Y276" s="18">
        <f t="shared" si="73"/>
        <v>381.49345664794214</v>
      </c>
      <c r="Z276" s="18"/>
      <c r="AA276" s="18">
        <f t="shared" si="74"/>
        <v>3.6187138024772615E-4</v>
      </c>
    </row>
    <row r="277" spans="2:27" x14ac:dyDescent="0.35">
      <c r="B277" s="26">
        <v>75</v>
      </c>
      <c r="C277" s="26">
        <v>1290</v>
      </c>
      <c r="D277" s="18">
        <f t="shared" si="64"/>
        <v>39.725278772395072</v>
      </c>
      <c r="E277" s="18">
        <f t="shared" si="64"/>
        <v>6.0991319943785864</v>
      </c>
      <c r="F277" s="18">
        <f t="shared" si="64"/>
        <v>5.2974149070059546</v>
      </c>
      <c r="G277" s="18">
        <f t="shared" si="64"/>
        <v>5.2974149070059546</v>
      </c>
      <c r="H277" s="18">
        <f t="shared" si="64"/>
        <v>5.2974149070059546</v>
      </c>
      <c r="I277" s="16"/>
      <c r="J277" s="18">
        <f t="shared" si="66"/>
        <v>36.137935610864062</v>
      </c>
      <c r="K277" s="18">
        <f t="shared" si="67"/>
        <v>4.5778931196390777</v>
      </c>
      <c r="L277" s="18">
        <f t="shared" si="68"/>
        <v>3.9290238868278831</v>
      </c>
      <c r="M277" s="18">
        <f t="shared" si="69"/>
        <v>3.9290238868278831</v>
      </c>
      <c r="N277" s="18">
        <f t="shared" si="70"/>
        <v>3.9290238868278831</v>
      </c>
      <c r="O277" s="16"/>
      <c r="P277" s="18">
        <f t="shared" si="65"/>
        <v>315.33527433885683</v>
      </c>
      <c r="Q277" s="18">
        <f t="shared" si="75"/>
        <v>555.34445574327549</v>
      </c>
      <c r="R277" s="18">
        <f t="shared" si="76"/>
        <v>0</v>
      </c>
      <c r="S277" s="18">
        <f t="shared" si="77"/>
        <v>0</v>
      </c>
      <c r="T277" s="18">
        <v>100</v>
      </c>
      <c r="U277" s="16"/>
      <c r="V277" s="18">
        <f t="shared" si="71"/>
        <v>970.67973008213232</v>
      </c>
      <c r="W277" s="16"/>
      <c r="X277" s="18">
        <f t="shared" si="72"/>
        <v>101965.43478041986</v>
      </c>
      <c r="Y277" s="18">
        <f t="shared" si="73"/>
        <v>319.32026991786768</v>
      </c>
      <c r="Z277" s="18"/>
      <c r="AA277" s="18">
        <f t="shared" si="74"/>
        <v>3.0289606493275241E-4</v>
      </c>
    </row>
    <row r="278" spans="2:27" x14ac:dyDescent="0.35">
      <c r="B278" s="26">
        <v>75.300000000000011</v>
      </c>
      <c r="C278" s="26">
        <v>1317</v>
      </c>
      <c r="D278" s="18">
        <f t="shared" si="64"/>
        <v>39.859992400696107</v>
      </c>
      <c r="E278" s="18">
        <f t="shared" si="64"/>
        <v>6.1131969550434517</v>
      </c>
      <c r="F278" s="18">
        <f t="shared" si="64"/>
        <v>5.3274149070059558</v>
      </c>
      <c r="G278" s="18">
        <f t="shared" si="64"/>
        <v>5.3274149070059558</v>
      </c>
      <c r="H278" s="18">
        <f t="shared" si="64"/>
        <v>5.3274149070059558</v>
      </c>
      <c r="I278" s="16"/>
      <c r="J278" s="18">
        <f t="shared" si="66"/>
        <v>36.269028240146582</v>
      </c>
      <c r="K278" s="18">
        <f t="shared" si="67"/>
        <v>4.589439131918942</v>
      </c>
      <c r="L278" s="18">
        <f t="shared" si="68"/>
        <v>3.952952211848979</v>
      </c>
      <c r="M278" s="18">
        <f t="shared" si="69"/>
        <v>3.952952211848979</v>
      </c>
      <c r="N278" s="18">
        <f t="shared" si="70"/>
        <v>3.952952211848979</v>
      </c>
      <c r="O278" s="16"/>
      <c r="P278" s="18">
        <f t="shared" si="65"/>
        <v>313.09033762682202</v>
      </c>
      <c r="Q278" s="18">
        <f t="shared" si="75"/>
        <v>552.80305223047674</v>
      </c>
      <c r="R278" s="18">
        <f t="shared" si="76"/>
        <v>0</v>
      </c>
      <c r="S278" s="18">
        <f t="shared" si="77"/>
        <v>0</v>
      </c>
      <c r="T278" s="18">
        <v>100</v>
      </c>
      <c r="U278" s="16"/>
      <c r="V278" s="18">
        <f t="shared" si="71"/>
        <v>965.89338985729876</v>
      </c>
      <c r="W278" s="16"/>
      <c r="X278" s="18">
        <f t="shared" si="72"/>
        <v>123275.8516858988</v>
      </c>
      <c r="Y278" s="18">
        <f t="shared" si="73"/>
        <v>351.10661014270124</v>
      </c>
      <c r="Z278" s="18"/>
      <c r="AA278" s="18">
        <f t="shared" si="74"/>
        <v>3.3304747804283199E-4</v>
      </c>
    </row>
    <row r="279" spans="2:27" x14ac:dyDescent="0.35">
      <c r="B279" s="26">
        <v>75.599999999999994</v>
      </c>
      <c r="C279" s="26">
        <v>1319</v>
      </c>
      <c r="D279" s="18">
        <f t="shared" si="64"/>
        <v>39.994706028997129</v>
      </c>
      <c r="E279" s="18">
        <f t="shared" si="64"/>
        <v>6.1272619157083152</v>
      </c>
      <c r="F279" s="18">
        <f t="shared" si="64"/>
        <v>5.3574149070059534</v>
      </c>
      <c r="G279" s="18">
        <f t="shared" si="64"/>
        <v>5.3574149070059534</v>
      </c>
      <c r="H279" s="18">
        <f t="shared" ref="E279:H294" si="78">G$23-LN(1/G$23)+$B279*G$22</f>
        <v>5.3574149070059534</v>
      </c>
      <c r="I279" s="16"/>
      <c r="J279" s="18">
        <f t="shared" si="66"/>
        <v>36.400133584458466</v>
      </c>
      <c r="K279" s="18">
        <f t="shared" si="67"/>
        <v>4.6009903433521862</v>
      </c>
      <c r="L279" s="18">
        <f t="shared" si="68"/>
        <v>3.976909817140077</v>
      </c>
      <c r="M279" s="18">
        <f t="shared" si="69"/>
        <v>3.976909817140077</v>
      </c>
      <c r="N279" s="18">
        <f t="shared" si="70"/>
        <v>3.976909817140077</v>
      </c>
      <c r="O279" s="16"/>
      <c r="P279" s="18">
        <f t="shared" si="65"/>
        <v>310.86907628596174</v>
      </c>
      <c r="Q279" s="18">
        <f t="shared" si="75"/>
        <v>550.27797708235539</v>
      </c>
      <c r="R279" s="18">
        <f t="shared" si="76"/>
        <v>0</v>
      </c>
      <c r="S279" s="18">
        <f t="shared" si="77"/>
        <v>0</v>
      </c>
      <c r="T279" s="18">
        <v>100</v>
      </c>
      <c r="U279" s="16"/>
      <c r="V279" s="18">
        <f t="shared" si="71"/>
        <v>961.14705336831707</v>
      </c>
      <c r="W279" s="16"/>
      <c r="X279" s="18">
        <f t="shared" si="72"/>
        <v>128058.73141297812</v>
      </c>
      <c r="Y279" s="18">
        <f t="shared" si="73"/>
        <v>357.85294663168293</v>
      </c>
      <c r="Z279" s="18"/>
      <c r="AA279" s="18">
        <f t="shared" si="74"/>
        <v>3.394468174137726E-4</v>
      </c>
    </row>
    <row r="280" spans="2:27" x14ac:dyDescent="0.35">
      <c r="B280" s="26">
        <v>75.900000000000006</v>
      </c>
      <c r="C280" s="26">
        <v>1305</v>
      </c>
      <c r="D280" s="18">
        <f t="shared" si="64"/>
        <v>40.129419657298158</v>
      </c>
      <c r="E280" s="18">
        <f t="shared" si="78"/>
        <v>6.1413268763731805</v>
      </c>
      <c r="F280" s="18">
        <f t="shared" si="78"/>
        <v>5.3874149070059545</v>
      </c>
      <c r="G280" s="18">
        <f t="shared" si="78"/>
        <v>5.3874149070059545</v>
      </c>
      <c r="H280" s="18">
        <f t="shared" si="78"/>
        <v>5.3874149070059545</v>
      </c>
      <c r="I280" s="16"/>
      <c r="J280" s="18">
        <f t="shared" si="66"/>
        <v>36.531251556031293</v>
      </c>
      <c r="K280" s="18">
        <f t="shared" si="67"/>
        <v>4.6125467348426561</v>
      </c>
      <c r="L280" s="18">
        <f t="shared" si="68"/>
        <v>4.0008964567967196</v>
      </c>
      <c r="M280" s="18">
        <f t="shared" si="69"/>
        <v>4.0008964567967196</v>
      </c>
      <c r="N280" s="18">
        <f t="shared" si="70"/>
        <v>4.0008964567967196</v>
      </c>
      <c r="O280" s="16"/>
      <c r="P280" s="18">
        <f t="shared" si="65"/>
        <v>308.67116079844311</v>
      </c>
      <c r="Q280" s="18">
        <f t="shared" si="75"/>
        <v>547.76909761132129</v>
      </c>
      <c r="R280" s="18">
        <f t="shared" si="76"/>
        <v>0</v>
      </c>
      <c r="S280" s="18">
        <f t="shared" si="77"/>
        <v>0</v>
      </c>
      <c r="T280" s="18">
        <v>100</v>
      </c>
      <c r="U280" s="16"/>
      <c r="V280" s="18">
        <f t="shared" si="71"/>
        <v>956.4402584097644</v>
      </c>
      <c r="W280" s="16"/>
      <c r="X280" s="18">
        <f t="shared" si="72"/>
        <v>121493.89345745182</v>
      </c>
      <c r="Y280" s="18">
        <f t="shared" si="73"/>
        <v>348.5597415902356</v>
      </c>
      <c r="Z280" s="18"/>
      <c r="AA280" s="18">
        <f t="shared" si="74"/>
        <v>3.3063160741037499E-4</v>
      </c>
    </row>
    <row r="281" spans="2:27" x14ac:dyDescent="0.35">
      <c r="B281" s="26">
        <v>76.200000000000017</v>
      </c>
      <c r="C281" s="26">
        <v>1310</v>
      </c>
      <c r="D281" s="18">
        <f t="shared" si="64"/>
        <v>40.264133285599193</v>
      </c>
      <c r="E281" s="18">
        <f t="shared" si="78"/>
        <v>6.1553918370380458</v>
      </c>
      <c r="F281" s="18">
        <f t="shared" si="78"/>
        <v>5.4174149070059556</v>
      </c>
      <c r="G281" s="18">
        <f t="shared" si="78"/>
        <v>5.4174149070059556</v>
      </c>
      <c r="H281" s="18">
        <f t="shared" si="78"/>
        <v>5.4174149070059556</v>
      </c>
      <c r="I281" s="16"/>
      <c r="J281" s="18">
        <f t="shared" si="66"/>
        <v>36.662382067993775</v>
      </c>
      <c r="K281" s="18">
        <f t="shared" si="67"/>
        <v>4.6241082873891601</v>
      </c>
      <c r="L281" s="18">
        <f t="shared" si="68"/>
        <v>4.024911887643694</v>
      </c>
      <c r="M281" s="18">
        <f t="shared" si="69"/>
        <v>4.024911887643694</v>
      </c>
      <c r="N281" s="18">
        <f t="shared" si="70"/>
        <v>4.024911887643694</v>
      </c>
      <c r="O281" s="16"/>
      <c r="P281" s="18">
        <f t="shared" si="65"/>
        <v>306.49626732853483</v>
      </c>
      <c r="Q281" s="18">
        <f t="shared" si="75"/>
        <v>545.27628241744571</v>
      </c>
      <c r="R281" s="18">
        <f t="shared" si="76"/>
        <v>0</v>
      </c>
      <c r="S281" s="18">
        <f t="shared" si="77"/>
        <v>0</v>
      </c>
      <c r="T281" s="18">
        <v>100</v>
      </c>
      <c r="U281" s="16"/>
      <c r="V281" s="18">
        <f t="shared" si="71"/>
        <v>951.77254974598054</v>
      </c>
      <c r="W281" s="16"/>
      <c r="X281" s="18">
        <f t="shared" si="72"/>
        <v>128326.90611549599</v>
      </c>
      <c r="Y281" s="18">
        <f t="shared" si="73"/>
        <v>358.22745025401946</v>
      </c>
      <c r="Z281" s="18"/>
      <c r="AA281" s="18">
        <f t="shared" si="74"/>
        <v>3.398020584811122E-4</v>
      </c>
    </row>
    <row r="282" spans="2:27" x14ac:dyDescent="0.35">
      <c r="B282" s="26">
        <v>76.599999999999994</v>
      </c>
      <c r="C282" s="26">
        <v>1283</v>
      </c>
      <c r="D282" s="18">
        <f t="shared" si="64"/>
        <v>40.443751456667222</v>
      </c>
      <c r="E282" s="18">
        <f t="shared" si="78"/>
        <v>6.1741451179245299</v>
      </c>
      <c r="F282" s="18">
        <f t="shared" si="78"/>
        <v>5.4574149070059548</v>
      </c>
      <c r="G282" s="18">
        <f t="shared" si="78"/>
        <v>5.4574149070059548</v>
      </c>
      <c r="H282" s="18">
        <f t="shared" si="78"/>
        <v>5.4574149070059548</v>
      </c>
      <c r="I282" s="16"/>
      <c r="J282" s="18">
        <f t="shared" si="66"/>
        <v>36.837242109390971</v>
      </c>
      <c r="K282" s="18">
        <f t="shared" si="67"/>
        <v>4.6395316864290228</v>
      </c>
      <c r="L282" s="18">
        <f t="shared" si="68"/>
        <v>4.0569768331404541</v>
      </c>
      <c r="M282" s="18">
        <f t="shared" si="69"/>
        <v>4.0569768331404541</v>
      </c>
      <c r="N282" s="18">
        <f t="shared" si="70"/>
        <v>4.0569768331404541</v>
      </c>
      <c r="O282" s="16"/>
      <c r="P282" s="18">
        <f t="shared" si="65"/>
        <v>303.63167208664663</v>
      </c>
      <c r="Q282" s="18">
        <f t="shared" si="75"/>
        <v>541.97729297254875</v>
      </c>
      <c r="R282" s="18">
        <f t="shared" si="76"/>
        <v>0</v>
      </c>
      <c r="S282" s="18">
        <f t="shared" si="77"/>
        <v>0</v>
      </c>
      <c r="T282" s="18">
        <v>100</v>
      </c>
      <c r="U282" s="16"/>
      <c r="V282" s="18">
        <f t="shared" si="71"/>
        <v>945.60896505919538</v>
      </c>
      <c r="W282" s="16"/>
      <c r="X282" s="18">
        <f t="shared" si="72"/>
        <v>113832.71045842725</v>
      </c>
      <c r="Y282" s="18">
        <f t="shared" si="73"/>
        <v>337.39103494080462</v>
      </c>
      <c r="Z282" s="18"/>
      <c r="AA282" s="18">
        <f t="shared" si="74"/>
        <v>3.2003736202980128E-4</v>
      </c>
    </row>
    <row r="283" spans="2:27" x14ac:dyDescent="0.35">
      <c r="B283" s="26">
        <v>76.900000000000006</v>
      </c>
      <c r="C283" s="26">
        <v>1298</v>
      </c>
      <c r="D283" s="18">
        <f t="shared" si="64"/>
        <v>40.578465084968251</v>
      </c>
      <c r="E283" s="18">
        <f t="shared" si="78"/>
        <v>6.1882100785893961</v>
      </c>
      <c r="F283" s="18">
        <f t="shared" si="78"/>
        <v>5.4874149070059559</v>
      </c>
      <c r="G283" s="18">
        <f t="shared" si="78"/>
        <v>5.4874149070059559</v>
      </c>
      <c r="H283" s="18">
        <f t="shared" si="78"/>
        <v>5.4874149070059559</v>
      </c>
      <c r="I283" s="16"/>
      <c r="J283" s="18">
        <f t="shared" si="66"/>
        <v>36.968401549379124</v>
      </c>
      <c r="K283" s="18">
        <f t="shared" si="67"/>
        <v>4.6511052080753563</v>
      </c>
      <c r="L283" s="18">
        <f t="shared" si="68"/>
        <v>4.0810585128214498</v>
      </c>
      <c r="M283" s="18">
        <f t="shared" si="69"/>
        <v>4.0810585128214498</v>
      </c>
      <c r="N283" s="18">
        <f t="shared" si="70"/>
        <v>4.0810585128214498</v>
      </c>
      <c r="O283" s="16"/>
      <c r="P283" s="18">
        <f t="shared" si="65"/>
        <v>301.50926834655729</v>
      </c>
      <c r="Q283" s="18">
        <f t="shared" si="75"/>
        <v>539.52145721810984</v>
      </c>
      <c r="R283" s="18">
        <f t="shared" si="76"/>
        <v>0</v>
      </c>
      <c r="S283" s="18">
        <f t="shared" si="77"/>
        <v>0</v>
      </c>
      <c r="T283" s="18">
        <v>100</v>
      </c>
      <c r="U283" s="16"/>
      <c r="V283" s="18">
        <f t="shared" si="71"/>
        <v>941.03072556466714</v>
      </c>
      <c r="W283" s="16"/>
      <c r="X283" s="18">
        <f t="shared" si="72"/>
        <v>127427.06289088799</v>
      </c>
      <c r="Y283" s="18">
        <f t="shared" si="73"/>
        <v>356.96927443533286</v>
      </c>
      <c r="Z283" s="18"/>
      <c r="AA283" s="18">
        <f t="shared" si="74"/>
        <v>3.3860859680524759E-4</v>
      </c>
    </row>
    <row r="284" spans="2:27" x14ac:dyDescent="0.35">
      <c r="B284" s="26">
        <v>77.200000000000017</v>
      </c>
      <c r="C284" s="26">
        <v>1293</v>
      </c>
      <c r="D284" s="18">
        <f t="shared" si="64"/>
        <v>40.713178713269286</v>
      </c>
      <c r="E284" s="18">
        <f t="shared" si="78"/>
        <v>6.2022750392542605</v>
      </c>
      <c r="F284" s="18">
        <f t="shared" si="78"/>
        <v>5.517414907005957</v>
      </c>
      <c r="G284" s="18">
        <f t="shared" si="78"/>
        <v>5.517414907005957</v>
      </c>
      <c r="H284" s="18">
        <f t="shared" si="78"/>
        <v>5.517414907005957</v>
      </c>
      <c r="I284" s="16"/>
      <c r="J284" s="18">
        <f t="shared" si="66"/>
        <v>37.099573246511504</v>
      </c>
      <c r="K284" s="18">
        <f t="shared" si="67"/>
        <v>4.6626838281191114</v>
      </c>
      <c r="L284" s="18">
        <f t="shared" si="68"/>
        <v>4.1051681923765857</v>
      </c>
      <c r="M284" s="18">
        <f t="shared" si="69"/>
        <v>4.1051681923765857</v>
      </c>
      <c r="N284" s="18">
        <f t="shared" si="70"/>
        <v>4.1051681923765857</v>
      </c>
      <c r="O284" s="16"/>
      <c r="P284" s="18">
        <f t="shared" si="65"/>
        <v>299.40884673205397</v>
      </c>
      <c r="Q284" s="18">
        <f t="shared" si="75"/>
        <v>537.08125685751304</v>
      </c>
      <c r="R284" s="18">
        <f t="shared" si="76"/>
        <v>0</v>
      </c>
      <c r="S284" s="18">
        <f t="shared" si="77"/>
        <v>0</v>
      </c>
      <c r="T284" s="18">
        <v>100</v>
      </c>
      <c r="U284" s="16"/>
      <c r="V284" s="18">
        <f t="shared" si="71"/>
        <v>936.49010358956707</v>
      </c>
      <c r="W284" s="16"/>
      <c r="X284" s="18">
        <f t="shared" si="72"/>
        <v>127099.30623857761</v>
      </c>
      <c r="Y284" s="18">
        <f t="shared" si="73"/>
        <v>356.50989641043293</v>
      </c>
      <c r="Z284" s="18"/>
      <c r="AA284" s="18">
        <f t="shared" si="74"/>
        <v>3.3817284684144308E-4</v>
      </c>
    </row>
    <row r="285" spans="2:27" x14ac:dyDescent="0.35">
      <c r="B285" s="26">
        <v>77.5</v>
      </c>
      <c r="C285" s="26">
        <v>1297</v>
      </c>
      <c r="D285" s="18">
        <f t="shared" si="64"/>
        <v>40.847892341570308</v>
      </c>
      <c r="E285" s="18">
        <f t="shared" si="78"/>
        <v>6.2163399999191249</v>
      </c>
      <c r="F285" s="18">
        <f t="shared" si="78"/>
        <v>5.5474149070059546</v>
      </c>
      <c r="G285" s="18">
        <f t="shared" si="78"/>
        <v>5.5474149070059546</v>
      </c>
      <c r="H285" s="18">
        <f t="shared" si="78"/>
        <v>5.5474149070059546</v>
      </c>
      <c r="I285" s="16"/>
      <c r="J285" s="18">
        <f t="shared" si="66"/>
        <v>37.230757117667181</v>
      </c>
      <c r="K285" s="18">
        <f t="shared" si="67"/>
        <v>4.6742675279641723</v>
      </c>
      <c r="L285" s="18">
        <f t="shared" si="68"/>
        <v>4.1293056400609807</v>
      </c>
      <c r="M285" s="18">
        <f t="shared" si="69"/>
        <v>4.1293056400609807</v>
      </c>
      <c r="N285" s="18">
        <f t="shared" si="70"/>
        <v>4.1293056400609807</v>
      </c>
      <c r="O285" s="16"/>
      <c r="P285" s="18">
        <f t="shared" si="65"/>
        <v>297.33010671704727</v>
      </c>
      <c r="Q285" s="18">
        <f t="shared" si="75"/>
        <v>534.65656590678418</v>
      </c>
      <c r="R285" s="18">
        <f t="shared" si="76"/>
        <v>0</v>
      </c>
      <c r="S285" s="18">
        <f t="shared" si="77"/>
        <v>0</v>
      </c>
      <c r="T285" s="18">
        <v>100</v>
      </c>
      <c r="U285" s="16"/>
      <c r="V285" s="18">
        <f t="shared" si="71"/>
        <v>931.98667262383151</v>
      </c>
      <c r="W285" s="16"/>
      <c r="X285" s="18">
        <f t="shared" si="72"/>
        <v>133234.72916222195</v>
      </c>
      <c r="Y285" s="18">
        <f t="shared" si="73"/>
        <v>365.01332737616849</v>
      </c>
      <c r="Z285" s="18"/>
      <c r="AA285" s="18">
        <f t="shared" si="74"/>
        <v>3.4623890471685163E-4</v>
      </c>
    </row>
    <row r="286" spans="2:27" x14ac:dyDescent="0.35">
      <c r="B286" s="26">
        <v>77.800000000000011</v>
      </c>
      <c r="C286" s="26">
        <v>1262</v>
      </c>
      <c r="D286" s="18">
        <f t="shared" si="64"/>
        <v>40.982605969871344</v>
      </c>
      <c r="E286" s="18">
        <f t="shared" si="78"/>
        <v>6.2304049605839893</v>
      </c>
      <c r="F286" s="18">
        <f t="shared" si="78"/>
        <v>5.5774149070059558</v>
      </c>
      <c r="G286" s="18">
        <f t="shared" si="78"/>
        <v>5.5774149070059558</v>
      </c>
      <c r="H286" s="18">
        <f t="shared" si="78"/>
        <v>5.5774149070059558</v>
      </c>
      <c r="I286" s="16"/>
      <c r="J286" s="18">
        <f t="shared" si="66"/>
        <v>37.361953080560191</v>
      </c>
      <c r="K286" s="18">
        <f t="shared" si="67"/>
        <v>4.6858562891064279</v>
      </c>
      <c r="L286" s="18">
        <f t="shared" si="68"/>
        <v>4.153470626678482</v>
      </c>
      <c r="M286" s="18">
        <f t="shared" si="69"/>
        <v>4.153470626678482</v>
      </c>
      <c r="N286" s="18">
        <f t="shared" si="70"/>
        <v>4.153470626678482</v>
      </c>
      <c r="O286" s="16"/>
      <c r="P286" s="18">
        <f t="shared" si="65"/>
        <v>295.2727528665643</v>
      </c>
      <c r="Q286" s="18">
        <f t="shared" si="75"/>
        <v>532.24725959495197</v>
      </c>
      <c r="R286" s="18">
        <f t="shared" si="76"/>
        <v>0</v>
      </c>
      <c r="S286" s="18">
        <f t="shared" si="77"/>
        <v>0</v>
      </c>
      <c r="T286" s="18">
        <v>100</v>
      </c>
      <c r="U286" s="16"/>
      <c r="V286" s="18">
        <f t="shared" si="71"/>
        <v>927.52001246151622</v>
      </c>
      <c r="W286" s="16"/>
      <c r="X286" s="18">
        <f t="shared" si="72"/>
        <v>111876.86206374427</v>
      </c>
      <c r="Y286" s="18">
        <f t="shared" si="73"/>
        <v>334.47998753848378</v>
      </c>
      <c r="Z286" s="18"/>
      <c r="AA286" s="18">
        <f t="shared" si="74"/>
        <v>3.1727604404888364E-4</v>
      </c>
    </row>
    <row r="287" spans="2:27" x14ac:dyDescent="0.35">
      <c r="B287" s="26">
        <v>78.099999999999994</v>
      </c>
      <c r="C287" s="26">
        <v>1255</v>
      </c>
      <c r="D287" s="18">
        <f t="shared" si="64"/>
        <v>41.117319598172365</v>
      </c>
      <c r="E287" s="18">
        <f t="shared" si="78"/>
        <v>6.2444699212488528</v>
      </c>
      <c r="F287" s="18">
        <f t="shared" si="78"/>
        <v>5.6074149070059534</v>
      </c>
      <c r="G287" s="18">
        <f t="shared" si="78"/>
        <v>5.6074149070059534</v>
      </c>
      <c r="H287" s="18">
        <f t="shared" si="78"/>
        <v>5.6074149070059534</v>
      </c>
      <c r="I287" s="16"/>
      <c r="J287" s="18">
        <f t="shared" si="66"/>
        <v>37.493161053728358</v>
      </c>
      <c r="K287" s="18">
        <f t="shared" si="67"/>
        <v>4.6974500931332317</v>
      </c>
      <c r="L287" s="18">
        <f t="shared" si="68"/>
        <v>4.1776629255491518</v>
      </c>
      <c r="M287" s="18">
        <f t="shared" si="69"/>
        <v>4.1776629255491518</v>
      </c>
      <c r="N287" s="18">
        <f t="shared" si="70"/>
        <v>4.1776629255491518</v>
      </c>
      <c r="O287" s="16"/>
      <c r="P287" s="18">
        <f t="shared" si="65"/>
        <v>293.23649473406334</v>
      </c>
      <c r="Q287" s="18">
        <f t="shared" si="75"/>
        <v>529.85321435059632</v>
      </c>
      <c r="R287" s="18">
        <f t="shared" si="76"/>
        <v>0</v>
      </c>
      <c r="S287" s="18">
        <f t="shared" si="77"/>
        <v>0</v>
      </c>
      <c r="T287" s="18">
        <v>100</v>
      </c>
      <c r="U287" s="16"/>
      <c r="V287" s="18">
        <f t="shared" si="71"/>
        <v>923.08970908465972</v>
      </c>
      <c r="W287" s="16"/>
      <c r="X287" s="18">
        <f t="shared" si="72"/>
        <v>110164.44121550582</v>
      </c>
      <c r="Y287" s="18">
        <f t="shared" si="73"/>
        <v>331.91029091534028</v>
      </c>
      <c r="Z287" s="18"/>
      <c r="AA287" s="18">
        <f t="shared" si="74"/>
        <v>3.1483851950519793E-4</v>
      </c>
    </row>
    <row r="288" spans="2:27" x14ac:dyDescent="0.35">
      <c r="B288" s="26">
        <v>78.400000000000006</v>
      </c>
      <c r="C288" s="26">
        <v>1319</v>
      </c>
      <c r="D288" s="18">
        <f t="shared" si="64"/>
        <v>41.252033226473394</v>
      </c>
      <c r="E288" s="18">
        <f t="shared" si="78"/>
        <v>6.2585348819137181</v>
      </c>
      <c r="F288" s="18">
        <f t="shared" si="78"/>
        <v>5.6374149070059545</v>
      </c>
      <c r="G288" s="18">
        <f t="shared" si="78"/>
        <v>5.6374149070059545</v>
      </c>
      <c r="H288" s="18">
        <f t="shared" si="78"/>
        <v>5.6374149070059545</v>
      </c>
      <c r="I288" s="16"/>
      <c r="J288" s="18">
        <f t="shared" si="66"/>
        <v>37.624380956522494</v>
      </c>
      <c r="K288" s="18">
        <f t="shared" si="67"/>
        <v>4.7090489217228599</v>
      </c>
      <c r="L288" s="18">
        <f t="shared" si="68"/>
        <v>4.201882312477216</v>
      </c>
      <c r="M288" s="18">
        <f t="shared" si="69"/>
        <v>4.201882312477216</v>
      </c>
      <c r="N288" s="18">
        <f t="shared" si="70"/>
        <v>4.201882312477216</v>
      </c>
      <c r="O288" s="16"/>
      <c r="P288" s="18">
        <f t="shared" si="65"/>
        <v>291.22104676114338</v>
      </c>
      <c r="Q288" s="18">
        <f t="shared" si="75"/>
        <v>527.47430778856608</v>
      </c>
      <c r="R288" s="18">
        <f t="shared" si="76"/>
        <v>0</v>
      </c>
      <c r="S288" s="18">
        <f t="shared" si="77"/>
        <v>0</v>
      </c>
      <c r="T288" s="18">
        <v>100</v>
      </c>
      <c r="U288" s="16"/>
      <c r="V288" s="18">
        <f t="shared" si="71"/>
        <v>918.69535454970946</v>
      </c>
      <c r="W288" s="16"/>
      <c r="X288" s="18">
        <f t="shared" si="72"/>
        <v>160243.80916908282</v>
      </c>
      <c r="Y288" s="18">
        <f t="shared" si="73"/>
        <v>400.30464545029054</v>
      </c>
      <c r="Z288" s="18"/>
      <c r="AA288" s="18">
        <f t="shared" si="74"/>
        <v>3.7971501750383874E-4</v>
      </c>
    </row>
    <row r="289" spans="2:27" x14ac:dyDescent="0.35">
      <c r="B289" s="26">
        <v>78.800000000000011</v>
      </c>
      <c r="C289" s="26">
        <v>1312</v>
      </c>
      <c r="D289" s="18">
        <f t="shared" si="64"/>
        <v>41.431651397541437</v>
      </c>
      <c r="E289" s="18">
        <f t="shared" si="78"/>
        <v>6.277288162800204</v>
      </c>
      <c r="F289" s="18">
        <f t="shared" si="78"/>
        <v>5.6774149070059554</v>
      </c>
      <c r="G289" s="18">
        <f t="shared" si="78"/>
        <v>5.6774149070059554</v>
      </c>
      <c r="H289" s="18">
        <f t="shared" si="78"/>
        <v>5.6774149070059554</v>
      </c>
      <c r="I289" s="16"/>
      <c r="J289" s="18">
        <f t="shared" si="66"/>
        <v>37.799359246217826</v>
      </c>
      <c r="K289" s="18">
        <f t="shared" si="67"/>
        <v>4.7245218109976355</v>
      </c>
      <c r="L289" s="18">
        <f t="shared" si="68"/>
        <v>4.2342165824487976</v>
      </c>
      <c r="M289" s="18">
        <f t="shared" si="69"/>
        <v>4.2342165824487976</v>
      </c>
      <c r="N289" s="18">
        <f t="shared" si="70"/>
        <v>4.2342165824487976</v>
      </c>
      <c r="O289" s="16"/>
      <c r="P289" s="18">
        <f t="shared" si="65"/>
        <v>288.56566955617672</v>
      </c>
      <c r="Q289" s="18">
        <f t="shared" si="75"/>
        <v>524.32577209905264</v>
      </c>
      <c r="R289" s="18">
        <f t="shared" si="76"/>
        <v>0</v>
      </c>
      <c r="S289" s="18">
        <f t="shared" si="77"/>
        <v>0</v>
      </c>
      <c r="T289" s="18">
        <v>100</v>
      </c>
      <c r="U289" s="16"/>
      <c r="V289" s="18">
        <f t="shared" si="71"/>
        <v>912.8914416552293</v>
      </c>
      <c r="W289" s="16"/>
      <c r="X289" s="18">
        <f t="shared" si="72"/>
        <v>159287.64134404124</v>
      </c>
      <c r="Y289" s="18">
        <f t="shared" si="73"/>
        <v>399.1085583447707</v>
      </c>
      <c r="Z289" s="18"/>
      <c r="AA289" s="18">
        <f t="shared" si="74"/>
        <v>3.7858045101461476E-4</v>
      </c>
    </row>
    <row r="290" spans="2:27" x14ac:dyDescent="0.35">
      <c r="B290" s="26">
        <v>79.099999999999994</v>
      </c>
      <c r="C290" s="26">
        <v>1228</v>
      </c>
      <c r="D290" s="18">
        <f t="shared" si="64"/>
        <v>41.566365025842458</v>
      </c>
      <c r="E290" s="18">
        <f t="shared" si="78"/>
        <v>6.2913531234650684</v>
      </c>
      <c r="F290" s="18">
        <f t="shared" si="78"/>
        <v>5.7074149070059548</v>
      </c>
      <c r="G290" s="18">
        <f t="shared" si="78"/>
        <v>5.7074149070059548</v>
      </c>
      <c r="H290" s="18">
        <f t="shared" si="78"/>
        <v>5.7074149070059548</v>
      </c>
      <c r="I290" s="16"/>
      <c r="J290" s="18">
        <f t="shared" si="66"/>
        <v>37.930606675656939</v>
      </c>
      <c r="K290" s="18">
        <f t="shared" si="67"/>
        <v>4.7361322928227461</v>
      </c>
      <c r="L290" s="18">
        <f t="shared" si="68"/>
        <v>4.2584983166895229</v>
      </c>
      <c r="M290" s="18">
        <f t="shared" si="69"/>
        <v>4.2584983166895229</v>
      </c>
      <c r="N290" s="18">
        <f t="shared" si="70"/>
        <v>4.2584983166895229</v>
      </c>
      <c r="O290" s="16"/>
      <c r="P290" s="18">
        <f t="shared" si="65"/>
        <v>286.59769484635933</v>
      </c>
      <c r="Q290" s="18">
        <f t="shared" si="75"/>
        <v>521.98171975254718</v>
      </c>
      <c r="R290" s="18">
        <f t="shared" si="76"/>
        <v>0</v>
      </c>
      <c r="S290" s="18">
        <f t="shared" si="77"/>
        <v>0</v>
      </c>
      <c r="T290" s="18">
        <v>100</v>
      </c>
      <c r="U290" s="16"/>
      <c r="V290" s="18">
        <f t="shared" si="71"/>
        <v>908.57941459890651</v>
      </c>
      <c r="W290" s="16"/>
      <c r="X290" s="18">
        <f t="shared" si="72"/>
        <v>102029.51037797726</v>
      </c>
      <c r="Y290" s="18">
        <f t="shared" si="73"/>
        <v>319.42058540109349</v>
      </c>
      <c r="Z290" s="18"/>
      <c r="AA290" s="18">
        <f t="shared" si="74"/>
        <v>3.0299122069949634E-4</v>
      </c>
    </row>
    <row r="291" spans="2:27" x14ac:dyDescent="0.35">
      <c r="B291" s="26">
        <v>79.400000000000006</v>
      </c>
      <c r="C291" s="26">
        <v>1221</v>
      </c>
      <c r="D291" s="18">
        <f t="shared" si="64"/>
        <v>41.701078654143494</v>
      </c>
      <c r="E291" s="18">
        <f t="shared" si="78"/>
        <v>6.3054180841299328</v>
      </c>
      <c r="F291" s="18">
        <f t="shared" si="78"/>
        <v>5.7374149070059559</v>
      </c>
      <c r="G291" s="18">
        <f t="shared" si="78"/>
        <v>5.7374149070059559</v>
      </c>
      <c r="H291" s="18">
        <f t="shared" si="78"/>
        <v>5.7374149070059559</v>
      </c>
      <c r="I291" s="16"/>
      <c r="J291" s="18">
        <f t="shared" si="66"/>
        <v>38.061865771626614</v>
      </c>
      <c r="K291" s="18">
        <f t="shared" si="67"/>
        <v>4.7477477387880516</v>
      </c>
      <c r="L291" s="18">
        <f t="shared" si="68"/>
        <v>4.2828064092060636</v>
      </c>
      <c r="M291" s="18">
        <f t="shared" si="69"/>
        <v>4.2828064092060636</v>
      </c>
      <c r="N291" s="18">
        <f t="shared" si="70"/>
        <v>4.2828064092060636</v>
      </c>
      <c r="O291" s="16"/>
      <c r="P291" s="18">
        <f t="shared" si="65"/>
        <v>284.64961249727014</v>
      </c>
      <c r="Q291" s="18">
        <f t="shared" si="75"/>
        <v>519.6524065381484</v>
      </c>
      <c r="R291" s="18">
        <f t="shared" si="76"/>
        <v>0</v>
      </c>
      <c r="S291" s="18">
        <f t="shared" si="77"/>
        <v>0</v>
      </c>
      <c r="T291" s="18">
        <v>100</v>
      </c>
      <c r="U291" s="16"/>
      <c r="V291" s="18">
        <f t="shared" si="71"/>
        <v>904.30201903541854</v>
      </c>
      <c r="W291" s="16"/>
      <c r="X291" s="18">
        <f t="shared" si="72"/>
        <v>100297.61114704241</v>
      </c>
      <c r="Y291" s="18">
        <f t="shared" si="73"/>
        <v>316.69798096458146</v>
      </c>
      <c r="Z291" s="18"/>
      <c r="AA291" s="18">
        <f t="shared" si="74"/>
        <v>3.0040865313997358E-4</v>
      </c>
    </row>
    <row r="292" spans="2:27" x14ac:dyDescent="0.35">
      <c r="B292" s="26">
        <v>79.700000000000017</v>
      </c>
      <c r="C292" s="26">
        <v>1301</v>
      </c>
      <c r="D292" s="18">
        <f t="shared" si="64"/>
        <v>41.835792282444523</v>
      </c>
      <c r="E292" s="18">
        <f t="shared" si="78"/>
        <v>6.3194830447947981</v>
      </c>
      <c r="F292" s="18">
        <f t="shared" si="78"/>
        <v>5.767414907005957</v>
      </c>
      <c r="G292" s="18">
        <f t="shared" si="78"/>
        <v>5.767414907005957</v>
      </c>
      <c r="H292" s="18">
        <f t="shared" si="78"/>
        <v>5.767414907005957</v>
      </c>
      <c r="I292" s="16"/>
      <c r="J292" s="18">
        <f t="shared" si="66"/>
        <v>38.193136456878975</v>
      </c>
      <c r="K292" s="18">
        <f t="shared" si="67"/>
        <v>4.7593681309596567</v>
      </c>
      <c r="L292" s="18">
        <f t="shared" si="68"/>
        <v>4.3071406462067152</v>
      </c>
      <c r="M292" s="18">
        <f t="shared" si="69"/>
        <v>4.3071406462067152</v>
      </c>
      <c r="N292" s="18">
        <f t="shared" si="70"/>
        <v>4.3071406462067152</v>
      </c>
      <c r="O292" s="16"/>
      <c r="P292" s="18">
        <f t="shared" si="65"/>
        <v>282.72115702929932</v>
      </c>
      <c r="Q292" s="18">
        <f t="shared" si="75"/>
        <v>517.33771506169262</v>
      </c>
      <c r="R292" s="18">
        <f t="shared" si="76"/>
        <v>0</v>
      </c>
      <c r="S292" s="18">
        <f t="shared" si="77"/>
        <v>0</v>
      </c>
      <c r="T292" s="18">
        <v>100</v>
      </c>
      <c r="U292" s="16"/>
      <c r="V292" s="18">
        <f t="shared" si="71"/>
        <v>900.05887209099194</v>
      </c>
      <c r="W292" s="16"/>
      <c r="X292" s="18">
        <f t="shared" si="72"/>
        <v>160753.78804894755</v>
      </c>
      <c r="Y292" s="18">
        <f t="shared" si="73"/>
        <v>400.94112790900806</v>
      </c>
      <c r="Z292" s="18"/>
      <c r="AA292" s="18">
        <f t="shared" si="74"/>
        <v>3.8031876255326466E-4</v>
      </c>
    </row>
    <row r="293" spans="2:27" x14ac:dyDescent="0.35">
      <c r="B293" s="26">
        <v>80</v>
      </c>
      <c r="C293" s="26">
        <v>1274</v>
      </c>
      <c r="D293" s="18">
        <f t="shared" si="64"/>
        <v>41.970505910745544</v>
      </c>
      <c r="E293" s="18">
        <f t="shared" si="78"/>
        <v>6.3335480054596616</v>
      </c>
      <c r="F293" s="18">
        <f t="shared" si="78"/>
        <v>5.7974149070059546</v>
      </c>
      <c r="G293" s="18">
        <f t="shared" si="78"/>
        <v>5.7974149070059546</v>
      </c>
      <c r="H293" s="18">
        <f t="shared" si="78"/>
        <v>5.7974149070059546</v>
      </c>
      <c r="I293" s="16"/>
      <c r="J293" s="18">
        <f t="shared" si="66"/>
        <v>38.324418654924003</v>
      </c>
      <c r="K293" s="18">
        <f t="shared" si="67"/>
        <v>4.7709934514917638</v>
      </c>
      <c r="L293" s="18">
        <f t="shared" si="68"/>
        <v>4.3315008162197799</v>
      </c>
      <c r="M293" s="18">
        <f t="shared" si="69"/>
        <v>4.3315008162197799</v>
      </c>
      <c r="N293" s="18">
        <f t="shared" si="70"/>
        <v>4.3315008162197799</v>
      </c>
      <c r="O293" s="16"/>
      <c r="P293" s="18">
        <f t="shared" si="65"/>
        <v>280.81206735407875</v>
      </c>
      <c r="Q293" s="18">
        <f t="shared" si="75"/>
        <v>515.03752904717533</v>
      </c>
      <c r="R293" s="18">
        <f t="shared" si="76"/>
        <v>0</v>
      </c>
      <c r="S293" s="18">
        <f t="shared" si="77"/>
        <v>0</v>
      </c>
      <c r="T293" s="18">
        <v>100</v>
      </c>
      <c r="U293" s="16"/>
      <c r="V293" s="18">
        <f t="shared" si="71"/>
        <v>895.84959640125408</v>
      </c>
      <c r="W293" s="16"/>
      <c r="X293" s="18">
        <f t="shared" si="72"/>
        <v>142997.72774189443</v>
      </c>
      <c r="Y293" s="18">
        <f t="shared" si="73"/>
        <v>378.15040359874592</v>
      </c>
      <c r="Z293" s="18"/>
      <c r="AA293" s="18">
        <f t="shared" si="74"/>
        <v>3.5870027678560197E-4</v>
      </c>
    </row>
    <row r="294" spans="2:27" x14ac:dyDescent="0.35">
      <c r="B294" s="26">
        <v>80.300000000000011</v>
      </c>
      <c r="C294" s="26">
        <v>1221</v>
      </c>
      <c r="D294" s="18">
        <f t="shared" si="64"/>
        <v>42.10521953904658</v>
      </c>
      <c r="E294" s="18">
        <f t="shared" si="78"/>
        <v>6.3476129661245269</v>
      </c>
      <c r="F294" s="18">
        <f t="shared" si="78"/>
        <v>5.8274149070059558</v>
      </c>
      <c r="G294" s="18">
        <f t="shared" si="78"/>
        <v>5.8274149070059558</v>
      </c>
      <c r="H294" s="18">
        <f t="shared" si="78"/>
        <v>5.8274149070059558</v>
      </c>
      <c r="I294" s="16"/>
      <c r="J294" s="18">
        <f t="shared" si="66"/>
        <v>38.455712290019733</v>
      </c>
      <c r="K294" s="18">
        <f t="shared" si="67"/>
        <v>4.7826236826261557</v>
      </c>
      <c r="L294" s="18">
        <f t="shared" si="68"/>
        <v>4.3558867100640679</v>
      </c>
      <c r="M294" s="18">
        <f t="shared" si="69"/>
        <v>4.3558867100640679</v>
      </c>
      <c r="N294" s="18">
        <f t="shared" si="70"/>
        <v>4.3558867100640679</v>
      </c>
      <c r="O294" s="16"/>
      <c r="P294" s="18">
        <f t="shared" si="65"/>
        <v>278.92208668798492</v>
      </c>
      <c r="Q294" s="18">
        <f t="shared" si="75"/>
        <v>512.75173332447503</v>
      </c>
      <c r="R294" s="18">
        <f t="shared" si="76"/>
        <v>0</v>
      </c>
      <c r="S294" s="18">
        <f t="shared" si="77"/>
        <v>0</v>
      </c>
      <c r="T294" s="18">
        <v>100</v>
      </c>
      <c r="U294" s="16"/>
      <c r="V294" s="18">
        <f t="shared" si="71"/>
        <v>891.67382001245994</v>
      </c>
      <c r="W294" s="16"/>
      <c r="X294" s="18">
        <f t="shared" si="72"/>
        <v>108455.73282518562</v>
      </c>
      <c r="Y294" s="18">
        <f t="shared" si="73"/>
        <v>329.32617998754006</v>
      </c>
      <c r="Z294" s="18"/>
      <c r="AA294" s="18">
        <f t="shared" si="74"/>
        <v>3.1238732205512147E-4</v>
      </c>
    </row>
    <row r="295" spans="2:27" x14ac:dyDescent="0.35">
      <c r="B295" s="26">
        <v>80.700000000000017</v>
      </c>
      <c r="C295" s="26">
        <v>1199</v>
      </c>
      <c r="D295" s="18">
        <f t="shared" si="64"/>
        <v>42.284837710114623</v>
      </c>
      <c r="E295" s="18">
        <f t="shared" ref="E295:H295" si="79">D$23-LN(1/D$23)+$B295*D$22</f>
        <v>6.3663662470110136</v>
      </c>
      <c r="F295" s="18">
        <f t="shared" si="79"/>
        <v>5.8674149070059567</v>
      </c>
      <c r="G295" s="18">
        <f t="shared" si="79"/>
        <v>5.8674149070059567</v>
      </c>
      <c r="H295" s="18">
        <f t="shared" si="79"/>
        <v>5.8674149070059567</v>
      </c>
      <c r="I295" s="16"/>
      <c r="J295" s="18">
        <f t="shared" si="66"/>
        <v>38.630788131584382</v>
      </c>
      <c r="K295" s="18">
        <f t="shared" si="67"/>
        <v>4.7981382656564078</v>
      </c>
      <c r="L295" s="18">
        <f t="shared" si="68"/>
        <v>4.3884408927212792</v>
      </c>
      <c r="M295" s="18">
        <f t="shared" si="69"/>
        <v>4.3884408927212792</v>
      </c>
      <c r="N295" s="18">
        <f t="shared" si="70"/>
        <v>4.3884408927212792</v>
      </c>
      <c r="O295" s="16"/>
      <c r="P295" s="18">
        <f t="shared" si="65"/>
        <v>276.43140166001336</v>
      </c>
      <c r="Q295" s="18">
        <f t="shared" si="75"/>
        <v>509.72619357961423</v>
      </c>
      <c r="R295" s="18">
        <f t="shared" si="76"/>
        <v>0</v>
      </c>
      <c r="S295" s="18">
        <f t="shared" si="77"/>
        <v>0</v>
      </c>
      <c r="T295" s="18">
        <v>100</v>
      </c>
      <c r="U295" s="16"/>
      <c r="V295" s="18">
        <f t="shared" si="71"/>
        <v>886.15759523962765</v>
      </c>
      <c r="W295" s="16"/>
      <c r="X295" s="18">
        <f t="shared" si="72"/>
        <v>97870.370216252646</v>
      </c>
      <c r="Y295" s="18">
        <f t="shared" si="73"/>
        <v>312.84240476037235</v>
      </c>
      <c r="Z295" s="18"/>
      <c r="AA295" s="18">
        <f t="shared" si="74"/>
        <v>2.9675138809819067E-4</v>
      </c>
    </row>
    <row r="296" spans="2:27" x14ac:dyDescent="0.35">
      <c r="B296" s="26">
        <v>81</v>
      </c>
      <c r="C296" s="26">
        <v>1225</v>
      </c>
      <c r="D296" s="18">
        <f t="shared" ref="D296:H359" si="80">C$23-LN(1/C$23)+$B296*C$22</f>
        <v>42.419551338415644</v>
      </c>
      <c r="E296" s="18">
        <f t="shared" si="80"/>
        <v>6.3804312076758762</v>
      </c>
      <c r="F296" s="18">
        <f t="shared" si="80"/>
        <v>5.8974149070059543</v>
      </c>
      <c r="G296" s="18">
        <f t="shared" si="80"/>
        <v>5.8974149070059543</v>
      </c>
      <c r="H296" s="18">
        <f t="shared" si="80"/>
        <v>5.8974149070059543</v>
      </c>
      <c r="I296" s="16"/>
      <c r="J296" s="18">
        <f t="shared" si="66"/>
        <v>38.762108162709389</v>
      </c>
      <c r="K296" s="18">
        <f t="shared" si="67"/>
        <v>4.8097798862911381</v>
      </c>
      <c r="L296" s="18">
        <f t="shared" si="68"/>
        <v>4.4128860080050289</v>
      </c>
      <c r="M296" s="18">
        <f t="shared" si="69"/>
        <v>4.4128860080050289</v>
      </c>
      <c r="N296" s="18">
        <f t="shared" si="70"/>
        <v>4.4128860080050289</v>
      </c>
      <c r="O296" s="16"/>
      <c r="P296" s="18">
        <f t="shared" ref="P296:P359" si="81">(C$21*$A$21*C$23*C$22)/(J296+J296^2)</f>
        <v>274.58503363065904</v>
      </c>
      <c r="Q296" s="18">
        <f t="shared" si="75"/>
        <v>507.47353344224717</v>
      </c>
      <c r="R296" s="18">
        <f t="shared" si="76"/>
        <v>0</v>
      </c>
      <c r="S296" s="18">
        <f t="shared" si="77"/>
        <v>0</v>
      </c>
      <c r="T296" s="18">
        <v>100</v>
      </c>
      <c r="U296" s="16"/>
      <c r="V296" s="18">
        <f t="shared" si="71"/>
        <v>882.05856707290627</v>
      </c>
      <c r="W296" s="16"/>
      <c r="X296" s="18">
        <f t="shared" si="72"/>
        <v>117608.82641808833</v>
      </c>
      <c r="Y296" s="18">
        <f t="shared" si="73"/>
        <v>342.94143292709373</v>
      </c>
      <c r="Z296" s="18"/>
      <c r="AA296" s="18">
        <f t="shared" si="74"/>
        <v>3.253022758709742E-4</v>
      </c>
    </row>
    <row r="297" spans="2:27" x14ac:dyDescent="0.35">
      <c r="B297" s="26">
        <v>81.300000000000011</v>
      </c>
      <c r="C297" s="26">
        <v>1254</v>
      </c>
      <c r="D297" s="18">
        <f t="shared" si="80"/>
        <v>42.554264966716673</v>
      </c>
      <c r="E297" s="18">
        <f t="shared" si="80"/>
        <v>6.3944961683407424</v>
      </c>
      <c r="F297" s="18">
        <f t="shared" si="80"/>
        <v>5.9274149070059554</v>
      </c>
      <c r="G297" s="18">
        <f t="shared" si="80"/>
        <v>5.9274149070059554</v>
      </c>
      <c r="H297" s="18">
        <f t="shared" si="80"/>
        <v>5.9274149070059554</v>
      </c>
      <c r="I297" s="16"/>
      <c r="J297" s="18">
        <f t="shared" si="66"/>
        <v>38.893439383691394</v>
      </c>
      <c r="K297" s="18">
        <f t="shared" si="67"/>
        <v>4.8214263589599939</v>
      </c>
      <c r="L297" s="18">
        <f t="shared" si="68"/>
        <v>4.4373561660208249</v>
      </c>
      <c r="M297" s="18">
        <f t="shared" si="69"/>
        <v>4.4373561660208249</v>
      </c>
      <c r="N297" s="18">
        <f t="shared" si="70"/>
        <v>4.4373561660208249</v>
      </c>
      <c r="O297" s="16"/>
      <c r="P297" s="18">
        <f t="shared" si="81"/>
        <v>272.75694868391162</v>
      </c>
      <c r="Q297" s="18">
        <f t="shared" si="75"/>
        <v>505.23488752868815</v>
      </c>
      <c r="R297" s="18">
        <f t="shared" si="76"/>
        <v>0</v>
      </c>
      <c r="S297" s="18">
        <f t="shared" si="77"/>
        <v>0</v>
      </c>
      <c r="T297" s="18">
        <v>100</v>
      </c>
      <c r="U297" s="16"/>
      <c r="V297" s="18">
        <f t="shared" si="71"/>
        <v>877.99183621259976</v>
      </c>
      <c r="W297" s="16"/>
      <c r="X297" s="18">
        <f t="shared" si="72"/>
        <v>141382.13923477239</v>
      </c>
      <c r="Y297" s="18">
        <f t="shared" si="73"/>
        <v>376.00816378740024</v>
      </c>
      <c r="Z297" s="18"/>
      <c r="AA297" s="18">
        <f t="shared" si="74"/>
        <v>3.5666822285690592E-4</v>
      </c>
    </row>
    <row r="298" spans="2:27" x14ac:dyDescent="0.35">
      <c r="B298" s="26">
        <v>81.599999999999994</v>
      </c>
      <c r="C298" s="26">
        <v>1292</v>
      </c>
      <c r="D298" s="18">
        <f t="shared" si="80"/>
        <v>42.688978595017694</v>
      </c>
      <c r="E298" s="18">
        <f t="shared" si="80"/>
        <v>6.408561129005605</v>
      </c>
      <c r="F298" s="18">
        <f t="shared" si="80"/>
        <v>5.9574149070059548</v>
      </c>
      <c r="G298" s="18">
        <f t="shared" si="80"/>
        <v>5.9574149070059548</v>
      </c>
      <c r="H298" s="18">
        <f t="shared" si="80"/>
        <v>5.9574149070059548</v>
      </c>
      <c r="I298" s="16"/>
      <c r="J298" s="18">
        <f t="shared" si="66"/>
        <v>39.024781721920242</v>
      </c>
      <c r="K298" s="18">
        <f t="shared" si="67"/>
        <v>4.8330776662783315</v>
      </c>
      <c r="L298" s="18">
        <f t="shared" si="68"/>
        <v>4.4618511671813792</v>
      </c>
      <c r="M298" s="18">
        <f t="shared" si="69"/>
        <v>4.4618511671813792</v>
      </c>
      <c r="N298" s="18">
        <f t="shared" si="70"/>
        <v>4.4618511671813792</v>
      </c>
      <c r="O298" s="16"/>
      <c r="P298" s="18">
        <f t="shared" si="81"/>
        <v>270.94690773764785</v>
      </c>
      <c r="Q298" s="18">
        <f t="shared" si="75"/>
        <v>503.01014532278816</v>
      </c>
      <c r="R298" s="18">
        <f t="shared" si="76"/>
        <v>0</v>
      </c>
      <c r="S298" s="18">
        <f t="shared" si="77"/>
        <v>0</v>
      </c>
      <c r="T298" s="18">
        <v>100</v>
      </c>
      <c r="U298" s="16"/>
      <c r="V298" s="18">
        <f t="shared" si="71"/>
        <v>873.95705306043601</v>
      </c>
      <c r="W298" s="16"/>
      <c r="X298" s="18">
        <f t="shared" si="72"/>
        <v>174759.90548591511</v>
      </c>
      <c r="Y298" s="18">
        <f t="shared" si="73"/>
        <v>418.04294693956399</v>
      </c>
      <c r="Z298" s="18"/>
      <c r="AA298" s="18">
        <f t="shared" si="74"/>
        <v>3.965409512946177E-4</v>
      </c>
    </row>
    <row r="299" spans="2:27" x14ac:dyDescent="0.35">
      <c r="B299" s="26">
        <v>81.900000000000006</v>
      </c>
      <c r="C299" s="26">
        <v>1201</v>
      </c>
      <c r="D299" s="18">
        <f t="shared" si="80"/>
        <v>42.82369222331873</v>
      </c>
      <c r="E299" s="18">
        <f t="shared" si="80"/>
        <v>6.4226260896704712</v>
      </c>
      <c r="F299" s="18">
        <f t="shared" si="80"/>
        <v>5.9874149070059559</v>
      </c>
      <c r="G299" s="18">
        <f t="shared" si="80"/>
        <v>5.9874149070059559</v>
      </c>
      <c r="H299" s="18">
        <f t="shared" si="80"/>
        <v>5.9874149070059559</v>
      </c>
      <c r="I299" s="16"/>
      <c r="J299" s="18">
        <f t="shared" si="66"/>
        <v>39.156135105484083</v>
      </c>
      <c r="K299" s="18">
        <f t="shared" si="67"/>
        <v>4.8447337909463846</v>
      </c>
      <c r="L299" s="18">
        <f t="shared" si="68"/>
        <v>4.4863708140390024</v>
      </c>
      <c r="M299" s="18">
        <f t="shared" si="69"/>
        <v>4.4863708140390024</v>
      </c>
      <c r="N299" s="18">
        <f t="shared" si="70"/>
        <v>4.4863708140390024</v>
      </c>
      <c r="O299" s="16"/>
      <c r="P299" s="18">
        <f t="shared" si="81"/>
        <v>269.15467558528962</v>
      </c>
      <c r="Q299" s="18">
        <f t="shared" si="75"/>
        <v>500.79919735131892</v>
      </c>
      <c r="R299" s="18">
        <f t="shared" si="76"/>
        <v>0</v>
      </c>
      <c r="S299" s="18">
        <f t="shared" si="77"/>
        <v>0</v>
      </c>
      <c r="T299" s="18">
        <v>100</v>
      </c>
      <c r="U299" s="16"/>
      <c r="V299" s="18">
        <f t="shared" si="71"/>
        <v>869.9538729366086</v>
      </c>
      <c r="W299" s="16"/>
      <c r="X299" s="18">
        <f t="shared" si="72"/>
        <v>109591.53824367108</v>
      </c>
      <c r="Y299" s="18">
        <f t="shared" si="73"/>
        <v>331.0461270633914</v>
      </c>
      <c r="Z299" s="18"/>
      <c r="AA299" s="18">
        <f t="shared" si="74"/>
        <v>3.1401880383140194E-4</v>
      </c>
    </row>
    <row r="300" spans="2:27" x14ac:dyDescent="0.35">
      <c r="B300" s="26">
        <v>82.200000000000017</v>
      </c>
      <c r="C300" s="26">
        <v>1199</v>
      </c>
      <c r="D300" s="18">
        <f t="shared" si="80"/>
        <v>42.958405851619766</v>
      </c>
      <c r="E300" s="18">
        <f t="shared" si="80"/>
        <v>6.4366910503353356</v>
      </c>
      <c r="F300" s="18">
        <f t="shared" si="80"/>
        <v>6.017414907005957</v>
      </c>
      <c r="G300" s="18">
        <f t="shared" si="80"/>
        <v>6.017414907005957</v>
      </c>
      <c r="H300" s="18">
        <f t="shared" si="80"/>
        <v>6.017414907005957</v>
      </c>
      <c r="I300" s="16"/>
      <c r="J300" s="18">
        <f t="shared" si="66"/>
        <v>39.287499463160465</v>
      </c>
      <c r="K300" s="18">
        <f t="shared" si="67"/>
        <v>4.8563947157487419</v>
      </c>
      <c r="L300" s="18">
        <f t="shared" si="68"/>
        <v>4.510914911258487</v>
      </c>
      <c r="M300" s="18">
        <f t="shared" si="69"/>
        <v>4.510914911258487</v>
      </c>
      <c r="N300" s="18">
        <f t="shared" si="70"/>
        <v>4.510914911258487</v>
      </c>
      <c r="O300" s="16"/>
      <c r="P300" s="18">
        <f t="shared" si="81"/>
        <v>267.38002082097984</v>
      </c>
      <c r="Q300" s="18">
        <f t="shared" si="75"/>
        <v>498.60193517262701</v>
      </c>
      <c r="R300" s="18">
        <f t="shared" si="76"/>
        <v>0</v>
      </c>
      <c r="S300" s="18">
        <f t="shared" si="77"/>
        <v>0</v>
      </c>
      <c r="T300" s="18">
        <v>100</v>
      </c>
      <c r="U300" s="16"/>
      <c r="V300" s="18">
        <f t="shared" si="71"/>
        <v>865.98195599360679</v>
      </c>
      <c r="W300" s="16"/>
      <c r="X300" s="18">
        <f t="shared" si="72"/>
        <v>110901.01763384405</v>
      </c>
      <c r="Y300" s="18">
        <f t="shared" si="73"/>
        <v>333.01804400639321</v>
      </c>
      <c r="Z300" s="18"/>
      <c r="AA300" s="18">
        <f t="shared" si="74"/>
        <v>3.1588929543083309E-4</v>
      </c>
    </row>
    <row r="301" spans="2:27" x14ac:dyDescent="0.35">
      <c r="B301" s="26">
        <v>82.5</v>
      </c>
      <c r="C301" s="26">
        <v>1195</v>
      </c>
      <c r="D301" s="18">
        <f t="shared" si="80"/>
        <v>43.09311947992078</v>
      </c>
      <c r="E301" s="18">
        <f t="shared" si="80"/>
        <v>6.4507560110001991</v>
      </c>
      <c r="F301" s="18">
        <f t="shared" si="80"/>
        <v>6.0474149070059546</v>
      </c>
      <c r="G301" s="18">
        <f t="shared" si="80"/>
        <v>6.0474149070059546</v>
      </c>
      <c r="H301" s="18">
        <f t="shared" si="80"/>
        <v>6.0474149070059546</v>
      </c>
      <c r="I301" s="16"/>
      <c r="J301" s="18">
        <f t="shared" si="66"/>
        <v>39.418874724407615</v>
      </c>
      <c r="K301" s="18">
        <f t="shared" si="67"/>
        <v>4.8680604235538683</v>
      </c>
      <c r="L301" s="18">
        <f t="shared" si="68"/>
        <v>4.5354832655903561</v>
      </c>
      <c r="M301" s="18">
        <f t="shared" si="69"/>
        <v>4.5354832655903561</v>
      </c>
      <c r="N301" s="18">
        <f t="shared" si="70"/>
        <v>4.5354832655903561</v>
      </c>
      <c r="O301" s="16"/>
      <c r="P301" s="18">
        <f t="shared" si="81"/>
        <v>265.62271576643127</v>
      </c>
      <c r="Q301" s="18">
        <f t="shared" si="75"/>
        <v>496.41825136541866</v>
      </c>
      <c r="R301" s="18">
        <f t="shared" si="76"/>
        <v>0</v>
      </c>
      <c r="S301" s="18">
        <f t="shared" si="77"/>
        <v>0</v>
      </c>
      <c r="T301" s="18">
        <v>100</v>
      </c>
      <c r="U301" s="16"/>
      <c r="V301" s="18">
        <f t="shared" si="71"/>
        <v>862.04096713184992</v>
      </c>
      <c r="W301" s="16"/>
      <c r="X301" s="18">
        <f t="shared" si="72"/>
        <v>110861.71756849384</v>
      </c>
      <c r="Y301" s="18">
        <f t="shared" si="73"/>
        <v>332.95903286815008</v>
      </c>
      <c r="Z301" s="18"/>
      <c r="AA301" s="18">
        <f t="shared" si="74"/>
        <v>3.1583331952436889E-4</v>
      </c>
    </row>
    <row r="302" spans="2:27" x14ac:dyDescent="0.35">
      <c r="B302" s="26">
        <v>82.9</v>
      </c>
      <c r="C302" s="26">
        <v>1209</v>
      </c>
      <c r="D302" s="18">
        <f t="shared" si="80"/>
        <v>43.272737650988823</v>
      </c>
      <c r="E302" s="18">
        <f t="shared" si="80"/>
        <v>6.4695092918866859</v>
      </c>
      <c r="F302" s="18">
        <f t="shared" si="80"/>
        <v>6.0874149070059556</v>
      </c>
      <c r="G302" s="18">
        <f t="shared" si="80"/>
        <v>6.0874149070059556</v>
      </c>
      <c r="H302" s="18">
        <f t="shared" si="80"/>
        <v>6.0874149070059556</v>
      </c>
      <c r="I302" s="16"/>
      <c r="J302" s="18">
        <f t="shared" si="66"/>
        <v>39.594058579847335</v>
      </c>
      <c r="K302" s="18">
        <f t="shared" si="67"/>
        <v>4.8836221113998981</v>
      </c>
      <c r="L302" s="18">
        <f t="shared" si="68"/>
        <v>4.5682784744934084</v>
      </c>
      <c r="M302" s="18">
        <f t="shared" si="69"/>
        <v>4.5682784744934084</v>
      </c>
      <c r="N302" s="18">
        <f t="shared" si="70"/>
        <v>4.5682784744934084</v>
      </c>
      <c r="O302" s="16"/>
      <c r="P302" s="18">
        <f t="shared" si="81"/>
        <v>263.30624411668515</v>
      </c>
      <c r="Q302" s="18">
        <f t="shared" si="75"/>
        <v>493.52761108901819</v>
      </c>
      <c r="R302" s="18">
        <f t="shared" si="76"/>
        <v>0</v>
      </c>
      <c r="S302" s="18">
        <f t="shared" si="77"/>
        <v>0</v>
      </c>
      <c r="T302" s="18">
        <v>100</v>
      </c>
      <c r="U302" s="16"/>
      <c r="V302" s="18">
        <f t="shared" si="71"/>
        <v>856.83385520570334</v>
      </c>
      <c r="W302" s="16"/>
      <c r="X302" s="18">
        <f t="shared" si="72"/>
        <v>124020.99353927752</v>
      </c>
      <c r="Y302" s="18">
        <f t="shared" si="73"/>
        <v>352.16614479429666</v>
      </c>
      <c r="Z302" s="18"/>
      <c r="AA302" s="18">
        <f t="shared" si="74"/>
        <v>3.3405251563944525E-4</v>
      </c>
    </row>
    <row r="303" spans="2:27" x14ac:dyDescent="0.35">
      <c r="B303" s="26">
        <v>83.200000000000017</v>
      </c>
      <c r="C303" s="26">
        <v>1166</v>
      </c>
      <c r="D303" s="18">
        <f t="shared" si="80"/>
        <v>43.407451279289859</v>
      </c>
      <c r="E303" s="18">
        <f t="shared" si="80"/>
        <v>6.4835742525515503</v>
      </c>
      <c r="F303" s="18">
        <f t="shared" si="80"/>
        <v>6.1174149070059567</v>
      </c>
      <c r="G303" s="18">
        <f t="shared" si="80"/>
        <v>6.1174149070059567</v>
      </c>
      <c r="H303" s="18">
        <f t="shared" si="80"/>
        <v>6.1174149070059567</v>
      </c>
      <c r="I303" s="16"/>
      <c r="J303" s="18">
        <f t="shared" si="66"/>
        <v>39.725459012190214</v>
      </c>
      <c r="K303" s="18">
        <f t="shared" si="67"/>
        <v>4.8952989133896248</v>
      </c>
      <c r="L303" s="18">
        <f t="shared" si="68"/>
        <v>4.5929026887476887</v>
      </c>
      <c r="M303" s="18">
        <f t="shared" si="69"/>
        <v>4.5929026887476887</v>
      </c>
      <c r="N303" s="18">
        <f t="shared" si="70"/>
        <v>4.5929026887476887</v>
      </c>
      <c r="O303" s="16"/>
      <c r="P303" s="18">
        <f t="shared" si="81"/>
        <v>261.58855670901249</v>
      </c>
      <c r="Q303" s="18">
        <f t="shared" si="75"/>
        <v>491.37519804810779</v>
      </c>
      <c r="R303" s="18">
        <f t="shared" si="76"/>
        <v>0</v>
      </c>
      <c r="S303" s="18">
        <f t="shared" si="77"/>
        <v>0</v>
      </c>
      <c r="T303" s="18">
        <v>100</v>
      </c>
      <c r="U303" s="16"/>
      <c r="V303" s="18">
        <f t="shared" si="71"/>
        <v>852.96375475712034</v>
      </c>
      <c r="W303" s="16"/>
      <c r="X303" s="18">
        <f t="shared" si="72"/>
        <v>97991.690835760295</v>
      </c>
      <c r="Y303" s="18">
        <f t="shared" si="73"/>
        <v>313.03624524287966</v>
      </c>
      <c r="Z303" s="18"/>
      <c r="AA303" s="18">
        <f t="shared" si="74"/>
        <v>2.9693525841557211E-4</v>
      </c>
    </row>
    <row r="304" spans="2:27" x14ac:dyDescent="0.35">
      <c r="B304" s="26">
        <v>83.5</v>
      </c>
      <c r="C304" s="26">
        <v>1139</v>
      </c>
      <c r="D304" s="18">
        <f t="shared" si="80"/>
        <v>43.54216490759088</v>
      </c>
      <c r="E304" s="18">
        <f t="shared" si="80"/>
        <v>6.4976392132164147</v>
      </c>
      <c r="F304" s="18">
        <f t="shared" si="80"/>
        <v>6.1474149070059543</v>
      </c>
      <c r="G304" s="18">
        <f t="shared" si="80"/>
        <v>6.1474149070059543</v>
      </c>
      <c r="H304" s="18">
        <f t="shared" si="80"/>
        <v>6.1474149070059543</v>
      </c>
      <c r="I304" s="16"/>
      <c r="J304" s="18">
        <f t="shared" si="66"/>
        <v>39.856870117771535</v>
      </c>
      <c r="K304" s="18">
        <f t="shared" si="67"/>
        <v>4.9069804418764376</v>
      </c>
      <c r="L304" s="18">
        <f t="shared" si="68"/>
        <v>4.6175505306769189</v>
      </c>
      <c r="M304" s="18">
        <f t="shared" si="69"/>
        <v>4.6175505306769189</v>
      </c>
      <c r="N304" s="18">
        <f t="shared" si="70"/>
        <v>4.6175505306769189</v>
      </c>
      <c r="O304" s="16"/>
      <c r="P304" s="18">
        <f t="shared" si="81"/>
        <v>259.88748609836756</v>
      </c>
      <c r="Q304" s="18">
        <f t="shared" si="75"/>
        <v>489.23601253578636</v>
      </c>
      <c r="R304" s="18">
        <f t="shared" si="76"/>
        <v>0</v>
      </c>
      <c r="S304" s="18">
        <f t="shared" si="77"/>
        <v>0</v>
      </c>
      <c r="T304" s="18">
        <v>100</v>
      </c>
      <c r="U304" s="16"/>
      <c r="V304" s="18">
        <f t="shared" si="71"/>
        <v>849.12349863415398</v>
      </c>
      <c r="W304" s="16"/>
      <c r="X304" s="18">
        <f t="shared" si="72"/>
        <v>84028.386044103332</v>
      </c>
      <c r="Y304" s="18">
        <f t="shared" si="73"/>
        <v>289.87650136584602</v>
      </c>
      <c r="Z304" s="18"/>
      <c r="AA304" s="18">
        <f t="shared" si="74"/>
        <v>2.7496673356430535E-4</v>
      </c>
    </row>
    <row r="305" spans="2:27" x14ac:dyDescent="0.35">
      <c r="B305" s="26">
        <v>83.800000000000011</v>
      </c>
      <c r="C305" s="26">
        <v>1193</v>
      </c>
      <c r="D305" s="18">
        <f t="shared" si="80"/>
        <v>43.676878535891909</v>
      </c>
      <c r="E305" s="18">
        <f t="shared" si="80"/>
        <v>6.5117041738812791</v>
      </c>
      <c r="F305" s="18">
        <f t="shared" si="80"/>
        <v>6.1774149070059554</v>
      </c>
      <c r="G305" s="18">
        <f t="shared" si="80"/>
        <v>6.1774149070059554</v>
      </c>
      <c r="H305" s="18">
        <f t="shared" si="80"/>
        <v>6.1774149070059554</v>
      </c>
      <c r="I305" s="16"/>
      <c r="J305" s="18">
        <f t="shared" si="66"/>
        <v>39.988291828901687</v>
      </c>
      <c r="K305" s="18">
        <f t="shared" si="67"/>
        <v>4.9186666800865932</v>
      </c>
      <c r="L305" s="18">
        <f t="shared" si="68"/>
        <v>4.642221815769414</v>
      </c>
      <c r="M305" s="18">
        <f t="shared" si="69"/>
        <v>4.642221815769414</v>
      </c>
      <c r="N305" s="18">
        <f t="shared" si="70"/>
        <v>4.642221815769414</v>
      </c>
      <c r="O305" s="16"/>
      <c r="P305" s="18">
        <f t="shared" si="81"/>
        <v>258.20281995293408</v>
      </c>
      <c r="Q305" s="18">
        <f t="shared" si="75"/>
        <v>487.10995142606799</v>
      </c>
      <c r="R305" s="18">
        <f t="shared" si="76"/>
        <v>0</v>
      </c>
      <c r="S305" s="18">
        <f t="shared" si="77"/>
        <v>0</v>
      </c>
      <c r="T305" s="18">
        <v>100</v>
      </c>
      <c r="U305" s="16"/>
      <c r="V305" s="18">
        <f t="shared" si="71"/>
        <v>845.31277137900202</v>
      </c>
      <c r="W305" s="16"/>
      <c r="X305" s="18">
        <f t="shared" si="72"/>
        <v>120886.40894615011</v>
      </c>
      <c r="Y305" s="18">
        <f t="shared" si="73"/>
        <v>347.68722862099798</v>
      </c>
      <c r="Z305" s="18"/>
      <c r="AA305" s="18">
        <f t="shared" si="74"/>
        <v>3.2980397205527258E-4</v>
      </c>
    </row>
    <row r="306" spans="2:27" x14ac:dyDescent="0.35">
      <c r="B306" s="26">
        <v>84.1</v>
      </c>
      <c r="C306" s="26">
        <v>1166</v>
      </c>
      <c r="D306" s="18">
        <f t="shared" si="80"/>
        <v>43.81159216419293</v>
      </c>
      <c r="E306" s="18">
        <f t="shared" si="80"/>
        <v>6.5257691345461435</v>
      </c>
      <c r="F306" s="18">
        <f t="shared" si="80"/>
        <v>6.2074149070059548</v>
      </c>
      <c r="G306" s="18">
        <f t="shared" si="80"/>
        <v>6.2074149070059548</v>
      </c>
      <c r="H306" s="18">
        <f t="shared" si="80"/>
        <v>6.2074149070059548</v>
      </c>
      <c r="I306" s="16"/>
      <c r="J306" s="18">
        <f t="shared" ref="J306:J369" si="82">lmb_2(D306)</f>
        <v>40.119724078527447</v>
      </c>
      <c r="K306" s="18">
        <f t="shared" ref="K306:K369" si="83">lmb_2(E306)</f>
        <v>4.930357611327632</v>
      </c>
      <c r="L306" s="18">
        <f t="shared" ref="L306:L369" si="84">lmb_2(F306)</f>
        <v>4.6669163614625191</v>
      </c>
      <c r="M306" s="18">
        <f t="shared" ref="M306:M369" si="85">lmb_2(G306)</f>
        <v>4.6669163614625191</v>
      </c>
      <c r="N306" s="18">
        <f t="shared" ref="N306:N369" si="86">lmb_2(H306)</f>
        <v>4.6669163614625191</v>
      </c>
      <c r="O306" s="16"/>
      <c r="P306" s="18">
        <f t="shared" si="81"/>
        <v>256.53434930489493</v>
      </c>
      <c r="Q306" s="18">
        <f t="shared" si="75"/>
        <v>484.9969125557987</v>
      </c>
      <c r="R306" s="18">
        <f t="shared" si="76"/>
        <v>0</v>
      </c>
      <c r="S306" s="18">
        <f t="shared" si="77"/>
        <v>0</v>
      </c>
      <c r="T306" s="18">
        <v>100</v>
      </c>
      <c r="U306" s="16"/>
      <c r="V306" s="18">
        <f t="shared" ref="V306:V369" si="87">SUM(P306:T306)</f>
        <v>841.53126186069358</v>
      </c>
      <c r="W306" s="16"/>
      <c r="X306" s="18">
        <f t="shared" ref="X306:X369" si="88">(V306-C306)^2</f>
        <v>105279.9620297138</v>
      </c>
      <c r="Y306" s="18">
        <f t="shared" ref="Y306:Y369" si="89">ABS(V306-C306)</f>
        <v>324.46873813930642</v>
      </c>
      <c r="Z306" s="18"/>
      <c r="AA306" s="18">
        <f t="shared" ref="AA306:AA369" si="90">Y306/$Z$39</f>
        <v>3.0777972222486926E-4</v>
      </c>
    </row>
    <row r="307" spans="2:27" x14ac:dyDescent="0.35">
      <c r="B307" s="26">
        <v>84.4</v>
      </c>
      <c r="C307" s="26">
        <v>1095</v>
      </c>
      <c r="D307" s="18">
        <f t="shared" si="80"/>
        <v>43.946305792493966</v>
      </c>
      <c r="E307" s="18">
        <f t="shared" si="80"/>
        <v>6.5398340952110079</v>
      </c>
      <c r="F307" s="18">
        <f t="shared" si="80"/>
        <v>6.2374149070059559</v>
      </c>
      <c r="G307" s="18">
        <f t="shared" si="80"/>
        <v>6.2374149070059559</v>
      </c>
      <c r="H307" s="18">
        <f t="shared" si="80"/>
        <v>6.2374149070059559</v>
      </c>
      <c r="I307" s="16"/>
      <c r="J307" s="18">
        <f t="shared" si="82"/>
        <v>40.251166800224119</v>
      </c>
      <c r="K307" s="18">
        <f t="shared" si="83"/>
        <v>4.9420532189879012</v>
      </c>
      <c r="L307" s="18">
        <f t="shared" si="84"/>
        <v>4.6916339871180925</v>
      </c>
      <c r="M307" s="18">
        <f t="shared" si="85"/>
        <v>4.6916339871180925</v>
      </c>
      <c r="N307" s="18">
        <f t="shared" si="86"/>
        <v>4.6916339871180925</v>
      </c>
      <c r="O307" s="16"/>
      <c r="P307" s="18">
        <f t="shared" si="81"/>
        <v>254.88186848694235</v>
      </c>
      <c r="Q307" s="18">
        <f t="shared" si="75"/>
        <v>482.89679471428195</v>
      </c>
      <c r="R307" s="18">
        <f t="shared" si="76"/>
        <v>0</v>
      </c>
      <c r="S307" s="18">
        <f t="shared" si="77"/>
        <v>0</v>
      </c>
      <c r="T307" s="18">
        <v>100</v>
      </c>
      <c r="U307" s="16"/>
      <c r="V307" s="18">
        <f t="shared" si="87"/>
        <v>837.77866320122428</v>
      </c>
      <c r="W307" s="16"/>
      <c r="X307" s="18">
        <f t="shared" si="88"/>
        <v>66162.816104549216</v>
      </c>
      <c r="Y307" s="18">
        <f t="shared" si="89"/>
        <v>257.22133679877572</v>
      </c>
      <c r="Z307" s="18"/>
      <c r="AA307" s="18">
        <f t="shared" si="90"/>
        <v>2.4399118400197678E-4</v>
      </c>
    </row>
    <row r="308" spans="2:27" x14ac:dyDescent="0.35">
      <c r="B308" s="26">
        <v>84.700000000000017</v>
      </c>
      <c r="C308" s="26">
        <v>1259</v>
      </c>
      <c r="D308" s="18">
        <f t="shared" si="80"/>
        <v>44.081019420795002</v>
      </c>
      <c r="E308" s="18">
        <f t="shared" si="80"/>
        <v>6.5538990558758732</v>
      </c>
      <c r="F308" s="18">
        <f t="shared" si="80"/>
        <v>6.267414907005957</v>
      </c>
      <c r="G308" s="18">
        <f t="shared" si="80"/>
        <v>6.267414907005957</v>
      </c>
      <c r="H308" s="18">
        <f t="shared" si="80"/>
        <v>6.267414907005957</v>
      </c>
      <c r="I308" s="16"/>
      <c r="J308" s="18">
        <f t="shared" si="82"/>
        <v>40.382619928187715</v>
      </c>
      <c r="K308" s="18">
        <f t="shared" si="83"/>
        <v>4.9537534865360842</v>
      </c>
      <c r="L308" s="18">
        <f t="shared" si="84"/>
        <v>4.7163745139982769</v>
      </c>
      <c r="M308" s="18">
        <f t="shared" si="85"/>
        <v>4.7163745139982769</v>
      </c>
      <c r="N308" s="18">
        <f t="shared" si="86"/>
        <v>4.7163745139982769</v>
      </c>
      <c r="O308" s="16"/>
      <c r="P308" s="18">
        <f t="shared" si="81"/>
        <v>253.24517507017805</v>
      </c>
      <c r="Q308" s="18">
        <f t="shared" si="75"/>
        <v>480.80949763302868</v>
      </c>
      <c r="R308" s="18">
        <f t="shared" si="76"/>
        <v>0</v>
      </c>
      <c r="S308" s="18">
        <f t="shared" si="77"/>
        <v>0</v>
      </c>
      <c r="T308" s="18">
        <v>100</v>
      </c>
      <c r="U308" s="16"/>
      <c r="V308" s="18">
        <f t="shared" si="87"/>
        <v>834.05467270320673</v>
      </c>
      <c r="W308" s="16"/>
      <c r="X308" s="18">
        <f t="shared" si="88"/>
        <v>180578.53119137874</v>
      </c>
      <c r="Y308" s="18">
        <f t="shared" si="89"/>
        <v>424.94532729679327</v>
      </c>
      <c r="Z308" s="18"/>
      <c r="AA308" s="18">
        <f t="shared" si="90"/>
        <v>4.0308830843361682E-4</v>
      </c>
    </row>
    <row r="309" spans="2:27" x14ac:dyDescent="0.35">
      <c r="B309" s="26">
        <v>85.1</v>
      </c>
      <c r="C309" s="26">
        <v>1185</v>
      </c>
      <c r="D309" s="18">
        <f t="shared" si="80"/>
        <v>44.260637591863031</v>
      </c>
      <c r="E309" s="18">
        <f t="shared" si="80"/>
        <v>6.5726523367623582</v>
      </c>
      <c r="F309" s="18">
        <f t="shared" si="80"/>
        <v>6.3074149070059544</v>
      </c>
      <c r="G309" s="18">
        <f t="shared" si="80"/>
        <v>6.3074149070059544</v>
      </c>
      <c r="H309" s="18">
        <f t="shared" si="80"/>
        <v>6.3074149070059544</v>
      </c>
      <c r="I309" s="16"/>
      <c r="J309" s="18">
        <f t="shared" si="82"/>
        <v>40.557906840410517</v>
      </c>
      <c r="K309" s="18">
        <f t="shared" si="83"/>
        <v>4.9693610635583605</v>
      </c>
      <c r="L309" s="18">
        <f t="shared" si="84"/>
        <v>4.7493972018798987</v>
      </c>
      <c r="M309" s="18">
        <f t="shared" si="85"/>
        <v>4.7493972018798987</v>
      </c>
      <c r="N309" s="18">
        <f t="shared" si="86"/>
        <v>4.7493972018798987</v>
      </c>
      <c r="O309" s="16"/>
      <c r="P309" s="18">
        <f t="shared" si="81"/>
        <v>251.08713142618566</v>
      </c>
      <c r="Q309" s="18">
        <f t="shared" si="75"/>
        <v>478.04620670332548</v>
      </c>
      <c r="R309" s="18">
        <f t="shared" si="76"/>
        <v>0</v>
      </c>
      <c r="S309" s="18">
        <f t="shared" si="77"/>
        <v>0</v>
      </c>
      <c r="T309" s="18">
        <v>100</v>
      </c>
      <c r="U309" s="16"/>
      <c r="V309" s="18">
        <f t="shared" si="87"/>
        <v>829.13333812951112</v>
      </c>
      <c r="W309" s="16"/>
      <c r="X309" s="18">
        <f t="shared" si="88"/>
        <v>126641.08103084487</v>
      </c>
      <c r="Y309" s="18">
        <f t="shared" si="89"/>
        <v>355.86666187048888</v>
      </c>
      <c r="Z309" s="18"/>
      <c r="AA309" s="18">
        <f t="shared" si="90"/>
        <v>3.3756269700338862E-4</v>
      </c>
    </row>
    <row r="310" spans="2:27" x14ac:dyDescent="0.35">
      <c r="B310" s="26">
        <v>85.4</v>
      </c>
      <c r="C310" s="26">
        <v>1134</v>
      </c>
      <c r="D310" s="18">
        <f t="shared" si="80"/>
        <v>44.395351220164059</v>
      </c>
      <c r="E310" s="18">
        <f t="shared" si="80"/>
        <v>6.5867172974272234</v>
      </c>
      <c r="F310" s="18">
        <f t="shared" si="80"/>
        <v>6.3374149070059556</v>
      </c>
      <c r="G310" s="18">
        <f t="shared" si="80"/>
        <v>6.3374149070059556</v>
      </c>
      <c r="H310" s="18">
        <f t="shared" si="80"/>
        <v>6.3374149070059556</v>
      </c>
      <c r="I310" s="16"/>
      <c r="J310" s="18">
        <f t="shared" si="82"/>
        <v>40.689383997188898</v>
      </c>
      <c r="K310" s="18">
        <f t="shared" si="83"/>
        <v>4.9810721403376359</v>
      </c>
      <c r="L310" s="18">
        <f t="shared" si="84"/>
        <v>4.7741904803554451</v>
      </c>
      <c r="M310" s="18">
        <f t="shared" si="85"/>
        <v>4.7741904803554451</v>
      </c>
      <c r="N310" s="18">
        <f t="shared" si="86"/>
        <v>4.7741904803554451</v>
      </c>
      <c r="O310" s="16"/>
      <c r="P310" s="18">
        <f t="shared" si="81"/>
        <v>249.48650579409127</v>
      </c>
      <c r="Q310" s="18">
        <f t="shared" si="75"/>
        <v>475.98844001339972</v>
      </c>
      <c r="R310" s="18">
        <f t="shared" si="76"/>
        <v>0</v>
      </c>
      <c r="S310" s="18">
        <f t="shared" si="77"/>
        <v>0</v>
      </c>
      <c r="T310" s="18">
        <v>100</v>
      </c>
      <c r="U310" s="16"/>
      <c r="V310" s="18">
        <f t="shared" si="87"/>
        <v>825.47494580749094</v>
      </c>
      <c r="W310" s="16"/>
      <c r="X310" s="18">
        <f t="shared" si="88"/>
        <v>95187.709064490657</v>
      </c>
      <c r="Y310" s="18">
        <f t="shared" si="89"/>
        <v>308.52505419250906</v>
      </c>
      <c r="Z310" s="18"/>
      <c r="AA310" s="18">
        <f t="shared" si="90"/>
        <v>2.9265610000928441E-4</v>
      </c>
    </row>
    <row r="311" spans="2:27" x14ac:dyDescent="0.35">
      <c r="B311" s="26">
        <v>85.700000000000017</v>
      </c>
      <c r="C311" s="26">
        <v>1189</v>
      </c>
      <c r="D311" s="18">
        <f t="shared" si="80"/>
        <v>44.530064848465095</v>
      </c>
      <c r="E311" s="18">
        <f t="shared" si="80"/>
        <v>6.6007822580920879</v>
      </c>
      <c r="F311" s="18">
        <f t="shared" si="80"/>
        <v>6.3674149070059567</v>
      </c>
      <c r="G311" s="18">
        <f t="shared" si="80"/>
        <v>6.3674149070059567</v>
      </c>
      <c r="H311" s="18">
        <f t="shared" si="80"/>
        <v>6.3674149070059567</v>
      </c>
      <c r="I311" s="16"/>
      <c r="J311" s="18">
        <f t="shared" si="82"/>
        <v>40.820871345273169</v>
      </c>
      <c r="K311" s="18">
        <f t="shared" si="83"/>
        <v>4.992787822474626</v>
      </c>
      <c r="L311" s="18">
        <f t="shared" si="84"/>
        <v>4.7990060776828747</v>
      </c>
      <c r="M311" s="18">
        <f t="shared" si="85"/>
        <v>4.7990060776828747</v>
      </c>
      <c r="N311" s="18">
        <f t="shared" si="86"/>
        <v>4.7990060776828747</v>
      </c>
      <c r="O311" s="16"/>
      <c r="P311" s="18">
        <f t="shared" si="81"/>
        <v>247.90101541857229</v>
      </c>
      <c r="Q311" s="18">
        <f t="shared" ref="Q311:Q374" si="91">(D$21*$A$21*D$23*D$22)/(K311+K311^2)</f>
        <v>473.94316653118466</v>
      </c>
      <c r="R311" s="18">
        <f t="shared" ref="R311:R374" si="92">(E$21*$A$21*E$23*E$22)/(L311+L311^2)</f>
        <v>0</v>
      </c>
      <c r="S311" s="18">
        <f t="shared" ref="S311:S374" si="93">(F$21*$A$21*F$23*F$22)/(M311+M311^2)</f>
        <v>0</v>
      </c>
      <c r="T311" s="18">
        <v>100</v>
      </c>
      <c r="U311" s="16"/>
      <c r="V311" s="18">
        <f t="shared" si="87"/>
        <v>821.84418194975694</v>
      </c>
      <c r="W311" s="16"/>
      <c r="X311" s="18">
        <f t="shared" si="88"/>
        <v>134803.39472814318</v>
      </c>
      <c r="Y311" s="18">
        <f t="shared" si="89"/>
        <v>367.15581805024306</v>
      </c>
      <c r="Z311" s="18"/>
      <c r="AA311" s="18">
        <f t="shared" si="90"/>
        <v>3.4827119660517814E-4</v>
      </c>
    </row>
    <row r="312" spans="2:27" x14ac:dyDescent="0.35">
      <c r="B312" s="26">
        <v>86</v>
      </c>
      <c r="C312" s="26">
        <v>1162</v>
      </c>
      <c r="D312" s="18">
        <f t="shared" si="80"/>
        <v>44.664778476766116</v>
      </c>
      <c r="E312" s="18">
        <f t="shared" si="80"/>
        <v>6.6148472187569523</v>
      </c>
      <c r="F312" s="18">
        <f t="shared" si="80"/>
        <v>6.3974149070059543</v>
      </c>
      <c r="G312" s="18">
        <f t="shared" si="80"/>
        <v>6.3974149070059543</v>
      </c>
      <c r="H312" s="18">
        <f t="shared" si="80"/>
        <v>6.3974149070059543</v>
      </c>
      <c r="I312" s="16"/>
      <c r="J312" s="18">
        <f t="shared" si="82"/>
        <v>40.952368821462137</v>
      </c>
      <c r="K312" s="18">
        <f t="shared" si="83"/>
        <v>5.0045080937807453</v>
      </c>
      <c r="L312" s="18">
        <f t="shared" si="84"/>
        <v>4.8238438230870964</v>
      </c>
      <c r="M312" s="18">
        <f t="shared" si="85"/>
        <v>4.8238438230870964</v>
      </c>
      <c r="N312" s="18">
        <f t="shared" si="86"/>
        <v>4.8238438230870964</v>
      </c>
      <c r="O312" s="16"/>
      <c r="P312" s="18">
        <f t="shared" si="81"/>
        <v>246.3304712185907</v>
      </c>
      <c r="Q312" s="18">
        <f t="shared" si="91"/>
        <v>471.91028995564727</v>
      </c>
      <c r="R312" s="18">
        <f t="shared" si="92"/>
        <v>0</v>
      </c>
      <c r="S312" s="18">
        <f t="shared" si="93"/>
        <v>0</v>
      </c>
      <c r="T312" s="18">
        <v>100</v>
      </c>
      <c r="U312" s="16"/>
      <c r="V312" s="18">
        <f t="shared" si="87"/>
        <v>818.24076117423795</v>
      </c>
      <c r="W312" s="16"/>
      <c r="X312" s="18">
        <f t="shared" si="88"/>
        <v>118170.41427806731</v>
      </c>
      <c r="Y312" s="18">
        <f t="shared" si="89"/>
        <v>343.75923882576205</v>
      </c>
      <c r="Z312" s="18"/>
      <c r="AA312" s="18">
        <f t="shared" si="90"/>
        <v>3.2607801800801152E-4</v>
      </c>
    </row>
    <row r="313" spans="2:27" x14ac:dyDescent="0.35">
      <c r="B313" s="26">
        <v>86.300000000000011</v>
      </c>
      <c r="C313" s="26">
        <v>1123</v>
      </c>
      <c r="D313" s="18">
        <f t="shared" si="80"/>
        <v>44.799492105067152</v>
      </c>
      <c r="E313" s="18">
        <f t="shared" si="80"/>
        <v>6.6289121794218167</v>
      </c>
      <c r="F313" s="18">
        <f t="shared" si="80"/>
        <v>6.4274149070059554</v>
      </c>
      <c r="G313" s="18">
        <f t="shared" si="80"/>
        <v>6.4274149070059554</v>
      </c>
      <c r="H313" s="18">
        <f t="shared" si="80"/>
        <v>6.4274149070059554</v>
      </c>
      <c r="I313" s="16"/>
      <c r="J313" s="18">
        <f t="shared" si="82"/>
        <v>41.083876363135857</v>
      </c>
      <c r="K313" s="18">
        <f t="shared" si="83"/>
        <v>5.0162329381452775</v>
      </c>
      <c r="L313" s="18">
        <f t="shared" si="84"/>
        <v>4.8487035475696452</v>
      </c>
      <c r="M313" s="18">
        <f t="shared" si="85"/>
        <v>4.8487035475696452</v>
      </c>
      <c r="N313" s="18">
        <f t="shared" si="86"/>
        <v>4.8487035475696452</v>
      </c>
      <c r="O313" s="16"/>
      <c r="P313" s="18">
        <f t="shared" si="81"/>
        <v>244.77468704238393</v>
      </c>
      <c r="Q313" s="18">
        <f t="shared" si="91"/>
        <v>469.88971487535338</v>
      </c>
      <c r="R313" s="18">
        <f t="shared" si="92"/>
        <v>0</v>
      </c>
      <c r="S313" s="18">
        <f t="shared" si="93"/>
        <v>0</v>
      </c>
      <c r="T313" s="18">
        <v>100</v>
      </c>
      <c r="U313" s="16"/>
      <c r="V313" s="18">
        <f t="shared" si="87"/>
        <v>814.66440191773734</v>
      </c>
      <c r="W313" s="16"/>
      <c r="X313" s="18">
        <f t="shared" si="88"/>
        <v>95070.841044746616</v>
      </c>
      <c r="Y313" s="18">
        <f t="shared" si="89"/>
        <v>308.33559808226266</v>
      </c>
      <c r="Z313" s="18"/>
      <c r="AA313" s="18">
        <f t="shared" si="90"/>
        <v>2.924763885544311E-4</v>
      </c>
    </row>
    <row r="314" spans="2:27" x14ac:dyDescent="0.35">
      <c r="B314" s="26">
        <v>86.6</v>
      </c>
      <c r="C314" s="26">
        <v>1204</v>
      </c>
      <c r="D314" s="18">
        <f t="shared" si="80"/>
        <v>44.934205733368167</v>
      </c>
      <c r="E314" s="18">
        <f t="shared" si="80"/>
        <v>6.6429771400866811</v>
      </c>
      <c r="F314" s="18">
        <f t="shared" si="80"/>
        <v>6.4574149070059548</v>
      </c>
      <c r="G314" s="18">
        <f t="shared" si="80"/>
        <v>6.4574149070059548</v>
      </c>
      <c r="H314" s="18">
        <f t="shared" si="80"/>
        <v>6.4574149070059548</v>
      </c>
      <c r="I314" s="16"/>
      <c r="J314" s="18">
        <f t="shared" si="82"/>
        <v>41.215393908248465</v>
      </c>
      <c r="K314" s="18">
        <f t="shared" si="83"/>
        <v>5.027962339534918</v>
      </c>
      <c r="L314" s="18">
        <f t="shared" si="84"/>
        <v>4.8735850838864687</v>
      </c>
      <c r="M314" s="18">
        <f t="shared" si="85"/>
        <v>4.8735850838864687</v>
      </c>
      <c r="N314" s="18">
        <f t="shared" si="86"/>
        <v>4.8735850838864687</v>
      </c>
      <c r="O314" s="16"/>
      <c r="P314" s="18">
        <f t="shared" si="81"/>
        <v>243.23347961339709</v>
      </c>
      <c r="Q314" s="18">
        <f t="shared" si="91"/>
        <v>467.88134675897692</v>
      </c>
      <c r="R314" s="18">
        <f t="shared" si="92"/>
        <v>0</v>
      </c>
      <c r="S314" s="18">
        <f t="shared" si="93"/>
        <v>0</v>
      </c>
      <c r="T314" s="18">
        <v>100</v>
      </c>
      <c r="U314" s="16"/>
      <c r="V314" s="18">
        <f t="shared" si="87"/>
        <v>811.11482637237395</v>
      </c>
      <c r="W314" s="16"/>
      <c r="X314" s="18">
        <f t="shared" si="88"/>
        <v>154358.75965640988</v>
      </c>
      <c r="Y314" s="18">
        <f t="shared" si="89"/>
        <v>392.88517362762605</v>
      </c>
      <c r="Z314" s="18"/>
      <c r="AA314" s="18">
        <f t="shared" si="90"/>
        <v>3.7267716544533161E-4</v>
      </c>
    </row>
    <row r="315" spans="2:27" x14ac:dyDescent="0.35">
      <c r="B315" s="26">
        <v>87</v>
      </c>
      <c r="C315" s="26">
        <v>1120</v>
      </c>
      <c r="D315" s="18">
        <f t="shared" si="80"/>
        <v>45.113823904436209</v>
      </c>
      <c r="E315" s="18">
        <f t="shared" si="80"/>
        <v>6.6617304209731669</v>
      </c>
      <c r="F315" s="18">
        <f t="shared" si="80"/>
        <v>6.4974149070059557</v>
      </c>
      <c r="G315" s="18">
        <f t="shared" si="80"/>
        <v>6.4974149070059557</v>
      </c>
      <c r="H315" s="18">
        <f t="shared" si="80"/>
        <v>6.4974149070059557</v>
      </c>
      <c r="I315" s="16"/>
      <c r="J315" s="18">
        <f t="shared" si="82"/>
        <v>41.390766089791732</v>
      </c>
      <c r="K315" s="18">
        <f t="shared" si="83"/>
        <v>5.0436086025256657</v>
      </c>
      <c r="L315" s="18">
        <f t="shared" si="84"/>
        <v>4.9067941093397618</v>
      </c>
      <c r="M315" s="18">
        <f t="shared" si="85"/>
        <v>4.9067941093397618</v>
      </c>
      <c r="N315" s="18">
        <f t="shared" si="86"/>
        <v>4.9067941093397618</v>
      </c>
      <c r="O315" s="16"/>
      <c r="P315" s="18">
        <f t="shared" si="81"/>
        <v>241.20089981863805</v>
      </c>
      <c r="Q315" s="18">
        <f t="shared" si="91"/>
        <v>465.22234945609154</v>
      </c>
      <c r="R315" s="18">
        <f t="shared" si="92"/>
        <v>0</v>
      </c>
      <c r="S315" s="18">
        <f t="shared" si="93"/>
        <v>0</v>
      </c>
      <c r="T315" s="18">
        <v>100</v>
      </c>
      <c r="U315" s="16"/>
      <c r="V315" s="18">
        <f t="shared" si="87"/>
        <v>806.42324927472964</v>
      </c>
      <c r="W315" s="16"/>
      <c r="X315" s="18">
        <f t="shared" si="88"/>
        <v>98330.37859541834</v>
      </c>
      <c r="Y315" s="18">
        <f t="shared" si="89"/>
        <v>313.57675072527036</v>
      </c>
      <c r="Z315" s="18"/>
      <c r="AA315" s="18">
        <f t="shared" si="90"/>
        <v>2.974479630545004E-4</v>
      </c>
    </row>
    <row r="316" spans="2:27" x14ac:dyDescent="0.35">
      <c r="B316" s="26">
        <v>87.300000000000011</v>
      </c>
      <c r="C316" s="26">
        <v>1130</v>
      </c>
      <c r="D316" s="18">
        <f t="shared" si="80"/>
        <v>45.248537532737245</v>
      </c>
      <c r="E316" s="18">
        <f t="shared" si="80"/>
        <v>6.6757953816380322</v>
      </c>
      <c r="F316" s="18">
        <f t="shared" si="80"/>
        <v>6.5274149070059568</v>
      </c>
      <c r="G316" s="18">
        <f t="shared" si="80"/>
        <v>6.5274149070059568</v>
      </c>
      <c r="H316" s="18">
        <f t="shared" si="80"/>
        <v>6.5274149070059568</v>
      </c>
      <c r="I316" s="16"/>
      <c r="J316" s="18">
        <f t="shared" si="82"/>
        <v>41.522306738145744</v>
      </c>
      <c r="K316" s="18">
        <f t="shared" si="83"/>
        <v>5.0553485750536415</v>
      </c>
      <c r="L316" s="18">
        <f t="shared" si="84"/>
        <v>4.9317258992347313</v>
      </c>
      <c r="M316" s="18">
        <f t="shared" si="85"/>
        <v>4.9317258992347313</v>
      </c>
      <c r="N316" s="18">
        <f t="shared" si="86"/>
        <v>4.9317258992347313</v>
      </c>
      <c r="O316" s="16"/>
      <c r="P316" s="18">
        <f t="shared" si="81"/>
        <v>239.69300781447788</v>
      </c>
      <c r="Q316" s="18">
        <f t="shared" si="91"/>
        <v>463.24210150750605</v>
      </c>
      <c r="R316" s="18">
        <f t="shared" si="92"/>
        <v>0</v>
      </c>
      <c r="S316" s="18">
        <f t="shared" si="93"/>
        <v>0</v>
      </c>
      <c r="T316" s="18">
        <v>100</v>
      </c>
      <c r="U316" s="16"/>
      <c r="V316" s="18">
        <f t="shared" si="87"/>
        <v>802.93510932198387</v>
      </c>
      <c r="W316" s="16"/>
      <c r="X316" s="18">
        <f t="shared" si="88"/>
        <v>106971.44271422263</v>
      </c>
      <c r="Y316" s="18">
        <f t="shared" si="89"/>
        <v>327.06489067801613</v>
      </c>
      <c r="Z316" s="18"/>
      <c r="AA316" s="18">
        <f t="shared" si="90"/>
        <v>3.1024234192684623E-4</v>
      </c>
    </row>
    <row r="317" spans="2:27" x14ac:dyDescent="0.35">
      <c r="B317" s="26">
        <v>87.6</v>
      </c>
      <c r="C317" s="26">
        <v>1135</v>
      </c>
      <c r="D317" s="18">
        <f t="shared" si="80"/>
        <v>45.383251161038267</v>
      </c>
      <c r="E317" s="18">
        <f t="shared" si="80"/>
        <v>6.6898603423028957</v>
      </c>
      <c r="F317" s="18">
        <f t="shared" si="80"/>
        <v>6.5574149070059544</v>
      </c>
      <c r="G317" s="18">
        <f t="shared" si="80"/>
        <v>6.5574149070059544</v>
      </c>
      <c r="H317" s="18">
        <f t="shared" si="80"/>
        <v>6.5574149070059544</v>
      </c>
      <c r="I317" s="16"/>
      <c r="J317" s="18">
        <f t="shared" si="82"/>
        <v>41.653857187177344</v>
      </c>
      <c r="K317" s="18">
        <f t="shared" si="83"/>
        <v>5.0670930517157124</v>
      </c>
      <c r="L317" s="18">
        <f t="shared" si="84"/>
        <v>4.9566789558757387</v>
      </c>
      <c r="M317" s="18">
        <f t="shared" si="85"/>
        <v>4.9566789558757387</v>
      </c>
      <c r="N317" s="18">
        <f t="shared" si="86"/>
        <v>4.9566789558757387</v>
      </c>
      <c r="O317" s="16"/>
      <c r="P317" s="18">
        <f t="shared" si="81"/>
        <v>238.19910173010115</v>
      </c>
      <c r="Q317" s="18">
        <f t="shared" si="91"/>
        <v>461.2737516551926</v>
      </c>
      <c r="R317" s="18">
        <f t="shared" si="92"/>
        <v>0</v>
      </c>
      <c r="S317" s="18">
        <f t="shared" si="93"/>
        <v>0</v>
      </c>
      <c r="T317" s="18">
        <v>100</v>
      </c>
      <c r="U317" s="16"/>
      <c r="V317" s="18">
        <f t="shared" si="87"/>
        <v>799.47285338529377</v>
      </c>
      <c r="W317" s="16"/>
      <c r="X317" s="18">
        <f t="shared" si="88"/>
        <v>112578.46611540657</v>
      </c>
      <c r="Y317" s="18">
        <f t="shared" si="89"/>
        <v>335.52714661470623</v>
      </c>
      <c r="Z317" s="18"/>
      <c r="AA317" s="18">
        <f t="shared" si="90"/>
        <v>3.1826934260656046E-4</v>
      </c>
    </row>
    <row r="318" spans="2:27" x14ac:dyDescent="0.35">
      <c r="B318" s="26">
        <v>87.9</v>
      </c>
      <c r="C318" s="26">
        <v>1122</v>
      </c>
      <c r="D318" s="18">
        <f t="shared" si="80"/>
        <v>45.517964789339295</v>
      </c>
      <c r="E318" s="18">
        <f t="shared" si="80"/>
        <v>6.703925302967761</v>
      </c>
      <c r="F318" s="18">
        <f t="shared" si="80"/>
        <v>6.5874149070059556</v>
      </c>
      <c r="G318" s="18">
        <f t="shared" si="80"/>
        <v>6.5874149070059556</v>
      </c>
      <c r="H318" s="18">
        <f t="shared" si="80"/>
        <v>6.5874149070059556</v>
      </c>
      <c r="I318" s="16"/>
      <c r="J318" s="18">
        <f t="shared" si="82"/>
        <v>41.785417377249658</v>
      </c>
      <c r="K318" s="18">
        <f t="shared" si="83"/>
        <v>5.0788420168088679</v>
      </c>
      <c r="L318" s="18">
        <f t="shared" si="84"/>
        <v>4.9816531193720328</v>
      </c>
      <c r="M318" s="18">
        <f t="shared" si="85"/>
        <v>4.9816531193720328</v>
      </c>
      <c r="N318" s="18">
        <f t="shared" si="86"/>
        <v>4.9816531193720328</v>
      </c>
      <c r="O318" s="16"/>
      <c r="P318" s="18">
        <f t="shared" si="81"/>
        <v>236.71901015103975</v>
      </c>
      <c r="Q318" s="18">
        <f t="shared" si="91"/>
        <v>459.31720907469844</v>
      </c>
      <c r="R318" s="18">
        <f t="shared" si="92"/>
        <v>0</v>
      </c>
      <c r="S318" s="18">
        <f t="shared" si="93"/>
        <v>0</v>
      </c>
      <c r="T318" s="18">
        <v>100</v>
      </c>
      <c r="U318" s="16"/>
      <c r="V318" s="18">
        <f t="shared" si="87"/>
        <v>796.03621922573825</v>
      </c>
      <c r="W318" s="16"/>
      <c r="X318" s="18">
        <f t="shared" si="88"/>
        <v>106252.38637665097</v>
      </c>
      <c r="Y318" s="18">
        <f t="shared" si="89"/>
        <v>325.96378077426175</v>
      </c>
      <c r="Z318" s="18"/>
      <c r="AA318" s="18">
        <f t="shared" si="90"/>
        <v>3.0919786749685949E-4</v>
      </c>
    </row>
    <row r="319" spans="2:27" x14ac:dyDescent="0.35">
      <c r="B319" s="26">
        <v>88.200000000000017</v>
      </c>
      <c r="C319" s="26">
        <v>1094</v>
      </c>
      <c r="D319" s="18">
        <f t="shared" si="80"/>
        <v>45.652678417640331</v>
      </c>
      <c r="E319" s="18">
        <f t="shared" si="80"/>
        <v>6.7179902636326254</v>
      </c>
      <c r="F319" s="18">
        <f t="shared" si="80"/>
        <v>6.6174149070059567</v>
      </c>
      <c r="G319" s="18">
        <f t="shared" si="80"/>
        <v>6.6174149070059567</v>
      </c>
      <c r="H319" s="18">
        <f t="shared" si="80"/>
        <v>6.6174149070059567</v>
      </c>
      <c r="I319" s="16"/>
      <c r="J319" s="18">
        <f t="shared" si="82"/>
        <v>41.916987249264061</v>
      </c>
      <c r="K319" s="18">
        <f t="shared" si="83"/>
        <v>5.0905954547051344</v>
      </c>
      <c r="L319" s="18">
        <f t="shared" si="84"/>
        <v>5.0066482314739043</v>
      </c>
      <c r="M319" s="18">
        <f t="shared" si="85"/>
        <v>5.0066482314739043</v>
      </c>
      <c r="N319" s="18">
        <f t="shared" si="86"/>
        <v>5.0066482314739043</v>
      </c>
      <c r="O319" s="16"/>
      <c r="P319" s="18">
        <f t="shared" si="81"/>
        <v>235.25256426853005</v>
      </c>
      <c r="Q319" s="18">
        <f t="shared" si="91"/>
        <v>457.37238377294796</v>
      </c>
      <c r="R319" s="18">
        <f t="shared" si="92"/>
        <v>0</v>
      </c>
      <c r="S319" s="18">
        <f t="shared" si="93"/>
        <v>0</v>
      </c>
      <c r="T319" s="18">
        <v>100</v>
      </c>
      <c r="U319" s="16"/>
      <c r="V319" s="18">
        <f t="shared" si="87"/>
        <v>792.62494804147798</v>
      </c>
      <c r="W319" s="16"/>
      <c r="X319" s="18">
        <f t="shared" si="88"/>
        <v>90826.921943001842</v>
      </c>
      <c r="Y319" s="18">
        <f t="shared" si="89"/>
        <v>301.37505195852202</v>
      </c>
      <c r="Z319" s="18"/>
      <c r="AA319" s="18">
        <f t="shared" si="90"/>
        <v>2.8587385739909212E-4</v>
      </c>
    </row>
    <row r="320" spans="2:27" x14ac:dyDescent="0.35">
      <c r="B320" s="26">
        <v>88.5</v>
      </c>
      <c r="C320" s="26">
        <v>1099</v>
      </c>
      <c r="D320" s="18">
        <f t="shared" si="80"/>
        <v>45.787392045941353</v>
      </c>
      <c r="E320" s="18">
        <f t="shared" si="80"/>
        <v>6.7320552242974898</v>
      </c>
      <c r="F320" s="18">
        <f t="shared" si="80"/>
        <v>6.6474149070059543</v>
      </c>
      <c r="G320" s="18">
        <f t="shared" si="80"/>
        <v>6.6474149070059543</v>
      </c>
      <c r="H320" s="18">
        <f t="shared" si="80"/>
        <v>6.6474149070059543</v>
      </c>
      <c r="I320" s="16"/>
      <c r="J320" s="18">
        <f t="shared" si="82"/>
        <v>42.048566744653733</v>
      </c>
      <c r="K320" s="18">
        <f t="shared" si="83"/>
        <v>5.1023533498511515</v>
      </c>
      <c r="L320" s="18">
        <f t="shared" si="84"/>
        <v>5.0316641355523508</v>
      </c>
      <c r="M320" s="18">
        <f t="shared" si="85"/>
        <v>5.0316641355523508</v>
      </c>
      <c r="N320" s="18">
        <f t="shared" si="86"/>
        <v>5.0316641355523508</v>
      </c>
      <c r="O320" s="16"/>
      <c r="P320" s="18">
        <f t="shared" si="81"/>
        <v>233.79959783231359</v>
      </c>
      <c r="Q320" s="18">
        <f t="shared" si="91"/>
        <v>455.43918657944647</v>
      </c>
      <c r="R320" s="18">
        <f t="shared" si="92"/>
        <v>0</v>
      </c>
      <c r="S320" s="18">
        <f t="shared" si="93"/>
        <v>0</v>
      </c>
      <c r="T320" s="18">
        <v>100</v>
      </c>
      <c r="U320" s="16"/>
      <c r="V320" s="18">
        <f t="shared" si="87"/>
        <v>789.23878441176009</v>
      </c>
      <c r="W320" s="16"/>
      <c r="X320" s="18">
        <f t="shared" si="88"/>
        <v>95952.010682704044</v>
      </c>
      <c r="Y320" s="18">
        <f t="shared" si="89"/>
        <v>309.76121558823991</v>
      </c>
      <c r="Z320" s="18"/>
      <c r="AA320" s="18">
        <f t="shared" si="90"/>
        <v>2.9382867957175617E-4</v>
      </c>
    </row>
    <row r="321" spans="2:27" x14ac:dyDescent="0.35">
      <c r="B321" s="26">
        <v>88.800000000000011</v>
      </c>
      <c r="C321" s="26">
        <v>1105</v>
      </c>
      <c r="D321" s="18">
        <f t="shared" si="80"/>
        <v>45.922105674242388</v>
      </c>
      <c r="E321" s="18">
        <f t="shared" si="80"/>
        <v>6.7461201849623542</v>
      </c>
      <c r="F321" s="18">
        <f t="shared" si="80"/>
        <v>6.6774149070059554</v>
      </c>
      <c r="G321" s="18">
        <f t="shared" si="80"/>
        <v>6.6774149070059554</v>
      </c>
      <c r="H321" s="18">
        <f t="shared" si="80"/>
        <v>6.6774149070059554</v>
      </c>
      <c r="I321" s="16"/>
      <c r="J321" s="18">
        <f t="shared" si="82"/>
        <v>42.180155805377403</v>
      </c>
      <c r="K321" s="18">
        <f t="shared" si="83"/>
        <v>5.1141156867677342</v>
      </c>
      <c r="L321" s="18">
        <f t="shared" si="84"/>
        <v>5.0567006765790197</v>
      </c>
      <c r="M321" s="18">
        <f t="shared" si="85"/>
        <v>5.0567006765790197</v>
      </c>
      <c r="N321" s="18">
        <f t="shared" si="86"/>
        <v>5.0567006765790197</v>
      </c>
      <c r="O321" s="16"/>
      <c r="P321" s="18">
        <f t="shared" si="81"/>
        <v>232.35994710442796</v>
      </c>
      <c r="Q321" s="18">
        <f t="shared" si="91"/>
        <v>453.51752913759111</v>
      </c>
      <c r="R321" s="18">
        <f t="shared" si="92"/>
        <v>0</v>
      </c>
      <c r="S321" s="18">
        <f t="shared" si="93"/>
        <v>0</v>
      </c>
      <c r="T321" s="18">
        <v>100</v>
      </c>
      <c r="U321" s="16"/>
      <c r="V321" s="18">
        <f t="shared" si="87"/>
        <v>785.87747624201904</v>
      </c>
      <c r="W321" s="16"/>
      <c r="X321" s="18">
        <f t="shared" si="88"/>
        <v>101839.18516966312</v>
      </c>
      <c r="Y321" s="18">
        <f t="shared" si="89"/>
        <v>319.12252375798096</v>
      </c>
      <c r="Z321" s="18"/>
      <c r="AA321" s="18">
        <f t="shared" si="90"/>
        <v>3.027084898261027E-4</v>
      </c>
    </row>
    <row r="322" spans="2:27" x14ac:dyDescent="0.35">
      <c r="B322" s="26">
        <v>89.200000000000017</v>
      </c>
      <c r="C322" s="26">
        <v>1148</v>
      </c>
      <c r="D322" s="18">
        <f t="shared" si="80"/>
        <v>46.101723845310424</v>
      </c>
      <c r="E322" s="18">
        <f t="shared" si="80"/>
        <v>6.764873465848841</v>
      </c>
      <c r="F322" s="18">
        <f t="shared" si="80"/>
        <v>6.7174149070059563</v>
      </c>
      <c r="G322" s="18">
        <f t="shared" si="80"/>
        <v>6.7174149070059563</v>
      </c>
      <c r="H322" s="18">
        <f t="shared" si="80"/>
        <v>6.7174149070059563</v>
      </c>
      <c r="I322" s="16"/>
      <c r="J322" s="18">
        <f t="shared" si="82"/>
        <v>42.35562266640396</v>
      </c>
      <c r="K322" s="18">
        <f t="shared" si="83"/>
        <v>5.129805685461279</v>
      </c>
      <c r="L322" s="18">
        <f t="shared" si="84"/>
        <v>5.0901145682080298</v>
      </c>
      <c r="M322" s="18">
        <f t="shared" si="85"/>
        <v>5.0901145682080298</v>
      </c>
      <c r="N322" s="18">
        <f t="shared" si="86"/>
        <v>5.0901145682080298</v>
      </c>
      <c r="O322" s="16"/>
      <c r="P322" s="18">
        <f t="shared" si="81"/>
        <v>230.4608477346064</v>
      </c>
      <c r="Q322" s="18">
        <f t="shared" si="91"/>
        <v>450.97311873159941</v>
      </c>
      <c r="R322" s="18">
        <f t="shared" si="92"/>
        <v>0</v>
      </c>
      <c r="S322" s="18">
        <f t="shared" si="93"/>
        <v>0</v>
      </c>
      <c r="T322" s="18">
        <v>100</v>
      </c>
      <c r="U322" s="16"/>
      <c r="V322" s="18">
        <f t="shared" si="87"/>
        <v>781.43396646620579</v>
      </c>
      <c r="W322" s="16"/>
      <c r="X322" s="18">
        <f t="shared" si="88"/>
        <v>134370.65694069874</v>
      </c>
      <c r="Y322" s="18">
        <f t="shared" si="89"/>
        <v>366.56603353379421</v>
      </c>
      <c r="Z322" s="18"/>
      <c r="AA322" s="18">
        <f t="shared" si="90"/>
        <v>3.4771174759420063E-4</v>
      </c>
    </row>
    <row r="323" spans="2:27" x14ac:dyDescent="0.35">
      <c r="B323" s="26">
        <v>89.5</v>
      </c>
      <c r="C323" s="26">
        <v>1103</v>
      </c>
      <c r="D323" s="18">
        <f t="shared" si="80"/>
        <v>46.236437473611446</v>
      </c>
      <c r="E323" s="18">
        <f t="shared" si="80"/>
        <v>6.7789384265137045</v>
      </c>
      <c r="F323" s="18">
        <f t="shared" si="80"/>
        <v>6.7474149070059557</v>
      </c>
      <c r="G323" s="18">
        <f t="shared" si="80"/>
        <v>6.7474149070059557</v>
      </c>
      <c r="H323" s="18">
        <f t="shared" si="80"/>
        <v>6.7474149070059557</v>
      </c>
      <c r="I323" s="16"/>
      <c r="J323" s="18">
        <f t="shared" si="82"/>
        <v>42.487233823429555</v>
      </c>
      <c r="K323" s="18">
        <f t="shared" si="83"/>
        <v>5.1415783267258099</v>
      </c>
      <c r="L323" s="18">
        <f t="shared" si="84"/>
        <v>5.1151986680693646</v>
      </c>
      <c r="M323" s="18">
        <f t="shared" si="85"/>
        <v>5.1151986680693646</v>
      </c>
      <c r="N323" s="18">
        <f t="shared" si="86"/>
        <v>5.1151986680693646</v>
      </c>
      <c r="O323" s="16"/>
      <c r="P323" s="18">
        <f t="shared" si="81"/>
        <v>229.051644009407</v>
      </c>
      <c r="Q323" s="18">
        <f t="shared" si="91"/>
        <v>449.07804827566173</v>
      </c>
      <c r="R323" s="18">
        <f t="shared" si="92"/>
        <v>0</v>
      </c>
      <c r="S323" s="18">
        <f t="shared" si="93"/>
        <v>0</v>
      </c>
      <c r="T323" s="18">
        <v>100</v>
      </c>
      <c r="U323" s="16"/>
      <c r="V323" s="18">
        <f t="shared" si="87"/>
        <v>778.1296922850687</v>
      </c>
      <c r="W323" s="16"/>
      <c r="X323" s="18">
        <f t="shared" si="88"/>
        <v>105540.71683479415</v>
      </c>
      <c r="Y323" s="18">
        <f t="shared" si="89"/>
        <v>324.8703077149313</v>
      </c>
      <c r="Z323" s="18"/>
      <c r="AA323" s="18">
        <f t="shared" si="90"/>
        <v>3.0816063711099529E-4</v>
      </c>
    </row>
    <row r="324" spans="2:27" x14ac:dyDescent="0.35">
      <c r="B324" s="26">
        <v>89.800000000000011</v>
      </c>
      <c r="C324" s="26">
        <v>1163</v>
      </c>
      <c r="D324" s="18">
        <f t="shared" si="80"/>
        <v>46.371151101912481</v>
      </c>
      <c r="E324" s="18">
        <f t="shared" si="80"/>
        <v>6.7930033871785698</v>
      </c>
      <c r="F324" s="18">
        <f t="shared" si="80"/>
        <v>6.7774149070059568</v>
      </c>
      <c r="G324" s="18">
        <f t="shared" si="80"/>
        <v>6.7774149070059568</v>
      </c>
      <c r="H324" s="18">
        <f t="shared" si="80"/>
        <v>6.7774149070059568</v>
      </c>
      <c r="I324" s="16"/>
      <c r="J324" s="18">
        <f t="shared" si="82"/>
        <v>42.618854356034213</v>
      </c>
      <c r="K324" s="18">
        <f t="shared" si="83"/>
        <v>5.1533553586938492</v>
      </c>
      <c r="L324" s="18">
        <f t="shared" si="84"/>
        <v>5.1403028994258007</v>
      </c>
      <c r="M324" s="18">
        <f t="shared" si="85"/>
        <v>5.1403028994258007</v>
      </c>
      <c r="N324" s="18">
        <f t="shared" si="86"/>
        <v>5.1403028994258007</v>
      </c>
      <c r="O324" s="16"/>
      <c r="P324" s="18">
        <f t="shared" si="81"/>
        <v>227.6552277698483</v>
      </c>
      <c r="Q324" s="18">
        <f t="shared" si="91"/>
        <v>447.194228817983</v>
      </c>
      <c r="R324" s="18">
        <f t="shared" si="92"/>
        <v>0</v>
      </c>
      <c r="S324" s="18">
        <f t="shared" si="93"/>
        <v>0</v>
      </c>
      <c r="T324" s="18">
        <v>100</v>
      </c>
      <c r="U324" s="16"/>
      <c r="V324" s="18">
        <f t="shared" si="87"/>
        <v>774.84945658783136</v>
      </c>
      <c r="W324" s="16"/>
      <c r="X324" s="18">
        <f t="shared" si="88"/>
        <v>150660.84435116182</v>
      </c>
      <c r="Y324" s="18">
        <f t="shared" si="89"/>
        <v>388.15054341216864</v>
      </c>
      <c r="Z324" s="18"/>
      <c r="AA324" s="18">
        <f t="shared" si="90"/>
        <v>3.681860604442535E-4</v>
      </c>
    </row>
    <row r="325" spans="2:27" x14ac:dyDescent="0.35">
      <c r="B325" s="26">
        <v>90.1</v>
      </c>
      <c r="C325" s="26">
        <v>1122</v>
      </c>
      <c r="D325" s="18">
        <f t="shared" si="80"/>
        <v>46.505864730213503</v>
      </c>
      <c r="E325" s="18">
        <f t="shared" si="80"/>
        <v>6.8070683478434333</v>
      </c>
      <c r="F325" s="18">
        <f t="shared" si="80"/>
        <v>6.8074149070059544</v>
      </c>
      <c r="G325" s="18">
        <f t="shared" si="80"/>
        <v>6.8074149070059544</v>
      </c>
      <c r="H325" s="18">
        <f t="shared" si="80"/>
        <v>6.8074149070059544</v>
      </c>
      <c r="I325" s="16"/>
      <c r="J325" s="18">
        <f t="shared" si="82"/>
        <v>42.750484208382993</v>
      </c>
      <c r="K325" s="18">
        <f t="shared" si="83"/>
        <v>5.1651367662027123</v>
      </c>
      <c r="L325" s="18">
        <f t="shared" si="84"/>
        <v>5.165427113959824</v>
      </c>
      <c r="M325" s="18">
        <f t="shared" si="85"/>
        <v>5.165427113959824</v>
      </c>
      <c r="N325" s="18">
        <f t="shared" si="86"/>
        <v>5.165427113959824</v>
      </c>
      <c r="O325" s="16"/>
      <c r="P325" s="18">
        <f t="shared" si="81"/>
        <v>226.27144565375869</v>
      </c>
      <c r="Q325" s="18">
        <f t="shared" si="91"/>
        <v>445.32157543090364</v>
      </c>
      <c r="R325" s="18">
        <f t="shared" si="92"/>
        <v>0</v>
      </c>
      <c r="S325" s="18">
        <f t="shared" si="93"/>
        <v>0</v>
      </c>
      <c r="T325" s="18">
        <v>100</v>
      </c>
      <c r="U325" s="16"/>
      <c r="V325" s="18">
        <f t="shared" si="87"/>
        <v>771.59302108466227</v>
      </c>
      <c r="W325" s="16"/>
      <c r="X325" s="18">
        <f t="shared" si="88"/>
        <v>122785.05087257393</v>
      </c>
      <c r="Y325" s="18">
        <f t="shared" si="89"/>
        <v>350.40697891533773</v>
      </c>
      <c r="Z325" s="18"/>
      <c r="AA325" s="18">
        <f t="shared" si="90"/>
        <v>3.323838322751299E-4</v>
      </c>
    </row>
    <row r="326" spans="2:27" x14ac:dyDescent="0.35">
      <c r="B326" s="26">
        <v>90.4</v>
      </c>
      <c r="C326" s="26">
        <v>1092</v>
      </c>
      <c r="D326" s="18">
        <f t="shared" si="80"/>
        <v>46.640578358514539</v>
      </c>
      <c r="E326" s="18">
        <f t="shared" si="80"/>
        <v>6.8211333085082986</v>
      </c>
      <c r="F326" s="18">
        <f t="shared" si="80"/>
        <v>6.8374149070059556</v>
      </c>
      <c r="G326" s="18">
        <f t="shared" si="80"/>
        <v>6.8374149070059556</v>
      </c>
      <c r="H326" s="18">
        <f t="shared" si="80"/>
        <v>6.8374149070059556</v>
      </c>
      <c r="I326" s="16"/>
      <c r="J326" s="18">
        <f t="shared" si="82"/>
        <v>42.882123325134344</v>
      </c>
      <c r="K326" s="18">
        <f t="shared" si="83"/>
        <v>5.1769225341616361</v>
      </c>
      <c r="L326" s="18">
        <f t="shared" si="84"/>
        <v>5.1905711648520967</v>
      </c>
      <c r="M326" s="18">
        <f t="shared" si="85"/>
        <v>5.1905711648520967</v>
      </c>
      <c r="N326" s="18">
        <f t="shared" si="86"/>
        <v>5.1905711648520967</v>
      </c>
      <c r="O326" s="16"/>
      <c r="P326" s="18">
        <f t="shared" si="81"/>
        <v>224.90014658060619</v>
      </c>
      <c r="Q326" s="18">
        <f t="shared" si="91"/>
        <v>443.46000395602232</v>
      </c>
      <c r="R326" s="18">
        <f t="shared" si="92"/>
        <v>0</v>
      </c>
      <c r="S326" s="18">
        <f t="shared" si="93"/>
        <v>0</v>
      </c>
      <c r="T326" s="18">
        <v>100</v>
      </c>
      <c r="U326" s="16"/>
      <c r="V326" s="18">
        <f t="shared" si="87"/>
        <v>768.36015053662845</v>
      </c>
      <c r="W326" s="16"/>
      <c r="X326" s="18">
        <f t="shared" si="88"/>
        <v>104742.7521606738</v>
      </c>
      <c r="Y326" s="18">
        <f t="shared" si="89"/>
        <v>323.63984946337155</v>
      </c>
      <c r="Z326" s="18"/>
      <c r="AA326" s="18">
        <f t="shared" si="90"/>
        <v>3.0699346735206534E-4</v>
      </c>
    </row>
    <row r="327" spans="2:27" x14ac:dyDescent="0.35">
      <c r="B327" s="26">
        <v>90.700000000000017</v>
      </c>
      <c r="C327" s="26">
        <v>1110</v>
      </c>
      <c r="D327" s="18">
        <f t="shared" si="80"/>
        <v>46.775291986815567</v>
      </c>
      <c r="E327" s="18">
        <f t="shared" si="80"/>
        <v>6.835198269173163</v>
      </c>
      <c r="F327" s="18">
        <f t="shared" si="80"/>
        <v>6.8674149070059567</v>
      </c>
      <c r="G327" s="18">
        <f t="shared" si="80"/>
        <v>6.8674149070059567</v>
      </c>
      <c r="H327" s="18">
        <f t="shared" si="80"/>
        <v>6.8674149070059567</v>
      </c>
      <c r="I327" s="16"/>
      <c r="J327" s="18">
        <f t="shared" si="82"/>
        <v>43.013771651434219</v>
      </c>
      <c r="K327" s="18">
        <f t="shared" si="83"/>
        <v>5.1887126475513545</v>
      </c>
      <c r="L327" s="18">
        <f t="shared" si="84"/>
        <v>5.2157349067630481</v>
      </c>
      <c r="M327" s="18">
        <f t="shared" si="85"/>
        <v>5.2157349067630481</v>
      </c>
      <c r="N327" s="18">
        <f t="shared" si="86"/>
        <v>5.2157349067630481</v>
      </c>
      <c r="O327" s="16"/>
      <c r="P327" s="18">
        <f t="shared" si="81"/>
        <v>223.54118171104429</v>
      </c>
      <c r="Q327" s="18">
        <f t="shared" si="91"/>
        <v>441.60943099614047</v>
      </c>
      <c r="R327" s="18">
        <f t="shared" si="92"/>
        <v>0</v>
      </c>
      <c r="S327" s="18">
        <f t="shared" si="93"/>
        <v>0</v>
      </c>
      <c r="T327" s="18">
        <v>100</v>
      </c>
      <c r="U327" s="16"/>
      <c r="V327" s="18">
        <f t="shared" si="87"/>
        <v>765.15061270718479</v>
      </c>
      <c r="W327" s="16"/>
      <c r="X327" s="18">
        <f t="shared" si="88"/>
        <v>118921.09991623006</v>
      </c>
      <c r="Y327" s="18">
        <f t="shared" si="89"/>
        <v>344.84938729281521</v>
      </c>
      <c r="Z327" s="18"/>
      <c r="AA327" s="18">
        <f t="shared" si="90"/>
        <v>3.2711209480165763E-4</v>
      </c>
    </row>
    <row r="328" spans="2:27" x14ac:dyDescent="0.35">
      <c r="B328" s="26">
        <v>91.1</v>
      </c>
      <c r="C328" s="26">
        <v>1093</v>
      </c>
      <c r="D328" s="18">
        <f t="shared" si="80"/>
        <v>46.954910157883596</v>
      </c>
      <c r="E328" s="18">
        <f t="shared" si="80"/>
        <v>6.853951550059648</v>
      </c>
      <c r="F328" s="18">
        <f t="shared" si="80"/>
        <v>6.9074149070059541</v>
      </c>
      <c r="G328" s="18">
        <f t="shared" si="80"/>
        <v>6.9074149070059541</v>
      </c>
      <c r="H328" s="18">
        <f t="shared" si="80"/>
        <v>6.9074149070059541</v>
      </c>
      <c r="I328" s="16"/>
      <c r="J328" s="18">
        <f t="shared" si="82"/>
        <v>43.189316985223947</v>
      </c>
      <c r="K328" s="18">
        <f t="shared" si="83"/>
        <v>5.2044395324705004</v>
      </c>
      <c r="L328" s="18">
        <f t="shared" si="84"/>
        <v>5.2493169446482071</v>
      </c>
      <c r="M328" s="18">
        <f t="shared" si="85"/>
        <v>5.2493169446482071</v>
      </c>
      <c r="N328" s="18">
        <f t="shared" si="86"/>
        <v>5.2493169446482071</v>
      </c>
      <c r="O328" s="16"/>
      <c r="P328" s="18">
        <f t="shared" si="81"/>
        <v>221.74816195476296</v>
      </c>
      <c r="Q328" s="18">
        <f t="shared" si="91"/>
        <v>439.15896645016932</v>
      </c>
      <c r="R328" s="18">
        <f t="shared" si="92"/>
        <v>0</v>
      </c>
      <c r="S328" s="18">
        <f t="shared" si="93"/>
        <v>0</v>
      </c>
      <c r="T328" s="18">
        <v>100</v>
      </c>
      <c r="U328" s="16"/>
      <c r="V328" s="18">
        <f t="shared" si="87"/>
        <v>760.90712840493234</v>
      </c>
      <c r="W328" s="16"/>
      <c r="X328" s="18">
        <f t="shared" si="88"/>
        <v>110285.6753642581</v>
      </c>
      <c r="Y328" s="18">
        <f t="shared" si="89"/>
        <v>332.09287159506766</v>
      </c>
      <c r="Z328" s="18"/>
      <c r="AA328" s="18">
        <f t="shared" si="90"/>
        <v>3.1501170916658832E-4</v>
      </c>
    </row>
    <row r="329" spans="2:27" x14ac:dyDescent="0.35">
      <c r="B329" s="26">
        <v>91.4</v>
      </c>
      <c r="C329" s="26">
        <v>1096</v>
      </c>
      <c r="D329" s="18">
        <f t="shared" si="80"/>
        <v>47.089623786184632</v>
      </c>
      <c r="E329" s="18">
        <f t="shared" si="80"/>
        <v>6.8680165107245132</v>
      </c>
      <c r="F329" s="18">
        <f t="shared" si="80"/>
        <v>6.9374149070059552</v>
      </c>
      <c r="G329" s="18">
        <f t="shared" si="80"/>
        <v>6.9374149070059552</v>
      </c>
      <c r="H329" s="18">
        <f t="shared" si="80"/>
        <v>6.9374149070059552</v>
      </c>
      <c r="I329" s="16"/>
      <c r="J329" s="18">
        <f t="shared" si="82"/>
        <v>43.320986589845674</v>
      </c>
      <c r="K329" s="18">
        <f t="shared" si="83"/>
        <v>5.2162397271890608</v>
      </c>
      <c r="L329" s="18">
        <f t="shared" si="84"/>
        <v>5.2745260752369711</v>
      </c>
      <c r="M329" s="18">
        <f t="shared" si="85"/>
        <v>5.2745260752369711</v>
      </c>
      <c r="N329" s="18">
        <f t="shared" si="86"/>
        <v>5.2745260752369711</v>
      </c>
      <c r="O329" s="16"/>
      <c r="P329" s="18">
        <f t="shared" si="81"/>
        <v>220.41741036811524</v>
      </c>
      <c r="Q329" s="18">
        <f t="shared" si="91"/>
        <v>437.33373658594616</v>
      </c>
      <c r="R329" s="18">
        <f t="shared" si="92"/>
        <v>0</v>
      </c>
      <c r="S329" s="18">
        <f t="shared" si="93"/>
        <v>0</v>
      </c>
      <c r="T329" s="18">
        <v>100</v>
      </c>
      <c r="U329" s="16"/>
      <c r="V329" s="18">
        <f t="shared" si="87"/>
        <v>757.75114695406137</v>
      </c>
      <c r="W329" s="16"/>
      <c r="X329" s="18">
        <f t="shared" si="88"/>
        <v>114412.28658689299</v>
      </c>
      <c r="Y329" s="18">
        <f t="shared" si="89"/>
        <v>338.24885304593863</v>
      </c>
      <c r="Z329" s="18"/>
      <c r="AA329" s="18">
        <f t="shared" si="90"/>
        <v>3.2085105834961212E-4</v>
      </c>
    </row>
    <row r="330" spans="2:27" x14ac:dyDescent="0.35">
      <c r="B330" s="26">
        <v>91.700000000000017</v>
      </c>
      <c r="C330" s="26">
        <v>1146</v>
      </c>
      <c r="D330" s="18">
        <f t="shared" si="80"/>
        <v>47.224337414485667</v>
      </c>
      <c r="E330" s="18">
        <f t="shared" si="80"/>
        <v>6.8820814713893785</v>
      </c>
      <c r="F330" s="18">
        <f t="shared" si="80"/>
        <v>6.9674149070059563</v>
      </c>
      <c r="G330" s="18">
        <f t="shared" si="80"/>
        <v>6.9674149070059563</v>
      </c>
      <c r="H330" s="18">
        <f t="shared" si="80"/>
        <v>6.9674149070059563</v>
      </c>
      <c r="I330" s="16"/>
      <c r="J330" s="18">
        <f t="shared" si="82"/>
        <v>43.452665224618244</v>
      </c>
      <c r="K330" s="18">
        <f t="shared" si="83"/>
        <v>5.2280442177853335</v>
      </c>
      <c r="L330" s="18">
        <f t="shared" si="84"/>
        <v>5.2997544228354583</v>
      </c>
      <c r="M330" s="18">
        <f t="shared" si="85"/>
        <v>5.2997544228354583</v>
      </c>
      <c r="N330" s="18">
        <f t="shared" si="86"/>
        <v>5.2997544228354583</v>
      </c>
      <c r="O330" s="16"/>
      <c r="P330" s="18">
        <f t="shared" si="81"/>
        <v>219.09851253752888</v>
      </c>
      <c r="Q330" s="18">
        <f t="shared" si="91"/>
        <v>435.51923264209108</v>
      </c>
      <c r="R330" s="18">
        <f t="shared" si="92"/>
        <v>0</v>
      </c>
      <c r="S330" s="18">
        <f t="shared" si="93"/>
        <v>0</v>
      </c>
      <c r="T330" s="18">
        <v>100</v>
      </c>
      <c r="U330" s="16"/>
      <c r="V330" s="18">
        <f t="shared" si="87"/>
        <v>754.61774517961999</v>
      </c>
      <c r="W330" s="16"/>
      <c r="X330" s="18">
        <f t="shared" si="88"/>
        <v>153180.06938828487</v>
      </c>
      <c r="Y330" s="18">
        <f t="shared" si="89"/>
        <v>391.38225482038001</v>
      </c>
      <c r="Z330" s="18"/>
      <c r="AA330" s="18">
        <f t="shared" si="90"/>
        <v>3.7125154911115608E-4</v>
      </c>
    </row>
    <row r="331" spans="2:27" x14ac:dyDescent="0.35">
      <c r="B331" s="26">
        <v>92</v>
      </c>
      <c r="C331" s="26">
        <v>1030</v>
      </c>
      <c r="D331" s="18">
        <f t="shared" si="80"/>
        <v>47.359051042786682</v>
      </c>
      <c r="E331" s="18">
        <f t="shared" si="80"/>
        <v>6.896146432054242</v>
      </c>
      <c r="F331" s="18">
        <f t="shared" si="80"/>
        <v>6.9974149070059557</v>
      </c>
      <c r="G331" s="18">
        <f t="shared" si="80"/>
        <v>6.9974149070059557</v>
      </c>
      <c r="H331" s="18">
        <f t="shared" si="80"/>
        <v>6.9974149070059557</v>
      </c>
      <c r="I331" s="16"/>
      <c r="J331" s="18">
        <f t="shared" si="82"/>
        <v>43.584352836735874</v>
      </c>
      <c r="K331" s="18">
        <f t="shared" si="83"/>
        <v>5.239852989545164</v>
      </c>
      <c r="L331" s="18">
        <f t="shared" si="84"/>
        <v>5.3250018483100483</v>
      </c>
      <c r="M331" s="18">
        <f t="shared" si="85"/>
        <v>5.3250018483100483</v>
      </c>
      <c r="N331" s="18">
        <f t="shared" si="86"/>
        <v>5.3250018483100483</v>
      </c>
      <c r="O331" s="16"/>
      <c r="P331" s="18">
        <f t="shared" si="81"/>
        <v>217.79132888786776</v>
      </c>
      <c r="Q331" s="18">
        <f t="shared" si="91"/>
        <v>433.71537442912989</v>
      </c>
      <c r="R331" s="18">
        <f t="shared" si="92"/>
        <v>0</v>
      </c>
      <c r="S331" s="18">
        <f t="shared" si="93"/>
        <v>0</v>
      </c>
      <c r="T331" s="18">
        <v>100</v>
      </c>
      <c r="U331" s="16"/>
      <c r="V331" s="18">
        <f t="shared" si="87"/>
        <v>751.50670331699769</v>
      </c>
      <c r="W331" s="16"/>
      <c r="X331" s="18">
        <f t="shared" si="88"/>
        <v>77558.516297366747</v>
      </c>
      <c r="Y331" s="18">
        <f t="shared" si="89"/>
        <v>278.49329668300231</v>
      </c>
      <c r="Z331" s="18"/>
      <c r="AA331" s="18">
        <f t="shared" si="90"/>
        <v>2.641690228344344E-4</v>
      </c>
    </row>
    <row r="332" spans="2:27" x14ac:dyDescent="0.35">
      <c r="B332" s="26">
        <v>92.300000000000011</v>
      </c>
      <c r="C332" s="26">
        <v>1064</v>
      </c>
      <c r="D332" s="18">
        <f t="shared" si="80"/>
        <v>47.493764671087717</v>
      </c>
      <c r="E332" s="18">
        <f t="shared" si="80"/>
        <v>6.9102113927191073</v>
      </c>
      <c r="F332" s="18">
        <f t="shared" si="80"/>
        <v>7.0274149070059568</v>
      </c>
      <c r="G332" s="18">
        <f t="shared" si="80"/>
        <v>7.0274149070059568</v>
      </c>
      <c r="H332" s="18">
        <f t="shared" si="80"/>
        <v>7.0274149070059568</v>
      </c>
      <c r="I332" s="16"/>
      <c r="J332" s="18">
        <f t="shared" si="82"/>
        <v>43.716049373851035</v>
      </c>
      <c r="K332" s="18">
        <f t="shared" si="83"/>
        <v>5.2516660278237364</v>
      </c>
      <c r="L332" s="18">
        <f t="shared" si="84"/>
        <v>5.3502682139129982</v>
      </c>
      <c r="M332" s="18">
        <f t="shared" si="85"/>
        <v>5.3502682139129982</v>
      </c>
      <c r="N332" s="18">
        <f t="shared" si="86"/>
        <v>5.3502682139129982</v>
      </c>
      <c r="O332" s="16"/>
      <c r="P332" s="18">
        <f t="shared" si="81"/>
        <v>216.4957218829984</v>
      </c>
      <c r="Q332" s="18">
        <f t="shared" si="91"/>
        <v>431.92208247739154</v>
      </c>
      <c r="R332" s="18">
        <f t="shared" si="92"/>
        <v>0</v>
      </c>
      <c r="S332" s="18">
        <f t="shared" si="93"/>
        <v>0</v>
      </c>
      <c r="T332" s="18">
        <v>100</v>
      </c>
      <c r="U332" s="16"/>
      <c r="V332" s="18">
        <f t="shared" si="87"/>
        <v>748.41780436038994</v>
      </c>
      <c r="W332" s="16"/>
      <c r="X332" s="18">
        <f t="shared" si="88"/>
        <v>99592.122204717118</v>
      </c>
      <c r="Y332" s="18">
        <f t="shared" si="89"/>
        <v>315.58219563961006</v>
      </c>
      <c r="Z332" s="18"/>
      <c r="AA332" s="18">
        <f t="shared" si="90"/>
        <v>2.9935025811753894E-4</v>
      </c>
    </row>
    <row r="333" spans="2:27" x14ac:dyDescent="0.35">
      <c r="B333" s="26">
        <v>92.6</v>
      </c>
      <c r="C333" s="26">
        <v>1059</v>
      </c>
      <c r="D333" s="18">
        <f t="shared" si="80"/>
        <v>47.628478299388739</v>
      </c>
      <c r="E333" s="18">
        <f t="shared" si="80"/>
        <v>6.9242763533839709</v>
      </c>
      <c r="F333" s="18">
        <f t="shared" si="80"/>
        <v>7.0574149070059544</v>
      </c>
      <c r="G333" s="18">
        <f t="shared" si="80"/>
        <v>7.0574149070059544</v>
      </c>
      <c r="H333" s="18">
        <f t="shared" si="80"/>
        <v>7.0574149070059544</v>
      </c>
      <c r="I333" s="16"/>
      <c r="J333" s="18">
        <f t="shared" si="82"/>
        <v>43.847754784069132</v>
      </c>
      <c r="K333" s="18">
        <f t="shared" si="83"/>
        <v>5.2634833180451617</v>
      </c>
      <c r="L333" s="18">
        <f t="shared" si="84"/>
        <v>5.3755533832655784</v>
      </c>
      <c r="M333" s="18">
        <f t="shared" si="85"/>
        <v>5.3755533832655784</v>
      </c>
      <c r="N333" s="18">
        <f t="shared" si="86"/>
        <v>5.3755533832655784</v>
      </c>
      <c r="O333" s="16"/>
      <c r="P333" s="18">
        <f t="shared" si="81"/>
        <v>215.2115559902858</v>
      </c>
      <c r="Q333" s="18">
        <f t="shared" si="91"/>
        <v>430.13927802953435</v>
      </c>
      <c r="R333" s="18">
        <f t="shared" si="92"/>
        <v>0</v>
      </c>
      <c r="S333" s="18">
        <f t="shared" si="93"/>
        <v>0</v>
      </c>
      <c r="T333" s="18">
        <v>100</v>
      </c>
      <c r="U333" s="16"/>
      <c r="V333" s="18">
        <f t="shared" si="87"/>
        <v>745.35083401982013</v>
      </c>
      <c r="W333" s="16"/>
      <c r="X333" s="18">
        <f t="shared" si="88"/>
        <v>98375.799320062419</v>
      </c>
      <c r="Y333" s="18">
        <f t="shared" si="89"/>
        <v>313.64916598017987</v>
      </c>
      <c r="Z333" s="18"/>
      <c r="AA333" s="18">
        <f t="shared" si="90"/>
        <v>2.9751665363827963E-4</v>
      </c>
    </row>
    <row r="334" spans="2:27" x14ac:dyDescent="0.35">
      <c r="B334" s="26">
        <v>92.9</v>
      </c>
      <c r="C334" s="26">
        <v>1082</v>
      </c>
      <c r="D334" s="18">
        <f t="shared" si="80"/>
        <v>47.763191927689775</v>
      </c>
      <c r="E334" s="18">
        <f t="shared" si="80"/>
        <v>6.9383413140488361</v>
      </c>
      <c r="F334" s="18">
        <f t="shared" si="80"/>
        <v>7.0874149070059556</v>
      </c>
      <c r="G334" s="18">
        <f t="shared" si="80"/>
        <v>7.0874149070059556</v>
      </c>
      <c r="H334" s="18">
        <f t="shared" si="80"/>
        <v>7.0874149070059556</v>
      </c>
      <c r="I334" s="16"/>
      <c r="J334" s="18">
        <f t="shared" si="82"/>
        <v>43.97946901594338</v>
      </c>
      <c r="K334" s="18">
        <f t="shared" si="83"/>
        <v>5.2753048457020952</v>
      </c>
      <c r="L334" s="18">
        <f t="shared" si="84"/>
        <v>5.4008572213414681</v>
      </c>
      <c r="M334" s="18">
        <f t="shared" si="85"/>
        <v>5.4008572213414681</v>
      </c>
      <c r="N334" s="18">
        <f t="shared" si="86"/>
        <v>5.4008572213414681</v>
      </c>
      <c r="O334" s="16"/>
      <c r="P334" s="18">
        <f t="shared" si="81"/>
        <v>213.93869764580506</v>
      </c>
      <c r="Q334" s="18">
        <f t="shared" si="91"/>
        <v>428.3668830331552</v>
      </c>
      <c r="R334" s="18">
        <f t="shared" si="92"/>
        <v>0</v>
      </c>
      <c r="S334" s="18">
        <f t="shared" si="93"/>
        <v>0</v>
      </c>
      <c r="T334" s="18">
        <v>100</v>
      </c>
      <c r="U334" s="16"/>
      <c r="V334" s="18">
        <f t="shared" si="87"/>
        <v>742.30558067896027</v>
      </c>
      <c r="W334" s="16"/>
      <c r="X334" s="18">
        <f t="shared" si="88"/>
        <v>115392.29851785838</v>
      </c>
      <c r="Y334" s="18">
        <f t="shared" si="89"/>
        <v>339.69441932103973</v>
      </c>
      <c r="Z334" s="18"/>
      <c r="AA334" s="18">
        <f t="shared" si="90"/>
        <v>3.2222227207318889E-4</v>
      </c>
    </row>
    <row r="335" spans="2:27" x14ac:dyDescent="0.35">
      <c r="B335" s="26">
        <v>93.300000000000011</v>
      </c>
      <c r="C335" s="26">
        <v>1097</v>
      </c>
      <c r="D335" s="18">
        <f t="shared" si="80"/>
        <v>47.942810098757811</v>
      </c>
      <c r="E335" s="18">
        <f t="shared" si="80"/>
        <v>6.957094594935322</v>
      </c>
      <c r="F335" s="18">
        <f t="shared" si="80"/>
        <v>7.1274149070059565</v>
      </c>
      <c r="G335" s="18">
        <f t="shared" si="80"/>
        <v>7.1274149070059565</v>
      </c>
      <c r="H335" s="18">
        <f t="shared" si="80"/>
        <v>7.1274149070059565</v>
      </c>
      <c r="I335" s="16"/>
      <c r="J335" s="18">
        <f t="shared" si="82"/>
        <v>44.155101626259807</v>
      </c>
      <c r="K335" s="18">
        <f t="shared" si="83"/>
        <v>5.2910734491974756</v>
      </c>
      <c r="L335" s="18">
        <f t="shared" si="84"/>
        <v>5.4346244814662876</v>
      </c>
      <c r="M335" s="18">
        <f t="shared" si="85"/>
        <v>5.4346244814662876</v>
      </c>
      <c r="N335" s="18">
        <f t="shared" si="86"/>
        <v>5.4346244814662876</v>
      </c>
      <c r="O335" s="16"/>
      <c r="P335" s="18">
        <f t="shared" si="81"/>
        <v>212.25891547300441</v>
      </c>
      <c r="Q335" s="18">
        <f t="shared" si="91"/>
        <v>426.01974858471357</v>
      </c>
      <c r="R335" s="18">
        <f t="shared" si="92"/>
        <v>0</v>
      </c>
      <c r="S335" s="18">
        <f t="shared" si="93"/>
        <v>0</v>
      </c>
      <c r="T335" s="18">
        <v>100</v>
      </c>
      <c r="U335" s="16"/>
      <c r="V335" s="18">
        <f t="shared" si="87"/>
        <v>738.27866405771795</v>
      </c>
      <c r="W335" s="16"/>
      <c r="X335" s="18">
        <f t="shared" si="88"/>
        <v>128680.99686021557</v>
      </c>
      <c r="Y335" s="18">
        <f t="shared" si="89"/>
        <v>358.72133594228205</v>
      </c>
      <c r="Z335" s="18"/>
      <c r="AA335" s="18">
        <f t="shared" si="90"/>
        <v>3.4027054121019113E-4</v>
      </c>
    </row>
    <row r="336" spans="2:27" x14ac:dyDescent="0.35">
      <c r="B336" s="26">
        <v>93.6</v>
      </c>
      <c r="C336" s="26">
        <v>1047</v>
      </c>
      <c r="D336" s="18">
        <f t="shared" si="80"/>
        <v>48.077523727058832</v>
      </c>
      <c r="E336" s="18">
        <f t="shared" si="80"/>
        <v>6.9711595556001855</v>
      </c>
      <c r="F336" s="18">
        <f t="shared" si="80"/>
        <v>7.1574149070059541</v>
      </c>
      <c r="G336" s="18">
        <f t="shared" si="80"/>
        <v>7.1574149070059541</v>
      </c>
      <c r="H336" s="18">
        <f t="shared" si="80"/>
        <v>7.1574149070059541</v>
      </c>
      <c r="I336" s="16"/>
      <c r="J336" s="18">
        <f t="shared" si="82"/>
        <v>44.286836244404789</v>
      </c>
      <c r="K336" s="18">
        <f t="shared" si="83"/>
        <v>5.3029048081685293</v>
      </c>
      <c r="L336" s="18">
        <f t="shared" si="84"/>
        <v>5.4599713622686394</v>
      </c>
      <c r="M336" s="18">
        <f t="shared" si="85"/>
        <v>5.4599713622686394</v>
      </c>
      <c r="N336" s="18">
        <f t="shared" si="86"/>
        <v>5.4599713622686394</v>
      </c>
      <c r="O336" s="16"/>
      <c r="P336" s="18">
        <f t="shared" si="81"/>
        <v>211.01193279733323</v>
      </c>
      <c r="Q336" s="18">
        <f t="shared" si="91"/>
        <v>424.27134267665571</v>
      </c>
      <c r="R336" s="18">
        <f t="shared" si="92"/>
        <v>0</v>
      </c>
      <c r="S336" s="18">
        <f t="shared" si="93"/>
        <v>0</v>
      </c>
      <c r="T336" s="18">
        <v>100</v>
      </c>
      <c r="U336" s="16"/>
      <c r="V336" s="18">
        <f t="shared" si="87"/>
        <v>735.28327547398897</v>
      </c>
      <c r="W336" s="16"/>
      <c r="X336" s="18">
        <f t="shared" si="88"/>
        <v>97167.316349225046</v>
      </c>
      <c r="Y336" s="18">
        <f t="shared" si="89"/>
        <v>311.71672452601103</v>
      </c>
      <c r="Z336" s="18"/>
      <c r="AA336" s="18">
        <f t="shared" si="90"/>
        <v>2.9568360711000499E-4</v>
      </c>
    </row>
    <row r="337" spans="2:27" x14ac:dyDescent="0.35">
      <c r="B337" s="26">
        <v>93.9</v>
      </c>
      <c r="C337" s="26">
        <v>1150</v>
      </c>
      <c r="D337" s="18">
        <f t="shared" si="80"/>
        <v>48.212237355359868</v>
      </c>
      <c r="E337" s="18">
        <f t="shared" si="80"/>
        <v>6.9852245162650508</v>
      </c>
      <c r="F337" s="18">
        <f t="shared" si="80"/>
        <v>7.1874149070059552</v>
      </c>
      <c r="G337" s="18">
        <f t="shared" si="80"/>
        <v>7.1874149070059552</v>
      </c>
      <c r="H337" s="18">
        <f t="shared" si="80"/>
        <v>7.1874149070059552</v>
      </c>
      <c r="I337" s="16"/>
      <c r="J337" s="18">
        <f t="shared" si="82"/>
        <v>44.418579515885646</v>
      </c>
      <c r="K337" s="18">
        <f t="shared" si="83"/>
        <v>5.314740356707242</v>
      </c>
      <c r="L337" s="18">
        <f t="shared" si="84"/>
        <v>5.485336471265045</v>
      </c>
      <c r="M337" s="18">
        <f t="shared" si="85"/>
        <v>5.485336471265045</v>
      </c>
      <c r="N337" s="18">
        <f t="shared" si="86"/>
        <v>5.485336471265045</v>
      </c>
      <c r="O337" s="16"/>
      <c r="P337" s="18">
        <f t="shared" si="81"/>
        <v>209.77582624270286</v>
      </c>
      <c r="Q337" s="18">
        <f t="shared" si="91"/>
        <v>422.53309104351445</v>
      </c>
      <c r="R337" s="18">
        <f t="shared" si="92"/>
        <v>0</v>
      </c>
      <c r="S337" s="18">
        <f t="shared" si="93"/>
        <v>0</v>
      </c>
      <c r="T337" s="18">
        <v>100</v>
      </c>
      <c r="U337" s="16"/>
      <c r="V337" s="18">
        <f t="shared" si="87"/>
        <v>732.30891728621737</v>
      </c>
      <c r="W337" s="16"/>
      <c r="X337" s="18">
        <f t="shared" si="88"/>
        <v>174465.840578612</v>
      </c>
      <c r="Y337" s="18">
        <f t="shared" si="89"/>
        <v>417.69108271378263</v>
      </c>
      <c r="Z337" s="18"/>
      <c r="AA337" s="18">
        <f t="shared" si="90"/>
        <v>3.9620718516881803E-4</v>
      </c>
    </row>
    <row r="338" spans="2:27" x14ac:dyDescent="0.35">
      <c r="B338" s="26">
        <v>94.200000000000017</v>
      </c>
      <c r="C338" s="26">
        <v>1066</v>
      </c>
      <c r="D338" s="18">
        <f t="shared" si="80"/>
        <v>48.346950983660903</v>
      </c>
      <c r="E338" s="18">
        <f t="shared" si="80"/>
        <v>6.9992894769299161</v>
      </c>
      <c r="F338" s="18">
        <f t="shared" si="80"/>
        <v>7.2174149070059563</v>
      </c>
      <c r="G338" s="18">
        <f t="shared" si="80"/>
        <v>7.2174149070059563</v>
      </c>
      <c r="H338" s="18">
        <f t="shared" si="80"/>
        <v>7.2174149070059563</v>
      </c>
      <c r="I338" s="16"/>
      <c r="J338" s="18">
        <f t="shared" si="82"/>
        <v>44.550331391137902</v>
      </c>
      <c r="K338" s="18">
        <f t="shared" si="83"/>
        <v>5.326580080598756</v>
      </c>
      <c r="L338" s="18">
        <f t="shared" si="84"/>
        <v>5.5107196791029756</v>
      </c>
      <c r="M338" s="18">
        <f t="shared" si="85"/>
        <v>5.5107196791029756</v>
      </c>
      <c r="N338" s="18">
        <f t="shared" si="86"/>
        <v>5.5107196791029756</v>
      </c>
      <c r="O338" s="16"/>
      <c r="P338" s="18">
        <f t="shared" si="81"/>
        <v>208.55047039103769</v>
      </c>
      <c r="Q338" s="18">
        <f t="shared" si="91"/>
        <v>420.8049186043346</v>
      </c>
      <c r="R338" s="18">
        <f t="shared" si="92"/>
        <v>0</v>
      </c>
      <c r="S338" s="18">
        <f t="shared" si="93"/>
        <v>0</v>
      </c>
      <c r="T338" s="18">
        <v>100</v>
      </c>
      <c r="U338" s="16"/>
      <c r="V338" s="18">
        <f t="shared" si="87"/>
        <v>729.35538899537232</v>
      </c>
      <c r="W338" s="16"/>
      <c r="X338" s="18">
        <f t="shared" si="88"/>
        <v>113329.59411845708</v>
      </c>
      <c r="Y338" s="18">
        <f t="shared" si="89"/>
        <v>336.64461100462768</v>
      </c>
      <c r="Z338" s="18"/>
      <c r="AA338" s="18">
        <f t="shared" si="90"/>
        <v>3.1932933033141346E-4</v>
      </c>
    </row>
    <row r="339" spans="2:27" x14ac:dyDescent="0.35">
      <c r="B339" s="26">
        <v>94.5</v>
      </c>
      <c r="C339" s="26">
        <v>1042</v>
      </c>
      <c r="D339" s="18">
        <f t="shared" si="80"/>
        <v>48.481664611961925</v>
      </c>
      <c r="E339" s="18">
        <f t="shared" si="80"/>
        <v>7.0133544375947796</v>
      </c>
      <c r="F339" s="18">
        <f t="shared" si="80"/>
        <v>7.2474149070059557</v>
      </c>
      <c r="G339" s="18">
        <f t="shared" si="80"/>
        <v>7.2474149070059557</v>
      </c>
      <c r="H339" s="18">
        <f t="shared" si="80"/>
        <v>7.2474149070059557</v>
      </c>
      <c r="I339" s="16"/>
      <c r="J339" s="18">
        <f t="shared" si="82"/>
        <v>44.682091821018474</v>
      </c>
      <c r="K339" s="18">
        <f t="shared" si="83"/>
        <v>5.3384239656946813</v>
      </c>
      <c r="L339" s="18">
        <f t="shared" si="84"/>
        <v>5.5361208576974157</v>
      </c>
      <c r="M339" s="18">
        <f t="shared" si="85"/>
        <v>5.5361208576974157</v>
      </c>
      <c r="N339" s="18">
        <f t="shared" si="86"/>
        <v>5.5361208576974157</v>
      </c>
      <c r="O339" s="16"/>
      <c r="P339" s="18">
        <f t="shared" si="81"/>
        <v>207.33574161888308</v>
      </c>
      <c r="Q339" s="18">
        <f t="shared" si="91"/>
        <v>419.08675094512898</v>
      </c>
      <c r="R339" s="18">
        <f t="shared" si="92"/>
        <v>0</v>
      </c>
      <c r="S339" s="18">
        <f t="shared" si="93"/>
        <v>0</v>
      </c>
      <c r="T339" s="18">
        <v>100</v>
      </c>
      <c r="U339" s="16"/>
      <c r="V339" s="18">
        <f t="shared" si="87"/>
        <v>726.42249256401203</v>
      </c>
      <c r="W339" s="16"/>
      <c r="X339" s="18">
        <f t="shared" si="88"/>
        <v>99589.163199511037</v>
      </c>
      <c r="Y339" s="18">
        <f t="shared" si="89"/>
        <v>315.57750743598797</v>
      </c>
      <c r="Z339" s="18"/>
      <c r="AA339" s="18">
        <f t="shared" si="90"/>
        <v>2.9934581105118424E-4</v>
      </c>
    </row>
    <row r="340" spans="2:27" x14ac:dyDescent="0.35">
      <c r="B340" s="26">
        <v>94.800000000000011</v>
      </c>
      <c r="C340" s="26">
        <v>1038</v>
      </c>
      <c r="D340" s="18">
        <f t="shared" si="80"/>
        <v>48.616378240262954</v>
      </c>
      <c r="E340" s="18">
        <f t="shared" si="80"/>
        <v>7.0274193982596449</v>
      </c>
      <c r="F340" s="18">
        <f t="shared" si="80"/>
        <v>7.2774149070059568</v>
      </c>
      <c r="G340" s="18">
        <f t="shared" si="80"/>
        <v>7.2774149070059568</v>
      </c>
      <c r="H340" s="18">
        <f t="shared" si="80"/>
        <v>7.2774149070059568</v>
      </c>
      <c r="I340" s="16"/>
      <c r="J340" s="18">
        <f t="shared" si="82"/>
        <v>44.813860756800935</v>
      </c>
      <c r="K340" s="18">
        <f t="shared" si="83"/>
        <v>5.3502719979127251</v>
      </c>
      <c r="L340" s="18">
        <f t="shared" si="84"/>
        <v>5.5615398802156264</v>
      </c>
      <c r="M340" s="18">
        <f t="shared" si="85"/>
        <v>5.5615398802156264</v>
      </c>
      <c r="N340" s="18">
        <f t="shared" si="86"/>
        <v>5.5615398802156264</v>
      </c>
      <c r="O340" s="16"/>
      <c r="P340" s="18">
        <f t="shared" si="81"/>
        <v>206.13151806679244</v>
      </c>
      <c r="Q340" s="18">
        <f t="shared" si="91"/>
        <v>417.3785143120171</v>
      </c>
      <c r="R340" s="18">
        <f t="shared" si="92"/>
        <v>0</v>
      </c>
      <c r="S340" s="18">
        <f t="shared" si="93"/>
        <v>0</v>
      </c>
      <c r="T340" s="18">
        <v>100</v>
      </c>
      <c r="U340" s="16"/>
      <c r="V340" s="18">
        <f t="shared" si="87"/>
        <v>723.51003237880957</v>
      </c>
      <c r="W340" s="16"/>
      <c r="X340" s="18">
        <f t="shared" si="88"/>
        <v>98903.939734377404</v>
      </c>
      <c r="Y340" s="18">
        <f t="shared" si="89"/>
        <v>314.48996762119043</v>
      </c>
      <c r="Z340" s="18"/>
      <c r="AA340" s="18">
        <f t="shared" si="90"/>
        <v>2.9831420873403536E-4</v>
      </c>
    </row>
    <row r="341" spans="2:27" x14ac:dyDescent="0.35">
      <c r="B341" s="26">
        <v>95.1</v>
      </c>
      <c r="C341" s="26">
        <v>1006</v>
      </c>
      <c r="D341" s="18">
        <f t="shared" si="80"/>
        <v>48.751091868563975</v>
      </c>
      <c r="E341" s="18">
        <f t="shared" si="80"/>
        <v>7.0414843589245084</v>
      </c>
      <c r="F341" s="18">
        <f t="shared" si="80"/>
        <v>7.3074149070059544</v>
      </c>
      <c r="G341" s="18">
        <f t="shared" si="80"/>
        <v>7.3074149070059544</v>
      </c>
      <c r="H341" s="18">
        <f t="shared" si="80"/>
        <v>7.3074149070059544</v>
      </c>
      <c r="I341" s="16"/>
      <c r="J341" s="18">
        <f t="shared" si="82"/>
        <v>44.945638150170822</v>
      </c>
      <c r="K341" s="18">
        <f t="shared" si="83"/>
        <v>5.3621241632362997</v>
      </c>
      <c r="L341" s="18">
        <f t="shared" si="84"/>
        <v>5.5869766210621101</v>
      </c>
      <c r="M341" s="18">
        <f t="shared" si="85"/>
        <v>5.5869766210621101</v>
      </c>
      <c r="N341" s="18">
        <f t="shared" si="86"/>
        <v>5.5869766210621101</v>
      </c>
      <c r="O341" s="16"/>
      <c r="P341" s="18">
        <f t="shared" si="81"/>
        <v>204.9376796093199</v>
      </c>
      <c r="Q341" s="18">
        <f t="shared" si="91"/>
        <v>415.68013560444751</v>
      </c>
      <c r="R341" s="18">
        <f t="shared" si="92"/>
        <v>0</v>
      </c>
      <c r="S341" s="18">
        <f t="shared" si="93"/>
        <v>0</v>
      </c>
      <c r="T341" s="18">
        <v>100</v>
      </c>
      <c r="U341" s="16"/>
      <c r="V341" s="18">
        <f t="shared" si="87"/>
        <v>720.61781521376747</v>
      </c>
      <c r="W341" s="16"/>
      <c r="X341" s="18">
        <f t="shared" si="88"/>
        <v>81442.991393363365</v>
      </c>
      <c r="Y341" s="18">
        <f t="shared" si="89"/>
        <v>285.38218478623253</v>
      </c>
      <c r="Z341" s="18"/>
      <c r="AA341" s="18">
        <f t="shared" si="90"/>
        <v>2.7070358169212043E-4</v>
      </c>
    </row>
    <row r="342" spans="2:27" x14ac:dyDescent="0.35">
      <c r="B342" s="26">
        <v>95.5</v>
      </c>
      <c r="C342" s="26">
        <v>1037</v>
      </c>
      <c r="D342" s="18">
        <f t="shared" si="80"/>
        <v>48.930710039632018</v>
      </c>
      <c r="E342" s="18">
        <f t="shared" si="80"/>
        <v>7.0602376398109943</v>
      </c>
      <c r="F342" s="18">
        <f t="shared" si="80"/>
        <v>7.3474149070059553</v>
      </c>
      <c r="G342" s="18">
        <f t="shared" si="80"/>
        <v>7.3474149070059553</v>
      </c>
      <c r="H342" s="18">
        <f t="shared" si="80"/>
        <v>7.3474149070059553</v>
      </c>
      <c r="I342" s="16"/>
      <c r="J342" s="18">
        <f t="shared" si="82"/>
        <v>45.121354414833498</v>
      </c>
      <c r="K342" s="18">
        <f t="shared" si="83"/>
        <v>5.3779334555057723</v>
      </c>
      <c r="L342" s="18">
        <f t="shared" si="84"/>
        <v>5.6209196225765119</v>
      </c>
      <c r="M342" s="18">
        <f t="shared" si="85"/>
        <v>5.6209196225765119</v>
      </c>
      <c r="N342" s="18">
        <f t="shared" si="86"/>
        <v>5.6209196225765119</v>
      </c>
      <c r="O342" s="16"/>
      <c r="P342" s="18">
        <f t="shared" si="81"/>
        <v>203.36184515486298</v>
      </c>
      <c r="Q342" s="18">
        <f t="shared" si="91"/>
        <v>413.43084007516438</v>
      </c>
      <c r="R342" s="18">
        <f t="shared" si="92"/>
        <v>0</v>
      </c>
      <c r="S342" s="18">
        <f t="shared" si="93"/>
        <v>0</v>
      </c>
      <c r="T342" s="18">
        <v>100</v>
      </c>
      <c r="U342" s="16"/>
      <c r="V342" s="18">
        <f t="shared" si="87"/>
        <v>716.79268523002736</v>
      </c>
      <c r="W342" s="16"/>
      <c r="X342" s="18">
        <f t="shared" si="88"/>
        <v>102532.72443219634</v>
      </c>
      <c r="Y342" s="18">
        <f t="shared" si="89"/>
        <v>320.20731476997264</v>
      </c>
      <c r="Z342" s="18"/>
      <c r="AA342" s="18">
        <f t="shared" si="90"/>
        <v>3.0373748472483313E-4</v>
      </c>
    </row>
    <row r="343" spans="2:27" x14ac:dyDescent="0.35">
      <c r="B343" s="26">
        <v>95.800000000000011</v>
      </c>
      <c r="C343" s="26">
        <v>1054</v>
      </c>
      <c r="D343" s="18">
        <f t="shared" si="80"/>
        <v>49.065423667933054</v>
      </c>
      <c r="E343" s="18">
        <f t="shared" si="80"/>
        <v>7.0743026004758596</v>
      </c>
      <c r="F343" s="18">
        <f t="shared" si="80"/>
        <v>7.3774149070059565</v>
      </c>
      <c r="G343" s="18">
        <f t="shared" si="80"/>
        <v>7.3774149070059565</v>
      </c>
      <c r="H343" s="18">
        <f t="shared" ref="E343:H358" si="94">G$23-LN(1/G$23)+$B343*G$22</f>
        <v>7.3774149070059565</v>
      </c>
      <c r="I343" s="16"/>
      <c r="J343" s="18">
        <f t="shared" si="82"/>
        <v>45.253151356964267</v>
      </c>
      <c r="K343" s="18">
        <f t="shared" si="83"/>
        <v>5.3897952105996429</v>
      </c>
      <c r="L343" s="18">
        <f t="shared" si="84"/>
        <v>5.6463972246013912</v>
      </c>
      <c r="M343" s="18">
        <f t="shared" si="85"/>
        <v>5.6463972246013912</v>
      </c>
      <c r="N343" s="18">
        <f t="shared" si="86"/>
        <v>5.6463972246013912</v>
      </c>
      <c r="O343" s="16"/>
      <c r="P343" s="18">
        <f t="shared" si="81"/>
        <v>202.19178095153688</v>
      </c>
      <c r="Q343" s="18">
        <f t="shared" si="91"/>
        <v>411.75518253382506</v>
      </c>
      <c r="R343" s="18">
        <f t="shared" si="92"/>
        <v>0</v>
      </c>
      <c r="S343" s="18">
        <f t="shared" si="93"/>
        <v>0</v>
      </c>
      <c r="T343" s="18">
        <v>100</v>
      </c>
      <c r="U343" s="16"/>
      <c r="V343" s="18">
        <f t="shared" si="87"/>
        <v>713.94696348536195</v>
      </c>
      <c r="W343" s="16"/>
      <c r="X343" s="18">
        <f t="shared" si="88"/>
        <v>115636.06764282576</v>
      </c>
      <c r="Y343" s="18">
        <f t="shared" si="89"/>
        <v>340.05303651463805</v>
      </c>
      <c r="Z343" s="18"/>
      <c r="AA343" s="18">
        <f t="shared" si="90"/>
        <v>3.2256244382860579E-4</v>
      </c>
    </row>
    <row r="344" spans="2:27" x14ac:dyDescent="0.35">
      <c r="B344" s="26">
        <v>96.1</v>
      </c>
      <c r="C344" s="26">
        <v>1049</v>
      </c>
      <c r="D344" s="18">
        <f t="shared" si="80"/>
        <v>49.200137296234068</v>
      </c>
      <c r="E344" s="18">
        <f t="shared" si="94"/>
        <v>7.0883675611407231</v>
      </c>
      <c r="F344" s="18">
        <f t="shared" si="94"/>
        <v>7.4074149070059541</v>
      </c>
      <c r="G344" s="18">
        <f t="shared" si="94"/>
        <v>7.4074149070059541</v>
      </c>
      <c r="H344" s="18">
        <f t="shared" si="94"/>
        <v>7.4074149070059541</v>
      </c>
      <c r="I344" s="16"/>
      <c r="J344" s="18">
        <f t="shared" si="82"/>
        <v>45.384956598550943</v>
      </c>
      <c r="K344" s="18">
        <f t="shared" si="83"/>
        <v>5.4016610525468911</v>
      </c>
      <c r="L344" s="18">
        <f t="shared" si="84"/>
        <v>5.6718921350497373</v>
      </c>
      <c r="M344" s="18">
        <f t="shared" si="85"/>
        <v>5.6718921350497373</v>
      </c>
      <c r="N344" s="18">
        <f t="shared" si="86"/>
        <v>5.6718921350497373</v>
      </c>
      <c r="O344" s="16"/>
      <c r="P344" s="18">
        <f t="shared" si="81"/>
        <v>201.0317135746435</v>
      </c>
      <c r="Q344" s="18">
        <f t="shared" si="91"/>
        <v>410.08914388253527</v>
      </c>
      <c r="R344" s="18">
        <f t="shared" si="92"/>
        <v>0</v>
      </c>
      <c r="S344" s="18">
        <f t="shared" si="93"/>
        <v>0</v>
      </c>
      <c r="T344" s="18">
        <v>100</v>
      </c>
      <c r="U344" s="16"/>
      <c r="V344" s="18">
        <f t="shared" si="87"/>
        <v>711.12085745717877</v>
      </c>
      <c r="W344" s="16"/>
      <c r="X344" s="18">
        <f t="shared" si="88"/>
        <v>114162.31496547211</v>
      </c>
      <c r="Y344" s="18">
        <f t="shared" si="89"/>
        <v>337.87914254282123</v>
      </c>
      <c r="Z344" s="18"/>
      <c r="AA344" s="18">
        <f t="shared" si="90"/>
        <v>3.205003638679014E-4</v>
      </c>
    </row>
    <row r="345" spans="2:27" x14ac:dyDescent="0.35">
      <c r="B345" s="26">
        <v>96.4</v>
      </c>
      <c r="C345" s="26">
        <v>982</v>
      </c>
      <c r="D345" s="18">
        <f t="shared" si="80"/>
        <v>49.334850924535104</v>
      </c>
      <c r="E345" s="18">
        <f t="shared" si="94"/>
        <v>7.1024325218055884</v>
      </c>
      <c r="F345" s="18">
        <f t="shared" si="94"/>
        <v>7.4374149070059552</v>
      </c>
      <c r="G345" s="18">
        <f t="shared" si="94"/>
        <v>7.4374149070059552</v>
      </c>
      <c r="H345" s="18">
        <f t="shared" si="94"/>
        <v>7.4374149070059552</v>
      </c>
      <c r="I345" s="16"/>
      <c r="J345" s="18">
        <f t="shared" si="82"/>
        <v>45.516770093011928</v>
      </c>
      <c r="K345" s="18">
        <f t="shared" si="83"/>
        <v>5.413530967611389</v>
      </c>
      <c r="L345" s="18">
        <f t="shared" si="84"/>
        <v>5.6974042335187347</v>
      </c>
      <c r="M345" s="18">
        <f t="shared" si="85"/>
        <v>5.6974042335187347</v>
      </c>
      <c r="N345" s="18">
        <f t="shared" si="86"/>
        <v>5.6974042335187347</v>
      </c>
      <c r="O345" s="16"/>
      <c r="P345" s="18">
        <f t="shared" si="81"/>
        <v>199.88153008016158</v>
      </c>
      <c r="Q345" s="18">
        <f t="shared" si="91"/>
        <v>408.43265377537841</v>
      </c>
      <c r="R345" s="18">
        <f t="shared" si="92"/>
        <v>0</v>
      </c>
      <c r="S345" s="18">
        <f t="shared" si="93"/>
        <v>0</v>
      </c>
      <c r="T345" s="18">
        <v>100</v>
      </c>
      <c r="U345" s="16"/>
      <c r="V345" s="18">
        <f t="shared" si="87"/>
        <v>708.31418385554002</v>
      </c>
      <c r="W345" s="16"/>
      <c r="X345" s="18">
        <f t="shared" si="88"/>
        <v>74903.925958659151</v>
      </c>
      <c r="Y345" s="18">
        <f t="shared" si="89"/>
        <v>273.68581614445998</v>
      </c>
      <c r="Z345" s="18"/>
      <c r="AA345" s="18">
        <f t="shared" si="90"/>
        <v>2.5960881455908813E-4</v>
      </c>
    </row>
    <row r="346" spans="2:27" x14ac:dyDescent="0.35">
      <c r="B346" s="26">
        <v>96.700000000000017</v>
      </c>
      <c r="C346" s="26">
        <v>1041</v>
      </c>
      <c r="D346" s="18">
        <f t="shared" si="80"/>
        <v>49.46956455283614</v>
      </c>
      <c r="E346" s="18">
        <f t="shared" si="94"/>
        <v>7.1164974824704537</v>
      </c>
      <c r="F346" s="18">
        <f t="shared" si="94"/>
        <v>7.4674149070059563</v>
      </c>
      <c r="G346" s="18">
        <f t="shared" si="94"/>
        <v>7.4674149070059563</v>
      </c>
      <c r="H346" s="18">
        <f t="shared" si="94"/>
        <v>7.4674149070059563</v>
      </c>
      <c r="I346" s="16"/>
      <c r="J346" s="18">
        <f t="shared" si="82"/>
        <v>45.648591794153688</v>
      </c>
      <c r="K346" s="18">
        <f t="shared" si="83"/>
        <v>5.4254049421207409</v>
      </c>
      <c r="L346" s="18">
        <f t="shared" si="84"/>
        <v>5.7229334007660393</v>
      </c>
      <c r="M346" s="18">
        <f t="shared" si="85"/>
        <v>5.7229334007660393</v>
      </c>
      <c r="N346" s="18">
        <f t="shared" si="86"/>
        <v>5.7229334007660393</v>
      </c>
      <c r="O346" s="16"/>
      <c r="P346" s="18">
        <f t="shared" si="81"/>
        <v>198.74111910771208</v>
      </c>
      <c r="Q346" s="18">
        <f t="shared" si="91"/>
        <v>406.78564248490937</v>
      </c>
      <c r="R346" s="18">
        <f t="shared" si="92"/>
        <v>0</v>
      </c>
      <c r="S346" s="18">
        <f t="shared" si="93"/>
        <v>0</v>
      </c>
      <c r="T346" s="18">
        <v>100</v>
      </c>
      <c r="U346" s="16"/>
      <c r="V346" s="18">
        <f t="shared" si="87"/>
        <v>705.52676159262148</v>
      </c>
      <c r="W346" s="16"/>
      <c r="X346" s="18">
        <f t="shared" si="88"/>
        <v>112542.29368753382</v>
      </c>
      <c r="Y346" s="18">
        <f t="shared" si="89"/>
        <v>335.47323840737852</v>
      </c>
      <c r="Z346" s="18"/>
      <c r="AA346" s="18">
        <f t="shared" si="90"/>
        <v>3.18218207162289E-4</v>
      </c>
    </row>
    <row r="347" spans="2:27" x14ac:dyDescent="0.35">
      <c r="B347" s="26">
        <v>97</v>
      </c>
      <c r="C347" s="26">
        <v>1076</v>
      </c>
      <c r="D347" s="18">
        <f t="shared" si="80"/>
        <v>49.604278181137161</v>
      </c>
      <c r="E347" s="18">
        <f t="shared" si="94"/>
        <v>7.1305624431353172</v>
      </c>
      <c r="F347" s="18">
        <f t="shared" si="94"/>
        <v>7.4974149070059557</v>
      </c>
      <c r="G347" s="18">
        <f t="shared" si="94"/>
        <v>7.4974149070059557</v>
      </c>
      <c r="H347" s="18">
        <f t="shared" si="94"/>
        <v>7.4974149070059557</v>
      </c>
      <c r="I347" s="16"/>
      <c r="J347" s="18">
        <f t="shared" si="82"/>
        <v>45.780421656166588</v>
      </c>
      <c r="K347" s="18">
        <f t="shared" si="83"/>
        <v>5.4372829624659316</v>
      </c>
      <c r="L347" s="18">
        <f t="shared" si="84"/>
        <v>5.7484795186960076</v>
      </c>
      <c r="M347" s="18">
        <f t="shared" si="85"/>
        <v>5.7484795186960076</v>
      </c>
      <c r="N347" s="18">
        <f t="shared" si="86"/>
        <v>5.7484795186960076</v>
      </c>
      <c r="O347" s="16"/>
      <c r="P347" s="18">
        <f t="shared" si="81"/>
        <v>197.6103708540825</v>
      </c>
      <c r="Q347" s="18">
        <f t="shared" si="91"/>
        <v>405.1480408958534</v>
      </c>
      <c r="R347" s="18">
        <f t="shared" si="92"/>
        <v>0</v>
      </c>
      <c r="S347" s="18">
        <f t="shared" si="93"/>
        <v>0</v>
      </c>
      <c r="T347" s="18">
        <v>100</v>
      </c>
      <c r="U347" s="16"/>
      <c r="V347" s="18">
        <f t="shared" si="87"/>
        <v>702.75841174993593</v>
      </c>
      <c r="W347" s="16"/>
      <c r="X347" s="18">
        <f t="shared" si="88"/>
        <v>139309.28319943036</v>
      </c>
      <c r="Y347" s="18">
        <f t="shared" si="89"/>
        <v>373.24158825006407</v>
      </c>
      <c r="Z347" s="18"/>
      <c r="AA347" s="18">
        <f t="shared" si="90"/>
        <v>3.5404394584557218E-4</v>
      </c>
    </row>
    <row r="348" spans="2:27" x14ac:dyDescent="0.35">
      <c r="B348" s="26">
        <v>97.4</v>
      </c>
      <c r="C348" s="26">
        <v>1002</v>
      </c>
      <c r="D348" s="18">
        <f t="shared" si="80"/>
        <v>49.783896352205197</v>
      </c>
      <c r="E348" s="18">
        <f t="shared" si="94"/>
        <v>7.149315724021803</v>
      </c>
      <c r="F348" s="18">
        <f t="shared" si="94"/>
        <v>7.5374149070059566</v>
      </c>
      <c r="G348" s="18">
        <f t="shared" si="94"/>
        <v>7.5374149070059566</v>
      </c>
      <c r="H348" s="18">
        <f t="shared" si="94"/>
        <v>7.5374149070059566</v>
      </c>
      <c r="I348" s="16"/>
      <c r="J348" s="18">
        <f t="shared" si="82"/>
        <v>45.956207421738782</v>
      </c>
      <c r="K348" s="18">
        <f t="shared" si="83"/>
        <v>5.4531265930448001</v>
      </c>
      <c r="L348" s="18">
        <f t="shared" si="84"/>
        <v>5.7825671750019509</v>
      </c>
      <c r="M348" s="18">
        <f t="shared" si="85"/>
        <v>5.7825671750019509</v>
      </c>
      <c r="N348" s="18">
        <f t="shared" si="86"/>
        <v>5.7825671750019509</v>
      </c>
      <c r="O348" s="16"/>
      <c r="P348" s="18">
        <f t="shared" si="81"/>
        <v>196.11755049240892</v>
      </c>
      <c r="Q348" s="18">
        <f t="shared" si="91"/>
        <v>402.97909109907278</v>
      </c>
      <c r="R348" s="18">
        <f t="shared" si="92"/>
        <v>0</v>
      </c>
      <c r="S348" s="18">
        <f t="shared" si="93"/>
        <v>0</v>
      </c>
      <c r="T348" s="18">
        <v>100</v>
      </c>
      <c r="U348" s="16"/>
      <c r="V348" s="18">
        <f t="shared" si="87"/>
        <v>699.09664159148167</v>
      </c>
      <c r="W348" s="16"/>
      <c r="X348" s="18">
        <f t="shared" si="88"/>
        <v>91750.444535159317</v>
      </c>
      <c r="Y348" s="18">
        <f t="shared" si="89"/>
        <v>302.90335840851833</v>
      </c>
      <c r="Z348" s="18"/>
      <c r="AA348" s="18">
        <f t="shared" si="90"/>
        <v>2.8732355556524455E-4</v>
      </c>
    </row>
    <row r="349" spans="2:27" x14ac:dyDescent="0.35">
      <c r="B349" s="26">
        <v>97.700000000000017</v>
      </c>
      <c r="C349" s="26">
        <v>1050</v>
      </c>
      <c r="D349" s="18">
        <f t="shared" si="80"/>
        <v>49.918609980506233</v>
      </c>
      <c r="E349" s="18">
        <f t="shared" si="94"/>
        <v>7.1633806846866683</v>
      </c>
      <c r="F349" s="18">
        <f t="shared" si="94"/>
        <v>7.5674149070059578</v>
      </c>
      <c r="G349" s="18">
        <f t="shared" si="94"/>
        <v>7.5674149070059578</v>
      </c>
      <c r="H349" s="18">
        <f t="shared" si="94"/>
        <v>7.5674149070059578</v>
      </c>
      <c r="I349" s="16"/>
      <c r="J349" s="18">
        <f t="shared" si="82"/>
        <v>46.088056149760618</v>
      </c>
      <c r="K349" s="18">
        <f t="shared" si="83"/>
        <v>5.465014001102988</v>
      </c>
      <c r="L349" s="18">
        <f t="shared" si="84"/>
        <v>5.8081523916038718</v>
      </c>
      <c r="M349" s="18">
        <f t="shared" si="85"/>
        <v>5.8081523916038718</v>
      </c>
      <c r="N349" s="18">
        <f t="shared" si="86"/>
        <v>5.8081523916038718</v>
      </c>
      <c r="O349" s="16"/>
      <c r="P349" s="18">
        <f t="shared" si="81"/>
        <v>195.00893012380672</v>
      </c>
      <c r="Q349" s="18">
        <f t="shared" si="91"/>
        <v>401.36318009060102</v>
      </c>
      <c r="R349" s="18">
        <f t="shared" si="92"/>
        <v>0</v>
      </c>
      <c r="S349" s="18">
        <f t="shared" si="93"/>
        <v>0</v>
      </c>
      <c r="T349" s="18">
        <v>100</v>
      </c>
      <c r="U349" s="16"/>
      <c r="V349" s="18">
        <f t="shared" si="87"/>
        <v>696.37211021440771</v>
      </c>
      <c r="W349" s="16"/>
      <c r="X349" s="18">
        <f t="shared" si="88"/>
        <v>125052.68443421101</v>
      </c>
      <c r="Y349" s="18">
        <f t="shared" si="89"/>
        <v>353.62788978559229</v>
      </c>
      <c r="Z349" s="18"/>
      <c r="AA349" s="18">
        <f t="shared" si="90"/>
        <v>3.35439075928626E-4</v>
      </c>
    </row>
    <row r="350" spans="2:27" x14ac:dyDescent="0.35">
      <c r="B350" s="26">
        <v>98</v>
      </c>
      <c r="C350" s="26">
        <v>1004</v>
      </c>
      <c r="D350" s="18">
        <f t="shared" si="80"/>
        <v>50.053323608807254</v>
      </c>
      <c r="E350" s="18">
        <f t="shared" si="94"/>
        <v>7.1774456453515318</v>
      </c>
      <c r="F350" s="18">
        <f t="shared" si="94"/>
        <v>7.5974149070059553</v>
      </c>
      <c r="G350" s="18">
        <f t="shared" si="94"/>
        <v>7.5974149070059553</v>
      </c>
      <c r="H350" s="18">
        <f t="shared" si="94"/>
        <v>7.5974149070059553</v>
      </c>
      <c r="I350" s="16"/>
      <c r="J350" s="18">
        <f t="shared" si="82"/>
        <v>46.219912888673456</v>
      </c>
      <c r="K350" s="18">
        <f t="shared" si="83"/>
        <v>5.4769054100867489</v>
      </c>
      <c r="L350" s="18">
        <f t="shared" si="84"/>
        <v>5.8337541733448717</v>
      </c>
      <c r="M350" s="18">
        <f t="shared" si="85"/>
        <v>5.8337541733448717</v>
      </c>
      <c r="N350" s="18">
        <f t="shared" si="86"/>
        <v>5.8337541733448717</v>
      </c>
      <c r="O350" s="16"/>
      <c r="P350" s="18">
        <f t="shared" si="81"/>
        <v>193.90961737992916</v>
      </c>
      <c r="Q350" s="18">
        <f t="shared" si="91"/>
        <v>399.75645274111395</v>
      </c>
      <c r="R350" s="18">
        <f t="shared" si="92"/>
        <v>0</v>
      </c>
      <c r="S350" s="18">
        <f t="shared" si="93"/>
        <v>0</v>
      </c>
      <c r="T350" s="18">
        <v>100</v>
      </c>
      <c r="U350" s="16"/>
      <c r="V350" s="18">
        <f t="shared" si="87"/>
        <v>693.66607012104305</v>
      </c>
      <c r="W350" s="16"/>
      <c r="X350" s="18">
        <f t="shared" si="88"/>
        <v>96307.148034117374</v>
      </c>
      <c r="Y350" s="18">
        <f t="shared" si="89"/>
        <v>310.33392987895695</v>
      </c>
      <c r="Z350" s="18"/>
      <c r="AA350" s="18">
        <f t="shared" si="90"/>
        <v>2.9437193636229302E-4</v>
      </c>
    </row>
    <row r="351" spans="2:27" x14ac:dyDescent="0.35">
      <c r="B351" s="26">
        <v>98.300000000000011</v>
      </c>
      <c r="C351" s="26">
        <v>1006</v>
      </c>
      <c r="D351" s="18">
        <f t="shared" si="80"/>
        <v>50.18803723710829</v>
      </c>
      <c r="E351" s="18">
        <f t="shared" si="94"/>
        <v>7.1915106060163971</v>
      </c>
      <c r="F351" s="18">
        <f t="shared" si="94"/>
        <v>7.6274149070059565</v>
      </c>
      <c r="G351" s="18">
        <f t="shared" si="94"/>
        <v>7.6274149070059565</v>
      </c>
      <c r="H351" s="18">
        <f t="shared" si="94"/>
        <v>7.6274149070059565</v>
      </c>
      <c r="I351" s="16"/>
      <c r="J351" s="18">
        <f t="shared" si="82"/>
        <v>46.351777594283107</v>
      </c>
      <c r="K351" s="18">
        <f t="shared" si="83"/>
        <v>5.4888008066575775</v>
      </c>
      <c r="L351" s="18">
        <f t="shared" si="84"/>
        <v>5.8593724069436064</v>
      </c>
      <c r="M351" s="18">
        <f t="shared" si="85"/>
        <v>5.8593724069436064</v>
      </c>
      <c r="N351" s="18">
        <f t="shared" si="86"/>
        <v>5.8593724069436064</v>
      </c>
      <c r="O351" s="16"/>
      <c r="P351" s="18">
        <f t="shared" si="81"/>
        <v>192.8195089116528</v>
      </c>
      <c r="Q351" s="18">
        <f t="shared" si="91"/>
        <v>398.15884251703488</v>
      </c>
      <c r="R351" s="18">
        <f t="shared" si="92"/>
        <v>0</v>
      </c>
      <c r="S351" s="18">
        <f t="shared" si="93"/>
        <v>0</v>
      </c>
      <c r="T351" s="18">
        <v>100</v>
      </c>
      <c r="U351" s="16"/>
      <c r="V351" s="18">
        <f t="shared" si="87"/>
        <v>690.97835142868769</v>
      </c>
      <c r="W351" s="16"/>
      <c r="X351" s="18">
        <f t="shared" si="88"/>
        <v>99238.639068587392</v>
      </c>
      <c r="Y351" s="18">
        <f t="shared" si="89"/>
        <v>315.02164857131231</v>
      </c>
      <c r="Z351" s="18"/>
      <c r="AA351" s="18">
        <f t="shared" si="90"/>
        <v>2.9881854272959739E-4</v>
      </c>
    </row>
    <row r="352" spans="2:27" x14ac:dyDescent="0.35">
      <c r="B352" s="26">
        <v>98.6</v>
      </c>
      <c r="C352" s="26">
        <v>1061</v>
      </c>
      <c r="D352" s="18">
        <f t="shared" si="80"/>
        <v>50.322750865409311</v>
      </c>
      <c r="E352" s="18">
        <f t="shared" si="94"/>
        <v>7.2055755666812606</v>
      </c>
      <c r="F352" s="18">
        <f t="shared" si="94"/>
        <v>7.6574149070059541</v>
      </c>
      <c r="G352" s="18">
        <f t="shared" si="94"/>
        <v>7.6574149070059541</v>
      </c>
      <c r="H352" s="18">
        <f t="shared" si="94"/>
        <v>7.6574149070059541</v>
      </c>
      <c r="I352" s="16"/>
      <c r="J352" s="18">
        <f t="shared" si="82"/>
        <v>46.483650222757369</v>
      </c>
      <c r="K352" s="18">
        <f t="shared" si="83"/>
        <v>5.500700177538441</v>
      </c>
      <c r="L352" s="18">
        <f t="shared" si="84"/>
        <v>5.8850069801950102</v>
      </c>
      <c r="M352" s="18">
        <f t="shared" si="85"/>
        <v>5.8850069801950102</v>
      </c>
      <c r="N352" s="18">
        <f t="shared" si="86"/>
        <v>5.8850069801950102</v>
      </c>
      <c r="O352" s="16"/>
      <c r="P352" s="18">
        <f t="shared" si="81"/>
        <v>191.73850279422211</v>
      </c>
      <c r="Q352" s="18">
        <f t="shared" si="91"/>
        <v>396.57028346456497</v>
      </c>
      <c r="R352" s="18">
        <f t="shared" si="92"/>
        <v>0</v>
      </c>
      <c r="S352" s="18">
        <f t="shared" si="93"/>
        <v>0</v>
      </c>
      <c r="T352" s="18">
        <v>100</v>
      </c>
      <c r="U352" s="16"/>
      <c r="V352" s="18">
        <f t="shared" si="87"/>
        <v>688.30878625878711</v>
      </c>
      <c r="W352" s="16"/>
      <c r="X352" s="18">
        <f t="shared" si="88"/>
        <v>138898.74079989843</v>
      </c>
      <c r="Y352" s="18">
        <f t="shared" si="89"/>
        <v>372.69121374121289</v>
      </c>
      <c r="Z352" s="18"/>
      <c r="AA352" s="18">
        <f t="shared" si="90"/>
        <v>3.5352187979253649E-4</v>
      </c>
    </row>
    <row r="353" spans="2:27" x14ac:dyDescent="0.35">
      <c r="B353" s="26">
        <v>98.9</v>
      </c>
      <c r="C353" s="26">
        <v>1007</v>
      </c>
      <c r="D353" s="18">
        <f t="shared" si="80"/>
        <v>50.45746449371034</v>
      </c>
      <c r="E353" s="18">
        <f t="shared" si="94"/>
        <v>7.2196405273461259</v>
      </c>
      <c r="F353" s="18">
        <f t="shared" si="94"/>
        <v>7.6874149070059552</v>
      </c>
      <c r="G353" s="18">
        <f t="shared" si="94"/>
        <v>7.6874149070059552</v>
      </c>
      <c r="H353" s="18">
        <f t="shared" si="94"/>
        <v>7.6874149070059552</v>
      </c>
      <c r="I353" s="16"/>
      <c r="J353" s="18">
        <f t="shared" si="82"/>
        <v>46.615530730622183</v>
      </c>
      <c r="K353" s="18">
        <f t="shared" si="83"/>
        <v>5.5126035095134513</v>
      </c>
      <c r="L353" s="18">
        <f t="shared" si="84"/>
        <v>5.9106577819576795</v>
      </c>
      <c r="M353" s="18">
        <f t="shared" si="85"/>
        <v>5.9106577819576795</v>
      </c>
      <c r="N353" s="18">
        <f t="shared" si="86"/>
        <v>5.9106577819576795</v>
      </c>
      <c r="O353" s="16"/>
      <c r="P353" s="18">
        <f t="shared" si="81"/>
        <v>190.6664985038411</v>
      </c>
      <c r="Q353" s="18">
        <f t="shared" si="91"/>
        <v>394.99071020382434</v>
      </c>
      <c r="R353" s="18">
        <f t="shared" si="92"/>
        <v>0</v>
      </c>
      <c r="S353" s="18">
        <f t="shared" si="93"/>
        <v>0</v>
      </c>
      <c r="T353" s="18">
        <v>100</v>
      </c>
      <c r="U353" s="16"/>
      <c r="V353" s="18">
        <f t="shared" si="87"/>
        <v>685.6572087076654</v>
      </c>
      <c r="W353" s="16"/>
      <c r="X353" s="18">
        <f t="shared" si="88"/>
        <v>103261.1895155489</v>
      </c>
      <c r="Y353" s="18">
        <f t="shared" si="89"/>
        <v>321.3427912923346</v>
      </c>
      <c r="Z353" s="18"/>
      <c r="AA353" s="18">
        <f t="shared" si="90"/>
        <v>3.048145581299615E-4</v>
      </c>
    </row>
    <row r="354" spans="2:27" x14ac:dyDescent="0.35">
      <c r="B354" s="26">
        <v>99.200000000000017</v>
      </c>
      <c r="C354" s="26">
        <v>999</v>
      </c>
      <c r="D354" s="18">
        <f t="shared" si="80"/>
        <v>50.592178122011376</v>
      </c>
      <c r="E354" s="18">
        <f t="shared" si="94"/>
        <v>7.2337054880109912</v>
      </c>
      <c r="F354" s="18">
        <f t="shared" si="94"/>
        <v>7.7174149070059563</v>
      </c>
      <c r="G354" s="18">
        <f t="shared" si="94"/>
        <v>7.7174149070059563</v>
      </c>
      <c r="H354" s="18">
        <f t="shared" si="94"/>
        <v>7.7174149070059563</v>
      </c>
      <c r="I354" s="16"/>
      <c r="J354" s="18">
        <f t="shared" si="82"/>
        <v>46.747419074757694</v>
      </c>
      <c r="K354" s="18">
        <f t="shared" si="83"/>
        <v>5.524510789427505</v>
      </c>
      <c r="L354" s="18">
        <f t="shared" si="84"/>
        <v>5.9363247021413788</v>
      </c>
      <c r="M354" s="18">
        <f t="shared" si="85"/>
        <v>5.9363247021413788</v>
      </c>
      <c r="N354" s="18">
        <f t="shared" si="86"/>
        <v>5.9363247021413788</v>
      </c>
      <c r="O354" s="16"/>
      <c r="P354" s="18">
        <f t="shared" si="81"/>
        <v>189.60339689471181</v>
      </c>
      <c r="Q354" s="18">
        <f t="shared" si="91"/>
        <v>393.42005792306571</v>
      </c>
      <c r="R354" s="18">
        <f t="shared" si="92"/>
        <v>0</v>
      </c>
      <c r="S354" s="18">
        <f t="shared" si="93"/>
        <v>0</v>
      </c>
      <c r="T354" s="18">
        <v>100</v>
      </c>
      <c r="U354" s="16"/>
      <c r="V354" s="18">
        <f t="shared" si="87"/>
        <v>683.02345481777752</v>
      </c>
      <c r="W354" s="16"/>
      <c r="X354" s="18">
        <f t="shared" si="88"/>
        <v>99841.177105293085</v>
      </c>
      <c r="Y354" s="18">
        <f t="shared" si="89"/>
        <v>315.97654518222248</v>
      </c>
      <c r="Z354" s="18"/>
      <c r="AA354" s="18">
        <f t="shared" si="90"/>
        <v>2.9972432433230214E-4</v>
      </c>
    </row>
    <row r="355" spans="2:27" x14ac:dyDescent="0.35">
      <c r="B355" s="26">
        <v>99.6</v>
      </c>
      <c r="C355" s="26">
        <v>1003</v>
      </c>
      <c r="D355" s="18">
        <f t="shared" si="80"/>
        <v>50.771796293079404</v>
      </c>
      <c r="E355" s="18">
        <f t="shared" si="94"/>
        <v>7.2524587688974762</v>
      </c>
      <c r="F355" s="18">
        <f t="shared" si="94"/>
        <v>7.7574149070059555</v>
      </c>
      <c r="G355" s="18">
        <f t="shared" si="94"/>
        <v>7.7574149070059555</v>
      </c>
      <c r="H355" s="18">
        <f t="shared" si="94"/>
        <v>7.7574149070059555</v>
      </c>
      <c r="I355" s="16"/>
      <c r="J355" s="18">
        <f t="shared" si="82"/>
        <v>46.92328231615366</v>
      </c>
      <c r="K355" s="18">
        <f t="shared" si="83"/>
        <v>5.5403932812606778</v>
      </c>
      <c r="L355" s="18">
        <f t="shared" si="84"/>
        <v>5.9705721471499738</v>
      </c>
      <c r="M355" s="18">
        <f t="shared" si="85"/>
        <v>5.9705721471499738</v>
      </c>
      <c r="N355" s="18">
        <f t="shared" si="86"/>
        <v>5.9705721471499738</v>
      </c>
      <c r="O355" s="16"/>
      <c r="P355" s="18">
        <f t="shared" si="81"/>
        <v>188.19960786997223</v>
      </c>
      <c r="Q355" s="18">
        <f t="shared" si="91"/>
        <v>391.33962099408438</v>
      </c>
      <c r="R355" s="18">
        <f t="shared" si="92"/>
        <v>0</v>
      </c>
      <c r="S355" s="18">
        <f t="shared" si="93"/>
        <v>0</v>
      </c>
      <c r="T355" s="18">
        <v>100</v>
      </c>
      <c r="U355" s="16"/>
      <c r="V355" s="18">
        <f t="shared" si="87"/>
        <v>679.53922886405667</v>
      </c>
      <c r="W355" s="16"/>
      <c r="X355" s="18">
        <f t="shared" si="88"/>
        <v>104626.87046385912</v>
      </c>
      <c r="Y355" s="18">
        <f t="shared" si="89"/>
        <v>323.46077113594333</v>
      </c>
      <c r="Z355" s="18"/>
      <c r="AA355" s="18">
        <f t="shared" si="90"/>
        <v>3.0682359989984661E-4</v>
      </c>
    </row>
    <row r="356" spans="2:27" x14ac:dyDescent="0.35">
      <c r="B356" s="26">
        <v>99.9</v>
      </c>
      <c r="C356" s="26">
        <v>1025</v>
      </c>
      <c r="D356" s="18">
        <f t="shared" si="80"/>
        <v>50.90650992138044</v>
      </c>
      <c r="E356" s="18">
        <f t="shared" si="94"/>
        <v>7.2665237295623406</v>
      </c>
      <c r="F356" s="18">
        <f t="shared" si="94"/>
        <v>7.7874149070059566</v>
      </c>
      <c r="G356" s="18">
        <f t="shared" si="94"/>
        <v>7.7874149070059566</v>
      </c>
      <c r="H356" s="18">
        <f t="shared" si="94"/>
        <v>7.7874149070059566</v>
      </c>
      <c r="I356" s="16"/>
      <c r="J356" s="18">
        <f t="shared" si="82"/>
        <v>47.055188779193898</v>
      </c>
      <c r="K356" s="18">
        <f t="shared" si="83"/>
        <v>5.552309722212672</v>
      </c>
      <c r="L356" s="18">
        <f t="shared" si="84"/>
        <v>5.9962762546670012</v>
      </c>
      <c r="M356" s="18">
        <f t="shared" si="85"/>
        <v>5.9962762546670012</v>
      </c>
      <c r="N356" s="18">
        <f t="shared" si="86"/>
        <v>5.9962762546670012</v>
      </c>
      <c r="O356" s="16"/>
      <c r="P356" s="18">
        <f t="shared" si="81"/>
        <v>187.15690118951943</v>
      </c>
      <c r="Q356" s="18">
        <f t="shared" si="91"/>
        <v>389.7895354362214</v>
      </c>
      <c r="R356" s="18">
        <f t="shared" si="92"/>
        <v>0</v>
      </c>
      <c r="S356" s="18">
        <f t="shared" si="93"/>
        <v>0</v>
      </c>
      <c r="T356" s="18">
        <v>100</v>
      </c>
      <c r="U356" s="16"/>
      <c r="V356" s="18">
        <f t="shared" si="87"/>
        <v>676.94643662574083</v>
      </c>
      <c r="W356" s="16"/>
      <c r="X356" s="18">
        <f t="shared" si="88"/>
        <v>121141.28297751944</v>
      </c>
      <c r="Y356" s="18">
        <f t="shared" si="89"/>
        <v>348.05356337425917</v>
      </c>
      <c r="Z356" s="18"/>
      <c r="AA356" s="18">
        <f t="shared" si="90"/>
        <v>3.3015146441847106E-4</v>
      </c>
    </row>
    <row r="357" spans="2:27" x14ac:dyDescent="0.35">
      <c r="B357" s="26">
        <v>100.20000000000002</v>
      </c>
      <c r="C357" s="26">
        <v>981</v>
      </c>
      <c r="D357" s="18">
        <f t="shared" si="80"/>
        <v>51.041223549681469</v>
      </c>
      <c r="E357" s="18">
        <f t="shared" si="94"/>
        <v>7.2805886902272059</v>
      </c>
      <c r="F357" s="18">
        <f t="shared" si="94"/>
        <v>7.8174149070059578</v>
      </c>
      <c r="G357" s="18">
        <f t="shared" si="94"/>
        <v>7.8174149070059578</v>
      </c>
      <c r="H357" s="18">
        <f t="shared" si="94"/>
        <v>7.8174149070059578</v>
      </c>
      <c r="I357" s="16"/>
      <c r="J357" s="18">
        <f t="shared" si="82"/>
        <v>47.187102937281786</v>
      </c>
      <c r="K357" s="18">
        <f t="shared" si="83"/>
        <v>5.5642300676880128</v>
      </c>
      <c r="L357" s="18">
        <f t="shared" si="84"/>
        <v>6.0219961210727089</v>
      </c>
      <c r="M357" s="18">
        <f t="shared" si="85"/>
        <v>6.0219961210727089</v>
      </c>
      <c r="N357" s="18">
        <f t="shared" si="86"/>
        <v>6.0219961210727089</v>
      </c>
      <c r="O357" s="16"/>
      <c r="P357" s="18">
        <f t="shared" si="81"/>
        <v>186.12277637049698</v>
      </c>
      <c r="Q357" s="18">
        <f t="shared" si="91"/>
        <v>388.24815884935941</v>
      </c>
      <c r="R357" s="18">
        <f t="shared" si="92"/>
        <v>0</v>
      </c>
      <c r="S357" s="18">
        <f t="shared" si="93"/>
        <v>0</v>
      </c>
      <c r="T357" s="18">
        <v>100</v>
      </c>
      <c r="U357" s="16"/>
      <c r="V357" s="18">
        <f t="shared" si="87"/>
        <v>674.37093521985639</v>
      </c>
      <c r="W357" s="16"/>
      <c r="X357" s="18">
        <f t="shared" si="88"/>
        <v>94021.383367945498</v>
      </c>
      <c r="Y357" s="18">
        <f t="shared" si="89"/>
        <v>306.62906478014361</v>
      </c>
      <c r="Z357" s="18"/>
      <c r="AA357" s="18">
        <f t="shared" si="90"/>
        <v>2.9085763061582133E-4</v>
      </c>
    </row>
    <row r="358" spans="2:27" x14ac:dyDescent="0.35">
      <c r="B358" s="26">
        <v>100.5</v>
      </c>
      <c r="C358" s="26">
        <v>1036</v>
      </c>
      <c r="D358" s="18">
        <f t="shared" si="80"/>
        <v>51.17593717798249</v>
      </c>
      <c r="E358" s="18">
        <f t="shared" si="94"/>
        <v>7.2946536508920694</v>
      </c>
      <c r="F358" s="18">
        <f t="shared" si="94"/>
        <v>7.8474149070059553</v>
      </c>
      <c r="G358" s="18">
        <f t="shared" si="94"/>
        <v>7.8474149070059553</v>
      </c>
      <c r="H358" s="18">
        <f t="shared" si="94"/>
        <v>7.8474149070059553</v>
      </c>
      <c r="I358" s="16"/>
      <c r="J358" s="18">
        <f t="shared" si="82"/>
        <v>47.319024748789062</v>
      </c>
      <c r="K358" s="18">
        <f t="shared" si="83"/>
        <v>5.5761543047910784</v>
      </c>
      <c r="L358" s="18">
        <f t="shared" si="84"/>
        <v>6.0477316406918931</v>
      </c>
      <c r="M358" s="18">
        <f t="shared" si="85"/>
        <v>6.0477316406918931</v>
      </c>
      <c r="N358" s="18">
        <f t="shared" si="86"/>
        <v>6.0477316406918931</v>
      </c>
      <c r="O358" s="16"/>
      <c r="P358" s="18">
        <f t="shared" si="81"/>
        <v>185.09713998355284</v>
      </c>
      <c r="Q358" s="18">
        <f t="shared" si="91"/>
        <v>386.71542881835165</v>
      </c>
      <c r="R358" s="18">
        <f t="shared" si="92"/>
        <v>0</v>
      </c>
      <c r="S358" s="18">
        <f t="shared" si="93"/>
        <v>0</v>
      </c>
      <c r="T358" s="18">
        <v>100</v>
      </c>
      <c r="U358" s="16"/>
      <c r="V358" s="18">
        <f t="shared" si="87"/>
        <v>671.81256880190449</v>
      </c>
      <c r="W358" s="16"/>
      <c r="X358" s="18">
        <f t="shared" si="88"/>
        <v>132632.48504266754</v>
      </c>
      <c r="Y358" s="18">
        <f t="shared" si="89"/>
        <v>364.18743119809551</v>
      </c>
      <c r="Z358" s="18"/>
      <c r="AA358" s="18">
        <f t="shared" si="90"/>
        <v>3.4545548842309227E-4</v>
      </c>
    </row>
    <row r="359" spans="2:27" x14ac:dyDescent="0.35">
      <c r="B359" s="26">
        <v>100.80000000000001</v>
      </c>
      <c r="C359" s="26">
        <v>960</v>
      </c>
      <c r="D359" s="18">
        <f t="shared" si="80"/>
        <v>51.310650806283526</v>
      </c>
      <c r="E359" s="18">
        <f t="shared" ref="E359:H359" si="95">D$23-LN(1/D$23)+$B359*D$22</f>
        <v>7.3087186115569347</v>
      </c>
      <c r="F359" s="18">
        <f t="shared" si="95"/>
        <v>7.8774149070059565</v>
      </c>
      <c r="G359" s="18">
        <f t="shared" si="95"/>
        <v>7.8774149070059565</v>
      </c>
      <c r="H359" s="18">
        <f t="shared" si="95"/>
        <v>7.8774149070059565</v>
      </c>
      <c r="I359" s="16"/>
      <c r="J359" s="18">
        <f t="shared" si="82"/>
        <v>47.45095417242193</v>
      </c>
      <c r="K359" s="18">
        <f t="shared" si="83"/>
        <v>5.5880824206852324</v>
      </c>
      <c r="L359" s="18">
        <f t="shared" si="84"/>
        <v>6.0734827088367895</v>
      </c>
      <c r="M359" s="18">
        <f t="shared" si="85"/>
        <v>6.0734827088367895</v>
      </c>
      <c r="N359" s="18">
        <f t="shared" si="86"/>
        <v>6.0734827088367895</v>
      </c>
      <c r="O359" s="16"/>
      <c r="P359" s="18">
        <f t="shared" si="81"/>
        <v>184.07989986201613</v>
      </c>
      <c r="Q359" s="18">
        <f t="shared" si="91"/>
        <v>385.19128346640167</v>
      </c>
      <c r="R359" s="18">
        <f t="shared" si="92"/>
        <v>0</v>
      </c>
      <c r="S359" s="18">
        <f t="shared" si="93"/>
        <v>0</v>
      </c>
      <c r="T359" s="18">
        <v>100</v>
      </c>
      <c r="U359" s="16"/>
      <c r="V359" s="18">
        <f t="shared" si="87"/>
        <v>669.27118332841781</v>
      </c>
      <c r="W359" s="16"/>
      <c r="X359" s="18">
        <f t="shared" si="88"/>
        <v>84523.24484325845</v>
      </c>
      <c r="Y359" s="18">
        <f t="shared" si="89"/>
        <v>290.72881667158219</v>
      </c>
      <c r="Z359" s="18"/>
      <c r="AA359" s="18">
        <f t="shared" si="90"/>
        <v>2.7577521012063494E-4</v>
      </c>
    </row>
    <row r="360" spans="2:27" x14ac:dyDescent="0.35">
      <c r="B360" s="26">
        <v>101.1</v>
      </c>
      <c r="C360" s="26">
        <v>1005</v>
      </c>
      <c r="D360" s="18">
        <f t="shared" ref="D360:H423" si="96">C$23-LN(1/C$23)+$B360*C$22</f>
        <v>51.445364434584548</v>
      </c>
      <c r="E360" s="18">
        <f t="shared" si="96"/>
        <v>7.3227835722217982</v>
      </c>
      <c r="F360" s="18">
        <f t="shared" si="96"/>
        <v>7.9074149070059541</v>
      </c>
      <c r="G360" s="18">
        <f t="shared" si="96"/>
        <v>7.9074149070059541</v>
      </c>
      <c r="H360" s="18">
        <f t="shared" si="96"/>
        <v>7.9074149070059541</v>
      </c>
      <c r="I360" s="16"/>
      <c r="J360" s="18">
        <f t="shared" si="82"/>
        <v>47.58289116721749</v>
      </c>
      <c r="K360" s="18">
        <f t="shared" si="83"/>
        <v>5.6000144025924863</v>
      </c>
      <c r="L360" s="18">
        <f t="shared" si="84"/>
        <v>6.0992492217956169</v>
      </c>
      <c r="M360" s="18">
        <f t="shared" si="85"/>
        <v>6.0992492217956169</v>
      </c>
      <c r="N360" s="18">
        <f t="shared" si="86"/>
        <v>6.0992492217956169</v>
      </c>
      <c r="O360" s="16"/>
      <c r="P360" s="18">
        <f t="shared" ref="P360:P423" si="97">(C$21*$A$21*C$23*C$22)/(J360+J360^2)</f>
        <v>183.07096508154649</v>
      </c>
      <c r="Q360" s="18">
        <f t="shared" si="91"/>
        <v>383.67566144967924</v>
      </c>
      <c r="R360" s="18">
        <f t="shared" si="92"/>
        <v>0</v>
      </c>
      <c r="S360" s="18">
        <f t="shared" si="93"/>
        <v>0</v>
      </c>
      <c r="T360" s="18">
        <v>100</v>
      </c>
      <c r="U360" s="16"/>
      <c r="V360" s="18">
        <f t="shared" si="87"/>
        <v>666.74662653122573</v>
      </c>
      <c r="W360" s="16"/>
      <c r="X360" s="18">
        <f t="shared" si="88"/>
        <v>114415.34466300608</v>
      </c>
      <c r="Y360" s="18">
        <f t="shared" si="89"/>
        <v>338.25337346877427</v>
      </c>
      <c r="Z360" s="18"/>
      <c r="AA360" s="18">
        <f t="shared" si="90"/>
        <v>3.2085534626496775E-4</v>
      </c>
    </row>
    <row r="361" spans="2:27" x14ac:dyDescent="0.35">
      <c r="B361" s="26">
        <v>101.4</v>
      </c>
      <c r="C361" s="26">
        <v>988</v>
      </c>
      <c r="D361" s="18">
        <f t="shared" si="96"/>
        <v>51.580078062885576</v>
      </c>
      <c r="E361" s="18">
        <f t="shared" si="96"/>
        <v>7.3368485328866635</v>
      </c>
      <c r="F361" s="18">
        <f t="shared" si="96"/>
        <v>7.9374149070059552</v>
      </c>
      <c r="G361" s="18">
        <f t="shared" si="96"/>
        <v>7.9374149070059552</v>
      </c>
      <c r="H361" s="18">
        <f t="shared" si="96"/>
        <v>7.9374149070059552</v>
      </c>
      <c r="I361" s="16"/>
      <c r="J361" s="18">
        <f t="shared" si="82"/>
        <v>47.714835692540255</v>
      </c>
      <c r="K361" s="18">
        <f t="shared" si="83"/>
        <v>5.6119502377931783</v>
      </c>
      <c r="L361" s="18">
        <f t="shared" si="84"/>
        <v>6.1250310768212941</v>
      </c>
      <c r="M361" s="18">
        <f t="shared" si="85"/>
        <v>6.1250310768212941</v>
      </c>
      <c r="N361" s="18">
        <f t="shared" si="86"/>
        <v>6.1250310768212941</v>
      </c>
      <c r="O361" s="16"/>
      <c r="P361" s="18">
        <f t="shared" si="97"/>
        <v>182.07024594016295</v>
      </c>
      <c r="Q361" s="18">
        <f t="shared" si="91"/>
        <v>382.16850195199481</v>
      </c>
      <c r="R361" s="18">
        <f t="shared" si="92"/>
        <v>0</v>
      </c>
      <c r="S361" s="18">
        <f t="shared" si="93"/>
        <v>0</v>
      </c>
      <c r="T361" s="18">
        <v>100</v>
      </c>
      <c r="U361" s="16"/>
      <c r="V361" s="18">
        <f t="shared" si="87"/>
        <v>664.23874789215779</v>
      </c>
      <c r="W361" s="16"/>
      <c r="X361" s="18">
        <f t="shared" si="88"/>
        <v>104821.34836643776</v>
      </c>
      <c r="Y361" s="18">
        <f t="shared" si="89"/>
        <v>323.76125210784221</v>
      </c>
      <c r="Z361" s="18"/>
      <c r="AA361" s="18">
        <f t="shared" si="90"/>
        <v>3.0710862566410126E-4</v>
      </c>
    </row>
    <row r="362" spans="2:27" x14ac:dyDescent="0.35">
      <c r="B362" s="26">
        <v>101.80000000000001</v>
      </c>
      <c r="C362" s="26">
        <v>1007</v>
      </c>
      <c r="D362" s="18">
        <f t="shared" si="96"/>
        <v>51.759696233953619</v>
      </c>
      <c r="E362" s="18">
        <f t="shared" si="96"/>
        <v>7.3556018137731494</v>
      </c>
      <c r="F362" s="18">
        <f t="shared" si="96"/>
        <v>7.9774149070059561</v>
      </c>
      <c r="G362" s="18">
        <f t="shared" si="96"/>
        <v>7.9774149070059561</v>
      </c>
      <c r="H362" s="18">
        <f t="shared" si="96"/>
        <v>7.9774149070059561</v>
      </c>
      <c r="I362" s="16"/>
      <c r="J362" s="18">
        <f t="shared" si="82"/>
        <v>47.890773370829322</v>
      </c>
      <c r="K362" s="18">
        <f t="shared" si="83"/>
        <v>5.6278706568633883</v>
      </c>
      <c r="L362" s="18">
        <f t="shared" si="84"/>
        <v>6.1594305731560359</v>
      </c>
      <c r="M362" s="18">
        <f t="shared" si="85"/>
        <v>6.1594305731560359</v>
      </c>
      <c r="N362" s="18">
        <f t="shared" si="86"/>
        <v>6.1594305731560359</v>
      </c>
      <c r="O362" s="16"/>
      <c r="P362" s="18">
        <f t="shared" si="97"/>
        <v>180.74858084389237</v>
      </c>
      <c r="Q362" s="18">
        <f t="shared" si="91"/>
        <v>380.17201573664869</v>
      </c>
      <c r="R362" s="18">
        <f t="shared" si="92"/>
        <v>0</v>
      </c>
      <c r="S362" s="18">
        <f t="shared" si="93"/>
        <v>0</v>
      </c>
      <c r="T362" s="18">
        <v>100</v>
      </c>
      <c r="U362" s="16"/>
      <c r="V362" s="18">
        <f t="shared" si="87"/>
        <v>660.92059658054109</v>
      </c>
      <c r="W362" s="16"/>
      <c r="X362" s="18">
        <f t="shared" si="88"/>
        <v>119770.95347116858</v>
      </c>
      <c r="Y362" s="18">
        <f t="shared" si="89"/>
        <v>346.07940341945891</v>
      </c>
      <c r="Z362" s="18"/>
      <c r="AA362" s="18">
        <f t="shared" si="90"/>
        <v>3.2827884517632074E-4</v>
      </c>
    </row>
    <row r="363" spans="2:27" x14ac:dyDescent="0.35">
      <c r="B363" s="26">
        <v>102.1</v>
      </c>
      <c r="C363" s="26">
        <v>971</v>
      </c>
      <c r="D363" s="18">
        <f t="shared" si="96"/>
        <v>51.894409862254641</v>
      </c>
      <c r="E363" s="18">
        <f t="shared" si="96"/>
        <v>7.3696667744380138</v>
      </c>
      <c r="F363" s="18">
        <f t="shared" si="96"/>
        <v>8.0074149070059555</v>
      </c>
      <c r="G363" s="18">
        <f t="shared" si="96"/>
        <v>8.0074149070059555</v>
      </c>
      <c r="H363" s="18">
        <f t="shared" si="96"/>
        <v>8.0074149070059555</v>
      </c>
      <c r="I363" s="16"/>
      <c r="J363" s="18">
        <f t="shared" si="82"/>
        <v>48.022735311168589</v>
      </c>
      <c r="K363" s="18">
        <f t="shared" si="83"/>
        <v>5.6398154339418918</v>
      </c>
      <c r="L363" s="18">
        <f t="shared" si="84"/>
        <v>6.1852478321014708</v>
      </c>
      <c r="M363" s="18">
        <f t="shared" si="85"/>
        <v>6.1852478321014708</v>
      </c>
      <c r="N363" s="18">
        <f t="shared" si="86"/>
        <v>6.1852478321014708</v>
      </c>
      <c r="O363" s="16"/>
      <c r="P363" s="18">
        <f t="shared" si="97"/>
        <v>179.76668940629094</v>
      </c>
      <c r="Q363" s="18">
        <f t="shared" si="91"/>
        <v>378.68436853392166</v>
      </c>
      <c r="R363" s="18">
        <f t="shared" si="92"/>
        <v>0</v>
      </c>
      <c r="S363" s="18">
        <f t="shared" si="93"/>
        <v>0</v>
      </c>
      <c r="T363" s="18">
        <v>100</v>
      </c>
      <c r="U363" s="16"/>
      <c r="V363" s="18">
        <f t="shared" si="87"/>
        <v>658.45105794021265</v>
      </c>
      <c r="W363" s="16"/>
      <c r="X363" s="18">
        <f t="shared" si="88"/>
        <v>97686.841182692311</v>
      </c>
      <c r="Y363" s="18">
        <f t="shared" si="89"/>
        <v>312.54894205978735</v>
      </c>
      <c r="Z363" s="18"/>
      <c r="AA363" s="18">
        <f t="shared" si="90"/>
        <v>2.9647301962119232E-4</v>
      </c>
    </row>
    <row r="364" spans="2:27" x14ac:dyDescent="0.35">
      <c r="B364" s="26">
        <v>102.4</v>
      </c>
      <c r="C364" s="26">
        <v>954</v>
      </c>
      <c r="D364" s="18">
        <f t="shared" si="96"/>
        <v>52.029123490555676</v>
      </c>
      <c r="E364" s="18">
        <f t="shared" si="96"/>
        <v>7.3837317351028782</v>
      </c>
      <c r="F364" s="18">
        <f t="shared" si="96"/>
        <v>8.0374149070059566</v>
      </c>
      <c r="G364" s="18">
        <f t="shared" si="96"/>
        <v>8.0374149070059566</v>
      </c>
      <c r="H364" s="18">
        <f t="shared" si="96"/>
        <v>8.0374149070059566</v>
      </c>
      <c r="I364" s="16"/>
      <c r="J364" s="18">
        <f t="shared" si="82"/>
        <v>48.154704648903909</v>
      </c>
      <c r="K364" s="18">
        <f t="shared" si="83"/>
        <v>5.6517640223319674</v>
      </c>
      <c r="L364" s="18">
        <f t="shared" si="84"/>
        <v>6.2110800974487157</v>
      </c>
      <c r="M364" s="18">
        <f t="shared" si="85"/>
        <v>6.2110800974487157</v>
      </c>
      <c r="N364" s="18">
        <f t="shared" si="86"/>
        <v>6.2110800974487157</v>
      </c>
      <c r="O364" s="16"/>
      <c r="P364" s="18">
        <f t="shared" si="97"/>
        <v>178.79272318041004</v>
      </c>
      <c r="Q364" s="18">
        <f t="shared" si="91"/>
        <v>377.20498487320071</v>
      </c>
      <c r="R364" s="18">
        <f t="shared" si="92"/>
        <v>0</v>
      </c>
      <c r="S364" s="18">
        <f t="shared" si="93"/>
        <v>0</v>
      </c>
      <c r="T364" s="18">
        <v>100</v>
      </c>
      <c r="U364" s="16"/>
      <c r="V364" s="18">
        <f t="shared" si="87"/>
        <v>655.99770805361072</v>
      </c>
      <c r="W364" s="16"/>
      <c r="X364" s="18">
        <f t="shared" si="88"/>
        <v>88805.366005301024</v>
      </c>
      <c r="Y364" s="18">
        <f t="shared" si="89"/>
        <v>298.00229194638928</v>
      </c>
      <c r="Z364" s="18"/>
      <c r="AA364" s="18">
        <f t="shared" si="90"/>
        <v>2.8267457494859092E-4</v>
      </c>
    </row>
    <row r="365" spans="2:27" x14ac:dyDescent="0.35">
      <c r="B365" s="26">
        <v>102.70000000000002</v>
      </c>
      <c r="C365" s="26">
        <v>932</v>
      </c>
      <c r="D365" s="18">
        <f t="shared" si="96"/>
        <v>52.163837118856705</v>
      </c>
      <c r="E365" s="18">
        <f t="shared" si="96"/>
        <v>7.3977966957677435</v>
      </c>
      <c r="F365" s="18">
        <f t="shared" si="96"/>
        <v>8.0674149070059578</v>
      </c>
      <c r="G365" s="18">
        <f t="shared" si="96"/>
        <v>8.0674149070059578</v>
      </c>
      <c r="H365" s="18">
        <f t="shared" si="96"/>
        <v>8.0674149070059578</v>
      </c>
      <c r="I365" s="16"/>
      <c r="J365" s="18">
        <f t="shared" si="82"/>
        <v>48.286681344779097</v>
      </c>
      <c r="K365" s="18">
        <f t="shared" si="83"/>
        <v>5.6637164095629169</v>
      </c>
      <c r="L365" s="18">
        <f t="shared" si="84"/>
        <v>6.2369272705041281</v>
      </c>
      <c r="M365" s="18">
        <f t="shared" si="85"/>
        <v>6.2369272705041281</v>
      </c>
      <c r="N365" s="18">
        <f t="shared" si="86"/>
        <v>6.2369272705041281</v>
      </c>
      <c r="O365" s="16"/>
      <c r="P365" s="18">
        <f t="shared" si="97"/>
        <v>177.82659753931608</v>
      </c>
      <c r="Q365" s="18">
        <f t="shared" si="91"/>
        <v>375.73380616466977</v>
      </c>
      <c r="R365" s="18">
        <f t="shared" si="92"/>
        <v>0</v>
      </c>
      <c r="S365" s="18">
        <f t="shared" si="93"/>
        <v>0</v>
      </c>
      <c r="T365" s="18">
        <v>100</v>
      </c>
      <c r="U365" s="16"/>
      <c r="V365" s="18">
        <f t="shared" si="87"/>
        <v>653.56040370398591</v>
      </c>
      <c r="W365" s="16"/>
      <c r="X365" s="18">
        <f t="shared" si="88"/>
        <v>77528.608785487304</v>
      </c>
      <c r="Y365" s="18">
        <f t="shared" si="89"/>
        <v>278.43959629601409</v>
      </c>
      <c r="Z365" s="18"/>
      <c r="AA365" s="18">
        <f t="shared" si="90"/>
        <v>2.6411808452128481E-4</v>
      </c>
    </row>
    <row r="366" spans="2:27" x14ac:dyDescent="0.35">
      <c r="B366" s="26">
        <v>103</v>
      </c>
      <c r="C366" s="26">
        <v>1037</v>
      </c>
      <c r="D366" s="18">
        <f t="shared" si="96"/>
        <v>52.298550747157726</v>
      </c>
      <c r="E366" s="18">
        <f t="shared" si="96"/>
        <v>7.411861656432607</v>
      </c>
      <c r="F366" s="18">
        <f t="shared" si="96"/>
        <v>8.0974149070059553</v>
      </c>
      <c r="G366" s="18">
        <f t="shared" si="96"/>
        <v>8.0974149070059553</v>
      </c>
      <c r="H366" s="18">
        <f t="shared" si="96"/>
        <v>8.0974149070059553</v>
      </c>
      <c r="I366" s="16"/>
      <c r="J366" s="18">
        <f t="shared" si="82"/>
        <v>48.418665359847459</v>
      </c>
      <c r="K366" s="18">
        <f t="shared" si="83"/>
        <v>5.6756725832206367</v>
      </c>
      <c r="L366" s="18">
        <f t="shared" si="84"/>
        <v>6.2627892534810128</v>
      </c>
      <c r="M366" s="18">
        <f t="shared" si="85"/>
        <v>6.2627892534810128</v>
      </c>
      <c r="N366" s="18">
        <f t="shared" si="86"/>
        <v>6.2627892534810128</v>
      </c>
      <c r="O366" s="16"/>
      <c r="P366" s="18">
        <f t="shared" si="97"/>
        <v>176.86822897802568</v>
      </c>
      <c r="Q366" s="18">
        <f t="shared" si="91"/>
        <v>374.27077431875563</v>
      </c>
      <c r="R366" s="18">
        <f t="shared" si="92"/>
        <v>0</v>
      </c>
      <c r="S366" s="18">
        <f t="shared" si="93"/>
        <v>0</v>
      </c>
      <c r="T366" s="18">
        <v>100</v>
      </c>
      <c r="U366" s="16"/>
      <c r="V366" s="18">
        <f t="shared" si="87"/>
        <v>651.13900329678131</v>
      </c>
      <c r="W366" s="16"/>
      <c r="X366" s="18">
        <f t="shared" si="88"/>
        <v>148888.70877680133</v>
      </c>
      <c r="Y366" s="18">
        <f t="shared" si="89"/>
        <v>385.86099670321869</v>
      </c>
      <c r="Z366" s="18"/>
      <c r="AA366" s="18">
        <f t="shared" si="90"/>
        <v>3.6601427633296281E-4</v>
      </c>
    </row>
    <row r="367" spans="2:27" x14ac:dyDescent="0.35">
      <c r="B367" s="26">
        <v>103.30000000000001</v>
      </c>
      <c r="C367" s="26">
        <v>962</v>
      </c>
      <c r="D367" s="18">
        <f t="shared" si="96"/>
        <v>52.433264375458762</v>
      </c>
      <c r="E367" s="18">
        <f t="shared" si="96"/>
        <v>7.4259266170974723</v>
      </c>
      <c r="F367" s="18">
        <f t="shared" si="96"/>
        <v>8.1274149070059565</v>
      </c>
      <c r="G367" s="18">
        <f t="shared" si="96"/>
        <v>8.1274149070059565</v>
      </c>
      <c r="H367" s="18">
        <f t="shared" si="96"/>
        <v>8.1274149070059565</v>
      </c>
      <c r="I367" s="16"/>
      <c r="J367" s="18">
        <f t="shared" si="82"/>
        <v>48.550656655468536</v>
      </c>
      <c r="K367" s="18">
        <f t="shared" si="83"/>
        <v>5.6876325309473117</v>
      </c>
      <c r="L367" s="18">
        <f t="shared" si="84"/>
        <v>6.2886659494892525</v>
      </c>
      <c r="M367" s="18">
        <f t="shared" si="85"/>
        <v>6.2886659494892525</v>
      </c>
      <c r="N367" s="18">
        <f t="shared" si="86"/>
        <v>6.2886659494892525</v>
      </c>
      <c r="O367" s="16"/>
      <c r="P367" s="18">
        <f t="shared" si="97"/>
        <v>175.91753509576543</v>
      </c>
      <c r="Q367" s="18">
        <f t="shared" si="91"/>
        <v>372.81583174117111</v>
      </c>
      <c r="R367" s="18">
        <f t="shared" si="92"/>
        <v>0</v>
      </c>
      <c r="S367" s="18">
        <f t="shared" si="93"/>
        <v>0</v>
      </c>
      <c r="T367" s="18">
        <v>100</v>
      </c>
      <c r="U367" s="16"/>
      <c r="V367" s="18">
        <f t="shared" si="87"/>
        <v>648.73336683693651</v>
      </c>
      <c r="W367" s="16"/>
      <c r="X367" s="18">
        <f t="shared" si="88"/>
        <v>98135.983453321387</v>
      </c>
      <c r="Y367" s="18">
        <f t="shared" si="89"/>
        <v>313.26663316306349</v>
      </c>
      <c r="Z367" s="18"/>
      <c r="AA367" s="18">
        <f t="shared" si="90"/>
        <v>2.9715379635696142E-4</v>
      </c>
    </row>
    <row r="368" spans="2:27" x14ac:dyDescent="0.35">
      <c r="B368" s="26">
        <v>103.70000000000002</v>
      </c>
      <c r="C368" s="26">
        <v>962</v>
      </c>
      <c r="D368" s="18">
        <f t="shared" si="96"/>
        <v>52.612882546526805</v>
      </c>
      <c r="E368" s="18">
        <f t="shared" si="96"/>
        <v>7.4446798979839581</v>
      </c>
      <c r="F368" s="18">
        <f t="shared" si="96"/>
        <v>8.1674149070059574</v>
      </c>
      <c r="G368" s="18">
        <f t="shared" si="96"/>
        <v>8.1674149070059574</v>
      </c>
      <c r="H368" s="18">
        <f t="shared" si="96"/>
        <v>8.1674149070059574</v>
      </c>
      <c r="I368" s="16"/>
      <c r="J368" s="18">
        <f t="shared" si="82"/>
        <v>48.726656308715235</v>
      </c>
      <c r="K368" s="18">
        <f t="shared" si="83"/>
        <v>5.703584977435697</v>
      </c>
      <c r="L368" s="18">
        <f t="shared" si="84"/>
        <v>6.323190931965148</v>
      </c>
      <c r="M368" s="18">
        <f t="shared" si="85"/>
        <v>6.323190931965148</v>
      </c>
      <c r="N368" s="18">
        <f t="shared" si="86"/>
        <v>6.323190931965148</v>
      </c>
      <c r="O368" s="16"/>
      <c r="P368" s="18">
        <f t="shared" si="97"/>
        <v>174.66174125406988</v>
      </c>
      <c r="Q368" s="18">
        <f t="shared" si="91"/>
        <v>370.88839298260876</v>
      </c>
      <c r="R368" s="18">
        <f t="shared" si="92"/>
        <v>0</v>
      </c>
      <c r="S368" s="18">
        <f t="shared" si="93"/>
        <v>0</v>
      </c>
      <c r="T368" s="18">
        <v>100</v>
      </c>
      <c r="U368" s="16"/>
      <c r="V368" s="18">
        <f t="shared" si="87"/>
        <v>645.55013423667867</v>
      </c>
      <c r="W368" s="16"/>
      <c r="X368" s="18">
        <f t="shared" si="88"/>
        <v>100140.51754162408</v>
      </c>
      <c r="Y368" s="18">
        <f t="shared" si="89"/>
        <v>316.44986576332133</v>
      </c>
      <c r="Z368" s="18"/>
      <c r="AA368" s="18">
        <f t="shared" si="90"/>
        <v>3.0017329971837267E-4</v>
      </c>
    </row>
    <row r="369" spans="2:27" x14ac:dyDescent="0.35">
      <c r="B369" s="26">
        <v>104</v>
      </c>
      <c r="C369" s="26">
        <v>963</v>
      </c>
      <c r="D369" s="18">
        <f t="shared" si="96"/>
        <v>52.747596174827827</v>
      </c>
      <c r="E369" s="18">
        <f t="shared" si="96"/>
        <v>7.4587448586488225</v>
      </c>
      <c r="F369" s="18">
        <f t="shared" si="96"/>
        <v>8.197414907005955</v>
      </c>
      <c r="G369" s="18">
        <f t="shared" si="96"/>
        <v>8.197414907005955</v>
      </c>
      <c r="H369" s="18">
        <f t="shared" si="96"/>
        <v>8.197414907005955</v>
      </c>
      <c r="I369" s="16"/>
      <c r="J369" s="18">
        <f t="shared" si="82"/>
        <v>48.858664443720563</v>
      </c>
      <c r="K369" s="18">
        <f t="shared" si="83"/>
        <v>5.7155536835788689</v>
      </c>
      <c r="L369" s="18">
        <f t="shared" si="84"/>
        <v>6.3491015865448244</v>
      </c>
      <c r="M369" s="18">
        <f t="shared" si="85"/>
        <v>6.3491015865448244</v>
      </c>
      <c r="N369" s="18">
        <f t="shared" si="86"/>
        <v>6.3491015865448244</v>
      </c>
      <c r="O369" s="16"/>
      <c r="P369" s="18">
        <f t="shared" si="97"/>
        <v>173.72864058161994</v>
      </c>
      <c r="Q369" s="18">
        <f t="shared" si="91"/>
        <v>369.45210413225004</v>
      </c>
      <c r="R369" s="18">
        <f t="shared" si="92"/>
        <v>0</v>
      </c>
      <c r="S369" s="18">
        <f t="shared" si="93"/>
        <v>0</v>
      </c>
      <c r="T369" s="18">
        <v>100</v>
      </c>
      <c r="U369" s="16"/>
      <c r="V369" s="18">
        <f t="shared" si="87"/>
        <v>643.18074471387001</v>
      </c>
      <c r="W369" s="16"/>
      <c r="X369" s="18">
        <f t="shared" si="88"/>
        <v>102284.35605177478</v>
      </c>
      <c r="Y369" s="18">
        <f t="shared" si="89"/>
        <v>319.81925528612999</v>
      </c>
      <c r="Z369" s="18"/>
      <c r="AA369" s="18">
        <f t="shared" si="90"/>
        <v>3.0336938504031886E-4</v>
      </c>
    </row>
    <row r="370" spans="2:27" x14ac:dyDescent="0.35">
      <c r="B370" s="26">
        <v>104.30000000000001</v>
      </c>
      <c r="C370" s="26">
        <v>911</v>
      </c>
      <c r="D370" s="18">
        <f t="shared" si="96"/>
        <v>52.882309803128855</v>
      </c>
      <c r="E370" s="18">
        <f t="shared" si="96"/>
        <v>7.4728098193136869</v>
      </c>
      <c r="F370" s="18">
        <f t="shared" si="96"/>
        <v>8.2274149070059561</v>
      </c>
      <c r="G370" s="18">
        <f t="shared" si="96"/>
        <v>8.2274149070059561</v>
      </c>
      <c r="H370" s="18">
        <f t="shared" si="96"/>
        <v>8.2274149070059561</v>
      </c>
      <c r="I370" s="16"/>
      <c r="J370" s="18">
        <f t="shared" ref="J370:J433" si="98">lmb_2(D370)</f>
        <v>48.990679732648147</v>
      </c>
      <c r="K370" s="18">
        <f t="shared" ref="K370:K433" si="99">lmb_2(E370)</f>
        <v>5.7275261230007111</v>
      </c>
      <c r="L370" s="18">
        <f t="shared" ref="L370:L433" si="100">lmb_2(F370)</f>
        <v>6.3750266375335594</v>
      </c>
      <c r="M370" s="18">
        <f t="shared" ref="M370:M433" si="101">lmb_2(G370)</f>
        <v>6.3750266375335594</v>
      </c>
      <c r="N370" s="18">
        <f t="shared" ref="N370:N433" si="102">lmb_2(H370)</f>
        <v>6.3750266375335594</v>
      </c>
      <c r="O370" s="16"/>
      <c r="P370" s="18">
        <f t="shared" si="97"/>
        <v>172.80294767257169</v>
      </c>
      <c r="Q370" s="18">
        <f t="shared" si="91"/>
        <v>368.0237160838243</v>
      </c>
      <c r="R370" s="18">
        <f t="shared" si="92"/>
        <v>0</v>
      </c>
      <c r="S370" s="18">
        <f t="shared" si="93"/>
        <v>0</v>
      </c>
      <c r="T370" s="18">
        <v>100</v>
      </c>
      <c r="U370" s="16"/>
      <c r="V370" s="18">
        <f t="shared" ref="V370:V433" si="103">SUM(P370:T370)</f>
        <v>640.82666375639599</v>
      </c>
      <c r="W370" s="16"/>
      <c r="X370" s="18">
        <f t="shared" ref="X370:X433" si="104">(V370-C370)^2</f>
        <v>72993.631616999512</v>
      </c>
      <c r="Y370" s="18">
        <f t="shared" ref="Y370:Y433" si="105">ABS(V370-C370)</f>
        <v>270.17333624360401</v>
      </c>
      <c r="Z370" s="18"/>
      <c r="AA370" s="18">
        <f t="shared" ref="AA370:AA433" si="106">Y370/$Z$39</f>
        <v>2.5627699869785797E-4</v>
      </c>
    </row>
    <row r="371" spans="2:27" x14ac:dyDescent="0.35">
      <c r="B371" s="26">
        <v>104.6</v>
      </c>
      <c r="C371" s="26">
        <v>949</v>
      </c>
      <c r="D371" s="18">
        <f t="shared" si="96"/>
        <v>53.017023431429877</v>
      </c>
      <c r="E371" s="18">
        <f t="shared" si="96"/>
        <v>7.4868747799785513</v>
      </c>
      <c r="F371" s="18">
        <f t="shared" si="96"/>
        <v>8.2574149070059555</v>
      </c>
      <c r="G371" s="18">
        <f t="shared" si="96"/>
        <v>8.2574149070059555</v>
      </c>
      <c r="H371" s="18">
        <f t="shared" si="96"/>
        <v>8.2574149070059555</v>
      </c>
      <c r="I371" s="16"/>
      <c r="J371" s="18">
        <f t="shared" si="98"/>
        <v>49.122702138148249</v>
      </c>
      <c r="K371" s="18">
        <f t="shared" si="99"/>
        <v>5.73950228358368</v>
      </c>
      <c r="L371" s="18">
        <f t="shared" si="100"/>
        <v>6.4009659918097768</v>
      </c>
      <c r="M371" s="18">
        <f t="shared" si="101"/>
        <v>6.4009659918097768</v>
      </c>
      <c r="N371" s="18">
        <f t="shared" si="102"/>
        <v>6.4009659918097768</v>
      </c>
      <c r="O371" s="16"/>
      <c r="P371" s="18">
        <f t="shared" si="97"/>
        <v>171.88458471385786</v>
      </c>
      <c r="Q371" s="18">
        <f t="shared" si="91"/>
        <v>366.60317333335757</v>
      </c>
      <c r="R371" s="18">
        <f t="shared" si="92"/>
        <v>0</v>
      </c>
      <c r="S371" s="18">
        <f t="shared" si="93"/>
        <v>0</v>
      </c>
      <c r="T371" s="18">
        <v>100</v>
      </c>
      <c r="U371" s="16"/>
      <c r="V371" s="18">
        <f t="shared" si="103"/>
        <v>638.48775804721549</v>
      </c>
      <c r="W371" s="16"/>
      <c r="X371" s="18">
        <f t="shared" si="104"/>
        <v>96417.85240254458</v>
      </c>
      <c r="Y371" s="18">
        <f t="shared" si="105"/>
        <v>310.51224195278451</v>
      </c>
      <c r="Z371" s="18"/>
      <c r="AA371" s="18">
        <f t="shared" si="106"/>
        <v>2.9454107697308562E-4</v>
      </c>
    </row>
    <row r="372" spans="2:27" x14ac:dyDescent="0.35">
      <c r="B372" s="26">
        <v>104.9</v>
      </c>
      <c r="C372" s="26">
        <v>937</v>
      </c>
      <c r="D372" s="18">
        <f t="shared" si="96"/>
        <v>53.151737059730912</v>
      </c>
      <c r="E372" s="18">
        <f t="shared" si="96"/>
        <v>7.5009397406434157</v>
      </c>
      <c r="F372" s="18">
        <f t="shared" si="96"/>
        <v>8.2874149070059566</v>
      </c>
      <c r="G372" s="18">
        <f t="shared" si="96"/>
        <v>8.2874149070059566</v>
      </c>
      <c r="H372" s="18">
        <f t="shared" si="96"/>
        <v>8.2874149070059566</v>
      </c>
      <c r="I372" s="16"/>
      <c r="J372" s="18">
        <f t="shared" si="98"/>
        <v>49.254731623160865</v>
      </c>
      <c r="K372" s="18">
        <f t="shared" si="99"/>
        <v>5.7514821532648561</v>
      </c>
      <c r="L372" s="18">
        <f t="shared" si="100"/>
        <v>6.4269195570954158</v>
      </c>
      <c r="M372" s="18">
        <f t="shared" si="101"/>
        <v>6.4269195570954158</v>
      </c>
      <c r="N372" s="18">
        <f t="shared" si="102"/>
        <v>6.4269195570954158</v>
      </c>
      <c r="O372" s="16"/>
      <c r="P372" s="18">
        <f t="shared" si="97"/>
        <v>170.97347490733722</v>
      </c>
      <c r="Q372" s="18">
        <f t="shared" si="91"/>
        <v>365.19042084665153</v>
      </c>
      <c r="R372" s="18">
        <f t="shared" si="92"/>
        <v>0</v>
      </c>
      <c r="S372" s="18">
        <f t="shared" si="93"/>
        <v>0</v>
      </c>
      <c r="T372" s="18">
        <v>100</v>
      </c>
      <c r="U372" s="16"/>
      <c r="V372" s="18">
        <f t="shared" si="103"/>
        <v>636.16389575398875</v>
      </c>
      <c r="W372" s="16"/>
      <c r="X372" s="18">
        <f t="shared" si="104"/>
        <v>90502.361617916948</v>
      </c>
      <c r="Y372" s="18">
        <f t="shared" si="105"/>
        <v>300.83610424601125</v>
      </c>
      <c r="Z372" s="18"/>
      <c r="AA372" s="18">
        <f t="shared" si="106"/>
        <v>2.8536263040631146E-4</v>
      </c>
    </row>
    <row r="373" spans="2:27" x14ac:dyDescent="0.35">
      <c r="B373" s="26">
        <v>105.20000000000002</v>
      </c>
      <c r="C373" s="26">
        <v>935</v>
      </c>
      <c r="D373" s="18">
        <f t="shared" si="96"/>
        <v>53.286450688031948</v>
      </c>
      <c r="E373" s="18">
        <f t="shared" si="96"/>
        <v>7.515004701308281</v>
      </c>
      <c r="F373" s="18">
        <f t="shared" si="96"/>
        <v>8.3174149070059578</v>
      </c>
      <c r="G373" s="18">
        <f t="shared" si="96"/>
        <v>8.3174149070059578</v>
      </c>
      <c r="H373" s="18">
        <f t="shared" si="96"/>
        <v>8.3174149070059578</v>
      </c>
      <c r="I373" s="16"/>
      <c r="J373" s="18">
        <f t="shared" si="98"/>
        <v>49.386768150912708</v>
      </c>
      <c r="K373" s="18">
        <f t="shared" si="99"/>
        <v>5.7634657200356445</v>
      </c>
      <c r="L373" s="18">
        <f t="shared" si="100"/>
        <v>6.452887241946379</v>
      </c>
      <c r="M373" s="18">
        <f t="shared" si="101"/>
        <v>6.452887241946379</v>
      </c>
      <c r="N373" s="18">
        <f t="shared" si="102"/>
        <v>6.452887241946379</v>
      </c>
      <c r="O373" s="16"/>
      <c r="P373" s="18">
        <f t="shared" si="97"/>
        <v>170.06954245400408</v>
      </c>
      <c r="Q373" s="18">
        <f t="shared" si="91"/>
        <v>363.7854040546672</v>
      </c>
      <c r="R373" s="18">
        <f t="shared" si="92"/>
        <v>0</v>
      </c>
      <c r="S373" s="18">
        <f t="shared" si="93"/>
        <v>0</v>
      </c>
      <c r="T373" s="18">
        <v>100</v>
      </c>
      <c r="U373" s="16"/>
      <c r="V373" s="18">
        <f t="shared" si="103"/>
        <v>633.85494650867122</v>
      </c>
      <c r="W373" s="16"/>
      <c r="X373" s="18">
        <f t="shared" si="104"/>
        <v>90688.343242295276</v>
      </c>
      <c r="Y373" s="18">
        <f t="shared" si="105"/>
        <v>301.14505349132878</v>
      </c>
      <c r="Z373" s="18"/>
      <c r="AA373" s="18">
        <f t="shared" si="106"/>
        <v>2.8565568887921924E-4</v>
      </c>
    </row>
    <row r="374" spans="2:27" x14ac:dyDescent="0.35">
      <c r="B374" s="26">
        <v>105.5</v>
      </c>
      <c r="C374" s="26">
        <v>978</v>
      </c>
      <c r="D374" s="18">
        <f t="shared" si="96"/>
        <v>53.42116431633297</v>
      </c>
      <c r="E374" s="18">
        <f t="shared" si="96"/>
        <v>7.5290696619731445</v>
      </c>
      <c r="F374" s="18">
        <f t="shared" si="96"/>
        <v>8.3474149070059553</v>
      </c>
      <c r="G374" s="18">
        <f t="shared" si="96"/>
        <v>8.3474149070059553</v>
      </c>
      <c r="H374" s="18">
        <f t="shared" si="96"/>
        <v>8.3474149070059553</v>
      </c>
      <c r="I374" s="16"/>
      <c r="J374" s="18">
        <f t="shared" si="98"/>
        <v>49.518811684914297</v>
      </c>
      <c r="K374" s="18">
        <f t="shared" si="99"/>
        <v>5.7754529719414638</v>
      </c>
      <c r="L374" s="18">
        <f t="shared" si="100"/>
        <v>6.4788689557431267</v>
      </c>
      <c r="M374" s="18">
        <f t="shared" si="101"/>
        <v>6.4788689557431267</v>
      </c>
      <c r="N374" s="18">
        <f t="shared" si="102"/>
        <v>6.4788689557431267</v>
      </c>
      <c r="O374" s="16"/>
      <c r="P374" s="18">
        <f t="shared" si="97"/>
        <v>169.1727125384827</v>
      </c>
      <c r="Q374" s="18">
        <f t="shared" si="91"/>
        <v>362.3880688489615</v>
      </c>
      <c r="R374" s="18">
        <f t="shared" si="92"/>
        <v>0</v>
      </c>
      <c r="S374" s="18">
        <f t="shared" si="93"/>
        <v>0</v>
      </c>
      <c r="T374" s="18">
        <v>100</v>
      </c>
      <c r="U374" s="16"/>
      <c r="V374" s="18">
        <f t="shared" si="103"/>
        <v>631.56078138744419</v>
      </c>
      <c r="W374" s="16"/>
      <c r="X374" s="18">
        <f t="shared" si="104"/>
        <v>120020.13219287823</v>
      </c>
      <c r="Y374" s="18">
        <f t="shared" si="105"/>
        <v>346.43921861255581</v>
      </c>
      <c r="Z374" s="18"/>
      <c r="AA374" s="18">
        <f t="shared" si="106"/>
        <v>3.2862015331225618E-4</v>
      </c>
    </row>
    <row r="375" spans="2:27" x14ac:dyDescent="0.35">
      <c r="B375" s="26">
        <v>105.9</v>
      </c>
      <c r="C375" s="26">
        <v>954</v>
      </c>
      <c r="D375" s="18">
        <f t="shared" si="96"/>
        <v>53.600782487401005</v>
      </c>
      <c r="E375" s="18">
        <f t="shared" si="96"/>
        <v>7.5478229428596313</v>
      </c>
      <c r="F375" s="18">
        <f t="shared" si="96"/>
        <v>8.3874149070059563</v>
      </c>
      <c r="G375" s="18">
        <f t="shared" si="96"/>
        <v>8.3874149070059563</v>
      </c>
      <c r="H375" s="18">
        <f t="shared" si="96"/>
        <v>8.3874149070059563</v>
      </c>
      <c r="I375" s="16"/>
      <c r="J375" s="18">
        <f t="shared" si="98"/>
        <v>49.694880566317906</v>
      </c>
      <c r="K375" s="18">
        <f t="shared" si="99"/>
        <v>5.7914416863531502</v>
      </c>
      <c r="L375" s="18">
        <f t="shared" si="100"/>
        <v>6.5135329085090437</v>
      </c>
      <c r="M375" s="18">
        <f t="shared" si="101"/>
        <v>6.5135329085090437</v>
      </c>
      <c r="N375" s="18">
        <f t="shared" si="102"/>
        <v>6.5135329085090437</v>
      </c>
      <c r="O375" s="16"/>
      <c r="P375" s="18">
        <f t="shared" si="97"/>
        <v>167.98786021080886</v>
      </c>
      <c r="Q375" s="18">
        <f t="shared" ref="Q375:Q438" si="107">(D$21*$A$21*D$23*D$22)/(K375+K375^2)</f>
        <v>360.53681170821869</v>
      </c>
      <c r="R375" s="18">
        <f t="shared" ref="R375:R438" si="108">(E$21*$A$21*E$23*E$22)/(L375+L375^2)</f>
        <v>0</v>
      </c>
      <c r="S375" s="18">
        <f t="shared" ref="S375:S438" si="109">(F$21*$A$21*F$23*F$22)/(M375+M375^2)</f>
        <v>0</v>
      </c>
      <c r="T375" s="18">
        <v>100</v>
      </c>
      <c r="U375" s="16"/>
      <c r="V375" s="18">
        <f t="shared" si="103"/>
        <v>628.52467191902758</v>
      </c>
      <c r="W375" s="16"/>
      <c r="X375" s="18">
        <f t="shared" si="104"/>
        <v>105934.18918941663</v>
      </c>
      <c r="Y375" s="18">
        <f t="shared" si="105"/>
        <v>325.47532808097242</v>
      </c>
      <c r="Z375" s="18"/>
      <c r="AA375" s="18">
        <f t="shared" si="106"/>
        <v>3.0873453831722051E-4</v>
      </c>
    </row>
    <row r="376" spans="2:27" x14ac:dyDescent="0.35">
      <c r="B376" s="26">
        <v>106.20000000000002</v>
      </c>
      <c r="C376" s="26">
        <v>936</v>
      </c>
      <c r="D376" s="18">
        <f t="shared" si="96"/>
        <v>53.735496115702041</v>
      </c>
      <c r="E376" s="18">
        <f t="shared" si="96"/>
        <v>7.5618879035244957</v>
      </c>
      <c r="F376" s="18">
        <f t="shared" si="96"/>
        <v>8.4174149070059574</v>
      </c>
      <c r="G376" s="18">
        <f t="shared" si="96"/>
        <v>8.4174149070059574</v>
      </c>
      <c r="H376" s="18">
        <f t="shared" si="96"/>
        <v>8.4174149070059574</v>
      </c>
      <c r="I376" s="16"/>
      <c r="J376" s="18">
        <f t="shared" si="98"/>
        <v>49.826940307904728</v>
      </c>
      <c r="K376" s="18">
        <f t="shared" si="99"/>
        <v>5.8034374907185606</v>
      </c>
      <c r="L376" s="18">
        <f t="shared" si="100"/>
        <v>6.5395470086657674</v>
      </c>
      <c r="M376" s="18">
        <f t="shared" si="101"/>
        <v>6.5395470086657674</v>
      </c>
      <c r="N376" s="18">
        <f t="shared" si="102"/>
        <v>6.5395470086657674</v>
      </c>
      <c r="O376" s="16"/>
      <c r="P376" s="18">
        <f t="shared" si="97"/>
        <v>167.10731734666507</v>
      </c>
      <c r="Q376" s="18">
        <f t="shared" si="107"/>
        <v>359.15719233568944</v>
      </c>
      <c r="R376" s="18">
        <f t="shared" si="108"/>
        <v>0</v>
      </c>
      <c r="S376" s="18">
        <f t="shared" si="109"/>
        <v>0</v>
      </c>
      <c r="T376" s="18">
        <v>100</v>
      </c>
      <c r="U376" s="16"/>
      <c r="V376" s="18">
        <f t="shared" si="103"/>
        <v>626.26450968235451</v>
      </c>
      <c r="W376" s="16"/>
      <c r="X376" s="18">
        <f t="shared" si="104"/>
        <v>95936.073962312264</v>
      </c>
      <c r="Y376" s="18">
        <f t="shared" si="105"/>
        <v>309.73549031764549</v>
      </c>
      <c r="Z376" s="18"/>
      <c r="AA376" s="18">
        <f t="shared" si="106"/>
        <v>2.938042774777883E-4</v>
      </c>
    </row>
    <row r="377" spans="2:27" x14ac:dyDescent="0.35">
      <c r="B377" s="26">
        <v>106.5</v>
      </c>
      <c r="C377" s="26">
        <v>896</v>
      </c>
      <c r="D377" s="18">
        <f t="shared" si="96"/>
        <v>53.870209744003063</v>
      </c>
      <c r="E377" s="18">
        <f t="shared" si="96"/>
        <v>7.5759528641893601</v>
      </c>
      <c r="F377" s="18">
        <f t="shared" si="96"/>
        <v>8.447414907005955</v>
      </c>
      <c r="G377" s="18">
        <f t="shared" si="96"/>
        <v>8.447414907005955</v>
      </c>
      <c r="H377" s="18">
        <f t="shared" si="96"/>
        <v>8.447414907005955</v>
      </c>
      <c r="I377" s="16"/>
      <c r="J377" s="18">
        <f t="shared" si="98"/>
        <v>49.959006936122535</v>
      </c>
      <c r="K377" s="18">
        <f t="shared" si="99"/>
        <v>5.8154369407567179</v>
      </c>
      <c r="L377" s="18">
        <f t="shared" si="100"/>
        <v>6.5655748415399389</v>
      </c>
      <c r="M377" s="18">
        <f t="shared" si="101"/>
        <v>6.5655748415399389</v>
      </c>
      <c r="N377" s="18">
        <f t="shared" si="102"/>
        <v>6.5655748415399389</v>
      </c>
      <c r="O377" s="16"/>
      <c r="P377" s="18">
        <f t="shared" si="97"/>
        <v>166.2336345462806</v>
      </c>
      <c r="Q377" s="18">
        <f t="shared" si="107"/>
        <v>357.78507745689751</v>
      </c>
      <c r="R377" s="18">
        <f t="shared" si="108"/>
        <v>0</v>
      </c>
      <c r="S377" s="18">
        <f t="shared" si="109"/>
        <v>0</v>
      </c>
      <c r="T377" s="18">
        <v>100</v>
      </c>
      <c r="U377" s="16"/>
      <c r="V377" s="18">
        <f t="shared" si="103"/>
        <v>624.01871200317805</v>
      </c>
      <c r="W377" s="16"/>
      <c r="X377" s="18">
        <f t="shared" si="104"/>
        <v>73973.821020410207</v>
      </c>
      <c r="Y377" s="18">
        <f t="shared" si="105"/>
        <v>271.98128799682195</v>
      </c>
      <c r="Z377" s="18"/>
      <c r="AA377" s="18">
        <f t="shared" si="106"/>
        <v>2.5799195864004653E-4</v>
      </c>
    </row>
    <row r="378" spans="2:27" x14ac:dyDescent="0.35">
      <c r="B378" s="26">
        <v>106.80000000000001</v>
      </c>
      <c r="C378" s="26">
        <v>901</v>
      </c>
      <c r="D378" s="18">
        <f t="shared" si="96"/>
        <v>54.004923372304091</v>
      </c>
      <c r="E378" s="18">
        <f t="shared" si="96"/>
        <v>7.5900178248542245</v>
      </c>
      <c r="F378" s="18">
        <f t="shared" si="96"/>
        <v>8.4774149070059561</v>
      </c>
      <c r="G378" s="18">
        <f t="shared" si="96"/>
        <v>8.4774149070059561</v>
      </c>
      <c r="H378" s="18">
        <f t="shared" si="96"/>
        <v>8.4774149070059561</v>
      </c>
      <c r="I378" s="16"/>
      <c r="J378" s="18">
        <f t="shared" si="98"/>
        <v>50.09108041567869</v>
      </c>
      <c r="K378" s="18">
        <f t="shared" si="99"/>
        <v>5.8274400247436855</v>
      </c>
      <c r="L378" s="18">
        <f t="shared" si="100"/>
        <v>6.5916163199793285</v>
      </c>
      <c r="M378" s="18">
        <f t="shared" si="101"/>
        <v>6.5916163199793285</v>
      </c>
      <c r="N378" s="18">
        <f t="shared" si="102"/>
        <v>6.5916163199793285</v>
      </c>
      <c r="O378" s="16"/>
      <c r="P378" s="18">
        <f t="shared" si="97"/>
        <v>165.36674108419783</v>
      </c>
      <c r="Q378" s="18">
        <f t="shared" si="107"/>
        <v>356.42041490778945</v>
      </c>
      <c r="R378" s="18">
        <f t="shared" si="108"/>
        <v>0</v>
      </c>
      <c r="S378" s="18">
        <f t="shared" si="109"/>
        <v>0</v>
      </c>
      <c r="T378" s="18">
        <v>100</v>
      </c>
      <c r="U378" s="16"/>
      <c r="V378" s="18">
        <f t="shared" si="103"/>
        <v>621.78715599198722</v>
      </c>
      <c r="W378" s="16"/>
      <c r="X378" s="18">
        <f t="shared" si="104"/>
        <v>77959.812259042883</v>
      </c>
      <c r="Y378" s="18">
        <f t="shared" si="105"/>
        <v>279.21284400801278</v>
      </c>
      <c r="Z378" s="18"/>
      <c r="AA378" s="18">
        <f t="shared" si="106"/>
        <v>2.6485156031736534E-4</v>
      </c>
    </row>
    <row r="379" spans="2:27" x14ac:dyDescent="0.35">
      <c r="B379" s="26">
        <v>107.1</v>
      </c>
      <c r="C379" s="26">
        <v>906</v>
      </c>
      <c r="D379" s="18">
        <f t="shared" si="96"/>
        <v>54.139637000605113</v>
      </c>
      <c r="E379" s="18">
        <f t="shared" si="96"/>
        <v>7.6040827855190889</v>
      </c>
      <c r="F379" s="18">
        <f t="shared" si="96"/>
        <v>8.5074149070059555</v>
      </c>
      <c r="G379" s="18">
        <f t="shared" si="96"/>
        <v>8.5074149070059555</v>
      </c>
      <c r="H379" s="18">
        <f t="shared" si="96"/>
        <v>8.5074149070059555</v>
      </c>
      <c r="I379" s="16"/>
      <c r="J379" s="18">
        <f t="shared" si="98"/>
        <v>50.223160711549305</v>
      </c>
      <c r="K379" s="18">
        <f t="shared" si="99"/>
        <v>5.8394467310079676</v>
      </c>
      <c r="L379" s="18">
        <f t="shared" si="100"/>
        <v>6.6176713576081019</v>
      </c>
      <c r="M379" s="18">
        <f t="shared" si="101"/>
        <v>6.6176713576081019</v>
      </c>
      <c r="N379" s="18">
        <f t="shared" si="102"/>
        <v>6.6176713576081019</v>
      </c>
      <c r="O379" s="16"/>
      <c r="P379" s="18">
        <f t="shared" si="97"/>
        <v>164.50656714047196</v>
      </c>
      <c r="Q379" s="18">
        <f t="shared" si="107"/>
        <v>355.06315296140303</v>
      </c>
      <c r="R379" s="18">
        <f t="shared" si="108"/>
        <v>0</v>
      </c>
      <c r="S379" s="18">
        <f t="shared" si="109"/>
        <v>0</v>
      </c>
      <c r="T379" s="18">
        <v>100</v>
      </c>
      <c r="U379" s="16"/>
      <c r="V379" s="18">
        <f t="shared" si="103"/>
        <v>619.56972010187496</v>
      </c>
      <c r="W379" s="16"/>
      <c r="X379" s="18">
        <f t="shared" si="104"/>
        <v>82042.305242518254</v>
      </c>
      <c r="Y379" s="18">
        <f t="shared" si="105"/>
        <v>286.43027989812504</v>
      </c>
      <c r="Z379" s="18"/>
      <c r="AA379" s="18">
        <f t="shared" si="106"/>
        <v>2.7169776814056965E-4</v>
      </c>
    </row>
    <row r="380" spans="2:27" x14ac:dyDescent="0.35">
      <c r="B380" s="26">
        <v>107.4</v>
      </c>
      <c r="C380" s="26">
        <v>933</v>
      </c>
      <c r="D380" s="18">
        <f t="shared" si="96"/>
        <v>54.274350628906149</v>
      </c>
      <c r="E380" s="18">
        <f t="shared" si="96"/>
        <v>7.6181477461839533</v>
      </c>
      <c r="F380" s="18">
        <f t="shared" si="96"/>
        <v>8.5374149070059566</v>
      </c>
      <c r="G380" s="18">
        <f t="shared" si="96"/>
        <v>8.5374149070059566</v>
      </c>
      <c r="H380" s="18">
        <f t="shared" si="96"/>
        <v>8.5374149070059566</v>
      </c>
      <c r="I380" s="16"/>
      <c r="J380" s="18">
        <f t="shared" si="98"/>
        <v>50.355247788976591</v>
      </c>
      <c r="K380" s="18">
        <f t="shared" si="99"/>
        <v>5.8514570479302188</v>
      </c>
      <c r="L380" s="18">
        <f t="shared" si="100"/>
        <v>6.643739868818181</v>
      </c>
      <c r="M380" s="18">
        <f t="shared" si="101"/>
        <v>6.643739868818181</v>
      </c>
      <c r="N380" s="18">
        <f t="shared" si="102"/>
        <v>6.643739868818181</v>
      </c>
      <c r="O380" s="16"/>
      <c r="P380" s="18">
        <f t="shared" si="97"/>
        <v>163.65304378683982</v>
      </c>
      <c r="Q380" s="18">
        <f t="shared" si="107"/>
        <v>353.71324032361366</v>
      </c>
      <c r="R380" s="18">
        <f t="shared" si="108"/>
        <v>0</v>
      </c>
      <c r="S380" s="18">
        <f t="shared" si="109"/>
        <v>0</v>
      </c>
      <c r="T380" s="18">
        <v>100</v>
      </c>
      <c r="U380" s="16"/>
      <c r="V380" s="18">
        <f t="shared" si="103"/>
        <v>617.36628411045353</v>
      </c>
      <c r="W380" s="16"/>
      <c r="X380" s="18">
        <f t="shared" si="104"/>
        <v>99624.642606242938</v>
      </c>
      <c r="Y380" s="18">
        <f t="shared" si="105"/>
        <v>315.63371588954647</v>
      </c>
      <c r="Z380" s="18"/>
      <c r="AA380" s="18">
        <f t="shared" si="106"/>
        <v>2.9939912842876003E-4</v>
      </c>
    </row>
    <row r="381" spans="2:27" x14ac:dyDescent="0.35">
      <c r="B381" s="26">
        <v>107.70000000000002</v>
      </c>
      <c r="C381" s="26">
        <v>910</v>
      </c>
      <c r="D381" s="18">
        <f t="shared" si="96"/>
        <v>54.409064257207184</v>
      </c>
      <c r="E381" s="18">
        <f t="shared" si="96"/>
        <v>7.6322127068488186</v>
      </c>
      <c r="F381" s="18">
        <f t="shared" si="96"/>
        <v>8.5674149070059578</v>
      </c>
      <c r="G381" s="18">
        <f t="shared" si="96"/>
        <v>8.5674149070059578</v>
      </c>
      <c r="H381" s="18">
        <f t="shared" si="96"/>
        <v>8.5674149070059578</v>
      </c>
      <c r="I381" s="16"/>
      <c r="J381" s="18">
        <f t="shared" si="98"/>
        <v>50.4873416134661</v>
      </c>
      <c r="K381" s="18">
        <f t="shared" si="99"/>
        <v>5.8634709639429579</v>
      </c>
      <c r="L381" s="18">
        <f t="shared" si="100"/>
        <v>6.6698217687606816</v>
      </c>
      <c r="M381" s="18">
        <f t="shared" si="101"/>
        <v>6.6698217687606816</v>
      </c>
      <c r="N381" s="18">
        <f t="shared" si="102"/>
        <v>6.6698217687606816</v>
      </c>
      <c r="O381" s="16"/>
      <c r="P381" s="18">
        <f t="shared" si="97"/>
        <v>162.80610297313521</v>
      </c>
      <c r="Q381" s="18">
        <f t="shared" si="107"/>
        <v>352.37062612892709</v>
      </c>
      <c r="R381" s="18">
        <f t="shared" si="108"/>
        <v>0</v>
      </c>
      <c r="S381" s="18">
        <f t="shared" si="109"/>
        <v>0</v>
      </c>
      <c r="T381" s="18">
        <v>100</v>
      </c>
      <c r="U381" s="16"/>
      <c r="V381" s="18">
        <f t="shared" si="103"/>
        <v>615.17672910206227</v>
      </c>
      <c r="W381" s="16"/>
      <c r="X381" s="18">
        <f t="shared" si="104"/>
        <v>86920.761062958773</v>
      </c>
      <c r="Y381" s="18">
        <f t="shared" si="105"/>
        <v>294.82327089793773</v>
      </c>
      <c r="Z381" s="18"/>
      <c r="AA381" s="18">
        <f t="shared" si="106"/>
        <v>2.7965906651825534E-4</v>
      </c>
    </row>
    <row r="382" spans="2:27" x14ac:dyDescent="0.35">
      <c r="B382" s="26">
        <v>108.1</v>
      </c>
      <c r="C382" s="26">
        <v>905</v>
      </c>
      <c r="D382" s="18">
        <f t="shared" si="96"/>
        <v>54.588682428275213</v>
      </c>
      <c r="E382" s="18">
        <f t="shared" si="96"/>
        <v>7.6509659877353036</v>
      </c>
      <c r="F382" s="18">
        <f t="shared" si="96"/>
        <v>8.6074149070059551</v>
      </c>
      <c r="G382" s="18">
        <f t="shared" si="96"/>
        <v>8.6074149070059551</v>
      </c>
      <c r="H382" s="18">
        <f t="shared" si="96"/>
        <v>8.6074149070059551</v>
      </c>
      <c r="I382" s="16"/>
      <c r="J382" s="18">
        <f t="shared" si="98"/>
        <v>50.663477149083477</v>
      </c>
      <c r="K382" s="18">
        <f t="shared" si="99"/>
        <v>5.8794950973151625</v>
      </c>
      <c r="L382" s="18">
        <f t="shared" si="100"/>
        <v>6.7046183170201106</v>
      </c>
      <c r="M382" s="18">
        <f t="shared" si="101"/>
        <v>6.7046183170201106</v>
      </c>
      <c r="N382" s="18">
        <f t="shared" si="102"/>
        <v>6.7046183170201106</v>
      </c>
      <c r="O382" s="16"/>
      <c r="P382" s="18">
        <f t="shared" si="97"/>
        <v>161.68697206138916</v>
      </c>
      <c r="Q382" s="18">
        <f t="shared" si="107"/>
        <v>350.59173988166674</v>
      </c>
      <c r="R382" s="18">
        <f t="shared" si="108"/>
        <v>0</v>
      </c>
      <c r="S382" s="18">
        <f t="shared" si="109"/>
        <v>0</v>
      </c>
      <c r="T382" s="18">
        <v>100</v>
      </c>
      <c r="U382" s="16"/>
      <c r="V382" s="18">
        <f t="shared" si="103"/>
        <v>612.2787119430559</v>
      </c>
      <c r="W382" s="16"/>
      <c r="X382" s="18">
        <f t="shared" si="104"/>
        <v>85685.752481716452</v>
      </c>
      <c r="Y382" s="18">
        <f t="shared" si="105"/>
        <v>292.7212880569441</v>
      </c>
      <c r="Z382" s="18"/>
      <c r="AA382" s="18">
        <f t="shared" si="106"/>
        <v>2.7766519894681396E-4</v>
      </c>
    </row>
    <row r="383" spans="2:27" x14ac:dyDescent="0.35">
      <c r="B383" s="26">
        <v>108.4</v>
      </c>
      <c r="C383" s="26">
        <v>965</v>
      </c>
      <c r="D383" s="18">
        <f t="shared" si="96"/>
        <v>54.723396056576242</v>
      </c>
      <c r="E383" s="18">
        <f t="shared" si="96"/>
        <v>7.6650309484001689</v>
      </c>
      <c r="F383" s="18">
        <f t="shared" si="96"/>
        <v>8.6374149070059563</v>
      </c>
      <c r="G383" s="18">
        <f t="shared" si="96"/>
        <v>8.6374149070059563</v>
      </c>
      <c r="H383" s="18">
        <f t="shared" si="96"/>
        <v>8.6374149070059563</v>
      </c>
      <c r="I383" s="16"/>
      <c r="J383" s="18">
        <f t="shared" si="98"/>
        <v>50.795586584033011</v>
      </c>
      <c r="K383" s="18">
        <f t="shared" si="99"/>
        <v>5.8915173665102261</v>
      </c>
      <c r="L383" s="18">
        <f t="shared" si="100"/>
        <v>6.7307311315720915</v>
      </c>
      <c r="M383" s="18">
        <f t="shared" si="101"/>
        <v>6.7307311315720915</v>
      </c>
      <c r="N383" s="18">
        <f t="shared" si="102"/>
        <v>6.7307311315720915</v>
      </c>
      <c r="O383" s="16"/>
      <c r="P383" s="18">
        <f t="shared" si="97"/>
        <v>160.85513070101314</v>
      </c>
      <c r="Q383" s="18">
        <f t="shared" si="107"/>
        <v>349.26595995396599</v>
      </c>
      <c r="R383" s="18">
        <f t="shared" si="108"/>
        <v>0</v>
      </c>
      <c r="S383" s="18">
        <f t="shared" si="109"/>
        <v>0</v>
      </c>
      <c r="T383" s="18">
        <v>100</v>
      </c>
      <c r="U383" s="16"/>
      <c r="V383" s="18">
        <f t="shared" si="103"/>
        <v>610.12109065497907</v>
      </c>
      <c r="W383" s="16"/>
      <c r="X383" s="18">
        <f t="shared" si="104"/>
        <v>125939.04029791159</v>
      </c>
      <c r="Y383" s="18">
        <f t="shared" si="105"/>
        <v>354.87890934502093</v>
      </c>
      <c r="Z383" s="18"/>
      <c r="AA383" s="18">
        <f t="shared" si="106"/>
        <v>3.3662574942668581E-4</v>
      </c>
    </row>
    <row r="384" spans="2:27" x14ac:dyDescent="0.35">
      <c r="B384" s="26">
        <v>108.70000000000002</v>
      </c>
      <c r="C384" s="26">
        <v>885</v>
      </c>
      <c r="D384" s="18">
        <f t="shared" si="96"/>
        <v>54.858109684877277</v>
      </c>
      <c r="E384" s="18">
        <f t="shared" si="96"/>
        <v>7.6790959090650333</v>
      </c>
      <c r="F384" s="18">
        <f t="shared" si="96"/>
        <v>8.6674149070059574</v>
      </c>
      <c r="G384" s="18">
        <f t="shared" si="96"/>
        <v>8.6674149070059574</v>
      </c>
      <c r="H384" s="18">
        <f t="shared" si="96"/>
        <v>8.6674149070059574</v>
      </c>
      <c r="I384" s="16"/>
      <c r="J384" s="18">
        <f t="shared" si="98"/>
        <v>50.927702652931949</v>
      </c>
      <c r="K384" s="18">
        <f t="shared" si="99"/>
        <v>5.90354319660839</v>
      </c>
      <c r="L384" s="18">
        <f t="shared" si="100"/>
        <v>6.7568570574025379</v>
      </c>
      <c r="M384" s="18">
        <f t="shared" si="101"/>
        <v>6.7568570574025379</v>
      </c>
      <c r="N384" s="18">
        <f t="shared" si="102"/>
        <v>6.7568570574025379</v>
      </c>
      <c r="O384" s="16"/>
      <c r="P384" s="18">
        <f t="shared" si="97"/>
        <v>160.02965121889008</v>
      </c>
      <c r="Q384" s="18">
        <f t="shared" si="107"/>
        <v>347.94731196030426</v>
      </c>
      <c r="R384" s="18">
        <f t="shared" si="108"/>
        <v>0</v>
      </c>
      <c r="S384" s="18">
        <f t="shared" si="109"/>
        <v>0</v>
      </c>
      <c r="T384" s="18">
        <v>100</v>
      </c>
      <c r="U384" s="16"/>
      <c r="V384" s="18">
        <f t="shared" si="103"/>
        <v>607.9769631791944</v>
      </c>
      <c r="W384" s="16"/>
      <c r="X384" s="18">
        <f t="shared" si="104"/>
        <v>76741.762929421413</v>
      </c>
      <c r="Y384" s="18">
        <f t="shared" si="105"/>
        <v>277.0230368208056</v>
      </c>
      <c r="Z384" s="18"/>
      <c r="AA384" s="18">
        <f t="shared" si="106"/>
        <v>2.6277438563585475E-4</v>
      </c>
    </row>
    <row r="385" spans="2:27" x14ac:dyDescent="0.35">
      <c r="B385" s="26">
        <v>109</v>
      </c>
      <c r="C385" s="26">
        <v>882</v>
      </c>
      <c r="D385" s="18">
        <f t="shared" si="96"/>
        <v>54.992823313178299</v>
      </c>
      <c r="E385" s="18">
        <f t="shared" si="96"/>
        <v>7.6931608697298977</v>
      </c>
      <c r="F385" s="18">
        <f t="shared" si="96"/>
        <v>8.697414907005955</v>
      </c>
      <c r="G385" s="18">
        <f t="shared" si="96"/>
        <v>8.697414907005955</v>
      </c>
      <c r="H385" s="18">
        <f t="shared" si="96"/>
        <v>8.697414907005955</v>
      </c>
      <c r="I385" s="16"/>
      <c r="J385" s="18">
        <f t="shared" si="98"/>
        <v>51.05982532239711</v>
      </c>
      <c r="K385" s="18">
        <f t="shared" si="99"/>
        <v>5.91557257626362</v>
      </c>
      <c r="L385" s="18">
        <f t="shared" si="100"/>
        <v>6.7829960128563718</v>
      </c>
      <c r="M385" s="18">
        <f t="shared" si="101"/>
        <v>6.7829960128563718</v>
      </c>
      <c r="N385" s="18">
        <f t="shared" si="102"/>
        <v>6.7829960128563718</v>
      </c>
      <c r="O385" s="16"/>
      <c r="P385" s="18">
        <f t="shared" si="97"/>
        <v>159.21046921871238</v>
      </c>
      <c r="Q385" s="18">
        <f t="shared" si="107"/>
        <v>346.63574684508802</v>
      </c>
      <c r="R385" s="18">
        <f t="shared" si="108"/>
        <v>0</v>
      </c>
      <c r="S385" s="18">
        <f t="shared" si="109"/>
        <v>0</v>
      </c>
      <c r="T385" s="18">
        <v>100</v>
      </c>
      <c r="U385" s="16"/>
      <c r="V385" s="18">
        <f t="shared" si="103"/>
        <v>605.8462160638004</v>
      </c>
      <c r="W385" s="16"/>
      <c r="X385" s="18">
        <f t="shared" si="104"/>
        <v>76260.912382281211</v>
      </c>
      <c r="Y385" s="18">
        <f t="shared" si="105"/>
        <v>276.1537839361996</v>
      </c>
      <c r="Z385" s="18"/>
      <c r="AA385" s="18">
        <f t="shared" si="106"/>
        <v>2.6194984268326885E-4</v>
      </c>
    </row>
    <row r="386" spans="2:27" x14ac:dyDescent="0.35">
      <c r="B386" s="26">
        <v>109.30000000000001</v>
      </c>
      <c r="C386" s="26">
        <v>881</v>
      </c>
      <c r="D386" s="18">
        <f t="shared" si="96"/>
        <v>55.127536941479335</v>
      </c>
      <c r="E386" s="18">
        <f t="shared" si="96"/>
        <v>7.7072258303947621</v>
      </c>
      <c r="F386" s="18">
        <f t="shared" si="96"/>
        <v>8.7274149070059561</v>
      </c>
      <c r="G386" s="18">
        <f t="shared" si="96"/>
        <v>8.7274149070059561</v>
      </c>
      <c r="H386" s="18">
        <f t="shared" si="96"/>
        <v>8.7274149070059561</v>
      </c>
      <c r="I386" s="16"/>
      <c r="J386" s="18">
        <f t="shared" si="98"/>
        <v>51.191954559295034</v>
      </c>
      <c r="K386" s="18">
        <f t="shared" si="99"/>
        <v>5.9276054941802343</v>
      </c>
      <c r="L386" s="18">
        <f t="shared" si="100"/>
        <v>6.8091479169939859</v>
      </c>
      <c r="M386" s="18">
        <f t="shared" si="101"/>
        <v>6.8091479169939859</v>
      </c>
      <c r="N386" s="18">
        <f t="shared" si="102"/>
        <v>6.8091479169939859</v>
      </c>
      <c r="O386" s="16"/>
      <c r="P386" s="18">
        <f t="shared" si="97"/>
        <v>158.3975211137533</v>
      </c>
      <c r="Q386" s="18">
        <f t="shared" si="107"/>
        <v>345.33121595968464</v>
      </c>
      <c r="R386" s="18">
        <f t="shared" si="108"/>
        <v>0</v>
      </c>
      <c r="S386" s="18">
        <f t="shared" si="109"/>
        <v>0</v>
      </c>
      <c r="T386" s="18">
        <v>100</v>
      </c>
      <c r="U386" s="16"/>
      <c r="V386" s="18">
        <f t="shared" si="103"/>
        <v>603.72873707343797</v>
      </c>
      <c r="W386" s="16"/>
      <c r="X386" s="18">
        <f t="shared" si="104"/>
        <v>76879.353244890692</v>
      </c>
      <c r="Y386" s="18">
        <f t="shared" si="105"/>
        <v>277.27126292656203</v>
      </c>
      <c r="Z386" s="18"/>
      <c r="AA386" s="18">
        <f t="shared" si="106"/>
        <v>2.6300984425759068E-4</v>
      </c>
    </row>
    <row r="387" spans="2:27" x14ac:dyDescent="0.35">
      <c r="B387" s="26">
        <v>109.6</v>
      </c>
      <c r="C387" s="26">
        <v>942</v>
      </c>
      <c r="D387" s="18">
        <f t="shared" si="96"/>
        <v>55.262250569780356</v>
      </c>
      <c r="E387" s="18">
        <f t="shared" si="96"/>
        <v>7.7212907910596265</v>
      </c>
      <c r="F387" s="18">
        <f t="shared" si="96"/>
        <v>8.7574149070059555</v>
      </c>
      <c r="G387" s="18">
        <f t="shared" si="96"/>
        <v>8.7574149070059555</v>
      </c>
      <c r="H387" s="18">
        <f t="shared" si="96"/>
        <v>8.7574149070059555</v>
      </c>
      <c r="I387" s="16"/>
      <c r="J387" s="18">
        <f t="shared" si="98"/>
        <v>51.324090330739402</v>
      </c>
      <c r="K387" s="18">
        <f t="shared" si="99"/>
        <v>5.9396419391126303</v>
      </c>
      <c r="L387" s="18">
        <f t="shared" si="100"/>
        <v>6.8353126895833602</v>
      </c>
      <c r="M387" s="18">
        <f t="shared" si="101"/>
        <v>6.8353126895833602</v>
      </c>
      <c r="N387" s="18">
        <f t="shared" si="102"/>
        <v>6.8353126895833602</v>
      </c>
      <c r="O387" s="16"/>
      <c r="P387" s="18">
        <f t="shared" si="97"/>
        <v>157.5907441147246</v>
      </c>
      <c r="Q387" s="18">
        <f t="shared" si="107"/>
        <v>344.03367105849844</v>
      </c>
      <c r="R387" s="18">
        <f t="shared" si="108"/>
        <v>0</v>
      </c>
      <c r="S387" s="18">
        <f t="shared" si="109"/>
        <v>0</v>
      </c>
      <c r="T387" s="18">
        <v>100</v>
      </c>
      <c r="U387" s="16"/>
      <c r="V387" s="18">
        <f t="shared" si="103"/>
        <v>601.62441517322304</v>
      </c>
      <c r="W387" s="16"/>
      <c r="X387" s="18">
        <f t="shared" si="104"/>
        <v>115855.53874617044</v>
      </c>
      <c r="Y387" s="18">
        <f t="shared" si="105"/>
        <v>340.37558482677696</v>
      </c>
      <c r="Z387" s="18"/>
      <c r="AA387" s="18">
        <f t="shared" si="106"/>
        <v>3.2286840190174254E-4</v>
      </c>
    </row>
    <row r="388" spans="2:27" x14ac:dyDescent="0.35">
      <c r="B388" s="26">
        <v>110</v>
      </c>
      <c r="C388" s="26">
        <v>961</v>
      </c>
      <c r="D388" s="18">
        <f t="shared" si="96"/>
        <v>55.441868740848392</v>
      </c>
      <c r="E388" s="18">
        <f t="shared" si="96"/>
        <v>7.7400440719461123</v>
      </c>
      <c r="F388" s="18">
        <f t="shared" si="96"/>
        <v>8.7974149070059546</v>
      </c>
      <c r="G388" s="18">
        <f t="shared" si="96"/>
        <v>8.7974149070059546</v>
      </c>
      <c r="H388" s="18">
        <f t="shared" si="96"/>
        <v>8.7974149070059546</v>
      </c>
      <c r="I388" s="16"/>
      <c r="J388" s="18">
        <f t="shared" si="98"/>
        <v>51.500281467799475</v>
      </c>
      <c r="K388" s="18">
        <f t="shared" si="99"/>
        <v>5.955695999481188</v>
      </c>
      <c r="L388" s="18">
        <f t="shared" si="100"/>
        <v>6.8702189332642902</v>
      </c>
      <c r="M388" s="18">
        <f t="shared" si="101"/>
        <v>6.8702189332642902</v>
      </c>
      <c r="N388" s="18">
        <f t="shared" si="102"/>
        <v>6.8702189332642902</v>
      </c>
      <c r="O388" s="16"/>
      <c r="P388" s="18">
        <f t="shared" si="97"/>
        <v>156.52453389210746</v>
      </c>
      <c r="Q388" s="18">
        <f t="shared" si="107"/>
        <v>342.31439563627362</v>
      </c>
      <c r="R388" s="18">
        <f t="shared" si="108"/>
        <v>0</v>
      </c>
      <c r="S388" s="18">
        <f t="shared" si="109"/>
        <v>0</v>
      </c>
      <c r="T388" s="18">
        <v>100</v>
      </c>
      <c r="U388" s="16"/>
      <c r="V388" s="18">
        <f t="shared" si="103"/>
        <v>598.83892952838107</v>
      </c>
      <c r="W388" s="16"/>
      <c r="X388" s="18">
        <f t="shared" si="104"/>
        <v>131160.64096514892</v>
      </c>
      <c r="Y388" s="18">
        <f t="shared" si="105"/>
        <v>362.16107047161893</v>
      </c>
      <c r="Z388" s="18"/>
      <c r="AA388" s="18">
        <f t="shared" si="106"/>
        <v>3.4353335335054612E-4</v>
      </c>
    </row>
    <row r="389" spans="2:27" x14ac:dyDescent="0.35">
      <c r="B389" s="26">
        <v>110.30000000000001</v>
      </c>
      <c r="C389" s="26">
        <v>920</v>
      </c>
      <c r="D389" s="18">
        <f t="shared" si="96"/>
        <v>55.576582369149428</v>
      </c>
      <c r="E389" s="18">
        <f t="shared" si="96"/>
        <v>7.7541090326109776</v>
      </c>
      <c r="F389" s="18">
        <f t="shared" si="96"/>
        <v>8.8274149070059558</v>
      </c>
      <c r="G389" s="18">
        <f t="shared" si="96"/>
        <v>8.8274149070059558</v>
      </c>
      <c r="H389" s="18">
        <f t="shared" si="96"/>
        <v>8.8274149070059558</v>
      </c>
      <c r="I389" s="16"/>
      <c r="J389" s="18">
        <f t="shared" si="98"/>
        <v>51.632432359998248</v>
      </c>
      <c r="K389" s="18">
        <f t="shared" si="99"/>
        <v>5.9677406306634131</v>
      </c>
      <c r="L389" s="18">
        <f t="shared" si="100"/>
        <v>6.8964134241445132</v>
      </c>
      <c r="M389" s="18">
        <f t="shared" si="101"/>
        <v>6.8964134241445132</v>
      </c>
      <c r="N389" s="18">
        <f t="shared" si="102"/>
        <v>6.8964134241445132</v>
      </c>
      <c r="O389" s="16"/>
      <c r="P389" s="18">
        <f t="shared" si="97"/>
        <v>155.73191635016494</v>
      </c>
      <c r="Q389" s="18">
        <f t="shared" si="107"/>
        <v>341.03296597816149</v>
      </c>
      <c r="R389" s="18">
        <f t="shared" si="108"/>
        <v>0</v>
      </c>
      <c r="S389" s="18">
        <f t="shared" si="109"/>
        <v>0</v>
      </c>
      <c r="T389" s="18">
        <v>100</v>
      </c>
      <c r="U389" s="16"/>
      <c r="V389" s="18">
        <f t="shared" si="103"/>
        <v>596.76488232832639</v>
      </c>
      <c r="W389" s="16"/>
      <c r="X389" s="18">
        <f t="shared" si="104"/>
        <v>104480.94129622068</v>
      </c>
      <c r="Y389" s="18">
        <f t="shared" si="105"/>
        <v>323.23511767167361</v>
      </c>
      <c r="Z389" s="18"/>
      <c r="AA389" s="18">
        <f t="shared" si="106"/>
        <v>3.066095528981222E-4</v>
      </c>
    </row>
    <row r="390" spans="2:27" x14ac:dyDescent="0.35">
      <c r="B390" s="26">
        <v>110.6</v>
      </c>
      <c r="C390" s="26">
        <v>926</v>
      </c>
      <c r="D390" s="18">
        <f t="shared" si="96"/>
        <v>55.711295997450449</v>
      </c>
      <c r="E390" s="18">
        <f t="shared" si="96"/>
        <v>7.7681739932758411</v>
      </c>
      <c r="F390" s="18">
        <f t="shared" si="96"/>
        <v>8.8574149070059551</v>
      </c>
      <c r="G390" s="18">
        <f t="shared" si="96"/>
        <v>8.8574149070059551</v>
      </c>
      <c r="H390" s="18">
        <f t="shared" si="96"/>
        <v>8.8574149070059551</v>
      </c>
      <c r="I390" s="16"/>
      <c r="J390" s="18">
        <f t="shared" si="98"/>
        <v>51.76458967887681</v>
      </c>
      <c r="K390" s="18">
        <f t="shared" si="99"/>
        <v>5.9797887517342243</v>
      </c>
      <c r="L390" s="18">
        <f t="shared" si="100"/>
        <v>6.9226205210478859</v>
      </c>
      <c r="M390" s="18">
        <f t="shared" si="101"/>
        <v>6.9226205210478859</v>
      </c>
      <c r="N390" s="18">
        <f t="shared" si="102"/>
        <v>6.9226205210478859</v>
      </c>
      <c r="O390" s="16"/>
      <c r="P390" s="18">
        <f t="shared" si="97"/>
        <v>154.94526622414213</v>
      </c>
      <c r="Q390" s="18">
        <f t="shared" si="107"/>
        <v>339.75836434693036</v>
      </c>
      <c r="R390" s="18">
        <f t="shared" si="108"/>
        <v>0</v>
      </c>
      <c r="S390" s="18">
        <f t="shared" si="109"/>
        <v>0</v>
      </c>
      <c r="T390" s="18">
        <v>100</v>
      </c>
      <c r="U390" s="16"/>
      <c r="V390" s="18">
        <f t="shared" si="103"/>
        <v>594.70363057107249</v>
      </c>
      <c r="W390" s="16"/>
      <c r="X390" s="18">
        <f t="shared" si="104"/>
        <v>109757.28439678841</v>
      </c>
      <c r="Y390" s="18">
        <f t="shared" si="105"/>
        <v>331.29636942892751</v>
      </c>
      <c r="Z390" s="18"/>
      <c r="AA390" s="18">
        <f t="shared" si="106"/>
        <v>3.1425617500680474E-4</v>
      </c>
    </row>
    <row r="391" spans="2:27" x14ac:dyDescent="0.35">
      <c r="B391" s="26">
        <v>110.9</v>
      </c>
      <c r="C391" s="26">
        <v>844</v>
      </c>
      <c r="D391" s="18">
        <f t="shared" si="96"/>
        <v>55.846009625751485</v>
      </c>
      <c r="E391" s="18">
        <f t="shared" si="96"/>
        <v>7.7822389539407064</v>
      </c>
      <c r="F391" s="18">
        <f t="shared" si="96"/>
        <v>8.8874149070059563</v>
      </c>
      <c r="G391" s="18">
        <f t="shared" si="96"/>
        <v>8.8874149070059563</v>
      </c>
      <c r="H391" s="18">
        <f t="shared" si="96"/>
        <v>8.8874149070059563</v>
      </c>
      <c r="I391" s="16"/>
      <c r="J391" s="18">
        <f t="shared" si="98"/>
        <v>51.896753392592316</v>
      </c>
      <c r="K391" s="18">
        <f t="shared" si="99"/>
        <v>5.9918403516618648</v>
      </c>
      <c r="L391" s="18">
        <f t="shared" si="100"/>
        <v>6.9488401467201717</v>
      </c>
      <c r="M391" s="18">
        <f t="shared" si="101"/>
        <v>6.9488401467201717</v>
      </c>
      <c r="N391" s="18">
        <f t="shared" si="102"/>
        <v>6.9488401467201717</v>
      </c>
      <c r="O391" s="16"/>
      <c r="P391" s="18">
        <f t="shared" si="97"/>
        <v>154.16452404506475</v>
      </c>
      <c r="Q391" s="18">
        <f t="shared" si="107"/>
        <v>338.49054419917655</v>
      </c>
      <c r="R391" s="18">
        <f t="shared" si="108"/>
        <v>0</v>
      </c>
      <c r="S391" s="18">
        <f t="shared" si="109"/>
        <v>0</v>
      </c>
      <c r="T391" s="18">
        <v>100</v>
      </c>
      <c r="U391" s="16"/>
      <c r="V391" s="18">
        <f t="shared" si="103"/>
        <v>592.65506824424131</v>
      </c>
      <c r="W391" s="16"/>
      <c r="X391" s="18">
        <f t="shared" si="104"/>
        <v>63174.274719306995</v>
      </c>
      <c r="Y391" s="18">
        <f t="shared" si="105"/>
        <v>251.34493175575869</v>
      </c>
      <c r="Z391" s="18"/>
      <c r="AA391" s="18">
        <f t="shared" si="106"/>
        <v>2.3841703124324756E-4</v>
      </c>
    </row>
    <row r="392" spans="2:27" x14ac:dyDescent="0.35">
      <c r="B392" s="26">
        <v>111.20000000000002</v>
      </c>
      <c r="C392" s="26">
        <v>870</v>
      </c>
      <c r="D392" s="18">
        <f t="shared" si="96"/>
        <v>55.980723254052513</v>
      </c>
      <c r="E392" s="18">
        <f t="shared" si="96"/>
        <v>7.7963039146055708</v>
      </c>
      <c r="F392" s="18">
        <f t="shared" si="96"/>
        <v>8.9174149070059574</v>
      </c>
      <c r="G392" s="18">
        <f t="shared" si="96"/>
        <v>8.9174149070059574</v>
      </c>
      <c r="H392" s="18">
        <f t="shared" si="96"/>
        <v>8.9174149070059574</v>
      </c>
      <c r="I392" s="16"/>
      <c r="J392" s="18">
        <f t="shared" si="98"/>
        <v>52.028923469536402</v>
      </c>
      <c r="K392" s="18">
        <f t="shared" si="99"/>
        <v>6.0038954194632064</v>
      </c>
      <c r="L392" s="18">
        <f t="shared" si="100"/>
        <v>6.9750722245744408</v>
      </c>
      <c r="M392" s="18">
        <f t="shared" si="101"/>
        <v>6.9750722245744408</v>
      </c>
      <c r="N392" s="18">
        <f t="shared" si="102"/>
        <v>6.9750722245744408</v>
      </c>
      <c r="O392" s="16"/>
      <c r="P392" s="18">
        <f t="shared" si="97"/>
        <v>153.38963108010225</v>
      </c>
      <c r="Q392" s="18">
        <f t="shared" si="107"/>
        <v>337.22945937431973</v>
      </c>
      <c r="R392" s="18">
        <f t="shared" si="108"/>
        <v>0</v>
      </c>
      <c r="S392" s="18">
        <f t="shared" si="109"/>
        <v>0</v>
      </c>
      <c r="T392" s="18">
        <v>100</v>
      </c>
      <c r="U392" s="16"/>
      <c r="V392" s="18">
        <f t="shared" si="103"/>
        <v>590.61909045442201</v>
      </c>
      <c r="W392" s="16"/>
      <c r="X392" s="18">
        <f t="shared" si="104"/>
        <v>78053.692618514426</v>
      </c>
      <c r="Y392" s="18">
        <f t="shared" si="105"/>
        <v>279.38090954557799</v>
      </c>
      <c r="Z392" s="18"/>
      <c r="AA392" s="18">
        <f t="shared" si="106"/>
        <v>2.6501098142142615E-4</v>
      </c>
    </row>
    <row r="393" spans="2:27" x14ac:dyDescent="0.35">
      <c r="B393" s="26">
        <v>111.5</v>
      </c>
      <c r="C393" s="26">
        <v>910</v>
      </c>
      <c r="D393" s="18">
        <f t="shared" si="96"/>
        <v>56.115436882353535</v>
      </c>
      <c r="E393" s="18">
        <f t="shared" si="96"/>
        <v>7.8103688752704352</v>
      </c>
      <c r="F393" s="18">
        <f t="shared" si="96"/>
        <v>8.947414907005955</v>
      </c>
      <c r="G393" s="18">
        <f t="shared" si="96"/>
        <v>8.947414907005955</v>
      </c>
      <c r="H393" s="18">
        <f t="shared" si="96"/>
        <v>8.947414907005955</v>
      </c>
      <c r="I393" s="16"/>
      <c r="J393" s="18">
        <f t="shared" si="98"/>
        <v>52.161099878332976</v>
      </c>
      <c r="K393" s="18">
        <f t="shared" si="99"/>
        <v>6.0159539442034831</v>
      </c>
      <c r="L393" s="18">
        <f t="shared" si="100"/>
        <v>7.0013166786838239</v>
      </c>
      <c r="M393" s="18">
        <f t="shared" si="101"/>
        <v>7.0013166786838239</v>
      </c>
      <c r="N393" s="18">
        <f t="shared" si="102"/>
        <v>7.0013166786838239</v>
      </c>
      <c r="O393" s="16"/>
      <c r="P393" s="18">
        <f t="shared" si="97"/>
        <v>152.62052932169422</v>
      </c>
      <c r="Q393" s="18">
        <f t="shared" si="107"/>
        <v>335.97506409094251</v>
      </c>
      <c r="R393" s="18">
        <f t="shared" si="108"/>
        <v>0</v>
      </c>
      <c r="S393" s="18">
        <f t="shared" si="109"/>
        <v>0</v>
      </c>
      <c r="T393" s="18">
        <v>100</v>
      </c>
      <c r="U393" s="16"/>
      <c r="V393" s="18">
        <f t="shared" si="103"/>
        <v>588.59559341263673</v>
      </c>
      <c r="W393" s="16"/>
      <c r="X393" s="18">
        <f t="shared" si="104"/>
        <v>103300.79257377512</v>
      </c>
      <c r="Y393" s="18">
        <f t="shared" si="105"/>
        <v>321.40440658736327</v>
      </c>
      <c r="Z393" s="18"/>
      <c r="AA393" s="18">
        <f t="shared" si="106"/>
        <v>3.0487300424867692E-4</v>
      </c>
    </row>
    <row r="394" spans="2:27" x14ac:dyDescent="0.35">
      <c r="B394" s="26">
        <v>111.80000000000001</v>
      </c>
      <c r="C394" s="26">
        <v>878</v>
      </c>
      <c r="D394" s="18">
        <f t="shared" si="96"/>
        <v>56.250150510654571</v>
      </c>
      <c r="E394" s="18">
        <f t="shared" si="96"/>
        <v>7.8244338359352996</v>
      </c>
      <c r="F394" s="18">
        <f t="shared" si="96"/>
        <v>8.9774149070059561</v>
      </c>
      <c r="G394" s="18">
        <f t="shared" si="96"/>
        <v>8.9774149070059561</v>
      </c>
      <c r="H394" s="18">
        <f t="shared" si="96"/>
        <v>8.9774149070059561</v>
      </c>
      <c r="I394" s="16"/>
      <c r="J394" s="18">
        <f t="shared" si="98"/>
        <v>52.293282587835954</v>
      </c>
      <c r="K394" s="18">
        <f t="shared" si="99"/>
        <v>6.0280159149960308</v>
      </c>
      <c r="L394" s="18">
        <f t="shared" si="100"/>
        <v>7.0275734337743652</v>
      </c>
      <c r="M394" s="18">
        <f t="shared" si="101"/>
        <v>7.0275734337743652</v>
      </c>
      <c r="N394" s="18">
        <f t="shared" si="102"/>
        <v>7.0275734337743652</v>
      </c>
      <c r="O394" s="16"/>
      <c r="P394" s="18">
        <f t="shared" si="97"/>
        <v>151.85716147686406</v>
      </c>
      <c r="Q394" s="18">
        <f t="shared" si="107"/>
        <v>334.72731294316856</v>
      </c>
      <c r="R394" s="18">
        <f t="shared" si="108"/>
        <v>0</v>
      </c>
      <c r="S394" s="18">
        <f t="shared" si="109"/>
        <v>0</v>
      </c>
      <c r="T394" s="18">
        <v>100</v>
      </c>
      <c r="U394" s="16"/>
      <c r="V394" s="18">
        <f t="shared" si="103"/>
        <v>586.58447442003262</v>
      </c>
      <c r="W394" s="16"/>
      <c r="X394" s="18">
        <f t="shared" si="104"/>
        <v>84923.008549048624</v>
      </c>
      <c r="Y394" s="18">
        <f t="shared" si="105"/>
        <v>291.41552557996738</v>
      </c>
      <c r="Z394" s="18"/>
      <c r="AA394" s="18">
        <f t="shared" si="106"/>
        <v>2.7642659822749594E-4</v>
      </c>
    </row>
    <row r="395" spans="2:27" x14ac:dyDescent="0.35">
      <c r="B395" s="26">
        <v>112.20000000000002</v>
      </c>
      <c r="C395" s="26">
        <v>861</v>
      </c>
      <c r="D395" s="18">
        <f t="shared" si="96"/>
        <v>56.429768681722607</v>
      </c>
      <c r="E395" s="18">
        <f t="shared" si="96"/>
        <v>7.8431871168217864</v>
      </c>
      <c r="F395" s="18">
        <f t="shared" si="96"/>
        <v>9.017414907005957</v>
      </c>
      <c r="G395" s="18">
        <f t="shared" si="96"/>
        <v>9.017414907005957</v>
      </c>
      <c r="H395" s="18">
        <f t="shared" si="96"/>
        <v>9.017414907005957</v>
      </c>
      <c r="I395" s="16"/>
      <c r="J395" s="18">
        <f t="shared" si="98"/>
        <v>52.469535948198818</v>
      </c>
      <c r="K395" s="18">
        <f t="shared" si="99"/>
        <v>6.0441038845182611</v>
      </c>
      <c r="L395" s="18">
        <f t="shared" si="100"/>
        <v>7.0626014465265996</v>
      </c>
      <c r="M395" s="18">
        <f t="shared" si="101"/>
        <v>7.0626014465265996</v>
      </c>
      <c r="N395" s="18">
        <f t="shared" si="102"/>
        <v>7.0626014465265996</v>
      </c>
      <c r="O395" s="16"/>
      <c r="P395" s="18">
        <f t="shared" si="97"/>
        <v>150.84815939702833</v>
      </c>
      <c r="Q395" s="18">
        <f t="shared" si="107"/>
        <v>333.0739022849192</v>
      </c>
      <c r="R395" s="18">
        <f t="shared" si="108"/>
        <v>0</v>
      </c>
      <c r="S395" s="18">
        <f t="shared" si="109"/>
        <v>0</v>
      </c>
      <c r="T395" s="18">
        <v>100</v>
      </c>
      <c r="U395" s="16"/>
      <c r="V395" s="18">
        <f t="shared" si="103"/>
        <v>583.92206168194753</v>
      </c>
      <c r="W395" s="16"/>
      <c r="X395" s="18">
        <f t="shared" si="104"/>
        <v>76772.183902582488</v>
      </c>
      <c r="Y395" s="18">
        <f t="shared" si="105"/>
        <v>277.07793831805247</v>
      </c>
      <c r="Z395" s="18"/>
      <c r="AA395" s="18">
        <f t="shared" si="106"/>
        <v>2.628264632802814E-4</v>
      </c>
    </row>
    <row r="396" spans="2:27" x14ac:dyDescent="0.35">
      <c r="B396" s="26">
        <v>112.5</v>
      </c>
      <c r="C396" s="26">
        <v>881</v>
      </c>
      <c r="D396" s="18">
        <f t="shared" si="96"/>
        <v>56.564482310023628</v>
      </c>
      <c r="E396" s="18">
        <f t="shared" si="96"/>
        <v>7.8572520774866499</v>
      </c>
      <c r="F396" s="18">
        <f t="shared" si="96"/>
        <v>9.0474149070059546</v>
      </c>
      <c r="G396" s="18">
        <f t="shared" si="96"/>
        <v>9.0474149070059546</v>
      </c>
      <c r="H396" s="18">
        <f t="shared" si="96"/>
        <v>9.0474149070059546</v>
      </c>
      <c r="I396" s="16"/>
      <c r="J396" s="18">
        <f t="shared" si="98"/>
        <v>52.601733239501527</v>
      </c>
      <c r="K396" s="18">
        <f t="shared" si="99"/>
        <v>6.0561738540306305</v>
      </c>
      <c r="L396" s="18">
        <f t="shared" si="100"/>
        <v>7.0888866147892378</v>
      </c>
      <c r="M396" s="18">
        <f t="shared" si="101"/>
        <v>7.0888866147892378</v>
      </c>
      <c r="N396" s="18">
        <f t="shared" si="102"/>
        <v>7.0888866147892378</v>
      </c>
      <c r="O396" s="16"/>
      <c r="P396" s="18">
        <f t="shared" si="97"/>
        <v>150.09795181356662</v>
      </c>
      <c r="Q396" s="18">
        <f t="shared" si="107"/>
        <v>331.84147962458644</v>
      </c>
      <c r="R396" s="18">
        <f t="shared" si="108"/>
        <v>0</v>
      </c>
      <c r="S396" s="18">
        <f t="shared" si="109"/>
        <v>0</v>
      </c>
      <c r="T396" s="18">
        <v>100</v>
      </c>
      <c r="U396" s="16"/>
      <c r="V396" s="18">
        <f t="shared" si="103"/>
        <v>581.93943143815306</v>
      </c>
      <c r="W396" s="16"/>
      <c r="X396" s="18">
        <f t="shared" si="104"/>
        <v>89437.223668535153</v>
      </c>
      <c r="Y396" s="18">
        <f t="shared" si="105"/>
        <v>299.06056856184694</v>
      </c>
      <c r="Z396" s="18"/>
      <c r="AA396" s="18">
        <f t="shared" si="106"/>
        <v>2.8367841921602473E-4</v>
      </c>
    </row>
    <row r="397" spans="2:27" x14ac:dyDescent="0.35">
      <c r="B397" s="26">
        <v>112.80000000000001</v>
      </c>
      <c r="C397" s="26">
        <v>825</v>
      </c>
      <c r="D397" s="18">
        <f t="shared" si="96"/>
        <v>56.699195938324664</v>
      </c>
      <c r="E397" s="18">
        <f t="shared" si="96"/>
        <v>7.8713170381515152</v>
      </c>
      <c r="F397" s="18">
        <f t="shared" si="96"/>
        <v>9.0774149070059558</v>
      </c>
      <c r="G397" s="18">
        <f t="shared" si="96"/>
        <v>9.0774149070059558</v>
      </c>
      <c r="H397" s="18">
        <f t="shared" si="96"/>
        <v>9.0774149070059558</v>
      </c>
      <c r="I397" s="16"/>
      <c r="J397" s="18">
        <f t="shared" si="98"/>
        <v>52.733936729322856</v>
      </c>
      <c r="K397" s="18">
        <f t="shared" si="99"/>
        <v>6.0682472336504105</v>
      </c>
      <c r="L397" s="18">
        <f t="shared" si="100"/>
        <v>7.115183837745203</v>
      </c>
      <c r="M397" s="18">
        <f t="shared" si="101"/>
        <v>7.115183837745203</v>
      </c>
      <c r="N397" s="18">
        <f t="shared" si="102"/>
        <v>7.115183837745203</v>
      </c>
      <c r="O397" s="16"/>
      <c r="P397" s="18">
        <f t="shared" si="97"/>
        <v>149.35329219444762</v>
      </c>
      <c r="Q397" s="18">
        <f t="shared" si="107"/>
        <v>330.61555241348043</v>
      </c>
      <c r="R397" s="18">
        <f t="shared" si="108"/>
        <v>0</v>
      </c>
      <c r="S397" s="18">
        <f t="shared" si="109"/>
        <v>0</v>
      </c>
      <c r="T397" s="18">
        <v>100</v>
      </c>
      <c r="U397" s="16"/>
      <c r="V397" s="18">
        <f t="shared" si="103"/>
        <v>579.96884460792808</v>
      </c>
      <c r="W397" s="16"/>
      <c r="X397" s="18">
        <f t="shared" si="104"/>
        <v>60040.267112773698</v>
      </c>
      <c r="Y397" s="18">
        <f t="shared" si="105"/>
        <v>245.03115539207192</v>
      </c>
      <c r="Z397" s="18"/>
      <c r="AA397" s="18">
        <f t="shared" si="106"/>
        <v>2.3242800331239297E-4</v>
      </c>
    </row>
    <row r="398" spans="2:27" x14ac:dyDescent="0.35">
      <c r="B398" s="26">
        <v>113.1</v>
      </c>
      <c r="C398" s="26">
        <v>960</v>
      </c>
      <c r="D398" s="18">
        <f t="shared" si="96"/>
        <v>56.833909566625685</v>
      </c>
      <c r="E398" s="18">
        <f t="shared" si="96"/>
        <v>7.8853819988163787</v>
      </c>
      <c r="F398" s="18">
        <f t="shared" si="96"/>
        <v>9.1074149070059551</v>
      </c>
      <c r="G398" s="18">
        <f t="shared" si="96"/>
        <v>9.1074149070059551</v>
      </c>
      <c r="H398" s="18">
        <f t="shared" si="96"/>
        <v>9.1074149070059551</v>
      </c>
      <c r="I398" s="16"/>
      <c r="J398" s="18">
        <f t="shared" si="98"/>
        <v>52.866146387487859</v>
      </c>
      <c r="K398" s="18">
        <f t="shared" si="99"/>
        <v>6.080324012696348</v>
      </c>
      <c r="L398" s="18">
        <f t="shared" si="100"/>
        <v>7.1414930428692793</v>
      </c>
      <c r="M398" s="18">
        <f t="shared" si="101"/>
        <v>7.1414930428692793</v>
      </c>
      <c r="N398" s="18">
        <f t="shared" si="102"/>
        <v>7.1414930428692793</v>
      </c>
      <c r="O398" s="16"/>
      <c r="P398" s="18">
        <f t="shared" si="97"/>
        <v>148.61412622412135</v>
      </c>
      <c r="Q398" s="18">
        <f t="shared" si="107"/>
        <v>329.39607683217486</v>
      </c>
      <c r="R398" s="18">
        <f t="shared" si="108"/>
        <v>0</v>
      </c>
      <c r="S398" s="18">
        <f t="shared" si="109"/>
        <v>0</v>
      </c>
      <c r="T398" s="18">
        <v>100</v>
      </c>
      <c r="U398" s="16"/>
      <c r="V398" s="18">
        <f t="shared" si="103"/>
        <v>578.01020305629618</v>
      </c>
      <c r="W398" s="16"/>
      <c r="X398" s="18">
        <f t="shared" si="104"/>
        <v>145916.20496909207</v>
      </c>
      <c r="Y398" s="18">
        <f t="shared" si="105"/>
        <v>381.98979694370382</v>
      </c>
      <c r="Z398" s="18"/>
      <c r="AA398" s="18">
        <f t="shared" si="106"/>
        <v>3.6234219133182189E-4</v>
      </c>
    </row>
    <row r="399" spans="2:27" x14ac:dyDescent="0.35">
      <c r="B399" s="26">
        <v>113.4</v>
      </c>
      <c r="C399" s="26">
        <v>893</v>
      </c>
      <c r="D399" s="18">
        <f t="shared" si="96"/>
        <v>56.968623194926721</v>
      </c>
      <c r="E399" s="18">
        <f t="shared" si="96"/>
        <v>7.899446959481244</v>
      </c>
      <c r="F399" s="18">
        <f t="shared" si="96"/>
        <v>9.1374149070059563</v>
      </c>
      <c r="G399" s="18">
        <f t="shared" si="96"/>
        <v>9.1374149070059563</v>
      </c>
      <c r="H399" s="18">
        <f t="shared" si="96"/>
        <v>9.1374149070059563</v>
      </c>
      <c r="I399" s="16"/>
      <c r="J399" s="18">
        <f t="shared" si="98"/>
        <v>52.998362184040005</v>
      </c>
      <c r="K399" s="18">
        <f t="shared" si="99"/>
        <v>6.0924041805339151</v>
      </c>
      <c r="L399" s="18">
        <f t="shared" si="100"/>
        <v>7.1678141582525035</v>
      </c>
      <c r="M399" s="18">
        <f t="shared" si="101"/>
        <v>7.1678141582525035</v>
      </c>
      <c r="N399" s="18">
        <f t="shared" si="102"/>
        <v>7.1678141582525035</v>
      </c>
      <c r="O399" s="16"/>
      <c r="P399" s="18">
        <f t="shared" si="97"/>
        <v>147.88040024762731</v>
      </c>
      <c r="Q399" s="18">
        <f t="shared" si="107"/>
        <v>328.18300941812203</v>
      </c>
      <c r="R399" s="18">
        <f t="shared" si="108"/>
        <v>0</v>
      </c>
      <c r="S399" s="18">
        <f t="shared" si="109"/>
        <v>0</v>
      </c>
      <c r="T399" s="18">
        <v>100</v>
      </c>
      <c r="U399" s="16"/>
      <c r="V399" s="18">
        <f t="shared" si="103"/>
        <v>576.0634096657493</v>
      </c>
      <c r="W399" s="16"/>
      <c r="X399" s="18">
        <f t="shared" si="104"/>
        <v>100448.80229270065</v>
      </c>
      <c r="Y399" s="18">
        <f t="shared" si="105"/>
        <v>316.9365903342507</v>
      </c>
      <c r="Z399" s="18"/>
      <c r="AA399" s="18">
        <f t="shared" si="106"/>
        <v>3.0063498966144615E-4</v>
      </c>
    </row>
    <row r="400" spans="2:27" x14ac:dyDescent="0.35">
      <c r="B400" s="26">
        <v>113.70000000000002</v>
      </c>
      <c r="C400" s="26">
        <v>873</v>
      </c>
      <c r="D400" s="18">
        <f t="shared" si="96"/>
        <v>57.10333682322775</v>
      </c>
      <c r="E400" s="18">
        <f t="shared" si="96"/>
        <v>7.9135119201461084</v>
      </c>
      <c r="F400" s="18">
        <f t="shared" si="96"/>
        <v>9.1674149070059574</v>
      </c>
      <c r="G400" s="18">
        <f t="shared" si="96"/>
        <v>9.1674149070059574</v>
      </c>
      <c r="H400" s="18">
        <f t="shared" si="96"/>
        <v>9.1674149070059574</v>
      </c>
      <c r="I400" s="16"/>
      <c r="J400" s="18">
        <f t="shared" si="98"/>
        <v>53.130584089239044</v>
      </c>
      <c r="K400" s="18">
        <f t="shared" si="99"/>
        <v>6.1044877265750399</v>
      </c>
      <c r="L400" s="18">
        <f t="shared" si="100"/>
        <v>7.1941471125955507</v>
      </c>
      <c r="M400" s="18">
        <f t="shared" si="101"/>
        <v>7.1941471125955507</v>
      </c>
      <c r="N400" s="18">
        <f t="shared" si="102"/>
        <v>7.1941471125955507</v>
      </c>
      <c r="O400" s="16"/>
      <c r="P400" s="18">
        <f t="shared" si="97"/>
        <v>147.15206126100762</v>
      </c>
      <c r="Q400" s="18">
        <f t="shared" si="107"/>
        <v>326.97630706227386</v>
      </c>
      <c r="R400" s="18">
        <f t="shared" si="108"/>
        <v>0</v>
      </c>
      <c r="S400" s="18">
        <f t="shared" si="109"/>
        <v>0</v>
      </c>
      <c r="T400" s="18">
        <v>100</v>
      </c>
      <c r="U400" s="16"/>
      <c r="V400" s="18">
        <f t="shared" si="103"/>
        <v>574.12836832328151</v>
      </c>
      <c r="W400" s="16"/>
      <c r="X400" s="18">
        <f t="shared" si="104"/>
        <v>89324.252221104078</v>
      </c>
      <c r="Y400" s="18">
        <f t="shared" si="105"/>
        <v>298.87163167671849</v>
      </c>
      <c r="Z400" s="18"/>
      <c r="AA400" s="18">
        <f t="shared" si="106"/>
        <v>2.8349920027999923E-4</v>
      </c>
    </row>
    <row r="401" spans="2:27" x14ac:dyDescent="0.35">
      <c r="B401" s="26">
        <v>114.1</v>
      </c>
      <c r="C401" s="26">
        <v>893</v>
      </c>
      <c r="D401" s="18">
        <f t="shared" si="96"/>
        <v>57.282954994295778</v>
      </c>
      <c r="E401" s="18">
        <f t="shared" si="96"/>
        <v>7.9322652010325934</v>
      </c>
      <c r="F401" s="18">
        <f t="shared" si="96"/>
        <v>9.2074149070059548</v>
      </c>
      <c r="G401" s="18">
        <f t="shared" si="96"/>
        <v>9.2074149070059548</v>
      </c>
      <c r="H401" s="18">
        <f t="shared" si="96"/>
        <v>9.2074149070059548</v>
      </c>
      <c r="I401" s="16"/>
      <c r="J401" s="18">
        <f t="shared" si="98"/>
        <v>53.30688941417538</v>
      </c>
      <c r="K401" s="18">
        <f t="shared" si="99"/>
        <v>6.1206043580659788</v>
      </c>
      <c r="L401" s="18">
        <f t="shared" si="100"/>
        <v>7.2292760124411091</v>
      </c>
      <c r="M401" s="18">
        <f t="shared" si="101"/>
        <v>7.2292760124411091</v>
      </c>
      <c r="N401" s="18">
        <f t="shared" si="102"/>
        <v>7.2292760124411091</v>
      </c>
      <c r="O401" s="16"/>
      <c r="P401" s="18">
        <f t="shared" si="97"/>
        <v>146.18923196257558</v>
      </c>
      <c r="Q401" s="18">
        <f t="shared" si="107"/>
        <v>325.37719793521984</v>
      </c>
      <c r="R401" s="18">
        <f t="shared" si="108"/>
        <v>0</v>
      </c>
      <c r="S401" s="18">
        <f t="shared" si="109"/>
        <v>0</v>
      </c>
      <c r="T401" s="18">
        <v>100</v>
      </c>
      <c r="U401" s="16"/>
      <c r="V401" s="18">
        <f t="shared" si="103"/>
        <v>571.56642989779539</v>
      </c>
      <c r="W401" s="16"/>
      <c r="X401" s="18">
        <f t="shared" si="104"/>
        <v>103319.53998864889</v>
      </c>
      <c r="Y401" s="18">
        <f t="shared" si="105"/>
        <v>321.43357010220461</v>
      </c>
      <c r="Z401" s="18"/>
      <c r="AA401" s="18">
        <f t="shared" si="106"/>
        <v>3.0490066774115527E-4</v>
      </c>
    </row>
    <row r="402" spans="2:27" x14ac:dyDescent="0.35">
      <c r="B402" s="26">
        <v>114.4</v>
      </c>
      <c r="C402" s="26">
        <v>953</v>
      </c>
      <c r="D402" s="18">
        <f t="shared" si="96"/>
        <v>57.417668622596814</v>
      </c>
      <c r="E402" s="18">
        <f t="shared" si="96"/>
        <v>7.9463301616974586</v>
      </c>
      <c r="F402" s="18">
        <f t="shared" si="96"/>
        <v>9.2374149070059559</v>
      </c>
      <c r="G402" s="18">
        <f t="shared" si="96"/>
        <v>9.2374149070059559</v>
      </c>
      <c r="H402" s="18">
        <f t="shared" si="96"/>
        <v>9.2374149070059559</v>
      </c>
      <c r="I402" s="16"/>
      <c r="J402" s="18">
        <f t="shared" si="98"/>
        <v>53.439125458426979</v>
      </c>
      <c r="K402" s="18">
        <f t="shared" si="99"/>
        <v>6.1326957456653561</v>
      </c>
      <c r="L402" s="18">
        <f t="shared" si="100"/>
        <v>7.2556363171244893</v>
      </c>
      <c r="M402" s="18">
        <f t="shared" si="101"/>
        <v>7.2556363171244893</v>
      </c>
      <c r="N402" s="18">
        <f t="shared" si="102"/>
        <v>7.2556363171244893</v>
      </c>
      <c r="O402" s="16"/>
      <c r="P402" s="18">
        <f t="shared" si="97"/>
        <v>145.47326007907654</v>
      </c>
      <c r="Q402" s="18">
        <f t="shared" si="107"/>
        <v>324.1851816962743</v>
      </c>
      <c r="R402" s="18">
        <f t="shared" si="108"/>
        <v>0</v>
      </c>
      <c r="S402" s="18">
        <f t="shared" si="109"/>
        <v>0</v>
      </c>
      <c r="T402" s="18">
        <v>100</v>
      </c>
      <c r="U402" s="16"/>
      <c r="V402" s="18">
        <f t="shared" si="103"/>
        <v>569.65844177535087</v>
      </c>
      <c r="W402" s="16"/>
      <c r="X402" s="18">
        <f t="shared" si="104"/>
        <v>146950.75026210205</v>
      </c>
      <c r="Y402" s="18">
        <f t="shared" si="105"/>
        <v>383.34155822464913</v>
      </c>
      <c r="Z402" s="18"/>
      <c r="AA402" s="18">
        <f t="shared" si="106"/>
        <v>3.6362442491139421E-4</v>
      </c>
    </row>
    <row r="403" spans="2:27" x14ac:dyDescent="0.35">
      <c r="B403" s="26">
        <v>114.70000000000002</v>
      </c>
      <c r="C403" s="26">
        <v>873</v>
      </c>
      <c r="D403" s="18">
        <f t="shared" si="96"/>
        <v>57.55238225089785</v>
      </c>
      <c r="E403" s="18">
        <f t="shared" si="96"/>
        <v>7.9603951223623239</v>
      </c>
      <c r="F403" s="18">
        <f t="shared" si="96"/>
        <v>9.267414907005957</v>
      </c>
      <c r="G403" s="18">
        <f t="shared" si="96"/>
        <v>9.267414907005957</v>
      </c>
      <c r="H403" s="18">
        <f t="shared" si="96"/>
        <v>9.267414907005957</v>
      </c>
      <c r="I403" s="16"/>
      <c r="J403" s="18">
        <f t="shared" si="98"/>
        <v>53.571367513727161</v>
      </c>
      <c r="K403" s="18">
        <f t="shared" si="99"/>
        <v>6.1447904765070653</v>
      </c>
      <c r="L403" s="18">
        <f t="shared" si="100"/>
        <v>7.2820082274231979</v>
      </c>
      <c r="M403" s="18">
        <f t="shared" si="101"/>
        <v>7.2820082274231979</v>
      </c>
      <c r="N403" s="18">
        <f t="shared" si="102"/>
        <v>7.2820082274231979</v>
      </c>
      <c r="O403" s="16"/>
      <c r="P403" s="18">
        <f t="shared" si="97"/>
        <v>144.76250308743244</v>
      </c>
      <c r="Q403" s="18">
        <f t="shared" si="107"/>
        <v>322.99938932907764</v>
      </c>
      <c r="R403" s="18">
        <f t="shared" si="108"/>
        <v>0</v>
      </c>
      <c r="S403" s="18">
        <f t="shared" si="109"/>
        <v>0</v>
      </c>
      <c r="T403" s="18">
        <v>100</v>
      </c>
      <c r="U403" s="16"/>
      <c r="V403" s="18">
        <f t="shared" si="103"/>
        <v>567.76189241651014</v>
      </c>
      <c r="W403" s="16"/>
      <c r="X403" s="18">
        <f t="shared" si="104"/>
        <v>93170.302321150128</v>
      </c>
      <c r="Y403" s="18">
        <f t="shared" si="105"/>
        <v>305.23810758348986</v>
      </c>
      <c r="Z403" s="18"/>
      <c r="AA403" s="18">
        <f t="shared" si="106"/>
        <v>2.8953821715840231E-4</v>
      </c>
    </row>
    <row r="404" spans="2:27" x14ac:dyDescent="0.35">
      <c r="B404" s="26">
        <v>115</v>
      </c>
      <c r="C404" s="26">
        <v>860</v>
      </c>
      <c r="D404" s="18">
        <f t="shared" si="96"/>
        <v>57.687095879198871</v>
      </c>
      <c r="E404" s="18">
        <f t="shared" si="96"/>
        <v>7.9744600830271875</v>
      </c>
      <c r="F404" s="18">
        <f t="shared" si="96"/>
        <v>9.2974149070059546</v>
      </c>
      <c r="G404" s="18">
        <f t="shared" si="96"/>
        <v>9.2974149070059546</v>
      </c>
      <c r="H404" s="18">
        <f t="shared" si="96"/>
        <v>9.2974149070059546</v>
      </c>
      <c r="I404" s="16"/>
      <c r="J404" s="18">
        <f t="shared" si="98"/>
        <v>53.70361555124942</v>
      </c>
      <c r="K404" s="18">
        <f t="shared" si="99"/>
        <v>6.1568885402014777</v>
      </c>
      <c r="L404" s="18">
        <f t="shared" si="100"/>
        <v>7.3083916746054323</v>
      </c>
      <c r="M404" s="18">
        <f t="shared" si="101"/>
        <v>7.3083916746054323</v>
      </c>
      <c r="N404" s="18">
        <f t="shared" si="102"/>
        <v>7.3083916746054323</v>
      </c>
      <c r="O404" s="16"/>
      <c r="P404" s="18">
        <f t="shared" si="97"/>
        <v>144.05691069778572</v>
      </c>
      <c r="Q404" s="18">
        <f t="shared" si="107"/>
        <v>321.81977921821937</v>
      </c>
      <c r="R404" s="18">
        <f t="shared" si="108"/>
        <v>0</v>
      </c>
      <c r="S404" s="18">
        <f t="shared" si="109"/>
        <v>0</v>
      </c>
      <c r="T404" s="18">
        <v>100</v>
      </c>
      <c r="U404" s="16"/>
      <c r="V404" s="18">
        <f t="shared" si="103"/>
        <v>565.87668991600503</v>
      </c>
      <c r="W404" s="16"/>
      <c r="X404" s="18">
        <f t="shared" si="104"/>
        <v>86508.521534765852</v>
      </c>
      <c r="Y404" s="18">
        <f t="shared" si="105"/>
        <v>294.12331008399497</v>
      </c>
      <c r="Z404" s="18"/>
      <c r="AA404" s="18">
        <f t="shared" si="106"/>
        <v>2.7899510811622553E-4</v>
      </c>
    </row>
    <row r="405" spans="2:27" x14ac:dyDescent="0.35">
      <c r="B405" s="26">
        <v>115.30000000000001</v>
      </c>
      <c r="C405" s="26">
        <v>854</v>
      </c>
      <c r="D405" s="18">
        <f t="shared" si="96"/>
        <v>57.8218095074999</v>
      </c>
      <c r="E405" s="18">
        <f t="shared" si="96"/>
        <v>7.9885250436920527</v>
      </c>
      <c r="F405" s="18">
        <f t="shared" si="96"/>
        <v>9.3274149070059558</v>
      </c>
      <c r="G405" s="18">
        <f t="shared" si="96"/>
        <v>9.3274149070059558</v>
      </c>
      <c r="H405" s="18">
        <f t="shared" si="96"/>
        <v>9.3274149070059558</v>
      </c>
      <c r="I405" s="16"/>
      <c r="J405" s="18">
        <f t="shared" si="98"/>
        <v>53.835869542372826</v>
      </c>
      <c r="K405" s="18">
        <f t="shared" si="99"/>
        <v>6.168989926404107</v>
      </c>
      <c r="L405" s="18">
        <f t="shared" si="100"/>
        <v>7.334786590515221</v>
      </c>
      <c r="M405" s="18">
        <f t="shared" si="101"/>
        <v>7.334786590515221</v>
      </c>
      <c r="N405" s="18">
        <f t="shared" si="102"/>
        <v>7.334786590515221</v>
      </c>
      <c r="O405" s="16"/>
      <c r="P405" s="18">
        <f t="shared" si="97"/>
        <v>143.356433222802</v>
      </c>
      <c r="Q405" s="18">
        <f t="shared" si="107"/>
        <v>320.64631008435902</v>
      </c>
      <c r="R405" s="18">
        <f t="shared" si="108"/>
        <v>0</v>
      </c>
      <c r="S405" s="18">
        <f t="shared" si="109"/>
        <v>0</v>
      </c>
      <c r="T405" s="18">
        <v>100</v>
      </c>
      <c r="U405" s="16"/>
      <c r="V405" s="18">
        <f t="shared" si="103"/>
        <v>564.00274330716104</v>
      </c>
      <c r="W405" s="16"/>
      <c r="X405" s="18">
        <f t="shared" si="104"/>
        <v>84098.408889372324</v>
      </c>
      <c r="Y405" s="18">
        <f t="shared" si="105"/>
        <v>289.99725669283896</v>
      </c>
      <c r="Z405" s="18"/>
      <c r="AA405" s="18">
        <f t="shared" si="106"/>
        <v>2.7508127785357087E-4</v>
      </c>
    </row>
    <row r="406" spans="2:27" x14ac:dyDescent="0.35">
      <c r="B406" s="26">
        <v>115.6</v>
      </c>
      <c r="C406" s="26">
        <v>886</v>
      </c>
      <c r="D406" s="18">
        <f t="shared" si="96"/>
        <v>57.956523135800921</v>
      </c>
      <c r="E406" s="18">
        <f t="shared" si="96"/>
        <v>8.0025900043569163</v>
      </c>
      <c r="F406" s="18">
        <f t="shared" si="96"/>
        <v>9.3574149070059551</v>
      </c>
      <c r="G406" s="18">
        <f t="shared" si="96"/>
        <v>9.3574149070059551</v>
      </c>
      <c r="H406" s="18">
        <f t="shared" si="96"/>
        <v>9.3574149070059551</v>
      </c>
      <c r="I406" s="16"/>
      <c r="J406" s="18">
        <f t="shared" si="98"/>
        <v>53.968129458680025</v>
      </c>
      <c r="K406" s="18">
        <f t="shared" si="99"/>
        <v>6.1810946248153487</v>
      </c>
      <c r="L406" s="18">
        <f t="shared" si="100"/>
        <v>7.3611929075663083</v>
      </c>
      <c r="M406" s="18">
        <f t="shared" si="101"/>
        <v>7.3611929075663083</v>
      </c>
      <c r="N406" s="18">
        <f t="shared" si="102"/>
        <v>7.3611929075663083</v>
      </c>
      <c r="O406" s="16"/>
      <c r="P406" s="18">
        <f t="shared" si="97"/>
        <v>142.66102156905498</v>
      </c>
      <c r="Q406" s="18">
        <f t="shared" si="107"/>
        <v>319.47894098106946</v>
      </c>
      <c r="R406" s="18">
        <f t="shared" si="108"/>
        <v>0</v>
      </c>
      <c r="S406" s="18">
        <f t="shared" si="109"/>
        <v>0</v>
      </c>
      <c r="T406" s="18">
        <v>100</v>
      </c>
      <c r="U406" s="16"/>
      <c r="V406" s="18">
        <f t="shared" si="103"/>
        <v>562.13996255012444</v>
      </c>
      <c r="W406" s="16"/>
      <c r="X406" s="18">
        <f t="shared" si="104"/>
        <v>104885.3238570348</v>
      </c>
      <c r="Y406" s="18">
        <f t="shared" si="105"/>
        <v>323.86003744987556</v>
      </c>
      <c r="Z406" s="18"/>
      <c r="AA406" s="18">
        <f t="shared" si="106"/>
        <v>3.0720232999230639E-4</v>
      </c>
    </row>
    <row r="407" spans="2:27" x14ac:dyDescent="0.35">
      <c r="B407" s="26">
        <v>115.9</v>
      </c>
      <c r="C407" s="26">
        <v>869</v>
      </c>
      <c r="D407" s="18">
        <f t="shared" si="96"/>
        <v>58.091236764101957</v>
      </c>
      <c r="E407" s="18">
        <f t="shared" si="96"/>
        <v>8.0166549650217824</v>
      </c>
      <c r="F407" s="18">
        <f t="shared" si="96"/>
        <v>9.3874149070059563</v>
      </c>
      <c r="G407" s="18">
        <f t="shared" si="96"/>
        <v>9.3874149070059563</v>
      </c>
      <c r="H407" s="18">
        <f t="shared" ref="E407:H422" si="110">G$23-LN(1/G$23)+$B407*G$22</f>
        <v>9.3874149070059563</v>
      </c>
      <c r="I407" s="16"/>
      <c r="J407" s="18">
        <f t="shared" si="98"/>
        <v>54.100395271955414</v>
      </c>
      <c r="K407" s="18">
        <f t="shared" si="99"/>
        <v>6.1932026251802554</v>
      </c>
      <c r="L407" s="18">
        <f t="shared" si="100"/>
        <v>7.3876105587361591</v>
      </c>
      <c r="M407" s="18">
        <f t="shared" si="101"/>
        <v>7.3876105587361591</v>
      </c>
      <c r="N407" s="18">
        <f t="shared" si="102"/>
        <v>7.3876105587361591</v>
      </c>
      <c r="O407" s="16"/>
      <c r="P407" s="18">
        <f t="shared" si="97"/>
        <v>141.97062722855401</v>
      </c>
      <c r="Q407" s="18">
        <f t="shared" si="107"/>
        <v>318.3176312917106</v>
      </c>
      <c r="R407" s="18">
        <f t="shared" si="108"/>
        <v>0</v>
      </c>
      <c r="S407" s="18">
        <f t="shared" si="109"/>
        <v>0</v>
      </c>
      <c r="T407" s="18">
        <v>100</v>
      </c>
      <c r="U407" s="16"/>
      <c r="V407" s="18">
        <f t="shared" si="103"/>
        <v>560.28825852026466</v>
      </c>
      <c r="W407" s="16"/>
      <c r="X407" s="18">
        <f t="shared" si="104"/>
        <v>95302.939327450949</v>
      </c>
      <c r="Y407" s="18">
        <f t="shared" si="105"/>
        <v>308.71174147973534</v>
      </c>
      <c r="Z407" s="18"/>
      <c r="AA407" s="18">
        <f t="shared" si="106"/>
        <v>2.9283318505524266E-4</v>
      </c>
    </row>
    <row r="408" spans="2:27" x14ac:dyDescent="0.35">
      <c r="B408" s="26">
        <v>116.30000000000001</v>
      </c>
      <c r="C408" s="26">
        <v>876</v>
      </c>
      <c r="D408" s="18">
        <f t="shared" si="96"/>
        <v>58.27085493517</v>
      </c>
      <c r="E408" s="18">
        <f t="shared" si="110"/>
        <v>8.0354082459082683</v>
      </c>
      <c r="F408" s="18">
        <f t="shared" si="110"/>
        <v>9.4274149070059572</v>
      </c>
      <c r="G408" s="18">
        <f t="shared" si="110"/>
        <v>9.4274149070059572</v>
      </c>
      <c r="H408" s="18">
        <f t="shared" si="110"/>
        <v>9.4274149070059572</v>
      </c>
      <c r="I408" s="16"/>
      <c r="J408" s="18">
        <f t="shared" si="98"/>
        <v>54.276758814323628</v>
      </c>
      <c r="K408" s="18">
        <f t="shared" si="99"/>
        <v>6.2093517443976722</v>
      </c>
      <c r="L408" s="18">
        <f t="shared" si="100"/>
        <v>7.4228516096829278</v>
      </c>
      <c r="M408" s="18">
        <f t="shared" si="101"/>
        <v>7.4228516096829278</v>
      </c>
      <c r="N408" s="18">
        <f t="shared" si="102"/>
        <v>7.4228516096829278</v>
      </c>
      <c r="O408" s="16"/>
      <c r="P408" s="18">
        <f t="shared" si="97"/>
        <v>141.05782338930302</v>
      </c>
      <c r="Q408" s="18">
        <f t="shared" si="107"/>
        <v>316.77857453730428</v>
      </c>
      <c r="R408" s="18">
        <f t="shared" si="108"/>
        <v>0</v>
      </c>
      <c r="S408" s="18">
        <f t="shared" si="109"/>
        <v>0</v>
      </c>
      <c r="T408" s="18">
        <v>100</v>
      </c>
      <c r="U408" s="16"/>
      <c r="V408" s="18">
        <f t="shared" si="103"/>
        <v>557.83639792660733</v>
      </c>
      <c r="W408" s="16"/>
      <c r="X408" s="18">
        <f t="shared" si="104"/>
        <v>101228.07768431616</v>
      </c>
      <c r="Y408" s="18">
        <f t="shared" si="105"/>
        <v>318.16360207339267</v>
      </c>
      <c r="Z408" s="18"/>
      <c r="AA408" s="18">
        <f t="shared" si="106"/>
        <v>3.0179889017896731E-4</v>
      </c>
    </row>
    <row r="409" spans="2:27" x14ac:dyDescent="0.35">
      <c r="B409" s="26">
        <v>116.6</v>
      </c>
      <c r="C409" s="26">
        <v>820</v>
      </c>
      <c r="D409" s="18">
        <f t="shared" si="96"/>
        <v>58.405568563471014</v>
      </c>
      <c r="E409" s="18">
        <f t="shared" si="110"/>
        <v>8.0494732065731309</v>
      </c>
      <c r="F409" s="18">
        <f t="shared" si="110"/>
        <v>9.4574149070059548</v>
      </c>
      <c r="G409" s="18">
        <f t="shared" si="110"/>
        <v>9.4574149070059548</v>
      </c>
      <c r="H409" s="18">
        <f t="shared" si="110"/>
        <v>9.4574149070059548</v>
      </c>
      <c r="I409" s="16"/>
      <c r="J409" s="18">
        <f t="shared" si="98"/>
        <v>54.409038278582749</v>
      </c>
      <c r="K409" s="18">
        <f t="shared" si="99"/>
        <v>6.2214674096897555</v>
      </c>
      <c r="L409" s="18">
        <f t="shared" si="100"/>
        <v>7.4492954496088615</v>
      </c>
      <c r="M409" s="18">
        <f t="shared" si="101"/>
        <v>7.4492954496088615</v>
      </c>
      <c r="N409" s="18">
        <f t="shared" si="102"/>
        <v>7.4492954496088615</v>
      </c>
      <c r="O409" s="16"/>
      <c r="P409" s="18">
        <f t="shared" si="97"/>
        <v>140.37895069728847</v>
      </c>
      <c r="Q409" s="18">
        <f t="shared" si="107"/>
        <v>315.63124735627974</v>
      </c>
      <c r="R409" s="18">
        <f t="shared" si="108"/>
        <v>0</v>
      </c>
      <c r="S409" s="18">
        <f t="shared" si="109"/>
        <v>0</v>
      </c>
      <c r="T409" s="18">
        <v>100</v>
      </c>
      <c r="U409" s="16"/>
      <c r="V409" s="18">
        <f t="shared" si="103"/>
        <v>556.01019805356827</v>
      </c>
      <c r="W409" s="16"/>
      <c r="X409" s="18">
        <f t="shared" si="104"/>
        <v>69690.615531716248</v>
      </c>
      <c r="Y409" s="18">
        <f t="shared" si="105"/>
        <v>263.98980194643173</v>
      </c>
      <c r="Z409" s="18"/>
      <c r="AA409" s="18">
        <f t="shared" si="106"/>
        <v>2.5041151384632646E-4</v>
      </c>
    </row>
    <row r="410" spans="2:27" x14ac:dyDescent="0.35">
      <c r="B410" s="26">
        <v>116.9</v>
      </c>
      <c r="C410" s="26">
        <v>848</v>
      </c>
      <c r="D410" s="18">
        <f t="shared" si="96"/>
        <v>58.54028219177205</v>
      </c>
      <c r="E410" s="18">
        <f t="shared" si="110"/>
        <v>8.0635381672379971</v>
      </c>
      <c r="F410" s="18">
        <f t="shared" si="110"/>
        <v>9.4874149070059559</v>
      </c>
      <c r="G410" s="18">
        <f t="shared" si="110"/>
        <v>9.4874149070059559</v>
      </c>
      <c r="H410" s="18">
        <f t="shared" si="110"/>
        <v>9.4874149070059559</v>
      </c>
      <c r="I410" s="16"/>
      <c r="J410" s="18">
        <f t="shared" si="98"/>
        <v>54.541323547190487</v>
      </c>
      <c r="K410" s="18">
        <f t="shared" si="99"/>
        <v>6.2335863430717087</v>
      </c>
      <c r="L410" s="18">
        <f t="shared" si="100"/>
        <v>7.4757504042406229</v>
      </c>
      <c r="M410" s="18">
        <f t="shared" si="101"/>
        <v>7.4757504042406229</v>
      </c>
      <c r="N410" s="18">
        <f t="shared" si="102"/>
        <v>7.4757504042406229</v>
      </c>
      <c r="O410" s="16"/>
      <c r="P410" s="18">
        <f t="shared" si="97"/>
        <v>139.70493774741428</v>
      </c>
      <c r="Q410" s="18">
        <f t="shared" si="107"/>
        <v>314.48984654274636</v>
      </c>
      <c r="R410" s="18">
        <f t="shared" si="108"/>
        <v>0</v>
      </c>
      <c r="S410" s="18">
        <f t="shared" si="109"/>
        <v>0</v>
      </c>
      <c r="T410" s="18">
        <v>100</v>
      </c>
      <c r="U410" s="16"/>
      <c r="V410" s="18">
        <f t="shared" si="103"/>
        <v>554.19478429016067</v>
      </c>
      <c r="W410" s="16"/>
      <c r="X410" s="18">
        <f t="shared" si="104"/>
        <v>86321.504778305214</v>
      </c>
      <c r="Y410" s="18">
        <f t="shared" si="105"/>
        <v>293.80521570983933</v>
      </c>
      <c r="Z410" s="18"/>
      <c r="AA410" s="18">
        <f t="shared" si="106"/>
        <v>2.7869337489323353E-4</v>
      </c>
    </row>
    <row r="411" spans="2:27" x14ac:dyDescent="0.35">
      <c r="B411" s="26">
        <v>117.20000000000002</v>
      </c>
      <c r="C411" s="26">
        <v>831</v>
      </c>
      <c r="D411" s="18">
        <f t="shared" si="96"/>
        <v>58.674995820073086</v>
      </c>
      <c r="E411" s="18">
        <f t="shared" si="110"/>
        <v>8.0776031279028615</v>
      </c>
      <c r="F411" s="18">
        <f t="shared" si="110"/>
        <v>9.517414907005957</v>
      </c>
      <c r="G411" s="18">
        <f t="shared" si="110"/>
        <v>9.517414907005957</v>
      </c>
      <c r="H411" s="18">
        <f t="shared" si="110"/>
        <v>9.517414907005957</v>
      </c>
      <c r="I411" s="16"/>
      <c r="J411" s="18">
        <f t="shared" si="98"/>
        <v>54.673614592783579</v>
      </c>
      <c r="K411" s="18">
        <f t="shared" si="99"/>
        <v>6.2457085344792862</v>
      </c>
      <c r="L411" s="18">
        <f t="shared" si="100"/>
        <v>7.5022164089307157</v>
      </c>
      <c r="M411" s="18">
        <f t="shared" si="101"/>
        <v>7.5022164089307157</v>
      </c>
      <c r="N411" s="18">
        <f t="shared" si="102"/>
        <v>7.5022164089307157</v>
      </c>
      <c r="O411" s="16"/>
      <c r="P411" s="18">
        <f t="shared" si="97"/>
        <v>139.03573847404724</v>
      </c>
      <c r="Q411" s="18">
        <f t="shared" si="107"/>
        <v>313.35433287384524</v>
      </c>
      <c r="R411" s="18">
        <f t="shared" si="108"/>
        <v>0</v>
      </c>
      <c r="S411" s="18">
        <f t="shared" si="109"/>
        <v>0</v>
      </c>
      <c r="T411" s="18">
        <v>100</v>
      </c>
      <c r="U411" s="16"/>
      <c r="V411" s="18">
        <f t="shared" si="103"/>
        <v>552.39007134789244</v>
      </c>
      <c r="W411" s="16"/>
      <c r="X411" s="18">
        <f t="shared" si="104"/>
        <v>77623.49234353246</v>
      </c>
      <c r="Y411" s="18">
        <f t="shared" si="105"/>
        <v>278.60992865210756</v>
      </c>
      <c r="Z411" s="18"/>
      <c r="AA411" s="18">
        <f t="shared" si="106"/>
        <v>2.6427965585029781E-4</v>
      </c>
    </row>
    <row r="412" spans="2:27" x14ac:dyDescent="0.35">
      <c r="B412" s="26">
        <v>117.5</v>
      </c>
      <c r="C412" s="26">
        <v>842</v>
      </c>
      <c r="D412" s="18">
        <f t="shared" si="96"/>
        <v>58.809709448374107</v>
      </c>
      <c r="E412" s="18">
        <f t="shared" si="110"/>
        <v>8.0916680885677259</v>
      </c>
      <c r="F412" s="18">
        <f t="shared" si="110"/>
        <v>9.5474149070059546</v>
      </c>
      <c r="G412" s="18">
        <f t="shared" si="110"/>
        <v>9.5474149070059546</v>
      </c>
      <c r="H412" s="18">
        <f t="shared" si="110"/>
        <v>9.5474149070059546</v>
      </c>
      <c r="I412" s="16"/>
      <c r="J412" s="18">
        <f t="shared" si="98"/>
        <v>54.805911388190637</v>
      </c>
      <c r="K412" s="18">
        <f t="shared" si="99"/>
        <v>6.2578339738916275</v>
      </c>
      <c r="L412" s="18">
        <f t="shared" si="100"/>
        <v>7.5286933995645118</v>
      </c>
      <c r="M412" s="18">
        <f t="shared" si="101"/>
        <v>7.5286933995645118</v>
      </c>
      <c r="N412" s="18">
        <f t="shared" si="102"/>
        <v>7.5286933995645118</v>
      </c>
      <c r="O412" s="16"/>
      <c r="P412" s="18">
        <f t="shared" si="97"/>
        <v>138.37130735411066</v>
      </c>
      <c r="Q412" s="18">
        <f t="shared" si="107"/>
        <v>312.22466744039366</v>
      </c>
      <c r="R412" s="18">
        <f t="shared" si="108"/>
        <v>0</v>
      </c>
      <c r="S412" s="18">
        <f t="shared" si="109"/>
        <v>0</v>
      </c>
      <c r="T412" s="18">
        <v>100</v>
      </c>
      <c r="U412" s="16"/>
      <c r="V412" s="18">
        <f t="shared" si="103"/>
        <v>550.59597479450429</v>
      </c>
      <c r="W412" s="16"/>
      <c r="X412" s="18">
        <f t="shared" si="104"/>
        <v>84916.305905965186</v>
      </c>
      <c r="Y412" s="18">
        <f t="shared" si="105"/>
        <v>291.40402520549571</v>
      </c>
      <c r="Z412" s="18"/>
      <c r="AA412" s="18">
        <f t="shared" si="106"/>
        <v>2.7641568937359322E-4</v>
      </c>
    </row>
    <row r="413" spans="2:27" x14ac:dyDescent="0.35">
      <c r="B413" s="26">
        <v>117.80000000000001</v>
      </c>
      <c r="C413" s="26">
        <v>822</v>
      </c>
      <c r="D413" s="18">
        <f t="shared" si="96"/>
        <v>58.944423076675136</v>
      </c>
      <c r="E413" s="18">
        <f t="shared" si="110"/>
        <v>8.1057330492325903</v>
      </c>
      <c r="F413" s="18">
        <f t="shared" si="110"/>
        <v>9.5774149070059558</v>
      </c>
      <c r="G413" s="18">
        <f t="shared" si="110"/>
        <v>9.5774149070059558</v>
      </c>
      <c r="H413" s="18">
        <f t="shared" si="110"/>
        <v>9.5774149070059558</v>
      </c>
      <c r="I413" s="16"/>
      <c r="J413" s="18">
        <f t="shared" si="98"/>
        <v>54.938213906430342</v>
      </c>
      <c r="K413" s="18">
        <f t="shared" si="99"/>
        <v>6.269962651331018</v>
      </c>
      <c r="L413" s="18">
        <f t="shared" si="100"/>
        <v>7.555181312554704</v>
      </c>
      <c r="M413" s="18">
        <f t="shared" si="101"/>
        <v>7.555181312554704</v>
      </c>
      <c r="N413" s="18">
        <f t="shared" si="102"/>
        <v>7.555181312554704</v>
      </c>
      <c r="O413" s="16"/>
      <c r="P413" s="18">
        <f t="shared" si="97"/>
        <v>137.71159939945775</v>
      </c>
      <c r="Q413" s="18">
        <f t="shared" si="107"/>
        <v>311.1008116439653</v>
      </c>
      <c r="R413" s="18">
        <f t="shared" si="108"/>
        <v>0</v>
      </c>
      <c r="S413" s="18">
        <f t="shared" si="109"/>
        <v>0</v>
      </c>
      <c r="T413" s="18">
        <v>100</v>
      </c>
      <c r="U413" s="16"/>
      <c r="V413" s="18">
        <f t="shared" si="103"/>
        <v>548.81241104342303</v>
      </c>
      <c r="W413" s="16"/>
      <c r="X413" s="18">
        <f t="shared" si="104"/>
        <v>74631.458759907662</v>
      </c>
      <c r="Y413" s="18">
        <f t="shared" si="105"/>
        <v>273.18758895657697</v>
      </c>
      <c r="Z413" s="18"/>
      <c r="AA413" s="18">
        <f t="shared" si="106"/>
        <v>2.5913621363497178E-4</v>
      </c>
    </row>
    <row r="414" spans="2:27" x14ac:dyDescent="0.35">
      <c r="B414" s="26">
        <v>118.1</v>
      </c>
      <c r="C414" s="26">
        <v>752</v>
      </c>
      <c r="D414" s="18">
        <f t="shared" si="96"/>
        <v>59.079136704976158</v>
      </c>
      <c r="E414" s="18">
        <f t="shared" si="110"/>
        <v>8.1197980098974547</v>
      </c>
      <c r="F414" s="18">
        <f t="shared" si="110"/>
        <v>9.6074149070059551</v>
      </c>
      <c r="G414" s="18">
        <f t="shared" si="110"/>
        <v>9.6074149070059551</v>
      </c>
      <c r="H414" s="18">
        <f t="shared" si="110"/>
        <v>9.6074149070059551</v>
      </c>
      <c r="I414" s="16"/>
      <c r="J414" s="18">
        <f t="shared" si="98"/>
        <v>55.070522120709676</v>
      </c>
      <c r="K414" s="18">
        <f t="shared" si="99"/>
        <v>6.2820945568626572</v>
      </c>
      <c r="L414" s="18">
        <f t="shared" si="100"/>
        <v>7.5816800848357966</v>
      </c>
      <c r="M414" s="18">
        <f t="shared" si="101"/>
        <v>7.5816800848357966</v>
      </c>
      <c r="N414" s="18">
        <f t="shared" si="102"/>
        <v>7.5816800848357966</v>
      </c>
      <c r="O414" s="16"/>
      <c r="P414" s="18">
        <f t="shared" si="97"/>
        <v>137.05657014936921</v>
      </c>
      <c r="Q414" s="18">
        <f t="shared" si="107"/>
        <v>309.98272719400035</v>
      </c>
      <c r="R414" s="18">
        <f t="shared" si="108"/>
        <v>0</v>
      </c>
      <c r="S414" s="18">
        <f t="shared" si="109"/>
        <v>0</v>
      </c>
      <c r="T414" s="18">
        <v>100</v>
      </c>
      <c r="U414" s="16"/>
      <c r="V414" s="18">
        <f t="shared" si="103"/>
        <v>547.03929734336953</v>
      </c>
      <c r="W414" s="16"/>
      <c r="X414" s="18">
        <f t="shared" si="104"/>
        <v>42008.88963349969</v>
      </c>
      <c r="Y414" s="18">
        <f t="shared" si="105"/>
        <v>204.96070265663047</v>
      </c>
      <c r="Z414" s="18"/>
      <c r="AA414" s="18">
        <f t="shared" si="106"/>
        <v>1.9441857016002571E-4</v>
      </c>
    </row>
    <row r="415" spans="2:27" x14ac:dyDescent="0.35">
      <c r="B415" s="26">
        <v>118.5</v>
      </c>
      <c r="C415" s="26">
        <v>804</v>
      </c>
      <c r="D415" s="18">
        <f t="shared" si="96"/>
        <v>59.2587548760442</v>
      </c>
      <c r="E415" s="18">
        <f t="shared" si="110"/>
        <v>8.1385512907839406</v>
      </c>
      <c r="F415" s="18">
        <f t="shared" si="110"/>
        <v>9.6474149070059561</v>
      </c>
      <c r="G415" s="18">
        <f t="shared" si="110"/>
        <v>9.6474149070059561</v>
      </c>
      <c r="H415" s="18">
        <f t="shared" si="110"/>
        <v>9.6474149070059561</v>
      </c>
      <c r="I415" s="16"/>
      <c r="J415" s="18">
        <f t="shared" si="98"/>
        <v>55.246941887628395</v>
      </c>
      <c r="K415" s="18">
        <f t="shared" si="99"/>
        <v>6.2982754352903125</v>
      </c>
      <c r="L415" s="18">
        <f t="shared" si="100"/>
        <v>7.6170285654050529</v>
      </c>
      <c r="M415" s="18">
        <f t="shared" si="101"/>
        <v>7.6170285654050529</v>
      </c>
      <c r="N415" s="18">
        <f t="shared" si="102"/>
        <v>7.6170285654050529</v>
      </c>
      <c r="O415" s="16"/>
      <c r="P415" s="18">
        <f t="shared" si="97"/>
        <v>136.19039992795049</v>
      </c>
      <c r="Q415" s="18">
        <f t="shared" si="107"/>
        <v>308.50085996697146</v>
      </c>
      <c r="R415" s="18">
        <f t="shared" si="108"/>
        <v>0</v>
      </c>
      <c r="S415" s="18">
        <f t="shared" si="109"/>
        <v>0</v>
      </c>
      <c r="T415" s="18">
        <v>100</v>
      </c>
      <c r="U415" s="16"/>
      <c r="V415" s="18">
        <f t="shared" si="103"/>
        <v>544.69125989492193</v>
      </c>
      <c r="W415" s="16"/>
      <c r="X415" s="18">
        <f t="shared" si="104"/>
        <v>67241.022694882922</v>
      </c>
      <c r="Y415" s="18">
        <f t="shared" si="105"/>
        <v>259.30874010507807</v>
      </c>
      <c r="Z415" s="18"/>
      <c r="AA415" s="18">
        <f t="shared" si="106"/>
        <v>2.4597122193558254E-4</v>
      </c>
    </row>
    <row r="416" spans="2:27" x14ac:dyDescent="0.35">
      <c r="B416" s="26">
        <v>118.80000000000001</v>
      </c>
      <c r="C416" s="26">
        <v>869</v>
      </c>
      <c r="D416" s="18">
        <f t="shared" si="96"/>
        <v>59.393468504345236</v>
      </c>
      <c r="E416" s="18">
        <f t="shared" si="110"/>
        <v>8.152616251448805</v>
      </c>
      <c r="F416" s="18">
        <f t="shared" si="110"/>
        <v>9.6774149070059572</v>
      </c>
      <c r="G416" s="18">
        <f t="shared" si="110"/>
        <v>9.6774149070059572</v>
      </c>
      <c r="H416" s="18">
        <f t="shared" si="110"/>
        <v>9.6774149070059572</v>
      </c>
      <c r="I416" s="16"/>
      <c r="J416" s="18">
        <f t="shared" si="98"/>
        <v>55.379263289516537</v>
      </c>
      <c r="K416" s="18">
        <f t="shared" si="99"/>
        <v>6.3104148346412146</v>
      </c>
      <c r="L416" s="18">
        <f t="shared" si="100"/>
        <v>7.6435524336676552</v>
      </c>
      <c r="M416" s="18">
        <f t="shared" si="101"/>
        <v>7.6435524336676552</v>
      </c>
      <c r="N416" s="18">
        <f t="shared" si="102"/>
        <v>7.6435524336676552</v>
      </c>
      <c r="O416" s="16"/>
      <c r="P416" s="18">
        <f t="shared" si="97"/>
        <v>135.54611766005306</v>
      </c>
      <c r="Q416" s="18">
        <f t="shared" si="107"/>
        <v>307.39609479237646</v>
      </c>
      <c r="R416" s="18">
        <f t="shared" si="108"/>
        <v>0</v>
      </c>
      <c r="S416" s="18">
        <f t="shared" si="109"/>
        <v>0</v>
      </c>
      <c r="T416" s="18">
        <v>100</v>
      </c>
      <c r="U416" s="16"/>
      <c r="V416" s="18">
        <f t="shared" si="103"/>
        <v>542.94221245242954</v>
      </c>
      <c r="W416" s="16"/>
      <c r="X416" s="18">
        <f t="shared" si="104"/>
        <v>106313.68082041659</v>
      </c>
      <c r="Y416" s="18">
        <f t="shared" si="105"/>
        <v>326.05778754757046</v>
      </c>
      <c r="Z416" s="18"/>
      <c r="AA416" s="18">
        <f t="shared" si="106"/>
        <v>3.0928703904152701E-4</v>
      </c>
    </row>
    <row r="417" spans="2:27" x14ac:dyDescent="0.35">
      <c r="B417" s="26">
        <v>119.1</v>
      </c>
      <c r="C417" s="26">
        <v>897</v>
      </c>
      <c r="D417" s="18">
        <f t="shared" si="96"/>
        <v>59.528182132646258</v>
      </c>
      <c r="E417" s="18">
        <f t="shared" si="110"/>
        <v>8.1666812121136694</v>
      </c>
      <c r="F417" s="18">
        <f t="shared" si="110"/>
        <v>9.7074149070059548</v>
      </c>
      <c r="G417" s="18">
        <f t="shared" si="110"/>
        <v>9.7074149070059548</v>
      </c>
      <c r="H417" s="18">
        <f t="shared" si="110"/>
        <v>9.7074149070059548</v>
      </c>
      <c r="I417" s="16"/>
      <c r="J417" s="18">
        <f t="shared" si="98"/>
        <v>55.511590299471983</v>
      </c>
      <c r="K417" s="18">
        <f t="shared" si="99"/>
        <v>6.3225574292753652</v>
      </c>
      <c r="L417" s="18">
        <f t="shared" si="100"/>
        <v>7.6700869547024659</v>
      </c>
      <c r="M417" s="18">
        <f t="shared" si="101"/>
        <v>7.6700869547024659</v>
      </c>
      <c r="N417" s="18">
        <f t="shared" si="102"/>
        <v>7.6700869547024659</v>
      </c>
      <c r="O417" s="16"/>
      <c r="P417" s="18">
        <f t="shared" si="97"/>
        <v>134.90636960965341</v>
      </c>
      <c r="Q417" s="18">
        <f t="shared" si="107"/>
        <v>306.29697551604312</v>
      </c>
      <c r="R417" s="18">
        <f t="shared" si="108"/>
        <v>0</v>
      </c>
      <c r="S417" s="18">
        <f t="shared" si="109"/>
        <v>0</v>
      </c>
      <c r="T417" s="18">
        <v>100</v>
      </c>
      <c r="U417" s="16"/>
      <c r="V417" s="18">
        <f t="shared" si="103"/>
        <v>541.2033451256965</v>
      </c>
      <c r="W417" s="16"/>
      <c r="X417" s="18">
        <f t="shared" si="104"/>
        <v>126591.25961974423</v>
      </c>
      <c r="Y417" s="18">
        <f t="shared" si="105"/>
        <v>355.7966548743035</v>
      </c>
      <c r="Z417" s="18"/>
      <c r="AA417" s="18">
        <f t="shared" si="106"/>
        <v>3.3749629080979569E-4</v>
      </c>
    </row>
    <row r="418" spans="2:27" x14ac:dyDescent="0.35">
      <c r="B418" s="26">
        <v>119.4</v>
      </c>
      <c r="C418" s="26">
        <v>822</v>
      </c>
      <c r="D418" s="18">
        <f t="shared" si="96"/>
        <v>59.662895760947286</v>
      </c>
      <c r="E418" s="18">
        <f t="shared" si="110"/>
        <v>8.1807461727785338</v>
      </c>
      <c r="F418" s="18">
        <f t="shared" si="110"/>
        <v>9.7374149070059559</v>
      </c>
      <c r="G418" s="18">
        <f t="shared" si="110"/>
        <v>9.7374149070059559</v>
      </c>
      <c r="H418" s="18">
        <f t="shared" si="110"/>
        <v>9.7374149070059559</v>
      </c>
      <c r="I418" s="16"/>
      <c r="J418" s="18">
        <f t="shared" si="98"/>
        <v>55.643922891497851</v>
      </c>
      <c r="K418" s="18">
        <f t="shared" si="99"/>
        <v>6.3347032094412876</v>
      </c>
      <c r="L418" s="18">
        <f t="shared" si="100"/>
        <v>7.696632067643435</v>
      </c>
      <c r="M418" s="18">
        <f t="shared" si="101"/>
        <v>7.696632067643435</v>
      </c>
      <c r="N418" s="18">
        <f t="shared" si="102"/>
        <v>7.696632067643435</v>
      </c>
      <c r="O418" s="16"/>
      <c r="P418" s="18">
        <f t="shared" si="97"/>
        <v>134.2711135177897</v>
      </c>
      <c r="Q418" s="18">
        <f t="shared" si="107"/>
        <v>305.20346514884687</v>
      </c>
      <c r="R418" s="18">
        <f t="shared" si="108"/>
        <v>0</v>
      </c>
      <c r="S418" s="18">
        <f t="shared" si="109"/>
        <v>0</v>
      </c>
      <c r="T418" s="18">
        <v>100</v>
      </c>
      <c r="U418" s="16"/>
      <c r="V418" s="18">
        <f t="shared" si="103"/>
        <v>539.4745786666366</v>
      </c>
      <c r="W418" s="16"/>
      <c r="X418" s="18">
        <f t="shared" si="104"/>
        <v>79820.613699594513</v>
      </c>
      <c r="Y418" s="18">
        <f t="shared" si="105"/>
        <v>282.5254213333634</v>
      </c>
      <c r="Z418" s="18"/>
      <c r="AA418" s="18">
        <f t="shared" si="106"/>
        <v>2.6799375557134102E-4</v>
      </c>
    </row>
    <row r="419" spans="2:27" x14ac:dyDescent="0.35">
      <c r="B419" s="26">
        <v>119.70000000000002</v>
      </c>
      <c r="C419" s="26">
        <v>831</v>
      </c>
      <c r="D419" s="18">
        <f t="shared" si="96"/>
        <v>59.797609389248322</v>
      </c>
      <c r="E419" s="18">
        <f t="shared" si="110"/>
        <v>8.1948111334433982</v>
      </c>
      <c r="F419" s="18">
        <f t="shared" si="110"/>
        <v>9.767414907005957</v>
      </c>
      <c r="G419" s="18">
        <f t="shared" si="110"/>
        <v>9.767414907005957</v>
      </c>
      <c r="H419" s="18">
        <f t="shared" si="110"/>
        <v>9.767414907005957</v>
      </c>
      <c r="I419" s="16"/>
      <c r="J419" s="18">
        <f t="shared" si="98"/>
        <v>55.7762610397765</v>
      </c>
      <c r="K419" s="18">
        <f t="shared" si="99"/>
        <v>6.3468521654292118</v>
      </c>
      <c r="L419" s="18">
        <f t="shared" si="100"/>
        <v>7.7231877121181718</v>
      </c>
      <c r="M419" s="18">
        <f t="shared" si="101"/>
        <v>7.7231877121181718</v>
      </c>
      <c r="N419" s="18">
        <f t="shared" si="102"/>
        <v>7.7231877121181718</v>
      </c>
      <c r="O419" s="16"/>
      <c r="P419" s="18">
        <f t="shared" si="97"/>
        <v>133.64030761492285</v>
      </c>
      <c r="Q419" s="18">
        <f t="shared" si="107"/>
        <v>304.11552699462476</v>
      </c>
      <c r="R419" s="18">
        <f t="shared" si="108"/>
        <v>0</v>
      </c>
      <c r="S419" s="18">
        <f t="shared" si="109"/>
        <v>0</v>
      </c>
      <c r="T419" s="18">
        <v>100</v>
      </c>
      <c r="U419" s="16"/>
      <c r="V419" s="18">
        <f t="shared" si="103"/>
        <v>537.75583460954761</v>
      </c>
      <c r="W419" s="16"/>
      <c r="X419" s="18">
        <f t="shared" si="104"/>
        <v>85992.140535543003</v>
      </c>
      <c r="Y419" s="18">
        <f t="shared" si="105"/>
        <v>293.24416539045239</v>
      </c>
      <c r="Z419" s="18"/>
      <c r="AA419" s="18">
        <f t="shared" si="106"/>
        <v>2.7816118213887041E-4</v>
      </c>
    </row>
    <row r="420" spans="2:27" x14ac:dyDescent="0.35">
      <c r="B420" s="26">
        <v>120</v>
      </c>
      <c r="C420" s="26">
        <v>828</v>
      </c>
      <c r="D420" s="18">
        <f t="shared" si="96"/>
        <v>59.932323017549344</v>
      </c>
      <c r="E420" s="18">
        <f t="shared" si="110"/>
        <v>8.2088760941082626</v>
      </c>
      <c r="F420" s="18">
        <f t="shared" si="110"/>
        <v>9.7974149070059546</v>
      </c>
      <c r="G420" s="18">
        <f t="shared" si="110"/>
        <v>9.7974149070059546</v>
      </c>
      <c r="H420" s="18">
        <f t="shared" si="110"/>
        <v>9.7974149070059546</v>
      </c>
      <c r="I420" s="16"/>
      <c r="J420" s="18">
        <f t="shared" si="98"/>
        <v>55.908604718667874</v>
      </c>
      <c r="K420" s="18">
        <f t="shared" si="99"/>
        <v>6.359004287570845</v>
      </c>
      <c r="L420" s="18">
        <f t="shared" si="100"/>
        <v>7.7497538282428815</v>
      </c>
      <c r="M420" s="18">
        <f t="shared" si="101"/>
        <v>7.7497538282428815</v>
      </c>
      <c r="N420" s="18">
        <f t="shared" si="102"/>
        <v>7.7497538282428815</v>
      </c>
      <c r="O420" s="16"/>
      <c r="P420" s="18">
        <f t="shared" si="97"/>
        <v>133.01391061417084</v>
      </c>
      <c r="Q420" s="18">
        <f t="shared" si="107"/>
        <v>303.03312464747381</v>
      </c>
      <c r="R420" s="18">
        <f t="shared" si="108"/>
        <v>0</v>
      </c>
      <c r="S420" s="18">
        <f t="shared" si="109"/>
        <v>0</v>
      </c>
      <c r="T420" s="18">
        <v>100</v>
      </c>
      <c r="U420" s="16"/>
      <c r="V420" s="18">
        <f t="shared" si="103"/>
        <v>536.04703526164462</v>
      </c>
      <c r="W420" s="16"/>
      <c r="X420" s="18">
        <f t="shared" si="104"/>
        <v>85236.53361951538</v>
      </c>
      <c r="Y420" s="18">
        <f t="shared" si="105"/>
        <v>291.95296473835538</v>
      </c>
      <c r="Z420" s="18"/>
      <c r="AA420" s="18">
        <f t="shared" si="106"/>
        <v>2.7693639425847876E-4</v>
      </c>
    </row>
    <row r="421" spans="2:27" x14ac:dyDescent="0.35">
      <c r="B421" s="26">
        <v>120.4</v>
      </c>
      <c r="C421" s="26">
        <v>826</v>
      </c>
      <c r="D421" s="18">
        <f t="shared" si="96"/>
        <v>60.111941188617386</v>
      </c>
      <c r="E421" s="18">
        <f t="shared" si="110"/>
        <v>8.2276293749947484</v>
      </c>
      <c r="F421" s="18">
        <f t="shared" si="110"/>
        <v>9.8374149070059556</v>
      </c>
      <c r="G421" s="18">
        <f t="shared" si="110"/>
        <v>9.8374149070059556</v>
      </c>
      <c r="H421" s="18">
        <f t="shared" si="110"/>
        <v>9.8374149070059556</v>
      </c>
      <c r="I421" s="16"/>
      <c r="J421" s="18">
        <f t="shared" si="98"/>
        <v>56.085071516378314</v>
      </c>
      <c r="K421" s="18">
        <f t="shared" si="99"/>
        <v>6.3752120255876195</v>
      </c>
      <c r="L421" s="18">
        <f t="shared" si="100"/>
        <v>7.7851915030444507</v>
      </c>
      <c r="M421" s="18">
        <f t="shared" si="101"/>
        <v>7.7851915030444507</v>
      </c>
      <c r="N421" s="18">
        <f t="shared" si="102"/>
        <v>7.7851915030444507</v>
      </c>
      <c r="O421" s="16"/>
      <c r="P421" s="18">
        <f t="shared" si="97"/>
        <v>132.1855024357593</v>
      </c>
      <c r="Q421" s="18">
        <f t="shared" si="107"/>
        <v>301.59847038775177</v>
      </c>
      <c r="R421" s="18">
        <f t="shared" si="108"/>
        <v>0</v>
      </c>
      <c r="S421" s="18">
        <f t="shared" si="109"/>
        <v>0</v>
      </c>
      <c r="T421" s="18">
        <v>100</v>
      </c>
      <c r="U421" s="16"/>
      <c r="V421" s="18">
        <f t="shared" si="103"/>
        <v>533.78397282351102</v>
      </c>
      <c r="W421" s="16"/>
      <c r="X421" s="18">
        <f t="shared" si="104"/>
        <v>85390.20653881054</v>
      </c>
      <c r="Y421" s="18">
        <f t="shared" si="105"/>
        <v>292.21602717648898</v>
      </c>
      <c r="Z421" s="18"/>
      <c r="AA421" s="18">
        <f t="shared" si="106"/>
        <v>2.7718592610737384E-4</v>
      </c>
    </row>
    <row r="422" spans="2:27" x14ac:dyDescent="0.35">
      <c r="B422" s="26">
        <v>120.70000000000002</v>
      </c>
      <c r="C422" s="26">
        <v>793</v>
      </c>
      <c r="D422" s="18">
        <f t="shared" si="96"/>
        <v>60.246654816918415</v>
      </c>
      <c r="E422" s="18">
        <f t="shared" si="110"/>
        <v>8.2416943356596128</v>
      </c>
      <c r="F422" s="18">
        <f t="shared" si="110"/>
        <v>9.8674149070059567</v>
      </c>
      <c r="G422" s="18">
        <f t="shared" si="110"/>
        <v>9.8674149070059567</v>
      </c>
      <c r="H422" s="18">
        <f t="shared" si="110"/>
        <v>9.8674149070059567</v>
      </c>
      <c r="I422" s="16"/>
      <c r="J422" s="18">
        <f t="shared" si="98"/>
        <v>56.21742800130712</v>
      </c>
      <c r="K422" s="18">
        <f t="shared" si="99"/>
        <v>6.3873714980536898</v>
      </c>
      <c r="L422" s="18">
        <f t="shared" si="100"/>
        <v>7.8117818228448161</v>
      </c>
      <c r="M422" s="18">
        <f t="shared" si="101"/>
        <v>7.8117818228448161</v>
      </c>
      <c r="N422" s="18">
        <f t="shared" si="102"/>
        <v>7.8117818228448161</v>
      </c>
      <c r="O422" s="16"/>
      <c r="P422" s="18">
        <f t="shared" si="97"/>
        <v>131.56923497475012</v>
      </c>
      <c r="Q422" s="18">
        <f t="shared" si="107"/>
        <v>300.52884495575154</v>
      </c>
      <c r="R422" s="18">
        <f t="shared" si="108"/>
        <v>0</v>
      </c>
      <c r="S422" s="18">
        <f t="shared" si="109"/>
        <v>0</v>
      </c>
      <c r="T422" s="18">
        <v>100</v>
      </c>
      <c r="U422" s="16"/>
      <c r="V422" s="18">
        <f t="shared" si="103"/>
        <v>532.09807993050163</v>
      </c>
      <c r="W422" s="16"/>
      <c r="X422" s="18">
        <f t="shared" si="104"/>
        <v>68069.811895950916</v>
      </c>
      <c r="Y422" s="18">
        <f t="shared" si="105"/>
        <v>260.90192006949837</v>
      </c>
      <c r="Z422" s="18"/>
      <c r="AA422" s="18">
        <f t="shared" si="106"/>
        <v>2.4748245685366876E-4</v>
      </c>
    </row>
    <row r="423" spans="2:27" x14ac:dyDescent="0.35">
      <c r="B423" s="26">
        <v>121</v>
      </c>
      <c r="C423" s="26">
        <v>816</v>
      </c>
      <c r="D423" s="18">
        <f t="shared" si="96"/>
        <v>60.381368445219437</v>
      </c>
      <c r="E423" s="18">
        <f t="shared" ref="E423:H423" si="111">D$23-LN(1/D$23)+$B423*D$22</f>
        <v>8.2557592963244772</v>
      </c>
      <c r="F423" s="18">
        <f t="shared" si="111"/>
        <v>9.8974149070059561</v>
      </c>
      <c r="G423" s="18">
        <f t="shared" si="111"/>
        <v>9.8974149070059561</v>
      </c>
      <c r="H423" s="18">
        <f t="shared" si="111"/>
        <v>9.8974149070059561</v>
      </c>
      <c r="I423" s="16"/>
      <c r="J423" s="18">
        <f t="shared" si="98"/>
        <v>56.349789932643986</v>
      </c>
      <c r="K423" s="18">
        <f t="shared" si="99"/>
        <v>6.3995341047425889</v>
      </c>
      <c r="L423" s="18">
        <f t="shared" si="100"/>
        <v>7.8383824181473125</v>
      </c>
      <c r="M423" s="18">
        <f t="shared" si="101"/>
        <v>7.8383824181473125</v>
      </c>
      <c r="N423" s="18">
        <f t="shared" si="102"/>
        <v>7.8383824181473125</v>
      </c>
      <c r="O423" s="16"/>
      <c r="P423" s="18">
        <f t="shared" si="97"/>
        <v>130.95724219408851</v>
      </c>
      <c r="Q423" s="18">
        <f t="shared" si="107"/>
        <v>299.46463604000451</v>
      </c>
      <c r="R423" s="18">
        <f t="shared" si="108"/>
        <v>0</v>
      </c>
      <c r="S423" s="18">
        <f t="shared" si="109"/>
        <v>0</v>
      </c>
      <c r="T423" s="18">
        <v>100</v>
      </c>
      <c r="U423" s="16"/>
      <c r="V423" s="18">
        <f t="shared" si="103"/>
        <v>530.42187823409301</v>
      </c>
      <c r="W423" s="16"/>
      <c r="X423" s="18">
        <f t="shared" si="104"/>
        <v>81554.863631343193</v>
      </c>
      <c r="Y423" s="18">
        <f t="shared" si="105"/>
        <v>285.57812176590699</v>
      </c>
      <c r="Z423" s="18"/>
      <c r="AA423" s="18">
        <f t="shared" si="106"/>
        <v>2.7088944067355452E-4</v>
      </c>
    </row>
    <row r="424" spans="2:27" x14ac:dyDescent="0.35">
      <c r="B424" s="26">
        <v>121.30000000000001</v>
      </c>
      <c r="C424" s="26">
        <v>843</v>
      </c>
      <c r="D424" s="18">
        <f t="shared" ref="D424:H487" si="112">C$23-LN(1/C$23)+$B424*C$22</f>
        <v>60.516082073520472</v>
      </c>
      <c r="E424" s="18">
        <f t="shared" si="112"/>
        <v>8.2698242569893416</v>
      </c>
      <c r="F424" s="18">
        <f t="shared" si="112"/>
        <v>9.9274149070059572</v>
      </c>
      <c r="G424" s="18">
        <f t="shared" si="112"/>
        <v>9.9274149070059572</v>
      </c>
      <c r="H424" s="18">
        <f t="shared" si="112"/>
        <v>9.9274149070059572</v>
      </c>
      <c r="I424" s="16"/>
      <c r="J424" s="18">
        <f t="shared" si="98"/>
        <v>56.482157285500115</v>
      </c>
      <c r="K424" s="18">
        <f t="shared" si="99"/>
        <v>6.411699836163236</v>
      </c>
      <c r="L424" s="18">
        <f t="shared" si="100"/>
        <v>7.8649932311282251</v>
      </c>
      <c r="M424" s="18">
        <f t="shared" si="101"/>
        <v>7.8649932311282251</v>
      </c>
      <c r="N424" s="18">
        <f t="shared" si="102"/>
        <v>7.8649932311282251</v>
      </c>
      <c r="O424" s="16"/>
      <c r="P424" s="18">
        <f t="shared" ref="P424:P487" si="113">(C$21*$A$21*C$23*C$22)/(J424+J424^2)</f>
        <v>130.34948482283042</v>
      </c>
      <c r="Q424" s="18">
        <f t="shared" si="107"/>
        <v>298.40580846185435</v>
      </c>
      <c r="R424" s="18">
        <f t="shared" si="108"/>
        <v>0</v>
      </c>
      <c r="S424" s="18">
        <f t="shared" si="109"/>
        <v>0</v>
      </c>
      <c r="T424" s="18">
        <v>100</v>
      </c>
      <c r="U424" s="16"/>
      <c r="V424" s="18">
        <f t="shared" si="103"/>
        <v>528.75529328468474</v>
      </c>
      <c r="W424" s="16"/>
      <c r="X424" s="18">
        <f t="shared" si="104"/>
        <v>98749.735698594508</v>
      </c>
      <c r="Y424" s="18">
        <f t="shared" si="105"/>
        <v>314.24470671531526</v>
      </c>
      <c r="Z424" s="18"/>
      <c r="AA424" s="18">
        <f t="shared" si="106"/>
        <v>2.9808156279743215E-4</v>
      </c>
    </row>
    <row r="425" spans="2:27" x14ac:dyDescent="0.35">
      <c r="B425" s="26">
        <v>121.6</v>
      </c>
      <c r="C425" s="26">
        <v>795</v>
      </c>
      <c r="D425" s="18">
        <f t="shared" si="112"/>
        <v>60.650795701821494</v>
      </c>
      <c r="E425" s="18">
        <f t="shared" si="112"/>
        <v>8.283889217654206</v>
      </c>
      <c r="F425" s="18">
        <f t="shared" si="112"/>
        <v>9.9574149070059548</v>
      </c>
      <c r="G425" s="18">
        <f t="shared" si="112"/>
        <v>9.9574149070059548</v>
      </c>
      <c r="H425" s="18">
        <f t="shared" si="112"/>
        <v>9.9574149070059548</v>
      </c>
      <c r="I425" s="16"/>
      <c r="J425" s="18">
        <f t="shared" si="98"/>
        <v>56.614530035155816</v>
      </c>
      <c r="K425" s="18">
        <f t="shared" si="99"/>
        <v>6.4238686828648701</v>
      </c>
      <c r="L425" s="18">
        <f t="shared" si="100"/>
        <v>7.8916142044263786</v>
      </c>
      <c r="M425" s="18">
        <f t="shared" si="101"/>
        <v>7.8916142044263786</v>
      </c>
      <c r="N425" s="18">
        <f t="shared" si="102"/>
        <v>7.8916142044263786</v>
      </c>
      <c r="O425" s="16"/>
      <c r="P425" s="18">
        <f t="shared" si="113"/>
        <v>129.74592403839057</v>
      </c>
      <c r="Q425" s="18">
        <f t="shared" si="107"/>
        <v>297.35232731896065</v>
      </c>
      <c r="R425" s="18">
        <f t="shared" si="108"/>
        <v>0</v>
      </c>
      <c r="S425" s="18">
        <f t="shared" si="109"/>
        <v>0</v>
      </c>
      <c r="T425" s="18">
        <v>100</v>
      </c>
      <c r="U425" s="16"/>
      <c r="V425" s="18">
        <f t="shared" si="103"/>
        <v>527.09825135735127</v>
      </c>
      <c r="W425" s="16"/>
      <c r="X425" s="18">
        <f t="shared" si="104"/>
        <v>71771.346925788937</v>
      </c>
      <c r="Y425" s="18">
        <f t="shared" si="105"/>
        <v>267.90174864264873</v>
      </c>
      <c r="Z425" s="18"/>
      <c r="AA425" s="18">
        <f t="shared" si="106"/>
        <v>2.5412224996970375E-4</v>
      </c>
    </row>
    <row r="426" spans="2:27" x14ac:dyDescent="0.35">
      <c r="B426" s="26">
        <v>121.9</v>
      </c>
      <c r="C426" s="26">
        <v>840</v>
      </c>
      <c r="D426" s="18">
        <f t="shared" si="112"/>
        <v>60.785509330122522</v>
      </c>
      <c r="E426" s="18">
        <f t="shared" si="112"/>
        <v>8.2979541783190705</v>
      </c>
      <c r="F426" s="18">
        <f t="shared" si="112"/>
        <v>9.9874149070059559</v>
      </c>
      <c r="G426" s="18">
        <f t="shared" si="112"/>
        <v>9.9874149070059559</v>
      </c>
      <c r="H426" s="18">
        <f t="shared" si="112"/>
        <v>9.9874149070059559</v>
      </c>
      <c r="I426" s="16"/>
      <c r="J426" s="18">
        <f t="shared" si="98"/>
        <v>56.746908157059131</v>
      </c>
      <c r="K426" s="18">
        <f t="shared" si="99"/>
        <v>6.4360406354368287</v>
      </c>
      <c r="L426" s="18">
        <f t="shared" si="100"/>
        <v>7.918245281138458</v>
      </c>
      <c r="M426" s="18">
        <f t="shared" si="101"/>
        <v>7.918245281138458</v>
      </c>
      <c r="N426" s="18">
        <f t="shared" si="102"/>
        <v>7.918245281138458</v>
      </c>
      <c r="O426" s="16"/>
      <c r="P426" s="18">
        <f t="shared" si="113"/>
        <v>129.14652146043107</v>
      </c>
      <c r="Q426" s="18">
        <f t="shared" si="107"/>
        <v>296.3041579827713</v>
      </c>
      <c r="R426" s="18">
        <f t="shared" si="108"/>
        <v>0</v>
      </c>
      <c r="S426" s="18">
        <f t="shared" si="109"/>
        <v>0</v>
      </c>
      <c r="T426" s="18">
        <v>100</v>
      </c>
      <c r="U426" s="16"/>
      <c r="V426" s="18">
        <f t="shared" si="103"/>
        <v>525.45067944320238</v>
      </c>
      <c r="W426" s="16"/>
      <c r="X426" s="18">
        <f t="shared" si="104"/>
        <v>98941.275062743036</v>
      </c>
      <c r="Y426" s="18">
        <f t="shared" si="105"/>
        <v>314.54932055679762</v>
      </c>
      <c r="Z426" s="18"/>
      <c r="AA426" s="18">
        <f t="shared" si="106"/>
        <v>2.9837050885755164E-4</v>
      </c>
    </row>
    <row r="427" spans="2:27" x14ac:dyDescent="0.35">
      <c r="B427" s="26">
        <v>122.20000000000002</v>
      </c>
      <c r="C427" s="26">
        <v>852</v>
      </c>
      <c r="D427" s="18">
        <f t="shared" si="112"/>
        <v>60.920222958423558</v>
      </c>
      <c r="E427" s="18">
        <f t="shared" si="112"/>
        <v>8.3120191389839366</v>
      </c>
      <c r="F427" s="18">
        <f t="shared" si="112"/>
        <v>10.017414907005957</v>
      </c>
      <c r="G427" s="18">
        <f t="shared" si="112"/>
        <v>10.017414907005957</v>
      </c>
      <c r="H427" s="18">
        <f t="shared" si="112"/>
        <v>10.017414907005957</v>
      </c>
      <c r="I427" s="16"/>
      <c r="J427" s="18">
        <f t="shared" si="98"/>
        <v>56.879291626824262</v>
      </c>
      <c r="K427" s="18">
        <f t="shared" si="99"/>
        <v>6.4482156845083436</v>
      </c>
      <c r="L427" s="18">
        <f t="shared" si="100"/>
        <v>7.9448864048143495</v>
      </c>
      <c r="M427" s="18">
        <f t="shared" si="101"/>
        <v>7.9448864048143495</v>
      </c>
      <c r="N427" s="18">
        <f t="shared" si="102"/>
        <v>7.9448864048143495</v>
      </c>
      <c r="O427" s="16"/>
      <c r="P427" s="18">
        <f t="shared" si="113"/>
        <v>128.55123914484761</v>
      </c>
      <c r="Q427" s="18">
        <f t="shared" si="107"/>
        <v>295.26126609601874</v>
      </c>
      <c r="R427" s="18">
        <f t="shared" si="108"/>
        <v>0</v>
      </c>
      <c r="S427" s="18">
        <f t="shared" si="109"/>
        <v>0</v>
      </c>
      <c r="T427" s="18">
        <v>100</v>
      </c>
      <c r="U427" s="16"/>
      <c r="V427" s="18">
        <f t="shared" si="103"/>
        <v>523.81250524086636</v>
      </c>
      <c r="W427" s="16"/>
      <c r="X427" s="18">
        <f t="shared" si="104"/>
        <v>107707.03171627637</v>
      </c>
      <c r="Y427" s="18">
        <f t="shared" si="105"/>
        <v>328.18749475913364</v>
      </c>
      <c r="Z427" s="18"/>
      <c r="AA427" s="18">
        <f t="shared" si="106"/>
        <v>3.1130720498341135E-4</v>
      </c>
    </row>
    <row r="428" spans="2:27" x14ac:dyDescent="0.35">
      <c r="B428" s="26">
        <v>122.6</v>
      </c>
      <c r="C428" s="26">
        <v>776</v>
      </c>
      <c r="D428" s="18">
        <f t="shared" si="112"/>
        <v>61.099841129491587</v>
      </c>
      <c r="E428" s="18">
        <f t="shared" si="112"/>
        <v>8.3307724198704207</v>
      </c>
      <c r="F428" s="18">
        <f t="shared" si="112"/>
        <v>10.057414907005954</v>
      </c>
      <c r="G428" s="18">
        <f t="shared" si="112"/>
        <v>10.057414907005954</v>
      </c>
      <c r="H428" s="18">
        <f t="shared" si="112"/>
        <v>10.057414907005954</v>
      </c>
      <c r="I428" s="16"/>
      <c r="J428" s="18">
        <f t="shared" si="98"/>
        <v>57.055811196900386</v>
      </c>
      <c r="K428" s="18">
        <f t="shared" si="99"/>
        <v>6.4644538839253212</v>
      </c>
      <c r="L428" s="18">
        <f t="shared" si="100"/>
        <v>7.9804234349305982</v>
      </c>
      <c r="M428" s="18">
        <f t="shared" si="101"/>
        <v>7.9804234349305982</v>
      </c>
      <c r="N428" s="18">
        <f t="shared" si="102"/>
        <v>7.9804234349305982</v>
      </c>
      <c r="O428" s="16"/>
      <c r="P428" s="18">
        <f t="shared" si="113"/>
        <v>127.7638739103682</v>
      </c>
      <c r="Q428" s="18">
        <f t="shared" si="107"/>
        <v>293.87889406622719</v>
      </c>
      <c r="R428" s="18">
        <f t="shared" si="108"/>
        <v>0</v>
      </c>
      <c r="S428" s="18">
        <f t="shared" si="109"/>
        <v>0</v>
      </c>
      <c r="T428" s="18">
        <v>100</v>
      </c>
      <c r="U428" s="16"/>
      <c r="V428" s="18">
        <f t="shared" si="103"/>
        <v>521.64276797659545</v>
      </c>
      <c r="W428" s="16"/>
      <c r="X428" s="18">
        <f t="shared" si="104"/>
        <v>64697.601482608057</v>
      </c>
      <c r="Y428" s="18">
        <f t="shared" si="105"/>
        <v>254.35723202340455</v>
      </c>
      <c r="Z428" s="18"/>
      <c r="AA428" s="18">
        <f t="shared" si="106"/>
        <v>2.4127439415885731E-4</v>
      </c>
    </row>
    <row r="429" spans="2:27" x14ac:dyDescent="0.35">
      <c r="B429" s="26">
        <v>122.9</v>
      </c>
      <c r="C429" s="26">
        <v>767</v>
      </c>
      <c r="D429" s="18">
        <f t="shared" si="112"/>
        <v>61.234554757792623</v>
      </c>
      <c r="E429" s="18">
        <f t="shared" si="112"/>
        <v>8.3448373805352851</v>
      </c>
      <c r="F429" s="18">
        <f t="shared" si="112"/>
        <v>10.087414907005956</v>
      </c>
      <c r="G429" s="18">
        <f t="shared" si="112"/>
        <v>10.087414907005956</v>
      </c>
      <c r="H429" s="18">
        <f t="shared" si="112"/>
        <v>10.087414907005956</v>
      </c>
      <c r="I429" s="16"/>
      <c r="J429" s="18">
        <f t="shared" si="98"/>
        <v>57.18820705109826</v>
      </c>
      <c r="K429" s="18">
        <f t="shared" si="99"/>
        <v>6.4766361219430673</v>
      </c>
      <c r="L429" s="18">
        <f t="shared" si="100"/>
        <v>8.0070877845054174</v>
      </c>
      <c r="M429" s="18">
        <f t="shared" si="101"/>
        <v>8.0070877845054174</v>
      </c>
      <c r="N429" s="18">
        <f t="shared" si="102"/>
        <v>8.0070877845054174</v>
      </c>
      <c r="O429" s="16"/>
      <c r="P429" s="18">
        <f t="shared" si="113"/>
        <v>127.17806038622612</v>
      </c>
      <c r="Q429" s="18">
        <f t="shared" si="107"/>
        <v>292.84818412195511</v>
      </c>
      <c r="R429" s="18">
        <f t="shared" si="108"/>
        <v>0</v>
      </c>
      <c r="S429" s="18">
        <f t="shared" si="109"/>
        <v>0</v>
      </c>
      <c r="T429" s="18">
        <v>100</v>
      </c>
      <c r="U429" s="16"/>
      <c r="V429" s="18">
        <f t="shared" si="103"/>
        <v>520.02624450818121</v>
      </c>
      <c r="W429" s="16"/>
      <c r="X429" s="18">
        <f t="shared" si="104"/>
        <v>60996.035901732692</v>
      </c>
      <c r="Y429" s="18">
        <f t="shared" si="105"/>
        <v>246.97375549181879</v>
      </c>
      <c r="Z429" s="18"/>
      <c r="AA429" s="18">
        <f t="shared" si="106"/>
        <v>2.3427068597736328E-4</v>
      </c>
    </row>
    <row r="430" spans="2:27" x14ac:dyDescent="0.35">
      <c r="B430" s="26">
        <v>123.20000000000002</v>
      </c>
      <c r="C430" s="26">
        <v>797</v>
      </c>
      <c r="D430" s="18">
        <f t="shared" si="112"/>
        <v>61.369268386093651</v>
      </c>
      <c r="E430" s="18">
        <f t="shared" si="112"/>
        <v>8.3589023412001513</v>
      </c>
      <c r="F430" s="18">
        <f t="shared" si="112"/>
        <v>10.117414907005957</v>
      </c>
      <c r="G430" s="18">
        <f t="shared" si="112"/>
        <v>10.117414907005957</v>
      </c>
      <c r="H430" s="18">
        <f t="shared" si="112"/>
        <v>10.117414907005957</v>
      </c>
      <c r="I430" s="16"/>
      <c r="J430" s="18">
        <f t="shared" si="98"/>
        <v>57.320608173052968</v>
      </c>
      <c r="K430" s="18">
        <f t="shared" si="99"/>
        <v>6.4888214255098546</v>
      </c>
      <c r="L430" s="18">
        <f t="shared" si="100"/>
        <v>8.0337619960917337</v>
      </c>
      <c r="M430" s="18">
        <f t="shared" si="101"/>
        <v>8.0337619960917337</v>
      </c>
      <c r="N430" s="18">
        <f t="shared" si="102"/>
        <v>8.0337619960917337</v>
      </c>
      <c r="O430" s="16"/>
      <c r="P430" s="18">
        <f t="shared" si="113"/>
        <v>126.59624371938648</v>
      </c>
      <c r="Q430" s="18">
        <f t="shared" si="107"/>
        <v>291.82263903057247</v>
      </c>
      <c r="R430" s="18">
        <f t="shared" si="108"/>
        <v>0</v>
      </c>
      <c r="S430" s="18">
        <f t="shared" si="109"/>
        <v>0</v>
      </c>
      <c r="T430" s="18">
        <v>100</v>
      </c>
      <c r="U430" s="16"/>
      <c r="V430" s="18">
        <f t="shared" si="103"/>
        <v>518.41888274995893</v>
      </c>
      <c r="W430" s="16"/>
      <c r="X430" s="18">
        <f t="shared" si="104"/>
        <v>77607.438888281133</v>
      </c>
      <c r="Y430" s="18">
        <f t="shared" si="105"/>
        <v>278.58111725004107</v>
      </c>
      <c r="Z430" s="18"/>
      <c r="AA430" s="18">
        <f t="shared" si="106"/>
        <v>2.6425232635971028E-4</v>
      </c>
    </row>
    <row r="431" spans="2:27" x14ac:dyDescent="0.35">
      <c r="B431" s="26">
        <v>123.5</v>
      </c>
      <c r="C431" s="26">
        <v>793</v>
      </c>
      <c r="D431" s="18">
        <f t="shared" si="112"/>
        <v>61.503982014394673</v>
      </c>
      <c r="E431" s="18">
        <f t="shared" si="112"/>
        <v>8.3729673018650139</v>
      </c>
      <c r="F431" s="18">
        <f t="shared" si="112"/>
        <v>10.147414907005956</v>
      </c>
      <c r="G431" s="18">
        <f t="shared" si="112"/>
        <v>10.147414907005956</v>
      </c>
      <c r="H431" s="18">
        <f t="shared" si="112"/>
        <v>10.147414907005956</v>
      </c>
      <c r="I431" s="16"/>
      <c r="J431" s="18">
        <f t="shared" si="98"/>
        <v>57.453014539081728</v>
      </c>
      <c r="K431" s="18">
        <f t="shared" si="99"/>
        <v>6.5010097854253353</v>
      </c>
      <c r="L431" s="18">
        <f t="shared" si="100"/>
        <v>8.0604460151510686</v>
      </c>
      <c r="M431" s="18">
        <f t="shared" si="101"/>
        <v>8.0604460151510686</v>
      </c>
      <c r="N431" s="18">
        <f t="shared" si="102"/>
        <v>8.0604460151510686</v>
      </c>
      <c r="O431" s="16"/>
      <c r="P431" s="18">
        <f t="shared" si="113"/>
        <v>126.01838778887786</v>
      </c>
      <c r="Q431" s="18">
        <f t="shared" si="107"/>
        <v>290.80222558209169</v>
      </c>
      <c r="R431" s="18">
        <f t="shared" si="108"/>
        <v>0</v>
      </c>
      <c r="S431" s="18">
        <f t="shared" si="109"/>
        <v>0</v>
      </c>
      <c r="T431" s="18">
        <v>100</v>
      </c>
      <c r="U431" s="16"/>
      <c r="V431" s="18">
        <f t="shared" si="103"/>
        <v>516.82061337096957</v>
      </c>
      <c r="W431" s="16"/>
      <c r="X431" s="18">
        <f t="shared" si="104"/>
        <v>76275.053598787475</v>
      </c>
      <c r="Y431" s="18">
        <f t="shared" si="105"/>
        <v>276.17938662903043</v>
      </c>
      <c r="Z431" s="18"/>
      <c r="AA431" s="18">
        <f t="shared" si="106"/>
        <v>2.6197412850424771E-4</v>
      </c>
    </row>
    <row r="432" spans="2:27" x14ac:dyDescent="0.35">
      <c r="B432" s="26">
        <v>123.80000000000001</v>
      </c>
      <c r="C432" s="26">
        <v>820</v>
      </c>
      <c r="D432" s="18">
        <f t="shared" si="112"/>
        <v>61.638695642695708</v>
      </c>
      <c r="E432" s="18">
        <f t="shared" si="112"/>
        <v>8.3870322625298801</v>
      </c>
      <c r="F432" s="18">
        <f t="shared" si="112"/>
        <v>10.177414907005957</v>
      </c>
      <c r="G432" s="18">
        <f t="shared" si="112"/>
        <v>10.177414907005957</v>
      </c>
      <c r="H432" s="18">
        <f t="shared" si="112"/>
        <v>10.177414907005957</v>
      </c>
      <c r="I432" s="16"/>
      <c r="J432" s="18">
        <f t="shared" si="98"/>
        <v>57.585426125660213</v>
      </c>
      <c r="K432" s="18">
        <f t="shared" si="99"/>
        <v>6.5132011925279514</v>
      </c>
      <c r="L432" s="18">
        <f t="shared" si="100"/>
        <v>8.0871397875743298</v>
      </c>
      <c r="M432" s="18">
        <f t="shared" si="101"/>
        <v>8.0871397875743298</v>
      </c>
      <c r="N432" s="18">
        <f t="shared" si="102"/>
        <v>8.0871397875743298</v>
      </c>
      <c r="O432" s="16"/>
      <c r="P432" s="18">
        <f t="shared" si="113"/>
        <v>125.44445687945037</v>
      </c>
      <c r="Q432" s="18">
        <f t="shared" si="107"/>
        <v>289.78691082489439</v>
      </c>
      <c r="R432" s="18">
        <f t="shared" si="108"/>
        <v>0</v>
      </c>
      <c r="S432" s="18">
        <f t="shared" si="109"/>
        <v>0</v>
      </c>
      <c r="T432" s="18">
        <v>100</v>
      </c>
      <c r="U432" s="16"/>
      <c r="V432" s="18">
        <f t="shared" si="103"/>
        <v>515.23136770434473</v>
      </c>
      <c r="W432" s="16"/>
      <c r="X432" s="18">
        <f t="shared" si="104"/>
        <v>92883.919231364329</v>
      </c>
      <c r="Y432" s="18">
        <f t="shared" si="105"/>
        <v>304.76863229565527</v>
      </c>
      <c r="Z432" s="18"/>
      <c r="AA432" s="18">
        <f t="shared" si="106"/>
        <v>2.8909288928333552E-4</v>
      </c>
    </row>
    <row r="433" spans="2:27" x14ac:dyDescent="0.35">
      <c r="B433" s="26">
        <v>124.1</v>
      </c>
      <c r="C433" s="26">
        <v>799</v>
      </c>
      <c r="D433" s="18">
        <f t="shared" si="112"/>
        <v>61.77340927099673</v>
      </c>
      <c r="E433" s="18">
        <f t="shared" si="112"/>
        <v>8.4010972231947427</v>
      </c>
      <c r="F433" s="18">
        <f t="shared" si="112"/>
        <v>10.207414907005955</v>
      </c>
      <c r="G433" s="18">
        <f t="shared" si="112"/>
        <v>10.207414907005955</v>
      </c>
      <c r="H433" s="18">
        <f t="shared" si="112"/>
        <v>10.207414907005955</v>
      </c>
      <c r="I433" s="16"/>
      <c r="J433" s="18">
        <f t="shared" si="98"/>
        <v>57.717842909421051</v>
      </c>
      <c r="K433" s="18">
        <f t="shared" si="99"/>
        <v>6.5253956376947038</v>
      </c>
      <c r="L433" s="18">
        <f t="shared" si="100"/>
        <v>8.1138432596775054</v>
      </c>
      <c r="M433" s="18">
        <f t="shared" si="101"/>
        <v>8.1138432596775054</v>
      </c>
      <c r="N433" s="18">
        <f t="shared" si="102"/>
        <v>8.1138432596775054</v>
      </c>
      <c r="O433" s="16"/>
      <c r="P433" s="18">
        <f t="shared" si="113"/>
        <v>124.87441567613548</v>
      </c>
      <c r="Q433" s="18">
        <f t="shared" si="107"/>
        <v>288.77666206339035</v>
      </c>
      <c r="R433" s="18">
        <f t="shared" si="108"/>
        <v>0</v>
      </c>
      <c r="S433" s="18">
        <f t="shared" si="109"/>
        <v>0</v>
      </c>
      <c r="T433" s="18">
        <v>100</v>
      </c>
      <c r="U433" s="16"/>
      <c r="V433" s="18">
        <f t="shared" si="103"/>
        <v>513.65107773952582</v>
      </c>
      <c r="W433" s="16"/>
      <c r="X433" s="18">
        <f t="shared" si="104"/>
        <v>81424.007435214138</v>
      </c>
      <c r="Y433" s="18">
        <f t="shared" si="105"/>
        <v>285.34892226047418</v>
      </c>
      <c r="Z433" s="18"/>
      <c r="AA433" s="18">
        <f t="shared" si="106"/>
        <v>2.7067203002092673E-4</v>
      </c>
    </row>
    <row r="434" spans="2:27" x14ac:dyDescent="0.35">
      <c r="B434" s="26">
        <v>124.4</v>
      </c>
      <c r="C434" s="26">
        <v>814</v>
      </c>
      <c r="D434" s="18">
        <f t="shared" si="112"/>
        <v>61.908122899297766</v>
      </c>
      <c r="E434" s="18">
        <f t="shared" si="112"/>
        <v>8.4151621838596089</v>
      </c>
      <c r="F434" s="18">
        <f t="shared" si="112"/>
        <v>10.237414907005956</v>
      </c>
      <c r="G434" s="18">
        <f t="shared" si="112"/>
        <v>10.237414907005956</v>
      </c>
      <c r="H434" s="18">
        <f t="shared" si="112"/>
        <v>10.237414907005956</v>
      </c>
      <c r="I434" s="16"/>
      <c r="J434" s="18">
        <f t="shared" ref="J434:J497" si="114">lmb_2(D434)</f>
        <v>57.850264867152525</v>
      </c>
      <c r="K434" s="18">
        <f t="shared" ref="K434:K497" si="115">lmb_2(E434)</f>
        <v>6.5375931118409731</v>
      </c>
      <c r="L434" s="18">
        <f t="shared" ref="L434:L497" si="116">lmb_2(F434)</f>
        <v>8.1405563781974326</v>
      </c>
      <c r="M434" s="18">
        <f t="shared" ref="M434:M497" si="117">lmb_2(G434)</f>
        <v>8.1405563781974326</v>
      </c>
      <c r="N434" s="18">
        <f t="shared" ref="N434:N497" si="118">lmb_2(H434)</f>
        <v>8.1405563781974326</v>
      </c>
      <c r="O434" s="16"/>
      <c r="P434" s="18">
        <f t="shared" si="113"/>
        <v>124.30822925888972</v>
      </c>
      <c r="Q434" s="18">
        <f t="shared" si="107"/>
        <v>287.77144685569669</v>
      </c>
      <c r="R434" s="18">
        <f t="shared" si="108"/>
        <v>0</v>
      </c>
      <c r="S434" s="18">
        <f t="shared" si="109"/>
        <v>0</v>
      </c>
      <c r="T434" s="18">
        <v>100</v>
      </c>
      <c r="U434" s="16"/>
      <c r="V434" s="18">
        <f t="shared" ref="V434:V497" si="119">SUM(P434:T434)</f>
        <v>512.07967611458639</v>
      </c>
      <c r="W434" s="16"/>
      <c r="X434" s="18">
        <f t="shared" ref="X434:X497" si="120">(V434-C434)^2</f>
        <v>91155.881975073062</v>
      </c>
      <c r="Y434" s="18">
        <f t="shared" ref="Y434:Y497" si="121">ABS(V434-C434)</f>
        <v>301.92032388541361</v>
      </c>
      <c r="Z434" s="18"/>
      <c r="AA434" s="18">
        <f t="shared" ref="AA434:AA497" si="122">Y434/$Z$39</f>
        <v>2.8639108332094247E-4</v>
      </c>
    </row>
    <row r="435" spans="2:27" x14ac:dyDescent="0.35">
      <c r="B435" s="26">
        <v>124.80000000000001</v>
      </c>
      <c r="C435" s="26">
        <v>780</v>
      </c>
      <c r="D435" s="18">
        <f t="shared" si="112"/>
        <v>62.087741070365801</v>
      </c>
      <c r="E435" s="18">
        <f t="shared" si="112"/>
        <v>8.4339154647460948</v>
      </c>
      <c r="F435" s="18">
        <f t="shared" si="112"/>
        <v>10.277414907005957</v>
      </c>
      <c r="G435" s="18">
        <f t="shared" si="112"/>
        <v>10.277414907005957</v>
      </c>
      <c r="H435" s="18">
        <f t="shared" si="112"/>
        <v>10.277414907005957</v>
      </c>
      <c r="I435" s="16"/>
      <c r="J435" s="18">
        <f t="shared" si="114"/>
        <v>58.026835486029526</v>
      </c>
      <c r="K435" s="18">
        <f t="shared" si="115"/>
        <v>6.5538611068181973</v>
      </c>
      <c r="L435" s="18">
        <f t="shared" si="116"/>
        <v>8.1761887838143199</v>
      </c>
      <c r="M435" s="18">
        <f t="shared" si="117"/>
        <v>8.1761887838143199</v>
      </c>
      <c r="N435" s="18">
        <f t="shared" si="118"/>
        <v>8.1761887838143199</v>
      </c>
      <c r="O435" s="16"/>
      <c r="P435" s="18">
        <f t="shared" si="113"/>
        <v>123.55925074309752</v>
      </c>
      <c r="Q435" s="18">
        <f t="shared" si="107"/>
        <v>286.43893428277926</v>
      </c>
      <c r="R435" s="18">
        <f t="shared" si="108"/>
        <v>0</v>
      </c>
      <c r="S435" s="18">
        <f t="shared" si="109"/>
        <v>0</v>
      </c>
      <c r="T435" s="18">
        <v>100</v>
      </c>
      <c r="U435" s="16"/>
      <c r="V435" s="18">
        <f t="shared" si="119"/>
        <v>509.99818502587675</v>
      </c>
      <c r="W435" s="16"/>
      <c r="X435" s="18">
        <f t="shared" si="120"/>
        <v>72900.980089320685</v>
      </c>
      <c r="Y435" s="18">
        <f t="shared" si="121"/>
        <v>270.00181497412325</v>
      </c>
      <c r="Z435" s="18"/>
      <c r="AA435" s="18">
        <f t="shared" si="122"/>
        <v>2.5611429960709445E-4</v>
      </c>
    </row>
    <row r="436" spans="2:27" x14ac:dyDescent="0.35">
      <c r="B436" s="26">
        <v>125.1</v>
      </c>
      <c r="C436" s="26">
        <v>815</v>
      </c>
      <c r="D436" s="18">
        <f t="shared" si="112"/>
        <v>62.222454698666823</v>
      </c>
      <c r="E436" s="18">
        <f t="shared" si="112"/>
        <v>8.4479804254109592</v>
      </c>
      <c r="F436" s="18">
        <f t="shared" si="112"/>
        <v>10.307414907005954</v>
      </c>
      <c r="G436" s="18">
        <f t="shared" si="112"/>
        <v>10.307414907005954</v>
      </c>
      <c r="H436" s="18">
        <f t="shared" si="112"/>
        <v>10.307414907005954</v>
      </c>
      <c r="I436" s="16"/>
      <c r="J436" s="18">
        <f t="shared" si="114"/>
        <v>58.159269426955198</v>
      </c>
      <c r="K436" s="18">
        <f t="shared" si="115"/>
        <v>6.5660656134682585</v>
      </c>
      <c r="L436" s="18">
        <f t="shared" si="116"/>
        <v>8.2029242058380873</v>
      </c>
      <c r="M436" s="18">
        <f t="shared" si="117"/>
        <v>8.2029242058380873</v>
      </c>
      <c r="N436" s="18">
        <f t="shared" si="118"/>
        <v>8.2029242058380873</v>
      </c>
      <c r="O436" s="16"/>
      <c r="P436" s="18">
        <f t="shared" si="113"/>
        <v>123.00192520559074</v>
      </c>
      <c r="Q436" s="18">
        <f t="shared" si="107"/>
        <v>285.44533927911004</v>
      </c>
      <c r="R436" s="18">
        <f t="shared" si="108"/>
        <v>0</v>
      </c>
      <c r="S436" s="18">
        <f t="shared" si="109"/>
        <v>0</v>
      </c>
      <c r="T436" s="18">
        <v>100</v>
      </c>
      <c r="U436" s="16"/>
      <c r="V436" s="18">
        <f t="shared" si="119"/>
        <v>508.44726448470078</v>
      </c>
      <c r="W436" s="16"/>
      <c r="X436" s="18">
        <f t="shared" si="120"/>
        <v>93974.579651912994</v>
      </c>
      <c r="Y436" s="18">
        <f t="shared" si="121"/>
        <v>306.55273551529922</v>
      </c>
      <c r="Z436" s="18"/>
      <c r="AA436" s="18">
        <f t="shared" si="122"/>
        <v>2.9078522733880257E-4</v>
      </c>
    </row>
    <row r="437" spans="2:27" x14ac:dyDescent="0.35">
      <c r="B437" s="26">
        <v>125.4</v>
      </c>
      <c r="C437" s="26">
        <v>821</v>
      </c>
      <c r="D437" s="18">
        <f t="shared" si="112"/>
        <v>62.357168326967859</v>
      </c>
      <c r="E437" s="18">
        <f t="shared" si="112"/>
        <v>8.4620453860758236</v>
      </c>
      <c r="F437" s="18">
        <f t="shared" si="112"/>
        <v>10.337414907005956</v>
      </c>
      <c r="G437" s="18">
        <f t="shared" si="112"/>
        <v>10.337414907005956</v>
      </c>
      <c r="H437" s="18">
        <f t="shared" si="112"/>
        <v>10.337414907005956</v>
      </c>
      <c r="I437" s="16"/>
      <c r="J437" s="18">
        <f t="shared" si="114"/>
        <v>58.291708465585494</v>
      </c>
      <c r="K437" s="18">
        <f t="shared" si="115"/>
        <v>6.5782731190902792</v>
      </c>
      <c r="L437" s="18">
        <f t="shared" si="116"/>
        <v>8.2296690997205939</v>
      </c>
      <c r="M437" s="18">
        <f t="shared" si="117"/>
        <v>8.2296690997205939</v>
      </c>
      <c r="N437" s="18">
        <f t="shared" si="118"/>
        <v>8.2296690997205939</v>
      </c>
      <c r="O437" s="16"/>
      <c r="P437" s="18">
        <f t="shared" si="113"/>
        <v>122.44834083915723</v>
      </c>
      <c r="Q437" s="18">
        <f t="shared" si="107"/>
        <v>284.45667149268996</v>
      </c>
      <c r="R437" s="18">
        <f t="shared" si="108"/>
        <v>0</v>
      </c>
      <c r="S437" s="18">
        <f t="shared" si="109"/>
        <v>0</v>
      </c>
      <c r="T437" s="18">
        <v>100</v>
      </c>
      <c r="U437" s="16"/>
      <c r="V437" s="18">
        <f t="shared" si="119"/>
        <v>506.90501233184716</v>
      </c>
      <c r="W437" s="16"/>
      <c r="X437" s="18">
        <f t="shared" si="120"/>
        <v>98655.661278257088</v>
      </c>
      <c r="Y437" s="18">
        <f t="shared" si="121"/>
        <v>314.09498766815284</v>
      </c>
      <c r="Z437" s="18"/>
      <c r="AA437" s="18">
        <f t="shared" si="122"/>
        <v>2.9793954453394191E-4</v>
      </c>
    </row>
    <row r="438" spans="2:27" x14ac:dyDescent="0.35">
      <c r="B438" s="26">
        <v>125.70000000000002</v>
      </c>
      <c r="C438" s="26">
        <v>775</v>
      </c>
      <c r="D438" s="18">
        <f t="shared" si="112"/>
        <v>62.491881955268894</v>
      </c>
      <c r="E438" s="18">
        <f t="shared" si="112"/>
        <v>8.4761103467406897</v>
      </c>
      <c r="F438" s="18">
        <f t="shared" si="112"/>
        <v>10.367414907005957</v>
      </c>
      <c r="G438" s="18">
        <f t="shared" si="112"/>
        <v>10.367414907005957</v>
      </c>
      <c r="H438" s="18">
        <f t="shared" si="112"/>
        <v>10.367414907005957</v>
      </c>
      <c r="I438" s="16"/>
      <c r="J438" s="18">
        <f t="shared" si="114"/>
        <v>58.424152579367352</v>
      </c>
      <c r="K438" s="18">
        <f t="shared" si="115"/>
        <v>6.5904836147635821</v>
      </c>
      <c r="L438" s="18">
        <f t="shared" si="116"/>
        <v>8.2564234139744421</v>
      </c>
      <c r="M438" s="18">
        <f t="shared" si="117"/>
        <v>8.2564234139744421</v>
      </c>
      <c r="N438" s="18">
        <f t="shared" si="118"/>
        <v>8.2564234139744421</v>
      </c>
      <c r="O438" s="16"/>
      <c r="P438" s="18">
        <f t="shared" si="113"/>
        <v>121.89846437520654</v>
      </c>
      <c r="Q438" s="18">
        <f t="shared" si="107"/>
        <v>283.47289955481961</v>
      </c>
      <c r="R438" s="18">
        <f t="shared" si="108"/>
        <v>0</v>
      </c>
      <c r="S438" s="18">
        <f t="shared" si="109"/>
        <v>0</v>
      </c>
      <c r="T438" s="18">
        <v>100</v>
      </c>
      <c r="U438" s="16"/>
      <c r="V438" s="18">
        <f t="shared" si="119"/>
        <v>505.37136393002618</v>
      </c>
      <c r="W438" s="16"/>
      <c r="X438" s="18">
        <f t="shared" si="120"/>
        <v>72699.601388954383</v>
      </c>
      <c r="Y438" s="18">
        <f t="shared" si="121"/>
        <v>269.62863606997382</v>
      </c>
      <c r="Z438" s="18"/>
      <c r="AA438" s="18">
        <f t="shared" si="122"/>
        <v>2.5576031512119932E-4</v>
      </c>
    </row>
    <row r="439" spans="2:27" x14ac:dyDescent="0.35">
      <c r="B439" s="26">
        <v>126</v>
      </c>
      <c r="C439" s="26">
        <v>740</v>
      </c>
      <c r="D439" s="18">
        <f t="shared" si="112"/>
        <v>62.626595583569909</v>
      </c>
      <c r="E439" s="18">
        <f t="shared" si="112"/>
        <v>8.4901753074055524</v>
      </c>
      <c r="F439" s="18">
        <f t="shared" si="112"/>
        <v>10.397414907005956</v>
      </c>
      <c r="G439" s="18">
        <f t="shared" si="112"/>
        <v>10.397414907005956</v>
      </c>
      <c r="H439" s="18">
        <f t="shared" si="112"/>
        <v>10.397414907005956</v>
      </c>
      <c r="I439" s="16"/>
      <c r="J439" s="18">
        <f t="shared" si="114"/>
        <v>58.556601745896167</v>
      </c>
      <c r="K439" s="18">
        <f t="shared" si="115"/>
        <v>6.6026970916047922</v>
      </c>
      <c r="L439" s="18">
        <f t="shared" si="116"/>
        <v>8.2831870975112594</v>
      </c>
      <c r="M439" s="18">
        <f t="shared" si="117"/>
        <v>8.2831870975112594</v>
      </c>
      <c r="N439" s="18">
        <f t="shared" si="118"/>
        <v>8.2831870975112594</v>
      </c>
      <c r="O439" s="16"/>
      <c r="P439" s="18">
        <f t="shared" si="113"/>
        <v>121.35226291287893</v>
      </c>
      <c r="Q439" s="18">
        <f t="shared" ref="Q439:Q502" si="123">(D$21*$A$21*D$23*D$22)/(K439+K439^2)</f>
        <v>282.49399233853734</v>
      </c>
      <c r="R439" s="18">
        <f t="shared" ref="R439:R502" si="124">(E$21*$A$21*E$23*E$22)/(L439+L439^2)</f>
        <v>0</v>
      </c>
      <c r="S439" s="18">
        <f t="shared" ref="S439:S502" si="125">(F$21*$A$21*F$23*F$22)/(M439+M439^2)</f>
        <v>0</v>
      </c>
      <c r="T439" s="18">
        <v>100</v>
      </c>
      <c r="U439" s="16"/>
      <c r="V439" s="18">
        <f t="shared" si="119"/>
        <v>503.84625525141627</v>
      </c>
      <c r="W439" s="16"/>
      <c r="X439" s="18">
        <f t="shared" si="120"/>
        <v>55768.591158779236</v>
      </c>
      <c r="Y439" s="18">
        <f t="shared" si="121"/>
        <v>236.15374474858373</v>
      </c>
      <c r="Z439" s="18"/>
      <c r="AA439" s="18">
        <f t="shared" si="122"/>
        <v>2.2400720136519329E-4</v>
      </c>
    </row>
    <row r="440" spans="2:27" x14ac:dyDescent="0.35">
      <c r="B440" s="26">
        <v>126.30000000000001</v>
      </c>
      <c r="C440" s="26">
        <v>842</v>
      </c>
      <c r="D440" s="18">
        <f t="shared" si="112"/>
        <v>62.761309211870945</v>
      </c>
      <c r="E440" s="18">
        <f t="shared" si="112"/>
        <v>8.5042402680704186</v>
      </c>
      <c r="F440" s="18">
        <f t="shared" si="112"/>
        <v>10.427414907005957</v>
      </c>
      <c r="G440" s="18">
        <f t="shared" si="112"/>
        <v>10.427414907005957</v>
      </c>
      <c r="H440" s="18">
        <f t="shared" si="112"/>
        <v>10.427414907005957</v>
      </c>
      <c r="I440" s="16"/>
      <c r="J440" s="18">
        <f t="shared" si="114"/>
        <v>58.689055942914578</v>
      </c>
      <c r="K440" s="18">
        <f t="shared" si="115"/>
        <v>6.6149135407676525</v>
      </c>
      <c r="L440" s="18">
        <f t="shared" si="116"/>
        <v>8.3099600996377614</v>
      </c>
      <c r="M440" s="18">
        <f t="shared" si="117"/>
        <v>8.3099600996377614</v>
      </c>
      <c r="N440" s="18">
        <f t="shared" si="118"/>
        <v>8.3099600996377614</v>
      </c>
      <c r="O440" s="16"/>
      <c r="P440" s="18">
        <f t="shared" si="113"/>
        <v>120.80970391419201</v>
      </c>
      <c r="Q440" s="18">
        <f t="shared" si="123"/>
        <v>281.51991895644579</v>
      </c>
      <c r="R440" s="18">
        <f t="shared" si="124"/>
        <v>0</v>
      </c>
      <c r="S440" s="18">
        <f t="shared" si="125"/>
        <v>0</v>
      </c>
      <c r="T440" s="18">
        <v>100</v>
      </c>
      <c r="U440" s="16"/>
      <c r="V440" s="18">
        <f t="shared" si="119"/>
        <v>502.32962287063782</v>
      </c>
      <c r="W440" s="16"/>
      <c r="X440" s="18">
        <f t="shared" si="120"/>
        <v>115375.96509920312</v>
      </c>
      <c r="Y440" s="18">
        <f t="shared" si="121"/>
        <v>339.67037712936218</v>
      </c>
      <c r="Z440" s="18"/>
      <c r="AA440" s="18">
        <f t="shared" si="122"/>
        <v>3.2219946648914826E-4</v>
      </c>
    </row>
    <row r="441" spans="2:27" x14ac:dyDescent="0.35">
      <c r="B441" s="26">
        <v>126.70000000000002</v>
      </c>
      <c r="C441" s="26">
        <v>797</v>
      </c>
      <c r="D441" s="18">
        <f t="shared" si="112"/>
        <v>62.940927382938987</v>
      </c>
      <c r="E441" s="18">
        <f t="shared" si="112"/>
        <v>8.5229935489569044</v>
      </c>
      <c r="F441" s="18">
        <f t="shared" si="112"/>
        <v>10.467414907005956</v>
      </c>
      <c r="G441" s="18">
        <f t="shared" si="112"/>
        <v>10.467414907005956</v>
      </c>
      <c r="H441" s="18">
        <f t="shared" si="112"/>
        <v>10.467414907005956</v>
      </c>
      <c r="I441" s="16"/>
      <c r="J441" s="18">
        <f t="shared" si="114"/>
        <v>58.865669325948566</v>
      </c>
      <c r="K441" s="18">
        <f t="shared" si="115"/>
        <v>6.6312067480421772</v>
      </c>
      <c r="L441" s="18">
        <f t="shared" si="116"/>
        <v>8.3456718445043609</v>
      </c>
      <c r="M441" s="18">
        <f t="shared" si="117"/>
        <v>8.3456718445043609</v>
      </c>
      <c r="N441" s="18">
        <f t="shared" si="118"/>
        <v>8.3456718445043609</v>
      </c>
      <c r="O441" s="16"/>
      <c r="P441" s="18">
        <f t="shared" si="113"/>
        <v>120.09190240193337</v>
      </c>
      <c r="Q441" s="18">
        <f t="shared" si="123"/>
        <v>280.22862080327303</v>
      </c>
      <c r="R441" s="18">
        <f t="shared" si="124"/>
        <v>0</v>
      </c>
      <c r="S441" s="18">
        <f t="shared" si="125"/>
        <v>0</v>
      </c>
      <c r="T441" s="18">
        <v>100</v>
      </c>
      <c r="U441" s="16"/>
      <c r="V441" s="18">
        <f t="shared" si="119"/>
        <v>500.32052320520643</v>
      </c>
      <c r="W441" s="16"/>
      <c r="X441" s="18">
        <f t="shared" si="120"/>
        <v>88018.711951232457</v>
      </c>
      <c r="Y441" s="18">
        <f t="shared" si="121"/>
        <v>296.67947679479357</v>
      </c>
      <c r="Z441" s="18"/>
      <c r="AA441" s="18">
        <f t="shared" si="122"/>
        <v>2.814197986572054E-4</v>
      </c>
    </row>
    <row r="442" spans="2:27" x14ac:dyDescent="0.35">
      <c r="B442" s="26">
        <v>127</v>
      </c>
      <c r="C442" s="26">
        <v>746</v>
      </c>
      <c r="D442" s="18">
        <f t="shared" si="112"/>
        <v>63.075641011240009</v>
      </c>
      <c r="E442" s="18">
        <f t="shared" si="112"/>
        <v>8.5370585096217688</v>
      </c>
      <c r="F442" s="18">
        <f t="shared" si="112"/>
        <v>10.497414907005956</v>
      </c>
      <c r="G442" s="18">
        <f t="shared" si="112"/>
        <v>10.497414907005956</v>
      </c>
      <c r="H442" s="18">
        <f t="shared" si="112"/>
        <v>10.497414907005956</v>
      </c>
      <c r="I442" s="16"/>
      <c r="J442" s="18">
        <f t="shared" si="114"/>
        <v>58.99813517503658</v>
      </c>
      <c r="K442" s="18">
        <f t="shared" si="115"/>
        <v>6.6434300984270873</v>
      </c>
      <c r="L442" s="18">
        <f t="shared" si="116"/>
        <v>8.3724663950564846</v>
      </c>
      <c r="M442" s="18">
        <f t="shared" si="117"/>
        <v>8.3724663950564846</v>
      </c>
      <c r="N442" s="18">
        <f t="shared" si="118"/>
        <v>8.3724663950564846</v>
      </c>
      <c r="O442" s="16"/>
      <c r="P442" s="18">
        <f t="shared" si="113"/>
        <v>119.55771795121903</v>
      </c>
      <c r="Q442" s="18">
        <f t="shared" si="123"/>
        <v>279.26570757961713</v>
      </c>
      <c r="R442" s="18">
        <f t="shared" si="124"/>
        <v>0</v>
      </c>
      <c r="S442" s="18">
        <f t="shared" si="125"/>
        <v>0</v>
      </c>
      <c r="T442" s="18">
        <v>100</v>
      </c>
      <c r="U442" s="16"/>
      <c r="V442" s="18">
        <f t="shared" si="119"/>
        <v>498.82342553083618</v>
      </c>
      <c r="W442" s="16"/>
      <c r="X442" s="18">
        <f t="shared" si="120"/>
        <v>61096.258966310088</v>
      </c>
      <c r="Y442" s="18">
        <f t="shared" si="121"/>
        <v>247.17657446916382</v>
      </c>
      <c r="Z442" s="18"/>
      <c r="AA442" s="18">
        <f t="shared" si="122"/>
        <v>2.3446307298163112E-4</v>
      </c>
    </row>
    <row r="443" spans="2:27" x14ac:dyDescent="0.35">
      <c r="B443" s="26">
        <v>127.30000000000001</v>
      </c>
      <c r="C443" s="26">
        <v>761</v>
      </c>
      <c r="D443" s="18">
        <f t="shared" si="112"/>
        <v>63.210354639541038</v>
      </c>
      <c r="E443" s="18">
        <f t="shared" si="112"/>
        <v>8.5511234702866332</v>
      </c>
      <c r="F443" s="18">
        <f t="shared" si="112"/>
        <v>10.527414907005957</v>
      </c>
      <c r="G443" s="18">
        <f t="shared" si="112"/>
        <v>10.527414907005957</v>
      </c>
      <c r="H443" s="18">
        <f t="shared" si="112"/>
        <v>10.527414907005957</v>
      </c>
      <c r="I443" s="16"/>
      <c r="J443" s="18">
        <f t="shared" si="114"/>
        <v>59.130605981469429</v>
      </c>
      <c r="K443" s="18">
        <f t="shared" si="115"/>
        <v>6.6556563919116334</v>
      </c>
      <c r="L443" s="18">
        <f t="shared" si="116"/>
        <v>8.3992700980244415</v>
      </c>
      <c r="M443" s="18">
        <f t="shared" si="117"/>
        <v>8.3992700980244415</v>
      </c>
      <c r="N443" s="18">
        <f t="shared" si="118"/>
        <v>8.3992700980244415</v>
      </c>
      <c r="O443" s="16"/>
      <c r="P443" s="18">
        <f t="shared" si="113"/>
        <v>119.02707006417681</v>
      </c>
      <c r="Q443" s="18">
        <f t="shared" si="123"/>
        <v>278.30752693491155</v>
      </c>
      <c r="R443" s="18">
        <f t="shared" si="124"/>
        <v>0</v>
      </c>
      <c r="S443" s="18">
        <f t="shared" si="125"/>
        <v>0</v>
      </c>
      <c r="T443" s="18">
        <v>100</v>
      </c>
      <c r="U443" s="16"/>
      <c r="V443" s="18">
        <f t="shared" si="119"/>
        <v>497.33459699908838</v>
      </c>
      <c r="W443" s="16"/>
      <c r="X443" s="18">
        <f t="shared" si="120"/>
        <v>69519.444739633138</v>
      </c>
      <c r="Y443" s="18">
        <f t="shared" si="121"/>
        <v>263.66540300091162</v>
      </c>
      <c r="Z443" s="18"/>
      <c r="AA443" s="18">
        <f t="shared" si="122"/>
        <v>2.5010380032694469E-4</v>
      </c>
    </row>
    <row r="444" spans="2:27" x14ac:dyDescent="0.35">
      <c r="B444" s="26">
        <v>127.6</v>
      </c>
      <c r="C444" s="26">
        <v>758</v>
      </c>
      <c r="D444" s="18">
        <f t="shared" si="112"/>
        <v>63.345068267842059</v>
      </c>
      <c r="E444" s="18">
        <f t="shared" si="112"/>
        <v>8.5651884309514976</v>
      </c>
      <c r="F444" s="18">
        <f t="shared" si="112"/>
        <v>10.557414907005954</v>
      </c>
      <c r="G444" s="18">
        <f t="shared" si="112"/>
        <v>10.557414907005954</v>
      </c>
      <c r="H444" s="18">
        <f t="shared" si="112"/>
        <v>10.557414907005954</v>
      </c>
      <c r="I444" s="16"/>
      <c r="J444" s="18">
        <f t="shared" si="114"/>
        <v>59.263081723612849</v>
      </c>
      <c r="K444" s="18">
        <f t="shared" si="115"/>
        <v>6.6678856198081347</v>
      </c>
      <c r="L444" s="18">
        <f t="shared" si="116"/>
        <v>8.4260829043825822</v>
      </c>
      <c r="M444" s="18">
        <f t="shared" si="117"/>
        <v>8.4260829043825822</v>
      </c>
      <c r="N444" s="18">
        <f t="shared" si="118"/>
        <v>8.4260829043825822</v>
      </c>
      <c r="O444" s="16"/>
      <c r="P444" s="18">
        <f t="shared" si="113"/>
        <v>118.49992772100315</v>
      </c>
      <c r="Q444" s="18">
        <f t="shared" si="123"/>
        <v>277.35404899530778</v>
      </c>
      <c r="R444" s="18">
        <f t="shared" si="124"/>
        <v>0</v>
      </c>
      <c r="S444" s="18">
        <f t="shared" si="125"/>
        <v>0</v>
      </c>
      <c r="T444" s="18">
        <v>100</v>
      </c>
      <c r="U444" s="16"/>
      <c r="V444" s="18">
        <f t="shared" si="119"/>
        <v>495.85397671631091</v>
      </c>
      <c r="W444" s="16"/>
      <c r="X444" s="18">
        <f t="shared" si="120"/>
        <v>68720.537523452469</v>
      </c>
      <c r="Y444" s="18">
        <f t="shared" si="121"/>
        <v>262.14602328368909</v>
      </c>
      <c r="Z444" s="18"/>
      <c r="AA444" s="18">
        <f t="shared" si="122"/>
        <v>2.4866256974799111E-4</v>
      </c>
    </row>
    <row r="445" spans="2:27" x14ac:dyDescent="0.35">
      <c r="B445" s="26">
        <v>127.9</v>
      </c>
      <c r="C445" s="26">
        <v>797</v>
      </c>
      <c r="D445" s="18">
        <f t="shared" si="112"/>
        <v>63.479781896143095</v>
      </c>
      <c r="E445" s="18">
        <f t="shared" si="112"/>
        <v>8.579253391616362</v>
      </c>
      <c r="F445" s="18">
        <f t="shared" si="112"/>
        <v>10.587414907005956</v>
      </c>
      <c r="G445" s="18">
        <f t="shared" si="112"/>
        <v>10.587414907005956</v>
      </c>
      <c r="H445" s="18">
        <f t="shared" si="112"/>
        <v>10.587414907005956</v>
      </c>
      <c r="I445" s="16"/>
      <c r="J445" s="18">
        <f t="shared" si="114"/>
        <v>59.395562379973093</v>
      </c>
      <c r="K445" s="18">
        <f t="shared" si="115"/>
        <v>6.6801177734649952</v>
      </c>
      <c r="L445" s="18">
        <f t="shared" si="116"/>
        <v>8.4529047654801222</v>
      </c>
      <c r="M445" s="18">
        <f t="shared" si="117"/>
        <v>8.4529047654801222</v>
      </c>
      <c r="N445" s="18">
        <f t="shared" si="118"/>
        <v>8.4529047654801222</v>
      </c>
      <c r="O445" s="16"/>
      <c r="P445" s="18">
        <f t="shared" si="113"/>
        <v>117.97626024011421</v>
      </c>
      <c r="Q445" s="18">
        <f t="shared" si="123"/>
        <v>276.40524411530572</v>
      </c>
      <c r="R445" s="18">
        <f t="shared" si="124"/>
        <v>0</v>
      </c>
      <c r="S445" s="18">
        <f t="shared" si="125"/>
        <v>0</v>
      </c>
      <c r="T445" s="18">
        <v>100</v>
      </c>
      <c r="U445" s="16"/>
      <c r="V445" s="18">
        <f t="shared" si="119"/>
        <v>494.38150435541991</v>
      </c>
      <c r="W445" s="16"/>
      <c r="X445" s="18">
        <f t="shared" si="120"/>
        <v>91577.953906188748</v>
      </c>
      <c r="Y445" s="18">
        <f t="shared" si="121"/>
        <v>302.61849564458009</v>
      </c>
      <c r="Z445" s="18"/>
      <c r="AA445" s="18">
        <f t="shared" si="122"/>
        <v>2.8705334468804292E-4</v>
      </c>
    </row>
    <row r="446" spans="2:27" x14ac:dyDescent="0.35">
      <c r="B446" s="26">
        <v>128.20000000000002</v>
      </c>
      <c r="C446" s="26">
        <v>863</v>
      </c>
      <c r="D446" s="18">
        <f t="shared" si="112"/>
        <v>63.614495524444131</v>
      </c>
      <c r="E446" s="18">
        <f t="shared" si="112"/>
        <v>8.5933183522812264</v>
      </c>
      <c r="F446" s="18">
        <f t="shared" si="112"/>
        <v>10.617414907005957</v>
      </c>
      <c r="G446" s="18">
        <f t="shared" si="112"/>
        <v>10.617414907005957</v>
      </c>
      <c r="H446" s="18">
        <f t="shared" si="112"/>
        <v>10.617414907005957</v>
      </c>
      <c r="I446" s="16"/>
      <c r="J446" s="18">
        <f t="shared" si="114"/>
        <v>59.528047929195687</v>
      </c>
      <c r="K446" s="18">
        <f t="shared" si="115"/>
        <v>6.6923528442665168</v>
      </c>
      <c r="L446" s="18">
        <f t="shared" si="116"/>
        <v>8.4797356330374623</v>
      </c>
      <c r="M446" s="18">
        <f t="shared" si="117"/>
        <v>8.4797356330374623</v>
      </c>
      <c r="N446" s="18">
        <f t="shared" si="118"/>
        <v>8.4797356330374623</v>
      </c>
      <c r="O446" s="16"/>
      <c r="P446" s="18">
        <f t="shared" si="113"/>
        <v>117.45603727374291</v>
      </c>
      <c r="Q446" s="18">
        <f t="shared" si="123"/>
        <v>275.46108287571684</v>
      </c>
      <c r="R446" s="18">
        <f t="shared" si="124"/>
        <v>0</v>
      </c>
      <c r="S446" s="18">
        <f t="shared" si="125"/>
        <v>0</v>
      </c>
      <c r="T446" s="18">
        <v>100</v>
      </c>
      <c r="U446" s="16"/>
      <c r="V446" s="18">
        <f t="shared" si="119"/>
        <v>492.91712014945972</v>
      </c>
      <c r="W446" s="16"/>
      <c r="X446" s="18">
        <f t="shared" si="120"/>
        <v>136961.33795846943</v>
      </c>
      <c r="Y446" s="18">
        <f t="shared" si="121"/>
        <v>370.08287985054028</v>
      </c>
      <c r="Z446" s="18"/>
      <c r="AA446" s="18">
        <f t="shared" si="122"/>
        <v>3.5104770528517223E-4</v>
      </c>
    </row>
    <row r="447" spans="2:27" x14ac:dyDescent="0.35">
      <c r="B447" s="26">
        <v>128.5</v>
      </c>
      <c r="C447" s="26">
        <v>773</v>
      </c>
      <c r="D447" s="18">
        <f t="shared" si="112"/>
        <v>63.749209152745152</v>
      </c>
      <c r="E447" s="18">
        <f t="shared" si="112"/>
        <v>8.6073833129460908</v>
      </c>
      <c r="F447" s="18">
        <f t="shared" si="112"/>
        <v>10.647414907005956</v>
      </c>
      <c r="G447" s="18">
        <f t="shared" si="112"/>
        <v>10.647414907005956</v>
      </c>
      <c r="H447" s="18">
        <f t="shared" si="112"/>
        <v>10.647414907005956</v>
      </c>
      <c r="I447" s="16"/>
      <c r="J447" s="18">
        <f t="shared" si="114"/>
        <v>59.660538350064257</v>
      </c>
      <c r="K447" s="18">
        <f t="shared" si="115"/>
        <v>6.7045908236327172</v>
      </c>
      <c r="L447" s="18">
        <f t="shared" si="116"/>
        <v>8.5065754591425833</v>
      </c>
      <c r="M447" s="18">
        <f t="shared" si="117"/>
        <v>8.5065754591425833</v>
      </c>
      <c r="N447" s="18">
        <f t="shared" si="118"/>
        <v>8.5065754591425833</v>
      </c>
      <c r="O447" s="16"/>
      <c r="P447" s="18">
        <f t="shared" si="113"/>
        <v>116.93922880360201</v>
      </c>
      <c r="Q447" s="18">
        <f t="shared" si="123"/>
        <v>274.521536081649</v>
      </c>
      <c r="R447" s="18">
        <f t="shared" si="124"/>
        <v>0</v>
      </c>
      <c r="S447" s="18">
        <f t="shared" si="125"/>
        <v>0</v>
      </c>
      <c r="T447" s="18">
        <v>100</v>
      </c>
      <c r="U447" s="16"/>
      <c r="V447" s="18">
        <f t="shared" si="119"/>
        <v>491.46076488525102</v>
      </c>
      <c r="W447" s="16"/>
      <c r="X447" s="18">
        <f t="shared" si="120"/>
        <v>79264.340908997896</v>
      </c>
      <c r="Y447" s="18">
        <f t="shared" si="121"/>
        <v>281.53923511474898</v>
      </c>
      <c r="Z447" s="18"/>
      <c r="AA447" s="18">
        <f t="shared" si="122"/>
        <v>2.6705829373866108E-4</v>
      </c>
    </row>
    <row r="448" spans="2:27" x14ac:dyDescent="0.35">
      <c r="B448" s="26">
        <v>128.9</v>
      </c>
      <c r="C448" s="26">
        <v>783</v>
      </c>
      <c r="D448" s="18">
        <f t="shared" si="112"/>
        <v>63.928827323813188</v>
      </c>
      <c r="E448" s="18">
        <f t="shared" si="112"/>
        <v>8.6261365938325767</v>
      </c>
      <c r="F448" s="18">
        <f t="shared" si="112"/>
        <v>10.687414907005955</v>
      </c>
      <c r="G448" s="18">
        <f t="shared" si="112"/>
        <v>10.687414907005955</v>
      </c>
      <c r="H448" s="18">
        <f t="shared" si="112"/>
        <v>10.687414907005955</v>
      </c>
      <c r="I448" s="16"/>
      <c r="J448" s="18">
        <f t="shared" si="114"/>
        <v>59.837199786257635</v>
      </c>
      <c r="K448" s="18">
        <f t="shared" si="115"/>
        <v>6.7209126391251548</v>
      </c>
      <c r="L448" s="18">
        <f t="shared" si="116"/>
        <v>8.5423757473384416</v>
      </c>
      <c r="M448" s="18">
        <f t="shared" si="117"/>
        <v>8.5423757473384416</v>
      </c>
      <c r="N448" s="18">
        <f t="shared" si="118"/>
        <v>8.5423757473384416</v>
      </c>
      <c r="O448" s="16"/>
      <c r="P448" s="18">
        <f t="shared" si="113"/>
        <v>116.25541100693883</v>
      </c>
      <c r="Q448" s="18">
        <f t="shared" si="123"/>
        <v>273.27593500494737</v>
      </c>
      <c r="R448" s="18">
        <f t="shared" si="124"/>
        <v>0</v>
      </c>
      <c r="S448" s="18">
        <f t="shared" si="125"/>
        <v>0</v>
      </c>
      <c r="T448" s="18">
        <v>100</v>
      </c>
      <c r="U448" s="16"/>
      <c r="V448" s="18">
        <f t="shared" si="119"/>
        <v>489.53134601188617</v>
      </c>
      <c r="W448" s="16"/>
      <c r="X448" s="18">
        <f t="shared" si="120"/>
        <v>86123.850873595278</v>
      </c>
      <c r="Y448" s="18">
        <f t="shared" si="121"/>
        <v>293.46865398811383</v>
      </c>
      <c r="Z448" s="18"/>
      <c r="AA448" s="18">
        <f t="shared" si="122"/>
        <v>2.7837412418877977E-4</v>
      </c>
    </row>
    <row r="449" spans="2:27" x14ac:dyDescent="0.35">
      <c r="B449" s="26">
        <v>129.20000000000002</v>
      </c>
      <c r="C449" s="26">
        <v>768</v>
      </c>
      <c r="D449" s="18">
        <f t="shared" si="112"/>
        <v>64.063540952114224</v>
      </c>
      <c r="E449" s="18">
        <f t="shared" si="112"/>
        <v>8.6402015544974411</v>
      </c>
      <c r="F449" s="18">
        <f t="shared" si="112"/>
        <v>10.717414907005956</v>
      </c>
      <c r="G449" s="18">
        <f t="shared" si="112"/>
        <v>10.717414907005956</v>
      </c>
      <c r="H449" s="18">
        <f t="shared" si="112"/>
        <v>10.717414907005956</v>
      </c>
      <c r="I449" s="16"/>
      <c r="J449" s="18">
        <f t="shared" si="114"/>
        <v>59.969701492559018</v>
      </c>
      <c r="K449" s="18">
        <f t="shared" si="115"/>
        <v>6.7331573719748796</v>
      </c>
      <c r="L449" s="18">
        <f t="shared" si="116"/>
        <v>8.5692362924353791</v>
      </c>
      <c r="M449" s="18">
        <f t="shared" si="117"/>
        <v>8.5692362924353791</v>
      </c>
      <c r="N449" s="18">
        <f t="shared" si="118"/>
        <v>8.5692362924353791</v>
      </c>
      <c r="O449" s="16"/>
      <c r="P449" s="18">
        <f t="shared" si="113"/>
        <v>115.74645477580462</v>
      </c>
      <c r="Q449" s="18">
        <f t="shared" si="123"/>
        <v>272.34704295977207</v>
      </c>
      <c r="R449" s="18">
        <f t="shared" si="124"/>
        <v>0</v>
      </c>
      <c r="S449" s="18">
        <f t="shared" si="125"/>
        <v>0</v>
      </c>
      <c r="T449" s="18">
        <v>100</v>
      </c>
      <c r="U449" s="16"/>
      <c r="V449" s="18">
        <f t="shared" si="119"/>
        <v>488.0934977355767</v>
      </c>
      <c r="W449" s="16"/>
      <c r="X449" s="18">
        <f t="shared" si="120"/>
        <v>78347.650009903606</v>
      </c>
      <c r="Y449" s="18">
        <f t="shared" si="121"/>
        <v>279.9065022644233</v>
      </c>
      <c r="Z449" s="18"/>
      <c r="AA449" s="18">
        <f t="shared" si="122"/>
        <v>2.6550954033325626E-4</v>
      </c>
    </row>
    <row r="450" spans="2:27" x14ac:dyDescent="0.35">
      <c r="B450" s="26">
        <v>129.5</v>
      </c>
      <c r="C450" s="26">
        <v>732</v>
      </c>
      <c r="D450" s="18">
        <f t="shared" si="112"/>
        <v>64.198254580415238</v>
      </c>
      <c r="E450" s="18">
        <f t="shared" si="112"/>
        <v>8.6542665151623055</v>
      </c>
      <c r="F450" s="18">
        <f t="shared" si="112"/>
        <v>10.747414907005956</v>
      </c>
      <c r="G450" s="18">
        <f t="shared" si="112"/>
        <v>10.747414907005956</v>
      </c>
      <c r="H450" s="18">
        <f t="shared" si="112"/>
        <v>10.747414907005956</v>
      </c>
      <c r="I450" s="16"/>
      <c r="J450" s="18">
        <f t="shared" si="114"/>
        <v>60.10220800076744</v>
      </c>
      <c r="K450" s="18">
        <f t="shared" si="115"/>
        <v>6.7454049850448765</v>
      </c>
      <c r="L450" s="18">
        <f t="shared" si="116"/>
        <v>8.5961056389826123</v>
      </c>
      <c r="M450" s="18">
        <f t="shared" si="117"/>
        <v>8.5961056389826123</v>
      </c>
      <c r="N450" s="18">
        <f t="shared" si="118"/>
        <v>8.5961056389826123</v>
      </c>
      <c r="O450" s="16"/>
      <c r="P450" s="18">
        <f t="shared" si="113"/>
        <v>115.24081530515865</v>
      </c>
      <c r="Q450" s="18">
        <f t="shared" si="123"/>
        <v>271.4226696382654</v>
      </c>
      <c r="R450" s="18">
        <f t="shared" si="124"/>
        <v>0</v>
      </c>
      <c r="S450" s="18">
        <f t="shared" si="125"/>
        <v>0</v>
      </c>
      <c r="T450" s="18">
        <v>100</v>
      </c>
      <c r="U450" s="16"/>
      <c r="V450" s="18">
        <f t="shared" si="119"/>
        <v>486.66348494342407</v>
      </c>
      <c r="W450" s="16"/>
      <c r="X450" s="18">
        <f t="shared" si="120"/>
        <v>60190.005620105512</v>
      </c>
      <c r="Y450" s="18">
        <f t="shared" si="121"/>
        <v>245.33651505657593</v>
      </c>
      <c r="Z450" s="18"/>
      <c r="AA450" s="18">
        <f t="shared" si="122"/>
        <v>2.3271765683420426E-4</v>
      </c>
    </row>
    <row r="451" spans="2:27" x14ac:dyDescent="0.35">
      <c r="B451" s="26">
        <v>129.80000000000001</v>
      </c>
      <c r="C451" s="26">
        <v>762</v>
      </c>
      <c r="D451" s="18">
        <f t="shared" si="112"/>
        <v>64.332968208716281</v>
      </c>
      <c r="E451" s="18">
        <f t="shared" si="112"/>
        <v>8.6683314758271699</v>
      </c>
      <c r="F451" s="18">
        <f t="shared" si="112"/>
        <v>10.777414907005957</v>
      </c>
      <c r="G451" s="18">
        <f t="shared" si="112"/>
        <v>10.777414907005957</v>
      </c>
      <c r="H451" s="18">
        <f t="shared" si="112"/>
        <v>10.777414907005957</v>
      </c>
      <c r="I451" s="16"/>
      <c r="J451" s="18">
        <f t="shared" si="114"/>
        <v>60.234719290251512</v>
      </c>
      <c r="K451" s="18">
        <f t="shared" si="115"/>
        <v>6.7576554699077818</v>
      </c>
      <c r="L451" s="18">
        <f t="shared" si="116"/>
        <v>8.6229837406202616</v>
      </c>
      <c r="M451" s="18">
        <f t="shared" si="117"/>
        <v>8.6229837406202616</v>
      </c>
      <c r="N451" s="18">
        <f t="shared" si="118"/>
        <v>8.6229837406202616</v>
      </c>
      <c r="O451" s="16"/>
      <c r="P451" s="18">
        <f t="shared" si="113"/>
        <v>114.73846395592011</v>
      </c>
      <c r="Q451" s="18">
        <f t="shared" si="123"/>
        <v>270.50278679469017</v>
      </c>
      <c r="R451" s="18">
        <f t="shared" si="124"/>
        <v>0</v>
      </c>
      <c r="S451" s="18">
        <f t="shared" si="125"/>
        <v>0</v>
      </c>
      <c r="T451" s="18">
        <v>100</v>
      </c>
      <c r="U451" s="16"/>
      <c r="V451" s="18">
        <f t="shared" si="119"/>
        <v>485.24125075061028</v>
      </c>
      <c r="W451" s="16"/>
      <c r="X451" s="18">
        <f t="shared" si="120"/>
        <v>76595.405286086578</v>
      </c>
      <c r="Y451" s="18">
        <f t="shared" si="121"/>
        <v>276.75874924938972</v>
      </c>
      <c r="Z451" s="18"/>
      <c r="AA451" s="18">
        <f t="shared" si="122"/>
        <v>2.6252369166828078E-4</v>
      </c>
    </row>
    <row r="452" spans="2:27" x14ac:dyDescent="0.35">
      <c r="B452" s="26">
        <v>130.1</v>
      </c>
      <c r="C452" s="26">
        <v>758</v>
      </c>
      <c r="D452" s="18">
        <f t="shared" si="112"/>
        <v>64.467681837017295</v>
      </c>
      <c r="E452" s="18">
        <f t="shared" si="112"/>
        <v>8.6823964364920343</v>
      </c>
      <c r="F452" s="18">
        <f t="shared" si="112"/>
        <v>10.807414907005954</v>
      </c>
      <c r="G452" s="18">
        <f t="shared" si="112"/>
        <v>10.807414907005954</v>
      </c>
      <c r="H452" s="18">
        <f t="shared" si="112"/>
        <v>10.807414907005954</v>
      </c>
      <c r="I452" s="16"/>
      <c r="J452" s="18">
        <f t="shared" si="114"/>
        <v>60.36723534051167</v>
      </c>
      <c r="K452" s="18">
        <f t="shared" si="115"/>
        <v>6.7699088181709648</v>
      </c>
      <c r="L452" s="18">
        <f t="shared" si="116"/>
        <v>8.6498705513374468</v>
      </c>
      <c r="M452" s="18">
        <f t="shared" si="117"/>
        <v>8.6498705513374468</v>
      </c>
      <c r="N452" s="18">
        <f t="shared" si="118"/>
        <v>8.6498705513374468</v>
      </c>
      <c r="O452" s="16"/>
      <c r="P452" s="18">
        <f t="shared" si="113"/>
        <v>114.23937239643755</v>
      </c>
      <c r="Q452" s="18">
        <f t="shared" si="123"/>
        <v>269.58736639719592</v>
      </c>
      <c r="R452" s="18">
        <f t="shared" si="124"/>
        <v>0</v>
      </c>
      <c r="S452" s="18">
        <f t="shared" si="125"/>
        <v>0</v>
      </c>
      <c r="T452" s="18">
        <v>100</v>
      </c>
      <c r="U452" s="16"/>
      <c r="V452" s="18">
        <f t="shared" si="119"/>
        <v>483.82673879363347</v>
      </c>
      <c r="W452" s="16"/>
      <c r="X452" s="18">
        <f t="shared" si="120"/>
        <v>75170.977160534487</v>
      </c>
      <c r="Y452" s="18">
        <f t="shared" si="121"/>
        <v>274.17326120636653</v>
      </c>
      <c r="Z452" s="18"/>
      <c r="AA452" s="18">
        <f t="shared" si="122"/>
        <v>2.600711879347601E-4</v>
      </c>
    </row>
    <row r="453" spans="2:27" x14ac:dyDescent="0.35">
      <c r="B453" s="26">
        <v>130.4</v>
      </c>
      <c r="C453" s="26">
        <v>748</v>
      </c>
      <c r="D453" s="18">
        <f t="shared" si="112"/>
        <v>64.602395465318324</v>
      </c>
      <c r="E453" s="18">
        <f t="shared" si="112"/>
        <v>8.6964613971568987</v>
      </c>
      <c r="F453" s="18">
        <f t="shared" si="112"/>
        <v>10.837414907005956</v>
      </c>
      <c r="G453" s="18">
        <f t="shared" si="112"/>
        <v>10.837414907005956</v>
      </c>
      <c r="H453" s="18">
        <f t="shared" si="112"/>
        <v>10.837414907005956</v>
      </c>
      <c r="I453" s="16"/>
      <c r="J453" s="18">
        <f t="shared" si="114"/>
        <v>60.499756131179254</v>
      </c>
      <c r="K453" s="18">
        <f t="shared" si="115"/>
        <v>6.7821650214763496</v>
      </c>
      <c r="L453" s="18">
        <f t="shared" si="116"/>
        <v>8.6767660254689645</v>
      </c>
      <c r="M453" s="18">
        <f t="shared" si="117"/>
        <v>8.6767660254689645</v>
      </c>
      <c r="N453" s="18">
        <f t="shared" si="118"/>
        <v>8.6767660254689645</v>
      </c>
      <c r="O453" s="16"/>
      <c r="P453" s="18">
        <f t="shared" si="113"/>
        <v>113.74351259854723</v>
      </c>
      <c r="Q453" s="18">
        <f t="shared" si="123"/>
        <v>268.67638062592886</v>
      </c>
      <c r="R453" s="18">
        <f t="shared" si="124"/>
        <v>0</v>
      </c>
      <c r="S453" s="18">
        <f t="shared" si="125"/>
        <v>0</v>
      </c>
      <c r="T453" s="18">
        <v>100</v>
      </c>
      <c r="U453" s="16"/>
      <c r="V453" s="18">
        <f t="shared" si="119"/>
        <v>482.41989322447608</v>
      </c>
      <c r="W453" s="16"/>
      <c r="X453" s="18">
        <f t="shared" si="120"/>
        <v>70532.793114898683</v>
      </c>
      <c r="Y453" s="18">
        <f t="shared" si="121"/>
        <v>265.58010677552392</v>
      </c>
      <c r="Z453" s="18"/>
      <c r="AA453" s="18">
        <f t="shared" si="122"/>
        <v>2.5192002151137221E-4</v>
      </c>
    </row>
    <row r="454" spans="2:27" x14ac:dyDescent="0.35">
      <c r="B454" s="26">
        <v>130.70000000000002</v>
      </c>
      <c r="C454" s="26">
        <v>710</v>
      </c>
      <c r="D454" s="18">
        <f t="shared" si="112"/>
        <v>64.737109093619367</v>
      </c>
      <c r="E454" s="18">
        <f t="shared" si="112"/>
        <v>8.7105263578217631</v>
      </c>
      <c r="F454" s="18">
        <f t="shared" si="112"/>
        <v>10.867414907005957</v>
      </c>
      <c r="G454" s="18">
        <f t="shared" si="112"/>
        <v>10.867414907005957</v>
      </c>
      <c r="H454" s="18">
        <f t="shared" si="112"/>
        <v>10.867414907005957</v>
      </c>
      <c r="I454" s="16"/>
      <c r="J454" s="18">
        <f t="shared" si="114"/>
        <v>60.632281642015279</v>
      </c>
      <c r="K454" s="18">
        <f t="shared" si="115"/>
        <v>6.7944240715002353</v>
      </c>
      <c r="L454" s="18">
        <f t="shared" si="116"/>
        <v>8.703670117691944</v>
      </c>
      <c r="M454" s="18">
        <f t="shared" si="117"/>
        <v>8.703670117691944</v>
      </c>
      <c r="N454" s="18">
        <f t="shared" si="118"/>
        <v>8.703670117691944</v>
      </c>
      <c r="O454" s="16"/>
      <c r="P454" s="18">
        <f t="shared" si="113"/>
        <v>113.25085683369159</v>
      </c>
      <c r="Q454" s="18">
        <f t="shared" si="123"/>
        <v>267.76980187116067</v>
      </c>
      <c r="R454" s="18">
        <f t="shared" si="124"/>
        <v>0</v>
      </c>
      <c r="S454" s="18">
        <f t="shared" si="125"/>
        <v>0</v>
      </c>
      <c r="T454" s="18">
        <v>100</v>
      </c>
      <c r="U454" s="16"/>
      <c r="V454" s="18">
        <f t="shared" si="119"/>
        <v>481.02065870485228</v>
      </c>
      <c r="W454" s="16"/>
      <c r="X454" s="18">
        <f t="shared" si="120"/>
        <v>52431.538739959738</v>
      </c>
      <c r="Y454" s="18">
        <f t="shared" si="121"/>
        <v>228.97934129514772</v>
      </c>
      <c r="Z454" s="18"/>
      <c r="AA454" s="18">
        <f t="shared" si="122"/>
        <v>2.1720181260974516E-4</v>
      </c>
    </row>
    <row r="455" spans="2:27" x14ac:dyDescent="0.35">
      <c r="B455" s="26">
        <v>131.1</v>
      </c>
      <c r="C455" s="26">
        <v>774</v>
      </c>
      <c r="D455" s="18">
        <f t="shared" si="112"/>
        <v>64.916727264687395</v>
      </c>
      <c r="E455" s="18">
        <f t="shared" si="112"/>
        <v>8.729279638708249</v>
      </c>
      <c r="F455" s="18">
        <f t="shared" si="112"/>
        <v>10.907414907005954</v>
      </c>
      <c r="G455" s="18">
        <f t="shared" si="112"/>
        <v>10.907414907005954</v>
      </c>
      <c r="H455" s="18">
        <f t="shared" si="112"/>
        <v>10.907414907005954</v>
      </c>
      <c r="I455" s="16"/>
      <c r="J455" s="18">
        <f t="shared" si="114"/>
        <v>60.80898963087391</v>
      </c>
      <c r="K455" s="18">
        <f t="shared" si="115"/>
        <v>6.8107738854382296</v>
      </c>
      <c r="L455" s="18">
        <f t="shared" si="116"/>
        <v>8.7395555688746072</v>
      </c>
      <c r="M455" s="18">
        <f t="shared" si="117"/>
        <v>8.7395555688746072</v>
      </c>
      <c r="N455" s="18">
        <f t="shared" si="118"/>
        <v>8.7395555688746072</v>
      </c>
      <c r="O455" s="16"/>
      <c r="P455" s="18">
        <f t="shared" si="113"/>
        <v>112.59891915939478</v>
      </c>
      <c r="Q455" s="18">
        <f t="shared" si="123"/>
        <v>266.56783822636424</v>
      </c>
      <c r="R455" s="18">
        <f t="shared" si="124"/>
        <v>0</v>
      </c>
      <c r="S455" s="18">
        <f t="shared" si="125"/>
        <v>0</v>
      </c>
      <c r="T455" s="18">
        <v>100</v>
      </c>
      <c r="U455" s="16"/>
      <c r="V455" s="18">
        <f t="shared" si="119"/>
        <v>479.16675738575901</v>
      </c>
      <c r="W455" s="16"/>
      <c r="X455" s="18">
        <f t="shared" si="120"/>
        <v>86926.640950427885</v>
      </c>
      <c r="Y455" s="18">
        <f t="shared" si="121"/>
        <v>294.83324261424099</v>
      </c>
      <c r="Z455" s="18"/>
      <c r="AA455" s="18">
        <f t="shared" si="122"/>
        <v>2.796685253403641E-4</v>
      </c>
    </row>
    <row r="456" spans="2:27" x14ac:dyDescent="0.35">
      <c r="B456" s="26">
        <v>131.4</v>
      </c>
      <c r="C456" s="26">
        <v>800</v>
      </c>
      <c r="D456" s="18">
        <f t="shared" si="112"/>
        <v>65.051440892988424</v>
      </c>
      <c r="E456" s="18">
        <f t="shared" si="112"/>
        <v>8.7433445993731134</v>
      </c>
      <c r="F456" s="18">
        <f t="shared" si="112"/>
        <v>10.937414907005955</v>
      </c>
      <c r="G456" s="18">
        <f t="shared" si="112"/>
        <v>10.937414907005955</v>
      </c>
      <c r="H456" s="18">
        <f t="shared" si="112"/>
        <v>10.937414907005955</v>
      </c>
      <c r="I456" s="16"/>
      <c r="J456" s="18">
        <f t="shared" si="114"/>
        <v>60.941526077449538</v>
      </c>
      <c r="K456" s="18">
        <f t="shared" si="115"/>
        <v>6.8230395456271049</v>
      </c>
      <c r="L456" s="18">
        <f t="shared" si="116"/>
        <v>8.7664795956206145</v>
      </c>
      <c r="M456" s="18">
        <f t="shared" si="117"/>
        <v>8.7664795956206145</v>
      </c>
      <c r="N456" s="18">
        <f t="shared" si="118"/>
        <v>8.7664795956206145</v>
      </c>
      <c r="O456" s="16"/>
      <c r="P456" s="18">
        <f t="shared" si="113"/>
        <v>112.11363329278208</v>
      </c>
      <c r="Q456" s="18">
        <f t="shared" si="123"/>
        <v>265.67143630542699</v>
      </c>
      <c r="R456" s="18">
        <f t="shared" si="124"/>
        <v>0</v>
      </c>
      <c r="S456" s="18">
        <f t="shared" si="125"/>
        <v>0</v>
      </c>
      <c r="T456" s="18">
        <v>100</v>
      </c>
      <c r="U456" s="16"/>
      <c r="V456" s="18">
        <f t="shared" si="119"/>
        <v>477.78506959820908</v>
      </c>
      <c r="W456" s="16"/>
      <c r="X456" s="18">
        <f t="shared" si="120"/>
        <v>103822.46137383097</v>
      </c>
      <c r="Y456" s="18">
        <f t="shared" si="121"/>
        <v>322.21493040179092</v>
      </c>
      <c r="Z456" s="18"/>
      <c r="AA456" s="18">
        <f t="shared" si="122"/>
        <v>3.0564183885472174E-4</v>
      </c>
    </row>
    <row r="457" spans="2:27" x14ac:dyDescent="0.35">
      <c r="B457" s="26">
        <v>131.70000000000002</v>
      </c>
      <c r="C457" s="26">
        <v>753</v>
      </c>
      <c r="D457" s="18">
        <f t="shared" si="112"/>
        <v>65.186154521289453</v>
      </c>
      <c r="E457" s="18">
        <f t="shared" si="112"/>
        <v>8.7574095600379778</v>
      </c>
      <c r="F457" s="18">
        <f t="shared" si="112"/>
        <v>10.967414907005956</v>
      </c>
      <c r="G457" s="18">
        <f t="shared" si="112"/>
        <v>10.967414907005956</v>
      </c>
      <c r="H457" s="18">
        <f t="shared" si="112"/>
        <v>10.967414907005956</v>
      </c>
      <c r="I457" s="16"/>
      <c r="J457" s="18">
        <f t="shared" si="114"/>
        <v>61.074067177653149</v>
      </c>
      <c r="K457" s="18">
        <f t="shared" si="115"/>
        <v>6.8353080250348066</v>
      </c>
      <c r="L457" s="18">
        <f t="shared" si="116"/>
        <v>8.7934120918125149</v>
      </c>
      <c r="M457" s="18">
        <f t="shared" si="117"/>
        <v>8.7934120918125149</v>
      </c>
      <c r="N457" s="18">
        <f t="shared" si="118"/>
        <v>8.7934120918125149</v>
      </c>
      <c r="O457" s="16"/>
      <c r="P457" s="18">
        <f t="shared" si="113"/>
        <v>111.631461145819</v>
      </c>
      <c r="Q457" s="18">
        <f t="shared" si="123"/>
        <v>264.7793508624909</v>
      </c>
      <c r="R457" s="18">
        <f t="shared" si="124"/>
        <v>0</v>
      </c>
      <c r="S457" s="18">
        <f t="shared" si="125"/>
        <v>0</v>
      </c>
      <c r="T457" s="18">
        <v>100</v>
      </c>
      <c r="U457" s="16"/>
      <c r="V457" s="18">
        <f t="shared" si="119"/>
        <v>476.4108120083099</v>
      </c>
      <c r="W457" s="16"/>
      <c r="X457" s="18">
        <f t="shared" si="120"/>
        <v>76501.578913902486</v>
      </c>
      <c r="Y457" s="18">
        <f t="shared" si="121"/>
        <v>276.5891879916901</v>
      </c>
      <c r="Z457" s="18"/>
      <c r="AA457" s="18">
        <f t="shared" si="122"/>
        <v>2.6236285177629563E-4</v>
      </c>
    </row>
    <row r="458" spans="2:27" x14ac:dyDescent="0.35">
      <c r="B458" s="26">
        <v>132</v>
      </c>
      <c r="C458" s="26">
        <v>793</v>
      </c>
      <c r="D458" s="18">
        <f t="shared" si="112"/>
        <v>65.320868149590481</v>
      </c>
      <c r="E458" s="18">
        <f t="shared" si="112"/>
        <v>8.7714745207028422</v>
      </c>
      <c r="F458" s="18">
        <f t="shared" si="112"/>
        <v>10.997414907005956</v>
      </c>
      <c r="G458" s="18">
        <f t="shared" si="112"/>
        <v>10.997414907005956</v>
      </c>
      <c r="H458" s="18">
        <f t="shared" si="112"/>
        <v>10.997414907005956</v>
      </c>
      <c r="I458" s="16"/>
      <c r="J458" s="18">
        <f t="shared" si="114"/>
        <v>61.206612911795325</v>
      </c>
      <c r="K458" s="18">
        <f t="shared" si="115"/>
        <v>6.8475793154845555</v>
      </c>
      <c r="L458" s="18">
        <f t="shared" si="116"/>
        <v>8.8203530135735182</v>
      </c>
      <c r="M458" s="18">
        <f t="shared" si="117"/>
        <v>8.8203530135735182</v>
      </c>
      <c r="N458" s="18">
        <f t="shared" si="118"/>
        <v>8.8203530135735182</v>
      </c>
      <c r="O458" s="16"/>
      <c r="P458" s="18">
        <f t="shared" si="113"/>
        <v>111.15237624476822</v>
      </c>
      <c r="Q458" s="18">
        <f t="shared" si="123"/>
        <v>263.89155517720474</v>
      </c>
      <c r="R458" s="18">
        <f t="shared" si="124"/>
        <v>0</v>
      </c>
      <c r="S458" s="18">
        <f t="shared" si="125"/>
        <v>0</v>
      </c>
      <c r="T458" s="18">
        <v>100</v>
      </c>
      <c r="U458" s="16"/>
      <c r="V458" s="18">
        <f t="shared" si="119"/>
        <v>475.04393142197296</v>
      </c>
      <c r="W458" s="16"/>
      <c r="X458" s="18">
        <f t="shared" si="120"/>
        <v>101096.06154559503</v>
      </c>
      <c r="Y458" s="18">
        <f t="shared" si="121"/>
        <v>317.95606857802704</v>
      </c>
      <c r="Z458" s="18"/>
      <c r="AA458" s="18">
        <f t="shared" si="122"/>
        <v>3.0160203114742458E-4</v>
      </c>
    </row>
    <row r="459" spans="2:27" x14ac:dyDescent="0.35">
      <c r="B459" s="26">
        <v>132.30000000000001</v>
      </c>
      <c r="C459" s="26">
        <v>766</v>
      </c>
      <c r="D459" s="18">
        <f t="shared" si="112"/>
        <v>65.45558177789151</v>
      </c>
      <c r="E459" s="18">
        <f t="shared" si="112"/>
        <v>8.7855394813677066</v>
      </c>
      <c r="F459" s="18">
        <f t="shared" si="112"/>
        <v>11.027414907005957</v>
      </c>
      <c r="G459" s="18">
        <f t="shared" si="112"/>
        <v>11.027414907005957</v>
      </c>
      <c r="H459" s="18">
        <f t="shared" si="112"/>
        <v>11.027414907005957</v>
      </c>
      <c r="I459" s="16"/>
      <c r="J459" s="18">
        <f t="shared" si="114"/>
        <v>61.339163260310663</v>
      </c>
      <c r="K459" s="18">
        <f t="shared" si="115"/>
        <v>6.8598534088330121</v>
      </c>
      <c r="L459" s="18">
        <f t="shared" si="116"/>
        <v>8.8473023173521259</v>
      </c>
      <c r="M459" s="18">
        <f t="shared" si="117"/>
        <v>8.8473023173521259</v>
      </c>
      <c r="N459" s="18">
        <f t="shared" si="118"/>
        <v>8.8473023173521259</v>
      </c>
      <c r="O459" s="16"/>
      <c r="P459" s="18">
        <f t="shared" si="113"/>
        <v>110.67635239574447</v>
      </c>
      <c r="Q459" s="18">
        <f t="shared" si="123"/>
        <v>263.00802272967604</v>
      </c>
      <c r="R459" s="18">
        <f t="shared" si="124"/>
        <v>0</v>
      </c>
      <c r="S459" s="18">
        <f t="shared" si="125"/>
        <v>0</v>
      </c>
      <c r="T459" s="18">
        <v>100</v>
      </c>
      <c r="U459" s="16"/>
      <c r="V459" s="18">
        <f t="shared" si="119"/>
        <v>473.6843751254205</v>
      </c>
      <c r="W459" s="16"/>
      <c r="X459" s="18">
        <f t="shared" si="120"/>
        <v>85448.424545815884</v>
      </c>
      <c r="Y459" s="18">
        <f t="shared" si="121"/>
        <v>292.3156248745795</v>
      </c>
      <c r="Z459" s="18"/>
      <c r="AA459" s="18">
        <f t="shared" si="122"/>
        <v>2.7728040100818659E-4</v>
      </c>
    </row>
    <row r="460" spans="2:27" x14ac:dyDescent="0.35">
      <c r="B460" s="26">
        <v>132.6</v>
      </c>
      <c r="C460" s="26">
        <v>704</v>
      </c>
      <c r="D460" s="18">
        <f t="shared" si="112"/>
        <v>65.590295406192539</v>
      </c>
      <c r="E460" s="18">
        <f t="shared" si="112"/>
        <v>8.799604442032571</v>
      </c>
      <c r="F460" s="18">
        <f t="shared" si="112"/>
        <v>11.057414907005954</v>
      </c>
      <c r="G460" s="18">
        <f t="shared" si="112"/>
        <v>11.057414907005954</v>
      </c>
      <c r="H460" s="18">
        <f t="shared" si="112"/>
        <v>11.057414907005954</v>
      </c>
      <c r="I460" s="16"/>
      <c r="J460" s="18">
        <f t="shared" si="114"/>
        <v>61.471718203756723</v>
      </c>
      <c r="K460" s="18">
        <f t="shared" si="115"/>
        <v>6.8721302969701057</v>
      </c>
      <c r="L460" s="18">
        <f t="shared" si="116"/>
        <v>8.8742599599190353</v>
      </c>
      <c r="M460" s="18">
        <f t="shared" si="117"/>
        <v>8.8742599599190353</v>
      </c>
      <c r="N460" s="18">
        <f t="shared" si="118"/>
        <v>8.8742599599190353</v>
      </c>
      <c r="O460" s="16"/>
      <c r="P460" s="18">
        <f t="shared" si="113"/>
        <v>110.20336368118178</v>
      </c>
      <c r="Q460" s="18">
        <f t="shared" si="123"/>
        <v>262.12872719871541</v>
      </c>
      <c r="R460" s="18">
        <f t="shared" si="124"/>
        <v>0</v>
      </c>
      <c r="S460" s="18">
        <f t="shared" si="125"/>
        <v>0</v>
      </c>
      <c r="T460" s="18">
        <v>100</v>
      </c>
      <c r="U460" s="16"/>
      <c r="V460" s="18">
        <f t="shared" si="119"/>
        <v>472.33209087989718</v>
      </c>
      <c r="W460" s="16"/>
      <c r="X460" s="18">
        <f t="shared" si="120"/>
        <v>53670.020116080217</v>
      </c>
      <c r="Y460" s="18">
        <f t="shared" si="121"/>
        <v>231.66790912010282</v>
      </c>
      <c r="Z460" s="18"/>
      <c r="AA460" s="18">
        <f t="shared" si="122"/>
        <v>2.197520942272985E-4</v>
      </c>
    </row>
    <row r="461" spans="2:27" x14ac:dyDescent="0.35">
      <c r="B461" s="26">
        <v>133</v>
      </c>
      <c r="C461" s="26">
        <v>740</v>
      </c>
      <c r="D461" s="18">
        <f t="shared" si="112"/>
        <v>65.769913577260567</v>
      </c>
      <c r="E461" s="18">
        <f t="shared" si="112"/>
        <v>8.8183577229190568</v>
      </c>
      <c r="F461" s="18">
        <f t="shared" si="112"/>
        <v>11.097414907005955</v>
      </c>
      <c r="G461" s="18">
        <f t="shared" si="112"/>
        <v>11.097414907005955</v>
      </c>
      <c r="H461" s="18">
        <f t="shared" si="112"/>
        <v>11.097414907005955</v>
      </c>
      <c r="I461" s="16"/>
      <c r="J461" s="18">
        <f t="shared" si="114"/>
        <v>61.648465242645486</v>
      </c>
      <c r="K461" s="18">
        <f t="shared" si="115"/>
        <v>6.8885038146464339</v>
      </c>
      <c r="L461" s="18">
        <f t="shared" si="116"/>
        <v>8.9102163806699721</v>
      </c>
      <c r="M461" s="18">
        <f t="shared" si="117"/>
        <v>8.9102163806699721</v>
      </c>
      <c r="N461" s="18">
        <f t="shared" si="118"/>
        <v>8.9102163806699721</v>
      </c>
      <c r="O461" s="16"/>
      <c r="P461" s="18">
        <f t="shared" si="113"/>
        <v>109.57738909668549</v>
      </c>
      <c r="Q461" s="18">
        <f t="shared" si="123"/>
        <v>260.96287879171445</v>
      </c>
      <c r="R461" s="18">
        <f t="shared" si="124"/>
        <v>0</v>
      </c>
      <c r="S461" s="18">
        <f t="shared" si="125"/>
        <v>0</v>
      </c>
      <c r="T461" s="18">
        <v>100</v>
      </c>
      <c r="U461" s="16"/>
      <c r="V461" s="18">
        <f t="shared" si="119"/>
        <v>470.54026788839997</v>
      </c>
      <c r="W461" s="16"/>
      <c r="X461" s="18">
        <f t="shared" si="120"/>
        <v>72608.547229655247</v>
      </c>
      <c r="Y461" s="18">
        <f t="shared" si="121"/>
        <v>269.45973211160003</v>
      </c>
      <c r="Z461" s="18"/>
      <c r="AA461" s="18">
        <f t="shared" si="122"/>
        <v>2.5560009872041729E-4</v>
      </c>
    </row>
    <row r="462" spans="2:27" x14ac:dyDescent="0.35">
      <c r="B462" s="26">
        <v>133.30000000000001</v>
      </c>
      <c r="C462" s="26">
        <v>762</v>
      </c>
      <c r="D462" s="18">
        <f t="shared" si="112"/>
        <v>65.90462720556161</v>
      </c>
      <c r="E462" s="18">
        <f t="shared" si="112"/>
        <v>8.832422683583923</v>
      </c>
      <c r="F462" s="18">
        <f t="shared" si="112"/>
        <v>11.127414907005956</v>
      </c>
      <c r="G462" s="18">
        <f t="shared" si="112"/>
        <v>11.127414907005956</v>
      </c>
      <c r="H462" s="18">
        <f t="shared" si="112"/>
        <v>11.127414907005956</v>
      </c>
      <c r="I462" s="16"/>
      <c r="J462" s="18">
        <f t="shared" si="114"/>
        <v>61.781030832670233</v>
      </c>
      <c r="K462" s="18">
        <f t="shared" si="115"/>
        <v>6.9007871926034507</v>
      </c>
      <c r="L462" s="18">
        <f t="shared" si="116"/>
        <v>8.9371933140828048</v>
      </c>
      <c r="M462" s="18">
        <f t="shared" si="117"/>
        <v>8.9371933140828048</v>
      </c>
      <c r="N462" s="18">
        <f t="shared" si="118"/>
        <v>8.9371933140828048</v>
      </c>
      <c r="O462" s="16"/>
      <c r="P462" s="18">
        <f t="shared" si="113"/>
        <v>109.11138309819064</v>
      </c>
      <c r="Q462" s="18">
        <f t="shared" si="123"/>
        <v>260.09336814242022</v>
      </c>
      <c r="R462" s="18">
        <f t="shared" si="124"/>
        <v>0</v>
      </c>
      <c r="S462" s="18">
        <f t="shared" si="125"/>
        <v>0</v>
      </c>
      <c r="T462" s="18">
        <v>100</v>
      </c>
      <c r="U462" s="16"/>
      <c r="V462" s="18">
        <f t="shared" si="119"/>
        <v>469.20475124061085</v>
      </c>
      <c r="W462" s="16"/>
      <c r="X462" s="18">
        <f t="shared" si="120"/>
        <v>85729.057696072574</v>
      </c>
      <c r="Y462" s="18">
        <f t="shared" si="121"/>
        <v>292.79524875938915</v>
      </c>
      <c r="Z462" s="18"/>
      <c r="AA462" s="18">
        <f t="shared" si="122"/>
        <v>2.7773535548819491E-4</v>
      </c>
    </row>
    <row r="463" spans="2:27" x14ac:dyDescent="0.35">
      <c r="B463" s="26">
        <v>133.6</v>
      </c>
      <c r="C463" s="26">
        <v>778</v>
      </c>
      <c r="D463" s="18">
        <f t="shared" si="112"/>
        <v>66.039340833862624</v>
      </c>
      <c r="E463" s="18">
        <f t="shared" si="112"/>
        <v>8.8464876442487856</v>
      </c>
      <c r="F463" s="18">
        <f t="shared" si="112"/>
        <v>11.157414907005954</v>
      </c>
      <c r="G463" s="18">
        <f t="shared" si="112"/>
        <v>11.157414907005954</v>
      </c>
      <c r="H463" s="18">
        <f t="shared" si="112"/>
        <v>11.157414907005954</v>
      </c>
      <c r="I463" s="16"/>
      <c r="J463" s="18">
        <f t="shared" si="114"/>
        <v>61.913600953692601</v>
      </c>
      <c r="K463" s="18">
        <f t="shared" si="115"/>
        <v>6.9130733385536161</v>
      </c>
      <c r="L463" s="18">
        <f t="shared" si="116"/>
        <v>8.9641784444744221</v>
      </c>
      <c r="M463" s="18">
        <f t="shared" si="117"/>
        <v>8.9641784444744221</v>
      </c>
      <c r="N463" s="18">
        <f t="shared" si="118"/>
        <v>8.9641784444744221</v>
      </c>
      <c r="O463" s="16"/>
      <c r="P463" s="18">
        <f t="shared" si="113"/>
        <v>108.64832779359415</v>
      </c>
      <c r="Q463" s="18">
        <f t="shared" si="123"/>
        <v>259.22800808528734</v>
      </c>
      <c r="R463" s="18">
        <f t="shared" si="124"/>
        <v>0</v>
      </c>
      <c r="S463" s="18">
        <f t="shared" si="125"/>
        <v>0</v>
      </c>
      <c r="T463" s="18">
        <v>100</v>
      </c>
      <c r="U463" s="16"/>
      <c r="V463" s="18">
        <f t="shared" si="119"/>
        <v>467.87633587888149</v>
      </c>
      <c r="W463" s="16"/>
      <c r="X463" s="18">
        <f t="shared" si="120"/>
        <v>96176.68704790833</v>
      </c>
      <c r="Y463" s="18">
        <f t="shared" si="121"/>
        <v>310.12366412111851</v>
      </c>
      <c r="Z463" s="18"/>
      <c r="AA463" s="18">
        <f t="shared" si="122"/>
        <v>2.9417248560191457E-4</v>
      </c>
    </row>
    <row r="464" spans="2:27" x14ac:dyDescent="0.35">
      <c r="B464" s="26">
        <v>133.9</v>
      </c>
      <c r="C464" s="26">
        <v>725</v>
      </c>
      <c r="D464" s="18">
        <f t="shared" si="112"/>
        <v>66.174054462163667</v>
      </c>
      <c r="E464" s="18">
        <f t="shared" si="112"/>
        <v>8.8605526049136518</v>
      </c>
      <c r="F464" s="18">
        <f t="shared" si="112"/>
        <v>11.187414907005955</v>
      </c>
      <c r="G464" s="18">
        <f t="shared" si="112"/>
        <v>11.187414907005955</v>
      </c>
      <c r="H464" s="18">
        <f t="shared" si="112"/>
        <v>11.187414907005955</v>
      </c>
      <c r="I464" s="16"/>
      <c r="J464" s="18">
        <f t="shared" si="114"/>
        <v>62.046175586791392</v>
      </c>
      <c r="K464" s="18">
        <f t="shared" si="115"/>
        <v>6.9253622445290661</v>
      </c>
      <c r="L464" s="18">
        <f t="shared" si="116"/>
        <v>8.9911717299769656</v>
      </c>
      <c r="M464" s="18">
        <f t="shared" si="117"/>
        <v>8.9911717299769656</v>
      </c>
      <c r="N464" s="18">
        <f t="shared" si="118"/>
        <v>8.9911717299769656</v>
      </c>
      <c r="O464" s="16"/>
      <c r="P464" s="18">
        <f t="shared" si="113"/>
        <v>108.18819842313543</v>
      </c>
      <c r="Q464" s="18">
        <f t="shared" si="123"/>
        <v>258.36677314030874</v>
      </c>
      <c r="R464" s="18">
        <f t="shared" si="124"/>
        <v>0</v>
      </c>
      <c r="S464" s="18">
        <f t="shared" si="125"/>
        <v>0</v>
      </c>
      <c r="T464" s="18">
        <v>100</v>
      </c>
      <c r="U464" s="16"/>
      <c r="V464" s="18">
        <f t="shared" si="119"/>
        <v>466.55497156344416</v>
      </c>
      <c r="W464" s="16"/>
      <c r="X464" s="18">
        <f t="shared" si="120"/>
        <v>66793.832723572166</v>
      </c>
      <c r="Y464" s="18">
        <f t="shared" si="121"/>
        <v>258.44502843655584</v>
      </c>
      <c r="Z464" s="18"/>
      <c r="AA464" s="18">
        <f t="shared" si="122"/>
        <v>2.4515193518720549E-4</v>
      </c>
    </row>
    <row r="465" spans="2:27" x14ac:dyDescent="0.35">
      <c r="B465" s="26">
        <v>134.20000000000002</v>
      </c>
      <c r="C465" s="26">
        <v>730</v>
      </c>
      <c r="D465" s="18">
        <f t="shared" si="112"/>
        <v>66.308768090464696</v>
      </c>
      <c r="E465" s="18">
        <f t="shared" si="112"/>
        <v>8.8746175655785162</v>
      </c>
      <c r="F465" s="18">
        <f t="shared" si="112"/>
        <v>11.217414907005956</v>
      </c>
      <c r="G465" s="18">
        <f t="shared" si="112"/>
        <v>11.217414907005956</v>
      </c>
      <c r="H465" s="18">
        <f t="shared" si="112"/>
        <v>11.217414907005956</v>
      </c>
      <c r="I465" s="16"/>
      <c r="J465" s="18">
        <f t="shared" si="114"/>
        <v>62.178754713162924</v>
      </c>
      <c r="K465" s="18">
        <f t="shared" si="115"/>
        <v>6.9376539025942927</v>
      </c>
      <c r="L465" s="18">
        <f t="shared" si="116"/>
        <v>9.018173129028904</v>
      </c>
      <c r="M465" s="18">
        <f t="shared" si="117"/>
        <v>9.018173129028904</v>
      </c>
      <c r="N465" s="18">
        <f t="shared" si="118"/>
        <v>9.018173129028904</v>
      </c>
      <c r="O465" s="16"/>
      <c r="P465" s="18">
        <f t="shared" si="113"/>
        <v>107.73097048538571</v>
      </c>
      <c r="Q465" s="18">
        <f t="shared" si="123"/>
        <v>257.50963801710878</v>
      </c>
      <c r="R465" s="18">
        <f t="shared" si="124"/>
        <v>0</v>
      </c>
      <c r="S465" s="18">
        <f t="shared" si="125"/>
        <v>0</v>
      </c>
      <c r="T465" s="18">
        <v>100</v>
      </c>
      <c r="U465" s="16"/>
      <c r="V465" s="18">
        <f t="shared" si="119"/>
        <v>465.24060850249452</v>
      </c>
      <c r="W465" s="16"/>
      <c r="X465" s="18">
        <f t="shared" si="120"/>
        <v>70097.53538612937</v>
      </c>
      <c r="Y465" s="18">
        <f t="shared" si="121"/>
        <v>264.75939149750548</v>
      </c>
      <c r="Z465" s="18"/>
      <c r="AA465" s="18">
        <f t="shared" si="122"/>
        <v>2.5114151963861005E-4</v>
      </c>
    </row>
    <row r="466" spans="2:27" x14ac:dyDescent="0.35">
      <c r="B466" s="26">
        <v>134.5</v>
      </c>
      <c r="C466" s="26">
        <v>768</v>
      </c>
      <c r="D466" s="18">
        <f t="shared" si="112"/>
        <v>66.44348171876571</v>
      </c>
      <c r="E466" s="18">
        <f t="shared" si="112"/>
        <v>8.8886825262433806</v>
      </c>
      <c r="F466" s="18">
        <f t="shared" si="112"/>
        <v>11.247414907005956</v>
      </c>
      <c r="G466" s="18">
        <f t="shared" si="112"/>
        <v>11.247414907005956</v>
      </c>
      <c r="H466" s="18">
        <f t="shared" si="112"/>
        <v>11.247414907005956</v>
      </c>
      <c r="I466" s="16"/>
      <c r="J466" s="18">
        <f t="shared" si="114"/>
        <v>62.311338314120221</v>
      </c>
      <c r="K466" s="18">
        <f t="shared" si="115"/>
        <v>6.9499483048459982</v>
      </c>
      <c r="L466" s="18">
        <f t="shared" si="116"/>
        <v>9.0451826003721809</v>
      </c>
      <c r="M466" s="18">
        <f t="shared" si="117"/>
        <v>9.0451826003721809</v>
      </c>
      <c r="N466" s="18">
        <f t="shared" si="118"/>
        <v>9.0451826003721809</v>
      </c>
      <c r="O466" s="16"/>
      <c r="P466" s="18">
        <f t="shared" si="113"/>
        <v>107.27661973402857</v>
      </c>
      <c r="Q466" s="18">
        <f t="shared" si="123"/>
        <v>256.6565776132939</v>
      </c>
      <c r="R466" s="18">
        <f t="shared" si="124"/>
        <v>0</v>
      </c>
      <c r="S466" s="18">
        <f t="shared" si="125"/>
        <v>0</v>
      </c>
      <c r="T466" s="18">
        <v>100</v>
      </c>
      <c r="U466" s="16"/>
      <c r="V466" s="18">
        <f t="shared" si="119"/>
        <v>463.93319734732245</v>
      </c>
      <c r="W466" s="16"/>
      <c r="X466" s="18">
        <f t="shared" si="120"/>
        <v>92456.620475422358</v>
      </c>
      <c r="Y466" s="18">
        <f t="shared" si="121"/>
        <v>304.06680265267755</v>
      </c>
      <c r="Z466" s="18"/>
      <c r="AA466" s="18">
        <f t="shared" si="122"/>
        <v>2.884271581752985E-4</v>
      </c>
    </row>
    <row r="467" spans="2:27" x14ac:dyDescent="0.35">
      <c r="B467" s="26">
        <v>134.80000000000001</v>
      </c>
      <c r="C467" s="26">
        <v>742</v>
      </c>
      <c r="D467" s="18">
        <f t="shared" si="112"/>
        <v>66.578195347066753</v>
      </c>
      <c r="E467" s="18">
        <f t="shared" si="112"/>
        <v>8.902747486908245</v>
      </c>
      <c r="F467" s="18">
        <f t="shared" si="112"/>
        <v>11.277414907005957</v>
      </c>
      <c r="G467" s="18">
        <f t="shared" si="112"/>
        <v>11.277414907005957</v>
      </c>
      <c r="H467" s="18">
        <f t="shared" si="112"/>
        <v>11.277414907005957</v>
      </c>
      <c r="I467" s="16"/>
      <c r="J467" s="18">
        <f t="shared" si="114"/>
        <v>62.443926371092047</v>
      </c>
      <c r="K467" s="18">
        <f t="shared" si="115"/>
        <v>6.9622454434129217</v>
      </c>
      <c r="L467" s="18">
        <f t="shared" si="116"/>
        <v>9.0722001030493793</v>
      </c>
      <c r="M467" s="18">
        <f t="shared" si="117"/>
        <v>9.0722001030493793</v>
      </c>
      <c r="N467" s="18">
        <f t="shared" si="118"/>
        <v>9.0722001030493793</v>
      </c>
      <c r="O467" s="16"/>
      <c r="P467" s="18">
        <f t="shared" si="113"/>
        <v>106.82512217468751</v>
      </c>
      <c r="Q467" s="18">
        <f t="shared" si="123"/>
        <v>255.80756701282129</v>
      </c>
      <c r="R467" s="18">
        <f t="shared" si="124"/>
        <v>0</v>
      </c>
      <c r="S467" s="18">
        <f t="shared" si="125"/>
        <v>0</v>
      </c>
      <c r="T467" s="18">
        <v>100</v>
      </c>
      <c r="U467" s="16"/>
      <c r="V467" s="18">
        <f t="shared" si="119"/>
        <v>462.63268918750879</v>
      </c>
      <c r="W467" s="16"/>
      <c r="X467" s="18">
        <f t="shared" si="120"/>
        <v>78046.094350603074</v>
      </c>
      <c r="Y467" s="18">
        <f t="shared" si="121"/>
        <v>279.36731081249121</v>
      </c>
      <c r="Z467" s="18"/>
      <c r="AA467" s="18">
        <f t="shared" si="122"/>
        <v>2.6499808213776617E-4</v>
      </c>
    </row>
    <row r="468" spans="2:27" x14ac:dyDescent="0.35">
      <c r="B468" s="26">
        <v>135.20000000000002</v>
      </c>
      <c r="C468" s="26">
        <v>754</v>
      </c>
      <c r="D468" s="18">
        <f t="shared" si="112"/>
        <v>66.757813518134796</v>
      </c>
      <c r="E468" s="18">
        <f t="shared" si="112"/>
        <v>8.9215007677947327</v>
      </c>
      <c r="F468" s="18">
        <f t="shared" si="112"/>
        <v>11.317414907005958</v>
      </c>
      <c r="G468" s="18">
        <f t="shared" si="112"/>
        <v>11.317414907005958</v>
      </c>
      <c r="H468" s="18">
        <f t="shared" si="112"/>
        <v>11.317414907005958</v>
      </c>
      <c r="I468" s="16"/>
      <c r="J468" s="18">
        <f t="shared" si="114"/>
        <v>62.620717346748833</v>
      </c>
      <c r="K468" s="18">
        <f t="shared" si="115"/>
        <v>6.9786458711141739</v>
      </c>
      <c r="L468" s="18">
        <f t="shared" si="116"/>
        <v>9.1082358629051239</v>
      </c>
      <c r="M468" s="18">
        <f t="shared" si="117"/>
        <v>9.1082358629051239</v>
      </c>
      <c r="N468" s="18">
        <f t="shared" si="118"/>
        <v>9.1082358629051239</v>
      </c>
      <c r="O468" s="16"/>
      <c r="P468" s="18">
        <f t="shared" si="113"/>
        <v>106.22752272132975</v>
      </c>
      <c r="Q468" s="18">
        <f t="shared" si="123"/>
        <v>254.68180985388386</v>
      </c>
      <c r="R468" s="18">
        <f t="shared" si="124"/>
        <v>0</v>
      </c>
      <c r="S468" s="18">
        <f t="shared" si="125"/>
        <v>0</v>
      </c>
      <c r="T468" s="18">
        <v>100</v>
      </c>
      <c r="U468" s="16"/>
      <c r="V468" s="18">
        <f t="shared" si="119"/>
        <v>460.90933257521363</v>
      </c>
      <c r="W468" s="16"/>
      <c r="X468" s="18">
        <f t="shared" si="120"/>
        <v>85902.13933150674</v>
      </c>
      <c r="Y468" s="18">
        <f t="shared" si="121"/>
        <v>293.09066742478637</v>
      </c>
      <c r="Z468" s="18"/>
      <c r="AA468" s="18">
        <f t="shared" si="122"/>
        <v>2.780155793251581E-4</v>
      </c>
    </row>
    <row r="469" spans="2:27" x14ac:dyDescent="0.35">
      <c r="B469" s="26">
        <v>135.5</v>
      </c>
      <c r="C469" s="26">
        <v>709</v>
      </c>
      <c r="D469" s="18">
        <f t="shared" si="112"/>
        <v>66.89252714643581</v>
      </c>
      <c r="E469" s="18">
        <f t="shared" si="112"/>
        <v>8.9355657284595953</v>
      </c>
      <c r="F469" s="18">
        <f t="shared" si="112"/>
        <v>11.347414907005955</v>
      </c>
      <c r="G469" s="18">
        <f t="shared" si="112"/>
        <v>11.347414907005955</v>
      </c>
      <c r="H469" s="18">
        <f t="shared" si="112"/>
        <v>11.347414907005955</v>
      </c>
      <c r="I469" s="16"/>
      <c r="J469" s="18">
        <f t="shared" si="114"/>
        <v>62.753315729509019</v>
      </c>
      <c r="K469" s="18">
        <f t="shared" si="115"/>
        <v>6.9909493639848881</v>
      </c>
      <c r="L469" s="18">
        <f t="shared" si="116"/>
        <v>9.1352719477504163</v>
      </c>
      <c r="M469" s="18">
        <f t="shared" si="117"/>
        <v>9.1352719477504163</v>
      </c>
      <c r="N469" s="18">
        <f t="shared" si="118"/>
        <v>9.1352719477504163</v>
      </c>
      <c r="O469" s="16"/>
      <c r="P469" s="18">
        <f t="shared" si="113"/>
        <v>105.7825906904546</v>
      </c>
      <c r="Q469" s="18">
        <f t="shared" si="123"/>
        <v>253.8421529335381</v>
      </c>
      <c r="R469" s="18">
        <f t="shared" si="124"/>
        <v>0</v>
      </c>
      <c r="S469" s="18">
        <f t="shared" si="125"/>
        <v>0</v>
      </c>
      <c r="T469" s="18">
        <v>100</v>
      </c>
      <c r="U469" s="16"/>
      <c r="V469" s="18">
        <f t="shared" si="119"/>
        <v>459.62474362399269</v>
      </c>
      <c r="W469" s="16"/>
      <c r="X469" s="18">
        <f t="shared" si="120"/>
        <v>62188.018492599374</v>
      </c>
      <c r="Y469" s="18">
        <f t="shared" si="121"/>
        <v>249.37525637600731</v>
      </c>
      <c r="Z469" s="18"/>
      <c r="AA469" s="18">
        <f t="shared" si="122"/>
        <v>2.3654866591249336E-4</v>
      </c>
    </row>
    <row r="470" spans="2:27" x14ac:dyDescent="0.35">
      <c r="B470" s="26">
        <v>135.80000000000001</v>
      </c>
      <c r="C470" s="26">
        <v>742</v>
      </c>
      <c r="D470" s="18">
        <f t="shared" si="112"/>
        <v>67.027240774736839</v>
      </c>
      <c r="E470" s="18">
        <f t="shared" si="112"/>
        <v>8.9496306891244615</v>
      </c>
      <c r="F470" s="18">
        <f t="shared" si="112"/>
        <v>11.377414907005956</v>
      </c>
      <c r="G470" s="18">
        <f t="shared" si="112"/>
        <v>11.377414907005956</v>
      </c>
      <c r="H470" s="18">
        <f t="shared" si="112"/>
        <v>11.377414907005956</v>
      </c>
      <c r="I470" s="16"/>
      <c r="J470" s="18">
        <f t="shared" si="114"/>
        <v>62.885918507202973</v>
      </c>
      <c r="K470" s="18">
        <f t="shared" si="115"/>
        <v>7.0032555671625811</v>
      </c>
      <c r="L470" s="18">
        <f t="shared" si="116"/>
        <v>9.1623159295403731</v>
      </c>
      <c r="M470" s="18">
        <f t="shared" si="117"/>
        <v>9.1623159295403731</v>
      </c>
      <c r="N470" s="18">
        <f t="shared" si="118"/>
        <v>9.1623159295403731</v>
      </c>
      <c r="O470" s="16"/>
      <c r="P470" s="18">
        <f t="shared" si="113"/>
        <v>105.34043365010064</v>
      </c>
      <c r="Q470" s="18">
        <f t="shared" si="123"/>
        <v>253.00646408830013</v>
      </c>
      <c r="R470" s="18">
        <f t="shared" si="124"/>
        <v>0</v>
      </c>
      <c r="S470" s="18">
        <f t="shared" si="125"/>
        <v>0</v>
      </c>
      <c r="T470" s="18">
        <v>100</v>
      </c>
      <c r="U470" s="16"/>
      <c r="V470" s="18">
        <f t="shared" si="119"/>
        <v>458.3468977384008</v>
      </c>
      <c r="W470" s="16"/>
      <c r="X470" s="18">
        <f t="shared" si="120"/>
        <v>80459.082422629261</v>
      </c>
      <c r="Y470" s="18">
        <f t="shared" si="121"/>
        <v>283.6531022615992</v>
      </c>
      <c r="Z470" s="18"/>
      <c r="AA470" s="18">
        <f t="shared" si="122"/>
        <v>2.6906343434791912E-4</v>
      </c>
    </row>
    <row r="471" spans="2:27" x14ac:dyDescent="0.35">
      <c r="B471" s="26">
        <v>136.1</v>
      </c>
      <c r="C471" s="26">
        <v>717</v>
      </c>
      <c r="D471" s="18">
        <f t="shared" si="112"/>
        <v>67.161954403037868</v>
      </c>
      <c r="E471" s="18">
        <f t="shared" si="112"/>
        <v>8.9636956497893241</v>
      </c>
      <c r="F471" s="18">
        <f t="shared" si="112"/>
        <v>11.407414907005954</v>
      </c>
      <c r="G471" s="18">
        <f t="shared" si="112"/>
        <v>11.407414907005954</v>
      </c>
      <c r="H471" s="18">
        <f t="shared" ref="E471:H486" si="126">G$23-LN(1/G$23)+$B471*G$22</f>
        <v>11.407414907005954</v>
      </c>
      <c r="I471" s="16"/>
      <c r="J471" s="18">
        <f t="shared" si="114"/>
        <v>63.018525661749933</v>
      </c>
      <c r="K471" s="18">
        <f t="shared" si="115"/>
        <v>7.0155644729129385</v>
      </c>
      <c r="L471" s="18">
        <f t="shared" si="116"/>
        <v>9.1893677685883102</v>
      </c>
      <c r="M471" s="18">
        <f t="shared" si="117"/>
        <v>9.1893677685883102</v>
      </c>
      <c r="N471" s="18">
        <f t="shared" si="118"/>
        <v>9.1893677685883102</v>
      </c>
      <c r="O471" s="16"/>
      <c r="P471" s="18">
        <f t="shared" si="113"/>
        <v>104.90102866207569</v>
      </c>
      <c r="Q471" s="18">
        <f t="shared" si="123"/>
        <v>252.1747191911814</v>
      </c>
      <c r="R471" s="18">
        <f t="shared" si="124"/>
        <v>0</v>
      </c>
      <c r="S471" s="18">
        <f t="shared" si="125"/>
        <v>0</v>
      </c>
      <c r="T471" s="18">
        <v>100</v>
      </c>
      <c r="U471" s="16"/>
      <c r="V471" s="18">
        <f t="shared" si="119"/>
        <v>457.0757478532571</v>
      </c>
      <c r="W471" s="16"/>
      <c r="X471" s="18">
        <f t="shared" si="120"/>
        <v>67560.616854043576</v>
      </c>
      <c r="Y471" s="18">
        <f t="shared" si="121"/>
        <v>259.9242521467429</v>
      </c>
      <c r="Z471" s="18"/>
      <c r="AA471" s="18">
        <f t="shared" si="122"/>
        <v>2.4655507517918322E-4</v>
      </c>
    </row>
    <row r="472" spans="2:27" x14ac:dyDescent="0.35">
      <c r="B472" s="26">
        <v>136.4</v>
      </c>
      <c r="C472" s="26">
        <v>717</v>
      </c>
      <c r="D472" s="18">
        <f t="shared" si="112"/>
        <v>67.296668031338896</v>
      </c>
      <c r="E472" s="18">
        <f t="shared" si="126"/>
        <v>8.9777606104541903</v>
      </c>
      <c r="F472" s="18">
        <f t="shared" si="126"/>
        <v>11.437414907005955</v>
      </c>
      <c r="G472" s="18">
        <f t="shared" si="126"/>
        <v>11.437414907005955</v>
      </c>
      <c r="H472" s="18">
        <f t="shared" si="126"/>
        <v>11.437414907005955</v>
      </c>
      <c r="I472" s="16"/>
      <c r="J472" s="18">
        <f t="shared" si="114"/>
        <v>63.151137175179905</v>
      </c>
      <c r="K472" s="18">
        <f t="shared" si="115"/>
        <v>7.0278760735328385</v>
      </c>
      <c r="L472" s="18">
        <f t="shared" si="116"/>
        <v>9.2164274254935883</v>
      </c>
      <c r="M472" s="18">
        <f t="shared" si="117"/>
        <v>9.2164274254935883</v>
      </c>
      <c r="N472" s="18">
        <f t="shared" si="118"/>
        <v>9.2164274254935883</v>
      </c>
      <c r="O472" s="16"/>
      <c r="P472" s="18">
        <f t="shared" si="113"/>
        <v>104.46435302396397</v>
      </c>
      <c r="Q472" s="18">
        <f t="shared" si="123"/>
        <v>251.34689429310811</v>
      </c>
      <c r="R472" s="18">
        <f t="shared" si="124"/>
        <v>0</v>
      </c>
      <c r="S472" s="18">
        <f t="shared" si="125"/>
        <v>0</v>
      </c>
      <c r="T472" s="18">
        <v>100</v>
      </c>
      <c r="U472" s="16"/>
      <c r="V472" s="18">
        <f t="shared" si="119"/>
        <v>455.81124731707206</v>
      </c>
      <c r="W472" s="16"/>
      <c r="X472" s="18">
        <f t="shared" si="120"/>
        <v>68219.564528063696</v>
      </c>
      <c r="Y472" s="18">
        <f t="shared" si="121"/>
        <v>261.18875268292794</v>
      </c>
      <c r="Z472" s="18"/>
      <c r="AA472" s="18">
        <f t="shared" si="122"/>
        <v>2.477545362613573E-4</v>
      </c>
    </row>
    <row r="473" spans="2:27" x14ac:dyDescent="0.35">
      <c r="B473" s="26">
        <v>136.70000000000002</v>
      </c>
      <c r="C473" s="26">
        <v>754</v>
      </c>
      <c r="D473" s="18">
        <f t="shared" si="112"/>
        <v>67.431381659639925</v>
      </c>
      <c r="E473" s="18">
        <f t="shared" si="126"/>
        <v>8.9918255711190547</v>
      </c>
      <c r="F473" s="18">
        <f t="shared" si="126"/>
        <v>11.467414907005956</v>
      </c>
      <c r="G473" s="18">
        <f t="shared" si="126"/>
        <v>11.467414907005956</v>
      </c>
      <c r="H473" s="18">
        <f t="shared" si="126"/>
        <v>11.467414907005956</v>
      </c>
      <c r="I473" s="16"/>
      <c r="J473" s="18">
        <f t="shared" si="114"/>
        <v>63.283753029632734</v>
      </c>
      <c r="K473" s="18">
        <f t="shared" si="115"/>
        <v>7.0401903613501648</v>
      </c>
      <c r="L473" s="18">
        <f t="shared" si="116"/>
        <v>9.2434948611389558</v>
      </c>
      <c r="M473" s="18">
        <f t="shared" si="117"/>
        <v>9.2434948611389558</v>
      </c>
      <c r="N473" s="18">
        <f t="shared" si="118"/>
        <v>9.2434948611389558</v>
      </c>
      <c r="O473" s="16"/>
      <c r="P473" s="18">
        <f t="shared" si="113"/>
        <v>104.03038426623156</v>
      </c>
      <c r="Q473" s="18">
        <f t="shared" si="123"/>
        <v>250.52296562139063</v>
      </c>
      <c r="R473" s="18">
        <f t="shared" si="124"/>
        <v>0</v>
      </c>
      <c r="S473" s="18">
        <f t="shared" si="125"/>
        <v>0</v>
      </c>
      <c r="T473" s="18">
        <v>100</v>
      </c>
      <c r="U473" s="16"/>
      <c r="V473" s="18">
        <f t="shared" si="119"/>
        <v>454.55334988762218</v>
      </c>
      <c r="W473" s="16"/>
      <c r="X473" s="18">
        <f t="shared" si="120"/>
        <v>89668.296263524826</v>
      </c>
      <c r="Y473" s="18">
        <f t="shared" si="121"/>
        <v>299.44665011237782</v>
      </c>
      <c r="Z473" s="18"/>
      <c r="AA473" s="18">
        <f t="shared" si="122"/>
        <v>2.8404464270202209E-4</v>
      </c>
    </row>
    <row r="474" spans="2:27" x14ac:dyDescent="0.35">
      <c r="B474" s="26">
        <v>137.1</v>
      </c>
      <c r="C474" s="26">
        <v>732</v>
      </c>
      <c r="D474" s="18">
        <f t="shared" si="112"/>
        <v>67.610999830707954</v>
      </c>
      <c r="E474" s="18">
        <f t="shared" si="126"/>
        <v>9.0105788520055388</v>
      </c>
      <c r="F474" s="18">
        <f t="shared" si="126"/>
        <v>11.507414907005955</v>
      </c>
      <c r="G474" s="18">
        <f t="shared" si="126"/>
        <v>11.507414907005955</v>
      </c>
      <c r="H474" s="18">
        <f t="shared" si="126"/>
        <v>11.507414907005955</v>
      </c>
      <c r="I474" s="16"/>
      <c r="J474" s="18">
        <f t="shared" si="114"/>
        <v>63.460580890939902</v>
      </c>
      <c r="K474" s="18">
        <f t="shared" si="115"/>
        <v>7.0566135786554831</v>
      </c>
      <c r="L474" s="18">
        <f t="shared" si="116"/>
        <v>9.2795968085104938</v>
      </c>
      <c r="M474" s="18">
        <f t="shared" si="117"/>
        <v>9.2795968085104938</v>
      </c>
      <c r="N474" s="18">
        <f t="shared" si="118"/>
        <v>9.2795968085104938</v>
      </c>
      <c r="O474" s="16"/>
      <c r="P474" s="18">
        <f t="shared" si="113"/>
        <v>103.45593155286268</v>
      </c>
      <c r="Q474" s="18">
        <f t="shared" si="123"/>
        <v>249.43041409428932</v>
      </c>
      <c r="R474" s="18">
        <f t="shared" si="124"/>
        <v>0</v>
      </c>
      <c r="S474" s="18">
        <f t="shared" si="125"/>
        <v>0</v>
      </c>
      <c r="T474" s="18">
        <v>100</v>
      </c>
      <c r="U474" s="16"/>
      <c r="V474" s="18">
        <f t="shared" si="119"/>
        <v>452.88634564715198</v>
      </c>
      <c r="W474" s="16"/>
      <c r="X474" s="18">
        <f t="shared" si="120"/>
        <v>77904.432046201109</v>
      </c>
      <c r="Y474" s="18">
        <f t="shared" si="121"/>
        <v>279.11365435284802</v>
      </c>
      <c r="Z474" s="18"/>
      <c r="AA474" s="18">
        <f t="shared" si="122"/>
        <v>2.6475747247183278E-4</v>
      </c>
    </row>
    <row r="475" spans="2:27" x14ac:dyDescent="0.35">
      <c r="B475" s="26">
        <v>137.4</v>
      </c>
      <c r="C475" s="26">
        <v>718</v>
      </c>
      <c r="D475" s="18">
        <f t="shared" si="112"/>
        <v>67.745713459008996</v>
      </c>
      <c r="E475" s="18">
        <f t="shared" si="126"/>
        <v>9.0246438126704049</v>
      </c>
      <c r="F475" s="18">
        <f t="shared" si="126"/>
        <v>11.537414907005957</v>
      </c>
      <c r="G475" s="18">
        <f t="shared" si="126"/>
        <v>11.537414907005957</v>
      </c>
      <c r="H475" s="18">
        <f t="shared" si="126"/>
        <v>11.537414907005957</v>
      </c>
      <c r="I475" s="16"/>
      <c r="J475" s="18">
        <f t="shared" si="114"/>
        <v>63.593206805600346</v>
      </c>
      <c r="K475" s="18">
        <f t="shared" si="115"/>
        <v>7.0689341069372231</v>
      </c>
      <c r="L475" s="18">
        <f t="shared" si="116"/>
        <v>9.3066822439991519</v>
      </c>
      <c r="M475" s="18">
        <f t="shared" si="117"/>
        <v>9.3066822439991519</v>
      </c>
      <c r="N475" s="18">
        <f t="shared" si="118"/>
        <v>9.3066822439991519</v>
      </c>
      <c r="O475" s="16"/>
      <c r="P475" s="18">
        <f t="shared" si="113"/>
        <v>103.02819275470185</v>
      </c>
      <c r="Q475" s="18">
        <f t="shared" si="123"/>
        <v>248.61548514750936</v>
      </c>
      <c r="R475" s="18">
        <f t="shared" si="124"/>
        <v>0</v>
      </c>
      <c r="S475" s="18">
        <f t="shared" si="125"/>
        <v>0</v>
      </c>
      <c r="T475" s="18">
        <v>100</v>
      </c>
      <c r="U475" s="16"/>
      <c r="V475" s="18">
        <f t="shared" si="119"/>
        <v>451.64367790221121</v>
      </c>
      <c r="W475" s="16"/>
      <c r="X475" s="18">
        <f t="shared" si="120"/>
        <v>70945.690321461007</v>
      </c>
      <c r="Y475" s="18">
        <f t="shared" si="121"/>
        <v>266.35632209778879</v>
      </c>
      <c r="Z475" s="18"/>
      <c r="AA475" s="18">
        <f t="shared" si="122"/>
        <v>2.5265631227899246E-4</v>
      </c>
    </row>
    <row r="476" spans="2:27" x14ac:dyDescent="0.35">
      <c r="B476" s="26">
        <v>137.70000000000002</v>
      </c>
      <c r="C476" s="26">
        <v>743</v>
      </c>
      <c r="D476" s="18">
        <f t="shared" si="112"/>
        <v>67.880427087310025</v>
      </c>
      <c r="E476" s="18">
        <f t="shared" si="126"/>
        <v>9.0387087733352693</v>
      </c>
      <c r="F476" s="18">
        <f t="shared" si="126"/>
        <v>11.567414907005958</v>
      </c>
      <c r="G476" s="18">
        <f t="shared" si="126"/>
        <v>11.567414907005958</v>
      </c>
      <c r="H476" s="18">
        <f t="shared" si="126"/>
        <v>11.567414907005958</v>
      </c>
      <c r="I476" s="16"/>
      <c r="J476" s="18">
        <f t="shared" si="114"/>
        <v>63.725837002531797</v>
      </c>
      <c r="K476" s="18">
        <f t="shared" si="115"/>
        <v>7.0812572970646999</v>
      </c>
      <c r="L476" s="18">
        <f t="shared" si="116"/>
        <v>9.3337753298504662</v>
      </c>
      <c r="M476" s="18">
        <f t="shared" si="117"/>
        <v>9.3337753298504662</v>
      </c>
      <c r="N476" s="18">
        <f t="shared" si="118"/>
        <v>9.3337753298504662</v>
      </c>
      <c r="O476" s="16"/>
      <c r="P476" s="18">
        <f t="shared" si="113"/>
        <v>102.60308758406629</v>
      </c>
      <c r="Q476" s="18">
        <f t="shared" si="123"/>
        <v>247.8043744392894</v>
      </c>
      <c r="R476" s="18">
        <f t="shared" si="124"/>
        <v>0</v>
      </c>
      <c r="S476" s="18">
        <f t="shared" si="125"/>
        <v>0</v>
      </c>
      <c r="T476" s="18">
        <v>100</v>
      </c>
      <c r="U476" s="16"/>
      <c r="V476" s="18">
        <f t="shared" si="119"/>
        <v>450.40746202335572</v>
      </c>
      <c r="W476" s="16"/>
      <c r="X476" s="18">
        <f t="shared" si="120"/>
        <v>85610.393279614029</v>
      </c>
      <c r="Y476" s="18">
        <f t="shared" si="121"/>
        <v>292.59253797664428</v>
      </c>
      <c r="Z476" s="18"/>
      <c r="AA476" s="18">
        <f t="shared" si="122"/>
        <v>2.7754307111354918E-4</v>
      </c>
    </row>
    <row r="477" spans="2:27" x14ac:dyDescent="0.35">
      <c r="B477" s="26">
        <v>138</v>
      </c>
      <c r="C477" s="26">
        <v>713</v>
      </c>
      <c r="D477" s="18">
        <f t="shared" si="112"/>
        <v>68.015140715611054</v>
      </c>
      <c r="E477" s="18">
        <f t="shared" si="126"/>
        <v>9.0527737340001337</v>
      </c>
      <c r="F477" s="18">
        <f t="shared" si="126"/>
        <v>11.597414907005955</v>
      </c>
      <c r="G477" s="18">
        <f t="shared" si="126"/>
        <v>11.597414907005955</v>
      </c>
      <c r="H477" s="18">
        <f t="shared" si="126"/>
        <v>11.597414907005955</v>
      </c>
      <c r="I477" s="16"/>
      <c r="J477" s="18">
        <f t="shared" si="114"/>
        <v>63.858471464339978</v>
      </c>
      <c r="K477" s="18">
        <f t="shared" si="115"/>
        <v>7.0935831414984101</v>
      </c>
      <c r="L477" s="18">
        <f t="shared" si="116"/>
        <v>9.3608760281454053</v>
      </c>
      <c r="M477" s="18">
        <f t="shared" si="117"/>
        <v>9.3608760281454053</v>
      </c>
      <c r="N477" s="18">
        <f t="shared" si="118"/>
        <v>9.3608760281454053</v>
      </c>
      <c r="O477" s="16"/>
      <c r="P477" s="18">
        <f t="shared" si="113"/>
        <v>102.18059454812177</v>
      </c>
      <c r="Q477" s="18">
        <f t="shared" si="123"/>
        <v>246.99705894391948</v>
      </c>
      <c r="R477" s="18">
        <f t="shared" si="124"/>
        <v>0</v>
      </c>
      <c r="S477" s="18">
        <f t="shared" si="125"/>
        <v>0</v>
      </c>
      <c r="T477" s="18">
        <v>100</v>
      </c>
      <c r="U477" s="16"/>
      <c r="V477" s="18">
        <f t="shared" si="119"/>
        <v>449.17765349204126</v>
      </c>
      <c r="W477" s="16"/>
      <c r="X477" s="18">
        <f t="shared" si="120"/>
        <v>69602.230516965443</v>
      </c>
      <c r="Y477" s="18">
        <f t="shared" si="121"/>
        <v>263.82234650795874</v>
      </c>
      <c r="Z477" s="18"/>
      <c r="AA477" s="18">
        <f t="shared" si="122"/>
        <v>2.5025267146097429E-4</v>
      </c>
    </row>
    <row r="478" spans="2:27" x14ac:dyDescent="0.35">
      <c r="B478" s="26">
        <v>138.30000000000001</v>
      </c>
      <c r="C478" s="26">
        <v>709</v>
      </c>
      <c r="D478" s="18">
        <f t="shared" si="112"/>
        <v>68.149854343912082</v>
      </c>
      <c r="E478" s="18">
        <f t="shared" si="126"/>
        <v>9.0668386946649981</v>
      </c>
      <c r="F478" s="18">
        <f t="shared" si="126"/>
        <v>11.627414907005956</v>
      </c>
      <c r="G478" s="18">
        <f t="shared" si="126"/>
        <v>11.627414907005956</v>
      </c>
      <c r="H478" s="18">
        <f t="shared" si="126"/>
        <v>11.627414907005956</v>
      </c>
      <c r="I478" s="16"/>
      <c r="J478" s="18">
        <f t="shared" si="114"/>
        <v>63.991110173735777</v>
      </c>
      <c r="K478" s="18">
        <f t="shared" si="115"/>
        <v>7.1059116327290415</v>
      </c>
      <c r="L478" s="18">
        <f t="shared" si="116"/>
        <v>9.3879843012347326</v>
      </c>
      <c r="M478" s="18">
        <f t="shared" si="117"/>
        <v>9.3879843012347326</v>
      </c>
      <c r="N478" s="18">
        <f t="shared" si="118"/>
        <v>9.3879843012347326</v>
      </c>
      <c r="O478" s="16"/>
      <c r="P478" s="18">
        <f t="shared" si="113"/>
        <v>101.76069237215933</v>
      </c>
      <c r="Q478" s="18">
        <f t="shared" si="123"/>
        <v>246.19351580414855</v>
      </c>
      <c r="R478" s="18">
        <f t="shared" si="124"/>
        <v>0</v>
      </c>
      <c r="S478" s="18">
        <f t="shared" si="125"/>
        <v>0</v>
      </c>
      <c r="T478" s="18">
        <v>100</v>
      </c>
      <c r="U478" s="16"/>
      <c r="V478" s="18">
        <f t="shared" si="119"/>
        <v>447.95420817630787</v>
      </c>
      <c r="W478" s="16"/>
      <c r="X478" s="18">
        <f t="shared" si="120"/>
        <v>68144.905428858401</v>
      </c>
      <c r="Y478" s="18">
        <f t="shared" si="121"/>
        <v>261.04579182369213</v>
      </c>
      <c r="Z478" s="18"/>
      <c r="AA478" s="18">
        <f t="shared" si="122"/>
        <v>2.4761892857909812E-4</v>
      </c>
    </row>
    <row r="479" spans="2:27" x14ac:dyDescent="0.35">
      <c r="B479" s="26">
        <v>138.6</v>
      </c>
      <c r="C479" s="26">
        <v>682</v>
      </c>
      <c r="D479" s="18">
        <f t="shared" si="112"/>
        <v>68.284567972213097</v>
      </c>
      <c r="E479" s="18">
        <f t="shared" si="126"/>
        <v>9.0809036553298625</v>
      </c>
      <c r="F479" s="18">
        <f t="shared" si="126"/>
        <v>11.657414907005954</v>
      </c>
      <c r="G479" s="18">
        <f t="shared" si="126"/>
        <v>11.657414907005954</v>
      </c>
      <c r="H479" s="18">
        <f t="shared" si="126"/>
        <v>11.657414907005954</v>
      </c>
      <c r="I479" s="16"/>
      <c r="J479" s="18">
        <f t="shared" si="114"/>
        <v>64.123753113534462</v>
      </c>
      <c r="K479" s="18">
        <f t="shared" si="115"/>
        <v>7.1182427632773173</v>
      </c>
      <c r="L479" s="18">
        <f t="shared" si="116"/>
        <v>9.4151001117365318</v>
      </c>
      <c r="M479" s="18">
        <f t="shared" si="117"/>
        <v>9.4151001117365318</v>
      </c>
      <c r="N479" s="18">
        <f t="shared" si="118"/>
        <v>9.4151001117365318</v>
      </c>
      <c r="O479" s="16"/>
      <c r="P479" s="18">
        <f t="shared" si="113"/>
        <v>101.34335999695102</v>
      </c>
      <c r="Q479" s="18">
        <f t="shared" si="123"/>
        <v>245.39372232974432</v>
      </c>
      <c r="R479" s="18">
        <f t="shared" si="124"/>
        <v>0</v>
      </c>
      <c r="S479" s="18">
        <f t="shared" si="125"/>
        <v>0</v>
      </c>
      <c r="T479" s="18">
        <v>100</v>
      </c>
      <c r="U479" s="16"/>
      <c r="V479" s="18">
        <f t="shared" si="119"/>
        <v>446.73708232669537</v>
      </c>
      <c r="W479" s="16"/>
      <c r="X479" s="18">
        <f t="shared" si="120"/>
        <v>55348.640432156113</v>
      </c>
      <c r="Y479" s="18">
        <f t="shared" si="121"/>
        <v>235.26291767330463</v>
      </c>
      <c r="Z479" s="18"/>
      <c r="AA479" s="18">
        <f t="shared" si="122"/>
        <v>2.2316219388819535E-4</v>
      </c>
    </row>
    <row r="480" spans="2:27" x14ac:dyDescent="0.35">
      <c r="B480" s="26">
        <v>138.9</v>
      </c>
      <c r="C480" s="26">
        <v>707</v>
      </c>
      <c r="D480" s="18">
        <f t="shared" si="112"/>
        <v>68.41928160051414</v>
      </c>
      <c r="E480" s="18">
        <f t="shared" si="126"/>
        <v>9.0949686159947269</v>
      </c>
      <c r="F480" s="18">
        <f t="shared" si="126"/>
        <v>11.687414907005955</v>
      </c>
      <c r="G480" s="18">
        <f t="shared" si="126"/>
        <v>11.687414907005955</v>
      </c>
      <c r="H480" s="18">
        <f t="shared" si="126"/>
        <v>11.687414907005955</v>
      </c>
      <c r="I480" s="16"/>
      <c r="J480" s="18">
        <f t="shared" si="114"/>
        <v>64.25640026665485</v>
      </c>
      <c r="K480" s="18">
        <f t="shared" si="115"/>
        <v>7.1305765256938498</v>
      </c>
      <c r="L480" s="18">
        <f t="shared" si="116"/>
        <v>9.4422234225337931</v>
      </c>
      <c r="M480" s="18">
        <f t="shared" si="117"/>
        <v>9.4422234225337931</v>
      </c>
      <c r="N480" s="18">
        <f t="shared" si="118"/>
        <v>9.4422234225337931</v>
      </c>
      <c r="O480" s="16"/>
      <c r="P480" s="18">
        <f t="shared" si="113"/>
        <v>100.92857657614296</v>
      </c>
      <c r="Q480" s="18">
        <f t="shared" si="123"/>
        <v>244.59765599606681</v>
      </c>
      <c r="R480" s="18">
        <f t="shared" si="124"/>
        <v>0</v>
      </c>
      <c r="S480" s="18">
        <f t="shared" si="125"/>
        <v>0</v>
      </c>
      <c r="T480" s="18">
        <v>100</v>
      </c>
      <c r="U480" s="16"/>
      <c r="V480" s="18">
        <f t="shared" si="119"/>
        <v>445.52623257220978</v>
      </c>
      <c r="W480" s="16"/>
      <c r="X480" s="18">
        <f t="shared" si="120"/>
        <v>68368.531052882128</v>
      </c>
      <c r="Y480" s="18">
        <f t="shared" si="121"/>
        <v>261.47376742779022</v>
      </c>
      <c r="Z480" s="18"/>
      <c r="AA480" s="18">
        <f t="shared" si="122"/>
        <v>2.4802489130235989E-4</v>
      </c>
    </row>
    <row r="481" spans="2:27" x14ac:dyDescent="0.35">
      <c r="B481" s="26">
        <v>139.30000000000001</v>
      </c>
      <c r="C481" s="26">
        <v>733</v>
      </c>
      <c r="D481" s="18">
        <f t="shared" si="112"/>
        <v>68.598899771582182</v>
      </c>
      <c r="E481" s="18">
        <f t="shared" si="126"/>
        <v>9.1137218968812128</v>
      </c>
      <c r="F481" s="18">
        <f t="shared" si="126"/>
        <v>11.727414907005956</v>
      </c>
      <c r="G481" s="18">
        <f t="shared" si="126"/>
        <v>11.727414907005956</v>
      </c>
      <c r="H481" s="18">
        <f t="shared" si="126"/>
        <v>11.727414907005956</v>
      </c>
      <c r="I481" s="16"/>
      <c r="J481" s="18">
        <f t="shared" si="114"/>
        <v>64.43326966220711</v>
      </c>
      <c r="K481" s="18">
        <f t="shared" si="115"/>
        <v>7.1470256234466802</v>
      </c>
      <c r="L481" s="18">
        <f t="shared" si="116"/>
        <v>9.4783994403947265</v>
      </c>
      <c r="M481" s="18">
        <f t="shared" si="117"/>
        <v>9.4783994403947265</v>
      </c>
      <c r="N481" s="18">
        <f t="shared" si="118"/>
        <v>9.4783994403947265</v>
      </c>
      <c r="O481" s="16"/>
      <c r="P481" s="18">
        <f t="shared" si="113"/>
        <v>100.3794614179707</v>
      </c>
      <c r="Q481" s="18">
        <f t="shared" si="123"/>
        <v>243.541993368059</v>
      </c>
      <c r="R481" s="18">
        <f t="shared" si="124"/>
        <v>0</v>
      </c>
      <c r="S481" s="18">
        <f t="shared" si="125"/>
        <v>0</v>
      </c>
      <c r="T481" s="18">
        <v>100</v>
      </c>
      <c r="U481" s="16"/>
      <c r="V481" s="18">
        <f t="shared" si="119"/>
        <v>443.9214547860297</v>
      </c>
      <c r="W481" s="16"/>
      <c r="X481" s="18">
        <f t="shared" si="120"/>
        <v>83566.405303025473</v>
      </c>
      <c r="Y481" s="18">
        <f t="shared" si="121"/>
        <v>289.0785452139703</v>
      </c>
      <c r="Z481" s="18"/>
      <c r="AA481" s="18">
        <f t="shared" si="122"/>
        <v>2.7420982020439179E-4</v>
      </c>
    </row>
    <row r="482" spans="2:27" x14ac:dyDescent="0.35">
      <c r="B482" s="26">
        <v>139.6</v>
      </c>
      <c r="C482" s="26">
        <v>733</v>
      </c>
      <c r="D482" s="18">
        <f t="shared" si="112"/>
        <v>68.733613399883197</v>
      </c>
      <c r="E482" s="18">
        <f t="shared" si="126"/>
        <v>9.1277868575460772</v>
      </c>
      <c r="F482" s="18">
        <f t="shared" si="126"/>
        <v>11.757414907005955</v>
      </c>
      <c r="G482" s="18">
        <f t="shared" si="126"/>
        <v>11.757414907005955</v>
      </c>
      <c r="H482" s="18">
        <f t="shared" si="126"/>
        <v>11.757414907005955</v>
      </c>
      <c r="I482" s="16"/>
      <c r="J482" s="18">
        <f t="shared" si="114"/>
        <v>64.565926580559861</v>
      </c>
      <c r="K482" s="18">
        <f t="shared" si="115"/>
        <v>7.1593654980860419</v>
      </c>
      <c r="L482" s="18">
        <f t="shared" si="116"/>
        <v>9.5055401090074323</v>
      </c>
      <c r="M482" s="18">
        <f t="shared" si="117"/>
        <v>9.5055401090074323</v>
      </c>
      <c r="N482" s="18">
        <f t="shared" si="118"/>
        <v>9.5055401090074323</v>
      </c>
      <c r="O482" s="16"/>
      <c r="P482" s="18">
        <f t="shared" si="113"/>
        <v>99.970545664871821</v>
      </c>
      <c r="Q482" s="18">
        <f t="shared" si="123"/>
        <v>242.75453701988602</v>
      </c>
      <c r="R482" s="18">
        <f t="shared" si="124"/>
        <v>0</v>
      </c>
      <c r="S482" s="18">
        <f t="shared" si="125"/>
        <v>0</v>
      </c>
      <c r="T482" s="18">
        <v>100</v>
      </c>
      <c r="U482" s="16"/>
      <c r="V482" s="18">
        <f t="shared" si="119"/>
        <v>442.72508268475781</v>
      </c>
      <c r="W482" s="16"/>
      <c r="X482" s="18">
        <f t="shared" si="120"/>
        <v>84259.52762237069</v>
      </c>
      <c r="Y482" s="18">
        <f t="shared" si="121"/>
        <v>290.27491731524219</v>
      </c>
      <c r="Z482" s="18"/>
      <c r="AA482" s="18">
        <f t="shared" si="122"/>
        <v>2.7534465703064084E-4</v>
      </c>
    </row>
    <row r="483" spans="2:27" x14ac:dyDescent="0.35">
      <c r="B483" s="26">
        <v>139.9</v>
      </c>
      <c r="C483" s="26">
        <v>705</v>
      </c>
      <c r="D483" s="18">
        <f t="shared" si="112"/>
        <v>68.868327028184225</v>
      </c>
      <c r="E483" s="18">
        <f t="shared" si="126"/>
        <v>9.1418518182109416</v>
      </c>
      <c r="F483" s="18">
        <f t="shared" si="126"/>
        <v>11.787414907005957</v>
      </c>
      <c r="G483" s="18">
        <f t="shared" si="126"/>
        <v>11.787414907005957</v>
      </c>
      <c r="H483" s="18">
        <f t="shared" si="126"/>
        <v>11.787414907005957</v>
      </c>
      <c r="I483" s="16"/>
      <c r="J483" s="18">
        <f t="shared" si="114"/>
        <v>64.698587656034107</v>
      </c>
      <c r="K483" s="18">
        <f t="shared" si="115"/>
        <v>7.1717079799762722</v>
      </c>
      <c r="L483" s="18">
        <f t="shared" si="116"/>
        <v>9.5326881560746095</v>
      </c>
      <c r="M483" s="18">
        <f t="shared" si="117"/>
        <v>9.5326881560746095</v>
      </c>
      <c r="N483" s="18">
        <f t="shared" si="118"/>
        <v>9.5326881560746095</v>
      </c>
      <c r="O483" s="16"/>
      <c r="P483" s="18">
        <f t="shared" si="113"/>
        <v>99.564110883018941</v>
      </c>
      <c r="Q483" s="18">
        <f t="shared" si="123"/>
        <v>241.9707339082224</v>
      </c>
      <c r="R483" s="18">
        <f t="shared" si="124"/>
        <v>0</v>
      </c>
      <c r="S483" s="18">
        <f t="shared" si="125"/>
        <v>0</v>
      </c>
      <c r="T483" s="18">
        <v>100</v>
      </c>
      <c r="U483" s="16"/>
      <c r="V483" s="18">
        <f t="shared" si="119"/>
        <v>441.53484479124131</v>
      </c>
      <c r="W483" s="16"/>
      <c r="X483" s="18">
        <f t="shared" si="120"/>
        <v>69413.888009175309</v>
      </c>
      <c r="Y483" s="18">
        <f t="shared" si="121"/>
        <v>263.46515520875869</v>
      </c>
      <c r="Z483" s="18"/>
      <c r="AA483" s="18">
        <f t="shared" si="122"/>
        <v>2.499138522592251E-4</v>
      </c>
    </row>
    <row r="484" spans="2:27" x14ac:dyDescent="0.35">
      <c r="B484" s="26">
        <v>140.20000000000002</v>
      </c>
      <c r="C484" s="26">
        <v>745</v>
      </c>
      <c r="D484" s="18">
        <f t="shared" si="112"/>
        <v>69.003040656485268</v>
      </c>
      <c r="E484" s="18">
        <f t="shared" si="126"/>
        <v>9.155916778875806</v>
      </c>
      <c r="F484" s="18">
        <f t="shared" si="126"/>
        <v>11.817414907005958</v>
      </c>
      <c r="G484" s="18">
        <f t="shared" si="126"/>
        <v>11.817414907005958</v>
      </c>
      <c r="H484" s="18">
        <f t="shared" si="126"/>
        <v>11.817414907005958</v>
      </c>
      <c r="I484" s="16"/>
      <c r="J484" s="18">
        <f t="shared" si="114"/>
        <v>64.831252871987829</v>
      </c>
      <c r="K484" s="18">
        <f t="shared" si="115"/>
        <v>7.1840530617957574</v>
      </c>
      <c r="L484" s="18">
        <f t="shared" si="116"/>
        <v>9.5598435455996178</v>
      </c>
      <c r="M484" s="18">
        <f t="shared" si="117"/>
        <v>9.5598435455996178</v>
      </c>
      <c r="N484" s="18">
        <f t="shared" si="118"/>
        <v>9.5598435455996178</v>
      </c>
      <c r="O484" s="16"/>
      <c r="P484" s="18">
        <f t="shared" si="113"/>
        <v>99.160137119270203</v>
      </c>
      <c r="Q484" s="18">
        <f t="shared" si="123"/>
        <v>241.19056220985084</v>
      </c>
      <c r="R484" s="18">
        <f t="shared" si="124"/>
        <v>0</v>
      </c>
      <c r="S484" s="18">
        <f t="shared" si="125"/>
        <v>0</v>
      </c>
      <c r="T484" s="18">
        <v>100</v>
      </c>
      <c r="U484" s="16"/>
      <c r="V484" s="18">
        <f t="shared" si="119"/>
        <v>440.35069932912103</v>
      </c>
      <c r="W484" s="16"/>
      <c r="X484" s="18">
        <f t="shared" si="120"/>
        <v>92811.196399255612</v>
      </c>
      <c r="Y484" s="18">
        <f t="shared" si="121"/>
        <v>304.64930067087897</v>
      </c>
      <c r="Z484" s="18"/>
      <c r="AA484" s="18">
        <f t="shared" si="122"/>
        <v>2.8897969546831068E-4</v>
      </c>
    </row>
    <row r="485" spans="2:27" x14ac:dyDescent="0.35">
      <c r="B485" s="26">
        <v>140.5</v>
      </c>
      <c r="C485" s="26">
        <v>660</v>
      </c>
      <c r="D485" s="18">
        <f t="shared" si="112"/>
        <v>69.137754284786283</v>
      </c>
      <c r="E485" s="18">
        <f t="shared" si="126"/>
        <v>9.1699817395406704</v>
      </c>
      <c r="F485" s="18">
        <f t="shared" si="126"/>
        <v>11.847414907005955</v>
      </c>
      <c r="G485" s="18">
        <f t="shared" si="126"/>
        <v>11.847414907005955</v>
      </c>
      <c r="H485" s="18">
        <f t="shared" si="126"/>
        <v>11.847414907005955</v>
      </c>
      <c r="I485" s="16"/>
      <c r="J485" s="18">
        <f t="shared" si="114"/>
        <v>64.963922211878156</v>
      </c>
      <c r="K485" s="18">
        <f t="shared" si="115"/>
        <v>7.1964007362519755</v>
      </c>
      <c r="L485" s="18">
        <f t="shared" si="116"/>
        <v>9.5870062418381696</v>
      </c>
      <c r="M485" s="18">
        <f t="shared" si="117"/>
        <v>9.5870062418381696</v>
      </c>
      <c r="N485" s="18">
        <f t="shared" si="118"/>
        <v>9.5870062418381696</v>
      </c>
      <c r="O485" s="16"/>
      <c r="P485" s="18">
        <f t="shared" si="113"/>
        <v>98.758604620059202</v>
      </c>
      <c r="Q485" s="18">
        <f t="shared" si="123"/>
        <v>240.41400025977089</v>
      </c>
      <c r="R485" s="18">
        <f t="shared" si="124"/>
        <v>0</v>
      </c>
      <c r="S485" s="18">
        <f t="shared" si="125"/>
        <v>0</v>
      </c>
      <c r="T485" s="18">
        <v>100</v>
      </c>
      <c r="U485" s="16"/>
      <c r="V485" s="18">
        <f t="shared" si="119"/>
        <v>439.17260487983009</v>
      </c>
      <c r="W485" s="16"/>
      <c r="X485" s="18">
        <f t="shared" si="120"/>
        <v>48764.738435559644</v>
      </c>
      <c r="Y485" s="18">
        <f t="shared" si="121"/>
        <v>220.82739512016991</v>
      </c>
      <c r="Z485" s="18"/>
      <c r="AA485" s="18">
        <f t="shared" si="122"/>
        <v>2.0946916094131371E-4</v>
      </c>
    </row>
    <row r="486" spans="2:27" x14ac:dyDescent="0.35">
      <c r="B486" s="26">
        <v>140.80000000000001</v>
      </c>
      <c r="C486" s="26">
        <v>696</v>
      </c>
      <c r="D486" s="18">
        <f t="shared" si="112"/>
        <v>69.272467913087326</v>
      </c>
      <c r="E486" s="18">
        <f t="shared" si="126"/>
        <v>9.1840467002055348</v>
      </c>
      <c r="F486" s="18">
        <f t="shared" si="126"/>
        <v>11.877414907005956</v>
      </c>
      <c r="G486" s="18">
        <f t="shared" si="126"/>
        <v>11.877414907005956</v>
      </c>
      <c r="H486" s="18">
        <f t="shared" si="126"/>
        <v>11.877414907005956</v>
      </c>
      <c r="I486" s="16"/>
      <c r="J486" s="18">
        <f t="shared" si="114"/>
        <v>65.096595659260757</v>
      </c>
      <c r="K486" s="18">
        <f t="shared" si="115"/>
        <v>7.2087509960813501</v>
      </c>
      <c r="L486" s="18">
        <f t="shared" si="116"/>
        <v>9.614176209296069</v>
      </c>
      <c r="M486" s="18">
        <f t="shared" si="117"/>
        <v>9.614176209296069</v>
      </c>
      <c r="N486" s="18">
        <f t="shared" si="118"/>
        <v>9.614176209296069</v>
      </c>
      <c r="O486" s="16"/>
      <c r="P486" s="18">
        <f t="shared" si="113"/>
        <v>98.359493829009992</v>
      </c>
      <c r="Q486" s="18">
        <f t="shared" si="123"/>
        <v>239.64102654985783</v>
      </c>
      <c r="R486" s="18">
        <f t="shared" si="124"/>
        <v>0</v>
      </c>
      <c r="S486" s="18">
        <f t="shared" si="125"/>
        <v>0</v>
      </c>
      <c r="T486" s="18">
        <v>100</v>
      </c>
      <c r="U486" s="16"/>
      <c r="V486" s="18">
        <f t="shared" si="119"/>
        <v>438.0005203788678</v>
      </c>
      <c r="W486" s="16"/>
      <c r="X486" s="18">
        <f t="shared" si="120"/>
        <v>66563.731484775009</v>
      </c>
      <c r="Y486" s="18">
        <f t="shared" si="121"/>
        <v>257.9994796211322</v>
      </c>
      <c r="Z486" s="18"/>
      <c r="AA486" s="18">
        <f t="shared" si="122"/>
        <v>2.4472930312892122E-4</v>
      </c>
    </row>
    <row r="487" spans="2:27" x14ac:dyDescent="0.35">
      <c r="B487" s="26">
        <v>141.1</v>
      </c>
      <c r="C487" s="26">
        <v>719</v>
      </c>
      <c r="D487" s="18">
        <f t="shared" si="112"/>
        <v>69.40718154138834</v>
      </c>
      <c r="E487" s="18">
        <f t="shared" ref="E487:H487" si="127">D$23-LN(1/D$23)+$B487*D$22</f>
        <v>9.1981116608703992</v>
      </c>
      <c r="F487" s="18">
        <f t="shared" si="127"/>
        <v>11.907414907005954</v>
      </c>
      <c r="G487" s="18">
        <f t="shared" si="127"/>
        <v>11.907414907005954</v>
      </c>
      <c r="H487" s="18">
        <f t="shared" si="127"/>
        <v>11.907414907005954</v>
      </c>
      <c r="I487" s="16"/>
      <c r="J487" s="18">
        <f t="shared" si="114"/>
        <v>65.229273197788828</v>
      </c>
      <c r="K487" s="18">
        <f t="shared" si="115"/>
        <v>7.2211038340491074</v>
      </c>
      <c r="L487" s="18">
        <f t="shared" si="116"/>
        <v>9.641353412726934</v>
      </c>
      <c r="M487" s="18">
        <f t="shared" si="117"/>
        <v>9.641353412726934</v>
      </c>
      <c r="N487" s="18">
        <f t="shared" si="118"/>
        <v>9.641353412726934</v>
      </c>
      <c r="O487" s="16"/>
      <c r="P487" s="18">
        <f t="shared" si="113"/>
        <v>97.962785384586155</v>
      </c>
      <c r="Q487" s="18">
        <f t="shared" si="123"/>
        <v>238.87161972753501</v>
      </c>
      <c r="R487" s="18">
        <f t="shared" si="124"/>
        <v>0</v>
      </c>
      <c r="S487" s="18">
        <f t="shared" si="125"/>
        <v>0</v>
      </c>
      <c r="T487" s="18">
        <v>100</v>
      </c>
      <c r="U487" s="16"/>
      <c r="V487" s="18">
        <f t="shared" si="119"/>
        <v>436.83440511212115</v>
      </c>
      <c r="W487" s="16"/>
      <c r="X487" s="18">
        <f t="shared" si="120"/>
        <v>79617.422938430565</v>
      </c>
      <c r="Y487" s="18">
        <f t="shared" si="121"/>
        <v>282.16559488787885</v>
      </c>
      <c r="Z487" s="18"/>
      <c r="AA487" s="18">
        <f t="shared" si="122"/>
        <v>2.6765243676178332E-4</v>
      </c>
    </row>
    <row r="488" spans="2:27" x14ac:dyDescent="0.35">
      <c r="B488" s="26">
        <v>141.5</v>
      </c>
      <c r="C488" s="26">
        <v>699</v>
      </c>
      <c r="D488" s="18">
        <f t="shared" ref="D488:H531" si="128">C$23-LN(1/C$23)+$B488*C$22</f>
        <v>69.586799712456383</v>
      </c>
      <c r="E488" s="18">
        <f t="shared" si="128"/>
        <v>9.2168649417568851</v>
      </c>
      <c r="F488" s="18">
        <f t="shared" si="128"/>
        <v>11.947414907005955</v>
      </c>
      <c r="G488" s="18">
        <f t="shared" si="128"/>
        <v>11.947414907005955</v>
      </c>
      <c r="H488" s="18">
        <f t="shared" si="128"/>
        <v>11.947414907005955</v>
      </c>
      <c r="I488" s="16"/>
      <c r="J488" s="18">
        <f t="shared" si="114"/>
        <v>65.406182918424776</v>
      </c>
      <c r="K488" s="18">
        <f t="shared" si="115"/>
        <v>7.23757828265936</v>
      </c>
      <c r="L488" s="18">
        <f t="shared" si="116"/>
        <v>9.6776008794660004</v>
      </c>
      <c r="M488" s="18">
        <f t="shared" si="117"/>
        <v>9.6776008794660004</v>
      </c>
      <c r="N488" s="18">
        <f t="shared" si="118"/>
        <v>9.6776008794660004</v>
      </c>
      <c r="O488" s="16"/>
      <c r="P488" s="18">
        <f t="shared" ref="P488:P531" si="129">(C$21*$A$21*C$23*C$22)/(J488+J488^2)</f>
        <v>97.43754467147096</v>
      </c>
      <c r="Q488" s="18">
        <f t="shared" si="123"/>
        <v>237.85125583918403</v>
      </c>
      <c r="R488" s="18">
        <f t="shared" si="124"/>
        <v>0</v>
      </c>
      <c r="S488" s="18">
        <f t="shared" si="125"/>
        <v>0</v>
      </c>
      <c r="T488" s="18">
        <v>100</v>
      </c>
      <c r="U488" s="16"/>
      <c r="V488" s="18">
        <f t="shared" si="119"/>
        <v>435.28880051065499</v>
      </c>
      <c r="W488" s="16"/>
      <c r="X488" s="18">
        <f t="shared" si="120"/>
        <v>69543.596736109117</v>
      </c>
      <c r="Y488" s="18">
        <f t="shared" si="121"/>
        <v>263.71119948934501</v>
      </c>
      <c r="Z488" s="18"/>
      <c r="AA488" s="18">
        <f t="shared" si="122"/>
        <v>2.501472412777424E-4</v>
      </c>
    </row>
    <row r="489" spans="2:27" x14ac:dyDescent="0.35">
      <c r="B489" s="26">
        <v>141.80000000000001</v>
      </c>
      <c r="C489" s="26">
        <v>734</v>
      </c>
      <c r="D489" s="18">
        <f t="shared" si="128"/>
        <v>69.721513340757411</v>
      </c>
      <c r="E489" s="18">
        <f t="shared" si="128"/>
        <v>9.2309299024217495</v>
      </c>
      <c r="F489" s="18">
        <f t="shared" si="128"/>
        <v>11.977414907005956</v>
      </c>
      <c r="G489" s="18">
        <f t="shared" si="128"/>
        <v>11.977414907005956</v>
      </c>
      <c r="H489" s="18">
        <f t="shared" si="128"/>
        <v>11.977414907005956</v>
      </c>
      <c r="I489" s="16"/>
      <c r="J489" s="18">
        <f t="shared" si="114"/>
        <v>65.538869939931217</v>
      </c>
      <c r="K489" s="18">
        <f t="shared" si="115"/>
        <v>7.2499371083088171</v>
      </c>
      <c r="L489" s="18">
        <f t="shared" si="116"/>
        <v>9.70479483114012</v>
      </c>
      <c r="M489" s="18">
        <f t="shared" si="117"/>
        <v>9.70479483114012</v>
      </c>
      <c r="N489" s="18">
        <f t="shared" si="118"/>
        <v>9.70479483114012</v>
      </c>
      <c r="O489" s="16"/>
      <c r="P489" s="18">
        <f t="shared" si="129"/>
        <v>97.046367484805913</v>
      </c>
      <c r="Q489" s="18">
        <f t="shared" si="123"/>
        <v>237.09008958070595</v>
      </c>
      <c r="R489" s="18">
        <f t="shared" si="124"/>
        <v>0</v>
      </c>
      <c r="S489" s="18">
        <f t="shared" si="125"/>
        <v>0</v>
      </c>
      <c r="T489" s="18">
        <v>100</v>
      </c>
      <c r="U489" s="16"/>
      <c r="V489" s="18">
        <f t="shared" si="119"/>
        <v>434.13645706551188</v>
      </c>
      <c r="W489" s="16"/>
      <c r="X489" s="18">
        <f t="shared" si="120"/>
        <v>89918.144381223596</v>
      </c>
      <c r="Y489" s="18">
        <f t="shared" si="121"/>
        <v>299.86354293448812</v>
      </c>
      <c r="Z489" s="18"/>
      <c r="AA489" s="18">
        <f t="shared" si="122"/>
        <v>2.8444009268503885E-4</v>
      </c>
    </row>
    <row r="490" spans="2:27" x14ac:dyDescent="0.35">
      <c r="B490" s="26">
        <v>142.1</v>
      </c>
      <c r="C490" s="26">
        <v>665</v>
      </c>
      <c r="D490" s="18">
        <f t="shared" si="128"/>
        <v>69.85622696905844</v>
      </c>
      <c r="E490" s="18">
        <f t="shared" si="128"/>
        <v>9.2449948630866139</v>
      </c>
      <c r="F490" s="18">
        <f t="shared" si="128"/>
        <v>12.007414907005955</v>
      </c>
      <c r="G490" s="18">
        <f t="shared" si="128"/>
        <v>12.007414907005955</v>
      </c>
      <c r="H490" s="18">
        <f t="shared" si="128"/>
        <v>12.007414907005955</v>
      </c>
      <c r="I490" s="16"/>
      <c r="J490" s="18">
        <f t="shared" si="114"/>
        <v>65.671560998789516</v>
      </c>
      <c r="K490" s="18">
        <f t="shared" si="115"/>
        <v>7.2622984881869055</v>
      </c>
      <c r="L490" s="18">
        <f t="shared" si="116"/>
        <v>9.7319959030608434</v>
      </c>
      <c r="M490" s="18">
        <f t="shared" si="117"/>
        <v>9.7319959030608434</v>
      </c>
      <c r="N490" s="18">
        <f t="shared" si="118"/>
        <v>9.7319959030608434</v>
      </c>
      <c r="O490" s="16"/>
      <c r="P490" s="18">
        <f t="shared" si="129"/>
        <v>96.657529483949972</v>
      </c>
      <c r="Q490" s="18">
        <f t="shared" si="123"/>
        <v>236.33242014117349</v>
      </c>
      <c r="R490" s="18">
        <f t="shared" si="124"/>
        <v>0</v>
      </c>
      <c r="S490" s="18">
        <f t="shared" si="125"/>
        <v>0</v>
      </c>
      <c r="T490" s="18">
        <v>100</v>
      </c>
      <c r="U490" s="16"/>
      <c r="V490" s="18">
        <f t="shared" si="119"/>
        <v>432.98994962512347</v>
      </c>
      <c r="W490" s="16"/>
      <c r="X490" s="18">
        <f t="shared" si="120"/>
        <v>53828.663474952744</v>
      </c>
      <c r="Y490" s="18">
        <f t="shared" si="121"/>
        <v>232.01005037487653</v>
      </c>
      <c r="Z490" s="18"/>
      <c r="AA490" s="18">
        <f t="shared" si="122"/>
        <v>2.2007663748209645E-4</v>
      </c>
    </row>
    <row r="491" spans="2:27" x14ac:dyDescent="0.35">
      <c r="B491" s="26">
        <v>142.4</v>
      </c>
      <c r="C491" s="26">
        <v>617</v>
      </c>
      <c r="D491" s="18">
        <f t="shared" si="128"/>
        <v>69.990940597359469</v>
      </c>
      <c r="E491" s="18">
        <f t="shared" si="128"/>
        <v>9.2590598237514783</v>
      </c>
      <c r="F491" s="18">
        <f t="shared" si="128"/>
        <v>12.037414907005957</v>
      </c>
      <c r="G491" s="18">
        <f t="shared" si="128"/>
        <v>12.037414907005957</v>
      </c>
      <c r="H491" s="18">
        <f t="shared" si="128"/>
        <v>12.037414907005957</v>
      </c>
      <c r="I491" s="16"/>
      <c r="J491" s="18">
        <f t="shared" si="114"/>
        <v>65.804256079067301</v>
      </c>
      <c r="K491" s="18">
        <f t="shared" si="115"/>
        <v>7.2746624151820027</v>
      </c>
      <c r="L491" s="18">
        <f t="shared" si="116"/>
        <v>9.759204061030367</v>
      </c>
      <c r="M491" s="18">
        <f t="shared" si="117"/>
        <v>9.759204061030367</v>
      </c>
      <c r="N491" s="18">
        <f t="shared" si="118"/>
        <v>9.759204061030367</v>
      </c>
      <c r="O491" s="16"/>
      <c r="P491" s="18">
        <f t="shared" si="129"/>
        <v>96.27101212528261</v>
      </c>
      <c r="Q491" s="18">
        <f t="shared" si="123"/>
        <v>235.57822682701558</v>
      </c>
      <c r="R491" s="18">
        <f t="shared" si="124"/>
        <v>0</v>
      </c>
      <c r="S491" s="18">
        <f t="shared" si="125"/>
        <v>0</v>
      </c>
      <c r="T491" s="18">
        <v>100</v>
      </c>
      <c r="U491" s="16"/>
      <c r="V491" s="18">
        <f t="shared" si="119"/>
        <v>431.84923895229821</v>
      </c>
      <c r="W491" s="16"/>
      <c r="X491" s="18">
        <f t="shared" si="120"/>
        <v>34280.804316543166</v>
      </c>
      <c r="Y491" s="18">
        <f t="shared" si="121"/>
        <v>185.15076104770179</v>
      </c>
      <c r="Z491" s="18"/>
      <c r="AA491" s="18">
        <f t="shared" si="122"/>
        <v>1.7562755084441682E-4</v>
      </c>
    </row>
    <row r="492" spans="2:27" x14ac:dyDescent="0.35">
      <c r="B492" s="26">
        <v>142.70000000000002</v>
      </c>
      <c r="C492" s="26">
        <v>698</v>
      </c>
      <c r="D492" s="18">
        <f t="shared" si="128"/>
        <v>70.125654225660497</v>
      </c>
      <c r="E492" s="18">
        <f t="shared" si="128"/>
        <v>9.2731247844163445</v>
      </c>
      <c r="F492" s="18">
        <f t="shared" si="128"/>
        <v>12.067414907005958</v>
      </c>
      <c r="G492" s="18">
        <f t="shared" si="128"/>
        <v>12.067414907005958</v>
      </c>
      <c r="H492" s="18">
        <f t="shared" si="128"/>
        <v>12.067414907005958</v>
      </c>
      <c r="I492" s="16"/>
      <c r="J492" s="18">
        <f t="shared" si="114"/>
        <v>65.936955164925848</v>
      </c>
      <c r="K492" s="18">
        <f t="shared" si="115"/>
        <v>7.2870288822105254</v>
      </c>
      <c r="L492" s="18">
        <f t="shared" si="116"/>
        <v>9.7864192710871372</v>
      </c>
      <c r="M492" s="18">
        <f t="shared" si="117"/>
        <v>9.7864192710871372</v>
      </c>
      <c r="N492" s="18">
        <f t="shared" si="118"/>
        <v>9.7864192710871372</v>
      </c>
      <c r="O492" s="16"/>
      <c r="P492" s="18">
        <f t="shared" si="129"/>
        <v>95.886797048019488</v>
      </c>
      <c r="Q492" s="18">
        <f t="shared" si="123"/>
        <v>234.82748909333981</v>
      </c>
      <c r="R492" s="18">
        <f t="shared" si="124"/>
        <v>0</v>
      </c>
      <c r="S492" s="18">
        <f t="shared" si="125"/>
        <v>0</v>
      </c>
      <c r="T492" s="18">
        <v>100</v>
      </c>
      <c r="U492" s="16"/>
      <c r="V492" s="18">
        <f t="shared" si="119"/>
        <v>430.71428614135931</v>
      </c>
      <c r="W492" s="16"/>
      <c r="X492" s="18">
        <f t="shared" si="120"/>
        <v>71441.652832923151</v>
      </c>
      <c r="Y492" s="18">
        <f t="shared" si="121"/>
        <v>267.28571385864069</v>
      </c>
      <c r="Z492" s="18"/>
      <c r="AA492" s="18">
        <f t="shared" si="122"/>
        <v>2.5353790087095809E-4</v>
      </c>
    </row>
    <row r="493" spans="2:27" x14ac:dyDescent="0.35">
      <c r="B493" s="26">
        <v>143</v>
      </c>
      <c r="C493" s="26">
        <v>732</v>
      </c>
      <c r="D493" s="18">
        <f t="shared" si="128"/>
        <v>70.260367853961512</v>
      </c>
      <c r="E493" s="18">
        <f t="shared" si="128"/>
        <v>9.2871897450812071</v>
      </c>
      <c r="F493" s="18">
        <f t="shared" si="128"/>
        <v>12.097414907005955</v>
      </c>
      <c r="G493" s="18">
        <f t="shared" si="128"/>
        <v>12.097414907005955</v>
      </c>
      <c r="H493" s="18">
        <f t="shared" si="128"/>
        <v>12.097414907005955</v>
      </c>
      <c r="I493" s="16"/>
      <c r="J493" s="18">
        <f t="shared" si="114"/>
        <v>66.069658240619347</v>
      </c>
      <c r="K493" s="18">
        <f t="shared" si="115"/>
        <v>7.2993978822167902</v>
      </c>
      <c r="L493" s="18">
        <f t="shared" si="116"/>
        <v>9.8136414995037544</v>
      </c>
      <c r="M493" s="18">
        <f t="shared" si="117"/>
        <v>9.8136414995037544</v>
      </c>
      <c r="N493" s="18">
        <f t="shared" si="118"/>
        <v>9.8136414995037544</v>
      </c>
      <c r="O493" s="16"/>
      <c r="P493" s="18">
        <f t="shared" si="129"/>
        <v>95.504866072058888</v>
      </c>
      <c r="Q493" s="18">
        <f t="shared" si="123"/>
        <v>234.08018654268344</v>
      </c>
      <c r="R493" s="18">
        <f t="shared" si="124"/>
        <v>0</v>
      </c>
      <c r="S493" s="18">
        <f t="shared" si="125"/>
        <v>0</v>
      </c>
      <c r="T493" s="18">
        <v>100</v>
      </c>
      <c r="U493" s="16"/>
      <c r="V493" s="18">
        <f t="shared" si="119"/>
        <v>429.58505261474232</v>
      </c>
      <c r="W493" s="16"/>
      <c r="X493" s="18">
        <f t="shared" si="120"/>
        <v>91454.800402028166</v>
      </c>
      <c r="Y493" s="18">
        <f t="shared" si="121"/>
        <v>302.41494738525768</v>
      </c>
      <c r="Z493" s="18"/>
      <c r="AA493" s="18">
        <f t="shared" si="122"/>
        <v>2.8686026591234065E-4</v>
      </c>
    </row>
    <row r="494" spans="2:27" x14ac:dyDescent="0.35">
      <c r="B494" s="26">
        <v>143.4</v>
      </c>
      <c r="C494" s="26">
        <v>728</v>
      </c>
      <c r="D494" s="18">
        <f t="shared" si="128"/>
        <v>70.439986025029555</v>
      </c>
      <c r="E494" s="18">
        <f t="shared" si="128"/>
        <v>9.305943025967693</v>
      </c>
      <c r="F494" s="18">
        <f t="shared" si="128"/>
        <v>12.137414907005956</v>
      </c>
      <c r="G494" s="18">
        <f t="shared" si="128"/>
        <v>12.137414907005956</v>
      </c>
      <c r="H494" s="18">
        <f t="shared" si="128"/>
        <v>12.137414907005956</v>
      </c>
      <c r="I494" s="16"/>
      <c r="J494" s="18">
        <f t="shared" si="114"/>
        <v>66.246601854244858</v>
      </c>
      <c r="K494" s="18">
        <f t="shared" si="115"/>
        <v>7.3158938102697126</v>
      </c>
      <c r="L494" s="18">
        <f t="shared" si="116"/>
        <v>9.8499486636479325</v>
      </c>
      <c r="M494" s="18">
        <f t="shared" si="117"/>
        <v>9.8499486636479325</v>
      </c>
      <c r="N494" s="18">
        <f t="shared" si="118"/>
        <v>9.8499486636479325</v>
      </c>
      <c r="O494" s="16"/>
      <c r="P494" s="18">
        <f t="shared" si="129"/>
        <v>94.999146728926604</v>
      </c>
      <c r="Q494" s="18">
        <f t="shared" si="123"/>
        <v>233.08909177854497</v>
      </c>
      <c r="R494" s="18">
        <f t="shared" si="124"/>
        <v>0</v>
      </c>
      <c r="S494" s="18">
        <f t="shared" si="125"/>
        <v>0</v>
      </c>
      <c r="T494" s="18">
        <v>100</v>
      </c>
      <c r="U494" s="16"/>
      <c r="V494" s="18">
        <f t="shared" si="119"/>
        <v>428.0882385074716</v>
      </c>
      <c r="W494" s="16"/>
      <c r="X494" s="18">
        <f t="shared" si="120"/>
        <v>89947.064681551245</v>
      </c>
      <c r="Y494" s="18">
        <f t="shared" si="121"/>
        <v>299.9117614925284</v>
      </c>
      <c r="Z494" s="18"/>
      <c r="AA494" s="18">
        <f t="shared" si="122"/>
        <v>2.8448583112654423E-4</v>
      </c>
    </row>
    <row r="495" spans="2:27" x14ac:dyDescent="0.35">
      <c r="B495" s="26">
        <v>143.70000000000002</v>
      </c>
      <c r="C495" s="26">
        <v>674</v>
      </c>
      <c r="D495" s="18">
        <f t="shared" si="128"/>
        <v>70.574699653330597</v>
      </c>
      <c r="E495" s="18">
        <f t="shared" si="128"/>
        <v>9.3200079866325591</v>
      </c>
      <c r="F495" s="18">
        <f t="shared" si="128"/>
        <v>12.167414907005957</v>
      </c>
      <c r="G495" s="18">
        <f t="shared" si="128"/>
        <v>12.167414907005957</v>
      </c>
      <c r="H495" s="18">
        <f t="shared" si="128"/>
        <v>12.167414907005957</v>
      </c>
      <c r="I495" s="16"/>
      <c r="J495" s="18">
        <f t="shared" si="114"/>
        <v>66.379314178836097</v>
      </c>
      <c r="K495" s="18">
        <f t="shared" si="115"/>
        <v>7.328268693274322</v>
      </c>
      <c r="L495" s="18">
        <f t="shared" si="116"/>
        <v>9.8771871383752554</v>
      </c>
      <c r="M495" s="18">
        <f t="shared" si="117"/>
        <v>9.8771871383752554</v>
      </c>
      <c r="N495" s="18">
        <f t="shared" si="118"/>
        <v>9.8771871383752554</v>
      </c>
      <c r="O495" s="16"/>
      <c r="P495" s="18">
        <f t="shared" si="129"/>
        <v>94.622475621370896</v>
      </c>
      <c r="Q495" s="18">
        <f t="shared" si="123"/>
        <v>232.34972615037651</v>
      </c>
      <c r="R495" s="18">
        <f t="shared" si="124"/>
        <v>0</v>
      </c>
      <c r="S495" s="18">
        <f t="shared" si="125"/>
        <v>0</v>
      </c>
      <c r="T495" s="18">
        <v>100</v>
      </c>
      <c r="U495" s="16"/>
      <c r="V495" s="18">
        <f t="shared" si="119"/>
        <v>426.97220177174739</v>
      </c>
      <c r="W495" s="16"/>
      <c r="X495" s="18">
        <f t="shared" si="120"/>
        <v>61022.733097498283</v>
      </c>
      <c r="Y495" s="18">
        <f t="shared" si="121"/>
        <v>247.02779822825261</v>
      </c>
      <c r="Z495" s="18"/>
      <c r="AA495" s="18">
        <f t="shared" si="122"/>
        <v>2.3432194903125024E-4</v>
      </c>
    </row>
    <row r="496" spans="2:27" x14ac:dyDescent="0.35">
      <c r="B496" s="26">
        <v>144</v>
      </c>
      <c r="C496" s="26">
        <v>623</v>
      </c>
      <c r="D496" s="18">
        <f t="shared" si="128"/>
        <v>70.709413281631612</v>
      </c>
      <c r="E496" s="18">
        <f t="shared" si="128"/>
        <v>9.3340729472974218</v>
      </c>
      <c r="F496" s="18">
        <f t="shared" si="128"/>
        <v>12.197414907005955</v>
      </c>
      <c r="G496" s="18">
        <f t="shared" si="128"/>
        <v>12.197414907005955</v>
      </c>
      <c r="H496" s="18">
        <f t="shared" si="128"/>
        <v>12.197414907005955</v>
      </c>
      <c r="I496" s="16"/>
      <c r="J496" s="18">
        <f t="shared" si="114"/>
        <v>66.512030441438043</v>
      </c>
      <c r="K496" s="18">
        <f t="shared" si="115"/>
        <v>7.3406460859374745</v>
      </c>
      <c r="L496" s="18">
        <f t="shared" si="116"/>
        <v>9.9044325207024144</v>
      </c>
      <c r="M496" s="18">
        <f t="shared" si="117"/>
        <v>9.9044325207024144</v>
      </c>
      <c r="N496" s="18">
        <f t="shared" si="118"/>
        <v>9.9044325207024144</v>
      </c>
      <c r="O496" s="16"/>
      <c r="P496" s="18">
        <f t="shared" si="129"/>
        <v>94.24802929265303</v>
      </c>
      <c r="Q496" s="18">
        <f t="shared" si="123"/>
        <v>231.61372876265591</v>
      </c>
      <c r="R496" s="18">
        <f t="shared" si="124"/>
        <v>0</v>
      </c>
      <c r="S496" s="18">
        <f t="shared" si="125"/>
        <v>0</v>
      </c>
      <c r="T496" s="18">
        <v>100</v>
      </c>
      <c r="U496" s="16"/>
      <c r="V496" s="18">
        <f t="shared" si="119"/>
        <v>425.86175805530894</v>
      </c>
      <c r="W496" s="16"/>
      <c r="X496" s="18">
        <f t="shared" si="120"/>
        <v>38863.486437043546</v>
      </c>
      <c r="Y496" s="18">
        <f t="shared" si="121"/>
        <v>197.13824194469106</v>
      </c>
      <c r="Z496" s="18"/>
      <c r="AA496" s="18">
        <f t="shared" si="122"/>
        <v>1.8699845690399301E-4</v>
      </c>
    </row>
    <row r="497" spans="2:27" x14ac:dyDescent="0.35">
      <c r="B497" s="26">
        <v>144.30000000000001</v>
      </c>
      <c r="C497" s="26">
        <v>629</v>
      </c>
      <c r="D497" s="18">
        <f t="shared" si="128"/>
        <v>70.844126909932641</v>
      </c>
      <c r="E497" s="18">
        <f t="shared" si="128"/>
        <v>9.3481379079622879</v>
      </c>
      <c r="F497" s="18">
        <f t="shared" si="128"/>
        <v>12.227414907005956</v>
      </c>
      <c r="G497" s="18">
        <f t="shared" si="128"/>
        <v>12.227414907005956</v>
      </c>
      <c r="H497" s="18">
        <f t="shared" si="128"/>
        <v>12.227414907005956</v>
      </c>
      <c r="I497" s="16"/>
      <c r="J497" s="18">
        <f t="shared" si="114"/>
        <v>66.644750626699263</v>
      </c>
      <c r="K497" s="18">
        <f t="shared" si="115"/>
        <v>7.3530259813228103</v>
      </c>
      <c r="L497" s="18">
        <f t="shared" si="116"/>
        <v>9.9316847778929969</v>
      </c>
      <c r="M497" s="18">
        <f t="shared" si="117"/>
        <v>9.9316847778929969</v>
      </c>
      <c r="N497" s="18">
        <f t="shared" si="118"/>
        <v>9.9316847778929969</v>
      </c>
      <c r="O497" s="16"/>
      <c r="P497" s="18">
        <f t="shared" si="129"/>
        <v>93.87579032145328</v>
      </c>
      <c r="Q497" s="18">
        <f t="shared" si="123"/>
        <v>230.88107984263513</v>
      </c>
      <c r="R497" s="18">
        <f t="shared" si="124"/>
        <v>0</v>
      </c>
      <c r="S497" s="18">
        <f t="shared" si="125"/>
        <v>0</v>
      </c>
      <c r="T497" s="18">
        <v>100</v>
      </c>
      <c r="U497" s="16"/>
      <c r="V497" s="18">
        <f t="shared" si="119"/>
        <v>424.75687016408841</v>
      </c>
      <c r="W497" s="16"/>
      <c r="X497" s="18">
        <f t="shared" si="120"/>
        <v>41715.256085169036</v>
      </c>
      <c r="Y497" s="18">
        <f t="shared" si="121"/>
        <v>204.24312983591159</v>
      </c>
      <c r="Z497" s="18"/>
      <c r="AA497" s="18">
        <f t="shared" si="122"/>
        <v>1.937379056229628E-4</v>
      </c>
    </row>
    <row r="498" spans="2:27" x14ac:dyDescent="0.35">
      <c r="B498" s="26">
        <v>144.6</v>
      </c>
      <c r="C498" s="26">
        <v>667</v>
      </c>
      <c r="D498" s="18">
        <f t="shared" si="128"/>
        <v>70.978840538233669</v>
      </c>
      <c r="E498" s="18">
        <f t="shared" si="128"/>
        <v>9.3622028686271506</v>
      </c>
      <c r="F498" s="18">
        <f t="shared" si="128"/>
        <v>12.257414907005955</v>
      </c>
      <c r="G498" s="18">
        <f t="shared" si="128"/>
        <v>12.257414907005955</v>
      </c>
      <c r="H498" s="18">
        <f t="shared" si="128"/>
        <v>12.257414907005955</v>
      </c>
      <c r="I498" s="16"/>
      <c r="J498" s="18">
        <f t="shared" ref="J498:J520" si="130">lmb_2(D498)</f>
        <v>66.777474719357429</v>
      </c>
      <c r="K498" s="18">
        <f t="shared" ref="K498:K520" si="131">lmb_2(E498)</f>
        <v>7.3654083725211272</v>
      </c>
      <c r="L498" s="18">
        <f t="shared" ref="L498:L520" si="132">lmb_2(F498)</f>
        <v>9.9589438774339225</v>
      </c>
      <c r="M498" s="18">
        <f t="shared" ref="M498:M520" si="133">lmb_2(G498)</f>
        <v>9.9589438774339225</v>
      </c>
      <c r="N498" s="18">
        <f t="shared" ref="N498:N520" si="134">lmb_2(H498)</f>
        <v>9.9589438774339225</v>
      </c>
      <c r="O498" s="16"/>
      <c r="P498" s="18">
        <f t="shared" si="129"/>
        <v>93.505741456135908</v>
      </c>
      <c r="Q498" s="18">
        <f t="shared" si="123"/>
        <v>230.15175975853344</v>
      </c>
      <c r="R498" s="18">
        <f t="shared" si="124"/>
        <v>0</v>
      </c>
      <c r="S498" s="18">
        <f t="shared" si="125"/>
        <v>0</v>
      </c>
      <c r="T498" s="18">
        <v>100</v>
      </c>
      <c r="U498" s="16"/>
      <c r="V498" s="18">
        <f t="shared" ref="V498:V520" si="135">SUM(P498:T498)</f>
        <v>423.65750121466937</v>
      </c>
      <c r="W498" s="16"/>
      <c r="X498" s="18">
        <f t="shared" ref="X498:X520" si="136">(V498-C498)^2</f>
        <v>59215.571715088641</v>
      </c>
      <c r="Y498" s="18">
        <f t="shared" ref="Y498:Y520" si="137">ABS(V498-C498)</f>
        <v>243.34249878533063</v>
      </c>
      <c r="Z498" s="18"/>
      <c r="AA498" s="18">
        <f t="shared" ref="AA498:AA520" si="138">Y498/$Z$39</f>
        <v>2.3082620258318715E-4</v>
      </c>
    </row>
    <row r="499" spans="2:27" x14ac:dyDescent="0.35">
      <c r="B499" s="26">
        <v>144.9</v>
      </c>
      <c r="C499" s="26">
        <v>718</v>
      </c>
      <c r="D499" s="18">
        <f t="shared" si="128"/>
        <v>71.113554166534698</v>
      </c>
      <c r="E499" s="18">
        <f t="shared" si="128"/>
        <v>9.3762678292920167</v>
      </c>
      <c r="F499" s="18">
        <f t="shared" si="128"/>
        <v>12.287414907005957</v>
      </c>
      <c r="G499" s="18">
        <f t="shared" si="128"/>
        <v>12.287414907005957</v>
      </c>
      <c r="H499" s="18">
        <f t="shared" si="128"/>
        <v>12.287414907005957</v>
      </c>
      <c r="I499" s="16"/>
      <c r="J499" s="18">
        <f t="shared" si="130"/>
        <v>66.910202704238671</v>
      </c>
      <c r="K499" s="18">
        <f t="shared" si="131"/>
        <v>7.3777932526502701</v>
      </c>
      <c r="L499" s="18">
        <f t="shared" si="132"/>
        <v>9.9862097870334967</v>
      </c>
      <c r="M499" s="18">
        <f t="shared" si="133"/>
        <v>9.9862097870334967</v>
      </c>
      <c r="N499" s="18">
        <f t="shared" si="134"/>
        <v>9.9862097870334967</v>
      </c>
      <c r="O499" s="16"/>
      <c r="P499" s="18">
        <f t="shared" si="129"/>
        <v>93.137865612774235</v>
      </c>
      <c r="Q499" s="18">
        <f t="shared" si="123"/>
        <v>229.42574901835977</v>
      </c>
      <c r="R499" s="18">
        <f t="shared" si="124"/>
        <v>0</v>
      </c>
      <c r="S499" s="18">
        <f t="shared" si="125"/>
        <v>0</v>
      </c>
      <c r="T499" s="18">
        <v>100</v>
      </c>
      <c r="U499" s="16"/>
      <c r="V499" s="18">
        <f t="shared" si="135"/>
        <v>422.56361463113399</v>
      </c>
      <c r="W499" s="16"/>
      <c r="X499" s="18">
        <f t="shared" si="136"/>
        <v>87282.657799821114</v>
      </c>
      <c r="Y499" s="18">
        <f t="shared" si="137"/>
        <v>295.43638536886601</v>
      </c>
      <c r="Z499" s="18"/>
      <c r="AA499" s="18">
        <f t="shared" si="138"/>
        <v>2.8024064550992179E-4</v>
      </c>
    </row>
    <row r="500" spans="2:27" x14ac:dyDescent="0.35">
      <c r="B500" s="26">
        <v>145.20000000000002</v>
      </c>
      <c r="C500" s="26">
        <v>740</v>
      </c>
      <c r="D500" s="18">
        <f t="shared" si="128"/>
        <v>71.248267794835741</v>
      </c>
      <c r="E500" s="18">
        <f t="shared" si="128"/>
        <v>9.3903327899568829</v>
      </c>
      <c r="F500" s="18">
        <f t="shared" si="128"/>
        <v>12.317414907005958</v>
      </c>
      <c r="G500" s="18">
        <f t="shared" si="128"/>
        <v>12.317414907005958</v>
      </c>
      <c r="H500" s="18">
        <f t="shared" si="128"/>
        <v>12.317414907005958</v>
      </c>
      <c r="I500" s="16"/>
      <c r="J500" s="18">
        <f t="shared" si="130"/>
        <v>67.042934566256918</v>
      </c>
      <c r="K500" s="18">
        <f t="shared" si="131"/>
        <v>7.3901806148549785</v>
      </c>
      <c r="L500" s="18">
        <f t="shared" si="132"/>
        <v>10.013482474619465</v>
      </c>
      <c r="M500" s="18">
        <f t="shared" si="133"/>
        <v>10.013482474619465</v>
      </c>
      <c r="N500" s="18">
        <f t="shared" si="134"/>
        <v>10.013482474619465</v>
      </c>
      <c r="O500" s="16"/>
      <c r="P500" s="18">
        <f t="shared" si="129"/>
        <v>92.772145873202959</v>
      </c>
      <c r="Q500" s="18">
        <f t="shared" si="123"/>
        <v>228.7030282687501</v>
      </c>
      <c r="R500" s="18">
        <f t="shared" si="124"/>
        <v>0</v>
      </c>
      <c r="S500" s="18">
        <f t="shared" si="125"/>
        <v>0</v>
      </c>
      <c r="T500" s="18">
        <v>100</v>
      </c>
      <c r="U500" s="16"/>
      <c r="V500" s="18">
        <f t="shared" si="135"/>
        <v>421.47517414195306</v>
      </c>
      <c r="W500" s="16"/>
      <c r="X500" s="18">
        <f t="shared" si="136"/>
        <v>101458.06468789912</v>
      </c>
      <c r="Y500" s="18">
        <f t="shared" si="137"/>
        <v>318.52482585804694</v>
      </c>
      <c r="Z500" s="18"/>
      <c r="AA500" s="18">
        <f t="shared" si="138"/>
        <v>3.0214153445569933E-4</v>
      </c>
    </row>
    <row r="501" spans="2:27" x14ac:dyDescent="0.35">
      <c r="B501" s="26">
        <v>145.6</v>
      </c>
      <c r="C501" s="26">
        <v>656</v>
      </c>
      <c r="D501" s="18">
        <f t="shared" si="128"/>
        <v>71.427885965903769</v>
      </c>
      <c r="E501" s="18">
        <f t="shared" si="128"/>
        <v>9.409086070843367</v>
      </c>
      <c r="F501" s="18">
        <f t="shared" si="128"/>
        <v>12.357414907005955</v>
      </c>
      <c r="G501" s="18">
        <f t="shared" si="128"/>
        <v>12.357414907005955</v>
      </c>
      <c r="H501" s="18">
        <f t="shared" si="128"/>
        <v>12.357414907005955</v>
      </c>
      <c r="I501" s="16"/>
      <c r="J501" s="18">
        <f t="shared" si="130"/>
        <v>67.219916387471443</v>
      </c>
      <c r="K501" s="18">
        <f t="shared" si="131"/>
        <v>7.4067009470025305</v>
      </c>
      <c r="L501" s="18">
        <f t="shared" si="132"/>
        <v>10.049856546575347</v>
      </c>
      <c r="M501" s="18">
        <f t="shared" si="133"/>
        <v>10.049856546575347</v>
      </c>
      <c r="N501" s="18">
        <f t="shared" si="134"/>
        <v>10.049856546575347</v>
      </c>
      <c r="O501" s="16"/>
      <c r="P501" s="18">
        <f t="shared" si="129"/>
        <v>92.287844558272596</v>
      </c>
      <c r="Q501" s="18">
        <f t="shared" si="123"/>
        <v>227.74448517270997</v>
      </c>
      <c r="R501" s="18">
        <f t="shared" si="124"/>
        <v>0</v>
      </c>
      <c r="S501" s="18">
        <f t="shared" si="125"/>
        <v>0</v>
      </c>
      <c r="T501" s="18">
        <v>100</v>
      </c>
      <c r="U501" s="16"/>
      <c r="V501" s="18">
        <f t="shared" si="135"/>
        <v>420.03232973098255</v>
      </c>
      <c r="W501" s="16"/>
      <c r="X501" s="18">
        <f t="shared" si="136"/>
        <v>55680.741412187737</v>
      </c>
      <c r="Y501" s="18">
        <f t="shared" si="137"/>
        <v>235.96767026901745</v>
      </c>
      <c r="Z501" s="18"/>
      <c r="AA501" s="18">
        <f t="shared" si="138"/>
        <v>2.2383069760719654E-4</v>
      </c>
    </row>
    <row r="502" spans="2:27" x14ac:dyDescent="0.35">
      <c r="B502" s="26">
        <v>145.9</v>
      </c>
      <c r="C502" s="26">
        <v>693</v>
      </c>
      <c r="D502" s="18">
        <f t="shared" si="128"/>
        <v>71.562599594204798</v>
      </c>
      <c r="E502" s="18">
        <f t="shared" si="128"/>
        <v>9.4231510315082314</v>
      </c>
      <c r="F502" s="18">
        <f t="shared" si="128"/>
        <v>12.387414907005956</v>
      </c>
      <c r="G502" s="18">
        <f t="shared" si="128"/>
        <v>12.387414907005956</v>
      </c>
      <c r="H502" s="18">
        <f t="shared" si="128"/>
        <v>12.387414907005956</v>
      </c>
      <c r="I502" s="16"/>
      <c r="J502" s="18">
        <f t="shared" si="130"/>
        <v>67.352657237962461</v>
      </c>
      <c r="K502" s="18">
        <f t="shared" si="131"/>
        <v>7.4190940742076714</v>
      </c>
      <c r="L502" s="18">
        <f t="shared" si="132"/>
        <v>10.077144925955814</v>
      </c>
      <c r="M502" s="18">
        <f t="shared" si="133"/>
        <v>10.077144925955814</v>
      </c>
      <c r="N502" s="18">
        <f t="shared" si="134"/>
        <v>10.077144925955814</v>
      </c>
      <c r="O502" s="16"/>
      <c r="P502" s="18">
        <f t="shared" si="129"/>
        <v>91.92709085147024</v>
      </c>
      <c r="Q502" s="18">
        <f t="shared" si="123"/>
        <v>227.02936657475362</v>
      </c>
      <c r="R502" s="18">
        <f t="shared" si="124"/>
        <v>0</v>
      </c>
      <c r="S502" s="18">
        <f t="shared" si="125"/>
        <v>0</v>
      </c>
      <c r="T502" s="18">
        <v>100</v>
      </c>
      <c r="U502" s="16"/>
      <c r="V502" s="18">
        <f t="shared" si="135"/>
        <v>418.95645742622389</v>
      </c>
      <c r="W502" s="16"/>
      <c r="X502" s="18">
        <f t="shared" si="136"/>
        <v>75099.863226385045</v>
      </c>
      <c r="Y502" s="18">
        <f t="shared" si="137"/>
        <v>274.04354257377611</v>
      </c>
      <c r="Z502" s="18"/>
      <c r="AA502" s="18">
        <f t="shared" si="138"/>
        <v>2.5994814136659136E-4</v>
      </c>
    </row>
    <row r="503" spans="2:27" x14ac:dyDescent="0.35">
      <c r="B503" s="26">
        <v>146.20000000000002</v>
      </c>
      <c r="C503" s="26">
        <v>686</v>
      </c>
      <c r="D503" s="18">
        <f t="shared" si="128"/>
        <v>71.697313222505827</v>
      </c>
      <c r="E503" s="18">
        <f t="shared" si="128"/>
        <v>9.4372159921730976</v>
      </c>
      <c r="F503" s="18">
        <f t="shared" si="128"/>
        <v>12.417414907005957</v>
      </c>
      <c r="G503" s="18">
        <f t="shared" si="128"/>
        <v>12.417414907005957</v>
      </c>
      <c r="H503" s="18">
        <f t="shared" si="128"/>
        <v>12.417414907005957</v>
      </c>
      <c r="I503" s="16"/>
      <c r="J503" s="18">
        <f t="shared" si="130"/>
        <v>67.48540191592879</v>
      </c>
      <c r="K503" s="18">
        <f t="shared" si="131"/>
        <v>7.4314896608301062</v>
      </c>
      <c r="L503" s="18">
        <f t="shared" si="132"/>
        <v>10.104439977975542</v>
      </c>
      <c r="M503" s="18">
        <f t="shared" si="133"/>
        <v>10.104439977975542</v>
      </c>
      <c r="N503" s="18">
        <f t="shared" si="134"/>
        <v>10.104439977975542</v>
      </c>
      <c r="O503" s="16"/>
      <c r="P503" s="18">
        <f t="shared" si="129"/>
        <v>91.56843802726209</v>
      </c>
      <c r="Q503" s="18">
        <f t="shared" ref="Q503:Q531" si="139">(D$21*$A$21*D$23*D$22)/(K503+K503^2)</f>
        <v>226.31747444261072</v>
      </c>
      <c r="R503" s="18">
        <f t="shared" ref="R503:R531" si="140">(E$21*$A$21*E$23*E$22)/(L503+L503^2)</f>
        <v>0</v>
      </c>
      <c r="S503" s="18">
        <f t="shared" ref="S503:S531" si="141">(F$21*$A$21*F$23*F$22)/(M503+M503^2)</f>
        <v>0</v>
      </c>
      <c r="T503" s="18">
        <v>100</v>
      </c>
      <c r="U503" s="16"/>
      <c r="V503" s="18">
        <f t="shared" si="135"/>
        <v>417.88591246987278</v>
      </c>
      <c r="W503" s="16"/>
      <c r="X503" s="18">
        <f t="shared" si="136"/>
        <v>71885.163932112715</v>
      </c>
      <c r="Y503" s="18">
        <f t="shared" si="137"/>
        <v>268.11408753012722</v>
      </c>
      <c r="Z503" s="18"/>
      <c r="AA503" s="18">
        <f t="shared" si="138"/>
        <v>2.5432366722851407E-4</v>
      </c>
    </row>
    <row r="504" spans="2:27" x14ac:dyDescent="0.35">
      <c r="B504" s="26">
        <v>146.5</v>
      </c>
      <c r="C504" s="26">
        <v>667</v>
      </c>
      <c r="D504" s="18">
        <f t="shared" si="128"/>
        <v>71.832026850806855</v>
      </c>
      <c r="E504" s="18">
        <f t="shared" si="128"/>
        <v>9.4512809528379602</v>
      </c>
      <c r="F504" s="18">
        <f t="shared" si="128"/>
        <v>12.447414907005955</v>
      </c>
      <c r="G504" s="18">
        <f t="shared" si="128"/>
        <v>12.447414907005955</v>
      </c>
      <c r="H504" s="18">
        <f t="shared" si="128"/>
        <v>12.447414907005955</v>
      </c>
      <c r="I504" s="16"/>
      <c r="J504" s="18">
        <f t="shared" si="130"/>
        <v>67.618150406656952</v>
      </c>
      <c r="K504" s="18">
        <f t="shared" si="131"/>
        <v>7.4438877001296193</v>
      </c>
      <c r="L504" s="18">
        <f t="shared" si="132"/>
        <v>10.131741671491278</v>
      </c>
      <c r="M504" s="18">
        <f t="shared" si="133"/>
        <v>10.131741671491278</v>
      </c>
      <c r="N504" s="18">
        <f t="shared" si="134"/>
        <v>10.131741671491278</v>
      </c>
      <c r="O504" s="16"/>
      <c r="P504" s="18">
        <f t="shared" si="129"/>
        <v>91.211869863907836</v>
      </c>
      <c r="Q504" s="18">
        <f t="shared" si="139"/>
        <v>225.60879001044373</v>
      </c>
      <c r="R504" s="18">
        <f t="shared" si="140"/>
        <v>0</v>
      </c>
      <c r="S504" s="18">
        <f t="shared" si="141"/>
        <v>0</v>
      </c>
      <c r="T504" s="18">
        <v>100</v>
      </c>
      <c r="U504" s="16"/>
      <c r="V504" s="18">
        <f t="shared" si="135"/>
        <v>416.82065987435158</v>
      </c>
      <c r="W504" s="16"/>
      <c r="X504" s="18">
        <f t="shared" si="136"/>
        <v>62589.702225704881</v>
      </c>
      <c r="Y504" s="18">
        <f t="shared" si="137"/>
        <v>250.17934012564842</v>
      </c>
      <c r="Z504" s="18"/>
      <c r="AA504" s="18">
        <f t="shared" si="138"/>
        <v>2.3731139169781639E-4</v>
      </c>
    </row>
    <row r="505" spans="2:27" x14ac:dyDescent="0.35">
      <c r="B505" s="26">
        <v>146.80000000000001</v>
      </c>
      <c r="C505" s="26">
        <v>652</v>
      </c>
      <c r="D505" s="18">
        <f t="shared" si="128"/>
        <v>71.966740479107884</v>
      </c>
      <c r="E505" s="18">
        <f t="shared" si="128"/>
        <v>9.4653459135028264</v>
      </c>
      <c r="F505" s="18">
        <f t="shared" si="128"/>
        <v>12.477414907005956</v>
      </c>
      <c r="G505" s="18">
        <f t="shared" si="128"/>
        <v>12.477414907005956</v>
      </c>
      <c r="H505" s="18">
        <f t="shared" si="128"/>
        <v>12.477414907005956</v>
      </c>
      <c r="I505" s="16"/>
      <c r="J505" s="18">
        <f t="shared" si="130"/>
        <v>67.750902695517752</v>
      </c>
      <c r="K505" s="18">
        <f t="shared" si="131"/>
        <v>7.4562881853922081</v>
      </c>
      <c r="L505" s="18">
        <f t="shared" si="132"/>
        <v>10.159049975569223</v>
      </c>
      <c r="M505" s="18">
        <f t="shared" si="133"/>
        <v>10.159049975569223</v>
      </c>
      <c r="N505" s="18">
        <f t="shared" si="134"/>
        <v>10.159049975569223</v>
      </c>
      <c r="O505" s="16"/>
      <c r="P505" s="18">
        <f t="shared" si="129"/>
        <v>90.857370295474709</v>
      </c>
      <c r="Q505" s="18">
        <f t="shared" si="139"/>
        <v>224.9032946450146</v>
      </c>
      <c r="R505" s="18">
        <f t="shared" si="140"/>
        <v>0</v>
      </c>
      <c r="S505" s="18">
        <f t="shared" si="141"/>
        <v>0</v>
      </c>
      <c r="T505" s="18">
        <v>100</v>
      </c>
      <c r="U505" s="16"/>
      <c r="V505" s="18">
        <f t="shared" si="135"/>
        <v>415.76066494048928</v>
      </c>
      <c r="W505" s="16"/>
      <c r="X505" s="18">
        <f t="shared" si="136"/>
        <v>55809.023429359775</v>
      </c>
      <c r="Y505" s="18">
        <f t="shared" si="137"/>
        <v>236.23933505951072</v>
      </c>
      <c r="Z505" s="18"/>
      <c r="AA505" s="18">
        <f t="shared" si="138"/>
        <v>2.2408838934734934E-4</v>
      </c>
    </row>
    <row r="506" spans="2:27" x14ac:dyDescent="0.35">
      <c r="B506" s="26">
        <v>147.1</v>
      </c>
      <c r="C506" s="26">
        <v>656</v>
      </c>
      <c r="D506" s="18">
        <f t="shared" si="128"/>
        <v>72.101454107408912</v>
      </c>
      <c r="E506" s="18">
        <f t="shared" si="128"/>
        <v>9.479410874167689</v>
      </c>
      <c r="F506" s="18">
        <f t="shared" si="128"/>
        <v>12.507414907005955</v>
      </c>
      <c r="G506" s="18">
        <f t="shared" si="128"/>
        <v>12.507414907005955</v>
      </c>
      <c r="H506" s="18">
        <f t="shared" si="128"/>
        <v>12.507414907005955</v>
      </c>
      <c r="I506" s="16"/>
      <c r="J506" s="18">
        <f t="shared" si="130"/>
        <v>67.883658767965628</v>
      </c>
      <c r="K506" s="18">
        <f t="shared" si="131"/>
        <v>7.4686911099299289</v>
      </c>
      <c r="L506" s="18">
        <f t="shared" si="132"/>
        <v>10.186364859483188</v>
      </c>
      <c r="M506" s="18">
        <f t="shared" si="133"/>
        <v>10.186364859483188</v>
      </c>
      <c r="N506" s="18">
        <f t="shared" si="134"/>
        <v>10.186364859483188</v>
      </c>
      <c r="O506" s="16"/>
      <c r="P506" s="18">
        <f t="shared" si="129"/>
        <v>90.504923410049287</v>
      </c>
      <c r="Q506" s="18">
        <f t="shared" si="139"/>
        <v>224.20096984458996</v>
      </c>
      <c r="R506" s="18">
        <f t="shared" si="140"/>
        <v>0</v>
      </c>
      <c r="S506" s="18">
        <f t="shared" si="141"/>
        <v>0</v>
      </c>
      <c r="T506" s="18">
        <v>100</v>
      </c>
      <c r="U506" s="16"/>
      <c r="V506" s="18">
        <f t="shared" si="135"/>
        <v>414.70589325463925</v>
      </c>
      <c r="W506" s="16"/>
      <c r="X506" s="18">
        <f t="shared" si="136"/>
        <v>58222.845950041548</v>
      </c>
      <c r="Y506" s="18">
        <f t="shared" si="137"/>
        <v>241.29410674536075</v>
      </c>
      <c r="Z506" s="18"/>
      <c r="AA506" s="18">
        <f t="shared" si="138"/>
        <v>2.2888316937547367E-4</v>
      </c>
    </row>
    <row r="507" spans="2:27" x14ac:dyDescent="0.35">
      <c r="B507" s="26">
        <v>147.4</v>
      </c>
      <c r="C507" s="26">
        <v>669</v>
      </c>
      <c r="D507" s="18">
        <f t="shared" si="128"/>
        <v>72.236167735709941</v>
      </c>
      <c r="E507" s="18">
        <f t="shared" si="128"/>
        <v>9.4934758348325552</v>
      </c>
      <c r="F507" s="18">
        <f t="shared" si="128"/>
        <v>12.537414907005957</v>
      </c>
      <c r="G507" s="18">
        <f t="shared" si="128"/>
        <v>12.537414907005957</v>
      </c>
      <c r="H507" s="18">
        <f t="shared" si="128"/>
        <v>12.537414907005957</v>
      </c>
      <c r="I507" s="16"/>
      <c r="J507" s="18">
        <f t="shared" si="130"/>
        <v>68.016418609537965</v>
      </c>
      <c r="K507" s="18">
        <f t="shared" si="131"/>
        <v>7.4810964670807945</v>
      </c>
      <c r="L507" s="18">
        <f t="shared" si="132"/>
        <v>10.213686292712831</v>
      </c>
      <c r="M507" s="18">
        <f t="shared" si="133"/>
        <v>10.213686292712831</v>
      </c>
      <c r="N507" s="18">
        <f t="shared" si="134"/>
        <v>10.213686292712831</v>
      </c>
      <c r="O507" s="16"/>
      <c r="P507" s="18">
        <f t="shared" si="129"/>
        <v>90.15451344797367</v>
      </c>
      <c r="Q507" s="18">
        <f t="shared" si="139"/>
        <v>223.50179723785371</v>
      </c>
      <c r="R507" s="18">
        <f t="shared" si="140"/>
        <v>0</v>
      </c>
      <c r="S507" s="18">
        <f t="shared" si="141"/>
        <v>0</v>
      </c>
      <c r="T507" s="18">
        <v>100</v>
      </c>
      <c r="U507" s="16"/>
      <c r="V507" s="18">
        <f t="shared" si="135"/>
        <v>413.65631068582741</v>
      </c>
      <c r="W507" s="16"/>
      <c r="X507" s="18">
        <f t="shared" si="136"/>
        <v>65200.399672572697</v>
      </c>
      <c r="Y507" s="18">
        <f t="shared" si="137"/>
        <v>255.34368931417259</v>
      </c>
      <c r="Z507" s="18"/>
      <c r="AA507" s="18">
        <f t="shared" si="138"/>
        <v>2.4221011312112274E-4</v>
      </c>
    </row>
    <row r="508" spans="2:27" x14ac:dyDescent="0.35">
      <c r="B508" s="26">
        <v>147.80000000000001</v>
      </c>
      <c r="C508" s="26">
        <v>624</v>
      </c>
      <c r="D508" s="18">
        <f t="shared" si="128"/>
        <v>72.415785906777984</v>
      </c>
      <c r="E508" s="18">
        <f t="shared" si="128"/>
        <v>9.5122291157190411</v>
      </c>
      <c r="F508" s="18">
        <f t="shared" si="128"/>
        <v>12.577414907005956</v>
      </c>
      <c r="G508" s="18">
        <f t="shared" si="128"/>
        <v>12.577414907005956</v>
      </c>
      <c r="H508" s="18">
        <f t="shared" si="128"/>
        <v>12.577414907005956</v>
      </c>
      <c r="I508" s="16"/>
      <c r="J508" s="18">
        <f t="shared" si="130"/>
        <v>68.193437569873964</v>
      </c>
      <c r="K508" s="18">
        <f t="shared" si="131"/>
        <v>7.4976407158805998</v>
      </c>
      <c r="L508" s="18">
        <f t="shared" si="132"/>
        <v>10.25012500580738</v>
      </c>
      <c r="M508" s="18">
        <f t="shared" si="133"/>
        <v>10.25012500580738</v>
      </c>
      <c r="N508" s="18">
        <f t="shared" si="134"/>
        <v>10.25012500580738</v>
      </c>
      <c r="O508" s="16"/>
      <c r="P508" s="18">
        <f t="shared" si="129"/>
        <v>89.690441755337588</v>
      </c>
      <c r="Q508" s="18">
        <f t="shared" si="139"/>
        <v>222.57443899710248</v>
      </c>
      <c r="R508" s="18">
        <f t="shared" si="140"/>
        <v>0</v>
      </c>
      <c r="S508" s="18">
        <f t="shared" si="141"/>
        <v>0</v>
      </c>
      <c r="T508" s="18">
        <v>100</v>
      </c>
      <c r="U508" s="16"/>
      <c r="V508" s="18">
        <f t="shared" si="135"/>
        <v>412.26488075244004</v>
      </c>
      <c r="W508" s="16"/>
      <c r="X508" s="18">
        <f t="shared" si="136"/>
        <v>44831.760722778439</v>
      </c>
      <c r="Y508" s="18">
        <f t="shared" si="137"/>
        <v>211.73511924755996</v>
      </c>
      <c r="Z508" s="18"/>
      <c r="AA508" s="18">
        <f t="shared" si="138"/>
        <v>2.0084454533578097E-4</v>
      </c>
    </row>
    <row r="509" spans="2:27" x14ac:dyDescent="0.35">
      <c r="B509" s="26">
        <v>148.1</v>
      </c>
      <c r="C509" s="26">
        <v>702</v>
      </c>
      <c r="D509" s="18">
        <f t="shared" si="128"/>
        <v>72.550499535078998</v>
      </c>
      <c r="E509" s="18">
        <f t="shared" si="128"/>
        <v>9.5262940763839055</v>
      </c>
      <c r="F509" s="18">
        <f t="shared" si="128"/>
        <v>12.607414907005955</v>
      </c>
      <c r="G509" s="18">
        <f t="shared" si="128"/>
        <v>12.607414907005955</v>
      </c>
      <c r="H509" s="18">
        <f t="shared" si="128"/>
        <v>12.607414907005955</v>
      </c>
      <c r="I509" s="16"/>
      <c r="J509" s="18">
        <f t="shared" si="130"/>
        <v>68.32620615028803</v>
      </c>
      <c r="K509" s="18">
        <f t="shared" si="131"/>
        <v>7.5100517233658239</v>
      </c>
      <c r="L509" s="18">
        <f t="shared" si="132"/>
        <v>10.277461603226316</v>
      </c>
      <c r="M509" s="18">
        <f t="shared" si="133"/>
        <v>10.277461603226316</v>
      </c>
      <c r="N509" s="18">
        <f t="shared" si="134"/>
        <v>10.277461603226316</v>
      </c>
      <c r="O509" s="16"/>
      <c r="P509" s="18">
        <f t="shared" si="129"/>
        <v>89.344724169123978</v>
      </c>
      <c r="Q509" s="18">
        <f t="shared" si="139"/>
        <v>221.88255078952457</v>
      </c>
      <c r="R509" s="18">
        <f t="shared" si="140"/>
        <v>0</v>
      </c>
      <c r="S509" s="18">
        <f t="shared" si="141"/>
        <v>0</v>
      </c>
      <c r="T509" s="18">
        <v>100</v>
      </c>
      <c r="U509" s="16"/>
      <c r="V509" s="18">
        <f t="shared" si="135"/>
        <v>411.22727495864854</v>
      </c>
      <c r="W509" s="16"/>
      <c r="X509" s="18">
        <f t="shared" si="136"/>
        <v>84548.777627973381</v>
      </c>
      <c r="Y509" s="18">
        <f t="shared" si="137"/>
        <v>290.77272504135146</v>
      </c>
      <c r="Z509" s="18"/>
      <c r="AA509" s="18">
        <f t="shared" si="138"/>
        <v>2.7581686006795632E-4</v>
      </c>
    </row>
    <row r="510" spans="2:27" x14ac:dyDescent="0.35">
      <c r="B510" s="26">
        <v>148.4</v>
      </c>
      <c r="C510" s="26">
        <v>713</v>
      </c>
      <c r="D510" s="18">
        <f t="shared" si="128"/>
        <v>72.685213163380027</v>
      </c>
      <c r="E510" s="18">
        <f t="shared" si="128"/>
        <v>9.5403590370487699</v>
      </c>
      <c r="F510" s="18">
        <f t="shared" si="128"/>
        <v>12.637414907005956</v>
      </c>
      <c r="G510" s="18">
        <f t="shared" si="128"/>
        <v>12.637414907005956</v>
      </c>
      <c r="H510" s="18">
        <f t="shared" si="128"/>
        <v>12.637414907005956</v>
      </c>
      <c r="I510" s="16"/>
      <c r="J510" s="18">
        <f t="shared" si="130"/>
        <v>68.458978452209223</v>
      </c>
      <c r="K510" s="18">
        <f t="shared" si="131"/>
        <v>7.5224651414432868</v>
      </c>
      <c r="L510" s="18">
        <f t="shared" si="132"/>
        <v>10.304804649690345</v>
      </c>
      <c r="M510" s="18">
        <f t="shared" si="133"/>
        <v>10.304804649690345</v>
      </c>
      <c r="N510" s="18">
        <f t="shared" si="134"/>
        <v>10.304804649690345</v>
      </c>
      <c r="O510" s="16"/>
      <c r="P510" s="18">
        <f t="shared" si="129"/>
        <v>89.000992051512796</v>
      </c>
      <c r="Q510" s="18">
        <f t="shared" si="139"/>
        <v>221.1937544660866</v>
      </c>
      <c r="R510" s="18">
        <f t="shared" si="140"/>
        <v>0</v>
      </c>
      <c r="S510" s="18">
        <f t="shared" si="141"/>
        <v>0</v>
      </c>
      <c r="T510" s="18">
        <v>100</v>
      </c>
      <c r="U510" s="16"/>
      <c r="V510" s="18">
        <f t="shared" si="135"/>
        <v>410.19474651759941</v>
      </c>
      <c r="W510" s="16"/>
      <c r="X510" s="18">
        <f t="shared" si="136"/>
        <v>91691.02153654088</v>
      </c>
      <c r="Y510" s="18">
        <f t="shared" si="137"/>
        <v>302.80525348240059</v>
      </c>
      <c r="Z510" s="18"/>
      <c r="AA510" s="18">
        <f t="shared" si="138"/>
        <v>2.8723049665583291E-4</v>
      </c>
    </row>
    <row r="511" spans="2:27" x14ac:dyDescent="0.35">
      <c r="B511" s="26">
        <v>148.70000000000002</v>
      </c>
      <c r="C511" s="26">
        <v>676</v>
      </c>
      <c r="D511" s="18">
        <f t="shared" si="128"/>
        <v>72.81992679168107</v>
      </c>
      <c r="E511" s="18">
        <f t="shared" si="128"/>
        <v>9.5544239977136343</v>
      </c>
      <c r="F511" s="18">
        <f t="shared" si="128"/>
        <v>12.667414907005957</v>
      </c>
      <c r="G511" s="18">
        <f t="shared" si="128"/>
        <v>12.667414907005957</v>
      </c>
      <c r="H511" s="18">
        <f t="shared" si="128"/>
        <v>12.667414907005957</v>
      </c>
      <c r="I511" s="16"/>
      <c r="J511" s="18">
        <f t="shared" si="130"/>
        <v>68.591754461527344</v>
      </c>
      <c r="K511" s="18">
        <f t="shared" si="131"/>
        <v>7.5348809635619585</v>
      </c>
      <c r="L511" s="18">
        <f t="shared" si="132"/>
        <v>10.332154115550782</v>
      </c>
      <c r="M511" s="18">
        <f t="shared" si="133"/>
        <v>10.332154115550782</v>
      </c>
      <c r="N511" s="18">
        <f t="shared" si="134"/>
        <v>10.332154115550782</v>
      </c>
      <c r="O511" s="16"/>
      <c r="P511" s="18">
        <f t="shared" si="129"/>
        <v>88.659230282799697</v>
      </c>
      <c r="Q511" s="18">
        <f t="shared" si="139"/>
        <v>220.50803220831509</v>
      </c>
      <c r="R511" s="18">
        <f t="shared" si="140"/>
        <v>0</v>
      </c>
      <c r="S511" s="18">
        <f t="shared" si="141"/>
        <v>0</v>
      </c>
      <c r="T511" s="18">
        <v>100</v>
      </c>
      <c r="U511" s="16"/>
      <c r="V511" s="18">
        <f t="shared" si="135"/>
        <v>409.1672624911148</v>
      </c>
      <c r="W511" s="16"/>
      <c r="X511" s="18">
        <f t="shared" si="136"/>
        <v>71199.709806485625</v>
      </c>
      <c r="Y511" s="18">
        <f t="shared" si="137"/>
        <v>266.8327375088852</v>
      </c>
      <c r="Z511" s="18"/>
      <c r="AA511" s="18">
        <f t="shared" si="138"/>
        <v>2.5310822331280048E-4</v>
      </c>
    </row>
    <row r="512" spans="2:27" x14ac:dyDescent="0.35">
      <c r="B512" s="26">
        <v>149</v>
      </c>
      <c r="C512" s="26">
        <v>661</v>
      </c>
      <c r="D512" s="18">
        <f t="shared" si="128"/>
        <v>72.954640419982084</v>
      </c>
      <c r="E512" s="18">
        <f t="shared" si="128"/>
        <v>9.5684889583784987</v>
      </c>
      <c r="F512" s="18">
        <f t="shared" si="128"/>
        <v>12.697414907005955</v>
      </c>
      <c r="G512" s="18">
        <f t="shared" si="128"/>
        <v>12.697414907005955</v>
      </c>
      <c r="H512" s="18">
        <f t="shared" si="128"/>
        <v>12.697414907005955</v>
      </c>
      <c r="I512" s="16"/>
      <c r="J512" s="18">
        <f t="shared" si="130"/>
        <v>68.724534164211846</v>
      </c>
      <c r="K512" s="18">
        <f t="shared" si="131"/>
        <v>7.5472991831960767</v>
      </c>
      <c r="L512" s="18">
        <f t="shared" si="132"/>
        <v>10.359509971355511</v>
      </c>
      <c r="M512" s="18">
        <f t="shared" si="133"/>
        <v>10.359509971355511</v>
      </c>
      <c r="N512" s="18">
        <f t="shared" si="134"/>
        <v>10.359509971355511</v>
      </c>
      <c r="O512" s="16"/>
      <c r="P512" s="18">
        <f t="shared" si="129"/>
        <v>88.319423886515168</v>
      </c>
      <c r="Q512" s="18">
        <f t="shared" si="139"/>
        <v>219.82536632253291</v>
      </c>
      <c r="R512" s="18">
        <f t="shared" si="140"/>
        <v>0</v>
      </c>
      <c r="S512" s="18">
        <f t="shared" si="141"/>
        <v>0</v>
      </c>
      <c r="T512" s="18">
        <v>100</v>
      </c>
      <c r="U512" s="16"/>
      <c r="V512" s="18">
        <f t="shared" si="135"/>
        <v>408.1447902090481</v>
      </c>
      <c r="W512" s="16"/>
      <c r="X512" s="18">
        <f t="shared" si="136"/>
        <v>63935.7571184263</v>
      </c>
      <c r="Y512" s="18">
        <f t="shared" si="137"/>
        <v>252.8552097909519</v>
      </c>
      <c r="Z512" s="18"/>
      <c r="AA512" s="18">
        <f t="shared" si="138"/>
        <v>2.398496282842436E-4</v>
      </c>
    </row>
    <row r="513" spans="2:27" x14ac:dyDescent="0.35">
      <c r="B513" s="26">
        <v>149.30000000000001</v>
      </c>
      <c r="C513" s="26">
        <v>643</v>
      </c>
      <c r="D513" s="18">
        <f t="shared" si="128"/>
        <v>73.089354048283127</v>
      </c>
      <c r="E513" s="18">
        <f t="shared" si="128"/>
        <v>9.5825539190433631</v>
      </c>
      <c r="F513" s="18">
        <f t="shared" si="128"/>
        <v>12.727414907005956</v>
      </c>
      <c r="G513" s="18">
        <f t="shared" si="128"/>
        <v>12.727414907005956</v>
      </c>
      <c r="H513" s="18">
        <f t="shared" si="128"/>
        <v>12.727414907005956</v>
      </c>
      <c r="I513" s="16"/>
      <c r="J513" s="18">
        <f t="shared" si="130"/>
        <v>68.857317546311435</v>
      </c>
      <c r="K513" s="18">
        <f t="shared" si="131"/>
        <v>7.5597197938450327</v>
      </c>
      <c r="L513" s="18">
        <f t="shared" si="132"/>
        <v>10.386872187847318</v>
      </c>
      <c r="M513" s="18">
        <f t="shared" si="133"/>
        <v>10.386872187847318</v>
      </c>
      <c r="N513" s="18">
        <f t="shared" si="134"/>
        <v>10.386872187847318</v>
      </c>
      <c r="O513" s="16"/>
      <c r="P513" s="18">
        <f t="shared" si="129"/>
        <v>87.981558027802791</v>
      </c>
      <c r="Q513" s="18">
        <f t="shared" si="139"/>
        <v>219.14573923883594</v>
      </c>
      <c r="R513" s="18">
        <f t="shared" si="140"/>
        <v>0</v>
      </c>
      <c r="S513" s="18">
        <f t="shared" si="141"/>
        <v>0</v>
      </c>
      <c r="T513" s="18">
        <v>100</v>
      </c>
      <c r="U513" s="16"/>
      <c r="V513" s="18">
        <f t="shared" si="135"/>
        <v>407.12729726663872</v>
      </c>
      <c r="W513" s="16"/>
      <c r="X513" s="18">
        <f t="shared" si="136"/>
        <v>55635.931894740621</v>
      </c>
      <c r="Y513" s="18">
        <f t="shared" si="137"/>
        <v>235.87270273336128</v>
      </c>
      <c r="Z513" s="18"/>
      <c r="AA513" s="18">
        <f t="shared" si="138"/>
        <v>2.237406147168933E-4</v>
      </c>
    </row>
    <row r="514" spans="2:27" x14ac:dyDescent="0.35">
      <c r="B514" s="26">
        <v>149.70000000000002</v>
      </c>
      <c r="C514" s="26">
        <v>692</v>
      </c>
      <c r="D514" s="18">
        <f t="shared" si="128"/>
        <v>73.268972219351156</v>
      </c>
      <c r="E514" s="18">
        <f t="shared" si="128"/>
        <v>9.6013071999298489</v>
      </c>
      <c r="F514" s="18">
        <f t="shared" si="128"/>
        <v>12.767414907005957</v>
      </c>
      <c r="G514" s="18">
        <f t="shared" si="128"/>
        <v>12.767414907005957</v>
      </c>
      <c r="H514" s="18">
        <f t="shared" si="128"/>
        <v>12.767414907005957</v>
      </c>
      <c r="I514" s="16"/>
      <c r="J514" s="18">
        <f t="shared" si="130"/>
        <v>69.034367755345457</v>
      </c>
      <c r="K514" s="18">
        <f t="shared" si="131"/>
        <v>7.5762843162112752</v>
      </c>
      <c r="L514" s="18">
        <f t="shared" si="132"/>
        <v>10.423364987365426</v>
      </c>
      <c r="M514" s="18">
        <f t="shared" si="133"/>
        <v>10.423364987365426</v>
      </c>
      <c r="N514" s="18">
        <f t="shared" si="134"/>
        <v>10.423364987365426</v>
      </c>
      <c r="O514" s="16"/>
      <c r="P514" s="18">
        <f t="shared" si="129"/>
        <v>87.534063451663243</v>
      </c>
      <c r="Q514" s="18">
        <f t="shared" si="139"/>
        <v>218.24426668137011</v>
      </c>
      <c r="R514" s="18">
        <f t="shared" si="140"/>
        <v>0</v>
      </c>
      <c r="S514" s="18">
        <f t="shared" si="141"/>
        <v>0</v>
      </c>
      <c r="T514" s="18">
        <v>100</v>
      </c>
      <c r="U514" s="16"/>
      <c r="V514" s="18">
        <f t="shared" si="135"/>
        <v>405.77833013303336</v>
      </c>
      <c r="W514" s="16"/>
      <c r="X514" s="18">
        <f t="shared" si="136"/>
        <v>81922.84430143483</v>
      </c>
      <c r="Y514" s="18">
        <f t="shared" si="137"/>
        <v>286.22166986696664</v>
      </c>
      <c r="Z514" s="18"/>
      <c r="AA514" s="18">
        <f t="shared" si="138"/>
        <v>2.7149988794474109E-4</v>
      </c>
    </row>
    <row r="515" spans="2:27" x14ac:dyDescent="0.35">
      <c r="B515" s="26">
        <v>150</v>
      </c>
      <c r="C515" s="26">
        <v>672</v>
      </c>
      <c r="D515" s="18">
        <f t="shared" si="128"/>
        <v>73.403685847652184</v>
      </c>
      <c r="E515" s="18">
        <f t="shared" si="128"/>
        <v>9.6153721605947133</v>
      </c>
      <c r="F515" s="18">
        <f t="shared" si="128"/>
        <v>12.797414907005955</v>
      </c>
      <c r="G515" s="18">
        <f t="shared" si="128"/>
        <v>12.797414907005955</v>
      </c>
      <c r="H515" s="18">
        <f t="shared" si="128"/>
        <v>12.797414907005955</v>
      </c>
      <c r="I515" s="16"/>
      <c r="J515" s="18">
        <f t="shared" si="130"/>
        <v>69.167159668931362</v>
      </c>
      <c r="K515" s="18">
        <f t="shared" si="131"/>
        <v>7.5887104807550498</v>
      </c>
      <c r="L515" s="18">
        <f t="shared" si="132"/>
        <v>10.450741932764709</v>
      </c>
      <c r="M515" s="18">
        <f t="shared" si="133"/>
        <v>10.450741932764709</v>
      </c>
      <c r="N515" s="18">
        <f t="shared" si="134"/>
        <v>10.450741932764709</v>
      </c>
      <c r="O515" s="16"/>
      <c r="P515" s="18">
        <f t="shared" si="129"/>
        <v>87.200668606386927</v>
      </c>
      <c r="Q515" s="18">
        <f t="shared" si="139"/>
        <v>217.57166249616404</v>
      </c>
      <c r="R515" s="18">
        <f t="shared" si="140"/>
        <v>0</v>
      </c>
      <c r="S515" s="18">
        <f t="shared" si="141"/>
        <v>0</v>
      </c>
      <c r="T515" s="18">
        <v>100</v>
      </c>
      <c r="U515" s="16"/>
      <c r="V515" s="18">
        <f t="shared" si="135"/>
        <v>404.77233110255099</v>
      </c>
      <c r="W515" s="16"/>
      <c r="X515" s="18">
        <f t="shared" si="136"/>
        <v>71410.627024364629</v>
      </c>
      <c r="Y515" s="18">
        <f t="shared" si="137"/>
        <v>267.22766889744901</v>
      </c>
      <c r="Z515" s="18"/>
      <c r="AA515" s="18">
        <f t="shared" si="138"/>
        <v>2.5348284144632882E-4</v>
      </c>
    </row>
    <row r="516" spans="2:27" x14ac:dyDescent="0.35">
      <c r="B516" s="26">
        <v>150.30000000000001</v>
      </c>
      <c r="C516" s="26">
        <v>632</v>
      </c>
      <c r="D516" s="18">
        <f t="shared" si="128"/>
        <v>73.538399475953213</v>
      </c>
      <c r="E516" s="18">
        <f t="shared" si="128"/>
        <v>9.6294371212595777</v>
      </c>
      <c r="F516" s="18">
        <f t="shared" si="128"/>
        <v>12.827414907005956</v>
      </c>
      <c r="G516" s="18">
        <f t="shared" si="128"/>
        <v>12.827414907005956</v>
      </c>
      <c r="H516" s="18">
        <f t="shared" si="128"/>
        <v>12.827414907005956</v>
      </c>
      <c r="I516" s="16"/>
      <c r="J516" s="18">
        <f t="shared" si="130"/>
        <v>69.29995521599146</v>
      </c>
      <c r="K516" s="18">
        <f t="shared" si="131"/>
        <v>7.6011390148250211</v>
      </c>
      <c r="L516" s="18">
        <f t="shared" si="132"/>
        <v>10.478125142713374</v>
      </c>
      <c r="M516" s="18">
        <f t="shared" si="133"/>
        <v>10.478125142713374</v>
      </c>
      <c r="N516" s="18">
        <f t="shared" si="134"/>
        <v>10.478125142713374</v>
      </c>
      <c r="O516" s="16"/>
      <c r="P516" s="18">
        <f t="shared" si="129"/>
        <v>86.869165851539876</v>
      </c>
      <c r="Q516" s="18">
        <f t="shared" si="139"/>
        <v>216.90203942767133</v>
      </c>
      <c r="R516" s="18">
        <f t="shared" si="140"/>
        <v>0</v>
      </c>
      <c r="S516" s="18">
        <f t="shared" si="141"/>
        <v>0</v>
      </c>
      <c r="T516" s="18">
        <v>100</v>
      </c>
      <c r="U516" s="16"/>
      <c r="V516" s="18">
        <f t="shared" si="135"/>
        <v>403.77120527921119</v>
      </c>
      <c r="W516" s="16"/>
      <c r="X516" s="18">
        <f t="shared" si="136"/>
        <v>52088.382739703957</v>
      </c>
      <c r="Y516" s="18">
        <f t="shared" si="137"/>
        <v>228.22879472078881</v>
      </c>
      <c r="Z516" s="18"/>
      <c r="AA516" s="18">
        <f t="shared" si="138"/>
        <v>2.1648987032064291E-4</v>
      </c>
    </row>
    <row r="517" spans="2:27" x14ac:dyDescent="0.35">
      <c r="B517" s="26">
        <v>150.6</v>
      </c>
      <c r="C517" s="26">
        <v>666</v>
      </c>
      <c r="D517" s="18">
        <f t="shared" si="128"/>
        <v>73.673113104254242</v>
      </c>
      <c r="E517" s="18">
        <f t="shared" si="128"/>
        <v>9.6435020819244421</v>
      </c>
      <c r="F517" s="18">
        <f t="shared" si="128"/>
        <v>12.857414907005955</v>
      </c>
      <c r="G517" s="18">
        <f t="shared" si="128"/>
        <v>12.857414907005955</v>
      </c>
      <c r="H517" s="18">
        <f t="shared" si="128"/>
        <v>12.857414907005955</v>
      </c>
      <c r="I517" s="16"/>
      <c r="J517" s="18">
        <f t="shared" si="130"/>
        <v>69.432754382910389</v>
      </c>
      <c r="K517" s="18">
        <f t="shared" si="131"/>
        <v>7.6135699120281481</v>
      </c>
      <c r="L517" s="18">
        <f t="shared" si="132"/>
        <v>10.505514588779761</v>
      </c>
      <c r="M517" s="18">
        <f t="shared" si="133"/>
        <v>10.505514588779761</v>
      </c>
      <c r="N517" s="18">
        <f t="shared" si="134"/>
        <v>10.505514588779761</v>
      </c>
      <c r="O517" s="16"/>
      <c r="P517" s="18">
        <f t="shared" si="129"/>
        <v>86.539540947703131</v>
      </c>
      <c r="Q517" s="18">
        <f t="shared" si="139"/>
        <v>216.23538043074765</v>
      </c>
      <c r="R517" s="18">
        <f t="shared" si="140"/>
        <v>0</v>
      </c>
      <c r="S517" s="18">
        <f t="shared" si="141"/>
        <v>0</v>
      </c>
      <c r="T517" s="18">
        <v>100</v>
      </c>
      <c r="U517" s="16"/>
      <c r="V517" s="18">
        <f t="shared" si="135"/>
        <v>402.77492137845081</v>
      </c>
      <c r="W517" s="16"/>
      <c r="X517" s="18">
        <f t="shared" si="136"/>
        <v>69287.442015320747</v>
      </c>
      <c r="Y517" s="18">
        <f t="shared" si="137"/>
        <v>263.22507862154919</v>
      </c>
      <c r="Z517" s="18"/>
      <c r="AA517" s="18">
        <f t="shared" si="138"/>
        <v>2.4968612398639433E-4</v>
      </c>
    </row>
    <row r="518" spans="2:27" x14ac:dyDescent="0.35">
      <c r="B518" s="26">
        <v>150.9</v>
      </c>
      <c r="C518" s="26">
        <v>715</v>
      </c>
      <c r="D518" s="18">
        <f t="shared" si="128"/>
        <v>73.80782673255527</v>
      </c>
      <c r="E518" s="18">
        <f t="shared" si="128"/>
        <v>9.6575670425893065</v>
      </c>
      <c r="F518" s="18">
        <f t="shared" si="128"/>
        <v>12.887414907005956</v>
      </c>
      <c r="G518" s="18">
        <f t="shared" si="128"/>
        <v>12.887414907005956</v>
      </c>
      <c r="H518" s="18">
        <f t="shared" si="128"/>
        <v>12.887414907005956</v>
      </c>
      <c r="I518" s="16"/>
      <c r="J518" s="18">
        <f t="shared" si="130"/>
        <v>69.565557156148841</v>
      </c>
      <c r="K518" s="18">
        <f t="shared" si="131"/>
        <v>7.6260031659958916</v>
      </c>
      <c r="L518" s="18">
        <f t="shared" si="132"/>
        <v>10.532910242718437</v>
      </c>
      <c r="M518" s="18">
        <f t="shared" si="133"/>
        <v>10.532910242718437</v>
      </c>
      <c r="N518" s="18">
        <f t="shared" si="134"/>
        <v>10.532910242718437</v>
      </c>
      <c r="O518" s="16"/>
      <c r="P518" s="18">
        <f t="shared" si="129"/>
        <v>86.211779788776582</v>
      </c>
      <c r="Q518" s="18">
        <f t="shared" si="139"/>
        <v>215.5716685787248</v>
      </c>
      <c r="R518" s="18">
        <f t="shared" si="140"/>
        <v>0</v>
      </c>
      <c r="S518" s="18">
        <f t="shared" si="141"/>
        <v>0</v>
      </c>
      <c r="T518" s="18">
        <v>100</v>
      </c>
      <c r="U518" s="16"/>
      <c r="V518" s="18">
        <f t="shared" si="135"/>
        <v>401.78344836750136</v>
      </c>
      <c r="W518" s="16"/>
      <c r="X518" s="18">
        <f t="shared" si="136"/>
        <v>98104.608216553679</v>
      </c>
      <c r="Y518" s="18">
        <f t="shared" si="137"/>
        <v>313.21655163249864</v>
      </c>
      <c r="Z518" s="18"/>
      <c r="AA518" s="18">
        <f t="shared" si="138"/>
        <v>2.9710629076473011E-4</v>
      </c>
    </row>
    <row r="519" spans="2:27" x14ac:dyDescent="0.35">
      <c r="B519" s="26">
        <v>151.20000000000002</v>
      </c>
      <c r="C519" s="26">
        <v>629</v>
      </c>
      <c r="D519" s="18">
        <f t="shared" si="128"/>
        <v>73.942540360856299</v>
      </c>
      <c r="E519" s="18">
        <f t="shared" si="128"/>
        <v>9.6716320032541709</v>
      </c>
      <c r="F519" s="18">
        <f t="shared" si="128"/>
        <v>12.917414907005957</v>
      </c>
      <c r="G519" s="18">
        <f t="shared" si="128"/>
        <v>12.917414907005957</v>
      </c>
      <c r="H519" s="18">
        <f t="shared" si="128"/>
        <v>12.917414907005957</v>
      </c>
      <c r="I519" s="16"/>
      <c r="J519" s="18">
        <f t="shared" si="130"/>
        <v>69.698363522242886</v>
      </c>
      <c r="K519" s="18">
        <f t="shared" si="131"/>
        <v>7.6384387703840959</v>
      </c>
      <c r="L519" s="18">
        <f t="shared" si="132"/>
        <v>10.560312076468621</v>
      </c>
      <c r="M519" s="18">
        <f t="shared" si="133"/>
        <v>10.560312076468621</v>
      </c>
      <c r="N519" s="18">
        <f t="shared" si="134"/>
        <v>10.560312076468621</v>
      </c>
      <c r="O519" s="16"/>
      <c r="P519" s="18">
        <f t="shared" si="129"/>
        <v>85.885868400487936</v>
      </c>
      <c r="Q519" s="18">
        <f t="shared" si="139"/>
        <v>214.91088706244656</v>
      </c>
      <c r="R519" s="18">
        <f t="shared" si="140"/>
        <v>0</v>
      </c>
      <c r="S519" s="18">
        <f t="shared" si="141"/>
        <v>0</v>
      </c>
      <c r="T519" s="18">
        <v>100</v>
      </c>
      <c r="U519" s="16"/>
      <c r="V519" s="18">
        <f t="shared" si="135"/>
        <v>400.79675546293447</v>
      </c>
      <c r="W519" s="16"/>
      <c r="X519" s="18">
        <f t="shared" si="136"/>
        <v>52076.720817243731</v>
      </c>
      <c r="Y519" s="18">
        <f t="shared" si="137"/>
        <v>228.20324453706553</v>
      </c>
      <c r="Z519" s="18"/>
      <c r="AA519" s="18">
        <f t="shared" si="138"/>
        <v>2.1646563430797111E-4</v>
      </c>
    </row>
    <row r="520" spans="2:27" x14ac:dyDescent="0.35">
      <c r="B520" s="26">
        <v>151.5</v>
      </c>
      <c r="C520" s="26">
        <v>672</v>
      </c>
      <c r="D520" s="18">
        <f t="shared" si="128"/>
        <v>74.077253989157327</v>
      </c>
      <c r="E520" s="18">
        <f t="shared" si="128"/>
        <v>9.6856969639190353</v>
      </c>
      <c r="F520" s="18">
        <f t="shared" si="128"/>
        <v>12.947414907005955</v>
      </c>
      <c r="G520" s="18">
        <f t="shared" si="128"/>
        <v>12.947414907005955</v>
      </c>
      <c r="H520" s="18">
        <f t="shared" si="128"/>
        <v>12.947414907005955</v>
      </c>
      <c r="I520" s="16"/>
      <c r="J520" s="18">
        <f t="shared" si="130"/>
        <v>69.831173467803552</v>
      </c>
      <c r="K520" s="18">
        <f t="shared" si="131"/>
        <v>7.6508767188728699</v>
      </c>
      <c r="L520" s="18">
        <f t="shared" si="132"/>
        <v>10.587720062152632</v>
      </c>
      <c r="M520" s="18">
        <f t="shared" si="133"/>
        <v>10.587720062152632</v>
      </c>
      <c r="N520" s="18">
        <f t="shared" si="134"/>
        <v>10.587720062152632</v>
      </c>
      <c r="O520" s="16"/>
      <c r="P520" s="18">
        <f t="shared" si="129"/>
        <v>85.56179293892022</v>
      </c>
      <c r="Q520" s="18">
        <f t="shared" si="139"/>
        <v>214.25301918931353</v>
      </c>
      <c r="R520" s="18">
        <f t="shared" si="140"/>
        <v>0</v>
      </c>
      <c r="S520" s="18">
        <f t="shared" si="141"/>
        <v>0</v>
      </c>
      <c r="T520" s="18">
        <v>100</v>
      </c>
      <c r="U520" s="16"/>
      <c r="V520" s="18">
        <f t="shared" si="135"/>
        <v>399.81481212823377</v>
      </c>
      <c r="W520" s="16"/>
      <c r="X520" s="18">
        <f t="shared" si="136"/>
        <v>74084.776496788676</v>
      </c>
      <c r="Y520" s="18">
        <f t="shared" si="137"/>
        <v>272.18518787176623</v>
      </c>
      <c r="Z520" s="18"/>
      <c r="AA520" s="18">
        <f t="shared" si="138"/>
        <v>2.5818537094605764E-4</v>
      </c>
    </row>
    <row r="521" spans="2:27" x14ac:dyDescent="0.35">
      <c r="B521" s="26">
        <v>151.9</v>
      </c>
      <c r="C521" s="26">
        <v>648</v>
      </c>
      <c r="D521" s="18">
        <f t="shared" ref="D521:H521" si="142">C$23-LN(1/C$23)+$B521*C$22</f>
        <v>74.25687216022537</v>
      </c>
      <c r="E521" s="18">
        <f t="shared" si="142"/>
        <v>9.7044502448055212</v>
      </c>
      <c r="F521" s="18">
        <f t="shared" si="142"/>
        <v>12.987414907005956</v>
      </c>
      <c r="G521" s="18">
        <f t="shared" si="142"/>
        <v>12.987414907005956</v>
      </c>
      <c r="H521" s="18">
        <f t="shared" si="142"/>
        <v>12.987414907005956</v>
      </c>
      <c r="I521" s="16"/>
      <c r="J521" s="18">
        <f t="shared" ref="J521:J536" si="143">lmb_2(D521)</f>
        <v>70.008258940274615</v>
      </c>
      <c r="K521" s="18">
        <f t="shared" ref="K521:K536" si="144">lmb_2(E521)</f>
        <v>7.66746428569183</v>
      </c>
      <c r="L521" s="18">
        <f t="shared" ref="L521:L536" si="145">lmb_2(F521)</f>
        <v>10.624273564895603</v>
      </c>
      <c r="M521" s="18">
        <f t="shared" ref="M521:M536" si="146">lmb_2(G521)</f>
        <v>10.624273564895603</v>
      </c>
      <c r="N521" s="18">
        <f t="shared" ref="N521:N536" si="147">lmb_2(H521)</f>
        <v>10.624273564895603</v>
      </c>
      <c r="O521" s="16"/>
      <c r="P521" s="18">
        <f t="shared" ref="P521:P536" si="148">(C$21*$A$21*C$23*C$22)/(J521+J521^2)</f>
        <v>85.13252452293051</v>
      </c>
      <c r="Q521" s="18">
        <f t="shared" ref="Q521:Q536" si="149">(D$21*$A$21*D$23*D$22)/(K521+K521^2)</f>
        <v>213.38036572386628</v>
      </c>
      <c r="R521" s="18">
        <f t="shared" ref="R521:R536" si="150">(E$21*$A$21*E$23*E$22)/(L521+L521^2)</f>
        <v>0</v>
      </c>
      <c r="S521" s="18">
        <f t="shared" ref="S521:S536" si="151">(F$21*$A$21*F$23*F$22)/(M521+M521^2)</f>
        <v>0</v>
      </c>
      <c r="T521" s="18">
        <v>100</v>
      </c>
      <c r="U521" s="16"/>
      <c r="V521" s="18">
        <f t="shared" ref="V521:V536" si="152">SUM(P521:T521)</f>
        <v>398.51289024679681</v>
      </c>
      <c r="W521" s="16"/>
      <c r="X521" s="18">
        <f t="shared" ref="X521:X536" si="153">(V521-C521)^2</f>
        <v>62243.817933006852</v>
      </c>
      <c r="Y521" s="18">
        <f t="shared" ref="Y521:Y536" si="154">ABS(V521-C521)</f>
        <v>249.48710975320319</v>
      </c>
      <c r="Z521" s="18"/>
      <c r="AA521" s="18">
        <f t="shared" ref="AA521:AA536" si="155">Y521/$Z$39</f>
        <v>2.3665476612282698E-4</v>
      </c>
    </row>
    <row r="522" spans="2:27" x14ac:dyDescent="0.35">
      <c r="B522" s="26">
        <v>152.20000000000002</v>
      </c>
      <c r="C522" s="26">
        <v>671</v>
      </c>
      <c r="D522" s="18">
        <f t="shared" ref="D522:H522" si="156">C$23-LN(1/C$23)+$B522*C$22</f>
        <v>74.391585788526399</v>
      </c>
      <c r="E522" s="18">
        <f t="shared" si="156"/>
        <v>9.7185152054703856</v>
      </c>
      <c r="F522" s="18">
        <f t="shared" si="156"/>
        <v>13.017414907005957</v>
      </c>
      <c r="G522" s="18">
        <f t="shared" si="156"/>
        <v>13.017414907005957</v>
      </c>
      <c r="H522" s="18">
        <f t="shared" si="156"/>
        <v>13.017414907005957</v>
      </c>
      <c r="I522" s="16"/>
      <c r="J522" s="18">
        <f t="shared" si="143"/>
        <v>70.141077186272298</v>
      </c>
      <c r="K522" s="18">
        <f t="shared" si="144"/>
        <v>7.6799076793066678</v>
      </c>
      <c r="L522" s="18">
        <f t="shared" si="145"/>
        <v>10.651695797695668</v>
      </c>
      <c r="M522" s="18">
        <f t="shared" si="146"/>
        <v>10.651695797695668</v>
      </c>
      <c r="N522" s="18">
        <f t="shared" si="147"/>
        <v>10.651695797695668</v>
      </c>
      <c r="O522" s="16"/>
      <c r="P522" s="18">
        <f t="shared" si="148"/>
        <v>84.812679774322248</v>
      </c>
      <c r="Q522" s="18">
        <f t="shared" si="149"/>
        <v>212.72923208340353</v>
      </c>
      <c r="R522" s="18">
        <f t="shared" si="150"/>
        <v>0</v>
      </c>
      <c r="S522" s="18">
        <f t="shared" si="151"/>
        <v>0</v>
      </c>
      <c r="T522" s="18">
        <v>100</v>
      </c>
      <c r="U522" s="16"/>
      <c r="V522" s="18">
        <f t="shared" si="152"/>
        <v>397.54191185772578</v>
      </c>
      <c r="W522" s="16"/>
      <c r="X522" s="18">
        <f t="shared" si="153"/>
        <v>74779.325970427817</v>
      </c>
      <c r="Y522" s="18">
        <f t="shared" si="154"/>
        <v>273.45808814227422</v>
      </c>
      <c r="Z522" s="18"/>
      <c r="AA522" s="18">
        <f t="shared" si="155"/>
        <v>2.5939279972309043E-4</v>
      </c>
    </row>
    <row r="523" spans="2:27" x14ac:dyDescent="0.35">
      <c r="B523" s="26">
        <v>152.5</v>
      </c>
      <c r="C523" s="26">
        <v>632</v>
      </c>
      <c r="D523" s="18">
        <f t="shared" ref="D523:H523" si="157">C$23-LN(1/C$23)+$B523*C$22</f>
        <v>74.526299416827428</v>
      </c>
      <c r="E523" s="18">
        <f t="shared" si="157"/>
        <v>9.73258016613525</v>
      </c>
      <c r="F523" s="18">
        <f t="shared" si="157"/>
        <v>13.047414907005955</v>
      </c>
      <c r="G523" s="18">
        <f t="shared" si="157"/>
        <v>13.047414907005955</v>
      </c>
      <c r="H523" s="18">
        <f t="shared" si="157"/>
        <v>13.047414907005955</v>
      </c>
      <c r="I523" s="16"/>
      <c r="J523" s="18">
        <f t="shared" si="143"/>
        <v>70.273898967640449</v>
      </c>
      <c r="K523" s="18">
        <f t="shared" si="144"/>
        <v>7.6923533961295094</v>
      </c>
      <c r="L523" s="18">
        <f t="shared" si="145"/>
        <v>10.679124090806651</v>
      </c>
      <c r="M523" s="18">
        <f t="shared" si="146"/>
        <v>10.679124090806651</v>
      </c>
      <c r="N523" s="18">
        <f t="shared" si="147"/>
        <v>10.679124090806651</v>
      </c>
      <c r="O523" s="16"/>
      <c r="P523" s="18">
        <f t="shared" si="148"/>
        <v>84.494625728985966</v>
      </c>
      <c r="Q523" s="18">
        <f t="shared" si="149"/>
        <v>212.0809572738026</v>
      </c>
      <c r="R523" s="18">
        <f t="shared" si="150"/>
        <v>0</v>
      </c>
      <c r="S523" s="18">
        <f t="shared" si="151"/>
        <v>0</v>
      </c>
      <c r="T523" s="18">
        <v>100</v>
      </c>
      <c r="U523" s="16"/>
      <c r="V523" s="18">
        <f t="shared" si="152"/>
        <v>396.57558300278856</v>
      </c>
      <c r="W523" s="16"/>
      <c r="X523" s="18">
        <f t="shared" si="153"/>
        <v>55424.656118476894</v>
      </c>
      <c r="Y523" s="18">
        <f t="shared" si="154"/>
        <v>235.42441699721144</v>
      </c>
      <c r="Z523" s="18"/>
      <c r="AA523" s="18">
        <f t="shared" si="155"/>
        <v>2.233153865111167E-4</v>
      </c>
    </row>
    <row r="524" spans="2:27" x14ac:dyDescent="0.35">
      <c r="B524" s="26">
        <v>152.80000000000001</v>
      </c>
      <c r="C524" s="26">
        <v>627</v>
      </c>
      <c r="D524" s="18">
        <f t="shared" ref="D524:H524" si="158">C$23-LN(1/C$23)+$B524*C$22</f>
        <v>74.661013045128456</v>
      </c>
      <c r="E524" s="18">
        <f t="shared" si="158"/>
        <v>9.7466451268001144</v>
      </c>
      <c r="F524" s="18">
        <f t="shared" si="158"/>
        <v>13.077414907005956</v>
      </c>
      <c r="G524" s="18">
        <f t="shared" si="158"/>
        <v>13.077414907005956</v>
      </c>
      <c r="H524" s="18">
        <f t="shared" si="158"/>
        <v>13.077414907005956</v>
      </c>
      <c r="I524" s="16"/>
      <c r="J524" s="18">
        <f t="shared" si="143"/>
        <v>70.406724271308306</v>
      </c>
      <c r="K524" s="18">
        <f t="shared" si="144"/>
        <v>7.7048014299442604</v>
      </c>
      <c r="L524" s="18">
        <f t="shared" si="145"/>
        <v>10.706558417126688</v>
      </c>
      <c r="M524" s="18">
        <f t="shared" si="146"/>
        <v>10.706558417126688</v>
      </c>
      <c r="N524" s="18">
        <f t="shared" si="147"/>
        <v>10.706558417126688</v>
      </c>
      <c r="O524" s="16"/>
      <c r="P524" s="18">
        <f t="shared" si="148"/>
        <v>84.178349091327817</v>
      </c>
      <c r="Q524" s="18">
        <f t="shared" si="149"/>
        <v>211.4355250967202</v>
      </c>
      <c r="R524" s="18">
        <f t="shared" si="150"/>
        <v>0</v>
      </c>
      <c r="S524" s="18">
        <f t="shared" si="151"/>
        <v>0</v>
      </c>
      <c r="T524" s="18">
        <v>100</v>
      </c>
      <c r="U524" s="16"/>
      <c r="V524" s="18">
        <f t="shared" si="152"/>
        <v>395.61387418804804</v>
      </c>
      <c r="W524" s="16"/>
      <c r="X524" s="18">
        <f t="shared" si="153"/>
        <v>53539.539218264457</v>
      </c>
      <c r="Y524" s="18">
        <f t="shared" si="154"/>
        <v>231.38612581195196</v>
      </c>
      <c r="Z524" s="18"/>
      <c r="AA524" s="18">
        <f t="shared" si="155"/>
        <v>2.1948480441439503E-4</v>
      </c>
    </row>
    <row r="525" spans="2:27" x14ac:dyDescent="0.35">
      <c r="B525" s="26">
        <v>153.1</v>
      </c>
      <c r="C525" s="26">
        <v>659</v>
      </c>
      <c r="D525" s="18">
        <f t="shared" ref="D525:H525" si="159">C$23-LN(1/C$23)+$B525*C$22</f>
        <v>74.795726673429471</v>
      </c>
      <c r="E525" s="18">
        <f t="shared" si="159"/>
        <v>9.7607100874649788</v>
      </c>
      <c r="F525" s="18">
        <f t="shared" si="159"/>
        <v>13.107414907005955</v>
      </c>
      <c r="G525" s="18">
        <f t="shared" si="159"/>
        <v>13.107414907005955</v>
      </c>
      <c r="H525" s="18">
        <f t="shared" si="159"/>
        <v>13.107414907005955</v>
      </c>
      <c r="I525" s="16"/>
      <c r="J525" s="18">
        <f t="shared" si="143"/>
        <v>70.53955308427706</v>
      </c>
      <c r="K525" s="18">
        <f t="shared" si="144"/>
        <v>7.717251774558469</v>
      </c>
      <c r="L525" s="18">
        <f t="shared" si="145"/>
        <v>10.733998749728968</v>
      </c>
      <c r="M525" s="18">
        <f t="shared" si="146"/>
        <v>10.733998749728968</v>
      </c>
      <c r="N525" s="18">
        <f t="shared" si="147"/>
        <v>10.733998749728968</v>
      </c>
      <c r="O525" s="16"/>
      <c r="P525" s="18">
        <f t="shared" si="148"/>
        <v>83.863836688574153</v>
      </c>
      <c r="Q525" s="18">
        <f t="shared" si="149"/>
        <v>210.79291946542313</v>
      </c>
      <c r="R525" s="18">
        <f t="shared" si="150"/>
        <v>0</v>
      </c>
      <c r="S525" s="18">
        <f t="shared" si="151"/>
        <v>0</v>
      </c>
      <c r="T525" s="18">
        <v>100</v>
      </c>
      <c r="U525" s="16"/>
      <c r="V525" s="18">
        <f t="shared" si="152"/>
        <v>394.65675615399726</v>
      </c>
      <c r="W525" s="16"/>
      <c r="X525" s="18">
        <f t="shared" si="153"/>
        <v>69877.350567027257</v>
      </c>
      <c r="Y525" s="18">
        <f t="shared" si="154"/>
        <v>264.34324384600274</v>
      </c>
      <c r="Z525" s="18"/>
      <c r="AA525" s="18">
        <f t="shared" si="155"/>
        <v>2.5074677649842794E-4</v>
      </c>
    </row>
    <row r="526" spans="2:27" x14ac:dyDescent="0.35">
      <c r="B526" s="26">
        <v>153.4</v>
      </c>
      <c r="C526" s="26">
        <v>669</v>
      </c>
      <c r="D526" s="18">
        <f t="shared" ref="D526:H526" si="160">C$23-LN(1/C$23)+$B526*C$22</f>
        <v>74.930440301730513</v>
      </c>
      <c r="E526" s="18">
        <f t="shared" si="160"/>
        <v>9.7747750481298432</v>
      </c>
      <c r="F526" s="18">
        <f t="shared" si="160"/>
        <v>13.137414907005956</v>
      </c>
      <c r="G526" s="18">
        <f t="shared" si="160"/>
        <v>13.137414907005956</v>
      </c>
      <c r="H526" s="18">
        <f t="shared" si="160"/>
        <v>13.137414907005956</v>
      </c>
      <c r="I526" s="16"/>
      <c r="J526" s="18">
        <f t="shared" si="143"/>
        <v>70.672385393619479</v>
      </c>
      <c r="K526" s="18">
        <f t="shared" si="144"/>
        <v>7.7297044238032147</v>
      </c>
      <c r="L526" s="18">
        <f t="shared" si="145"/>
        <v>10.761445061860284</v>
      </c>
      <c r="M526" s="18">
        <f t="shared" si="146"/>
        <v>10.761445061860284</v>
      </c>
      <c r="N526" s="18">
        <f t="shared" si="147"/>
        <v>10.761445061860284</v>
      </c>
      <c r="O526" s="16"/>
      <c r="P526" s="18">
        <f t="shared" si="148"/>
        <v>83.551075469415551</v>
      </c>
      <c r="Q526" s="18">
        <f t="shared" si="149"/>
        <v>210.1531244038876</v>
      </c>
      <c r="R526" s="18">
        <f t="shared" si="150"/>
        <v>0</v>
      </c>
      <c r="S526" s="18">
        <f t="shared" si="151"/>
        <v>0</v>
      </c>
      <c r="T526" s="18">
        <v>100</v>
      </c>
      <c r="U526" s="16"/>
      <c r="V526" s="18">
        <f t="shared" si="152"/>
        <v>393.70419987330314</v>
      </c>
      <c r="W526" s="16"/>
      <c r="X526" s="18">
        <f t="shared" si="153"/>
        <v>75787.777567398225</v>
      </c>
      <c r="Y526" s="18">
        <f t="shared" si="154"/>
        <v>275.29580012669686</v>
      </c>
      <c r="Z526" s="18"/>
      <c r="AA526" s="18">
        <f t="shared" si="155"/>
        <v>2.6113598918207638E-4</v>
      </c>
    </row>
    <row r="527" spans="2:27" x14ac:dyDescent="0.35">
      <c r="B527" s="26">
        <v>153.70000000000002</v>
      </c>
      <c r="C527" s="26">
        <v>648</v>
      </c>
      <c r="D527" s="18">
        <f t="shared" ref="D527:H527" si="161">C$23-LN(1/C$23)+$B527*C$22</f>
        <v>75.065153930031542</v>
      </c>
      <c r="E527" s="18">
        <f t="shared" si="161"/>
        <v>9.7888400087947094</v>
      </c>
      <c r="F527" s="18">
        <f t="shared" si="161"/>
        <v>13.167414907005957</v>
      </c>
      <c r="G527" s="18">
        <f t="shared" si="161"/>
        <v>13.167414907005957</v>
      </c>
      <c r="H527" s="18">
        <f t="shared" si="161"/>
        <v>13.167414907005957</v>
      </c>
      <c r="I527" s="16"/>
      <c r="J527" s="18">
        <f t="shared" si="143"/>
        <v>70.805221186479201</v>
      </c>
      <c r="K527" s="18">
        <f t="shared" si="144"/>
        <v>7.7421593715329937</v>
      </c>
      <c r="L527" s="18">
        <f t="shared" si="145"/>
        <v>10.788897326939578</v>
      </c>
      <c r="M527" s="18">
        <f t="shared" si="146"/>
        <v>10.788897326939578</v>
      </c>
      <c r="N527" s="18">
        <f t="shared" si="147"/>
        <v>10.788897326939578</v>
      </c>
      <c r="O527" s="16"/>
      <c r="P527" s="18">
        <f t="shared" si="148"/>
        <v>83.240052502668661</v>
      </c>
      <c r="Q527" s="18">
        <f t="shared" si="149"/>
        <v>209.51612404590682</v>
      </c>
      <c r="R527" s="18">
        <f t="shared" si="150"/>
        <v>0</v>
      </c>
      <c r="S527" s="18">
        <f t="shared" si="151"/>
        <v>0</v>
      </c>
      <c r="T527" s="18">
        <v>100</v>
      </c>
      <c r="U527" s="16"/>
      <c r="V527" s="18">
        <f t="shared" si="152"/>
        <v>392.75617654857547</v>
      </c>
      <c r="W527" s="16"/>
      <c r="X527" s="18">
        <f t="shared" si="153"/>
        <v>65149.409410101973</v>
      </c>
      <c r="Y527" s="18">
        <f t="shared" si="154"/>
        <v>255.24382345142453</v>
      </c>
      <c r="Z527" s="18"/>
      <c r="AA527" s="18">
        <f t="shared" si="155"/>
        <v>2.4211538384867384E-4</v>
      </c>
    </row>
    <row r="528" spans="2:27" x14ac:dyDescent="0.35">
      <c r="B528" s="26">
        <v>154.1</v>
      </c>
      <c r="C528" s="26">
        <v>651</v>
      </c>
      <c r="D528" s="18">
        <f t="shared" ref="D528:H528" si="162">C$23-LN(1/C$23)+$B528*C$22</f>
        <v>75.244772101099571</v>
      </c>
      <c r="E528" s="18">
        <f t="shared" si="162"/>
        <v>9.8075932896811935</v>
      </c>
      <c r="F528" s="18">
        <f t="shared" si="162"/>
        <v>13.207414907005955</v>
      </c>
      <c r="G528" s="18">
        <f t="shared" si="162"/>
        <v>13.207414907005955</v>
      </c>
      <c r="H528" s="18">
        <f t="shared" si="162"/>
        <v>13.207414907005955</v>
      </c>
      <c r="I528" s="16"/>
      <c r="J528" s="18">
        <f t="shared" si="143"/>
        <v>70.982340973674511</v>
      </c>
      <c r="K528" s="18">
        <f t="shared" si="144"/>
        <v>7.7587695333489544</v>
      </c>
      <c r="L528" s="18">
        <f t="shared" si="145"/>
        <v>10.825509561563527</v>
      </c>
      <c r="M528" s="18">
        <f t="shared" si="146"/>
        <v>10.825509561563527</v>
      </c>
      <c r="N528" s="18">
        <f t="shared" si="147"/>
        <v>10.825509561563527</v>
      </c>
      <c r="O528" s="16"/>
      <c r="P528" s="18">
        <f t="shared" si="148"/>
        <v>82.828037033965657</v>
      </c>
      <c r="Q528" s="18">
        <f t="shared" si="149"/>
        <v>208.67111033269279</v>
      </c>
      <c r="R528" s="18">
        <f t="shared" si="150"/>
        <v>0</v>
      </c>
      <c r="S528" s="18">
        <f t="shared" si="151"/>
        <v>0</v>
      </c>
      <c r="T528" s="18">
        <v>100</v>
      </c>
      <c r="U528" s="16"/>
      <c r="V528" s="18">
        <f t="shared" si="152"/>
        <v>391.49914736665846</v>
      </c>
      <c r="W528" s="16"/>
      <c r="X528" s="18">
        <f t="shared" si="153"/>
        <v>67340.692517431235</v>
      </c>
      <c r="Y528" s="18">
        <f t="shared" si="154"/>
        <v>259.50085263334154</v>
      </c>
      <c r="Z528" s="18"/>
      <c r="AA528" s="18">
        <f t="shared" si="155"/>
        <v>2.4615345317586753E-4</v>
      </c>
    </row>
    <row r="529" spans="2:28" x14ac:dyDescent="0.35">
      <c r="B529" s="26">
        <v>154.4</v>
      </c>
      <c r="C529" s="26">
        <v>657</v>
      </c>
      <c r="D529" s="18">
        <f t="shared" ref="D529:H529" si="163">C$23-LN(1/C$23)+$B529*C$22</f>
        <v>75.379485729400599</v>
      </c>
      <c r="E529" s="18">
        <f t="shared" si="163"/>
        <v>9.8216582503460597</v>
      </c>
      <c r="F529" s="18">
        <f t="shared" si="163"/>
        <v>13.237414907005956</v>
      </c>
      <c r="G529" s="18">
        <f t="shared" si="163"/>
        <v>13.237414907005956</v>
      </c>
      <c r="H529" s="18">
        <f t="shared" si="163"/>
        <v>13.237414907005956</v>
      </c>
      <c r="I529" s="16"/>
      <c r="J529" s="18">
        <f t="shared" si="143"/>
        <v>71.115184845139169</v>
      </c>
      <c r="K529" s="18">
        <f t="shared" si="144"/>
        <v>7.7712298204419898</v>
      </c>
      <c r="L529" s="18">
        <f t="shared" si="145"/>
        <v>10.852975614440359</v>
      </c>
      <c r="M529" s="18">
        <f t="shared" si="146"/>
        <v>10.852975614440359</v>
      </c>
      <c r="N529" s="18">
        <f t="shared" si="147"/>
        <v>10.852975614440359</v>
      </c>
      <c r="O529" s="16"/>
      <c r="P529" s="18">
        <f t="shared" si="148"/>
        <v>82.521020366497183</v>
      </c>
      <c r="Q529" s="18">
        <f t="shared" si="149"/>
        <v>208.04056985802578</v>
      </c>
      <c r="R529" s="18">
        <f t="shared" si="150"/>
        <v>0</v>
      </c>
      <c r="S529" s="18">
        <f t="shared" si="151"/>
        <v>0</v>
      </c>
      <c r="T529" s="18">
        <v>100</v>
      </c>
      <c r="U529" s="16"/>
      <c r="V529" s="18">
        <f t="shared" si="152"/>
        <v>390.56159022452294</v>
      </c>
      <c r="W529" s="16"/>
      <c r="X529" s="18">
        <f t="shared" si="153"/>
        <v>70989.426203685027</v>
      </c>
      <c r="Y529" s="18">
        <f t="shared" si="154"/>
        <v>266.43840977547706</v>
      </c>
      <c r="Z529" s="18"/>
      <c r="AA529" s="18">
        <f t="shared" si="155"/>
        <v>2.5273417778548741E-4</v>
      </c>
    </row>
    <row r="530" spans="2:28" x14ac:dyDescent="0.35">
      <c r="B530" s="26">
        <v>154.70000000000002</v>
      </c>
      <c r="C530" s="26">
        <v>628</v>
      </c>
      <c r="D530" s="18">
        <f t="shared" ref="D530:H530" si="164">C$23-LN(1/C$23)+$B530*C$22</f>
        <v>75.514199357701642</v>
      </c>
      <c r="E530" s="18">
        <f t="shared" si="164"/>
        <v>9.8357232110109241</v>
      </c>
      <c r="F530" s="18">
        <f t="shared" si="164"/>
        <v>13.267414907005957</v>
      </c>
      <c r="G530" s="18">
        <f t="shared" si="164"/>
        <v>13.267414907005957</v>
      </c>
      <c r="H530" s="18">
        <f t="shared" si="164"/>
        <v>13.267414907005957</v>
      </c>
      <c r="I530" s="16"/>
      <c r="J530" s="18">
        <f t="shared" si="143"/>
        <v>71.24803215777257</v>
      </c>
      <c r="K530" s="18">
        <f t="shared" si="144"/>
        <v>7.7836923857027225</v>
      </c>
      <c r="L530" s="18">
        <f t="shared" si="145"/>
        <v>10.880447532886738</v>
      </c>
      <c r="M530" s="18">
        <f t="shared" si="146"/>
        <v>10.880447532886738</v>
      </c>
      <c r="N530" s="18">
        <f t="shared" si="147"/>
        <v>10.880447532886738</v>
      </c>
      <c r="O530" s="16"/>
      <c r="P530" s="18">
        <f t="shared" si="148"/>
        <v>82.21569969823436</v>
      </c>
      <c r="Q530" s="18">
        <f t="shared" si="149"/>
        <v>207.41277198138971</v>
      </c>
      <c r="R530" s="18">
        <f t="shared" si="150"/>
        <v>0</v>
      </c>
      <c r="S530" s="18">
        <f t="shared" si="151"/>
        <v>0</v>
      </c>
      <c r="T530" s="18">
        <v>100</v>
      </c>
      <c r="U530" s="16"/>
      <c r="V530" s="18">
        <f t="shared" si="152"/>
        <v>389.62847167962406</v>
      </c>
      <c r="W530" s="16"/>
      <c r="X530" s="18">
        <f t="shared" si="153"/>
        <v>56820.985513791791</v>
      </c>
      <c r="Y530" s="18">
        <f t="shared" si="154"/>
        <v>238.37152832037594</v>
      </c>
      <c r="Z530" s="18"/>
      <c r="AA530" s="18">
        <f t="shared" si="155"/>
        <v>2.2611091346884753E-4</v>
      </c>
    </row>
    <row r="531" spans="2:28" x14ac:dyDescent="0.35">
      <c r="B531" s="26">
        <v>155</v>
      </c>
      <c r="C531" s="26">
        <v>609</v>
      </c>
      <c r="D531" s="18">
        <f t="shared" ref="D531:H531" si="165">C$23-LN(1/C$23)+$B531*C$22</f>
        <v>75.648912986002657</v>
      </c>
      <c r="E531" s="18">
        <f t="shared" si="165"/>
        <v>9.8497881716757885</v>
      </c>
      <c r="F531" s="18">
        <f t="shared" si="165"/>
        <v>13.297414907005955</v>
      </c>
      <c r="G531" s="18">
        <f t="shared" si="165"/>
        <v>13.297414907005955</v>
      </c>
      <c r="H531" s="18">
        <f t="shared" si="165"/>
        <v>13.297414907005955</v>
      </c>
      <c r="I531" s="16"/>
      <c r="J531" s="18">
        <f t="shared" si="143"/>
        <v>71.380882899019937</v>
      </c>
      <c r="K531" s="18">
        <f t="shared" si="144"/>
        <v>7.7961572230858263</v>
      </c>
      <c r="L531" s="18">
        <f t="shared" si="145"/>
        <v>10.907925291051269</v>
      </c>
      <c r="M531" s="18">
        <f t="shared" si="146"/>
        <v>10.907925291051269</v>
      </c>
      <c r="N531" s="18">
        <f t="shared" si="147"/>
        <v>10.907925291051269</v>
      </c>
      <c r="O531" s="16"/>
      <c r="P531" s="18">
        <f t="shared" si="148"/>
        <v>81.912062603487186</v>
      </c>
      <c r="Q531" s="18">
        <f t="shared" si="149"/>
        <v>206.78770130233903</v>
      </c>
      <c r="R531" s="18">
        <f t="shared" si="150"/>
        <v>0</v>
      </c>
      <c r="S531" s="18">
        <f t="shared" si="151"/>
        <v>0</v>
      </c>
      <c r="T531" s="18">
        <v>100</v>
      </c>
      <c r="U531" s="16"/>
      <c r="V531" s="18">
        <f t="shared" si="152"/>
        <v>388.69976390582622</v>
      </c>
      <c r="W531" s="16"/>
      <c r="X531" s="18">
        <f t="shared" si="153"/>
        <v>48532.19402314871</v>
      </c>
      <c r="Y531" s="18">
        <f t="shared" si="154"/>
        <v>220.30023609417378</v>
      </c>
      <c r="Z531" s="18"/>
      <c r="AA531" s="18">
        <f t="shared" si="155"/>
        <v>2.0896911628517871E-4</v>
      </c>
    </row>
    <row r="532" spans="2:28" x14ac:dyDescent="0.35">
      <c r="B532" s="26">
        <v>155.30000000000001</v>
      </c>
      <c r="C532" s="26">
        <v>614</v>
      </c>
      <c r="D532" s="18">
        <f t="shared" ref="D532:H532" si="166">C$23-LN(1/C$23)+$B532*C$22</f>
        <v>75.783626614303685</v>
      </c>
      <c r="E532" s="18">
        <f t="shared" si="166"/>
        <v>9.8638531323406529</v>
      </c>
      <c r="F532" s="18">
        <f t="shared" si="166"/>
        <v>13.327414907005956</v>
      </c>
      <c r="G532" s="18">
        <f t="shared" si="166"/>
        <v>13.327414907005956</v>
      </c>
      <c r="H532" s="18">
        <f t="shared" si="166"/>
        <v>13.327414907005956</v>
      </c>
      <c r="I532" s="16"/>
      <c r="J532" s="18">
        <f t="shared" ref="J532:J536" si="167">lmb_2(D532)</f>
        <v>71.513737056394817</v>
      </c>
      <c r="K532" s="18">
        <f t="shared" ref="K532:K536" si="168">lmb_2(E532)</f>
        <v>7.8086243265687969</v>
      </c>
      <c r="L532" s="18">
        <f t="shared" ref="L532:L536" si="169">lmb_2(F532)</f>
        <v>10.935408863247257</v>
      </c>
      <c r="M532" s="18">
        <f t="shared" ref="M532:M536" si="170">lmb_2(G532)</f>
        <v>10.935408863247257</v>
      </c>
      <c r="N532" s="18">
        <f t="shared" ref="N532:N536" si="171">lmb_2(H532)</f>
        <v>10.935408863247257</v>
      </c>
      <c r="O532" s="16"/>
      <c r="P532" s="18">
        <f t="shared" ref="P532:P536" si="172">(C$21*$A$21*C$23*C$22)/(J532+J532^2)</f>
        <v>81.6100967698369</v>
      </c>
      <c r="Q532" s="18">
        <f t="shared" ref="Q532:Q536" si="173">(D$21*$A$21*D$23*D$22)/(K532+K532^2)</f>
        <v>206.16534252562258</v>
      </c>
      <c r="R532" s="18">
        <f t="shared" ref="R532:R536" si="174">(E$21*$A$21*E$23*E$22)/(L532+L532^2)</f>
        <v>0</v>
      </c>
      <c r="S532" s="18">
        <f t="shared" ref="S532:S536" si="175">(F$21*$A$21*F$23*F$22)/(M532+M532^2)</f>
        <v>0</v>
      </c>
      <c r="T532" s="18">
        <v>101</v>
      </c>
      <c r="U532" s="16"/>
      <c r="V532" s="18">
        <f t="shared" ref="V532:V536" si="176">SUM(P532:T532)</f>
        <v>388.77543929545948</v>
      </c>
      <c r="W532" s="16"/>
      <c r="X532" s="18">
        <f t="shared" ref="X532:X536" si="177">(V532-C532)^2</f>
        <v>50726.10274455326</v>
      </c>
      <c r="Y532" s="18">
        <f t="shared" ref="Y532:Y536" si="178">ABS(V532-C532)</f>
        <v>225.22456070454052</v>
      </c>
      <c r="Z532" s="18"/>
      <c r="AA532" s="18">
        <f t="shared" ref="AA532:AA536" si="179">Y532/$Z$39</f>
        <v>2.1364015876962618E-4</v>
      </c>
    </row>
    <row r="533" spans="2:28" x14ac:dyDescent="0.35">
      <c r="B533" s="26">
        <v>155.6</v>
      </c>
      <c r="C533" s="26">
        <v>649</v>
      </c>
      <c r="D533" s="18">
        <f t="shared" ref="D533:H533" si="180">C$23-LN(1/C$23)+$B533*C$22</f>
        <v>75.918340242604714</v>
      </c>
      <c r="E533" s="18">
        <f t="shared" si="180"/>
        <v>9.8779180930055155</v>
      </c>
      <c r="F533" s="18">
        <f t="shared" si="180"/>
        <v>13.357414907005955</v>
      </c>
      <c r="G533" s="18">
        <f t="shared" si="180"/>
        <v>13.357414907005955</v>
      </c>
      <c r="H533" s="18">
        <f t="shared" si="180"/>
        <v>13.357414907005955</v>
      </c>
      <c r="I533" s="16"/>
      <c r="J533" s="18">
        <f t="shared" si="167"/>
        <v>71.64659461747847</v>
      </c>
      <c r="K533" s="18">
        <f t="shared" si="168"/>
        <v>7.8210936901518417</v>
      </c>
      <c r="L533" s="18">
        <f t="shared" si="169"/>
        <v>10.962898223951342</v>
      </c>
      <c r="M533" s="18">
        <f t="shared" si="170"/>
        <v>10.962898223951342</v>
      </c>
      <c r="N533" s="18">
        <f t="shared" si="171"/>
        <v>10.962898223951342</v>
      </c>
      <c r="O533" s="16"/>
      <c r="P533" s="18">
        <f t="shared" si="172"/>
        <v>81.309789996902381</v>
      </c>
      <c r="Q533" s="18">
        <f t="shared" si="173"/>
        <v>205.54568046034217</v>
      </c>
      <c r="R533" s="18">
        <f t="shared" si="174"/>
        <v>0</v>
      </c>
      <c r="S533" s="18">
        <f t="shared" si="175"/>
        <v>0</v>
      </c>
      <c r="T533" s="18">
        <v>102</v>
      </c>
      <c r="U533" s="16"/>
      <c r="V533" s="18">
        <f t="shared" si="176"/>
        <v>388.85547045724456</v>
      </c>
      <c r="W533" s="16"/>
      <c r="X533" s="18">
        <f t="shared" si="177"/>
        <v>67675.176251021549</v>
      </c>
      <c r="Y533" s="18">
        <f t="shared" si="178"/>
        <v>260.14452954275544</v>
      </c>
      <c r="Z533" s="18"/>
      <c r="AA533" s="18">
        <f t="shared" si="179"/>
        <v>2.4676402263016398E-4</v>
      </c>
    </row>
    <row r="534" spans="2:28" x14ac:dyDescent="0.35">
      <c r="B534" s="26">
        <v>156</v>
      </c>
      <c r="C534" s="26">
        <v>620</v>
      </c>
      <c r="D534" s="18">
        <f t="shared" ref="D534:H534" si="181">C$23-LN(1/C$23)+$B534*C$22</f>
        <v>76.097958413672757</v>
      </c>
      <c r="E534" s="18">
        <f t="shared" si="181"/>
        <v>9.8966713738920031</v>
      </c>
      <c r="F534" s="18">
        <f t="shared" si="181"/>
        <v>13.397414907005956</v>
      </c>
      <c r="G534" s="18">
        <f t="shared" si="181"/>
        <v>13.397414907005956</v>
      </c>
      <c r="H534" s="18">
        <f t="shared" si="181"/>
        <v>13.397414907005956</v>
      </c>
      <c r="I534" s="16"/>
      <c r="J534" s="18">
        <f t="shared" si="167"/>
        <v>71.823743305576187</v>
      </c>
      <c r="K534" s="18">
        <f t="shared" si="168"/>
        <v>7.8377230136461034</v>
      </c>
      <c r="L534" s="18">
        <f t="shared" si="169"/>
        <v>10.999559665424755</v>
      </c>
      <c r="M534" s="18">
        <f t="shared" si="170"/>
        <v>10.999559665424755</v>
      </c>
      <c r="N534" s="18">
        <f t="shared" si="171"/>
        <v>10.999559665424755</v>
      </c>
      <c r="O534" s="16"/>
      <c r="P534" s="18">
        <f t="shared" si="172"/>
        <v>80.911940847708365</v>
      </c>
      <c r="Q534" s="18">
        <f t="shared" si="173"/>
        <v>204.72363319561217</v>
      </c>
      <c r="R534" s="18">
        <f t="shared" si="174"/>
        <v>0</v>
      </c>
      <c r="S534" s="18">
        <f t="shared" si="175"/>
        <v>0</v>
      </c>
      <c r="T534" s="18">
        <v>103</v>
      </c>
      <c r="U534" s="16"/>
      <c r="V534" s="18">
        <f t="shared" si="176"/>
        <v>388.6355740433205</v>
      </c>
      <c r="W534" s="16"/>
      <c r="X534" s="18">
        <f t="shared" si="177"/>
        <v>53529.497598263828</v>
      </c>
      <c r="Y534" s="18">
        <f t="shared" si="178"/>
        <v>231.3644259566795</v>
      </c>
      <c r="Z534" s="18"/>
      <c r="AA534" s="18">
        <f t="shared" si="179"/>
        <v>2.1946422068892929E-4</v>
      </c>
    </row>
    <row r="535" spans="2:28" x14ac:dyDescent="0.35">
      <c r="B535" s="26">
        <v>156.30000000000001</v>
      </c>
      <c r="C535" s="26">
        <v>624</v>
      </c>
      <c r="D535" s="18">
        <f t="shared" ref="D535:H535" si="182">C$23-LN(1/C$23)+$B535*C$22</f>
        <v>76.232672041973785</v>
      </c>
      <c r="E535" s="18">
        <f t="shared" si="182"/>
        <v>9.9107363345568693</v>
      </c>
      <c r="F535" s="18">
        <f t="shared" si="182"/>
        <v>13.427414907005957</v>
      </c>
      <c r="G535" s="18">
        <f t="shared" si="182"/>
        <v>13.427414907005957</v>
      </c>
      <c r="H535" s="18">
        <f t="shared" si="182"/>
        <v>13.427414907005957</v>
      </c>
      <c r="I535" s="16"/>
      <c r="J535" s="18">
        <f t="shared" si="167"/>
        <v>71.956608760728898</v>
      </c>
      <c r="K535" s="18">
        <f t="shared" si="168"/>
        <v>7.8501976275902461</v>
      </c>
      <c r="L535" s="18">
        <f t="shared" si="169"/>
        <v>11.027062434297706</v>
      </c>
      <c r="M535" s="18">
        <f t="shared" si="170"/>
        <v>11.027062434297706</v>
      </c>
      <c r="N535" s="18">
        <f t="shared" si="171"/>
        <v>11.027062434297706</v>
      </c>
      <c r="O535" s="16"/>
      <c r="P535" s="18">
        <f t="shared" si="172"/>
        <v>80.615458390769305</v>
      </c>
      <c r="Q535" s="18">
        <f t="shared" si="173"/>
        <v>204.11020496124814</v>
      </c>
      <c r="R535" s="18">
        <f t="shared" si="174"/>
        <v>0</v>
      </c>
      <c r="S535" s="18">
        <f t="shared" si="175"/>
        <v>0</v>
      </c>
      <c r="T535" s="18">
        <v>104</v>
      </c>
      <c r="U535" s="16"/>
      <c r="V535" s="18">
        <f t="shared" si="176"/>
        <v>388.72566335201748</v>
      </c>
      <c r="W535" s="16"/>
      <c r="X535" s="18">
        <f t="shared" si="177"/>
        <v>55354.013485148214</v>
      </c>
      <c r="Y535" s="18">
        <f t="shared" si="178"/>
        <v>235.27433664798252</v>
      </c>
      <c r="Z535" s="18"/>
      <c r="AA535" s="18">
        <f t="shared" si="179"/>
        <v>2.2317302552909429E-4</v>
      </c>
    </row>
    <row r="536" spans="2:28" x14ac:dyDescent="0.35">
      <c r="B536" s="26">
        <v>156.6</v>
      </c>
      <c r="C536" s="26">
        <v>638</v>
      </c>
      <c r="D536" s="18">
        <f t="shared" ref="D536:H536" si="183">C$23-LN(1/C$23)+$B536*C$22</f>
        <v>76.367385670274814</v>
      </c>
      <c r="E536" s="18">
        <f t="shared" si="183"/>
        <v>9.9248012952217319</v>
      </c>
      <c r="F536" s="18">
        <f t="shared" si="183"/>
        <v>13.457414907005955</v>
      </c>
      <c r="G536" s="18">
        <f t="shared" si="183"/>
        <v>13.457414907005955</v>
      </c>
      <c r="H536" s="18">
        <f t="shared" si="183"/>
        <v>13.457414907005955</v>
      </c>
      <c r="I536" s="16"/>
      <c r="J536" s="18">
        <f t="shared" si="167"/>
        <v>72.089477578677787</v>
      </c>
      <c r="K536" s="18">
        <f t="shared" si="168"/>
        <v>7.8626744817978036</v>
      </c>
      <c r="L536" s="18">
        <f t="shared" si="169"/>
        <v>11.054570907763416</v>
      </c>
      <c r="M536" s="18">
        <f t="shared" si="170"/>
        <v>11.054570907763416</v>
      </c>
      <c r="N536" s="18">
        <f t="shared" si="171"/>
        <v>11.054570907763416</v>
      </c>
      <c r="O536" s="16"/>
      <c r="P536" s="18">
        <f t="shared" si="172"/>
        <v>80.320595120240469</v>
      </c>
      <c r="Q536" s="18">
        <f t="shared" si="173"/>
        <v>203.4994235450001</v>
      </c>
      <c r="R536" s="18">
        <f t="shared" si="174"/>
        <v>0</v>
      </c>
      <c r="S536" s="18">
        <f t="shared" si="175"/>
        <v>0</v>
      </c>
      <c r="T536" s="18">
        <v>105</v>
      </c>
      <c r="U536" s="16"/>
      <c r="V536" s="18">
        <f t="shared" si="176"/>
        <v>388.82001866524058</v>
      </c>
      <c r="W536" s="16"/>
      <c r="X536" s="18">
        <f t="shared" si="177"/>
        <v>62090.663097991055</v>
      </c>
      <c r="Y536" s="18">
        <f t="shared" si="178"/>
        <v>249.17998133475942</v>
      </c>
      <c r="Z536" s="18"/>
      <c r="AA536" s="18">
        <f t="shared" si="179"/>
        <v>2.3636343482275147E-4</v>
      </c>
    </row>
    <row r="537" spans="2:28" x14ac:dyDescent="0.35">
      <c r="B537" s="26"/>
      <c r="C537" s="26"/>
      <c r="D537" s="18"/>
      <c r="E537" s="18"/>
      <c r="F537" s="18"/>
      <c r="G537" s="18"/>
      <c r="H537" s="18"/>
      <c r="I537" s="16"/>
      <c r="J537" s="18"/>
      <c r="K537" s="18"/>
      <c r="L537" s="18"/>
      <c r="M537" s="18"/>
      <c r="N537" s="18"/>
      <c r="O537" s="16"/>
      <c r="P537" s="18"/>
      <c r="Q537" s="18"/>
      <c r="R537" s="18"/>
      <c r="S537" s="18"/>
      <c r="T537" s="18"/>
      <c r="U537" s="16"/>
      <c r="V537" s="18"/>
      <c r="W537" s="16"/>
      <c r="X537" s="18"/>
      <c r="Y537" s="18"/>
      <c r="Z537" s="18"/>
      <c r="AA537" s="18"/>
      <c r="AB537" s="18"/>
    </row>
    <row r="538" spans="2:28" x14ac:dyDescent="0.35">
      <c r="B538" s="26"/>
      <c r="C538" s="26"/>
      <c r="D538" s="18"/>
      <c r="E538" s="18"/>
      <c r="F538" s="18"/>
      <c r="G538" s="18"/>
      <c r="H538" s="18"/>
      <c r="I538" s="16"/>
      <c r="J538" s="18"/>
      <c r="K538" s="18"/>
      <c r="L538" s="18"/>
      <c r="M538" s="18"/>
      <c r="N538" s="18"/>
      <c r="O538" s="16"/>
      <c r="P538" s="18"/>
      <c r="Q538" s="18"/>
      <c r="R538" s="18"/>
      <c r="S538" s="18"/>
      <c r="T538" s="18"/>
      <c r="U538" s="16"/>
      <c r="V538" s="18"/>
      <c r="W538" s="16"/>
      <c r="X538" s="18"/>
      <c r="Y538" s="18"/>
      <c r="Z538" s="18"/>
      <c r="AA538" s="18"/>
      <c r="AB538" s="18"/>
    </row>
    <row r="539" spans="2:28" ht="15.5" customHeight="1" x14ac:dyDescent="0.35">
      <c r="B539" s="26"/>
      <c r="C539" s="18"/>
      <c r="D539" s="18"/>
      <c r="E539" s="18"/>
      <c r="F539" s="18"/>
      <c r="G539" s="18"/>
      <c r="H539" s="18"/>
      <c r="I539" s="16"/>
      <c r="J539" s="18"/>
      <c r="K539" s="18"/>
      <c r="L539" s="18"/>
      <c r="M539" s="18"/>
      <c r="N539" s="18"/>
      <c r="O539" s="16"/>
      <c r="P539" s="18"/>
      <c r="Q539" s="18"/>
      <c r="R539" s="18"/>
      <c r="S539" s="18"/>
      <c r="T539" s="18"/>
      <c r="U539" s="16"/>
      <c r="V539" s="18"/>
      <c r="W539" s="16"/>
      <c r="X539" s="18"/>
      <c r="Y539" s="18"/>
      <c r="Z539" s="18"/>
      <c r="AA539" s="18"/>
    </row>
    <row r="540" spans="2:28" x14ac:dyDescent="0.35">
      <c r="B540" s="26"/>
      <c r="C540" s="18"/>
      <c r="D540" s="18"/>
      <c r="E540" s="18"/>
      <c r="F540" s="18"/>
      <c r="G540" s="18"/>
      <c r="H540" s="18"/>
      <c r="I540" s="16"/>
      <c r="J540" s="18"/>
      <c r="K540" s="18"/>
      <c r="L540" s="18"/>
      <c r="M540" s="18"/>
      <c r="N540" s="18"/>
      <c r="O540" s="16"/>
      <c r="P540" s="18"/>
      <c r="Q540" s="18"/>
      <c r="R540" s="18"/>
      <c r="S540" s="18"/>
      <c r="T540" s="18"/>
      <c r="U540" s="16"/>
      <c r="V540" s="18"/>
      <c r="W540" s="16"/>
      <c r="X540" s="18"/>
      <c r="Y540" s="18"/>
      <c r="Z540" s="18"/>
      <c r="AA540" s="18"/>
    </row>
    <row r="541" spans="2:28" x14ac:dyDescent="0.35">
      <c r="B541" s="26"/>
      <c r="C541" s="18"/>
      <c r="D541" s="18"/>
      <c r="E541" s="18"/>
      <c r="F541" s="18"/>
      <c r="G541" s="18"/>
      <c r="H541" s="18"/>
      <c r="I541" s="16"/>
      <c r="J541" s="18"/>
      <c r="K541" s="18"/>
      <c r="L541" s="18"/>
      <c r="M541" s="18"/>
      <c r="N541" s="18"/>
      <c r="O541" s="16"/>
      <c r="P541" s="18"/>
      <c r="Q541" s="18"/>
      <c r="R541" s="18"/>
      <c r="S541" s="18"/>
      <c r="T541" s="18"/>
      <c r="U541" s="16"/>
      <c r="V541" s="18"/>
      <c r="W541" s="16"/>
      <c r="X541" s="18"/>
      <c r="Y541" s="18"/>
      <c r="Z541" s="18"/>
      <c r="AA541" s="18"/>
    </row>
    <row r="542" spans="2:28" x14ac:dyDescent="0.35">
      <c r="B542" s="26"/>
      <c r="C542" s="18"/>
      <c r="D542" s="18"/>
      <c r="E542" s="18"/>
      <c r="F542" s="18"/>
      <c r="G542" s="18"/>
      <c r="H542" s="18"/>
      <c r="I542" s="16"/>
      <c r="J542" s="18"/>
      <c r="K542" s="18"/>
      <c r="L542" s="18"/>
      <c r="M542" s="18"/>
      <c r="N542" s="18"/>
      <c r="O542" s="16"/>
      <c r="P542" s="18"/>
      <c r="Q542" s="18"/>
      <c r="R542" s="18"/>
      <c r="S542" s="18"/>
      <c r="T542" s="18"/>
      <c r="U542" s="16"/>
      <c r="V542" s="18"/>
      <c r="W542" s="16"/>
      <c r="X542" s="18"/>
      <c r="Y542" s="18"/>
      <c r="Z542" s="18"/>
      <c r="AA542" s="18"/>
    </row>
    <row r="543" spans="2:28" x14ac:dyDescent="0.35">
      <c r="B543" s="26"/>
      <c r="C543" s="18"/>
      <c r="D543" s="18"/>
      <c r="E543" s="18"/>
      <c r="F543" s="18"/>
      <c r="G543" s="18"/>
      <c r="H543" s="18"/>
      <c r="I543" s="16"/>
      <c r="J543" s="18"/>
      <c r="K543" s="18"/>
      <c r="L543" s="18"/>
      <c r="M543" s="18"/>
      <c r="N543" s="18"/>
      <c r="O543" s="16"/>
      <c r="P543" s="18"/>
      <c r="Q543" s="18"/>
      <c r="R543" s="18"/>
      <c r="S543" s="18"/>
      <c r="T543" s="18"/>
      <c r="U543" s="16"/>
      <c r="V543" s="18"/>
      <c r="W543" s="16"/>
      <c r="X543" s="18"/>
      <c r="Y543" s="18"/>
      <c r="Z543" s="18"/>
      <c r="AA543" s="18"/>
    </row>
    <row r="544" spans="2:28" x14ac:dyDescent="0.35">
      <c r="B544" s="26"/>
      <c r="C544" s="18"/>
      <c r="D544" s="18"/>
      <c r="E544" s="18"/>
      <c r="F544" s="18"/>
      <c r="G544" s="18"/>
      <c r="H544" s="18"/>
      <c r="I544" s="16"/>
      <c r="J544" s="18"/>
      <c r="K544" s="18"/>
      <c r="L544" s="18"/>
      <c r="M544" s="18"/>
      <c r="N544" s="18"/>
      <c r="O544" s="16"/>
      <c r="P544" s="18"/>
      <c r="Q544" s="18"/>
      <c r="R544" s="18"/>
      <c r="S544" s="18"/>
      <c r="T544" s="18"/>
      <c r="U544" s="16"/>
      <c r="V544" s="18"/>
      <c r="W544" s="16"/>
      <c r="X544" s="18"/>
      <c r="Y544" s="18"/>
      <c r="Z544" s="18"/>
      <c r="AA544" s="18"/>
    </row>
    <row r="545" spans="2:27" x14ac:dyDescent="0.35">
      <c r="B545" s="26"/>
      <c r="C545" s="18"/>
      <c r="D545" s="18"/>
      <c r="E545" s="18"/>
      <c r="F545" s="18"/>
      <c r="G545" s="18"/>
      <c r="H545" s="18"/>
      <c r="I545" s="16"/>
      <c r="J545" s="18"/>
      <c r="K545" s="18"/>
      <c r="L545" s="18"/>
      <c r="M545" s="18"/>
      <c r="N545" s="18"/>
      <c r="O545" s="16"/>
      <c r="P545" s="18"/>
      <c r="Q545" s="18"/>
      <c r="R545" s="18"/>
      <c r="S545" s="18"/>
      <c r="T545" s="18"/>
      <c r="U545" s="16"/>
      <c r="V545" s="18"/>
      <c r="W545" s="16"/>
      <c r="X545" s="18"/>
      <c r="Y545" s="18"/>
      <c r="Z545" s="18"/>
      <c r="AA545" s="18"/>
    </row>
    <row r="546" spans="2:27" x14ac:dyDescent="0.35">
      <c r="B546" s="26"/>
      <c r="C546" s="18"/>
      <c r="D546" s="18"/>
      <c r="E546" s="18"/>
      <c r="F546" s="18"/>
      <c r="G546" s="18"/>
      <c r="H546" s="18"/>
      <c r="I546" s="16"/>
      <c r="J546" s="18"/>
      <c r="K546" s="18"/>
      <c r="L546" s="18"/>
      <c r="M546" s="18"/>
      <c r="N546" s="18"/>
      <c r="O546" s="16"/>
      <c r="P546" s="18"/>
      <c r="Q546" s="18"/>
      <c r="R546" s="18"/>
      <c r="S546" s="18"/>
      <c r="T546" s="18"/>
      <c r="U546" s="16"/>
      <c r="V546" s="18"/>
      <c r="W546" s="16"/>
      <c r="X546" s="18"/>
      <c r="Y546" s="18"/>
      <c r="Z546" s="18"/>
      <c r="AA546" s="18"/>
    </row>
    <row r="547" spans="2:27" x14ac:dyDescent="0.35">
      <c r="B547" s="26"/>
      <c r="C547" s="18"/>
      <c r="D547" s="18"/>
      <c r="E547" s="18"/>
      <c r="F547" s="18"/>
      <c r="G547" s="18"/>
      <c r="H547" s="18"/>
      <c r="I547" s="16"/>
      <c r="J547" s="18"/>
      <c r="K547" s="18"/>
      <c r="L547" s="18"/>
      <c r="M547" s="18"/>
      <c r="N547" s="18"/>
      <c r="O547" s="16"/>
      <c r="P547" s="18"/>
      <c r="Q547" s="18"/>
      <c r="R547" s="18"/>
      <c r="S547" s="18"/>
      <c r="T547" s="18"/>
      <c r="U547" s="16"/>
      <c r="V547" s="18"/>
      <c r="W547" s="16"/>
      <c r="X547" s="18"/>
      <c r="Y547" s="18"/>
      <c r="Z547" s="18"/>
      <c r="AA547" s="18"/>
    </row>
    <row r="548" spans="2:27" x14ac:dyDescent="0.35">
      <c r="B548" s="26"/>
      <c r="C548" s="18"/>
      <c r="D548" s="18"/>
      <c r="E548" s="18"/>
      <c r="F548" s="18"/>
      <c r="G548" s="18"/>
      <c r="H548" s="18"/>
      <c r="I548" s="16"/>
      <c r="J548" s="18"/>
      <c r="K548" s="18"/>
      <c r="L548" s="18"/>
      <c r="M548" s="18"/>
      <c r="N548" s="18"/>
      <c r="O548" s="16"/>
      <c r="P548" s="18"/>
      <c r="Q548" s="18"/>
      <c r="R548" s="18"/>
      <c r="S548" s="18"/>
      <c r="T548" s="18"/>
      <c r="U548" s="16"/>
      <c r="V548" s="18"/>
      <c r="W548" s="16"/>
      <c r="X548" s="18"/>
      <c r="Y548" s="18"/>
      <c r="Z548" s="18"/>
      <c r="AA548" s="18"/>
    </row>
    <row r="549" spans="2:27" x14ac:dyDescent="0.35">
      <c r="B549" s="26"/>
      <c r="C549" s="18"/>
      <c r="D549" s="18"/>
      <c r="E549" s="18"/>
      <c r="F549" s="18"/>
      <c r="G549" s="18"/>
      <c r="H549" s="18"/>
      <c r="I549" s="16"/>
      <c r="J549" s="18"/>
      <c r="K549" s="18"/>
      <c r="L549" s="18"/>
      <c r="M549" s="18"/>
      <c r="N549" s="18"/>
      <c r="O549" s="16"/>
      <c r="P549" s="18"/>
      <c r="Q549" s="18"/>
      <c r="R549" s="18"/>
      <c r="S549" s="18"/>
      <c r="T549" s="18"/>
      <c r="U549" s="16"/>
      <c r="V549" s="18"/>
      <c r="W549" s="16"/>
      <c r="X549" s="18"/>
      <c r="Y549" s="18"/>
      <c r="Z549" s="18"/>
      <c r="AA549" s="18"/>
    </row>
    <row r="550" spans="2:27" x14ac:dyDescent="0.35">
      <c r="B550" s="26"/>
      <c r="C550" s="18"/>
      <c r="D550" s="18"/>
      <c r="E550" s="18"/>
      <c r="F550" s="18"/>
      <c r="G550" s="18"/>
      <c r="H550" s="18"/>
      <c r="I550" s="16"/>
      <c r="J550" s="18"/>
      <c r="K550" s="18"/>
      <c r="L550" s="18"/>
      <c r="M550" s="18"/>
      <c r="N550" s="18"/>
      <c r="O550" s="16"/>
      <c r="P550" s="18"/>
      <c r="Q550" s="18"/>
      <c r="R550" s="18"/>
      <c r="S550" s="18"/>
      <c r="T550" s="18"/>
      <c r="U550" s="16"/>
      <c r="V550" s="18"/>
      <c r="W550" s="16"/>
      <c r="X550" s="18"/>
      <c r="Y550" s="18"/>
      <c r="Z550" s="18"/>
      <c r="AA550" s="18"/>
    </row>
    <row r="551" spans="2:27" x14ac:dyDescent="0.35">
      <c r="B551" s="18"/>
      <c r="C551" s="18"/>
      <c r="D551" s="18"/>
      <c r="E551" s="18"/>
      <c r="F551" s="18"/>
      <c r="G551" s="18"/>
      <c r="H551" s="18"/>
      <c r="I551" s="16"/>
      <c r="J551" s="18"/>
      <c r="K551" s="18"/>
      <c r="L551" s="18"/>
      <c r="M551" s="18"/>
      <c r="N551" s="18"/>
      <c r="O551" s="16"/>
      <c r="P551" s="18"/>
      <c r="Q551" s="18"/>
      <c r="R551" s="18"/>
      <c r="S551" s="18"/>
      <c r="T551" s="18"/>
      <c r="U551" s="16"/>
      <c r="V551" s="18"/>
      <c r="W551" s="16"/>
      <c r="X551" s="18"/>
      <c r="Y551" s="18"/>
      <c r="Z551" s="18"/>
      <c r="AA551" s="18"/>
    </row>
    <row r="552" spans="2:27" x14ac:dyDescent="0.35">
      <c r="B552" s="18"/>
      <c r="C552" s="18"/>
      <c r="D552" s="18"/>
      <c r="E552" s="18"/>
      <c r="F552" s="18"/>
      <c r="G552" s="18"/>
      <c r="H552" s="18"/>
      <c r="I552" s="16"/>
      <c r="J552" s="18"/>
      <c r="K552" s="18"/>
      <c r="L552" s="18"/>
      <c r="M552" s="18"/>
      <c r="N552" s="18"/>
      <c r="O552" s="16"/>
      <c r="P552" s="18"/>
      <c r="Q552" s="18"/>
      <c r="R552" s="18"/>
      <c r="S552" s="18"/>
      <c r="T552" s="18"/>
      <c r="U552" s="16"/>
      <c r="V552" s="18"/>
      <c r="W552" s="16"/>
      <c r="X552" s="18"/>
      <c r="Y552" s="18"/>
      <c r="Z552" s="18"/>
      <c r="AA552" s="18"/>
    </row>
    <row r="553" spans="2:27" x14ac:dyDescent="0.35">
      <c r="B553" s="18"/>
      <c r="C553" s="18"/>
      <c r="D553" s="18"/>
      <c r="E553" s="18"/>
      <c r="F553" s="18"/>
      <c r="G553" s="18"/>
      <c r="H553" s="18"/>
      <c r="I553" s="16"/>
      <c r="J553" s="18"/>
      <c r="K553" s="18"/>
      <c r="L553" s="18"/>
      <c r="M553" s="18"/>
      <c r="N553" s="18"/>
      <c r="O553" s="16"/>
      <c r="P553" s="18"/>
      <c r="Q553" s="18"/>
      <c r="R553" s="18"/>
      <c r="S553" s="18"/>
      <c r="T553" s="18"/>
      <c r="U553" s="16"/>
      <c r="V553" s="18"/>
      <c r="W553" s="16"/>
      <c r="X553" s="18"/>
      <c r="Y553" s="18"/>
      <c r="Z553" s="18"/>
      <c r="AA553" s="18"/>
    </row>
    <row r="554" spans="2:27" x14ac:dyDescent="0.35">
      <c r="B554" s="18"/>
      <c r="C554" s="18"/>
      <c r="D554" s="18"/>
      <c r="E554" s="18"/>
      <c r="F554" s="18"/>
      <c r="G554" s="18"/>
      <c r="H554" s="18"/>
      <c r="I554" s="16"/>
      <c r="J554" s="18"/>
      <c r="K554" s="18"/>
      <c r="L554" s="18"/>
      <c r="M554" s="18"/>
      <c r="N554" s="18"/>
      <c r="O554" s="16"/>
      <c r="P554" s="18"/>
      <c r="Q554" s="18"/>
      <c r="R554" s="18"/>
      <c r="S554" s="18"/>
      <c r="T554" s="18"/>
      <c r="U554" s="16"/>
      <c r="V554" s="18"/>
      <c r="W554" s="16"/>
      <c r="X554" s="18"/>
      <c r="Y554" s="18"/>
      <c r="Z554" s="18"/>
      <c r="AA554" s="18"/>
    </row>
    <row r="555" spans="2:27" x14ac:dyDescent="0.35">
      <c r="B555" s="18"/>
      <c r="C555" s="18"/>
      <c r="D555" s="18"/>
      <c r="E555" s="18"/>
      <c r="F555" s="18"/>
      <c r="G555" s="18"/>
      <c r="H555" s="18"/>
      <c r="I555" s="16"/>
      <c r="J555" s="18"/>
      <c r="K555" s="18"/>
      <c r="L555" s="18"/>
      <c r="M555" s="18"/>
      <c r="N555" s="18"/>
      <c r="O555" s="16"/>
      <c r="P555" s="18"/>
      <c r="Q555" s="18"/>
      <c r="R555" s="18"/>
      <c r="S555" s="18"/>
      <c r="T555" s="18"/>
      <c r="U555" s="16"/>
      <c r="V555" s="18"/>
      <c r="W555" s="16"/>
      <c r="X555" s="18"/>
      <c r="Y555" s="18"/>
      <c r="Z555" s="18"/>
      <c r="AA555" s="18"/>
    </row>
    <row r="556" spans="2:27" x14ac:dyDescent="0.35">
      <c r="B556" s="18"/>
      <c r="C556" s="18"/>
      <c r="D556" s="18"/>
      <c r="E556" s="18"/>
      <c r="F556" s="18"/>
      <c r="G556" s="18"/>
      <c r="H556" s="18"/>
      <c r="I556" s="16"/>
      <c r="J556" s="18"/>
      <c r="K556" s="18"/>
      <c r="L556" s="18"/>
      <c r="M556" s="18"/>
      <c r="N556" s="18"/>
      <c r="O556" s="16"/>
      <c r="P556" s="18"/>
      <c r="Q556" s="18"/>
      <c r="R556" s="18"/>
      <c r="S556" s="18"/>
      <c r="T556" s="18"/>
      <c r="U556" s="16"/>
      <c r="V556" s="18"/>
      <c r="W556" s="16"/>
      <c r="X556" s="18"/>
      <c r="Y556" s="18"/>
      <c r="Z556" s="18"/>
      <c r="AA556" s="18"/>
    </row>
    <row r="557" spans="2:27" x14ac:dyDescent="0.35">
      <c r="B557" s="18"/>
      <c r="C557" s="18"/>
      <c r="D557" s="18"/>
      <c r="E557" s="18"/>
      <c r="F557" s="18"/>
      <c r="G557" s="18"/>
      <c r="H557" s="18"/>
      <c r="I557" s="16"/>
      <c r="J557" s="18"/>
      <c r="K557" s="18"/>
      <c r="L557" s="18"/>
      <c r="M557" s="18"/>
      <c r="N557" s="18"/>
      <c r="O557" s="16"/>
      <c r="P557" s="18"/>
      <c r="Q557" s="18"/>
      <c r="R557" s="18"/>
      <c r="S557" s="18"/>
      <c r="T557" s="18"/>
      <c r="U557" s="16"/>
      <c r="V557" s="18"/>
      <c r="W557" s="16"/>
      <c r="X557" s="18"/>
      <c r="Y557" s="18"/>
      <c r="Z557" s="18"/>
      <c r="AA557" s="18"/>
    </row>
    <row r="558" spans="2:27" x14ac:dyDescent="0.35">
      <c r="B558" s="18"/>
      <c r="C558" s="18"/>
      <c r="D558" s="18"/>
      <c r="E558" s="18"/>
      <c r="F558" s="18"/>
      <c r="G558" s="18"/>
      <c r="H558" s="18"/>
      <c r="I558" s="16"/>
      <c r="J558" s="18"/>
      <c r="K558" s="18"/>
      <c r="L558" s="18"/>
      <c r="M558" s="18"/>
      <c r="N558" s="18"/>
      <c r="O558" s="16"/>
      <c r="P558" s="18"/>
      <c r="Q558" s="18"/>
      <c r="R558" s="18"/>
      <c r="S558" s="18"/>
      <c r="T558" s="18"/>
      <c r="U558" s="16"/>
      <c r="V558" s="18"/>
      <c r="W558" s="16"/>
      <c r="X558" s="18"/>
      <c r="Y558" s="18"/>
      <c r="Z558" s="18"/>
      <c r="AA558" s="18"/>
    </row>
    <row r="559" spans="2:27" x14ac:dyDescent="0.35">
      <c r="B559" s="18"/>
      <c r="C559" s="18"/>
      <c r="D559" s="18"/>
      <c r="E559" s="18"/>
      <c r="F559" s="18"/>
      <c r="G559" s="18"/>
      <c r="H559" s="18"/>
      <c r="I559" s="16"/>
      <c r="J559" s="18"/>
      <c r="K559" s="18"/>
      <c r="L559" s="18"/>
      <c r="M559" s="18"/>
      <c r="N559" s="18"/>
      <c r="O559" s="16"/>
      <c r="P559" s="18"/>
      <c r="Q559" s="18"/>
      <c r="R559" s="18"/>
      <c r="S559" s="18"/>
      <c r="T559" s="18"/>
      <c r="U559" s="16"/>
      <c r="V559" s="18"/>
      <c r="W559" s="16"/>
      <c r="X559" s="18"/>
      <c r="Y559" s="18"/>
      <c r="Z559" s="18"/>
      <c r="AA559" s="18"/>
    </row>
    <row r="560" spans="2:27" x14ac:dyDescent="0.35">
      <c r="B560" s="18"/>
      <c r="C560" s="18"/>
      <c r="D560" s="18"/>
      <c r="E560" s="18"/>
      <c r="F560" s="18"/>
      <c r="G560" s="18"/>
      <c r="H560" s="18"/>
      <c r="I560" s="16"/>
      <c r="J560" s="18"/>
      <c r="K560" s="18"/>
      <c r="L560" s="18"/>
      <c r="M560" s="18"/>
      <c r="N560" s="18"/>
      <c r="O560" s="16"/>
      <c r="P560" s="18"/>
      <c r="Q560" s="18"/>
      <c r="R560" s="18"/>
      <c r="S560" s="18"/>
      <c r="T560" s="18"/>
      <c r="U560" s="16"/>
      <c r="V560" s="18"/>
      <c r="W560" s="16"/>
      <c r="X560" s="18"/>
      <c r="Y560" s="18"/>
      <c r="Z560" s="18"/>
      <c r="AA560" s="18"/>
    </row>
    <row r="561" spans="2:27" x14ac:dyDescent="0.35">
      <c r="B561" s="18"/>
      <c r="C561" s="18"/>
      <c r="D561" s="18"/>
      <c r="E561" s="18"/>
      <c r="F561" s="18"/>
      <c r="G561" s="18"/>
      <c r="H561" s="18"/>
      <c r="I561" s="16"/>
      <c r="J561" s="18"/>
      <c r="K561" s="18"/>
      <c r="L561" s="18"/>
      <c r="M561" s="18"/>
      <c r="N561" s="18"/>
      <c r="O561" s="16"/>
      <c r="P561" s="18"/>
      <c r="Q561" s="18"/>
      <c r="R561" s="18"/>
      <c r="S561" s="18"/>
      <c r="T561" s="18"/>
      <c r="U561" s="16"/>
      <c r="V561" s="18"/>
      <c r="W561" s="16"/>
      <c r="X561" s="18"/>
      <c r="Y561" s="18"/>
      <c r="Z561" s="18"/>
      <c r="AA561" s="18"/>
    </row>
    <row r="562" spans="2:27" x14ac:dyDescent="0.35">
      <c r="B562" s="18"/>
      <c r="C562" s="18"/>
      <c r="D562" s="18"/>
      <c r="E562" s="18"/>
      <c r="F562" s="18"/>
      <c r="G562" s="18"/>
      <c r="H562" s="18"/>
      <c r="I562" s="16"/>
      <c r="J562" s="18"/>
      <c r="K562" s="18"/>
      <c r="L562" s="18"/>
      <c r="M562" s="18"/>
      <c r="N562" s="18"/>
      <c r="O562" s="16"/>
      <c r="P562" s="18"/>
      <c r="Q562" s="18"/>
      <c r="R562" s="18"/>
      <c r="S562" s="18"/>
      <c r="T562" s="18"/>
      <c r="U562" s="16"/>
      <c r="V562" s="18"/>
      <c r="W562" s="16"/>
      <c r="X562" s="18"/>
      <c r="Y562" s="18"/>
      <c r="Z562" s="18"/>
      <c r="AA562" s="18"/>
    </row>
    <row r="563" spans="2:27" x14ac:dyDescent="0.35">
      <c r="B563" s="18"/>
      <c r="C563" s="18"/>
      <c r="D563" s="18"/>
      <c r="E563" s="18"/>
      <c r="F563" s="18"/>
      <c r="G563" s="18"/>
      <c r="H563" s="18"/>
      <c r="I563" s="16"/>
      <c r="J563" s="18"/>
      <c r="K563" s="18"/>
      <c r="L563" s="18"/>
      <c r="M563" s="18"/>
      <c r="N563" s="18"/>
      <c r="O563" s="16"/>
      <c r="P563" s="18"/>
      <c r="Q563" s="18"/>
      <c r="R563" s="18"/>
      <c r="S563" s="18"/>
      <c r="T563" s="18"/>
      <c r="U563" s="16"/>
      <c r="V563" s="18"/>
      <c r="W563" s="16"/>
      <c r="X563" s="18"/>
      <c r="Y563" s="18"/>
      <c r="Z563" s="18"/>
      <c r="AA563" s="18"/>
    </row>
    <row r="564" spans="2:27" x14ac:dyDescent="0.35">
      <c r="B564" s="18"/>
      <c r="C564" s="18"/>
      <c r="D564" s="18"/>
      <c r="E564" s="18"/>
      <c r="F564" s="18"/>
      <c r="G564" s="18"/>
      <c r="H564" s="18"/>
      <c r="I564" s="16"/>
      <c r="J564" s="18"/>
      <c r="K564" s="18"/>
      <c r="L564" s="18"/>
      <c r="M564" s="18"/>
      <c r="N564" s="18"/>
      <c r="O564" s="16"/>
      <c r="P564" s="18"/>
      <c r="Q564" s="18"/>
      <c r="R564" s="18"/>
      <c r="S564" s="18"/>
      <c r="T564" s="18"/>
      <c r="U564" s="16"/>
      <c r="V564" s="18"/>
      <c r="W564" s="16"/>
      <c r="X564" s="18"/>
      <c r="Y564" s="18"/>
      <c r="Z564" s="18"/>
      <c r="AA564" s="18"/>
    </row>
    <row r="565" spans="2:27" x14ac:dyDescent="0.35">
      <c r="B565" s="18"/>
      <c r="C565" s="18"/>
      <c r="D565" s="18"/>
      <c r="E565" s="18"/>
      <c r="F565" s="18"/>
      <c r="G565" s="18"/>
      <c r="H565" s="18"/>
      <c r="I565" s="16"/>
      <c r="J565" s="18"/>
      <c r="K565" s="18"/>
      <c r="L565" s="18"/>
      <c r="M565" s="18"/>
      <c r="N565" s="18"/>
      <c r="O565" s="16"/>
      <c r="P565" s="18"/>
      <c r="Q565" s="18"/>
      <c r="R565" s="18"/>
      <c r="S565" s="18"/>
      <c r="T565" s="18"/>
      <c r="U565" s="16"/>
      <c r="V565" s="18"/>
      <c r="W565" s="16"/>
      <c r="X565" s="18"/>
      <c r="Y565" s="18"/>
      <c r="Z565" s="18"/>
      <c r="AA565" s="18"/>
    </row>
    <row r="566" spans="2:27" x14ac:dyDescent="0.35">
      <c r="B566" s="18"/>
      <c r="C566" s="18"/>
      <c r="D566" s="18"/>
      <c r="E566" s="18"/>
      <c r="F566" s="18"/>
      <c r="G566" s="18"/>
      <c r="H566" s="18"/>
      <c r="I566" s="16"/>
      <c r="J566" s="18"/>
      <c r="K566" s="18"/>
      <c r="L566" s="18"/>
      <c r="M566" s="18"/>
      <c r="N566" s="18"/>
      <c r="O566" s="16"/>
      <c r="P566" s="18"/>
      <c r="Q566" s="18"/>
      <c r="R566" s="18"/>
      <c r="S566" s="18"/>
      <c r="T566" s="18"/>
      <c r="U566" s="16"/>
      <c r="V566" s="18"/>
      <c r="W566" s="16"/>
      <c r="X566" s="18"/>
      <c r="Y566" s="18"/>
      <c r="Z566" s="18"/>
      <c r="AA566" s="18"/>
    </row>
    <row r="567" spans="2:27" x14ac:dyDescent="0.35">
      <c r="B567" s="18"/>
      <c r="C567" s="18"/>
      <c r="D567" s="18"/>
      <c r="E567" s="18"/>
      <c r="F567" s="18"/>
      <c r="G567" s="18"/>
      <c r="H567" s="18"/>
      <c r="I567" s="16"/>
      <c r="J567" s="18"/>
      <c r="K567" s="18"/>
      <c r="L567" s="18"/>
      <c r="M567" s="18"/>
      <c r="N567" s="18"/>
      <c r="O567" s="16"/>
      <c r="P567" s="18"/>
      <c r="Q567" s="18"/>
      <c r="R567" s="18"/>
      <c r="S567" s="18"/>
      <c r="T567" s="18"/>
      <c r="U567" s="16"/>
      <c r="V567" s="18"/>
      <c r="W567" s="16"/>
      <c r="X567" s="18"/>
      <c r="Y567" s="18"/>
      <c r="Z567" s="18"/>
      <c r="AA567" s="18"/>
    </row>
    <row r="568" spans="2:27" x14ac:dyDescent="0.35">
      <c r="B568" s="18"/>
      <c r="C568" s="18"/>
      <c r="D568" s="18"/>
      <c r="E568" s="18"/>
      <c r="F568" s="18"/>
      <c r="G568" s="18"/>
      <c r="H568" s="18"/>
      <c r="I568" s="16"/>
      <c r="J568" s="18"/>
      <c r="K568" s="18"/>
      <c r="L568" s="18"/>
      <c r="M568" s="18"/>
      <c r="N568" s="18"/>
      <c r="O568" s="16"/>
      <c r="P568" s="18"/>
      <c r="Q568" s="18"/>
      <c r="R568" s="18"/>
      <c r="S568" s="18"/>
      <c r="T568" s="18"/>
      <c r="U568" s="16"/>
      <c r="V568" s="18"/>
      <c r="W568" s="16"/>
      <c r="X568" s="18"/>
      <c r="Y568" s="18"/>
      <c r="Z568" s="18"/>
      <c r="AA568" s="18"/>
    </row>
    <row r="569" spans="2:27" x14ac:dyDescent="0.35">
      <c r="B569" s="18"/>
      <c r="C569" s="18"/>
      <c r="D569" s="18"/>
      <c r="E569" s="18"/>
      <c r="F569" s="18"/>
      <c r="G569" s="18"/>
      <c r="H569" s="18"/>
      <c r="I569" s="16"/>
      <c r="J569" s="18"/>
      <c r="K569" s="18"/>
      <c r="L569" s="18"/>
      <c r="M569" s="18"/>
      <c r="N569" s="18"/>
      <c r="O569" s="16"/>
      <c r="P569" s="18"/>
      <c r="Q569" s="18"/>
      <c r="R569" s="18"/>
      <c r="S569" s="18"/>
      <c r="T569" s="18"/>
      <c r="U569" s="16"/>
      <c r="V569" s="18"/>
      <c r="W569" s="16"/>
      <c r="X569" s="18"/>
      <c r="Y569" s="18"/>
      <c r="Z569" s="18"/>
      <c r="AA569" s="18"/>
    </row>
    <row r="570" spans="2:27" x14ac:dyDescent="0.35">
      <c r="B570" s="18"/>
      <c r="C570" s="18"/>
      <c r="D570" s="18"/>
      <c r="E570" s="18"/>
      <c r="F570" s="18"/>
      <c r="G570" s="18"/>
      <c r="H570" s="18"/>
      <c r="I570" s="16"/>
      <c r="J570" s="18"/>
      <c r="K570" s="18"/>
      <c r="L570" s="18"/>
      <c r="M570" s="18"/>
      <c r="N570" s="18"/>
      <c r="O570" s="16"/>
      <c r="P570" s="18"/>
      <c r="Q570" s="18"/>
      <c r="R570" s="18"/>
      <c r="S570" s="18"/>
      <c r="T570" s="18"/>
      <c r="U570" s="16"/>
      <c r="V570" s="18"/>
      <c r="W570" s="16"/>
      <c r="X570" s="18"/>
      <c r="Y570" s="18"/>
      <c r="Z570" s="18"/>
      <c r="AA570" s="18"/>
    </row>
    <row r="571" spans="2:27" x14ac:dyDescent="0.35">
      <c r="B571" s="18"/>
      <c r="C571" s="18"/>
      <c r="D571" s="18"/>
      <c r="E571" s="18"/>
      <c r="F571" s="18"/>
      <c r="G571" s="18"/>
      <c r="H571" s="18"/>
      <c r="I571" s="16"/>
      <c r="J571" s="18"/>
      <c r="K571" s="18"/>
      <c r="L571" s="18"/>
      <c r="M571" s="18"/>
      <c r="N571" s="18"/>
      <c r="O571" s="16"/>
      <c r="P571" s="18"/>
      <c r="Q571" s="18"/>
      <c r="R571" s="18"/>
      <c r="S571" s="18"/>
      <c r="T571" s="18"/>
      <c r="U571" s="16"/>
      <c r="V571" s="18"/>
      <c r="W571" s="16"/>
      <c r="X571" s="18"/>
      <c r="Y571" s="18"/>
      <c r="Z571" s="18"/>
      <c r="AA571" s="18"/>
    </row>
    <row r="572" spans="2:27" x14ac:dyDescent="0.35">
      <c r="B572" s="18"/>
      <c r="C572" s="18"/>
      <c r="D572" s="18"/>
      <c r="E572" s="18"/>
      <c r="F572" s="18"/>
      <c r="G572" s="18"/>
      <c r="H572" s="18"/>
      <c r="I572" s="16"/>
      <c r="J572" s="18"/>
      <c r="K572" s="18"/>
      <c r="L572" s="18"/>
      <c r="M572" s="18"/>
      <c r="N572" s="18"/>
      <c r="O572" s="16"/>
      <c r="P572" s="18"/>
      <c r="Q572" s="18"/>
      <c r="R572" s="18"/>
      <c r="S572" s="18"/>
      <c r="T572" s="18"/>
      <c r="U572" s="16"/>
      <c r="V572" s="18"/>
      <c r="W572" s="16"/>
      <c r="X572" s="18"/>
      <c r="Y572" s="18"/>
      <c r="Z572" s="18"/>
      <c r="AA572" s="18"/>
    </row>
    <row r="573" spans="2:27" x14ac:dyDescent="0.35">
      <c r="B573" s="18"/>
      <c r="C573" s="18"/>
      <c r="D573" s="18"/>
      <c r="E573" s="18"/>
      <c r="F573" s="18"/>
      <c r="G573" s="18"/>
      <c r="H573" s="18"/>
      <c r="I573" s="16"/>
      <c r="J573" s="18"/>
      <c r="K573" s="18"/>
      <c r="L573" s="18"/>
      <c r="M573" s="18"/>
      <c r="N573" s="18"/>
      <c r="O573" s="16"/>
      <c r="P573" s="18"/>
      <c r="Q573" s="18"/>
      <c r="R573" s="18"/>
      <c r="S573" s="18"/>
      <c r="T573" s="18"/>
      <c r="U573" s="16"/>
      <c r="V573" s="18"/>
      <c r="W573" s="16"/>
      <c r="X573" s="18"/>
      <c r="Y573" s="18"/>
      <c r="Z573" s="18"/>
      <c r="AA573" s="18"/>
    </row>
    <row r="574" spans="2:27" x14ac:dyDescent="0.35">
      <c r="B574" s="18"/>
      <c r="C574" s="18"/>
      <c r="D574" s="18"/>
      <c r="E574" s="18"/>
      <c r="F574" s="18"/>
      <c r="G574" s="18"/>
      <c r="H574" s="18"/>
      <c r="I574" s="16"/>
      <c r="J574" s="18"/>
      <c r="K574" s="18"/>
      <c r="L574" s="18"/>
      <c r="M574" s="18"/>
      <c r="N574" s="18"/>
      <c r="O574" s="16"/>
      <c r="P574" s="18"/>
      <c r="Q574" s="18"/>
      <c r="R574" s="18"/>
      <c r="S574" s="18"/>
      <c r="T574" s="18"/>
      <c r="U574" s="16"/>
      <c r="V574" s="18"/>
      <c r="W574" s="16"/>
      <c r="X574" s="18"/>
      <c r="Y574" s="18"/>
      <c r="Z574" s="18"/>
      <c r="AA574" s="18"/>
    </row>
    <row r="575" spans="2:27" x14ac:dyDescent="0.35">
      <c r="B575" s="18"/>
      <c r="C575" s="18"/>
      <c r="D575" s="18"/>
      <c r="E575" s="18"/>
      <c r="F575" s="18"/>
      <c r="G575" s="18"/>
      <c r="H575" s="18"/>
      <c r="I575" s="16"/>
      <c r="J575" s="18"/>
      <c r="K575" s="18"/>
      <c r="L575" s="18"/>
      <c r="M575" s="18"/>
      <c r="N575" s="18"/>
      <c r="O575" s="16"/>
      <c r="P575" s="18"/>
      <c r="Q575" s="18"/>
      <c r="R575" s="18"/>
      <c r="S575" s="18"/>
      <c r="T575" s="18"/>
      <c r="U575" s="16"/>
      <c r="V575" s="18"/>
      <c r="W575" s="16"/>
      <c r="X575" s="18"/>
      <c r="Y575" s="18"/>
      <c r="Z575" s="18"/>
      <c r="AA575" s="18"/>
    </row>
    <row r="576" spans="2:27" x14ac:dyDescent="0.35">
      <c r="B576" s="18"/>
      <c r="C576" s="18"/>
      <c r="D576" s="18"/>
      <c r="E576" s="18"/>
      <c r="F576" s="18"/>
      <c r="G576" s="18"/>
      <c r="H576" s="18"/>
      <c r="I576" s="16"/>
      <c r="J576" s="18"/>
      <c r="K576" s="18"/>
      <c r="L576" s="18"/>
      <c r="M576" s="18"/>
      <c r="N576" s="18"/>
      <c r="O576" s="16"/>
      <c r="P576" s="18"/>
      <c r="Q576" s="18"/>
      <c r="R576" s="18"/>
      <c r="S576" s="18"/>
      <c r="T576" s="18"/>
      <c r="U576" s="16"/>
      <c r="V576" s="18"/>
      <c r="W576" s="16"/>
      <c r="X576" s="18"/>
      <c r="Y576" s="18"/>
      <c r="Z576" s="18"/>
      <c r="AA576" s="18"/>
    </row>
    <row r="577" spans="2:27" x14ac:dyDescent="0.35">
      <c r="B577" s="18"/>
      <c r="C577" s="18"/>
      <c r="D577" s="18"/>
      <c r="E577" s="18"/>
      <c r="F577" s="18"/>
      <c r="G577" s="18"/>
      <c r="H577" s="18"/>
      <c r="I577" s="16"/>
      <c r="J577" s="18"/>
      <c r="K577" s="18"/>
      <c r="L577" s="18"/>
      <c r="M577" s="18"/>
      <c r="N577" s="18"/>
      <c r="O577" s="16"/>
      <c r="P577" s="18"/>
      <c r="Q577" s="18"/>
      <c r="R577" s="18"/>
      <c r="S577" s="18"/>
      <c r="T577" s="18"/>
      <c r="U577" s="16"/>
      <c r="V577" s="18"/>
      <c r="W577" s="16"/>
      <c r="X577" s="18"/>
      <c r="Y577" s="18"/>
      <c r="Z577" s="18"/>
      <c r="AA577" s="18"/>
    </row>
    <row r="578" spans="2:27" x14ac:dyDescent="0.35">
      <c r="B578" s="18"/>
      <c r="C578" s="18"/>
      <c r="D578" s="18"/>
      <c r="E578" s="18"/>
      <c r="F578" s="18"/>
      <c r="G578" s="18"/>
      <c r="H578" s="18"/>
      <c r="I578" s="16"/>
      <c r="J578" s="18"/>
      <c r="K578" s="18"/>
      <c r="L578" s="18"/>
      <c r="M578" s="18"/>
      <c r="N578" s="18"/>
      <c r="O578" s="16"/>
      <c r="P578" s="18"/>
      <c r="Q578" s="18"/>
      <c r="R578" s="18"/>
      <c r="S578" s="18"/>
      <c r="T578" s="18"/>
      <c r="U578" s="16"/>
      <c r="V578" s="18"/>
      <c r="W578" s="16"/>
      <c r="X578" s="18"/>
      <c r="Y578" s="18"/>
      <c r="Z578" s="18"/>
      <c r="AA578" s="18"/>
    </row>
    <row r="579" spans="2:27" x14ac:dyDescent="0.35">
      <c r="B579" s="18"/>
      <c r="C579" s="18"/>
      <c r="D579" s="18"/>
      <c r="E579" s="18"/>
      <c r="F579" s="18"/>
      <c r="G579" s="18"/>
      <c r="H579" s="18"/>
      <c r="I579" s="16"/>
      <c r="J579" s="18"/>
      <c r="K579" s="18"/>
      <c r="L579" s="18"/>
      <c r="M579" s="18"/>
      <c r="N579" s="18"/>
      <c r="O579" s="16"/>
      <c r="P579" s="18"/>
      <c r="Q579" s="18"/>
      <c r="R579" s="18"/>
      <c r="S579" s="18"/>
      <c r="T579" s="18"/>
      <c r="U579" s="16"/>
      <c r="V579" s="18"/>
      <c r="W579" s="16"/>
      <c r="X579" s="18"/>
      <c r="Y579" s="18"/>
      <c r="Z579" s="18"/>
      <c r="AA579" s="18"/>
    </row>
    <row r="580" spans="2:27" x14ac:dyDescent="0.35">
      <c r="B580" s="18"/>
      <c r="C580" s="18"/>
      <c r="D580" s="18"/>
      <c r="E580" s="18"/>
      <c r="F580" s="18"/>
      <c r="G580" s="18"/>
      <c r="H580" s="18"/>
      <c r="I580" s="16"/>
      <c r="J580" s="18"/>
      <c r="K580" s="18"/>
      <c r="L580" s="18"/>
      <c r="M580" s="18"/>
      <c r="N580" s="18"/>
      <c r="O580" s="16"/>
      <c r="P580" s="18"/>
      <c r="Q580" s="18"/>
      <c r="R580" s="18"/>
      <c r="S580" s="18"/>
      <c r="T580" s="18"/>
      <c r="U580" s="16"/>
      <c r="V580" s="18"/>
      <c r="W580" s="16"/>
      <c r="X580" s="18"/>
      <c r="Y580" s="18"/>
      <c r="Z580" s="18"/>
      <c r="AA580" s="18"/>
    </row>
    <row r="581" spans="2:27" x14ac:dyDescent="0.35">
      <c r="B581" s="18"/>
      <c r="C581" s="18"/>
      <c r="D581" s="18"/>
      <c r="E581" s="18"/>
      <c r="F581" s="18"/>
      <c r="G581" s="18"/>
      <c r="H581" s="18"/>
      <c r="I581" s="16"/>
      <c r="J581" s="18"/>
      <c r="K581" s="18"/>
      <c r="L581" s="18"/>
      <c r="M581" s="18"/>
      <c r="N581" s="18"/>
      <c r="O581" s="16"/>
      <c r="P581" s="18"/>
      <c r="Q581" s="18"/>
      <c r="R581" s="18"/>
      <c r="S581" s="18"/>
      <c r="T581" s="18"/>
      <c r="U581" s="16"/>
      <c r="V581" s="18"/>
      <c r="W581" s="16"/>
      <c r="X581" s="18"/>
      <c r="Y581" s="18"/>
      <c r="Z581" s="18"/>
      <c r="AA581" s="18"/>
    </row>
    <row r="582" spans="2:27" x14ac:dyDescent="0.35">
      <c r="B582" s="18"/>
      <c r="C582" s="18"/>
      <c r="D582" s="18"/>
      <c r="E582" s="18"/>
      <c r="F582" s="18"/>
      <c r="G582" s="18"/>
      <c r="H582" s="18"/>
      <c r="I582" s="16"/>
      <c r="J582" s="18"/>
      <c r="K582" s="18"/>
      <c r="L582" s="18"/>
      <c r="M582" s="18"/>
      <c r="N582" s="18"/>
      <c r="O582" s="16"/>
      <c r="P582" s="18"/>
      <c r="Q582" s="18"/>
      <c r="R582" s="18"/>
      <c r="S582" s="18"/>
      <c r="T582" s="18"/>
      <c r="U582" s="16"/>
      <c r="V582" s="18"/>
      <c r="W582" s="16"/>
      <c r="X582" s="18"/>
      <c r="Y582" s="18"/>
      <c r="Z582" s="18"/>
      <c r="AA582" s="18"/>
    </row>
    <row r="583" spans="2:27" x14ac:dyDescent="0.35">
      <c r="B583" s="18"/>
      <c r="C583" s="18"/>
      <c r="D583" s="18"/>
      <c r="E583" s="18"/>
      <c r="F583" s="18"/>
      <c r="G583" s="18"/>
      <c r="H583" s="18"/>
      <c r="I583" s="16"/>
      <c r="J583" s="18"/>
      <c r="K583" s="18"/>
      <c r="L583" s="18"/>
      <c r="M583" s="18"/>
      <c r="N583" s="18"/>
      <c r="O583" s="16"/>
      <c r="P583" s="18"/>
      <c r="Q583" s="18"/>
      <c r="R583" s="18"/>
      <c r="S583" s="18"/>
      <c r="T583" s="18"/>
      <c r="U583" s="16"/>
      <c r="V583" s="18"/>
      <c r="W583" s="16"/>
      <c r="X583" s="18"/>
      <c r="Y583" s="18"/>
      <c r="Z583" s="18"/>
      <c r="AA583" s="18"/>
    </row>
    <row r="584" spans="2:27" x14ac:dyDescent="0.35">
      <c r="B584" s="18"/>
      <c r="C584" s="18"/>
      <c r="D584" s="18"/>
      <c r="E584" s="18"/>
      <c r="F584" s="18"/>
      <c r="G584" s="18"/>
      <c r="H584" s="18"/>
      <c r="I584" s="16"/>
      <c r="J584" s="18"/>
      <c r="K584" s="18"/>
      <c r="L584" s="18"/>
      <c r="M584" s="18"/>
      <c r="N584" s="18"/>
      <c r="O584" s="16"/>
      <c r="P584" s="18"/>
      <c r="Q584" s="18"/>
      <c r="R584" s="18"/>
      <c r="S584" s="18"/>
      <c r="T584" s="18"/>
      <c r="U584" s="16"/>
      <c r="V584" s="18"/>
      <c r="W584" s="16"/>
      <c r="X584" s="18"/>
      <c r="Y584" s="18"/>
      <c r="Z584" s="18"/>
      <c r="AA584" s="18"/>
    </row>
    <row r="585" spans="2:27" x14ac:dyDescent="0.35">
      <c r="B585" s="18"/>
      <c r="C585" s="18"/>
      <c r="D585" s="18"/>
      <c r="E585" s="18"/>
      <c r="F585" s="18"/>
      <c r="G585" s="18"/>
      <c r="H585" s="18"/>
      <c r="I585" s="16"/>
      <c r="J585" s="18"/>
      <c r="K585" s="18"/>
      <c r="L585" s="18"/>
      <c r="M585" s="18"/>
      <c r="N585" s="18"/>
      <c r="O585" s="16"/>
      <c r="P585" s="18"/>
      <c r="Q585" s="18"/>
      <c r="R585" s="18"/>
      <c r="S585" s="18"/>
      <c r="T585" s="18"/>
      <c r="U585" s="16"/>
      <c r="V585" s="18"/>
      <c r="W585" s="16"/>
      <c r="X585" s="18"/>
      <c r="Y585" s="18"/>
      <c r="Z585" s="18"/>
      <c r="AA585" s="18"/>
    </row>
    <row r="586" spans="2:27" x14ac:dyDescent="0.35">
      <c r="B586" s="18"/>
      <c r="C586" s="18"/>
      <c r="D586" s="18"/>
      <c r="E586" s="18"/>
      <c r="F586" s="18"/>
      <c r="G586" s="18"/>
      <c r="H586" s="18"/>
      <c r="I586" s="16"/>
      <c r="J586" s="18"/>
      <c r="K586" s="18"/>
      <c r="L586" s="18"/>
      <c r="M586" s="18"/>
      <c r="N586" s="18"/>
      <c r="O586" s="16"/>
      <c r="P586" s="18"/>
      <c r="Q586" s="18"/>
      <c r="R586" s="18"/>
      <c r="S586" s="18"/>
      <c r="T586" s="18"/>
      <c r="U586" s="16"/>
      <c r="V586" s="18"/>
      <c r="W586" s="16"/>
      <c r="X586" s="18"/>
      <c r="Y586" s="18"/>
      <c r="Z586" s="18"/>
      <c r="AA586" s="18"/>
    </row>
    <row r="587" spans="2:27" x14ac:dyDescent="0.35">
      <c r="B587" s="18"/>
      <c r="C587" s="18"/>
      <c r="D587" s="18"/>
      <c r="E587" s="18"/>
      <c r="F587" s="18"/>
      <c r="G587" s="18"/>
      <c r="H587" s="18"/>
      <c r="I587" s="16"/>
      <c r="J587" s="18"/>
      <c r="K587" s="18"/>
      <c r="L587" s="18"/>
      <c r="M587" s="18"/>
      <c r="N587" s="18"/>
      <c r="O587" s="16"/>
      <c r="P587" s="18"/>
      <c r="Q587" s="18"/>
      <c r="R587" s="18"/>
      <c r="S587" s="18"/>
      <c r="T587" s="18"/>
      <c r="U587" s="16"/>
      <c r="V587" s="18"/>
      <c r="W587" s="16"/>
      <c r="X587" s="18"/>
      <c r="Y587" s="18"/>
      <c r="Z587" s="18"/>
      <c r="AA587" s="18"/>
    </row>
    <row r="588" spans="2:27" x14ac:dyDescent="0.35">
      <c r="B588" s="18"/>
      <c r="C588" s="18"/>
      <c r="D588" s="18"/>
      <c r="E588" s="18"/>
      <c r="F588" s="18"/>
      <c r="G588" s="18"/>
      <c r="H588" s="18"/>
      <c r="I588" s="16"/>
      <c r="J588" s="18"/>
      <c r="K588" s="18"/>
      <c r="L588" s="18"/>
      <c r="M588" s="18"/>
      <c r="N588" s="18"/>
      <c r="O588" s="16"/>
      <c r="P588" s="18"/>
      <c r="Q588" s="18"/>
      <c r="R588" s="18"/>
      <c r="S588" s="18"/>
      <c r="T588" s="18"/>
      <c r="U588" s="16"/>
      <c r="V588" s="18"/>
      <c r="W588" s="16"/>
      <c r="X588" s="18"/>
      <c r="Y588" s="18"/>
      <c r="Z588" s="18"/>
      <c r="AA588" s="18"/>
    </row>
    <row r="589" spans="2:27" x14ac:dyDescent="0.35">
      <c r="B589" s="18"/>
      <c r="C589" s="18"/>
      <c r="D589" s="18"/>
      <c r="E589" s="18"/>
      <c r="F589" s="18"/>
      <c r="G589" s="18"/>
      <c r="H589" s="18"/>
      <c r="I589" s="16"/>
      <c r="J589" s="18"/>
      <c r="K589" s="18"/>
      <c r="L589" s="18"/>
      <c r="M589" s="18"/>
      <c r="N589" s="18"/>
      <c r="O589" s="16"/>
      <c r="P589" s="18"/>
      <c r="Q589" s="18"/>
      <c r="R589" s="18"/>
      <c r="S589" s="18"/>
      <c r="T589" s="18"/>
      <c r="U589" s="16"/>
      <c r="V589" s="18"/>
      <c r="W589" s="16"/>
      <c r="X589" s="18"/>
      <c r="Y589" s="18"/>
      <c r="Z589" s="18"/>
      <c r="AA589" s="18"/>
    </row>
    <row r="590" spans="2:27" x14ac:dyDescent="0.35">
      <c r="B590" s="18"/>
      <c r="C590" s="18"/>
      <c r="D590" s="18"/>
      <c r="E590" s="18"/>
      <c r="F590" s="18"/>
      <c r="G590" s="18"/>
      <c r="H590" s="18"/>
      <c r="I590" s="16"/>
      <c r="J590" s="18"/>
      <c r="K590" s="18"/>
      <c r="L590" s="18"/>
      <c r="M590" s="18"/>
      <c r="N590" s="18"/>
      <c r="O590" s="16"/>
      <c r="P590" s="18"/>
      <c r="Q590" s="18"/>
      <c r="R590" s="18"/>
      <c r="S590" s="18"/>
      <c r="T590" s="18"/>
      <c r="U590" s="16"/>
      <c r="V590" s="18"/>
      <c r="W590" s="16"/>
      <c r="X590" s="18"/>
      <c r="Y590" s="18"/>
      <c r="Z590" s="18"/>
      <c r="AA590" s="18"/>
    </row>
    <row r="591" spans="2:27" x14ac:dyDescent="0.35">
      <c r="B591" s="18"/>
      <c r="C591" s="18"/>
      <c r="D591" s="18"/>
      <c r="E591" s="18"/>
      <c r="F591" s="18"/>
      <c r="G591" s="18"/>
      <c r="H591" s="18"/>
      <c r="I591" s="16"/>
      <c r="J591" s="18"/>
      <c r="K591" s="18"/>
      <c r="L591" s="18"/>
      <c r="M591" s="18"/>
      <c r="N591" s="18"/>
      <c r="O591" s="16"/>
      <c r="P591" s="18"/>
      <c r="Q591" s="18"/>
      <c r="R591" s="18"/>
      <c r="S591" s="18"/>
      <c r="T591" s="18"/>
      <c r="U591" s="16"/>
      <c r="V591" s="18"/>
      <c r="W591" s="16"/>
      <c r="X591" s="18"/>
      <c r="Y591" s="18"/>
      <c r="Z591" s="18"/>
      <c r="AA591" s="18"/>
    </row>
    <row r="592" spans="2:27" x14ac:dyDescent="0.35">
      <c r="B592" s="18"/>
      <c r="C592" s="18"/>
      <c r="D592" s="18"/>
      <c r="E592" s="18"/>
      <c r="F592" s="18"/>
      <c r="G592" s="18"/>
      <c r="H592" s="18"/>
      <c r="I592" s="16"/>
      <c r="J592" s="18"/>
      <c r="K592" s="18"/>
      <c r="L592" s="18"/>
      <c r="M592" s="18"/>
      <c r="N592" s="18"/>
      <c r="O592" s="16"/>
      <c r="P592" s="18"/>
      <c r="Q592" s="18"/>
      <c r="R592" s="18"/>
      <c r="S592" s="18"/>
      <c r="T592" s="18"/>
      <c r="U592" s="16"/>
      <c r="V592" s="18"/>
      <c r="W592" s="16"/>
      <c r="X592" s="18"/>
      <c r="Y592" s="18"/>
      <c r="Z592" s="18"/>
      <c r="AA592" s="18"/>
    </row>
    <row r="593" spans="2:27" x14ac:dyDescent="0.35">
      <c r="B593" s="18"/>
      <c r="C593" s="18"/>
      <c r="D593" s="18"/>
      <c r="E593" s="18"/>
      <c r="F593" s="18"/>
      <c r="G593" s="18"/>
      <c r="H593" s="18"/>
      <c r="I593" s="16"/>
      <c r="J593" s="18"/>
      <c r="K593" s="18"/>
      <c r="L593" s="18"/>
      <c r="M593" s="18"/>
      <c r="N593" s="18"/>
      <c r="O593" s="16"/>
      <c r="P593" s="18"/>
      <c r="Q593" s="18"/>
      <c r="R593" s="18"/>
      <c r="S593" s="18"/>
      <c r="T593" s="18"/>
      <c r="U593" s="16"/>
      <c r="V593" s="18"/>
      <c r="W593" s="16"/>
      <c r="X593" s="18"/>
      <c r="Y593" s="18"/>
      <c r="Z593" s="18"/>
      <c r="AA593" s="18"/>
    </row>
    <row r="594" spans="2:27" x14ac:dyDescent="0.35">
      <c r="B594" s="18"/>
      <c r="C594" s="18"/>
      <c r="D594" s="18"/>
      <c r="E594" s="18"/>
      <c r="F594" s="18"/>
      <c r="G594" s="18"/>
      <c r="H594" s="18"/>
      <c r="I594" s="16"/>
      <c r="J594" s="18"/>
      <c r="K594" s="18"/>
      <c r="L594" s="18"/>
      <c r="M594" s="18"/>
      <c r="N594" s="18"/>
      <c r="O594" s="16"/>
      <c r="P594" s="18"/>
      <c r="Q594" s="18"/>
      <c r="R594" s="18"/>
      <c r="S594" s="18"/>
      <c r="T594" s="18"/>
      <c r="U594" s="16"/>
      <c r="V594" s="18"/>
      <c r="W594" s="16"/>
      <c r="X594" s="18"/>
      <c r="Y594" s="18"/>
      <c r="Z594" s="18"/>
      <c r="AA594" s="18"/>
    </row>
    <row r="595" spans="2:27" x14ac:dyDescent="0.35">
      <c r="B595" s="18"/>
      <c r="C595" s="18"/>
      <c r="D595" s="18"/>
      <c r="E595" s="18"/>
      <c r="F595" s="18"/>
      <c r="G595" s="18"/>
      <c r="H595" s="18"/>
      <c r="I595" s="16"/>
      <c r="J595" s="18"/>
      <c r="K595" s="18"/>
      <c r="L595" s="18"/>
      <c r="M595" s="18"/>
      <c r="N595" s="18"/>
      <c r="O595" s="16"/>
      <c r="P595" s="18"/>
      <c r="Q595" s="18"/>
      <c r="R595" s="18"/>
      <c r="S595" s="18"/>
      <c r="T595" s="18"/>
      <c r="U595" s="16"/>
      <c r="V595" s="18"/>
      <c r="W595" s="16"/>
      <c r="X595" s="18"/>
      <c r="Y595" s="18"/>
      <c r="Z595" s="18"/>
      <c r="AA595" s="18"/>
    </row>
    <row r="596" spans="2:27" x14ac:dyDescent="0.35">
      <c r="B596" s="18"/>
      <c r="C596" s="18"/>
      <c r="D596" s="18"/>
      <c r="E596" s="18"/>
      <c r="F596" s="18"/>
      <c r="G596" s="18"/>
      <c r="H596" s="18"/>
      <c r="I596" s="16"/>
      <c r="J596" s="18"/>
      <c r="K596" s="18"/>
      <c r="L596" s="18"/>
      <c r="M596" s="18"/>
      <c r="N596" s="18"/>
      <c r="O596" s="16"/>
      <c r="P596" s="18"/>
      <c r="Q596" s="18"/>
      <c r="R596" s="18"/>
      <c r="S596" s="18"/>
      <c r="T596" s="18"/>
      <c r="U596" s="16"/>
      <c r="V596" s="18"/>
      <c r="W596" s="16"/>
      <c r="X596" s="18"/>
      <c r="Y596" s="18"/>
      <c r="Z596" s="18"/>
      <c r="AA596" s="18"/>
    </row>
    <row r="597" spans="2:27" x14ac:dyDescent="0.35">
      <c r="B597" s="18"/>
      <c r="C597" s="18"/>
      <c r="D597" s="18"/>
      <c r="E597" s="18"/>
      <c r="F597" s="18"/>
      <c r="G597" s="18"/>
      <c r="H597" s="18"/>
      <c r="I597" s="16"/>
      <c r="J597" s="18"/>
      <c r="K597" s="18"/>
      <c r="L597" s="18"/>
      <c r="M597" s="18"/>
      <c r="N597" s="18"/>
      <c r="O597" s="16"/>
      <c r="P597" s="18"/>
      <c r="Q597" s="18"/>
      <c r="R597" s="18"/>
      <c r="S597" s="18"/>
      <c r="T597" s="18"/>
      <c r="U597" s="16"/>
      <c r="V597" s="18"/>
      <c r="W597" s="16"/>
      <c r="X597" s="18"/>
      <c r="Y597" s="18"/>
      <c r="Z597" s="18"/>
      <c r="AA597" s="18"/>
    </row>
    <row r="598" spans="2:27" x14ac:dyDescent="0.35">
      <c r="B598" s="18"/>
      <c r="C598" s="18"/>
      <c r="D598" s="18"/>
      <c r="E598" s="18"/>
      <c r="F598" s="18"/>
      <c r="G598" s="18"/>
      <c r="H598" s="18"/>
      <c r="I598" s="16"/>
      <c r="J598" s="18"/>
      <c r="K598" s="18"/>
      <c r="L598" s="18"/>
      <c r="M598" s="18"/>
      <c r="N598" s="18"/>
      <c r="O598" s="16"/>
      <c r="P598" s="18"/>
      <c r="Q598" s="18"/>
      <c r="R598" s="18"/>
      <c r="S598" s="18"/>
      <c r="T598" s="18"/>
      <c r="U598" s="16"/>
      <c r="V598" s="18"/>
      <c r="W598" s="16"/>
      <c r="X598" s="18"/>
      <c r="Y598" s="18"/>
      <c r="Z598" s="18"/>
      <c r="AA598" s="18"/>
    </row>
    <row r="599" spans="2:27" x14ac:dyDescent="0.35">
      <c r="B599" s="18"/>
      <c r="C599" s="18"/>
      <c r="D599" s="18"/>
      <c r="E599" s="18"/>
      <c r="F599" s="18"/>
      <c r="G599" s="18"/>
      <c r="H599" s="18"/>
      <c r="I599" s="16"/>
      <c r="J599" s="18"/>
      <c r="K599" s="18"/>
      <c r="L599" s="18"/>
      <c r="M599" s="18"/>
      <c r="N599" s="18"/>
      <c r="O599" s="16"/>
      <c r="P599" s="18"/>
      <c r="Q599" s="18"/>
      <c r="R599" s="18"/>
      <c r="S599" s="18"/>
      <c r="T599" s="18"/>
      <c r="U599" s="16"/>
      <c r="V599" s="18"/>
      <c r="W599" s="16"/>
      <c r="X599" s="18"/>
      <c r="Y599" s="18"/>
      <c r="Z599" s="18"/>
      <c r="AA599" s="18"/>
    </row>
    <row r="600" spans="2:27" x14ac:dyDescent="0.35">
      <c r="B600" s="18"/>
      <c r="C600" s="18"/>
      <c r="D600" s="18"/>
      <c r="E600" s="18"/>
      <c r="F600" s="18"/>
      <c r="G600" s="18"/>
      <c r="H600" s="18"/>
      <c r="I600" s="16"/>
      <c r="J600" s="18"/>
      <c r="K600" s="18"/>
      <c r="L600" s="18"/>
      <c r="M600" s="18"/>
      <c r="N600" s="18"/>
      <c r="O600" s="16"/>
      <c r="P600" s="18"/>
      <c r="Q600" s="18"/>
      <c r="R600" s="18"/>
      <c r="S600" s="18"/>
      <c r="T600" s="18"/>
      <c r="U600" s="16"/>
      <c r="V600" s="18"/>
      <c r="W600" s="16"/>
      <c r="X600" s="18"/>
      <c r="Y600" s="18"/>
      <c r="Z600" s="18"/>
      <c r="AA600" s="18"/>
    </row>
    <row r="601" spans="2:27" x14ac:dyDescent="0.35">
      <c r="B601" s="18"/>
      <c r="C601" s="18"/>
      <c r="D601" s="18"/>
      <c r="E601" s="18"/>
      <c r="F601" s="18"/>
      <c r="G601" s="18"/>
      <c r="H601" s="18"/>
      <c r="I601" s="16"/>
      <c r="J601" s="18"/>
      <c r="K601" s="18"/>
      <c r="L601" s="18"/>
      <c r="M601" s="18"/>
      <c r="N601" s="18"/>
      <c r="O601" s="16"/>
      <c r="P601" s="18"/>
      <c r="Q601" s="18"/>
      <c r="R601" s="18"/>
      <c r="S601" s="18"/>
      <c r="T601" s="18"/>
      <c r="U601" s="16"/>
      <c r="V601" s="18"/>
      <c r="W601" s="16"/>
      <c r="X601" s="18"/>
      <c r="Y601" s="18"/>
      <c r="Z601" s="18"/>
      <c r="AA601" s="18"/>
    </row>
    <row r="602" spans="2:27" x14ac:dyDescent="0.35">
      <c r="B602" s="18"/>
      <c r="C602" s="18"/>
      <c r="D602" s="18"/>
      <c r="E602" s="18"/>
      <c r="F602" s="18"/>
      <c r="G602" s="18"/>
      <c r="H602" s="18"/>
      <c r="I602" s="16"/>
      <c r="J602" s="18"/>
      <c r="K602" s="18"/>
      <c r="L602" s="18"/>
      <c r="M602" s="18"/>
      <c r="N602" s="18"/>
      <c r="O602" s="16"/>
      <c r="P602" s="18"/>
      <c r="Q602" s="18"/>
      <c r="R602" s="18"/>
      <c r="S602" s="18"/>
      <c r="T602" s="18"/>
      <c r="U602" s="16"/>
      <c r="V602" s="18"/>
      <c r="W602" s="16"/>
      <c r="X602" s="18"/>
      <c r="Y602" s="18"/>
      <c r="Z602" s="18"/>
      <c r="AA602" s="18"/>
    </row>
    <row r="603" spans="2:27" x14ac:dyDescent="0.35">
      <c r="B603" s="18"/>
      <c r="C603" s="18"/>
      <c r="D603" s="18"/>
      <c r="E603" s="18"/>
      <c r="F603" s="18"/>
      <c r="G603" s="18"/>
      <c r="H603" s="18"/>
      <c r="I603" s="16"/>
      <c r="J603" s="18"/>
      <c r="K603" s="18"/>
      <c r="L603" s="18"/>
      <c r="M603" s="18"/>
      <c r="N603" s="18"/>
      <c r="O603" s="16"/>
      <c r="P603" s="18"/>
      <c r="Q603" s="18"/>
      <c r="R603" s="18"/>
      <c r="S603" s="18"/>
      <c r="T603" s="18"/>
      <c r="U603" s="16"/>
      <c r="V603" s="18"/>
      <c r="W603" s="16"/>
      <c r="X603" s="18"/>
      <c r="Y603" s="18"/>
      <c r="Z603" s="18"/>
      <c r="AA603" s="18"/>
    </row>
    <row r="604" spans="2:27" x14ac:dyDescent="0.35">
      <c r="B604" s="18"/>
      <c r="C604" s="18"/>
      <c r="D604" s="18"/>
      <c r="E604" s="18"/>
      <c r="F604" s="18"/>
      <c r="G604" s="18"/>
      <c r="H604" s="18"/>
      <c r="I604" s="16"/>
      <c r="J604" s="18"/>
      <c r="K604" s="18"/>
      <c r="L604" s="18"/>
      <c r="M604" s="18"/>
      <c r="N604" s="18"/>
      <c r="O604" s="16"/>
      <c r="P604" s="18"/>
      <c r="Q604" s="18"/>
      <c r="R604" s="18"/>
      <c r="S604" s="18"/>
      <c r="T604" s="18"/>
      <c r="U604" s="16"/>
      <c r="V604" s="18"/>
      <c r="W604" s="16"/>
      <c r="X604" s="18"/>
      <c r="Y604" s="18"/>
      <c r="Z604" s="18"/>
      <c r="AA604" s="18"/>
    </row>
    <row r="605" spans="2:27" x14ac:dyDescent="0.35">
      <c r="B605" s="18"/>
      <c r="C605" s="18"/>
      <c r="D605" s="18"/>
      <c r="E605" s="18"/>
      <c r="F605" s="18"/>
      <c r="G605" s="18"/>
      <c r="H605" s="18"/>
      <c r="I605" s="16"/>
      <c r="J605" s="18"/>
      <c r="K605" s="18"/>
      <c r="L605" s="18"/>
      <c r="M605" s="18"/>
      <c r="N605" s="18"/>
      <c r="O605" s="16"/>
      <c r="P605" s="18"/>
      <c r="Q605" s="18"/>
      <c r="R605" s="18"/>
      <c r="S605" s="18"/>
      <c r="T605" s="18"/>
      <c r="U605" s="16"/>
      <c r="V605" s="18"/>
      <c r="W605" s="16"/>
      <c r="X605" s="18"/>
      <c r="Y605" s="18"/>
      <c r="Z605" s="18"/>
      <c r="AA605" s="18"/>
    </row>
    <row r="606" spans="2:27" x14ac:dyDescent="0.35">
      <c r="B606" s="18"/>
      <c r="C606" s="18"/>
      <c r="D606" s="18"/>
      <c r="E606" s="18"/>
      <c r="F606" s="18"/>
      <c r="G606" s="18"/>
      <c r="H606" s="18"/>
      <c r="I606" s="16"/>
      <c r="J606" s="18"/>
      <c r="K606" s="18"/>
      <c r="L606" s="18"/>
      <c r="M606" s="18"/>
      <c r="N606" s="18"/>
      <c r="O606" s="16"/>
      <c r="P606" s="18"/>
      <c r="Q606" s="18"/>
      <c r="R606" s="18"/>
      <c r="S606" s="18"/>
      <c r="T606" s="18"/>
      <c r="U606" s="16"/>
      <c r="V606" s="18"/>
      <c r="W606" s="16"/>
      <c r="X606" s="18"/>
      <c r="Y606" s="18"/>
      <c r="Z606" s="18"/>
      <c r="AA606" s="18"/>
    </row>
    <row r="607" spans="2:27" x14ac:dyDescent="0.35">
      <c r="B607" s="18"/>
      <c r="C607" s="18"/>
      <c r="D607" s="18"/>
      <c r="E607" s="18"/>
      <c r="F607" s="18"/>
      <c r="G607" s="18"/>
      <c r="H607" s="18"/>
      <c r="I607" s="16"/>
      <c r="J607" s="18"/>
      <c r="K607" s="18"/>
      <c r="L607" s="18"/>
      <c r="M607" s="18"/>
      <c r="N607" s="18"/>
      <c r="O607" s="16"/>
      <c r="P607" s="18"/>
      <c r="Q607" s="18"/>
      <c r="R607" s="18"/>
      <c r="S607" s="18"/>
      <c r="T607" s="18"/>
      <c r="U607" s="16"/>
      <c r="V607" s="18"/>
      <c r="W607" s="16"/>
      <c r="X607" s="18"/>
      <c r="Y607" s="18"/>
      <c r="Z607" s="18"/>
      <c r="AA607" s="18"/>
    </row>
    <row r="608" spans="2:27" x14ac:dyDescent="0.35">
      <c r="B608" s="18"/>
      <c r="C608" s="18"/>
      <c r="D608" s="18"/>
      <c r="E608" s="18"/>
      <c r="F608" s="18"/>
      <c r="G608" s="18"/>
      <c r="H608" s="18"/>
      <c r="I608" s="16"/>
      <c r="J608" s="18"/>
      <c r="K608" s="18"/>
      <c r="L608" s="18"/>
      <c r="M608" s="18"/>
      <c r="N608" s="18"/>
      <c r="O608" s="16"/>
      <c r="P608" s="18"/>
      <c r="Q608" s="18"/>
      <c r="R608" s="18"/>
      <c r="S608" s="18"/>
      <c r="T608" s="18"/>
      <c r="U608" s="16"/>
      <c r="V608" s="18"/>
      <c r="W608" s="16"/>
      <c r="X608" s="18"/>
      <c r="Y608" s="18"/>
      <c r="Z608" s="18"/>
      <c r="AA608" s="18"/>
    </row>
    <row r="609" spans="2:27" x14ac:dyDescent="0.35">
      <c r="B609" s="18"/>
      <c r="C609" s="18"/>
      <c r="D609" s="18"/>
      <c r="E609" s="18"/>
      <c r="F609" s="18"/>
      <c r="G609" s="18"/>
      <c r="H609" s="18"/>
      <c r="I609" s="16"/>
      <c r="J609" s="18"/>
      <c r="K609" s="18"/>
      <c r="L609" s="18"/>
      <c r="M609" s="18"/>
      <c r="N609" s="18"/>
      <c r="O609" s="16"/>
      <c r="P609" s="18"/>
      <c r="Q609" s="18"/>
      <c r="R609" s="18"/>
      <c r="S609" s="18"/>
      <c r="T609" s="18"/>
      <c r="U609" s="16"/>
      <c r="V609" s="18"/>
      <c r="W609" s="16"/>
      <c r="X609" s="18"/>
      <c r="Y609" s="18"/>
      <c r="Z609" s="18"/>
      <c r="AA609" s="18"/>
    </row>
    <row r="610" spans="2:27" x14ac:dyDescent="0.35">
      <c r="B610" s="18"/>
      <c r="C610" s="18"/>
      <c r="D610" s="18"/>
      <c r="E610" s="18"/>
      <c r="F610" s="18"/>
      <c r="G610" s="18"/>
      <c r="H610" s="18"/>
      <c r="I610" s="16"/>
      <c r="J610" s="18"/>
      <c r="K610" s="18"/>
      <c r="L610" s="18"/>
      <c r="M610" s="18"/>
      <c r="N610" s="18"/>
      <c r="O610" s="16"/>
      <c r="P610" s="18"/>
      <c r="Q610" s="18"/>
      <c r="R610" s="18"/>
      <c r="S610" s="18"/>
      <c r="T610" s="18"/>
      <c r="U610" s="16"/>
      <c r="V610" s="18"/>
      <c r="W610" s="16"/>
      <c r="X610" s="18"/>
      <c r="Y610" s="18"/>
      <c r="Z610" s="18"/>
      <c r="AA610" s="18"/>
    </row>
    <row r="611" spans="2:27" x14ac:dyDescent="0.35">
      <c r="B611" s="18"/>
      <c r="C611" s="18"/>
      <c r="D611" s="18"/>
      <c r="E611" s="18"/>
      <c r="F611" s="18"/>
      <c r="G611" s="18"/>
      <c r="H611" s="18"/>
      <c r="I611" s="16"/>
      <c r="J611" s="18"/>
      <c r="K611" s="18"/>
      <c r="L611" s="18"/>
      <c r="M611" s="18"/>
      <c r="N611" s="18"/>
      <c r="O611" s="16"/>
      <c r="P611" s="18"/>
      <c r="Q611" s="18"/>
      <c r="R611" s="18"/>
      <c r="S611" s="18"/>
      <c r="T611" s="18"/>
      <c r="U611" s="16"/>
      <c r="V611" s="18"/>
      <c r="W611" s="16"/>
      <c r="X611" s="18"/>
      <c r="Y611" s="18"/>
      <c r="Z611" s="18"/>
      <c r="AA611" s="18"/>
    </row>
    <row r="612" spans="2:27" x14ac:dyDescent="0.35">
      <c r="B612" s="18"/>
      <c r="C612" s="18"/>
      <c r="D612" s="18"/>
      <c r="E612" s="18"/>
      <c r="F612" s="18"/>
      <c r="G612" s="18"/>
      <c r="H612" s="18"/>
      <c r="I612" s="16"/>
      <c r="J612" s="18"/>
      <c r="K612" s="18"/>
      <c r="L612" s="18"/>
      <c r="M612" s="18"/>
      <c r="N612" s="18"/>
      <c r="O612" s="16"/>
      <c r="P612" s="18"/>
      <c r="Q612" s="18"/>
      <c r="R612" s="18"/>
      <c r="S612" s="18"/>
      <c r="T612" s="18"/>
      <c r="U612" s="16"/>
      <c r="V612" s="18"/>
      <c r="W612" s="16"/>
      <c r="X612" s="18"/>
      <c r="Y612" s="18"/>
      <c r="Z612" s="18"/>
      <c r="AA612" s="18"/>
    </row>
    <row r="613" spans="2:27" x14ac:dyDescent="0.35">
      <c r="B613" s="18"/>
      <c r="C613" s="18"/>
      <c r="D613" s="18"/>
      <c r="E613" s="18"/>
      <c r="F613" s="18"/>
      <c r="G613" s="18"/>
      <c r="H613" s="18"/>
      <c r="I613" s="16"/>
      <c r="J613" s="18"/>
      <c r="K613" s="18"/>
      <c r="L613" s="18"/>
      <c r="M613" s="18"/>
      <c r="N613" s="18"/>
      <c r="O613" s="16"/>
      <c r="P613" s="18"/>
      <c r="Q613" s="18"/>
      <c r="R613" s="18"/>
      <c r="S613" s="18"/>
      <c r="T613" s="18"/>
      <c r="U613" s="16"/>
      <c r="V613" s="18"/>
      <c r="W613" s="16"/>
      <c r="X613" s="18"/>
      <c r="Y613" s="18"/>
      <c r="Z613" s="18"/>
      <c r="AA613" s="18"/>
    </row>
    <row r="614" spans="2:27" x14ac:dyDescent="0.35">
      <c r="B614" s="18"/>
      <c r="C614" s="18"/>
      <c r="D614" s="18"/>
      <c r="E614" s="18"/>
      <c r="F614" s="18"/>
      <c r="G614" s="18"/>
      <c r="H614" s="18"/>
      <c r="I614" s="16"/>
      <c r="J614" s="18"/>
      <c r="K614" s="18"/>
      <c r="L614" s="18"/>
      <c r="M614" s="18"/>
      <c r="N614" s="18"/>
      <c r="O614" s="16"/>
      <c r="P614" s="18"/>
      <c r="Q614" s="18"/>
      <c r="R614" s="18"/>
      <c r="S614" s="18"/>
      <c r="T614" s="18"/>
      <c r="U614" s="16"/>
      <c r="V614" s="18"/>
      <c r="W614" s="16"/>
      <c r="X614" s="18"/>
      <c r="Y614" s="18"/>
      <c r="Z614" s="18"/>
      <c r="AA614" s="18"/>
    </row>
    <row r="615" spans="2:27" x14ac:dyDescent="0.35">
      <c r="B615" s="18"/>
      <c r="C615" s="18"/>
      <c r="D615" s="18"/>
      <c r="E615" s="18"/>
      <c r="F615" s="18"/>
      <c r="G615" s="18"/>
      <c r="H615" s="18"/>
      <c r="I615" s="16"/>
      <c r="J615" s="18"/>
      <c r="K615" s="18"/>
      <c r="L615" s="18"/>
      <c r="M615" s="18"/>
      <c r="N615" s="18"/>
      <c r="O615" s="16"/>
      <c r="P615" s="18"/>
      <c r="Q615" s="18"/>
      <c r="R615" s="18"/>
      <c r="S615" s="18"/>
      <c r="T615" s="18"/>
      <c r="U615" s="16"/>
      <c r="V615" s="18"/>
      <c r="W615" s="16"/>
      <c r="X615" s="18"/>
      <c r="Y615" s="18"/>
      <c r="Z615" s="18"/>
      <c r="AA615" s="18"/>
    </row>
    <row r="616" spans="2:27" x14ac:dyDescent="0.35">
      <c r="B616" s="18"/>
      <c r="C616" s="18"/>
      <c r="D616" s="18"/>
      <c r="E616" s="18"/>
      <c r="F616" s="18"/>
      <c r="G616" s="18"/>
      <c r="H616" s="18"/>
      <c r="I616" s="16"/>
      <c r="J616" s="18"/>
      <c r="K616" s="18"/>
      <c r="L616" s="18"/>
      <c r="M616" s="18"/>
      <c r="N616" s="18"/>
      <c r="O616" s="16"/>
      <c r="P616" s="18"/>
      <c r="Q616" s="18"/>
      <c r="R616" s="18"/>
      <c r="S616" s="18"/>
      <c r="T616" s="18"/>
      <c r="U616" s="16"/>
      <c r="V616" s="18"/>
      <c r="W616" s="16"/>
      <c r="X616" s="18"/>
      <c r="Y616" s="18"/>
      <c r="Z616" s="18"/>
      <c r="AA616" s="18"/>
    </row>
    <row r="617" spans="2:27" x14ac:dyDescent="0.35">
      <c r="B617" s="18"/>
      <c r="C617" s="18"/>
      <c r="D617" s="18"/>
      <c r="E617" s="18"/>
      <c r="F617" s="18"/>
      <c r="G617" s="18"/>
      <c r="H617" s="18"/>
      <c r="I617" s="16"/>
      <c r="J617" s="18"/>
      <c r="K617" s="18"/>
      <c r="L617" s="18"/>
      <c r="M617" s="18"/>
      <c r="N617" s="18"/>
      <c r="O617" s="16"/>
      <c r="P617" s="18"/>
      <c r="Q617" s="18"/>
      <c r="R617" s="18"/>
      <c r="S617" s="18"/>
      <c r="T617" s="18"/>
      <c r="U617" s="16"/>
      <c r="V617" s="18"/>
      <c r="W617" s="16"/>
      <c r="X617" s="18"/>
      <c r="Y617" s="18"/>
      <c r="Z617" s="18"/>
      <c r="AA617" s="18"/>
    </row>
    <row r="618" spans="2:27" x14ac:dyDescent="0.35">
      <c r="B618" s="18"/>
      <c r="C618" s="18"/>
      <c r="D618" s="18"/>
      <c r="E618" s="18"/>
      <c r="F618" s="18"/>
      <c r="G618" s="18"/>
      <c r="H618" s="18"/>
      <c r="I618" s="16"/>
      <c r="J618" s="18"/>
      <c r="K618" s="18"/>
      <c r="L618" s="18"/>
      <c r="M618" s="18"/>
      <c r="N618" s="18"/>
      <c r="O618" s="16"/>
      <c r="P618" s="18"/>
      <c r="Q618" s="18"/>
      <c r="R618" s="18"/>
      <c r="S618" s="18"/>
      <c r="T618" s="18"/>
      <c r="U618" s="16"/>
      <c r="V618" s="18"/>
      <c r="W618" s="16"/>
      <c r="X618" s="18"/>
      <c r="Y618" s="18"/>
      <c r="Z618" s="18"/>
      <c r="AA618" s="18"/>
    </row>
    <row r="619" spans="2:27" x14ac:dyDescent="0.35">
      <c r="B619" s="18"/>
      <c r="C619" s="18"/>
      <c r="D619" s="18"/>
      <c r="E619" s="18"/>
      <c r="F619" s="18"/>
      <c r="G619" s="18"/>
      <c r="H619" s="18"/>
      <c r="I619" s="16"/>
      <c r="J619" s="18"/>
      <c r="K619" s="18"/>
      <c r="L619" s="18"/>
      <c r="M619" s="18"/>
      <c r="N619" s="18"/>
      <c r="O619" s="16"/>
      <c r="P619" s="18"/>
      <c r="Q619" s="18"/>
      <c r="R619" s="18"/>
      <c r="S619" s="18"/>
      <c r="T619" s="18"/>
      <c r="U619" s="16"/>
      <c r="V619" s="18"/>
      <c r="W619" s="16"/>
      <c r="X619" s="18"/>
      <c r="Y619" s="18"/>
      <c r="Z619" s="18"/>
      <c r="AA619" s="18"/>
    </row>
    <row r="620" spans="2:27" x14ac:dyDescent="0.35">
      <c r="B620" s="18"/>
      <c r="C620" s="18"/>
      <c r="D620" s="18"/>
      <c r="E620" s="18"/>
      <c r="F620" s="18"/>
      <c r="G620" s="18"/>
      <c r="H620" s="18"/>
      <c r="I620" s="16"/>
      <c r="J620" s="18"/>
      <c r="K620" s="18"/>
      <c r="L620" s="18"/>
      <c r="M620" s="18"/>
      <c r="N620" s="18"/>
      <c r="O620" s="16"/>
      <c r="P620" s="18"/>
      <c r="Q620" s="18"/>
      <c r="R620" s="18"/>
      <c r="S620" s="18"/>
      <c r="T620" s="18"/>
      <c r="U620" s="16"/>
      <c r="V620" s="18"/>
      <c r="W620" s="16"/>
      <c r="X620" s="18"/>
      <c r="Y620" s="18"/>
      <c r="Z620" s="18"/>
      <c r="AA620" s="18"/>
    </row>
    <row r="621" spans="2:27" x14ac:dyDescent="0.35">
      <c r="B621" s="18"/>
      <c r="C621" s="18"/>
      <c r="D621" s="18"/>
      <c r="E621" s="18"/>
      <c r="F621" s="18"/>
      <c r="G621" s="18"/>
      <c r="H621" s="18"/>
      <c r="I621" s="16"/>
      <c r="J621" s="18"/>
      <c r="K621" s="18"/>
      <c r="L621" s="18"/>
      <c r="M621" s="18"/>
      <c r="N621" s="18"/>
      <c r="O621" s="16"/>
      <c r="P621" s="18"/>
      <c r="Q621" s="18"/>
      <c r="R621" s="18"/>
      <c r="S621" s="18"/>
      <c r="T621" s="18"/>
      <c r="U621" s="16"/>
      <c r="V621" s="18"/>
      <c r="W621" s="16"/>
      <c r="X621" s="18"/>
      <c r="Y621" s="18"/>
      <c r="Z621" s="18"/>
      <c r="AA621" s="18"/>
    </row>
    <row r="622" spans="2:27" x14ac:dyDescent="0.35">
      <c r="B622" s="18"/>
      <c r="C622" s="18"/>
      <c r="D622" s="18"/>
      <c r="E622" s="18"/>
      <c r="F622" s="18"/>
      <c r="G622" s="18"/>
      <c r="H622" s="18"/>
      <c r="I622" s="16"/>
      <c r="J622" s="18"/>
      <c r="K622" s="18"/>
      <c r="L622" s="18"/>
      <c r="M622" s="18"/>
      <c r="N622" s="18"/>
      <c r="O622" s="16"/>
      <c r="P622" s="18"/>
      <c r="Q622" s="18"/>
      <c r="R622" s="18"/>
      <c r="S622" s="18"/>
      <c r="T622" s="18"/>
      <c r="U622" s="16"/>
      <c r="V622" s="18"/>
      <c r="W622" s="16"/>
      <c r="X622" s="18"/>
      <c r="Y622" s="18"/>
      <c r="Z622" s="18"/>
      <c r="AA622" s="18"/>
    </row>
    <row r="623" spans="2:27" x14ac:dyDescent="0.35">
      <c r="B623" s="18"/>
      <c r="C623" s="18"/>
      <c r="D623" s="18"/>
      <c r="E623" s="18"/>
      <c r="F623" s="18"/>
      <c r="G623" s="18"/>
      <c r="H623" s="18"/>
      <c r="I623" s="16"/>
      <c r="J623" s="18"/>
      <c r="K623" s="18"/>
      <c r="L623" s="18"/>
      <c r="M623" s="18"/>
      <c r="N623" s="18"/>
      <c r="O623" s="16"/>
      <c r="P623" s="18"/>
      <c r="Q623" s="18"/>
      <c r="R623" s="18"/>
      <c r="S623" s="18"/>
      <c r="T623" s="18"/>
      <c r="U623" s="16"/>
      <c r="V623" s="18"/>
      <c r="W623" s="16"/>
      <c r="X623" s="18"/>
      <c r="Y623" s="18"/>
      <c r="Z623" s="18"/>
      <c r="AA623" s="18"/>
    </row>
    <row r="624" spans="2:27" x14ac:dyDescent="0.35">
      <c r="B624" s="18"/>
      <c r="C624" s="18"/>
      <c r="D624" s="18"/>
      <c r="E624" s="18"/>
      <c r="F624" s="18"/>
      <c r="G624" s="18"/>
      <c r="H624" s="18"/>
      <c r="I624" s="16"/>
      <c r="J624" s="18"/>
      <c r="K624" s="18"/>
      <c r="L624" s="18"/>
      <c r="M624" s="18"/>
      <c r="N624" s="18"/>
      <c r="O624" s="16"/>
      <c r="P624" s="18"/>
      <c r="Q624" s="18"/>
      <c r="R624" s="18"/>
      <c r="S624" s="18"/>
      <c r="T624" s="18"/>
      <c r="U624" s="16"/>
      <c r="V624" s="18"/>
      <c r="W624" s="16"/>
      <c r="X624" s="18"/>
      <c r="Y624" s="18"/>
      <c r="Z624" s="18"/>
      <c r="AA624" s="18"/>
    </row>
    <row r="625" spans="2:27" x14ac:dyDescent="0.35">
      <c r="B625" s="18"/>
      <c r="C625" s="18"/>
      <c r="D625" s="18"/>
      <c r="E625" s="18"/>
      <c r="F625" s="18"/>
      <c r="G625" s="18"/>
      <c r="H625" s="18"/>
      <c r="I625" s="16"/>
      <c r="J625" s="18"/>
      <c r="K625" s="18"/>
      <c r="L625" s="18"/>
      <c r="M625" s="18"/>
      <c r="N625" s="18"/>
      <c r="O625" s="16"/>
      <c r="P625" s="18"/>
      <c r="Q625" s="18"/>
      <c r="R625" s="18"/>
      <c r="S625" s="18"/>
      <c r="T625" s="18"/>
      <c r="U625" s="16"/>
      <c r="V625" s="18"/>
      <c r="W625" s="16"/>
      <c r="X625" s="18"/>
      <c r="Y625" s="18"/>
      <c r="Z625" s="18"/>
      <c r="AA625" s="18"/>
    </row>
    <row r="626" spans="2:27" x14ac:dyDescent="0.35">
      <c r="B626" s="18"/>
      <c r="C626" s="18"/>
      <c r="D626" s="18"/>
      <c r="E626" s="18"/>
      <c r="F626" s="18"/>
      <c r="G626" s="18"/>
      <c r="H626" s="18"/>
      <c r="I626" s="16"/>
      <c r="J626" s="18"/>
      <c r="K626" s="18"/>
      <c r="L626" s="18"/>
      <c r="M626" s="18"/>
      <c r="N626" s="18"/>
      <c r="O626" s="16"/>
      <c r="P626" s="18"/>
      <c r="Q626" s="18"/>
      <c r="R626" s="18"/>
      <c r="S626" s="18"/>
      <c r="T626" s="18"/>
      <c r="U626" s="16"/>
      <c r="V626" s="18"/>
      <c r="W626" s="16"/>
      <c r="X626" s="18"/>
      <c r="Y626" s="18"/>
      <c r="Z626" s="18"/>
      <c r="AA626" s="18"/>
    </row>
    <row r="627" spans="2:27" x14ac:dyDescent="0.35">
      <c r="B627" s="18"/>
      <c r="C627" s="18"/>
      <c r="D627" s="18"/>
      <c r="E627" s="18"/>
      <c r="F627" s="18"/>
      <c r="G627" s="18"/>
      <c r="H627" s="18"/>
      <c r="I627" s="16"/>
      <c r="J627" s="18"/>
      <c r="K627" s="18"/>
      <c r="L627" s="18"/>
      <c r="M627" s="18"/>
      <c r="N627" s="18"/>
      <c r="O627" s="16"/>
      <c r="P627" s="18"/>
      <c r="Q627" s="18"/>
      <c r="R627" s="18"/>
      <c r="S627" s="18"/>
      <c r="T627" s="18"/>
      <c r="U627" s="16"/>
      <c r="V627" s="18"/>
      <c r="W627" s="16"/>
      <c r="X627" s="18"/>
      <c r="Y627" s="18"/>
      <c r="Z627" s="18"/>
      <c r="AA627" s="18"/>
    </row>
    <row r="628" spans="2:27" x14ac:dyDescent="0.35">
      <c r="B628" s="18"/>
      <c r="C628" s="18"/>
      <c r="D628" s="18"/>
      <c r="E628" s="18"/>
      <c r="F628" s="18"/>
      <c r="G628" s="18"/>
      <c r="H628" s="18"/>
      <c r="I628" s="16"/>
      <c r="J628" s="18"/>
      <c r="K628" s="18"/>
      <c r="L628" s="18"/>
      <c r="M628" s="18"/>
      <c r="N628" s="18"/>
      <c r="O628" s="16"/>
      <c r="P628" s="18"/>
      <c r="Q628" s="18"/>
      <c r="R628" s="18"/>
      <c r="S628" s="18"/>
      <c r="T628" s="18"/>
      <c r="U628" s="16"/>
      <c r="V628" s="18"/>
      <c r="W628" s="16"/>
      <c r="X628" s="18"/>
      <c r="Y628" s="18"/>
      <c r="Z628" s="18"/>
      <c r="AA628" s="18"/>
    </row>
    <row r="629" spans="2:27" x14ac:dyDescent="0.35">
      <c r="B629" s="18"/>
      <c r="C629" s="18"/>
      <c r="D629" s="18"/>
      <c r="E629" s="18"/>
      <c r="F629" s="18"/>
      <c r="G629" s="18"/>
      <c r="H629" s="18"/>
      <c r="I629" s="16"/>
      <c r="J629" s="18"/>
      <c r="K629" s="18"/>
      <c r="L629" s="18"/>
      <c r="M629" s="18"/>
      <c r="N629" s="18"/>
      <c r="O629" s="16"/>
      <c r="P629" s="18"/>
      <c r="Q629" s="18"/>
      <c r="R629" s="18"/>
      <c r="S629" s="18"/>
      <c r="T629" s="18"/>
      <c r="U629" s="16"/>
      <c r="V629" s="18"/>
      <c r="W629" s="16"/>
      <c r="X629" s="18"/>
      <c r="Y629" s="18"/>
      <c r="Z629" s="18"/>
      <c r="AA629" s="18"/>
    </row>
    <row r="630" spans="2:27" x14ac:dyDescent="0.35">
      <c r="B630" s="18"/>
      <c r="C630" s="18"/>
      <c r="D630" s="18"/>
      <c r="E630" s="18"/>
      <c r="F630" s="18"/>
      <c r="G630" s="18"/>
      <c r="H630" s="18"/>
      <c r="I630" s="16"/>
      <c r="J630" s="18"/>
      <c r="K630" s="18"/>
      <c r="L630" s="18"/>
      <c r="M630" s="18"/>
      <c r="N630" s="18"/>
      <c r="O630" s="16"/>
      <c r="P630" s="18"/>
      <c r="Q630" s="18"/>
      <c r="R630" s="18"/>
      <c r="S630" s="18"/>
      <c r="T630" s="18"/>
      <c r="U630" s="16"/>
      <c r="V630" s="18"/>
      <c r="W630" s="16"/>
      <c r="X630" s="18"/>
      <c r="Y630" s="18"/>
      <c r="Z630" s="18"/>
      <c r="AA630" s="18"/>
    </row>
    <row r="631" spans="2:27" x14ac:dyDescent="0.35">
      <c r="B631" s="18"/>
      <c r="C631" s="18"/>
      <c r="D631" s="18"/>
      <c r="E631" s="18"/>
      <c r="F631" s="18"/>
      <c r="G631" s="18"/>
      <c r="H631" s="18"/>
      <c r="I631" s="16"/>
      <c r="J631" s="18"/>
      <c r="K631" s="18"/>
      <c r="L631" s="18"/>
      <c r="M631" s="18"/>
      <c r="N631" s="18"/>
      <c r="O631" s="16"/>
      <c r="P631" s="18"/>
      <c r="Q631" s="18"/>
      <c r="R631" s="18"/>
      <c r="S631" s="18"/>
      <c r="T631" s="18"/>
      <c r="U631" s="16"/>
      <c r="V631" s="18"/>
      <c r="W631" s="16"/>
      <c r="X631" s="18"/>
      <c r="Y631" s="18"/>
      <c r="Z631" s="18"/>
      <c r="AA631" s="18"/>
    </row>
    <row r="632" spans="2:27" x14ac:dyDescent="0.35">
      <c r="B632" s="18"/>
      <c r="C632" s="18"/>
      <c r="D632" s="18"/>
      <c r="E632" s="18"/>
      <c r="F632" s="18"/>
      <c r="G632" s="18"/>
      <c r="H632" s="18"/>
      <c r="I632" s="16"/>
      <c r="J632" s="18"/>
      <c r="K632" s="18"/>
      <c r="L632" s="18"/>
      <c r="M632" s="18"/>
      <c r="N632" s="18"/>
      <c r="O632" s="16"/>
      <c r="P632" s="18"/>
      <c r="Q632" s="18"/>
      <c r="R632" s="18"/>
      <c r="S632" s="18"/>
      <c r="T632" s="18"/>
      <c r="U632" s="16"/>
      <c r="V632" s="18"/>
      <c r="W632" s="16"/>
      <c r="X632" s="18"/>
      <c r="Y632" s="18"/>
      <c r="Z632" s="18"/>
      <c r="AA632" s="18"/>
    </row>
    <row r="633" spans="2:27" x14ac:dyDescent="0.35">
      <c r="B633" s="18"/>
      <c r="C633" s="18"/>
      <c r="D633" s="18"/>
      <c r="E633" s="18"/>
      <c r="F633" s="18"/>
      <c r="G633" s="18"/>
      <c r="H633" s="18"/>
      <c r="I633" s="16"/>
      <c r="J633" s="18"/>
      <c r="K633" s="18"/>
      <c r="L633" s="18"/>
      <c r="M633" s="18"/>
      <c r="N633" s="18"/>
      <c r="O633" s="16"/>
      <c r="P633" s="18"/>
      <c r="Q633" s="18"/>
      <c r="R633" s="18"/>
      <c r="S633" s="18"/>
      <c r="T633" s="18"/>
      <c r="U633" s="16"/>
      <c r="V633" s="18"/>
      <c r="W633" s="16"/>
      <c r="X633" s="18"/>
      <c r="Y633" s="18"/>
      <c r="Z633" s="18"/>
      <c r="AA633" s="18"/>
    </row>
    <row r="634" spans="2:27" x14ac:dyDescent="0.35">
      <c r="B634" s="18"/>
      <c r="C634" s="18"/>
      <c r="D634" s="18"/>
      <c r="E634" s="18"/>
      <c r="F634" s="18"/>
      <c r="G634" s="18"/>
      <c r="H634" s="18"/>
      <c r="I634" s="16"/>
      <c r="J634" s="18"/>
      <c r="K634" s="18"/>
      <c r="L634" s="18"/>
      <c r="M634" s="18"/>
      <c r="N634" s="18"/>
      <c r="O634" s="16"/>
      <c r="P634" s="18"/>
      <c r="Q634" s="18"/>
      <c r="R634" s="18"/>
      <c r="S634" s="18"/>
      <c r="T634" s="18"/>
      <c r="U634" s="16"/>
      <c r="V634" s="18"/>
      <c r="W634" s="16"/>
      <c r="X634" s="18"/>
      <c r="Y634" s="18"/>
      <c r="Z634" s="18"/>
      <c r="AA634" s="18"/>
    </row>
    <row r="635" spans="2:27" x14ac:dyDescent="0.35">
      <c r="B635" s="18"/>
      <c r="C635" s="18"/>
      <c r="D635" s="18"/>
      <c r="E635" s="18"/>
      <c r="F635" s="18"/>
      <c r="G635" s="18"/>
      <c r="H635" s="18"/>
      <c r="I635" s="16"/>
      <c r="J635" s="18"/>
      <c r="K635" s="18"/>
      <c r="L635" s="18"/>
      <c r="M635" s="18"/>
      <c r="N635" s="18"/>
      <c r="O635" s="16"/>
      <c r="P635" s="18"/>
      <c r="Q635" s="18"/>
      <c r="R635" s="18"/>
      <c r="S635" s="18"/>
      <c r="T635" s="18"/>
      <c r="U635" s="16"/>
      <c r="V635" s="18"/>
      <c r="W635" s="16"/>
      <c r="X635" s="18"/>
      <c r="Y635" s="18"/>
      <c r="Z635" s="18"/>
      <c r="AA635" s="18"/>
    </row>
    <row r="636" spans="2:27" x14ac:dyDescent="0.35">
      <c r="B636" s="18"/>
      <c r="C636" s="18"/>
      <c r="D636" s="18"/>
      <c r="E636" s="18"/>
      <c r="F636" s="18"/>
      <c r="G636" s="18"/>
      <c r="H636" s="18"/>
      <c r="I636" s="16"/>
      <c r="J636" s="18"/>
      <c r="K636" s="18"/>
      <c r="L636" s="18"/>
      <c r="M636" s="18"/>
      <c r="N636" s="18"/>
      <c r="O636" s="16"/>
      <c r="P636" s="18"/>
      <c r="Q636" s="18"/>
      <c r="R636" s="18"/>
      <c r="S636" s="18"/>
      <c r="T636" s="18"/>
      <c r="U636" s="16"/>
      <c r="V636" s="18"/>
      <c r="W636" s="16"/>
      <c r="X636" s="18"/>
      <c r="Y636" s="18"/>
      <c r="Z636" s="18"/>
      <c r="AA636" s="18"/>
    </row>
    <row r="637" spans="2:27" x14ac:dyDescent="0.35">
      <c r="B637" s="18"/>
      <c r="C637" s="18"/>
      <c r="D637" s="18"/>
      <c r="E637" s="18"/>
      <c r="F637" s="18"/>
      <c r="G637" s="18"/>
      <c r="H637" s="18"/>
      <c r="I637" s="16"/>
      <c r="J637" s="18"/>
      <c r="K637" s="18"/>
      <c r="L637" s="18"/>
      <c r="M637" s="18"/>
      <c r="N637" s="18"/>
      <c r="O637" s="16"/>
      <c r="P637" s="18"/>
      <c r="Q637" s="18"/>
      <c r="R637" s="18"/>
      <c r="S637" s="18"/>
      <c r="T637" s="18"/>
      <c r="U637" s="16"/>
      <c r="V637" s="18"/>
      <c r="W637" s="16"/>
      <c r="X637" s="18"/>
      <c r="Y637" s="18"/>
      <c r="Z637" s="18"/>
      <c r="AA637" s="18"/>
    </row>
    <row r="638" spans="2:27" x14ac:dyDescent="0.35">
      <c r="B638" s="18"/>
      <c r="C638" s="18"/>
      <c r="D638" s="18"/>
      <c r="E638" s="18"/>
      <c r="F638" s="18"/>
      <c r="G638" s="18"/>
      <c r="H638" s="18"/>
      <c r="I638" s="16"/>
      <c r="J638" s="18"/>
      <c r="K638" s="18"/>
      <c r="L638" s="18"/>
      <c r="M638" s="18"/>
      <c r="N638" s="18"/>
      <c r="O638" s="16"/>
      <c r="P638" s="18"/>
      <c r="Q638" s="18"/>
      <c r="R638" s="18"/>
      <c r="S638" s="18"/>
      <c r="T638" s="18"/>
      <c r="U638" s="16"/>
      <c r="V638" s="18"/>
      <c r="W638" s="16"/>
      <c r="X638" s="18"/>
      <c r="Y638" s="18"/>
      <c r="Z638" s="18"/>
      <c r="AA638" s="18"/>
    </row>
    <row r="639" spans="2:27" x14ac:dyDescent="0.35">
      <c r="B639" s="18"/>
      <c r="C639" s="18"/>
      <c r="D639" s="18"/>
      <c r="E639" s="18"/>
      <c r="F639" s="18"/>
      <c r="G639" s="18"/>
      <c r="H639" s="18"/>
      <c r="I639" s="16"/>
      <c r="J639" s="18"/>
      <c r="K639" s="18"/>
      <c r="L639" s="18"/>
      <c r="M639" s="18"/>
      <c r="N639" s="18"/>
      <c r="O639" s="16"/>
      <c r="P639" s="18"/>
      <c r="Q639" s="18"/>
      <c r="R639" s="18"/>
      <c r="S639" s="18"/>
      <c r="T639" s="18"/>
      <c r="U639" s="16"/>
      <c r="V639" s="18"/>
      <c r="W639" s="16"/>
      <c r="X639" s="18"/>
      <c r="Y639" s="18"/>
      <c r="Z639" s="18"/>
      <c r="AA639" s="18"/>
    </row>
    <row r="640" spans="2:27" x14ac:dyDescent="0.35">
      <c r="B640" s="18"/>
      <c r="C640" s="18"/>
      <c r="D640" s="18"/>
      <c r="E640" s="18"/>
      <c r="F640" s="18"/>
      <c r="G640" s="18"/>
      <c r="H640" s="18"/>
      <c r="I640" s="16"/>
      <c r="J640" s="18"/>
      <c r="K640" s="18"/>
      <c r="L640" s="18"/>
      <c r="M640" s="18"/>
      <c r="N640" s="18"/>
      <c r="O640" s="16"/>
      <c r="P640" s="18"/>
      <c r="Q640" s="18"/>
      <c r="R640" s="18"/>
      <c r="S640" s="18"/>
      <c r="T640" s="18"/>
      <c r="U640" s="16"/>
      <c r="V640" s="18"/>
      <c r="W640" s="16"/>
      <c r="X640" s="18"/>
      <c r="Y640" s="18"/>
      <c r="Z640" s="18"/>
      <c r="AA640" s="18"/>
    </row>
    <row r="641" spans="2:27" x14ac:dyDescent="0.35">
      <c r="B641" s="18"/>
      <c r="C641" s="18"/>
      <c r="D641" s="18"/>
      <c r="E641" s="18"/>
      <c r="F641" s="18"/>
      <c r="G641" s="18"/>
      <c r="H641" s="18"/>
      <c r="I641" s="16"/>
      <c r="J641" s="18"/>
      <c r="K641" s="18"/>
      <c r="L641" s="18"/>
      <c r="M641" s="18"/>
      <c r="N641" s="18"/>
      <c r="O641" s="16"/>
      <c r="P641" s="18"/>
      <c r="Q641" s="18"/>
      <c r="R641" s="18"/>
      <c r="S641" s="18"/>
      <c r="T641" s="18"/>
      <c r="U641" s="16"/>
      <c r="V641" s="18"/>
      <c r="W641" s="16"/>
      <c r="X641" s="18"/>
      <c r="Y641" s="18"/>
      <c r="Z641" s="18"/>
      <c r="AA641" s="18"/>
    </row>
    <row r="642" spans="2:27" x14ac:dyDescent="0.35">
      <c r="B642" s="18"/>
      <c r="C642" s="18"/>
      <c r="D642" s="18"/>
      <c r="E642" s="18"/>
      <c r="F642" s="18"/>
      <c r="G642" s="18"/>
      <c r="H642" s="18"/>
      <c r="I642" s="16"/>
      <c r="J642" s="18"/>
      <c r="K642" s="18"/>
      <c r="L642" s="18"/>
      <c r="M642" s="18"/>
      <c r="N642" s="18"/>
      <c r="O642" s="16"/>
      <c r="P642" s="18"/>
      <c r="Q642" s="18"/>
      <c r="R642" s="18"/>
      <c r="S642" s="18"/>
      <c r="T642" s="18"/>
      <c r="U642" s="16"/>
      <c r="V642" s="18"/>
      <c r="W642" s="16"/>
      <c r="X642" s="18"/>
      <c r="Y642" s="18"/>
      <c r="Z642" s="18"/>
      <c r="AA642" s="18"/>
    </row>
    <row r="643" spans="2:27" x14ac:dyDescent="0.35">
      <c r="B643" s="18"/>
      <c r="C643" s="18"/>
      <c r="D643" s="18"/>
      <c r="E643" s="18"/>
      <c r="F643" s="18"/>
      <c r="G643" s="18"/>
      <c r="H643" s="18"/>
      <c r="I643" s="16"/>
      <c r="J643" s="18"/>
      <c r="K643" s="18"/>
      <c r="L643" s="18"/>
      <c r="M643" s="18"/>
      <c r="N643" s="18"/>
      <c r="O643" s="16"/>
      <c r="P643" s="18"/>
      <c r="Q643" s="18"/>
      <c r="R643" s="18"/>
      <c r="S643" s="18"/>
      <c r="T643" s="18"/>
      <c r="U643" s="16"/>
      <c r="V643" s="18"/>
      <c r="W643" s="16"/>
      <c r="X643" s="18"/>
      <c r="Y643" s="18"/>
      <c r="Z643" s="18"/>
      <c r="AA643" s="18"/>
    </row>
    <row r="644" spans="2:27" x14ac:dyDescent="0.35">
      <c r="B644" s="18"/>
      <c r="C644" s="18"/>
      <c r="D644" s="18"/>
      <c r="E644" s="18"/>
      <c r="F644" s="18"/>
      <c r="G644" s="18"/>
      <c r="H644" s="18"/>
      <c r="I644" s="16"/>
      <c r="J644" s="18"/>
      <c r="K644" s="18"/>
      <c r="L644" s="18"/>
      <c r="M644" s="18"/>
      <c r="N644" s="18"/>
      <c r="O644" s="16"/>
      <c r="P644" s="18"/>
      <c r="Q644" s="18"/>
      <c r="R644" s="18"/>
      <c r="S644" s="18"/>
      <c r="T644" s="18"/>
      <c r="U644" s="16"/>
      <c r="V644" s="18"/>
      <c r="W644" s="16"/>
      <c r="X644" s="18"/>
      <c r="Y644" s="18"/>
      <c r="Z644" s="18"/>
      <c r="AA644" s="18"/>
    </row>
    <row r="645" spans="2:27" x14ac:dyDescent="0.35">
      <c r="B645" s="18"/>
      <c r="C645" s="18"/>
      <c r="D645" s="18"/>
      <c r="E645" s="18"/>
      <c r="F645" s="18"/>
      <c r="G645" s="18"/>
      <c r="H645" s="18"/>
      <c r="I645" s="16"/>
      <c r="J645" s="18"/>
      <c r="K645" s="18"/>
      <c r="L645" s="18"/>
      <c r="M645" s="18"/>
      <c r="N645" s="18"/>
      <c r="O645" s="16"/>
      <c r="P645" s="18"/>
      <c r="Q645" s="18"/>
      <c r="R645" s="18"/>
      <c r="S645" s="18"/>
      <c r="T645" s="18"/>
      <c r="U645" s="16"/>
      <c r="V645" s="18"/>
      <c r="W645" s="16"/>
      <c r="X645" s="18"/>
      <c r="Y645" s="18"/>
      <c r="Z645" s="18"/>
      <c r="AA645" s="18"/>
    </row>
    <row r="646" spans="2:27" x14ac:dyDescent="0.35">
      <c r="B646" s="18"/>
      <c r="C646" s="18"/>
      <c r="D646" s="18"/>
      <c r="E646" s="18"/>
      <c r="F646" s="18"/>
      <c r="G646" s="18"/>
      <c r="H646" s="18"/>
      <c r="I646" s="16"/>
      <c r="J646" s="18"/>
      <c r="K646" s="18"/>
      <c r="L646" s="18"/>
      <c r="M646" s="18"/>
      <c r="N646" s="18"/>
      <c r="O646" s="16"/>
      <c r="P646" s="18"/>
      <c r="Q646" s="18"/>
      <c r="R646" s="18"/>
      <c r="S646" s="18"/>
      <c r="T646" s="18"/>
      <c r="U646" s="16"/>
      <c r="V646" s="18"/>
      <c r="W646" s="16"/>
      <c r="X646" s="18"/>
      <c r="Y646" s="18"/>
      <c r="Z646" s="18"/>
      <c r="AA646" s="18"/>
    </row>
    <row r="647" spans="2:27" x14ac:dyDescent="0.35">
      <c r="B647" s="18"/>
      <c r="C647" s="18"/>
      <c r="D647" s="18"/>
      <c r="E647" s="18"/>
      <c r="F647" s="18"/>
      <c r="G647" s="18"/>
      <c r="H647" s="18"/>
      <c r="I647" s="16"/>
      <c r="J647" s="18"/>
      <c r="K647" s="18"/>
      <c r="L647" s="18"/>
      <c r="M647" s="18"/>
      <c r="N647" s="18"/>
      <c r="O647" s="16"/>
      <c r="P647" s="18"/>
      <c r="Q647" s="18"/>
      <c r="R647" s="18"/>
      <c r="S647" s="18"/>
      <c r="T647" s="18"/>
      <c r="U647" s="16"/>
      <c r="V647" s="18"/>
      <c r="W647" s="16"/>
      <c r="X647" s="18"/>
      <c r="Y647" s="18"/>
      <c r="Z647" s="18"/>
      <c r="AA647" s="18"/>
    </row>
    <row r="648" spans="2:27" x14ac:dyDescent="0.35">
      <c r="B648" s="18"/>
      <c r="C648" s="18"/>
      <c r="D648" s="18"/>
      <c r="E648" s="18"/>
      <c r="F648" s="18"/>
      <c r="G648" s="18"/>
      <c r="H648" s="18"/>
      <c r="I648" s="16"/>
      <c r="J648" s="18"/>
      <c r="K648" s="18"/>
      <c r="L648" s="18"/>
      <c r="M648" s="18"/>
      <c r="N648" s="18"/>
      <c r="O648" s="16"/>
      <c r="P648" s="18"/>
      <c r="Q648" s="18"/>
      <c r="R648" s="18"/>
      <c r="S648" s="18"/>
      <c r="T648" s="18"/>
      <c r="U648" s="16"/>
      <c r="V648" s="18"/>
      <c r="W648" s="16"/>
      <c r="X648" s="18"/>
      <c r="Y648" s="18"/>
      <c r="Z648" s="18"/>
      <c r="AA648" s="18"/>
    </row>
    <row r="649" spans="2:27" x14ac:dyDescent="0.35">
      <c r="B649" s="18"/>
      <c r="C649" s="18"/>
      <c r="D649" s="18"/>
      <c r="E649" s="18"/>
      <c r="F649" s="18"/>
      <c r="G649" s="18"/>
      <c r="H649" s="18"/>
      <c r="I649" s="16"/>
      <c r="J649" s="18"/>
      <c r="K649" s="18"/>
      <c r="L649" s="18"/>
      <c r="M649" s="18"/>
      <c r="N649" s="18"/>
      <c r="O649" s="16"/>
      <c r="P649" s="18"/>
      <c r="Q649" s="18"/>
      <c r="R649" s="18"/>
      <c r="S649" s="18"/>
      <c r="T649" s="18"/>
      <c r="U649" s="16"/>
      <c r="V649" s="18"/>
      <c r="W649" s="16"/>
      <c r="X649" s="18"/>
      <c r="Y649" s="18"/>
      <c r="Z649" s="18"/>
      <c r="AA649" s="18"/>
    </row>
    <row r="650" spans="2:27" x14ac:dyDescent="0.35">
      <c r="B650" s="18"/>
      <c r="C650" s="18"/>
      <c r="D650" s="18"/>
      <c r="E650" s="18"/>
      <c r="F650" s="18"/>
      <c r="G650" s="18"/>
      <c r="H650" s="18"/>
      <c r="I650" s="16"/>
      <c r="J650" s="18"/>
      <c r="K650" s="18"/>
      <c r="L650" s="18"/>
      <c r="M650" s="18"/>
      <c r="N650" s="18"/>
      <c r="O650" s="16"/>
      <c r="P650" s="18"/>
      <c r="Q650" s="18"/>
      <c r="R650" s="18"/>
      <c r="S650" s="18"/>
      <c r="T650" s="18"/>
      <c r="U650" s="16"/>
      <c r="V650" s="18"/>
      <c r="W650" s="16"/>
      <c r="X650" s="18"/>
      <c r="Y650" s="18"/>
      <c r="Z650" s="18"/>
      <c r="AA650" s="18"/>
    </row>
    <row r="651" spans="2:27" x14ac:dyDescent="0.35">
      <c r="B651" s="18"/>
      <c r="C651" s="18"/>
      <c r="D651" s="18"/>
      <c r="E651" s="18"/>
      <c r="F651" s="18"/>
      <c r="G651" s="18"/>
      <c r="H651" s="18"/>
      <c r="I651" s="16"/>
      <c r="J651" s="18"/>
      <c r="K651" s="18"/>
      <c r="L651" s="18"/>
      <c r="M651" s="18"/>
      <c r="N651" s="18"/>
      <c r="O651" s="16"/>
      <c r="P651" s="18"/>
      <c r="Q651" s="18"/>
      <c r="R651" s="18"/>
      <c r="S651" s="18"/>
      <c r="T651" s="18"/>
      <c r="U651" s="16"/>
      <c r="V651" s="18"/>
      <c r="W651" s="16"/>
      <c r="X651" s="18"/>
      <c r="Y651" s="18"/>
      <c r="Z651" s="18"/>
      <c r="AA651" s="18"/>
    </row>
    <row r="652" spans="2:27" x14ac:dyDescent="0.35">
      <c r="B652" s="18"/>
      <c r="C652" s="18"/>
      <c r="D652" s="18"/>
      <c r="E652" s="18"/>
      <c r="F652" s="18"/>
      <c r="G652" s="18"/>
      <c r="H652" s="18"/>
      <c r="I652" s="16"/>
      <c r="J652" s="18"/>
      <c r="K652" s="18"/>
      <c r="L652" s="18"/>
      <c r="M652" s="18"/>
      <c r="N652" s="18"/>
      <c r="O652" s="16"/>
      <c r="P652" s="18"/>
      <c r="Q652" s="18"/>
      <c r="R652" s="18"/>
      <c r="S652" s="18"/>
      <c r="T652" s="18"/>
      <c r="U652" s="16"/>
      <c r="V652" s="18"/>
      <c r="W652" s="16"/>
      <c r="X652" s="18"/>
      <c r="Y652" s="18"/>
      <c r="Z652" s="18"/>
      <c r="AA652" s="18"/>
    </row>
    <row r="653" spans="2:27" x14ac:dyDescent="0.35">
      <c r="B653" s="18"/>
      <c r="C653" s="18"/>
      <c r="D653" s="18"/>
      <c r="E653" s="18"/>
      <c r="F653" s="18"/>
      <c r="G653" s="18"/>
      <c r="H653" s="18"/>
      <c r="I653" s="16"/>
      <c r="J653" s="18"/>
      <c r="K653" s="18"/>
      <c r="L653" s="18"/>
      <c r="M653" s="18"/>
      <c r="N653" s="18"/>
      <c r="O653" s="16"/>
      <c r="P653" s="18"/>
      <c r="Q653" s="18"/>
      <c r="R653" s="18"/>
      <c r="S653" s="18"/>
      <c r="T653" s="18"/>
      <c r="U653" s="16"/>
      <c r="V653" s="18"/>
      <c r="W653" s="16"/>
      <c r="X653" s="18"/>
      <c r="Y653" s="18"/>
      <c r="Z653" s="18"/>
      <c r="AA653" s="18"/>
    </row>
    <row r="654" spans="2:27" x14ac:dyDescent="0.35">
      <c r="B654" s="18"/>
      <c r="C654" s="18"/>
      <c r="D654" s="18"/>
      <c r="E654" s="18"/>
      <c r="F654" s="18"/>
      <c r="G654" s="18"/>
      <c r="H654" s="18"/>
      <c r="I654" s="16"/>
      <c r="J654" s="18"/>
      <c r="K654" s="18"/>
      <c r="L654" s="18"/>
      <c r="M654" s="18"/>
      <c r="N654" s="18"/>
      <c r="O654" s="16"/>
      <c r="P654" s="18"/>
      <c r="Q654" s="18"/>
      <c r="R654" s="18"/>
      <c r="S654" s="18"/>
      <c r="T654" s="18"/>
      <c r="U654" s="16"/>
      <c r="V654" s="18"/>
      <c r="W654" s="16"/>
      <c r="X654" s="18"/>
      <c r="Y654" s="18"/>
      <c r="Z654" s="18"/>
      <c r="AA654" s="18"/>
    </row>
    <row r="655" spans="2:27" x14ac:dyDescent="0.35">
      <c r="B655" s="18"/>
      <c r="C655" s="18"/>
      <c r="D655" s="18"/>
      <c r="E655" s="18"/>
      <c r="F655" s="18"/>
      <c r="G655" s="18"/>
      <c r="H655" s="18"/>
      <c r="I655" s="16"/>
      <c r="J655" s="18"/>
      <c r="K655" s="18"/>
      <c r="L655" s="18"/>
      <c r="M655" s="18"/>
      <c r="N655" s="18"/>
      <c r="O655" s="16"/>
      <c r="P655" s="18"/>
      <c r="Q655" s="18"/>
      <c r="R655" s="18"/>
      <c r="S655" s="18"/>
      <c r="T655" s="18"/>
      <c r="U655" s="16"/>
      <c r="V655" s="18"/>
      <c r="W655" s="16"/>
      <c r="X655" s="18"/>
      <c r="Y655" s="18"/>
      <c r="Z655" s="18"/>
      <c r="AA655" s="18"/>
    </row>
    <row r="656" spans="2:27" x14ac:dyDescent="0.35">
      <c r="B656" s="18"/>
      <c r="C656" s="18"/>
      <c r="D656" s="18"/>
      <c r="E656" s="18"/>
      <c r="F656" s="18"/>
      <c r="G656" s="18"/>
      <c r="H656" s="18"/>
      <c r="I656" s="16"/>
      <c r="J656" s="18"/>
      <c r="K656" s="18"/>
      <c r="L656" s="18"/>
      <c r="M656" s="18"/>
      <c r="N656" s="18"/>
      <c r="O656" s="16"/>
      <c r="P656" s="18"/>
      <c r="Q656" s="18"/>
      <c r="R656" s="18"/>
      <c r="S656" s="18"/>
      <c r="T656" s="18"/>
      <c r="U656" s="16"/>
      <c r="V656" s="18"/>
      <c r="W656" s="16"/>
      <c r="X656" s="18"/>
      <c r="Y656" s="18"/>
      <c r="Z656" s="18"/>
      <c r="AA656" s="18"/>
    </row>
    <row r="657" spans="2:27" x14ac:dyDescent="0.35">
      <c r="B657" s="18"/>
      <c r="C657" s="18"/>
      <c r="D657" s="18"/>
      <c r="E657" s="18"/>
      <c r="F657" s="18"/>
      <c r="G657" s="18"/>
      <c r="H657" s="18"/>
      <c r="I657" s="16"/>
      <c r="J657" s="18"/>
      <c r="K657" s="18"/>
      <c r="L657" s="18"/>
      <c r="M657" s="18"/>
      <c r="N657" s="18"/>
      <c r="O657" s="16"/>
      <c r="P657" s="18"/>
      <c r="Q657" s="18"/>
      <c r="R657" s="18"/>
      <c r="S657" s="18"/>
      <c r="T657" s="18"/>
      <c r="U657" s="16"/>
      <c r="V657" s="18"/>
      <c r="W657" s="16"/>
      <c r="X657" s="18"/>
      <c r="Y657" s="18"/>
      <c r="Z657" s="18"/>
      <c r="AA657" s="18"/>
    </row>
    <row r="658" spans="2:27" x14ac:dyDescent="0.35">
      <c r="B658" s="18"/>
      <c r="C658" s="18"/>
      <c r="D658" s="18"/>
      <c r="E658" s="18"/>
      <c r="F658" s="18"/>
      <c r="G658" s="18"/>
      <c r="H658" s="18"/>
      <c r="I658" s="16"/>
      <c r="J658" s="18"/>
      <c r="K658" s="18"/>
      <c r="L658" s="18"/>
      <c r="M658" s="18"/>
      <c r="N658" s="18"/>
      <c r="O658" s="16"/>
      <c r="P658" s="18"/>
      <c r="Q658" s="18"/>
      <c r="R658" s="18"/>
      <c r="S658" s="18"/>
      <c r="T658" s="18"/>
      <c r="U658" s="16"/>
      <c r="V658" s="18"/>
      <c r="W658" s="16"/>
      <c r="X658" s="18"/>
      <c r="Y658" s="18"/>
      <c r="Z658" s="18"/>
      <c r="AA658" s="18"/>
    </row>
    <row r="659" spans="2:27" x14ac:dyDescent="0.35">
      <c r="B659" s="18"/>
      <c r="C659" s="18"/>
      <c r="D659" s="18"/>
      <c r="E659" s="18"/>
      <c r="F659" s="18"/>
      <c r="G659" s="18"/>
      <c r="H659" s="18"/>
      <c r="I659" s="16"/>
      <c r="J659" s="18"/>
      <c r="K659" s="18"/>
      <c r="L659" s="18"/>
      <c r="M659" s="18"/>
      <c r="N659" s="18"/>
      <c r="O659" s="16"/>
      <c r="P659" s="18"/>
      <c r="Q659" s="18"/>
      <c r="R659" s="18"/>
      <c r="S659" s="18"/>
      <c r="T659" s="18"/>
      <c r="U659" s="16"/>
      <c r="V659" s="18"/>
      <c r="W659" s="16"/>
      <c r="X659" s="18"/>
      <c r="Y659" s="18"/>
      <c r="Z659" s="18"/>
      <c r="AA659" s="18"/>
    </row>
    <row r="660" spans="2:27" x14ac:dyDescent="0.35">
      <c r="B660" s="18"/>
      <c r="C660" s="18"/>
      <c r="D660" s="18"/>
      <c r="E660" s="18"/>
      <c r="F660" s="18"/>
      <c r="G660" s="18"/>
      <c r="H660" s="18"/>
      <c r="I660" s="16"/>
      <c r="J660" s="18"/>
      <c r="K660" s="18"/>
      <c r="L660" s="18"/>
      <c r="M660" s="18"/>
      <c r="N660" s="18"/>
      <c r="O660" s="16"/>
      <c r="P660" s="18"/>
      <c r="Q660" s="18"/>
      <c r="R660" s="18"/>
      <c r="S660" s="18"/>
      <c r="T660" s="18"/>
      <c r="U660" s="16"/>
      <c r="V660" s="18"/>
      <c r="W660" s="16"/>
      <c r="X660" s="18"/>
      <c r="Y660" s="18"/>
      <c r="Z660" s="18"/>
      <c r="AA660" s="18"/>
    </row>
    <row r="661" spans="2:27" x14ac:dyDescent="0.35">
      <c r="B661" s="18"/>
      <c r="C661" s="18"/>
      <c r="D661" s="18"/>
      <c r="E661" s="18"/>
      <c r="F661" s="18"/>
      <c r="G661" s="18"/>
      <c r="H661" s="18"/>
      <c r="I661" s="16"/>
      <c r="J661" s="18"/>
      <c r="K661" s="18"/>
      <c r="L661" s="18"/>
      <c r="M661" s="18"/>
      <c r="N661" s="18"/>
      <c r="O661" s="16"/>
      <c r="P661" s="18"/>
      <c r="Q661" s="18"/>
      <c r="R661" s="18"/>
      <c r="S661" s="18"/>
      <c r="T661" s="18"/>
      <c r="U661" s="16"/>
      <c r="V661" s="18"/>
      <c r="W661" s="16"/>
      <c r="X661" s="18"/>
      <c r="Y661" s="18"/>
      <c r="Z661" s="18"/>
      <c r="AA661" s="18"/>
    </row>
    <row r="662" spans="2:27" x14ac:dyDescent="0.35">
      <c r="B662" s="18"/>
      <c r="C662" s="18"/>
      <c r="D662" s="18"/>
      <c r="E662" s="18"/>
      <c r="F662" s="18"/>
      <c r="G662" s="18"/>
      <c r="H662" s="18"/>
      <c r="I662" s="16"/>
      <c r="J662" s="18"/>
      <c r="K662" s="18"/>
      <c r="L662" s="18"/>
      <c r="M662" s="18"/>
      <c r="N662" s="18"/>
      <c r="O662" s="16"/>
      <c r="P662" s="18"/>
      <c r="Q662" s="18"/>
      <c r="R662" s="18"/>
      <c r="S662" s="18"/>
      <c r="T662" s="18"/>
      <c r="U662" s="16"/>
      <c r="V662" s="18"/>
      <c r="W662" s="16"/>
      <c r="X662" s="18"/>
      <c r="Y662" s="18"/>
      <c r="Z662" s="18"/>
      <c r="AA662" s="18"/>
    </row>
    <row r="663" spans="2:27" x14ac:dyDescent="0.35">
      <c r="B663" s="18"/>
      <c r="C663" s="18"/>
      <c r="D663" s="18"/>
      <c r="E663" s="18"/>
      <c r="F663" s="18"/>
      <c r="G663" s="18"/>
      <c r="H663" s="18"/>
      <c r="I663" s="16"/>
      <c r="J663" s="18"/>
      <c r="K663" s="18"/>
      <c r="L663" s="18"/>
      <c r="M663" s="18"/>
      <c r="N663" s="18"/>
      <c r="O663" s="16"/>
      <c r="P663" s="18"/>
      <c r="Q663" s="18"/>
      <c r="R663" s="18"/>
      <c r="S663" s="18"/>
      <c r="T663" s="18"/>
      <c r="U663" s="16"/>
      <c r="V663" s="18"/>
      <c r="W663" s="16"/>
      <c r="X663" s="18"/>
      <c r="Y663" s="18"/>
      <c r="Z663" s="18"/>
      <c r="AA663" s="18"/>
    </row>
    <row r="664" spans="2:27" x14ac:dyDescent="0.35">
      <c r="B664" s="18"/>
      <c r="C664" s="18"/>
      <c r="D664" s="18"/>
      <c r="E664" s="18"/>
      <c r="F664" s="18"/>
      <c r="G664" s="18"/>
      <c r="H664" s="18"/>
      <c r="I664" s="16"/>
      <c r="J664" s="18"/>
      <c r="K664" s="18"/>
      <c r="L664" s="18"/>
      <c r="M664" s="18"/>
      <c r="N664" s="18"/>
      <c r="O664" s="16"/>
      <c r="P664" s="18"/>
      <c r="Q664" s="18"/>
      <c r="R664" s="18"/>
      <c r="S664" s="18"/>
      <c r="T664" s="18"/>
      <c r="U664" s="16"/>
      <c r="V664" s="18"/>
      <c r="W664" s="16"/>
      <c r="X664" s="18"/>
      <c r="Y664" s="18"/>
      <c r="Z664" s="18"/>
      <c r="AA664" s="18"/>
    </row>
    <row r="665" spans="2:27" x14ac:dyDescent="0.35">
      <c r="B665" s="18"/>
      <c r="C665" s="18"/>
      <c r="D665" s="18"/>
      <c r="E665" s="18"/>
      <c r="F665" s="18"/>
      <c r="G665" s="18"/>
      <c r="H665" s="18"/>
      <c r="I665" s="16"/>
      <c r="J665" s="18"/>
      <c r="K665" s="18"/>
      <c r="L665" s="18"/>
      <c r="M665" s="18"/>
      <c r="N665" s="18"/>
      <c r="O665" s="16"/>
      <c r="P665" s="18"/>
      <c r="Q665" s="18"/>
      <c r="R665" s="18"/>
      <c r="S665" s="18"/>
      <c r="T665" s="18"/>
      <c r="U665" s="16"/>
      <c r="V665" s="18"/>
      <c r="W665" s="16"/>
      <c r="X665" s="18"/>
      <c r="Y665" s="18"/>
      <c r="Z665" s="18"/>
      <c r="AA665" s="18"/>
    </row>
    <row r="666" spans="2:27" x14ac:dyDescent="0.35">
      <c r="B666" s="18"/>
      <c r="C666" s="18"/>
      <c r="D666" s="18"/>
      <c r="E666" s="18"/>
      <c r="F666" s="18"/>
      <c r="G666" s="18"/>
      <c r="H666" s="18"/>
      <c r="I666" s="16"/>
      <c r="J666" s="18"/>
      <c r="K666" s="18"/>
      <c r="L666" s="18"/>
      <c r="M666" s="18"/>
      <c r="N666" s="18"/>
      <c r="O666" s="16"/>
      <c r="P666" s="18"/>
      <c r="Q666" s="18"/>
      <c r="R666" s="18"/>
      <c r="S666" s="18"/>
      <c r="T666" s="18"/>
      <c r="U666" s="16"/>
      <c r="V666" s="18"/>
      <c r="W666" s="16"/>
      <c r="X666" s="18"/>
      <c r="Y666" s="18"/>
      <c r="Z666" s="18"/>
      <c r="AA666" s="18"/>
    </row>
    <row r="667" spans="2:27" x14ac:dyDescent="0.35">
      <c r="B667" s="18"/>
      <c r="C667" s="18"/>
      <c r="D667" s="18"/>
      <c r="E667" s="18"/>
      <c r="F667" s="18"/>
      <c r="G667" s="18"/>
      <c r="H667" s="18"/>
      <c r="I667" s="16"/>
      <c r="J667" s="18"/>
      <c r="K667" s="18"/>
      <c r="L667" s="18"/>
      <c r="M667" s="18"/>
      <c r="N667" s="18"/>
      <c r="O667" s="16"/>
      <c r="P667" s="18"/>
      <c r="Q667" s="18"/>
      <c r="R667" s="18"/>
      <c r="S667" s="18"/>
      <c r="T667" s="18"/>
      <c r="U667" s="16"/>
      <c r="V667" s="18"/>
      <c r="W667" s="16"/>
      <c r="X667" s="18"/>
      <c r="Y667" s="18"/>
      <c r="Z667" s="18"/>
      <c r="AA667" s="18"/>
    </row>
    <row r="668" spans="2:27" x14ac:dyDescent="0.35">
      <c r="B668" s="18"/>
      <c r="C668" s="18"/>
      <c r="D668" s="18"/>
      <c r="E668" s="18"/>
      <c r="F668" s="18"/>
      <c r="G668" s="18"/>
      <c r="H668" s="18"/>
      <c r="I668" s="16"/>
      <c r="J668" s="18"/>
      <c r="K668" s="18"/>
      <c r="L668" s="18"/>
      <c r="M668" s="18"/>
      <c r="N668" s="18"/>
      <c r="O668" s="16"/>
      <c r="P668" s="18"/>
      <c r="Q668" s="18"/>
      <c r="R668" s="18"/>
      <c r="S668" s="18"/>
      <c r="T668" s="18"/>
      <c r="U668" s="16"/>
      <c r="V668" s="18"/>
      <c r="W668" s="16"/>
      <c r="X668" s="18"/>
      <c r="Y668" s="18"/>
      <c r="Z668" s="18"/>
      <c r="AA668" s="18"/>
    </row>
    <row r="669" spans="2:27" x14ac:dyDescent="0.35">
      <c r="B669" s="18"/>
      <c r="C669" s="18"/>
      <c r="D669" s="18"/>
      <c r="E669" s="18"/>
      <c r="F669" s="18"/>
      <c r="G669" s="18"/>
      <c r="H669" s="18"/>
      <c r="I669" s="16"/>
      <c r="J669" s="18"/>
      <c r="K669" s="18"/>
      <c r="L669" s="18"/>
      <c r="M669" s="18"/>
      <c r="N669" s="18"/>
      <c r="O669" s="16"/>
      <c r="P669" s="18"/>
      <c r="Q669" s="18"/>
      <c r="R669" s="18"/>
      <c r="S669" s="18"/>
      <c r="T669" s="18"/>
      <c r="U669" s="16"/>
      <c r="V669" s="18"/>
      <c r="W669" s="16"/>
      <c r="X669" s="18"/>
      <c r="Y669" s="18"/>
      <c r="Z669" s="18"/>
      <c r="AA669" s="18"/>
    </row>
    <row r="670" spans="2:27" x14ac:dyDescent="0.35">
      <c r="B670" s="18"/>
      <c r="C670" s="18"/>
      <c r="D670" s="18"/>
      <c r="E670" s="18"/>
      <c r="F670" s="18"/>
      <c r="G670" s="18"/>
      <c r="H670" s="18"/>
      <c r="I670" s="16"/>
      <c r="J670" s="18"/>
      <c r="K670" s="18"/>
      <c r="L670" s="18"/>
      <c r="M670" s="18"/>
      <c r="N670" s="18"/>
      <c r="O670" s="16"/>
      <c r="P670" s="18"/>
      <c r="Q670" s="18"/>
      <c r="R670" s="18"/>
      <c r="S670" s="18"/>
      <c r="T670" s="18"/>
      <c r="U670" s="16"/>
      <c r="V670" s="18"/>
      <c r="W670" s="16"/>
      <c r="X670" s="18"/>
      <c r="Y670" s="18"/>
      <c r="Z670" s="18"/>
      <c r="AA670" s="18"/>
    </row>
    <row r="671" spans="2:27" x14ac:dyDescent="0.35">
      <c r="B671" s="18"/>
      <c r="C671" s="18"/>
      <c r="D671" s="18"/>
      <c r="E671" s="18"/>
      <c r="F671" s="18"/>
      <c r="G671" s="18"/>
      <c r="H671" s="18"/>
      <c r="I671" s="16"/>
      <c r="J671" s="18"/>
      <c r="K671" s="18"/>
      <c r="L671" s="18"/>
      <c r="M671" s="18"/>
      <c r="N671" s="18"/>
      <c r="O671" s="16"/>
      <c r="P671" s="18"/>
      <c r="Q671" s="18"/>
      <c r="R671" s="18"/>
      <c r="S671" s="18"/>
      <c r="T671" s="18"/>
      <c r="U671" s="16"/>
      <c r="V671" s="18"/>
      <c r="W671" s="16"/>
      <c r="X671" s="18"/>
      <c r="Y671" s="18"/>
      <c r="Z671" s="18"/>
      <c r="AA671" s="18"/>
    </row>
    <row r="672" spans="2:27" x14ac:dyDescent="0.35">
      <c r="B672" s="18"/>
      <c r="C672" s="18"/>
      <c r="D672" s="18"/>
      <c r="E672" s="18"/>
      <c r="F672" s="18"/>
      <c r="G672" s="18"/>
      <c r="H672" s="18"/>
      <c r="I672" s="16"/>
      <c r="J672" s="18"/>
      <c r="K672" s="18"/>
      <c r="L672" s="18"/>
      <c r="M672" s="18"/>
      <c r="N672" s="18"/>
      <c r="O672" s="16"/>
      <c r="P672" s="18"/>
      <c r="Q672" s="18"/>
      <c r="R672" s="18"/>
      <c r="S672" s="18"/>
      <c r="T672" s="18"/>
      <c r="U672" s="16"/>
      <c r="V672" s="18"/>
      <c r="W672" s="16"/>
      <c r="X672" s="18"/>
      <c r="Y672" s="18"/>
      <c r="Z672" s="18"/>
      <c r="AA672" s="18"/>
    </row>
    <row r="673" spans="2:27" x14ac:dyDescent="0.35">
      <c r="B673" s="18"/>
      <c r="C673" s="18"/>
      <c r="D673" s="18"/>
      <c r="E673" s="18"/>
      <c r="F673" s="18"/>
      <c r="G673" s="18"/>
      <c r="H673" s="18"/>
      <c r="I673" s="16"/>
      <c r="J673" s="18"/>
      <c r="K673" s="18"/>
      <c r="L673" s="18"/>
      <c r="M673" s="18"/>
      <c r="N673" s="18"/>
      <c r="O673" s="16"/>
      <c r="P673" s="18"/>
      <c r="Q673" s="18"/>
      <c r="R673" s="18"/>
      <c r="S673" s="18"/>
      <c r="T673" s="18"/>
      <c r="U673" s="16"/>
      <c r="V673" s="18"/>
      <c r="W673" s="16"/>
      <c r="X673" s="18"/>
      <c r="Y673" s="18"/>
      <c r="Z673" s="18"/>
      <c r="AA673" s="18"/>
    </row>
    <row r="674" spans="2:27" x14ac:dyDescent="0.35">
      <c r="B674" s="18"/>
      <c r="C674" s="18"/>
      <c r="D674" s="18"/>
      <c r="E674" s="18"/>
      <c r="F674" s="18"/>
      <c r="G674" s="18"/>
      <c r="H674" s="18"/>
      <c r="I674" s="16"/>
      <c r="J674" s="18"/>
      <c r="K674" s="18"/>
      <c r="L674" s="18"/>
      <c r="M674" s="18"/>
      <c r="N674" s="18"/>
      <c r="O674" s="16"/>
      <c r="P674" s="18"/>
      <c r="Q674" s="18"/>
      <c r="R674" s="18"/>
      <c r="S674" s="18"/>
      <c r="T674" s="18"/>
      <c r="U674" s="16"/>
      <c r="V674" s="18"/>
      <c r="W674" s="16"/>
      <c r="X674" s="18"/>
      <c r="Y674" s="18"/>
      <c r="Z674" s="18"/>
      <c r="AA674" s="18"/>
    </row>
    <row r="675" spans="2:27" x14ac:dyDescent="0.35">
      <c r="B675" s="18"/>
      <c r="C675" s="18"/>
      <c r="D675" s="18"/>
      <c r="E675" s="18"/>
      <c r="F675" s="18"/>
      <c r="G675" s="18"/>
      <c r="H675" s="18"/>
      <c r="I675" s="16"/>
      <c r="J675" s="18"/>
      <c r="K675" s="18"/>
      <c r="L675" s="18"/>
      <c r="M675" s="18"/>
      <c r="N675" s="18"/>
      <c r="O675" s="16"/>
      <c r="P675" s="18"/>
      <c r="Q675" s="18"/>
      <c r="R675" s="18"/>
      <c r="S675" s="18"/>
      <c r="T675" s="18"/>
      <c r="U675" s="16"/>
      <c r="V675" s="18"/>
      <c r="W675" s="16"/>
      <c r="X675" s="18"/>
      <c r="Y675" s="18"/>
      <c r="Z675" s="18"/>
      <c r="AA675" s="18"/>
    </row>
    <row r="676" spans="2:27" x14ac:dyDescent="0.35">
      <c r="B676" s="18"/>
      <c r="C676" s="18"/>
      <c r="D676" s="18"/>
      <c r="E676" s="18"/>
      <c r="F676" s="18"/>
      <c r="G676" s="18"/>
      <c r="H676" s="18"/>
      <c r="I676" s="16"/>
      <c r="J676" s="18"/>
      <c r="K676" s="18"/>
      <c r="L676" s="18"/>
      <c r="M676" s="18"/>
      <c r="N676" s="18"/>
      <c r="O676" s="16"/>
      <c r="P676" s="18"/>
      <c r="Q676" s="18"/>
      <c r="R676" s="18"/>
      <c r="S676" s="18"/>
      <c r="T676" s="18"/>
      <c r="U676" s="16"/>
      <c r="V676" s="18"/>
      <c r="W676" s="16"/>
      <c r="X676" s="18"/>
      <c r="Y676" s="18"/>
      <c r="Z676" s="18"/>
      <c r="AA676" s="18"/>
    </row>
    <row r="677" spans="2:27" x14ac:dyDescent="0.35">
      <c r="B677" s="18"/>
      <c r="C677" s="18"/>
      <c r="D677" s="18"/>
      <c r="E677" s="18"/>
      <c r="F677" s="18"/>
      <c r="G677" s="18"/>
      <c r="H677" s="18"/>
      <c r="I677" s="16"/>
      <c r="J677" s="18"/>
      <c r="K677" s="18"/>
      <c r="L677" s="18"/>
      <c r="M677" s="18"/>
      <c r="N677" s="18"/>
      <c r="O677" s="16"/>
      <c r="P677" s="18"/>
      <c r="Q677" s="18"/>
      <c r="R677" s="18"/>
      <c r="S677" s="18"/>
      <c r="T677" s="18"/>
      <c r="U677" s="16"/>
      <c r="V677" s="18"/>
      <c r="W677" s="16"/>
      <c r="X677" s="18"/>
      <c r="Y677" s="18"/>
      <c r="Z677" s="18"/>
      <c r="AA677" s="18"/>
    </row>
    <row r="678" spans="2:27" x14ac:dyDescent="0.35">
      <c r="B678" s="18"/>
      <c r="C678" s="18"/>
      <c r="D678" s="18"/>
      <c r="E678" s="18"/>
      <c r="F678" s="18"/>
      <c r="G678" s="18"/>
      <c r="H678" s="18"/>
      <c r="I678" s="16"/>
      <c r="J678" s="18"/>
      <c r="K678" s="18"/>
      <c r="L678" s="18"/>
      <c r="M678" s="18"/>
      <c r="N678" s="18"/>
      <c r="O678" s="16"/>
      <c r="P678" s="18"/>
      <c r="Q678" s="18"/>
      <c r="R678" s="18"/>
      <c r="S678" s="18"/>
      <c r="T678" s="18"/>
      <c r="U678" s="16"/>
      <c r="V678" s="18"/>
      <c r="W678" s="16"/>
      <c r="X678" s="18"/>
      <c r="Y678" s="18"/>
      <c r="Z678" s="18"/>
      <c r="AA678" s="18"/>
    </row>
    <row r="679" spans="2:27" x14ac:dyDescent="0.35">
      <c r="B679" s="18"/>
      <c r="C679" s="18"/>
      <c r="D679" s="18"/>
      <c r="E679" s="18"/>
      <c r="F679" s="18"/>
      <c r="G679" s="18"/>
      <c r="H679" s="18"/>
      <c r="I679" s="16"/>
      <c r="J679" s="18"/>
      <c r="K679" s="18"/>
      <c r="L679" s="18"/>
      <c r="M679" s="18"/>
      <c r="N679" s="18"/>
      <c r="O679" s="16"/>
      <c r="P679" s="18"/>
      <c r="Q679" s="18"/>
      <c r="R679" s="18"/>
      <c r="S679" s="18"/>
      <c r="T679" s="18"/>
      <c r="U679" s="16"/>
      <c r="V679" s="18"/>
      <c r="W679" s="16"/>
      <c r="X679" s="18"/>
      <c r="Y679" s="18"/>
      <c r="Z679" s="18"/>
      <c r="AA679" s="18"/>
    </row>
    <row r="680" spans="2:27" x14ac:dyDescent="0.35">
      <c r="B680" s="18"/>
      <c r="C680" s="18"/>
      <c r="D680" s="18"/>
      <c r="E680" s="18"/>
      <c r="F680" s="18"/>
      <c r="G680" s="18"/>
      <c r="H680" s="18"/>
      <c r="I680" s="16"/>
      <c r="J680" s="18"/>
      <c r="K680" s="18"/>
      <c r="L680" s="18"/>
      <c r="M680" s="18"/>
      <c r="N680" s="18"/>
      <c r="O680" s="16"/>
      <c r="P680" s="18"/>
      <c r="Q680" s="18"/>
      <c r="R680" s="18"/>
      <c r="S680" s="18"/>
      <c r="T680" s="18"/>
      <c r="U680" s="16"/>
      <c r="V680" s="18"/>
      <c r="W680" s="16"/>
      <c r="X680" s="18"/>
      <c r="Y680" s="18"/>
      <c r="Z680" s="18"/>
      <c r="AA680" s="18"/>
    </row>
    <row r="681" spans="2:27" x14ac:dyDescent="0.35">
      <c r="B681" s="18"/>
      <c r="C681" s="18"/>
      <c r="D681" s="18"/>
      <c r="E681" s="18"/>
      <c r="F681" s="18"/>
      <c r="G681" s="18"/>
      <c r="H681" s="18"/>
      <c r="I681" s="16"/>
      <c r="J681" s="18"/>
      <c r="K681" s="18"/>
      <c r="L681" s="18"/>
      <c r="M681" s="18"/>
      <c r="N681" s="18"/>
      <c r="O681" s="16"/>
      <c r="P681" s="18"/>
      <c r="Q681" s="18"/>
      <c r="R681" s="18"/>
      <c r="S681" s="18"/>
      <c r="T681" s="18"/>
      <c r="U681" s="16"/>
      <c r="V681" s="18"/>
      <c r="W681" s="16"/>
      <c r="X681" s="18"/>
      <c r="Y681" s="18"/>
      <c r="Z681" s="18"/>
      <c r="AA681" s="18"/>
    </row>
    <row r="682" spans="2:27" x14ac:dyDescent="0.35">
      <c r="B682" s="18"/>
      <c r="C682" s="18"/>
      <c r="D682" s="18"/>
      <c r="E682" s="18"/>
      <c r="F682" s="18"/>
      <c r="G682" s="18"/>
      <c r="H682" s="18"/>
      <c r="I682" s="16"/>
      <c r="J682" s="18"/>
      <c r="K682" s="18"/>
      <c r="L682" s="18"/>
      <c r="M682" s="18"/>
      <c r="N682" s="18"/>
      <c r="O682" s="16"/>
      <c r="P682" s="18"/>
      <c r="Q682" s="18"/>
      <c r="R682" s="18"/>
      <c r="S682" s="18"/>
      <c r="T682" s="18"/>
      <c r="U682" s="16"/>
      <c r="V682" s="18"/>
      <c r="W682" s="16"/>
      <c r="X682" s="18"/>
      <c r="Y682" s="18"/>
      <c r="Z682" s="18"/>
      <c r="AA682" s="18"/>
    </row>
    <row r="683" spans="2:27" x14ac:dyDescent="0.35">
      <c r="B683" s="18"/>
      <c r="C683" s="18"/>
      <c r="D683" s="18"/>
      <c r="E683" s="18"/>
      <c r="F683" s="18"/>
      <c r="G683" s="18"/>
      <c r="H683" s="18"/>
      <c r="I683" s="16"/>
      <c r="J683" s="18"/>
      <c r="K683" s="18"/>
      <c r="L683" s="18"/>
      <c r="M683" s="18"/>
      <c r="N683" s="18"/>
      <c r="O683" s="16"/>
      <c r="P683" s="18"/>
      <c r="Q683" s="18"/>
      <c r="R683" s="18"/>
      <c r="S683" s="18"/>
      <c r="T683" s="18"/>
      <c r="U683" s="16"/>
      <c r="V683" s="18"/>
      <c r="W683" s="16"/>
      <c r="X683" s="18"/>
      <c r="Y683" s="18"/>
      <c r="Z683" s="18"/>
      <c r="AA683" s="18"/>
    </row>
    <row r="684" spans="2:27" x14ac:dyDescent="0.35">
      <c r="B684" s="18"/>
      <c r="C684" s="18"/>
      <c r="D684" s="18"/>
      <c r="E684" s="18"/>
      <c r="F684" s="18"/>
      <c r="G684" s="18"/>
      <c r="H684" s="18"/>
      <c r="I684" s="16"/>
      <c r="J684" s="18"/>
      <c r="K684" s="18"/>
      <c r="L684" s="18"/>
      <c r="M684" s="18"/>
      <c r="N684" s="18"/>
      <c r="O684" s="16"/>
      <c r="P684" s="18"/>
      <c r="Q684" s="18"/>
      <c r="R684" s="18"/>
      <c r="S684" s="18"/>
      <c r="T684" s="18"/>
      <c r="U684" s="16"/>
      <c r="V684" s="18"/>
      <c r="W684" s="16"/>
      <c r="X684" s="18"/>
      <c r="Y684" s="18"/>
      <c r="Z684" s="18"/>
      <c r="AA684" s="18"/>
    </row>
    <row r="685" spans="2:27" x14ac:dyDescent="0.35">
      <c r="B685" s="18"/>
      <c r="C685" s="18"/>
      <c r="D685" s="18"/>
      <c r="E685" s="18"/>
      <c r="F685" s="18"/>
      <c r="G685" s="18"/>
      <c r="H685" s="18"/>
      <c r="I685" s="16"/>
      <c r="J685" s="18"/>
      <c r="K685" s="18"/>
      <c r="L685" s="18"/>
      <c r="M685" s="18"/>
      <c r="N685" s="18"/>
      <c r="O685" s="16"/>
      <c r="P685" s="18"/>
      <c r="Q685" s="18"/>
      <c r="R685" s="18"/>
      <c r="S685" s="18"/>
      <c r="T685" s="18"/>
      <c r="U685" s="16"/>
      <c r="V685" s="18"/>
      <c r="W685" s="16"/>
      <c r="X685" s="18"/>
      <c r="Y685" s="18"/>
      <c r="Z685" s="18"/>
      <c r="AA685" s="18"/>
    </row>
    <row r="686" spans="2:27" x14ac:dyDescent="0.35">
      <c r="B686" s="18"/>
      <c r="C686" s="18"/>
      <c r="D686" s="18"/>
      <c r="E686" s="18"/>
      <c r="F686" s="18"/>
      <c r="G686" s="18"/>
      <c r="H686" s="18"/>
      <c r="I686" s="16"/>
      <c r="J686" s="18"/>
      <c r="K686" s="18"/>
      <c r="L686" s="18"/>
      <c r="M686" s="18"/>
      <c r="N686" s="18"/>
      <c r="O686" s="16"/>
      <c r="P686" s="18"/>
      <c r="Q686" s="18"/>
      <c r="R686" s="18"/>
      <c r="S686" s="18"/>
      <c r="T686" s="18"/>
      <c r="U686" s="16"/>
      <c r="V686" s="18"/>
      <c r="W686" s="16"/>
      <c r="X686" s="18"/>
      <c r="Y686" s="18"/>
      <c r="Z686" s="18"/>
      <c r="AA686" s="18"/>
    </row>
    <row r="687" spans="2:27" x14ac:dyDescent="0.35">
      <c r="B687" s="18"/>
      <c r="C687" s="18"/>
      <c r="D687" s="18"/>
      <c r="E687" s="18"/>
      <c r="F687" s="18"/>
      <c r="G687" s="18"/>
      <c r="H687" s="18"/>
      <c r="I687" s="16"/>
      <c r="J687" s="18"/>
      <c r="K687" s="18"/>
      <c r="L687" s="18"/>
      <c r="M687" s="18"/>
      <c r="N687" s="18"/>
      <c r="O687" s="16"/>
      <c r="P687" s="18"/>
      <c r="Q687" s="18"/>
      <c r="R687" s="18"/>
      <c r="S687" s="18"/>
      <c r="T687" s="18"/>
      <c r="U687" s="16"/>
      <c r="V687" s="18"/>
      <c r="W687" s="16"/>
      <c r="X687" s="18"/>
      <c r="Y687" s="18"/>
      <c r="Z687" s="18"/>
      <c r="AA687" s="18"/>
    </row>
    <row r="688" spans="2:27" x14ac:dyDescent="0.35">
      <c r="B688" s="18"/>
      <c r="C688" s="18"/>
      <c r="D688" s="18"/>
      <c r="E688" s="18"/>
      <c r="F688" s="18"/>
      <c r="G688" s="18"/>
      <c r="H688" s="18"/>
      <c r="I688" s="16"/>
      <c r="J688" s="18"/>
      <c r="K688" s="18"/>
      <c r="L688" s="18"/>
      <c r="M688" s="18"/>
      <c r="N688" s="18"/>
      <c r="O688" s="16"/>
      <c r="P688" s="18"/>
      <c r="Q688" s="18"/>
      <c r="R688" s="18"/>
      <c r="S688" s="18"/>
      <c r="T688" s="18"/>
      <c r="U688" s="16"/>
      <c r="V688" s="18"/>
      <c r="W688" s="16"/>
      <c r="X688" s="18"/>
      <c r="Y688" s="18"/>
      <c r="Z688" s="18"/>
      <c r="AA688" s="18"/>
    </row>
    <row r="689" spans="2:27" x14ac:dyDescent="0.35">
      <c r="B689" s="18"/>
      <c r="C689" s="18"/>
      <c r="D689" s="18"/>
      <c r="E689" s="18"/>
      <c r="F689" s="18"/>
      <c r="G689" s="18"/>
      <c r="H689" s="18"/>
      <c r="I689" s="16"/>
      <c r="J689" s="18"/>
      <c r="K689" s="18"/>
      <c r="L689" s="18"/>
      <c r="M689" s="18"/>
      <c r="N689" s="18"/>
      <c r="O689" s="16"/>
      <c r="P689" s="18"/>
      <c r="Q689" s="18"/>
      <c r="R689" s="18"/>
      <c r="S689" s="18"/>
      <c r="T689" s="18"/>
      <c r="U689" s="16"/>
      <c r="V689" s="18"/>
      <c r="W689" s="16"/>
      <c r="X689" s="18"/>
      <c r="Y689" s="18"/>
      <c r="Z689" s="18"/>
      <c r="AA689" s="18"/>
    </row>
    <row r="690" spans="2:27" x14ac:dyDescent="0.35">
      <c r="B690" s="18"/>
      <c r="C690" s="18"/>
      <c r="D690" s="18"/>
      <c r="E690" s="18"/>
      <c r="F690" s="18"/>
      <c r="G690" s="18"/>
      <c r="H690" s="18"/>
      <c r="I690" s="16"/>
      <c r="J690" s="18"/>
      <c r="K690" s="18"/>
      <c r="L690" s="18"/>
      <c r="M690" s="18"/>
      <c r="N690" s="18"/>
      <c r="O690" s="16"/>
      <c r="P690" s="18"/>
      <c r="Q690" s="18"/>
      <c r="R690" s="18"/>
      <c r="S690" s="18"/>
      <c r="T690" s="18"/>
      <c r="U690" s="16"/>
      <c r="V690" s="18"/>
      <c r="W690" s="16"/>
      <c r="X690" s="18"/>
      <c r="Y690" s="18"/>
      <c r="Z690" s="18"/>
      <c r="AA690" s="18"/>
    </row>
    <row r="691" spans="2:27" x14ac:dyDescent="0.35">
      <c r="B691" s="18"/>
      <c r="C691" s="18"/>
      <c r="D691" s="18"/>
      <c r="E691" s="18"/>
      <c r="F691" s="18"/>
      <c r="G691" s="18"/>
      <c r="H691" s="18"/>
      <c r="I691" s="16"/>
      <c r="J691" s="18"/>
      <c r="K691" s="18"/>
      <c r="L691" s="18"/>
      <c r="M691" s="18"/>
      <c r="N691" s="18"/>
      <c r="O691" s="16"/>
      <c r="P691" s="18"/>
      <c r="Q691" s="18"/>
      <c r="R691" s="18"/>
      <c r="S691" s="18"/>
      <c r="T691" s="18"/>
      <c r="U691" s="16"/>
      <c r="V691" s="18"/>
      <c r="W691" s="16"/>
      <c r="X691" s="18"/>
      <c r="Y691" s="18"/>
      <c r="Z691" s="18"/>
      <c r="AA691" s="18"/>
    </row>
    <row r="692" spans="2:27" x14ac:dyDescent="0.35">
      <c r="B692" s="18"/>
      <c r="C692" s="18"/>
      <c r="D692" s="18"/>
      <c r="E692" s="18"/>
      <c r="F692" s="18"/>
      <c r="G692" s="18"/>
      <c r="H692" s="18"/>
      <c r="I692" s="16"/>
      <c r="J692" s="18"/>
      <c r="K692" s="18"/>
      <c r="L692" s="18"/>
      <c r="M692" s="18"/>
      <c r="N692" s="18"/>
      <c r="O692" s="16"/>
      <c r="P692" s="18"/>
      <c r="Q692" s="18"/>
      <c r="R692" s="18"/>
      <c r="S692" s="18"/>
      <c r="T692" s="18"/>
      <c r="U692" s="16"/>
      <c r="V692" s="18"/>
      <c r="W692" s="16"/>
      <c r="X692" s="18"/>
      <c r="Y692" s="18"/>
      <c r="Z692" s="18"/>
      <c r="AA692" s="18"/>
    </row>
    <row r="693" spans="2:27" x14ac:dyDescent="0.35">
      <c r="B693" s="18"/>
      <c r="C693" s="18"/>
      <c r="D693" s="18"/>
      <c r="E693" s="18"/>
      <c r="F693" s="18"/>
      <c r="G693" s="18"/>
      <c r="H693" s="18"/>
      <c r="I693" s="16"/>
      <c r="J693" s="18"/>
      <c r="K693" s="18"/>
      <c r="L693" s="18"/>
      <c r="M693" s="18"/>
      <c r="N693" s="18"/>
      <c r="O693" s="16"/>
      <c r="P693" s="18"/>
      <c r="Q693" s="18"/>
      <c r="R693" s="18"/>
      <c r="S693" s="18"/>
      <c r="T693" s="18"/>
      <c r="U693" s="16"/>
      <c r="V693" s="18"/>
      <c r="W693" s="16"/>
      <c r="X693" s="18"/>
      <c r="Y693" s="18"/>
      <c r="Z693" s="18"/>
      <c r="AA693" s="18"/>
    </row>
    <row r="694" spans="2:27" x14ac:dyDescent="0.35">
      <c r="B694" s="18"/>
      <c r="C694" s="18"/>
      <c r="D694" s="18"/>
      <c r="E694" s="18"/>
      <c r="F694" s="18"/>
      <c r="G694" s="18"/>
      <c r="H694" s="18"/>
      <c r="I694" s="16"/>
      <c r="J694" s="18"/>
      <c r="K694" s="18"/>
      <c r="L694" s="18"/>
      <c r="M694" s="18"/>
      <c r="N694" s="18"/>
      <c r="O694" s="16"/>
      <c r="P694" s="18"/>
      <c r="Q694" s="18"/>
      <c r="R694" s="18"/>
      <c r="S694" s="18"/>
      <c r="T694" s="18"/>
      <c r="U694" s="16"/>
      <c r="V694" s="18"/>
      <c r="W694" s="16"/>
      <c r="X694" s="18"/>
      <c r="Y694" s="18"/>
      <c r="Z694" s="18"/>
      <c r="AA694" s="18"/>
    </row>
    <row r="695" spans="2:27" x14ac:dyDescent="0.35">
      <c r="B695" s="18"/>
      <c r="C695" s="18"/>
      <c r="D695" s="18"/>
      <c r="E695" s="18"/>
      <c r="F695" s="18"/>
      <c r="G695" s="18"/>
      <c r="H695" s="18"/>
      <c r="I695" s="16"/>
      <c r="J695" s="18"/>
      <c r="K695" s="18"/>
      <c r="L695" s="18"/>
      <c r="M695" s="18"/>
      <c r="N695" s="18"/>
      <c r="O695" s="16"/>
      <c r="P695" s="18"/>
      <c r="Q695" s="18"/>
      <c r="R695" s="18"/>
      <c r="S695" s="18"/>
      <c r="T695" s="18"/>
      <c r="U695" s="16"/>
      <c r="V695" s="18"/>
      <c r="W695" s="16"/>
      <c r="X695" s="18"/>
      <c r="Y695" s="18"/>
      <c r="Z695" s="18"/>
      <c r="AA695" s="18"/>
    </row>
    <row r="696" spans="2:27" x14ac:dyDescent="0.35">
      <c r="B696" s="18"/>
      <c r="C696" s="18"/>
      <c r="D696" s="18"/>
      <c r="E696" s="18"/>
      <c r="F696" s="18"/>
      <c r="G696" s="18"/>
      <c r="H696" s="18"/>
      <c r="I696" s="16"/>
      <c r="J696" s="18"/>
      <c r="K696" s="18"/>
      <c r="L696" s="18"/>
      <c r="M696" s="18"/>
      <c r="N696" s="18"/>
      <c r="O696" s="16"/>
      <c r="P696" s="18"/>
      <c r="Q696" s="18"/>
      <c r="R696" s="18"/>
      <c r="S696" s="18"/>
      <c r="T696" s="18"/>
      <c r="U696" s="16"/>
      <c r="V696" s="18"/>
      <c r="W696" s="16"/>
      <c r="X696" s="18"/>
      <c r="Y696" s="18"/>
      <c r="Z696" s="18"/>
      <c r="AA696" s="18"/>
    </row>
    <row r="697" spans="2:27" x14ac:dyDescent="0.35">
      <c r="B697" s="18"/>
      <c r="C697" s="18"/>
      <c r="D697" s="18"/>
      <c r="E697" s="18"/>
      <c r="F697" s="18"/>
      <c r="G697" s="18"/>
      <c r="H697" s="18"/>
      <c r="I697" s="16"/>
      <c r="J697" s="18"/>
      <c r="K697" s="18"/>
      <c r="L697" s="18"/>
      <c r="M697" s="18"/>
      <c r="N697" s="18"/>
      <c r="O697" s="16"/>
      <c r="P697" s="18"/>
      <c r="Q697" s="18"/>
      <c r="R697" s="18"/>
      <c r="S697" s="18"/>
      <c r="T697" s="18"/>
      <c r="U697" s="16"/>
      <c r="V697" s="18"/>
      <c r="W697" s="16"/>
      <c r="X697" s="18"/>
      <c r="Y697" s="18"/>
      <c r="Z697" s="18"/>
      <c r="AA697" s="18"/>
    </row>
    <row r="698" spans="2:27" x14ac:dyDescent="0.35">
      <c r="B698" s="18"/>
      <c r="C698" s="18"/>
      <c r="D698" s="18"/>
      <c r="E698" s="18"/>
      <c r="F698" s="18"/>
      <c r="G698" s="18"/>
      <c r="H698" s="18"/>
      <c r="I698" s="16"/>
      <c r="J698" s="18"/>
      <c r="K698" s="18"/>
      <c r="L698" s="18"/>
      <c r="M698" s="18"/>
      <c r="N698" s="18"/>
      <c r="O698" s="16"/>
      <c r="P698" s="18"/>
      <c r="Q698" s="18"/>
      <c r="R698" s="18"/>
      <c r="S698" s="18"/>
      <c r="T698" s="18"/>
      <c r="U698" s="16"/>
      <c r="V698" s="18"/>
      <c r="W698" s="16"/>
      <c r="X698" s="18"/>
      <c r="Y698" s="18"/>
      <c r="Z698" s="18"/>
      <c r="AA698" s="18"/>
    </row>
    <row r="699" spans="2:27" x14ac:dyDescent="0.35">
      <c r="B699" s="18"/>
      <c r="C699" s="18"/>
      <c r="D699" s="18"/>
      <c r="E699" s="18"/>
      <c r="F699" s="18"/>
      <c r="G699" s="18"/>
      <c r="H699" s="18"/>
      <c r="I699" s="16"/>
      <c r="J699" s="18"/>
      <c r="K699" s="18"/>
      <c r="L699" s="18"/>
      <c r="M699" s="18"/>
      <c r="N699" s="18"/>
      <c r="O699" s="16"/>
      <c r="P699" s="18"/>
      <c r="Q699" s="18"/>
      <c r="R699" s="18"/>
      <c r="S699" s="18"/>
      <c r="T699" s="18"/>
      <c r="U699" s="16"/>
      <c r="V699" s="18"/>
      <c r="W699" s="16"/>
      <c r="X699" s="18"/>
      <c r="Y699" s="18"/>
      <c r="Z699" s="18"/>
      <c r="AA699" s="18"/>
    </row>
    <row r="700" spans="2:27" x14ac:dyDescent="0.35">
      <c r="B700" s="18"/>
      <c r="C700" s="18"/>
      <c r="D700" s="18"/>
      <c r="E700" s="18"/>
      <c r="F700" s="18"/>
      <c r="G700" s="18"/>
      <c r="H700" s="18"/>
      <c r="I700" s="16"/>
      <c r="J700" s="18"/>
      <c r="K700" s="18"/>
      <c r="L700" s="18"/>
      <c r="M700" s="18"/>
      <c r="N700" s="18"/>
      <c r="O700" s="16"/>
      <c r="P700" s="18"/>
      <c r="Q700" s="18"/>
      <c r="R700" s="18"/>
      <c r="S700" s="18"/>
      <c r="T700" s="18"/>
      <c r="U700" s="16"/>
      <c r="V700" s="18"/>
      <c r="W700" s="16"/>
      <c r="X700" s="18"/>
      <c r="Y700" s="18"/>
      <c r="Z700" s="18"/>
      <c r="AA700" s="18"/>
    </row>
    <row r="701" spans="2:27" x14ac:dyDescent="0.35">
      <c r="B701" s="18"/>
      <c r="C701" s="18"/>
      <c r="D701" s="18"/>
      <c r="E701" s="18"/>
      <c r="F701" s="18"/>
      <c r="G701" s="18"/>
      <c r="H701" s="18"/>
      <c r="I701" s="16"/>
      <c r="J701" s="18"/>
      <c r="K701" s="18"/>
      <c r="L701" s="18"/>
      <c r="M701" s="18"/>
      <c r="N701" s="18"/>
      <c r="O701" s="16"/>
      <c r="P701" s="18"/>
      <c r="Q701" s="18"/>
      <c r="R701" s="18"/>
      <c r="S701" s="18"/>
      <c r="T701" s="18"/>
      <c r="U701" s="16"/>
      <c r="V701" s="18"/>
      <c r="W701" s="16"/>
      <c r="X701" s="18"/>
      <c r="Y701" s="18"/>
      <c r="Z701" s="18"/>
      <c r="AA701" s="18"/>
    </row>
    <row r="702" spans="2:27" x14ac:dyDescent="0.35">
      <c r="B702" s="18"/>
      <c r="C702" s="18"/>
      <c r="D702" s="18"/>
      <c r="E702" s="18"/>
      <c r="F702" s="18"/>
      <c r="G702" s="18"/>
      <c r="H702" s="18"/>
      <c r="I702" s="16"/>
      <c r="J702" s="18"/>
      <c r="K702" s="18"/>
      <c r="L702" s="18"/>
      <c r="M702" s="18"/>
      <c r="N702" s="18"/>
      <c r="O702" s="16"/>
      <c r="P702" s="18"/>
      <c r="Q702" s="18"/>
      <c r="R702" s="18"/>
      <c r="S702" s="18"/>
      <c r="T702" s="18"/>
      <c r="U702" s="16"/>
      <c r="V702" s="18"/>
      <c r="W702" s="16"/>
      <c r="X702" s="18"/>
      <c r="Y702" s="18"/>
      <c r="Z702" s="18"/>
      <c r="AA702" s="18"/>
    </row>
    <row r="703" spans="2:27" x14ac:dyDescent="0.35">
      <c r="B703" s="18"/>
      <c r="C703" s="18"/>
      <c r="D703" s="18"/>
      <c r="E703" s="18"/>
      <c r="F703" s="18"/>
      <c r="G703" s="18"/>
      <c r="H703" s="18"/>
      <c r="I703" s="16"/>
      <c r="J703" s="18"/>
      <c r="K703" s="18"/>
      <c r="L703" s="18"/>
      <c r="M703" s="18"/>
      <c r="N703" s="18"/>
      <c r="O703" s="16"/>
      <c r="P703" s="18"/>
      <c r="Q703" s="18"/>
      <c r="R703" s="18"/>
      <c r="S703" s="18"/>
      <c r="T703" s="18"/>
      <c r="U703" s="16"/>
      <c r="V703" s="18"/>
      <c r="W703" s="16"/>
      <c r="X703" s="18"/>
      <c r="Y703" s="18"/>
      <c r="Z703" s="18"/>
      <c r="AA703" s="18"/>
    </row>
    <row r="704" spans="2:27" x14ac:dyDescent="0.35">
      <c r="B704" s="18"/>
      <c r="C704" s="18"/>
      <c r="D704" s="18"/>
      <c r="E704" s="18"/>
      <c r="F704" s="18"/>
      <c r="G704" s="18"/>
      <c r="H704" s="18"/>
      <c r="I704" s="16"/>
      <c r="J704" s="18"/>
      <c r="K704" s="18"/>
      <c r="L704" s="18"/>
      <c r="M704" s="18"/>
      <c r="N704" s="18"/>
      <c r="O704" s="16"/>
      <c r="P704" s="18"/>
      <c r="Q704" s="18"/>
      <c r="R704" s="18"/>
      <c r="S704" s="18"/>
      <c r="T704" s="18"/>
      <c r="U704" s="16"/>
      <c r="V704" s="18"/>
      <c r="W704" s="16"/>
      <c r="X704" s="18"/>
      <c r="Y704" s="18"/>
      <c r="Z704" s="18"/>
      <c r="AA704" s="18"/>
    </row>
    <row r="705" spans="2:27" x14ac:dyDescent="0.35">
      <c r="B705" s="18"/>
      <c r="C705" s="18"/>
      <c r="D705" s="18"/>
      <c r="E705" s="18"/>
      <c r="F705" s="18"/>
      <c r="G705" s="18"/>
      <c r="H705" s="18"/>
      <c r="I705" s="16"/>
      <c r="J705" s="18"/>
      <c r="K705" s="18"/>
      <c r="L705" s="18"/>
      <c r="M705" s="18"/>
      <c r="N705" s="18"/>
      <c r="O705" s="16"/>
      <c r="P705" s="18"/>
      <c r="Q705" s="18"/>
      <c r="R705" s="18"/>
      <c r="S705" s="18"/>
      <c r="T705" s="18"/>
      <c r="U705" s="16"/>
      <c r="V705" s="18"/>
      <c r="W705" s="16"/>
      <c r="X705" s="18"/>
      <c r="Y705" s="18"/>
      <c r="Z705" s="18"/>
      <c r="AA705" s="18"/>
    </row>
    <row r="706" spans="2:27" x14ac:dyDescent="0.35">
      <c r="B706" s="18"/>
      <c r="C706" s="18"/>
      <c r="D706" s="18"/>
      <c r="E706" s="18"/>
      <c r="F706" s="18"/>
      <c r="G706" s="18"/>
      <c r="H706" s="18"/>
      <c r="I706" s="16"/>
      <c r="J706" s="18"/>
      <c r="K706" s="18"/>
      <c r="L706" s="18"/>
      <c r="M706" s="18"/>
      <c r="N706" s="18"/>
      <c r="O706" s="16"/>
      <c r="P706" s="18"/>
      <c r="Q706" s="18"/>
      <c r="R706" s="18"/>
      <c r="S706" s="18"/>
      <c r="T706" s="18"/>
      <c r="U706" s="16"/>
      <c r="V706" s="18"/>
      <c r="W706" s="16"/>
      <c r="X706" s="18"/>
      <c r="Y706" s="18"/>
      <c r="Z706" s="18"/>
      <c r="AA706" s="18"/>
    </row>
    <row r="707" spans="2:27" x14ac:dyDescent="0.35">
      <c r="B707" s="18"/>
      <c r="C707" s="18"/>
      <c r="D707" s="18"/>
      <c r="E707" s="18"/>
      <c r="F707" s="18"/>
      <c r="G707" s="18"/>
      <c r="H707" s="18"/>
      <c r="I707" s="16"/>
      <c r="J707" s="18"/>
      <c r="K707" s="18"/>
      <c r="L707" s="18"/>
      <c r="M707" s="18"/>
      <c r="N707" s="18"/>
      <c r="O707" s="16"/>
      <c r="P707" s="18"/>
      <c r="Q707" s="18"/>
      <c r="R707" s="18"/>
      <c r="S707" s="18"/>
      <c r="T707" s="18"/>
      <c r="U707" s="16"/>
      <c r="V707" s="18"/>
      <c r="W707" s="16"/>
      <c r="X707" s="18"/>
      <c r="Y707" s="18"/>
      <c r="Z707" s="18"/>
      <c r="AA707" s="18"/>
    </row>
    <row r="708" spans="2:27" x14ac:dyDescent="0.35">
      <c r="B708" s="18"/>
      <c r="C708" s="18"/>
      <c r="D708" s="18"/>
      <c r="E708" s="18"/>
      <c r="F708" s="18"/>
      <c r="G708" s="18"/>
      <c r="H708" s="18"/>
      <c r="I708" s="16"/>
      <c r="J708" s="18"/>
      <c r="K708" s="18"/>
      <c r="L708" s="18"/>
      <c r="M708" s="18"/>
      <c r="N708" s="18"/>
      <c r="O708" s="16"/>
      <c r="P708" s="18"/>
      <c r="Q708" s="18"/>
      <c r="R708" s="18"/>
      <c r="S708" s="18"/>
      <c r="T708" s="18"/>
      <c r="U708" s="16"/>
      <c r="V708" s="18"/>
      <c r="W708" s="16"/>
      <c r="X708" s="18"/>
      <c r="Y708" s="18"/>
      <c r="Z708" s="18"/>
      <c r="AA708" s="18"/>
    </row>
    <row r="709" spans="2:27" x14ac:dyDescent="0.35">
      <c r="B709" s="18"/>
      <c r="C709" s="18"/>
      <c r="D709" s="18"/>
      <c r="E709" s="18"/>
      <c r="F709" s="18"/>
      <c r="G709" s="18"/>
      <c r="H709" s="18"/>
      <c r="I709" s="16"/>
      <c r="J709" s="18"/>
      <c r="K709" s="18"/>
      <c r="L709" s="18"/>
      <c r="M709" s="18"/>
      <c r="N709" s="18"/>
      <c r="O709" s="16"/>
      <c r="P709" s="18"/>
      <c r="Q709" s="18"/>
      <c r="R709" s="18"/>
      <c r="S709" s="18"/>
      <c r="T709" s="18"/>
      <c r="U709" s="16"/>
      <c r="V709" s="18"/>
      <c r="W709" s="16"/>
      <c r="X709" s="18"/>
      <c r="Y709" s="18"/>
      <c r="Z709" s="18"/>
      <c r="AA709" s="18"/>
    </row>
    <row r="710" spans="2:27" x14ac:dyDescent="0.35">
      <c r="B710" s="18"/>
      <c r="C710" s="18"/>
      <c r="D710" s="18"/>
      <c r="E710" s="18"/>
      <c r="F710" s="18"/>
      <c r="G710" s="18"/>
      <c r="H710" s="18"/>
      <c r="I710" s="16"/>
      <c r="J710" s="18"/>
      <c r="K710" s="18"/>
      <c r="L710" s="18"/>
      <c r="M710" s="18"/>
      <c r="N710" s="18"/>
      <c r="O710" s="16"/>
      <c r="P710" s="18"/>
      <c r="Q710" s="18"/>
      <c r="R710" s="18"/>
      <c r="S710" s="18"/>
      <c r="T710" s="18"/>
      <c r="U710" s="16"/>
      <c r="V710" s="18"/>
      <c r="W710" s="16"/>
      <c r="X710" s="18"/>
      <c r="Y710" s="18"/>
      <c r="Z710" s="18"/>
      <c r="AA710" s="18"/>
    </row>
    <row r="711" spans="2:27" x14ac:dyDescent="0.35">
      <c r="B711" s="18"/>
      <c r="C711" s="18"/>
      <c r="D711" s="18"/>
      <c r="E711" s="18"/>
      <c r="F711" s="18"/>
      <c r="G711" s="18"/>
      <c r="H711" s="18"/>
      <c r="I711" s="16"/>
      <c r="J711" s="18"/>
      <c r="K711" s="18"/>
      <c r="L711" s="18"/>
      <c r="M711" s="18"/>
      <c r="N711" s="18"/>
      <c r="O711" s="16"/>
      <c r="P711" s="18"/>
      <c r="Q711" s="18"/>
      <c r="R711" s="18"/>
      <c r="S711" s="18"/>
      <c r="T711" s="18"/>
      <c r="U711" s="16"/>
      <c r="V711" s="18"/>
      <c r="W711" s="16"/>
      <c r="X711" s="18"/>
      <c r="Y711" s="18"/>
      <c r="Z711" s="18"/>
      <c r="AA711" s="18"/>
    </row>
    <row r="712" spans="2:27" x14ac:dyDescent="0.35">
      <c r="B712" s="18"/>
      <c r="C712" s="18"/>
      <c r="D712" s="18"/>
      <c r="E712" s="18"/>
      <c r="F712" s="18"/>
      <c r="G712" s="18"/>
      <c r="H712" s="18"/>
      <c r="I712" s="16"/>
      <c r="J712" s="18"/>
      <c r="K712" s="18"/>
      <c r="L712" s="18"/>
      <c r="M712" s="18"/>
      <c r="N712" s="18"/>
      <c r="O712" s="16"/>
      <c r="P712" s="18"/>
      <c r="Q712" s="18"/>
      <c r="R712" s="18"/>
      <c r="S712" s="18"/>
      <c r="T712" s="18"/>
      <c r="U712" s="16"/>
      <c r="V712" s="18"/>
      <c r="W712" s="16"/>
      <c r="X712" s="18"/>
      <c r="Y712" s="18"/>
      <c r="Z712" s="18"/>
      <c r="AA712" s="18"/>
    </row>
    <row r="713" spans="2:27" x14ac:dyDescent="0.35">
      <c r="B713" s="18"/>
      <c r="C713" s="18"/>
      <c r="D713" s="18"/>
      <c r="E713" s="18"/>
      <c r="F713" s="18"/>
      <c r="G713" s="18"/>
      <c r="H713" s="18"/>
      <c r="I713" s="16"/>
      <c r="J713" s="18"/>
      <c r="K713" s="18"/>
      <c r="L713" s="18"/>
      <c r="M713" s="18"/>
      <c r="N713" s="18"/>
      <c r="O713" s="16"/>
      <c r="P713" s="18"/>
      <c r="Q713" s="18"/>
      <c r="R713" s="18"/>
      <c r="S713" s="18"/>
      <c r="T713" s="18"/>
      <c r="U713" s="16"/>
      <c r="V713" s="18"/>
      <c r="W713" s="16"/>
      <c r="X713" s="18"/>
      <c r="Y713" s="18"/>
      <c r="Z713" s="18"/>
      <c r="AA713" s="18"/>
    </row>
    <row r="714" spans="2:27" x14ac:dyDescent="0.35">
      <c r="B714" s="18"/>
      <c r="C714" s="18"/>
      <c r="D714" s="18"/>
      <c r="E714" s="18"/>
      <c r="F714" s="18"/>
      <c r="G714" s="18"/>
      <c r="H714" s="18"/>
      <c r="I714" s="16"/>
      <c r="J714" s="18"/>
      <c r="K714" s="18"/>
      <c r="L714" s="18"/>
      <c r="M714" s="18"/>
      <c r="N714" s="18"/>
      <c r="O714" s="16"/>
      <c r="P714" s="18"/>
      <c r="Q714" s="18"/>
      <c r="R714" s="18"/>
      <c r="S714" s="18"/>
      <c r="T714" s="18"/>
      <c r="U714" s="16"/>
      <c r="V714" s="18"/>
      <c r="W714" s="16"/>
      <c r="X714" s="18"/>
      <c r="Y714" s="18"/>
      <c r="Z714" s="18"/>
      <c r="AA714" s="18"/>
    </row>
    <row r="715" spans="2:27" x14ac:dyDescent="0.35">
      <c r="B715" s="18"/>
      <c r="C715" s="18"/>
      <c r="D715" s="18"/>
      <c r="E715" s="18"/>
      <c r="F715" s="18"/>
      <c r="G715" s="18"/>
      <c r="H715" s="18"/>
      <c r="I715" s="16"/>
      <c r="J715" s="18"/>
      <c r="K715" s="18"/>
      <c r="L715" s="18"/>
      <c r="M715" s="18"/>
      <c r="N715" s="18"/>
      <c r="O715" s="16"/>
      <c r="P715" s="18"/>
      <c r="Q715" s="18"/>
      <c r="R715" s="18"/>
      <c r="S715" s="18"/>
      <c r="T715" s="18"/>
      <c r="U715" s="16"/>
      <c r="V715" s="18"/>
      <c r="W715" s="16"/>
      <c r="X715" s="18"/>
      <c r="Y715" s="18"/>
      <c r="Z715" s="18"/>
      <c r="AA715" s="18"/>
    </row>
    <row r="716" spans="2:27" x14ac:dyDescent="0.35">
      <c r="B716" s="18"/>
      <c r="C716" s="18"/>
      <c r="D716" s="18"/>
      <c r="E716" s="18"/>
      <c r="F716" s="18"/>
      <c r="G716" s="18"/>
      <c r="H716" s="18"/>
      <c r="I716" s="16"/>
      <c r="J716" s="18"/>
      <c r="K716" s="18"/>
      <c r="L716" s="18"/>
      <c r="M716" s="18"/>
      <c r="N716" s="18"/>
      <c r="O716" s="16"/>
      <c r="P716" s="18"/>
      <c r="Q716" s="18"/>
      <c r="R716" s="18"/>
      <c r="S716" s="18"/>
      <c r="T716" s="18"/>
      <c r="U716" s="16"/>
      <c r="V716" s="18"/>
      <c r="W716" s="16"/>
      <c r="X716" s="18"/>
      <c r="Y716" s="18"/>
      <c r="Z716" s="18"/>
      <c r="AA716" s="18"/>
    </row>
    <row r="717" spans="2:27" x14ac:dyDescent="0.35">
      <c r="B717" s="18"/>
      <c r="C717" s="18"/>
      <c r="D717" s="18"/>
      <c r="E717" s="18"/>
      <c r="F717" s="18"/>
      <c r="G717" s="18"/>
      <c r="H717" s="18"/>
      <c r="I717" s="16"/>
      <c r="J717" s="18"/>
      <c r="K717" s="18"/>
      <c r="L717" s="18"/>
      <c r="M717" s="18"/>
      <c r="N717" s="18"/>
      <c r="O717" s="16"/>
      <c r="P717" s="18"/>
      <c r="Q717" s="18"/>
      <c r="R717" s="18"/>
      <c r="S717" s="18"/>
      <c r="T717" s="18"/>
      <c r="U717" s="16"/>
      <c r="V717" s="18"/>
      <c r="W717" s="16"/>
      <c r="X717" s="18"/>
      <c r="Y717" s="18"/>
      <c r="Z717" s="18"/>
      <c r="AA717" s="18"/>
    </row>
    <row r="718" spans="2:27" x14ac:dyDescent="0.35">
      <c r="B718" s="18"/>
      <c r="C718" s="18"/>
      <c r="D718" s="18"/>
      <c r="E718" s="18"/>
      <c r="F718" s="18"/>
      <c r="G718" s="18"/>
      <c r="H718" s="18"/>
      <c r="I718" s="16"/>
      <c r="J718" s="18"/>
      <c r="K718" s="18"/>
      <c r="L718" s="18"/>
      <c r="M718" s="18"/>
      <c r="N718" s="18"/>
      <c r="O718" s="16"/>
      <c r="P718" s="18"/>
      <c r="Q718" s="18"/>
      <c r="R718" s="18"/>
      <c r="S718" s="18"/>
      <c r="T718" s="18"/>
      <c r="U718" s="16"/>
      <c r="V718" s="18"/>
      <c r="W718" s="16"/>
      <c r="X718" s="18"/>
      <c r="Y718" s="18"/>
      <c r="Z718" s="18"/>
      <c r="AA718" s="18"/>
    </row>
    <row r="719" spans="2:27" x14ac:dyDescent="0.35">
      <c r="B719" s="18"/>
      <c r="C719" s="18"/>
      <c r="D719" s="18"/>
      <c r="E719" s="18"/>
      <c r="F719" s="18"/>
      <c r="G719" s="18"/>
      <c r="H719" s="18"/>
      <c r="I719" s="16"/>
      <c r="J719" s="18"/>
      <c r="K719" s="18"/>
      <c r="L719" s="18"/>
      <c r="M719" s="18"/>
      <c r="N719" s="18"/>
      <c r="O719" s="16"/>
      <c r="P719" s="18"/>
      <c r="Q719" s="18"/>
      <c r="R719" s="18"/>
      <c r="S719" s="18"/>
      <c r="T719" s="18"/>
      <c r="U719" s="16"/>
      <c r="V719" s="18"/>
      <c r="W719" s="16"/>
      <c r="X719" s="18"/>
      <c r="Y719" s="18"/>
      <c r="Z719" s="18"/>
      <c r="AA719" s="18"/>
    </row>
    <row r="720" spans="2:27" x14ac:dyDescent="0.35">
      <c r="B720" s="18"/>
      <c r="C720" s="18"/>
      <c r="D720" s="18"/>
      <c r="E720" s="18"/>
      <c r="F720" s="18"/>
      <c r="G720" s="18"/>
      <c r="H720" s="18"/>
      <c r="I720" s="16"/>
      <c r="J720" s="18"/>
      <c r="K720" s="18"/>
      <c r="L720" s="18"/>
      <c r="M720" s="18"/>
      <c r="N720" s="18"/>
      <c r="O720" s="16"/>
      <c r="P720" s="18"/>
      <c r="Q720" s="18"/>
      <c r="R720" s="18"/>
      <c r="S720" s="18"/>
      <c r="T720" s="18"/>
      <c r="U720" s="16"/>
      <c r="V720" s="18"/>
      <c r="W720" s="16"/>
      <c r="X720" s="18"/>
      <c r="Y720" s="18"/>
      <c r="Z720" s="18"/>
      <c r="AA720" s="18"/>
    </row>
    <row r="721" spans="2:27" x14ac:dyDescent="0.35">
      <c r="B721" s="18"/>
      <c r="C721" s="18"/>
      <c r="D721" s="18"/>
      <c r="E721" s="18"/>
      <c r="F721" s="18"/>
      <c r="G721" s="18"/>
      <c r="H721" s="18"/>
      <c r="I721" s="16"/>
      <c r="J721" s="18"/>
      <c r="K721" s="18"/>
      <c r="L721" s="18"/>
      <c r="M721" s="18"/>
      <c r="N721" s="18"/>
      <c r="O721" s="16"/>
      <c r="P721" s="18"/>
      <c r="Q721" s="18"/>
      <c r="R721" s="18"/>
      <c r="S721" s="18"/>
      <c r="T721" s="18"/>
      <c r="U721" s="16"/>
      <c r="V721" s="18"/>
      <c r="W721" s="16"/>
      <c r="X721" s="18"/>
      <c r="Y721" s="18"/>
      <c r="Z721" s="18"/>
      <c r="AA721" s="18"/>
    </row>
    <row r="722" spans="2:27" x14ac:dyDescent="0.35">
      <c r="B722" s="18"/>
      <c r="C722" s="18"/>
      <c r="D722" s="18"/>
      <c r="E722" s="18"/>
      <c r="F722" s="18"/>
      <c r="G722" s="18"/>
      <c r="H722" s="18"/>
      <c r="I722" s="16"/>
      <c r="J722" s="18"/>
      <c r="K722" s="18"/>
      <c r="L722" s="18"/>
      <c r="M722" s="18"/>
      <c r="N722" s="18"/>
      <c r="O722" s="16"/>
      <c r="P722" s="18"/>
      <c r="Q722" s="18"/>
      <c r="R722" s="18"/>
      <c r="S722" s="18"/>
      <c r="T722" s="18"/>
      <c r="U722" s="16"/>
      <c r="V722" s="18"/>
      <c r="W722" s="16"/>
      <c r="X722" s="18"/>
      <c r="Y722" s="18"/>
      <c r="Z722" s="18"/>
      <c r="AA722" s="18"/>
    </row>
    <row r="723" spans="2:27" x14ac:dyDescent="0.35">
      <c r="B723" s="18"/>
      <c r="C723" s="18"/>
      <c r="D723" s="18"/>
      <c r="E723" s="18"/>
      <c r="F723" s="18"/>
      <c r="G723" s="18"/>
      <c r="H723" s="18"/>
      <c r="I723" s="16"/>
      <c r="J723" s="18"/>
      <c r="K723" s="18"/>
      <c r="L723" s="18"/>
      <c r="M723" s="18"/>
      <c r="N723" s="18"/>
      <c r="O723" s="16"/>
      <c r="P723" s="18"/>
      <c r="Q723" s="18"/>
      <c r="R723" s="18"/>
      <c r="S723" s="18"/>
      <c r="T723" s="18"/>
      <c r="U723" s="16"/>
      <c r="V723" s="18"/>
      <c r="W723" s="16"/>
      <c r="X723" s="18"/>
      <c r="Y723" s="18"/>
      <c r="Z723" s="18"/>
      <c r="AA723" s="18"/>
    </row>
    <row r="724" spans="2:27" x14ac:dyDescent="0.35">
      <c r="B724" s="18"/>
      <c r="C724" s="18"/>
      <c r="D724" s="18"/>
      <c r="E724" s="18"/>
      <c r="F724" s="18"/>
      <c r="G724" s="18"/>
      <c r="H724" s="18"/>
      <c r="I724" s="16"/>
      <c r="J724" s="18"/>
      <c r="K724" s="18"/>
      <c r="L724" s="18"/>
      <c r="M724" s="18"/>
      <c r="N724" s="18"/>
      <c r="O724" s="16"/>
      <c r="P724" s="18"/>
      <c r="Q724" s="18"/>
      <c r="R724" s="18"/>
      <c r="S724" s="18"/>
      <c r="T724" s="18"/>
      <c r="U724" s="16"/>
      <c r="V724" s="18"/>
      <c r="W724" s="16"/>
      <c r="X724" s="18"/>
      <c r="Y724" s="18"/>
      <c r="Z724" s="18"/>
      <c r="AA724" s="18"/>
    </row>
    <row r="725" spans="2:27" x14ac:dyDescent="0.35">
      <c r="B725" s="18"/>
      <c r="C725" s="18"/>
      <c r="D725" s="18"/>
      <c r="E725" s="18"/>
      <c r="F725" s="18"/>
      <c r="G725" s="18"/>
      <c r="H725" s="18"/>
      <c r="I725" s="16"/>
      <c r="J725" s="18"/>
      <c r="K725" s="18"/>
      <c r="L725" s="18"/>
      <c r="M725" s="18"/>
      <c r="N725" s="18"/>
      <c r="O725" s="16"/>
      <c r="P725" s="18"/>
      <c r="Q725" s="18"/>
      <c r="R725" s="18"/>
      <c r="S725" s="18"/>
      <c r="T725" s="18"/>
      <c r="U725" s="16"/>
      <c r="V725" s="18"/>
      <c r="W725" s="16"/>
      <c r="X725" s="18"/>
      <c r="Y725" s="18"/>
      <c r="Z725" s="18"/>
      <c r="AA725" s="18"/>
    </row>
    <row r="726" spans="2:27" x14ac:dyDescent="0.35">
      <c r="B726" s="18"/>
      <c r="C726" s="18"/>
      <c r="D726" s="18"/>
      <c r="E726" s="18"/>
      <c r="F726" s="18"/>
      <c r="G726" s="18"/>
      <c r="H726" s="18"/>
      <c r="I726" s="16"/>
      <c r="J726" s="18"/>
      <c r="K726" s="18"/>
      <c r="L726" s="18"/>
      <c r="M726" s="18"/>
      <c r="N726" s="18"/>
      <c r="O726" s="16"/>
      <c r="P726" s="18"/>
      <c r="Q726" s="18"/>
      <c r="R726" s="18"/>
      <c r="S726" s="18"/>
      <c r="T726" s="18"/>
      <c r="U726" s="16"/>
      <c r="V726" s="18"/>
      <c r="W726" s="16"/>
      <c r="X726" s="18"/>
      <c r="Y726" s="18"/>
      <c r="Z726" s="18"/>
      <c r="AA726" s="18"/>
    </row>
    <row r="727" spans="2:27" x14ac:dyDescent="0.35">
      <c r="B727" s="18"/>
      <c r="C727" s="18"/>
      <c r="D727" s="18"/>
      <c r="E727" s="18"/>
      <c r="F727" s="18"/>
      <c r="G727" s="18"/>
      <c r="H727" s="18"/>
      <c r="I727" s="16"/>
      <c r="J727" s="18"/>
      <c r="K727" s="18"/>
      <c r="L727" s="18"/>
      <c r="M727" s="18"/>
      <c r="N727" s="18"/>
      <c r="O727" s="16"/>
      <c r="P727" s="18"/>
      <c r="Q727" s="18"/>
      <c r="R727" s="18"/>
      <c r="S727" s="18"/>
      <c r="T727" s="18"/>
      <c r="U727" s="16"/>
      <c r="V727" s="18"/>
      <c r="W727" s="16"/>
      <c r="X727" s="18"/>
      <c r="Y727" s="18"/>
      <c r="Z727" s="18"/>
      <c r="AA727" s="18"/>
    </row>
    <row r="728" spans="2:27" x14ac:dyDescent="0.35">
      <c r="B728" s="18"/>
      <c r="C728" s="18"/>
      <c r="D728" s="18"/>
      <c r="E728" s="18"/>
      <c r="F728" s="18"/>
      <c r="G728" s="18"/>
      <c r="H728" s="18"/>
      <c r="I728" s="16"/>
      <c r="J728" s="18"/>
      <c r="K728" s="18"/>
      <c r="L728" s="18"/>
      <c r="M728" s="18"/>
      <c r="N728" s="18"/>
      <c r="O728" s="16"/>
      <c r="P728" s="18"/>
      <c r="Q728" s="18"/>
      <c r="R728" s="18"/>
      <c r="S728" s="18"/>
      <c r="T728" s="18"/>
      <c r="U728" s="16"/>
      <c r="V728" s="18"/>
      <c r="W728" s="16"/>
      <c r="X728" s="18"/>
      <c r="Y728" s="18"/>
      <c r="Z728" s="18"/>
      <c r="AA728" s="18"/>
    </row>
    <row r="729" spans="2:27" x14ac:dyDescent="0.35">
      <c r="B729" s="18"/>
      <c r="C729" s="18"/>
      <c r="D729" s="18"/>
      <c r="E729" s="18"/>
      <c r="F729" s="18"/>
      <c r="G729" s="18"/>
      <c r="H729" s="18"/>
      <c r="I729" s="16"/>
      <c r="J729" s="18"/>
      <c r="K729" s="18"/>
      <c r="L729" s="18"/>
      <c r="M729" s="18"/>
      <c r="N729" s="18"/>
      <c r="O729" s="16"/>
      <c r="P729" s="18"/>
      <c r="Q729" s="18"/>
      <c r="R729" s="18"/>
      <c r="S729" s="18"/>
      <c r="T729" s="18"/>
      <c r="U729" s="16"/>
      <c r="V729" s="18"/>
      <c r="W729" s="16"/>
      <c r="X729" s="18"/>
      <c r="Y729" s="18"/>
      <c r="Z729" s="18"/>
      <c r="AA729" s="18"/>
    </row>
    <row r="730" spans="2:27" x14ac:dyDescent="0.35">
      <c r="B730" s="18"/>
      <c r="C730" s="18"/>
      <c r="D730" s="18"/>
      <c r="E730" s="18"/>
      <c r="F730" s="18"/>
      <c r="G730" s="18"/>
      <c r="H730" s="18"/>
      <c r="I730" s="16"/>
      <c r="J730" s="18"/>
      <c r="K730" s="18"/>
      <c r="L730" s="18"/>
      <c r="M730" s="18"/>
      <c r="N730" s="18"/>
      <c r="O730" s="16"/>
      <c r="P730" s="18"/>
      <c r="Q730" s="18"/>
      <c r="R730" s="18"/>
      <c r="S730" s="18"/>
      <c r="T730" s="18"/>
      <c r="U730" s="16"/>
      <c r="V730" s="18"/>
      <c r="W730" s="16"/>
      <c r="X730" s="18"/>
      <c r="Y730" s="18"/>
      <c r="Z730" s="18"/>
      <c r="AA730" s="18"/>
    </row>
    <row r="731" spans="2:27" x14ac:dyDescent="0.35">
      <c r="B731" s="18"/>
      <c r="C731" s="18"/>
      <c r="D731" s="18"/>
      <c r="E731" s="18"/>
      <c r="F731" s="18"/>
      <c r="G731" s="18"/>
      <c r="H731" s="18"/>
      <c r="I731" s="16"/>
      <c r="J731" s="18"/>
      <c r="K731" s="18"/>
      <c r="L731" s="18"/>
      <c r="M731" s="18"/>
      <c r="N731" s="18"/>
      <c r="O731" s="16"/>
      <c r="P731" s="18"/>
      <c r="Q731" s="18"/>
      <c r="R731" s="18"/>
      <c r="S731" s="18"/>
      <c r="T731" s="18"/>
      <c r="U731" s="16"/>
      <c r="V731" s="18"/>
      <c r="W731" s="16"/>
      <c r="X731" s="18"/>
      <c r="Y731" s="18"/>
      <c r="Z731" s="18"/>
      <c r="AA731" s="18"/>
    </row>
    <row r="732" spans="2:27" x14ac:dyDescent="0.35">
      <c r="B732" s="18"/>
      <c r="C732" s="18"/>
      <c r="D732" s="18"/>
      <c r="E732" s="18"/>
      <c r="F732" s="18"/>
      <c r="G732" s="18"/>
      <c r="H732" s="18"/>
      <c r="I732" s="16"/>
      <c r="J732" s="18"/>
      <c r="K732" s="18"/>
      <c r="L732" s="18"/>
      <c r="M732" s="18"/>
      <c r="N732" s="18"/>
      <c r="O732" s="16"/>
      <c r="P732" s="18"/>
      <c r="Q732" s="18"/>
      <c r="R732" s="18"/>
      <c r="S732" s="18"/>
      <c r="T732" s="18"/>
      <c r="U732" s="16"/>
      <c r="V732" s="18"/>
      <c r="W732" s="16"/>
      <c r="X732" s="18"/>
      <c r="Y732" s="18"/>
      <c r="Z732" s="18"/>
      <c r="AA732" s="18"/>
    </row>
    <row r="733" spans="2:27" x14ac:dyDescent="0.35">
      <c r="B733" s="18"/>
      <c r="C733" s="18"/>
      <c r="D733" s="18"/>
      <c r="E733" s="18"/>
      <c r="F733" s="18"/>
      <c r="G733" s="18"/>
      <c r="H733" s="18"/>
      <c r="I733" s="16"/>
      <c r="J733" s="18"/>
      <c r="K733" s="18"/>
      <c r="L733" s="18"/>
      <c r="M733" s="18"/>
      <c r="N733" s="18"/>
      <c r="O733" s="16"/>
      <c r="P733" s="18"/>
      <c r="Q733" s="18"/>
      <c r="R733" s="18"/>
      <c r="S733" s="18"/>
      <c r="T733" s="18"/>
      <c r="U733" s="16"/>
      <c r="V733" s="18"/>
      <c r="W733" s="16"/>
      <c r="X733" s="18"/>
      <c r="Y733" s="18"/>
      <c r="Z733" s="18"/>
      <c r="AA733" s="18"/>
    </row>
    <row r="734" spans="2:27" x14ac:dyDescent="0.35">
      <c r="B734" s="18"/>
      <c r="C734" s="18"/>
      <c r="D734" s="18"/>
      <c r="E734" s="18"/>
      <c r="F734" s="18"/>
      <c r="G734" s="18"/>
      <c r="H734" s="18"/>
      <c r="I734" s="16"/>
      <c r="J734" s="18"/>
      <c r="K734" s="18"/>
      <c r="L734" s="18"/>
      <c r="M734" s="18"/>
      <c r="N734" s="18"/>
      <c r="O734" s="16"/>
      <c r="P734" s="18"/>
      <c r="Q734" s="18"/>
      <c r="R734" s="18"/>
      <c r="S734" s="18"/>
      <c r="T734" s="18"/>
      <c r="U734" s="16"/>
      <c r="V734" s="18"/>
      <c r="W734" s="16"/>
      <c r="X734" s="18"/>
      <c r="Y734" s="18"/>
      <c r="Z734" s="18"/>
      <c r="AA734" s="18"/>
    </row>
    <row r="735" spans="2:27" x14ac:dyDescent="0.35">
      <c r="B735" s="18"/>
      <c r="C735" s="18"/>
      <c r="D735" s="18"/>
      <c r="E735" s="18"/>
      <c r="F735" s="18"/>
      <c r="G735" s="18"/>
      <c r="H735" s="18"/>
      <c r="I735" s="16"/>
      <c r="J735" s="18"/>
      <c r="K735" s="18"/>
      <c r="L735" s="18"/>
      <c r="M735" s="18"/>
      <c r="N735" s="18"/>
      <c r="O735" s="16"/>
      <c r="P735" s="18"/>
      <c r="Q735" s="18"/>
      <c r="R735" s="18"/>
      <c r="S735" s="18"/>
      <c r="T735" s="18"/>
      <c r="U735" s="16"/>
      <c r="V735" s="18"/>
      <c r="W735" s="16"/>
      <c r="X735" s="18"/>
      <c r="Y735" s="18"/>
      <c r="Z735" s="18"/>
      <c r="AA735" s="18"/>
    </row>
    <row r="736" spans="2:27" x14ac:dyDescent="0.35">
      <c r="B736" s="18"/>
      <c r="C736" s="18"/>
      <c r="D736" s="18"/>
      <c r="E736" s="18"/>
      <c r="F736" s="18"/>
      <c r="G736" s="18"/>
      <c r="H736" s="18"/>
      <c r="I736" s="16"/>
      <c r="J736" s="18"/>
      <c r="K736" s="18"/>
      <c r="L736" s="18"/>
      <c r="M736" s="18"/>
      <c r="N736" s="18"/>
      <c r="O736" s="16"/>
      <c r="P736" s="18"/>
      <c r="Q736" s="18"/>
      <c r="R736" s="18"/>
      <c r="S736" s="18"/>
      <c r="T736" s="18"/>
      <c r="U736" s="16"/>
      <c r="V736" s="18"/>
      <c r="W736" s="16"/>
      <c r="X736" s="18"/>
      <c r="Y736" s="18"/>
      <c r="Z736" s="18"/>
      <c r="AA736" s="18"/>
    </row>
    <row r="737" spans="2:27" x14ac:dyDescent="0.35">
      <c r="B737" s="18"/>
      <c r="C737" s="18"/>
      <c r="D737" s="18"/>
      <c r="E737" s="18"/>
      <c r="F737" s="18"/>
      <c r="G737" s="18"/>
      <c r="H737" s="18"/>
      <c r="I737" s="16"/>
      <c r="J737" s="18"/>
      <c r="K737" s="18"/>
      <c r="L737" s="18"/>
      <c r="M737" s="18"/>
      <c r="N737" s="18"/>
      <c r="O737" s="16"/>
      <c r="P737" s="18"/>
      <c r="Q737" s="18"/>
      <c r="R737" s="18"/>
      <c r="S737" s="18"/>
      <c r="T737" s="18"/>
      <c r="U737" s="16"/>
      <c r="V737" s="18"/>
      <c r="W737" s="16"/>
      <c r="X737" s="18"/>
      <c r="Y737" s="18"/>
      <c r="Z737" s="18"/>
      <c r="AA737" s="18"/>
    </row>
    <row r="738" spans="2:27" x14ac:dyDescent="0.35">
      <c r="B738" s="18"/>
      <c r="C738" s="18"/>
      <c r="D738" s="18"/>
      <c r="E738" s="18"/>
      <c r="F738" s="18"/>
      <c r="G738" s="18"/>
      <c r="H738" s="18"/>
      <c r="I738" s="16"/>
      <c r="J738" s="18"/>
      <c r="K738" s="18"/>
      <c r="L738" s="18"/>
      <c r="M738" s="18"/>
      <c r="N738" s="18"/>
      <c r="O738" s="16"/>
      <c r="P738" s="18"/>
      <c r="Q738" s="18"/>
      <c r="R738" s="18"/>
      <c r="S738" s="18"/>
      <c r="T738" s="18"/>
      <c r="U738" s="16"/>
      <c r="V738" s="18"/>
      <c r="W738" s="16"/>
      <c r="X738" s="18"/>
      <c r="Y738" s="18"/>
      <c r="Z738" s="18"/>
      <c r="AA738" s="18"/>
    </row>
    <row r="739" spans="2:27" x14ac:dyDescent="0.35">
      <c r="B739" s="18"/>
      <c r="C739" s="18"/>
      <c r="D739" s="18"/>
      <c r="E739" s="18"/>
      <c r="F739" s="18"/>
      <c r="G739" s="18"/>
      <c r="H739" s="18"/>
      <c r="I739" s="16"/>
      <c r="J739" s="18"/>
      <c r="K739" s="18"/>
      <c r="L739" s="18"/>
      <c r="M739" s="18"/>
      <c r="N739" s="18"/>
      <c r="O739" s="16"/>
      <c r="P739" s="18"/>
      <c r="Q739" s="18"/>
      <c r="R739" s="18"/>
      <c r="S739" s="18"/>
      <c r="T739" s="18"/>
      <c r="U739" s="16"/>
      <c r="V739" s="18"/>
      <c r="W739" s="16"/>
      <c r="X739" s="18"/>
      <c r="Y739" s="18"/>
      <c r="Z739" s="18"/>
      <c r="AA739" s="18"/>
    </row>
    <row r="740" spans="2:27" x14ac:dyDescent="0.35">
      <c r="B740" s="18"/>
      <c r="C740" s="18"/>
      <c r="D740" s="18"/>
      <c r="E740" s="18"/>
      <c r="F740" s="18"/>
      <c r="G740" s="18"/>
      <c r="H740" s="18"/>
      <c r="I740" s="16"/>
      <c r="J740" s="18"/>
      <c r="K740" s="18"/>
      <c r="L740" s="18"/>
      <c r="M740" s="18"/>
      <c r="N740" s="18"/>
      <c r="O740" s="16"/>
      <c r="P740" s="18"/>
      <c r="Q740" s="18"/>
      <c r="R740" s="18"/>
      <c r="S740" s="18"/>
      <c r="T740" s="18"/>
      <c r="U740" s="16"/>
      <c r="V740" s="18"/>
      <c r="W740" s="16"/>
      <c r="X740" s="18"/>
      <c r="Y740" s="18"/>
      <c r="Z740" s="18"/>
      <c r="AA740" s="18"/>
    </row>
    <row r="741" spans="2:27" x14ac:dyDescent="0.35">
      <c r="B741" s="18"/>
      <c r="C741" s="18"/>
      <c r="D741" s="18"/>
      <c r="E741" s="18"/>
      <c r="F741" s="18"/>
      <c r="G741" s="18"/>
      <c r="H741" s="18"/>
      <c r="I741" s="16"/>
      <c r="J741" s="18"/>
      <c r="K741" s="18"/>
      <c r="L741" s="18"/>
      <c r="M741" s="18"/>
      <c r="N741" s="18"/>
      <c r="O741" s="16"/>
      <c r="P741" s="18"/>
      <c r="Q741" s="18"/>
      <c r="R741" s="18"/>
      <c r="S741" s="18"/>
      <c r="T741" s="18"/>
      <c r="U741" s="16"/>
      <c r="V741" s="18"/>
      <c r="W741" s="16"/>
      <c r="X741" s="18"/>
      <c r="Y741" s="18"/>
      <c r="Z741" s="18"/>
      <c r="AA741" s="18"/>
    </row>
    <row r="742" spans="2:27" x14ac:dyDescent="0.35">
      <c r="B742" s="18"/>
      <c r="C742" s="18"/>
      <c r="D742" s="18"/>
      <c r="E742" s="18"/>
      <c r="F742" s="18"/>
      <c r="G742" s="18"/>
      <c r="H742" s="18"/>
      <c r="I742" s="16"/>
      <c r="J742" s="18"/>
      <c r="K742" s="18"/>
      <c r="L742" s="18"/>
      <c r="M742" s="18"/>
      <c r="N742" s="18"/>
      <c r="O742" s="16"/>
      <c r="P742" s="18"/>
      <c r="Q742" s="18"/>
      <c r="R742" s="18"/>
      <c r="S742" s="18"/>
      <c r="T742" s="18"/>
      <c r="U742" s="16"/>
      <c r="V742" s="18"/>
      <c r="W742" s="16"/>
      <c r="X742" s="18"/>
      <c r="Y742" s="18"/>
      <c r="Z742" s="18"/>
      <c r="AA742" s="18"/>
    </row>
    <row r="743" spans="2:27" x14ac:dyDescent="0.35">
      <c r="B743" s="18"/>
      <c r="C743" s="18"/>
      <c r="D743" s="18"/>
      <c r="E743" s="18"/>
      <c r="F743" s="18"/>
      <c r="G743" s="18"/>
      <c r="H743" s="18"/>
      <c r="I743" s="16"/>
      <c r="J743" s="18"/>
      <c r="K743" s="18"/>
      <c r="L743" s="18"/>
      <c r="M743" s="18"/>
      <c r="N743" s="18"/>
      <c r="O743" s="16"/>
      <c r="P743" s="18"/>
      <c r="Q743" s="18"/>
      <c r="R743" s="18"/>
      <c r="S743" s="18"/>
      <c r="T743" s="18"/>
      <c r="U743" s="16"/>
      <c r="V743" s="18"/>
      <c r="W743" s="16"/>
      <c r="X743" s="18"/>
      <c r="Y743" s="18"/>
      <c r="Z743" s="18"/>
      <c r="AA743" s="18"/>
    </row>
    <row r="744" spans="2:27" x14ac:dyDescent="0.35">
      <c r="B744" s="18"/>
      <c r="C744" s="18"/>
      <c r="D744" s="18"/>
      <c r="E744" s="18"/>
      <c r="F744" s="18"/>
      <c r="G744" s="18"/>
      <c r="H744" s="18"/>
      <c r="I744" s="16"/>
      <c r="J744" s="18"/>
      <c r="K744" s="18"/>
      <c r="L744" s="18"/>
      <c r="M744" s="18"/>
      <c r="N744" s="18"/>
      <c r="O744" s="16"/>
      <c r="P744" s="18"/>
      <c r="Q744" s="18"/>
      <c r="R744" s="18"/>
      <c r="S744" s="18"/>
      <c r="T744" s="18"/>
      <c r="U744" s="16"/>
      <c r="V744" s="18"/>
      <c r="W744" s="16"/>
      <c r="X744" s="18"/>
      <c r="Y744" s="18"/>
      <c r="Z744" s="18"/>
      <c r="AA744" s="18"/>
    </row>
    <row r="745" spans="2:27" x14ac:dyDescent="0.35">
      <c r="B745" s="18"/>
      <c r="C745" s="18"/>
      <c r="D745" s="18"/>
      <c r="E745" s="18"/>
      <c r="F745" s="18"/>
      <c r="G745" s="18"/>
      <c r="H745" s="18"/>
      <c r="I745" s="16"/>
      <c r="J745" s="18"/>
      <c r="K745" s="18"/>
      <c r="L745" s="18"/>
      <c r="M745" s="18"/>
      <c r="N745" s="18"/>
      <c r="O745" s="16"/>
      <c r="P745" s="18"/>
      <c r="Q745" s="18"/>
      <c r="R745" s="18"/>
      <c r="S745" s="18"/>
      <c r="T745" s="18"/>
      <c r="U745" s="16"/>
      <c r="V745" s="18"/>
      <c r="W745" s="16"/>
      <c r="X745" s="18"/>
      <c r="Y745" s="18"/>
      <c r="Z745" s="18"/>
      <c r="AA745" s="18"/>
    </row>
    <row r="746" spans="2:27" x14ac:dyDescent="0.35">
      <c r="B746" s="18"/>
      <c r="C746" s="18"/>
      <c r="D746" s="18"/>
      <c r="E746" s="18"/>
      <c r="F746" s="18"/>
      <c r="G746" s="18"/>
      <c r="H746" s="18"/>
      <c r="I746" s="16"/>
      <c r="J746" s="18"/>
      <c r="K746" s="18"/>
      <c r="L746" s="18"/>
      <c r="M746" s="18"/>
      <c r="N746" s="18"/>
      <c r="O746" s="16"/>
      <c r="P746" s="18"/>
      <c r="Q746" s="18"/>
      <c r="R746" s="18"/>
      <c r="S746" s="18"/>
      <c r="T746" s="18"/>
      <c r="U746" s="16"/>
      <c r="V746" s="18"/>
      <c r="W746" s="16"/>
      <c r="X746" s="18"/>
      <c r="Y746" s="18"/>
      <c r="Z746" s="18"/>
      <c r="AA746" s="18"/>
    </row>
    <row r="747" spans="2:27" x14ac:dyDescent="0.35">
      <c r="B747" s="18"/>
      <c r="C747" s="18"/>
      <c r="D747" s="18"/>
      <c r="E747" s="18"/>
      <c r="F747" s="18"/>
      <c r="G747" s="18"/>
      <c r="H747" s="18"/>
      <c r="I747" s="16"/>
      <c r="J747" s="18"/>
      <c r="K747" s="18"/>
      <c r="L747" s="18"/>
      <c r="M747" s="18"/>
      <c r="N747" s="18"/>
      <c r="O747" s="16"/>
      <c r="P747" s="18"/>
      <c r="Q747" s="18"/>
      <c r="R747" s="18"/>
      <c r="S747" s="18"/>
      <c r="T747" s="18"/>
      <c r="U747" s="16"/>
      <c r="V747" s="18"/>
      <c r="W747" s="16"/>
      <c r="X747" s="18"/>
      <c r="Y747" s="18"/>
      <c r="Z747" s="18"/>
      <c r="AA747" s="18"/>
    </row>
    <row r="748" spans="2:27" x14ac:dyDescent="0.35">
      <c r="B748" s="18"/>
      <c r="C748" s="18"/>
      <c r="D748" s="18"/>
      <c r="E748" s="18"/>
      <c r="F748" s="18"/>
      <c r="G748" s="18"/>
      <c r="H748" s="18"/>
      <c r="I748" s="16"/>
      <c r="J748" s="18"/>
      <c r="K748" s="18"/>
      <c r="L748" s="18"/>
      <c r="M748" s="18"/>
      <c r="N748" s="18"/>
      <c r="O748" s="16"/>
      <c r="P748" s="18"/>
      <c r="Q748" s="18"/>
      <c r="R748" s="18"/>
      <c r="S748" s="18"/>
      <c r="T748" s="18"/>
      <c r="U748" s="16"/>
      <c r="V748" s="18"/>
      <c r="W748" s="16"/>
      <c r="X748" s="18"/>
      <c r="Y748" s="18"/>
      <c r="Z748" s="18"/>
      <c r="AA748" s="18"/>
    </row>
    <row r="749" spans="2:27" x14ac:dyDescent="0.35">
      <c r="B749" s="18"/>
      <c r="C749" s="18"/>
      <c r="D749" s="18"/>
      <c r="E749" s="18"/>
      <c r="F749" s="18"/>
      <c r="G749" s="18"/>
      <c r="H749" s="18"/>
      <c r="I749" s="16"/>
      <c r="J749" s="18"/>
      <c r="K749" s="18"/>
      <c r="L749" s="18"/>
      <c r="M749" s="18"/>
      <c r="N749" s="18"/>
      <c r="O749" s="16"/>
      <c r="P749" s="18"/>
      <c r="Q749" s="18"/>
      <c r="R749" s="18"/>
      <c r="S749" s="18"/>
      <c r="T749" s="18"/>
      <c r="U749" s="16"/>
      <c r="V749" s="18"/>
      <c r="W749" s="16"/>
      <c r="X749" s="18"/>
      <c r="Y749" s="18"/>
      <c r="Z749" s="18"/>
      <c r="AA749" s="18"/>
    </row>
    <row r="750" spans="2:27" x14ac:dyDescent="0.35">
      <c r="B750" s="18"/>
      <c r="C750" s="18"/>
      <c r="D750" s="18"/>
      <c r="E750" s="18"/>
      <c r="F750" s="18"/>
      <c r="G750" s="18"/>
      <c r="H750" s="18"/>
      <c r="I750" s="16"/>
      <c r="J750" s="18"/>
      <c r="K750" s="18"/>
      <c r="L750" s="18"/>
      <c r="M750" s="18"/>
      <c r="N750" s="18"/>
      <c r="O750" s="16"/>
      <c r="P750" s="18"/>
      <c r="Q750" s="18"/>
      <c r="R750" s="18"/>
      <c r="S750" s="18"/>
      <c r="T750" s="18"/>
      <c r="U750" s="16"/>
      <c r="V750" s="18"/>
      <c r="W750" s="16"/>
      <c r="X750" s="18"/>
      <c r="Y750" s="18"/>
      <c r="Z750" s="18"/>
      <c r="AA750" s="18"/>
    </row>
    <row r="751" spans="2:27" x14ac:dyDescent="0.35">
      <c r="B751" s="18"/>
      <c r="C751" s="18"/>
      <c r="D751" s="18"/>
      <c r="E751" s="18"/>
      <c r="F751" s="18"/>
      <c r="G751" s="18"/>
      <c r="H751" s="18"/>
      <c r="I751" s="16"/>
      <c r="J751" s="18"/>
      <c r="K751" s="18"/>
      <c r="L751" s="18"/>
      <c r="M751" s="18"/>
      <c r="N751" s="18"/>
      <c r="O751" s="16"/>
      <c r="P751" s="18"/>
      <c r="Q751" s="18"/>
      <c r="R751" s="18"/>
      <c r="S751" s="18"/>
      <c r="T751" s="18"/>
      <c r="U751" s="16"/>
      <c r="V751" s="18"/>
      <c r="W751" s="16"/>
      <c r="X751" s="18"/>
      <c r="Y751" s="18"/>
      <c r="Z751" s="18"/>
      <c r="AA751" s="18"/>
    </row>
    <row r="752" spans="2:27" x14ac:dyDescent="0.35">
      <c r="B752" s="18"/>
      <c r="C752" s="18"/>
      <c r="D752" s="18"/>
      <c r="E752" s="18"/>
      <c r="F752" s="18"/>
      <c r="G752" s="18"/>
      <c r="H752" s="18"/>
      <c r="I752" s="16"/>
      <c r="J752" s="18"/>
      <c r="K752" s="18"/>
      <c r="L752" s="18"/>
      <c r="M752" s="18"/>
      <c r="N752" s="18"/>
      <c r="O752" s="16"/>
      <c r="P752" s="18"/>
      <c r="Q752" s="18"/>
      <c r="R752" s="18"/>
      <c r="S752" s="18"/>
      <c r="T752" s="18"/>
      <c r="U752" s="16"/>
      <c r="V752" s="18"/>
      <c r="W752" s="16"/>
      <c r="X752" s="18"/>
      <c r="Y752" s="18"/>
      <c r="Z752" s="18"/>
      <c r="AA752" s="18"/>
    </row>
    <row r="753" spans="2:27" x14ac:dyDescent="0.35">
      <c r="B753" s="18"/>
      <c r="C753" s="18"/>
      <c r="D753" s="18"/>
      <c r="E753" s="18"/>
      <c r="F753" s="18"/>
      <c r="G753" s="18"/>
      <c r="H753" s="18"/>
      <c r="I753" s="16"/>
      <c r="J753" s="18"/>
      <c r="K753" s="18"/>
      <c r="L753" s="18"/>
      <c r="M753" s="18"/>
      <c r="N753" s="18"/>
      <c r="O753" s="16"/>
      <c r="P753" s="18"/>
      <c r="Q753" s="18"/>
      <c r="R753" s="18"/>
      <c r="S753" s="18"/>
      <c r="T753" s="18"/>
      <c r="U753" s="16"/>
      <c r="V753" s="18"/>
      <c r="W753" s="16"/>
      <c r="X753" s="18"/>
      <c r="Y753" s="18"/>
      <c r="Z753" s="18"/>
      <c r="AA753" s="18"/>
    </row>
    <row r="754" spans="2:27" x14ac:dyDescent="0.35">
      <c r="B754" s="18"/>
      <c r="C754" s="18"/>
      <c r="D754" s="18"/>
      <c r="E754" s="18"/>
      <c r="F754" s="18"/>
      <c r="G754" s="18"/>
      <c r="H754" s="18"/>
      <c r="I754" s="16"/>
      <c r="J754" s="18"/>
      <c r="K754" s="18"/>
      <c r="L754" s="18"/>
      <c r="M754" s="18"/>
      <c r="N754" s="18"/>
      <c r="O754" s="16"/>
      <c r="P754" s="18"/>
      <c r="Q754" s="18"/>
      <c r="R754" s="18"/>
      <c r="S754" s="18"/>
      <c r="T754" s="18"/>
      <c r="U754" s="16"/>
      <c r="V754" s="18"/>
      <c r="W754" s="16"/>
      <c r="X754" s="18"/>
      <c r="Y754" s="18"/>
      <c r="Z754" s="18"/>
      <c r="AA754" s="18"/>
    </row>
    <row r="755" spans="2:27" x14ac:dyDescent="0.35">
      <c r="B755" s="18"/>
      <c r="C755" s="18"/>
      <c r="D755" s="18"/>
      <c r="E755" s="18"/>
      <c r="F755" s="18"/>
      <c r="G755" s="18"/>
      <c r="H755" s="18"/>
      <c r="I755" s="16"/>
      <c r="J755" s="18"/>
      <c r="K755" s="18"/>
      <c r="L755" s="18"/>
      <c r="M755" s="18"/>
      <c r="N755" s="18"/>
      <c r="O755" s="16"/>
      <c r="P755" s="18"/>
      <c r="Q755" s="18"/>
      <c r="R755" s="18"/>
      <c r="S755" s="18"/>
      <c r="T755" s="18"/>
      <c r="U755" s="16"/>
      <c r="V755" s="18"/>
      <c r="W755" s="16"/>
      <c r="X755" s="18"/>
      <c r="Y755" s="18"/>
      <c r="Z755" s="18"/>
      <c r="AA755" s="18"/>
    </row>
    <row r="756" spans="2:27" x14ac:dyDescent="0.35">
      <c r="B756" s="18"/>
      <c r="C756" s="18"/>
      <c r="D756" s="18"/>
      <c r="E756" s="18"/>
      <c r="F756" s="18"/>
      <c r="G756" s="18"/>
      <c r="H756" s="18"/>
      <c r="I756" s="16"/>
      <c r="J756" s="18"/>
      <c r="K756" s="18"/>
      <c r="L756" s="18"/>
      <c r="M756" s="18"/>
      <c r="N756" s="18"/>
      <c r="O756" s="16"/>
      <c r="P756" s="18"/>
      <c r="Q756" s="18"/>
      <c r="R756" s="18"/>
      <c r="S756" s="18"/>
      <c r="T756" s="18"/>
      <c r="U756" s="16"/>
      <c r="V756" s="18"/>
      <c r="W756" s="16"/>
      <c r="X756" s="18"/>
      <c r="Y756" s="18"/>
      <c r="Z756" s="18"/>
      <c r="AA756" s="18"/>
    </row>
    <row r="757" spans="2:27" x14ac:dyDescent="0.35">
      <c r="B757" s="18"/>
      <c r="C757" s="18"/>
      <c r="D757" s="18"/>
      <c r="E757" s="18"/>
      <c r="F757" s="18"/>
      <c r="G757" s="18"/>
      <c r="H757" s="18"/>
      <c r="I757" s="16"/>
      <c r="J757" s="18"/>
      <c r="K757" s="18"/>
      <c r="L757" s="18"/>
      <c r="M757" s="18"/>
      <c r="N757" s="18"/>
      <c r="O757" s="16"/>
      <c r="P757" s="18"/>
      <c r="Q757" s="18"/>
      <c r="R757" s="18"/>
      <c r="S757" s="18"/>
      <c r="T757" s="18"/>
      <c r="U757" s="16"/>
      <c r="V757" s="18"/>
      <c r="W757" s="16"/>
      <c r="X757" s="18"/>
      <c r="Y757" s="18"/>
      <c r="Z757" s="18"/>
      <c r="AA757" s="18"/>
    </row>
    <row r="758" spans="2:27" x14ac:dyDescent="0.35">
      <c r="B758" s="18"/>
      <c r="C758" s="18"/>
      <c r="D758" s="18"/>
      <c r="E758" s="18"/>
      <c r="F758" s="18"/>
      <c r="G758" s="18"/>
      <c r="H758" s="18"/>
      <c r="I758" s="16"/>
      <c r="J758" s="18"/>
      <c r="K758" s="18"/>
      <c r="L758" s="18"/>
      <c r="M758" s="18"/>
      <c r="N758" s="18"/>
      <c r="O758" s="16"/>
      <c r="P758" s="18"/>
      <c r="Q758" s="18"/>
      <c r="R758" s="18"/>
      <c r="S758" s="18"/>
      <c r="T758" s="18"/>
      <c r="U758" s="16"/>
      <c r="V758" s="18"/>
      <c r="W758" s="16"/>
      <c r="X758" s="18"/>
      <c r="Y758" s="18"/>
      <c r="Z758" s="18"/>
      <c r="AA758" s="18"/>
    </row>
    <row r="759" spans="2:27" x14ac:dyDescent="0.35">
      <c r="B759" s="18"/>
      <c r="C759" s="18"/>
      <c r="D759" s="18"/>
      <c r="E759" s="18"/>
      <c r="F759" s="18"/>
      <c r="G759" s="18"/>
      <c r="H759" s="18"/>
      <c r="I759" s="16"/>
      <c r="J759" s="18"/>
      <c r="K759" s="18"/>
      <c r="L759" s="18"/>
      <c r="M759" s="18"/>
      <c r="N759" s="18"/>
      <c r="O759" s="16"/>
      <c r="P759" s="18"/>
      <c r="Q759" s="18"/>
      <c r="R759" s="18"/>
      <c r="S759" s="18"/>
      <c r="T759" s="18"/>
      <c r="U759" s="16"/>
      <c r="V759" s="18"/>
      <c r="W759" s="16"/>
      <c r="X759" s="18"/>
      <c r="Y759" s="18"/>
      <c r="Z759" s="18"/>
      <c r="AA759" s="18"/>
    </row>
    <row r="760" spans="2:27" x14ac:dyDescent="0.35">
      <c r="B760" s="18"/>
      <c r="C760" s="18"/>
      <c r="D760" s="18"/>
      <c r="E760" s="18"/>
      <c r="F760" s="18"/>
      <c r="G760" s="18"/>
      <c r="H760" s="18"/>
      <c r="I760" s="16"/>
      <c r="J760" s="18"/>
      <c r="K760" s="18"/>
      <c r="L760" s="18"/>
      <c r="M760" s="18"/>
      <c r="N760" s="18"/>
      <c r="O760" s="16"/>
      <c r="P760" s="18"/>
      <c r="Q760" s="18"/>
      <c r="R760" s="18"/>
      <c r="S760" s="18"/>
      <c r="T760" s="18"/>
      <c r="U760" s="16"/>
      <c r="V760" s="18"/>
      <c r="W760" s="16"/>
      <c r="X760" s="18"/>
      <c r="Y760" s="18"/>
      <c r="Z760" s="18"/>
      <c r="AA760" s="18"/>
    </row>
    <row r="761" spans="2:27" x14ac:dyDescent="0.35">
      <c r="B761" s="18"/>
      <c r="C761" s="18"/>
      <c r="D761" s="18"/>
      <c r="E761" s="18"/>
      <c r="F761" s="18"/>
      <c r="G761" s="18"/>
      <c r="H761" s="18"/>
      <c r="I761" s="16"/>
      <c r="J761" s="18"/>
      <c r="K761" s="18"/>
      <c r="L761" s="18"/>
      <c r="M761" s="18"/>
      <c r="N761" s="18"/>
      <c r="O761" s="16"/>
      <c r="P761" s="18"/>
      <c r="Q761" s="18"/>
      <c r="R761" s="18"/>
      <c r="S761" s="18"/>
      <c r="T761" s="18"/>
      <c r="U761" s="16"/>
      <c r="V761" s="18"/>
      <c r="W761" s="16"/>
      <c r="X761" s="18"/>
      <c r="Y761" s="18"/>
      <c r="Z761" s="18"/>
      <c r="AA761" s="18"/>
    </row>
    <row r="762" spans="2:27" x14ac:dyDescent="0.35">
      <c r="B762" s="18"/>
      <c r="C762" s="18"/>
      <c r="D762" s="18"/>
      <c r="E762" s="18"/>
      <c r="F762" s="18"/>
      <c r="G762" s="18"/>
      <c r="H762" s="18"/>
      <c r="I762" s="16"/>
      <c r="J762" s="18"/>
      <c r="K762" s="18"/>
      <c r="L762" s="18"/>
      <c r="M762" s="18"/>
      <c r="N762" s="18"/>
      <c r="O762" s="16"/>
      <c r="P762" s="18"/>
      <c r="Q762" s="18"/>
      <c r="R762" s="18"/>
      <c r="S762" s="18"/>
      <c r="T762" s="18"/>
      <c r="U762" s="16"/>
      <c r="V762" s="18"/>
      <c r="W762" s="16"/>
      <c r="X762" s="18"/>
      <c r="Y762" s="18"/>
      <c r="Z762" s="18"/>
      <c r="AA762" s="18"/>
    </row>
    <row r="763" spans="2:27" x14ac:dyDescent="0.35">
      <c r="B763" s="18"/>
      <c r="C763" s="18"/>
      <c r="D763" s="18"/>
      <c r="E763" s="18"/>
      <c r="F763" s="18"/>
      <c r="G763" s="18"/>
      <c r="H763" s="18"/>
      <c r="I763" s="16"/>
      <c r="J763" s="18"/>
      <c r="K763" s="18"/>
      <c r="L763" s="18"/>
      <c r="M763" s="18"/>
      <c r="N763" s="18"/>
      <c r="O763" s="16"/>
      <c r="P763" s="18"/>
      <c r="Q763" s="18"/>
      <c r="R763" s="18"/>
      <c r="S763" s="18"/>
      <c r="T763" s="18"/>
      <c r="U763" s="16"/>
      <c r="V763" s="18"/>
      <c r="W763" s="16"/>
      <c r="X763" s="18"/>
      <c r="Y763" s="18"/>
      <c r="Z763" s="18"/>
      <c r="AA763" s="18"/>
    </row>
    <row r="764" spans="2:27" x14ac:dyDescent="0.35">
      <c r="B764" s="18"/>
      <c r="C764" s="18"/>
      <c r="D764" s="18"/>
      <c r="E764" s="18"/>
      <c r="F764" s="18"/>
      <c r="G764" s="18"/>
      <c r="H764" s="18"/>
      <c r="I764" s="16"/>
      <c r="J764" s="18"/>
      <c r="K764" s="18"/>
      <c r="L764" s="18"/>
      <c r="M764" s="18"/>
      <c r="N764" s="18"/>
      <c r="O764" s="16"/>
      <c r="P764" s="18"/>
      <c r="Q764" s="18"/>
      <c r="R764" s="18"/>
      <c r="S764" s="18"/>
      <c r="T764" s="18"/>
      <c r="U764" s="16"/>
      <c r="V764" s="18"/>
      <c r="W764" s="16"/>
      <c r="X764" s="18"/>
      <c r="Y764" s="18"/>
      <c r="Z764" s="18"/>
      <c r="AA764" s="18"/>
    </row>
    <row r="765" spans="2:27" x14ac:dyDescent="0.35">
      <c r="B765" s="18"/>
      <c r="C765" s="18"/>
      <c r="D765" s="18"/>
      <c r="E765" s="18"/>
      <c r="F765" s="18"/>
      <c r="G765" s="18"/>
      <c r="H765" s="18"/>
      <c r="I765" s="16"/>
      <c r="J765" s="18"/>
      <c r="K765" s="18"/>
      <c r="L765" s="18"/>
      <c r="M765" s="18"/>
      <c r="N765" s="18"/>
      <c r="O765" s="16"/>
      <c r="P765" s="18"/>
      <c r="Q765" s="18"/>
      <c r="R765" s="18"/>
      <c r="S765" s="18"/>
      <c r="T765" s="18"/>
      <c r="U765" s="16"/>
      <c r="V765" s="18"/>
      <c r="W765" s="16"/>
      <c r="X765" s="18"/>
      <c r="Y765" s="18"/>
      <c r="Z765" s="18"/>
      <c r="AA765" s="18"/>
    </row>
    <row r="766" spans="2:27" x14ac:dyDescent="0.35">
      <c r="B766" s="18"/>
      <c r="C766" s="18"/>
      <c r="D766" s="18"/>
      <c r="E766" s="18"/>
      <c r="F766" s="18"/>
      <c r="G766" s="18"/>
      <c r="H766" s="18"/>
      <c r="I766" s="16"/>
      <c r="J766" s="18"/>
      <c r="K766" s="18"/>
      <c r="L766" s="18"/>
      <c r="M766" s="18"/>
      <c r="N766" s="18"/>
      <c r="O766" s="16"/>
      <c r="P766" s="18"/>
      <c r="Q766" s="18"/>
      <c r="R766" s="18"/>
      <c r="S766" s="18"/>
      <c r="T766" s="18"/>
      <c r="U766" s="16"/>
      <c r="V766" s="18"/>
      <c r="W766" s="16"/>
      <c r="X766" s="18"/>
      <c r="Y766" s="18"/>
      <c r="Z766" s="18"/>
      <c r="AA766" s="18"/>
    </row>
    <row r="767" spans="2:27" x14ac:dyDescent="0.35">
      <c r="B767" s="18"/>
      <c r="C767" s="18"/>
      <c r="D767" s="18"/>
      <c r="E767" s="18"/>
      <c r="F767" s="18"/>
      <c r="G767" s="18"/>
      <c r="H767" s="18"/>
      <c r="I767" s="16"/>
      <c r="J767" s="18"/>
      <c r="K767" s="18"/>
      <c r="L767" s="18"/>
      <c r="M767" s="18"/>
      <c r="N767" s="18"/>
      <c r="O767" s="16"/>
      <c r="P767" s="18"/>
      <c r="Q767" s="18"/>
      <c r="R767" s="18"/>
      <c r="S767" s="18"/>
      <c r="T767" s="18"/>
      <c r="U767" s="16"/>
      <c r="V767" s="18"/>
      <c r="W767" s="16"/>
      <c r="X767" s="18"/>
      <c r="Y767" s="18"/>
      <c r="Z767" s="18"/>
      <c r="AA767" s="18"/>
    </row>
    <row r="768" spans="2:27" x14ac:dyDescent="0.35">
      <c r="B768" s="18"/>
      <c r="C768" s="18"/>
      <c r="D768" s="18"/>
      <c r="E768" s="18"/>
      <c r="F768" s="18"/>
      <c r="G768" s="18"/>
      <c r="H768" s="18"/>
      <c r="I768" s="16"/>
      <c r="J768" s="18"/>
      <c r="K768" s="18"/>
      <c r="L768" s="18"/>
      <c r="M768" s="18"/>
      <c r="N768" s="18"/>
      <c r="O768" s="16"/>
      <c r="P768" s="18"/>
      <c r="Q768" s="18"/>
      <c r="R768" s="18"/>
      <c r="S768" s="18"/>
      <c r="T768" s="18"/>
      <c r="U768" s="16"/>
      <c r="V768" s="18"/>
      <c r="W768" s="16"/>
      <c r="X768" s="18"/>
      <c r="Y768" s="18"/>
      <c r="Z768" s="18"/>
      <c r="AA768" s="18"/>
    </row>
    <row r="769" spans="2:27" x14ac:dyDescent="0.35">
      <c r="B769" s="18"/>
      <c r="C769" s="18"/>
      <c r="D769" s="18"/>
      <c r="E769" s="18"/>
      <c r="F769" s="18"/>
      <c r="G769" s="18"/>
      <c r="H769" s="18"/>
      <c r="I769" s="16"/>
      <c r="J769" s="18"/>
      <c r="K769" s="18"/>
      <c r="L769" s="18"/>
      <c r="M769" s="18"/>
      <c r="N769" s="18"/>
      <c r="O769" s="16"/>
      <c r="P769" s="18"/>
      <c r="Q769" s="18"/>
      <c r="R769" s="18"/>
      <c r="S769" s="18"/>
      <c r="T769" s="18"/>
      <c r="U769" s="16"/>
      <c r="V769" s="18"/>
      <c r="W769" s="16"/>
      <c r="X769" s="18"/>
      <c r="Y769" s="18"/>
      <c r="Z769" s="18"/>
      <c r="AA769" s="18"/>
    </row>
    <row r="770" spans="2:27" x14ac:dyDescent="0.35">
      <c r="B770" s="18"/>
      <c r="C770" s="18"/>
      <c r="D770" s="18"/>
      <c r="E770" s="18"/>
      <c r="F770" s="18"/>
      <c r="G770" s="18"/>
      <c r="H770" s="18"/>
      <c r="I770" s="16"/>
      <c r="J770" s="18"/>
      <c r="K770" s="18"/>
      <c r="L770" s="18"/>
      <c r="M770" s="18"/>
      <c r="N770" s="18"/>
      <c r="O770" s="16"/>
      <c r="P770" s="18"/>
      <c r="Q770" s="18"/>
      <c r="R770" s="18"/>
      <c r="S770" s="18"/>
      <c r="T770" s="18"/>
      <c r="U770" s="16"/>
      <c r="V770" s="18"/>
      <c r="W770" s="16"/>
      <c r="X770" s="18"/>
      <c r="Y770" s="18"/>
      <c r="Z770" s="18"/>
      <c r="AA770" s="18"/>
    </row>
    <row r="771" spans="2:27" x14ac:dyDescent="0.35">
      <c r="B771" s="18"/>
      <c r="C771" s="18"/>
      <c r="D771" s="18"/>
      <c r="E771" s="18"/>
      <c r="F771" s="18"/>
      <c r="G771" s="18"/>
      <c r="H771" s="18"/>
      <c r="I771" s="16"/>
      <c r="J771" s="18"/>
      <c r="K771" s="18"/>
      <c r="L771" s="18"/>
      <c r="M771" s="18"/>
      <c r="N771" s="18"/>
      <c r="O771" s="16"/>
      <c r="P771" s="18"/>
      <c r="Q771" s="18"/>
      <c r="R771" s="18"/>
      <c r="S771" s="18"/>
      <c r="T771" s="18"/>
      <c r="U771" s="16"/>
      <c r="V771" s="18"/>
      <c r="W771" s="16"/>
      <c r="X771" s="18"/>
      <c r="Y771" s="18"/>
      <c r="Z771" s="18"/>
      <c r="AA771" s="18"/>
    </row>
    <row r="772" spans="2:27" x14ac:dyDescent="0.35">
      <c r="B772" s="18"/>
      <c r="C772" s="18"/>
      <c r="D772" s="18"/>
      <c r="E772" s="18"/>
      <c r="F772" s="18"/>
      <c r="G772" s="18"/>
      <c r="H772" s="18"/>
      <c r="I772" s="16"/>
      <c r="J772" s="18"/>
      <c r="K772" s="18"/>
      <c r="L772" s="18"/>
      <c r="M772" s="18"/>
      <c r="N772" s="18"/>
      <c r="O772" s="16"/>
      <c r="P772" s="18"/>
      <c r="Q772" s="18"/>
      <c r="R772" s="18"/>
      <c r="S772" s="18"/>
      <c r="T772" s="18"/>
      <c r="U772" s="16"/>
      <c r="V772" s="18"/>
      <c r="W772" s="16"/>
      <c r="X772" s="18"/>
      <c r="Y772" s="18"/>
      <c r="Z772" s="18"/>
      <c r="AA772" s="18"/>
    </row>
    <row r="773" spans="2:27" x14ac:dyDescent="0.35">
      <c r="B773" s="18"/>
      <c r="C773" s="18"/>
      <c r="D773" s="18"/>
      <c r="E773" s="18"/>
      <c r="F773" s="18"/>
      <c r="G773" s="18"/>
      <c r="H773" s="18"/>
      <c r="I773" s="16"/>
      <c r="J773" s="18"/>
      <c r="K773" s="18"/>
      <c r="L773" s="18"/>
      <c r="M773" s="18"/>
      <c r="N773" s="18"/>
      <c r="O773" s="16"/>
      <c r="P773" s="18"/>
      <c r="Q773" s="18"/>
      <c r="R773" s="18"/>
      <c r="S773" s="18"/>
      <c r="T773" s="18"/>
      <c r="U773" s="16"/>
      <c r="V773" s="18"/>
      <c r="W773" s="16"/>
      <c r="X773" s="18"/>
      <c r="Y773" s="18"/>
      <c r="Z773" s="18"/>
      <c r="AA773" s="18"/>
    </row>
    <row r="774" spans="2:27" x14ac:dyDescent="0.35">
      <c r="B774" s="18"/>
      <c r="C774" s="18"/>
      <c r="D774" s="18"/>
      <c r="E774" s="18"/>
      <c r="F774" s="18"/>
      <c r="G774" s="18"/>
      <c r="H774" s="18"/>
      <c r="I774" s="16"/>
      <c r="J774" s="18"/>
      <c r="K774" s="18"/>
      <c r="L774" s="18"/>
      <c r="M774" s="18"/>
      <c r="N774" s="18"/>
      <c r="O774" s="16"/>
      <c r="P774" s="18"/>
      <c r="Q774" s="18"/>
      <c r="R774" s="18"/>
      <c r="S774" s="18"/>
      <c r="T774" s="18"/>
      <c r="U774" s="16"/>
      <c r="V774" s="18"/>
      <c r="W774" s="16"/>
      <c r="X774" s="18"/>
      <c r="Y774" s="18"/>
      <c r="Z774" s="18"/>
      <c r="AA774" s="18"/>
    </row>
    <row r="775" spans="2:27" x14ac:dyDescent="0.35">
      <c r="B775" s="18"/>
      <c r="C775" s="18"/>
      <c r="D775" s="18"/>
      <c r="E775" s="18"/>
      <c r="F775" s="18"/>
      <c r="G775" s="18"/>
      <c r="H775" s="18"/>
      <c r="I775" s="16"/>
      <c r="J775" s="18"/>
      <c r="K775" s="18"/>
      <c r="L775" s="18"/>
      <c r="M775" s="18"/>
      <c r="N775" s="18"/>
      <c r="O775" s="16"/>
      <c r="P775" s="18"/>
      <c r="Q775" s="18"/>
      <c r="R775" s="18"/>
      <c r="S775" s="18"/>
      <c r="T775" s="18"/>
      <c r="U775" s="16"/>
      <c r="V775" s="18"/>
      <c r="W775" s="16"/>
      <c r="X775" s="18"/>
      <c r="Y775" s="18"/>
      <c r="Z775" s="18"/>
      <c r="AA775" s="18"/>
    </row>
    <row r="776" spans="2:27" x14ac:dyDescent="0.35">
      <c r="B776" s="18"/>
      <c r="C776" s="18"/>
      <c r="D776" s="18"/>
      <c r="E776" s="18"/>
      <c r="F776" s="18"/>
      <c r="G776" s="18"/>
      <c r="H776" s="18"/>
      <c r="I776" s="16"/>
      <c r="J776" s="18"/>
      <c r="K776" s="18"/>
      <c r="L776" s="18"/>
      <c r="M776" s="18"/>
      <c r="N776" s="18"/>
      <c r="O776" s="16"/>
      <c r="P776" s="18"/>
      <c r="Q776" s="18"/>
      <c r="R776" s="18"/>
      <c r="S776" s="18"/>
      <c r="T776" s="18"/>
      <c r="U776" s="16"/>
      <c r="V776" s="18"/>
      <c r="W776" s="16"/>
      <c r="X776" s="18"/>
      <c r="Y776" s="18"/>
      <c r="Z776" s="18"/>
      <c r="AA776" s="18"/>
    </row>
    <row r="777" spans="2:27" x14ac:dyDescent="0.35">
      <c r="B777" s="18"/>
      <c r="C777" s="18"/>
      <c r="D777" s="18"/>
      <c r="E777" s="18"/>
      <c r="F777" s="18"/>
      <c r="G777" s="18"/>
      <c r="H777" s="18"/>
      <c r="I777" s="16"/>
      <c r="J777" s="18"/>
      <c r="K777" s="18"/>
      <c r="L777" s="18"/>
      <c r="M777" s="18"/>
      <c r="N777" s="18"/>
      <c r="O777" s="16"/>
      <c r="P777" s="18"/>
      <c r="Q777" s="18"/>
      <c r="R777" s="18"/>
      <c r="S777" s="18"/>
      <c r="T777" s="18"/>
      <c r="U777" s="16"/>
      <c r="V777" s="18"/>
      <c r="W777" s="16"/>
      <c r="X777" s="18"/>
      <c r="Y777" s="18"/>
      <c r="Z777" s="18"/>
      <c r="AA777" s="18"/>
    </row>
    <row r="778" spans="2:27" x14ac:dyDescent="0.35">
      <c r="B778" s="18"/>
      <c r="C778" s="18"/>
      <c r="D778" s="18"/>
      <c r="E778" s="18"/>
      <c r="F778" s="18"/>
      <c r="G778" s="18"/>
      <c r="H778" s="18"/>
      <c r="I778" s="16"/>
      <c r="J778" s="18"/>
      <c r="K778" s="18"/>
      <c r="L778" s="18"/>
      <c r="M778" s="18"/>
      <c r="N778" s="18"/>
      <c r="O778" s="16"/>
      <c r="P778" s="18"/>
      <c r="Q778" s="18"/>
      <c r="R778" s="18"/>
      <c r="S778" s="18"/>
      <c r="T778" s="18"/>
      <c r="U778" s="16"/>
      <c r="V778" s="18"/>
      <c r="W778" s="16"/>
      <c r="X778" s="18"/>
      <c r="Y778" s="18"/>
      <c r="Z778" s="18"/>
      <c r="AA778" s="18"/>
    </row>
    <row r="779" spans="2:27" x14ac:dyDescent="0.35">
      <c r="B779" s="18"/>
      <c r="C779" s="18"/>
      <c r="D779" s="18"/>
      <c r="E779" s="18"/>
      <c r="F779" s="18"/>
      <c r="G779" s="18"/>
      <c r="H779" s="18"/>
      <c r="I779" s="16"/>
      <c r="J779" s="18"/>
      <c r="K779" s="18"/>
      <c r="L779" s="18"/>
      <c r="M779" s="18"/>
      <c r="N779" s="18"/>
      <c r="O779" s="16"/>
      <c r="P779" s="18"/>
      <c r="Q779" s="18"/>
      <c r="R779" s="18"/>
      <c r="S779" s="18"/>
      <c r="T779" s="18"/>
      <c r="U779" s="16"/>
      <c r="V779" s="18"/>
      <c r="W779" s="16"/>
      <c r="X779" s="18"/>
      <c r="Y779" s="18"/>
      <c r="Z779" s="18"/>
      <c r="AA779" s="18"/>
    </row>
    <row r="780" spans="2:27" x14ac:dyDescent="0.35">
      <c r="B780" s="18"/>
      <c r="C780" s="18"/>
      <c r="D780" s="18"/>
      <c r="E780" s="18"/>
      <c r="F780" s="18"/>
      <c r="G780" s="18"/>
      <c r="H780" s="18"/>
      <c r="I780" s="16"/>
      <c r="J780" s="18"/>
      <c r="K780" s="18"/>
      <c r="L780" s="18"/>
      <c r="M780" s="18"/>
      <c r="N780" s="18"/>
      <c r="O780" s="16"/>
      <c r="P780" s="18"/>
      <c r="Q780" s="18"/>
      <c r="R780" s="18"/>
      <c r="S780" s="18"/>
      <c r="T780" s="18"/>
      <c r="U780" s="16"/>
      <c r="V780" s="18"/>
      <c r="W780" s="16"/>
      <c r="X780" s="18"/>
      <c r="Y780" s="18"/>
      <c r="Z780" s="18"/>
      <c r="AA780" s="18"/>
    </row>
    <row r="781" spans="2:27" x14ac:dyDescent="0.35">
      <c r="B781" s="18"/>
      <c r="C781" s="18"/>
      <c r="D781" s="18"/>
      <c r="E781" s="18"/>
      <c r="F781" s="18"/>
      <c r="G781" s="18"/>
      <c r="H781" s="18"/>
      <c r="I781" s="16"/>
      <c r="J781" s="18"/>
      <c r="K781" s="18"/>
      <c r="L781" s="18"/>
      <c r="M781" s="18"/>
      <c r="N781" s="18"/>
      <c r="O781" s="16"/>
      <c r="P781" s="18"/>
      <c r="Q781" s="18"/>
      <c r="R781" s="18"/>
      <c r="S781" s="18"/>
      <c r="T781" s="18"/>
      <c r="U781" s="16"/>
      <c r="V781" s="18"/>
      <c r="W781" s="16"/>
      <c r="X781" s="18"/>
      <c r="Y781" s="18"/>
      <c r="Z781" s="18"/>
      <c r="AA781" s="18"/>
    </row>
    <row r="782" spans="2:27" x14ac:dyDescent="0.35">
      <c r="B782" s="18"/>
      <c r="C782" s="18"/>
      <c r="D782" s="18"/>
      <c r="E782" s="18"/>
      <c r="F782" s="18"/>
      <c r="G782" s="18"/>
      <c r="H782" s="18"/>
      <c r="I782" s="16"/>
      <c r="J782" s="18"/>
      <c r="K782" s="18"/>
      <c r="L782" s="18"/>
      <c r="M782" s="18"/>
      <c r="N782" s="18"/>
      <c r="O782" s="16"/>
      <c r="P782" s="18"/>
      <c r="Q782" s="18"/>
      <c r="R782" s="18"/>
      <c r="S782" s="18"/>
      <c r="T782" s="18"/>
      <c r="U782" s="16"/>
      <c r="V782" s="18"/>
      <c r="W782" s="16"/>
      <c r="X782" s="18"/>
      <c r="Y782" s="18"/>
      <c r="Z782" s="18"/>
      <c r="AA782" s="18"/>
    </row>
    <row r="783" spans="2:27" x14ac:dyDescent="0.35">
      <c r="B783" s="18"/>
      <c r="C783" s="18"/>
      <c r="D783" s="18"/>
      <c r="E783" s="18"/>
      <c r="F783" s="18"/>
      <c r="G783" s="18"/>
      <c r="H783" s="18"/>
      <c r="I783" s="16"/>
      <c r="J783" s="18"/>
      <c r="K783" s="18"/>
      <c r="L783" s="18"/>
      <c r="M783" s="18"/>
      <c r="N783" s="18"/>
      <c r="O783" s="16"/>
      <c r="P783" s="18"/>
      <c r="Q783" s="18"/>
      <c r="R783" s="18"/>
      <c r="S783" s="18"/>
      <c r="T783" s="18"/>
      <c r="U783" s="16"/>
      <c r="V783" s="18"/>
      <c r="W783" s="16"/>
      <c r="X783" s="18"/>
      <c r="Y783" s="18"/>
      <c r="Z783" s="18"/>
      <c r="AA783" s="18"/>
    </row>
    <row r="784" spans="2:27" x14ac:dyDescent="0.35">
      <c r="B784" s="18"/>
      <c r="C784" s="18"/>
      <c r="D784" s="18"/>
      <c r="E784" s="18"/>
      <c r="F784" s="18"/>
      <c r="G784" s="18"/>
      <c r="H784" s="18"/>
      <c r="I784" s="16"/>
      <c r="J784" s="18"/>
      <c r="K784" s="18"/>
      <c r="L784" s="18"/>
      <c r="M784" s="18"/>
      <c r="N784" s="18"/>
      <c r="O784" s="16"/>
      <c r="P784" s="18"/>
      <c r="Q784" s="18"/>
      <c r="R784" s="18"/>
      <c r="S784" s="18"/>
      <c r="T784" s="18"/>
      <c r="U784" s="16"/>
      <c r="V784" s="18"/>
      <c r="W784" s="16"/>
      <c r="X784" s="18"/>
      <c r="Y784" s="18"/>
      <c r="Z784" s="18"/>
      <c r="AA784" s="18"/>
    </row>
    <row r="785" spans="2:27" x14ac:dyDescent="0.35">
      <c r="B785" s="18"/>
      <c r="C785" s="18"/>
      <c r="D785" s="18"/>
      <c r="E785" s="18"/>
      <c r="F785" s="18"/>
      <c r="G785" s="18"/>
      <c r="H785" s="18"/>
      <c r="I785" s="16"/>
      <c r="J785" s="18"/>
      <c r="K785" s="18"/>
      <c r="L785" s="18"/>
      <c r="M785" s="18"/>
      <c r="N785" s="18"/>
      <c r="O785" s="16"/>
      <c r="P785" s="18"/>
      <c r="Q785" s="18"/>
      <c r="R785" s="18"/>
      <c r="S785" s="18"/>
      <c r="T785" s="18"/>
      <c r="U785" s="16"/>
      <c r="V785" s="18"/>
      <c r="W785" s="16"/>
      <c r="X785" s="18"/>
      <c r="Y785" s="18"/>
      <c r="Z785" s="18"/>
      <c r="AA785" s="18"/>
    </row>
    <row r="786" spans="2:27" x14ac:dyDescent="0.35">
      <c r="B786" s="18"/>
      <c r="C786" s="18"/>
      <c r="D786" s="18"/>
      <c r="E786" s="18"/>
      <c r="F786" s="18"/>
      <c r="G786" s="18"/>
      <c r="H786" s="18"/>
      <c r="I786" s="16"/>
      <c r="J786" s="18"/>
      <c r="K786" s="18"/>
      <c r="L786" s="18"/>
      <c r="M786" s="18"/>
      <c r="N786" s="18"/>
      <c r="O786" s="16"/>
      <c r="P786" s="18"/>
      <c r="Q786" s="18"/>
      <c r="R786" s="18"/>
      <c r="S786" s="18"/>
      <c r="T786" s="18"/>
      <c r="U786" s="16"/>
      <c r="V786" s="18"/>
      <c r="W786" s="16"/>
      <c r="X786" s="18"/>
      <c r="Y786" s="18"/>
      <c r="Z786" s="18"/>
      <c r="AA786" s="18"/>
    </row>
    <row r="787" spans="2:27" x14ac:dyDescent="0.35">
      <c r="B787" s="18"/>
      <c r="C787" s="18"/>
      <c r="D787" s="18"/>
      <c r="E787" s="18"/>
      <c r="F787" s="18"/>
      <c r="G787" s="18"/>
      <c r="H787" s="18"/>
      <c r="I787" s="16"/>
      <c r="J787" s="18"/>
      <c r="K787" s="18"/>
      <c r="L787" s="18"/>
      <c r="M787" s="18"/>
      <c r="N787" s="18"/>
      <c r="O787" s="16"/>
      <c r="P787" s="18"/>
      <c r="Q787" s="18"/>
      <c r="R787" s="18"/>
      <c r="S787" s="18"/>
      <c r="T787" s="18"/>
      <c r="U787" s="16"/>
      <c r="V787" s="18"/>
      <c r="W787" s="16"/>
      <c r="X787" s="18"/>
      <c r="Y787" s="18"/>
      <c r="Z787" s="18"/>
      <c r="AA787" s="18"/>
    </row>
    <row r="788" spans="2:27" x14ac:dyDescent="0.35">
      <c r="B788" s="18"/>
      <c r="C788" s="18"/>
      <c r="D788" s="18"/>
      <c r="E788" s="18"/>
      <c r="F788" s="18"/>
      <c r="G788" s="18"/>
      <c r="H788" s="18"/>
      <c r="I788" s="16"/>
      <c r="J788" s="18"/>
      <c r="K788" s="18"/>
      <c r="L788" s="18"/>
      <c r="M788" s="18"/>
      <c r="N788" s="18"/>
      <c r="O788" s="16"/>
      <c r="P788" s="18"/>
      <c r="Q788" s="18"/>
      <c r="R788" s="18"/>
      <c r="S788" s="18"/>
      <c r="T788" s="18"/>
      <c r="U788" s="16"/>
      <c r="V788" s="18"/>
      <c r="W788" s="16"/>
      <c r="X788" s="18"/>
      <c r="Y788" s="18"/>
      <c r="Z788" s="18"/>
      <c r="AA788" s="18"/>
    </row>
    <row r="789" spans="2:27" x14ac:dyDescent="0.35">
      <c r="B789" s="18"/>
      <c r="C789" s="18"/>
      <c r="D789" s="18"/>
      <c r="E789" s="18"/>
      <c r="F789" s="18"/>
      <c r="G789" s="18"/>
      <c r="H789" s="18"/>
      <c r="I789" s="16"/>
      <c r="J789" s="18"/>
      <c r="K789" s="18"/>
      <c r="L789" s="18"/>
      <c r="M789" s="18"/>
      <c r="N789" s="18"/>
      <c r="O789" s="16"/>
      <c r="P789" s="18"/>
      <c r="Q789" s="18"/>
      <c r="R789" s="18"/>
      <c r="S789" s="18"/>
      <c r="T789" s="18"/>
      <c r="U789" s="16"/>
      <c r="V789" s="18"/>
      <c r="W789" s="16"/>
      <c r="X789" s="18"/>
      <c r="Y789" s="18"/>
      <c r="Z789" s="18"/>
      <c r="AA789" s="18"/>
    </row>
    <row r="790" spans="2:27" x14ac:dyDescent="0.35">
      <c r="B790" s="18"/>
      <c r="C790" s="18"/>
      <c r="D790" s="18"/>
      <c r="E790" s="18"/>
      <c r="F790" s="18"/>
      <c r="G790" s="18"/>
      <c r="H790" s="18"/>
      <c r="I790" s="16"/>
      <c r="J790" s="18"/>
      <c r="K790" s="18"/>
      <c r="L790" s="18"/>
      <c r="M790" s="18"/>
      <c r="N790" s="18"/>
      <c r="O790" s="16"/>
      <c r="P790" s="18"/>
      <c r="Q790" s="18"/>
      <c r="R790" s="18"/>
      <c r="S790" s="18"/>
      <c r="T790" s="18"/>
      <c r="U790" s="16"/>
      <c r="V790" s="18"/>
      <c r="W790" s="16"/>
      <c r="X790" s="18"/>
      <c r="Y790" s="18"/>
      <c r="Z790" s="18"/>
      <c r="AA790" s="18"/>
    </row>
    <row r="791" spans="2:27" x14ac:dyDescent="0.35">
      <c r="B791" s="18"/>
      <c r="C791" s="18"/>
      <c r="D791" s="18"/>
      <c r="E791" s="18"/>
      <c r="F791" s="18"/>
      <c r="G791" s="18"/>
      <c r="H791" s="18"/>
      <c r="I791" s="16"/>
      <c r="J791" s="18"/>
      <c r="K791" s="18"/>
      <c r="L791" s="18"/>
      <c r="M791" s="18"/>
      <c r="N791" s="18"/>
      <c r="O791" s="16"/>
      <c r="P791" s="18"/>
      <c r="Q791" s="18"/>
      <c r="R791" s="18"/>
      <c r="S791" s="18"/>
      <c r="T791" s="18"/>
      <c r="U791" s="16"/>
      <c r="V791" s="18"/>
      <c r="W791" s="16"/>
      <c r="X791" s="18"/>
      <c r="Y791" s="18"/>
      <c r="Z791" s="18"/>
      <c r="AA791" s="18"/>
    </row>
    <row r="792" spans="2:27" x14ac:dyDescent="0.35">
      <c r="B792" s="18"/>
      <c r="C792" s="18"/>
      <c r="D792" s="18"/>
      <c r="E792" s="18"/>
      <c r="F792" s="18"/>
      <c r="G792" s="18"/>
      <c r="H792" s="18"/>
      <c r="I792" s="16"/>
      <c r="J792" s="18"/>
      <c r="K792" s="18"/>
      <c r="L792" s="18"/>
      <c r="M792" s="18"/>
      <c r="N792" s="18"/>
      <c r="O792" s="16"/>
      <c r="P792" s="18"/>
      <c r="Q792" s="18"/>
      <c r="R792" s="18"/>
      <c r="S792" s="18"/>
      <c r="T792" s="18"/>
      <c r="U792" s="16"/>
      <c r="V792" s="18"/>
      <c r="W792" s="16"/>
      <c r="X792" s="18"/>
      <c r="Y792" s="18"/>
      <c r="Z792" s="18"/>
      <c r="AA792" s="18"/>
    </row>
    <row r="793" spans="2:27" x14ac:dyDescent="0.35">
      <c r="B793" s="18"/>
      <c r="C793" s="18"/>
      <c r="D793" s="18"/>
      <c r="E793" s="18"/>
      <c r="F793" s="18"/>
      <c r="G793" s="18"/>
      <c r="H793" s="18"/>
      <c r="I793" s="16"/>
      <c r="J793" s="18"/>
      <c r="K793" s="18"/>
      <c r="L793" s="18"/>
      <c r="M793" s="18"/>
      <c r="N793" s="18"/>
      <c r="O793" s="16"/>
      <c r="P793" s="18"/>
      <c r="Q793" s="18"/>
      <c r="R793" s="18"/>
      <c r="S793" s="18"/>
      <c r="T793" s="18"/>
      <c r="U793" s="16"/>
      <c r="V793" s="18"/>
      <c r="W793" s="16"/>
      <c r="X793" s="18"/>
      <c r="Y793" s="18"/>
      <c r="Z793" s="18"/>
      <c r="AA793" s="18"/>
    </row>
    <row r="794" spans="2:27" x14ac:dyDescent="0.35">
      <c r="B794" s="18"/>
      <c r="C794" s="18"/>
      <c r="D794" s="18"/>
      <c r="E794" s="18"/>
      <c r="F794" s="18"/>
      <c r="G794" s="18"/>
      <c r="H794" s="18"/>
      <c r="I794" s="16"/>
      <c r="J794" s="18"/>
      <c r="K794" s="18"/>
      <c r="L794" s="18"/>
      <c r="M794" s="18"/>
      <c r="N794" s="18"/>
      <c r="O794" s="16"/>
      <c r="P794" s="18"/>
      <c r="Q794" s="18"/>
      <c r="R794" s="18"/>
      <c r="S794" s="18"/>
      <c r="T794" s="18"/>
      <c r="U794" s="16"/>
      <c r="V794" s="18"/>
      <c r="W794" s="16"/>
      <c r="X794" s="18"/>
      <c r="Y794" s="18"/>
      <c r="Z794" s="18"/>
      <c r="AA794" s="18"/>
    </row>
    <row r="795" spans="2:27" x14ac:dyDescent="0.35">
      <c r="B795" s="18"/>
      <c r="C795" s="18"/>
      <c r="D795" s="18"/>
      <c r="E795" s="18"/>
      <c r="F795" s="18"/>
      <c r="G795" s="18"/>
      <c r="H795" s="18"/>
      <c r="I795" s="16"/>
      <c r="J795" s="18"/>
      <c r="K795" s="18"/>
      <c r="L795" s="18"/>
      <c r="M795" s="18"/>
      <c r="N795" s="18"/>
      <c r="O795" s="16"/>
      <c r="P795" s="18"/>
      <c r="Q795" s="18"/>
      <c r="R795" s="18"/>
      <c r="S795" s="18"/>
      <c r="T795" s="18"/>
      <c r="U795" s="16"/>
      <c r="V795" s="18"/>
      <c r="W795" s="16"/>
      <c r="X795" s="18"/>
      <c r="Y795" s="18"/>
      <c r="Z795" s="18"/>
      <c r="AA795" s="18"/>
    </row>
    <row r="796" spans="2:27" x14ac:dyDescent="0.35">
      <c r="B796" s="18"/>
      <c r="C796" s="18"/>
      <c r="D796" s="18"/>
      <c r="E796" s="18"/>
      <c r="F796" s="18"/>
      <c r="G796" s="18"/>
      <c r="H796" s="18"/>
      <c r="I796" s="16"/>
      <c r="J796" s="18"/>
      <c r="K796" s="18"/>
      <c r="L796" s="18"/>
      <c r="M796" s="18"/>
      <c r="N796" s="18"/>
      <c r="O796" s="16"/>
      <c r="P796" s="18"/>
      <c r="Q796" s="18"/>
      <c r="R796" s="18"/>
      <c r="S796" s="18"/>
      <c r="T796" s="18"/>
      <c r="U796" s="16"/>
      <c r="V796" s="18"/>
      <c r="W796" s="16"/>
      <c r="X796" s="18"/>
      <c r="Y796" s="18"/>
      <c r="Z796" s="18"/>
      <c r="AA796" s="18"/>
    </row>
    <row r="797" spans="2:27" x14ac:dyDescent="0.35">
      <c r="B797" s="18"/>
      <c r="C797" s="18"/>
      <c r="D797" s="18"/>
      <c r="E797" s="18"/>
      <c r="F797" s="18"/>
      <c r="G797" s="18"/>
      <c r="H797" s="18"/>
      <c r="I797" s="16"/>
      <c r="J797" s="18"/>
      <c r="K797" s="18"/>
      <c r="L797" s="18"/>
      <c r="M797" s="18"/>
      <c r="N797" s="18"/>
      <c r="O797" s="16"/>
      <c r="P797" s="18"/>
      <c r="Q797" s="18"/>
      <c r="R797" s="18"/>
      <c r="S797" s="18"/>
      <c r="T797" s="18"/>
      <c r="U797" s="16"/>
      <c r="V797" s="18"/>
      <c r="W797" s="16"/>
      <c r="X797" s="18"/>
      <c r="Y797" s="18"/>
      <c r="Z797" s="18"/>
      <c r="AA797" s="18"/>
    </row>
    <row r="798" spans="2:27" x14ac:dyDescent="0.35">
      <c r="B798" s="18"/>
      <c r="C798" s="18"/>
      <c r="D798" s="18"/>
      <c r="E798" s="18"/>
      <c r="F798" s="18"/>
      <c r="G798" s="18"/>
      <c r="H798" s="18"/>
      <c r="I798" s="16"/>
      <c r="J798" s="18"/>
      <c r="K798" s="18"/>
      <c r="L798" s="18"/>
      <c r="M798" s="18"/>
      <c r="N798" s="18"/>
      <c r="O798" s="16"/>
      <c r="P798" s="18"/>
      <c r="Q798" s="18"/>
      <c r="R798" s="18"/>
      <c r="S798" s="18"/>
      <c r="T798" s="18"/>
      <c r="U798" s="16"/>
      <c r="V798" s="18"/>
      <c r="W798" s="16"/>
      <c r="X798" s="18"/>
      <c r="Y798" s="18"/>
      <c r="Z798" s="18"/>
      <c r="AA798" s="18"/>
    </row>
    <row r="799" spans="2:27" x14ac:dyDescent="0.35">
      <c r="B799" s="18"/>
      <c r="C799" s="18"/>
      <c r="D799" s="18"/>
      <c r="E799" s="18"/>
      <c r="F799" s="18"/>
      <c r="G799" s="18"/>
      <c r="H799" s="18"/>
      <c r="I799" s="16"/>
      <c r="J799" s="18"/>
      <c r="K799" s="18"/>
      <c r="L799" s="18"/>
      <c r="M799" s="18"/>
      <c r="N799" s="18"/>
      <c r="O799" s="16"/>
      <c r="P799" s="18"/>
      <c r="Q799" s="18"/>
      <c r="R799" s="18"/>
      <c r="S799" s="18"/>
      <c r="T799" s="18"/>
      <c r="U799" s="16"/>
      <c r="V799" s="18"/>
      <c r="W799" s="16"/>
      <c r="X799" s="18"/>
      <c r="Y799" s="18"/>
      <c r="Z799" s="18"/>
      <c r="AA799" s="18"/>
    </row>
    <row r="800" spans="2:27" x14ac:dyDescent="0.35">
      <c r="B800" s="18"/>
      <c r="C800" s="18"/>
      <c r="D800" s="18"/>
      <c r="E800" s="18"/>
      <c r="F800" s="18"/>
      <c r="G800" s="18"/>
      <c r="H800" s="18"/>
      <c r="I800" s="16"/>
      <c r="J800" s="18"/>
      <c r="K800" s="18"/>
      <c r="L800" s="18"/>
      <c r="M800" s="18"/>
      <c r="N800" s="18"/>
      <c r="O800" s="16"/>
      <c r="P800" s="18"/>
      <c r="Q800" s="18"/>
      <c r="R800" s="18"/>
      <c r="S800" s="18"/>
      <c r="T800" s="18"/>
      <c r="U800" s="16"/>
      <c r="V800" s="18"/>
      <c r="W800" s="16"/>
      <c r="X800" s="18"/>
      <c r="Y800" s="18"/>
      <c r="Z800" s="18"/>
      <c r="AA800" s="18"/>
    </row>
    <row r="801" spans="2:27" x14ac:dyDescent="0.35">
      <c r="B801" s="18"/>
      <c r="C801" s="18"/>
      <c r="D801" s="18"/>
      <c r="E801" s="18"/>
      <c r="F801" s="18"/>
      <c r="G801" s="18"/>
      <c r="H801" s="18"/>
      <c r="I801" s="16"/>
      <c r="J801" s="18"/>
      <c r="K801" s="18"/>
      <c r="L801" s="18"/>
      <c r="M801" s="18"/>
      <c r="N801" s="18"/>
      <c r="O801" s="16"/>
      <c r="P801" s="18"/>
      <c r="Q801" s="18"/>
      <c r="R801" s="18"/>
      <c r="S801" s="18"/>
      <c r="T801" s="18"/>
      <c r="U801" s="16"/>
      <c r="V801" s="18"/>
      <c r="W801" s="16"/>
      <c r="X801" s="18"/>
      <c r="Y801" s="18"/>
      <c r="Z801" s="18"/>
      <c r="AA801" s="18"/>
    </row>
    <row r="802" spans="2:27" x14ac:dyDescent="0.35">
      <c r="B802" s="18"/>
      <c r="C802" s="18"/>
      <c r="D802" s="18"/>
      <c r="E802" s="18"/>
      <c r="F802" s="18"/>
      <c r="G802" s="18"/>
      <c r="H802" s="18"/>
      <c r="I802" s="16"/>
      <c r="J802" s="18"/>
      <c r="K802" s="18"/>
      <c r="L802" s="18"/>
      <c r="M802" s="18"/>
      <c r="N802" s="18"/>
      <c r="O802" s="16"/>
      <c r="P802" s="18"/>
      <c r="Q802" s="18"/>
      <c r="R802" s="18"/>
      <c r="S802" s="18"/>
      <c r="T802" s="18"/>
      <c r="U802" s="16"/>
      <c r="V802" s="18"/>
      <c r="W802" s="16"/>
      <c r="X802" s="18"/>
      <c r="Y802" s="18"/>
      <c r="Z802" s="18"/>
      <c r="AA802" s="18"/>
    </row>
    <row r="803" spans="2:27" x14ac:dyDescent="0.35">
      <c r="B803" s="18"/>
      <c r="C803" s="18"/>
      <c r="D803" s="18"/>
      <c r="E803" s="18"/>
      <c r="F803" s="18"/>
      <c r="G803" s="18"/>
      <c r="H803" s="18"/>
      <c r="I803" s="16"/>
      <c r="J803" s="18"/>
      <c r="K803" s="18"/>
      <c r="L803" s="18"/>
      <c r="M803" s="18"/>
      <c r="N803" s="18"/>
      <c r="O803" s="16"/>
      <c r="P803" s="18"/>
      <c r="Q803" s="18"/>
      <c r="R803" s="18"/>
      <c r="S803" s="18"/>
      <c r="T803" s="18"/>
      <c r="U803" s="16"/>
      <c r="V803" s="18"/>
      <c r="W803" s="16"/>
      <c r="X803" s="18"/>
      <c r="Y803" s="18"/>
      <c r="Z803" s="18"/>
      <c r="AA803" s="18"/>
    </row>
    <row r="804" spans="2:27" x14ac:dyDescent="0.35">
      <c r="B804" s="18"/>
      <c r="C804" s="18"/>
      <c r="D804" s="18"/>
      <c r="E804" s="18"/>
      <c r="F804" s="18"/>
      <c r="G804" s="18"/>
      <c r="H804" s="18"/>
      <c r="I804" s="16"/>
      <c r="J804" s="18"/>
      <c r="K804" s="18"/>
      <c r="L804" s="18"/>
      <c r="M804" s="18"/>
      <c r="N804" s="18"/>
      <c r="O804" s="16"/>
      <c r="P804" s="18"/>
      <c r="Q804" s="18"/>
      <c r="R804" s="18"/>
      <c r="S804" s="18"/>
      <c r="T804" s="18"/>
      <c r="U804" s="16"/>
      <c r="V804" s="18"/>
      <c r="W804" s="16"/>
      <c r="X804" s="18"/>
      <c r="Y804" s="18"/>
      <c r="Z804" s="18"/>
      <c r="AA804" s="18"/>
    </row>
    <row r="805" spans="2:27" x14ac:dyDescent="0.35">
      <c r="B805" s="18"/>
      <c r="C805" s="18"/>
      <c r="D805" s="18"/>
      <c r="E805" s="18"/>
      <c r="F805" s="18"/>
      <c r="G805" s="18"/>
      <c r="H805" s="18"/>
      <c r="I805" s="16"/>
      <c r="J805" s="18"/>
      <c r="K805" s="18"/>
      <c r="L805" s="18"/>
      <c r="M805" s="18"/>
      <c r="N805" s="18"/>
      <c r="O805" s="16"/>
      <c r="P805" s="18"/>
      <c r="Q805" s="18"/>
      <c r="R805" s="18"/>
      <c r="S805" s="18"/>
      <c r="T805" s="18"/>
      <c r="U805" s="16"/>
      <c r="V805" s="18"/>
      <c r="W805" s="16"/>
      <c r="X805" s="18"/>
      <c r="Y805" s="18"/>
      <c r="Z805" s="18"/>
      <c r="AA805" s="18"/>
    </row>
    <row r="806" spans="2:27" x14ac:dyDescent="0.35">
      <c r="B806" s="18"/>
      <c r="C806" s="18"/>
      <c r="D806" s="18"/>
      <c r="E806" s="18"/>
      <c r="F806" s="18"/>
      <c r="G806" s="18"/>
      <c r="H806" s="18"/>
      <c r="I806" s="16"/>
      <c r="J806" s="18"/>
      <c r="K806" s="18"/>
      <c r="L806" s="18"/>
      <c r="M806" s="18"/>
      <c r="N806" s="18"/>
      <c r="O806" s="16"/>
      <c r="P806" s="18"/>
      <c r="Q806" s="18"/>
      <c r="R806" s="18"/>
      <c r="S806" s="18"/>
      <c r="T806" s="18"/>
      <c r="U806" s="16"/>
      <c r="V806" s="18"/>
      <c r="W806" s="16"/>
      <c r="X806" s="18"/>
      <c r="Y806" s="18"/>
      <c r="Z806" s="18"/>
      <c r="AA806" s="18"/>
    </row>
    <row r="807" spans="2:27" x14ac:dyDescent="0.35">
      <c r="B807" s="18"/>
      <c r="C807" s="18"/>
      <c r="D807" s="18"/>
      <c r="E807" s="18"/>
      <c r="F807" s="18"/>
      <c r="G807" s="18"/>
      <c r="H807" s="18"/>
      <c r="I807" s="16"/>
      <c r="J807" s="18"/>
      <c r="K807" s="18"/>
      <c r="L807" s="18"/>
      <c r="M807" s="18"/>
      <c r="N807" s="18"/>
      <c r="O807" s="16"/>
      <c r="P807" s="18"/>
      <c r="Q807" s="18"/>
      <c r="R807" s="18"/>
      <c r="S807" s="18"/>
      <c r="T807" s="18"/>
      <c r="U807" s="16"/>
      <c r="V807" s="18"/>
      <c r="W807" s="16"/>
      <c r="X807" s="18"/>
      <c r="Y807" s="18"/>
      <c r="Z807" s="18"/>
      <c r="AA807" s="18"/>
    </row>
    <row r="808" spans="2:27" x14ac:dyDescent="0.35">
      <c r="B808" s="18"/>
      <c r="C808" s="18"/>
      <c r="D808" s="18"/>
      <c r="E808" s="18"/>
      <c r="F808" s="18"/>
      <c r="G808" s="18"/>
      <c r="H808" s="18"/>
      <c r="I808" s="16"/>
      <c r="J808" s="18"/>
      <c r="K808" s="18"/>
      <c r="L808" s="18"/>
      <c r="M808" s="18"/>
      <c r="N808" s="18"/>
      <c r="O808" s="16"/>
      <c r="P808" s="18"/>
      <c r="Q808" s="18"/>
      <c r="R808" s="18"/>
      <c r="S808" s="18"/>
      <c r="T808" s="18"/>
      <c r="U808" s="16"/>
      <c r="V808" s="18"/>
      <c r="W808" s="16"/>
      <c r="X808" s="18"/>
      <c r="Y808" s="18"/>
      <c r="Z808" s="18"/>
      <c r="AA808" s="18"/>
    </row>
    <row r="809" spans="2:27" x14ac:dyDescent="0.35">
      <c r="B809" s="18"/>
      <c r="C809" s="18"/>
      <c r="D809" s="18"/>
      <c r="E809" s="18"/>
      <c r="F809" s="18"/>
      <c r="G809" s="18"/>
      <c r="H809" s="18"/>
      <c r="I809" s="16"/>
      <c r="J809" s="18"/>
      <c r="K809" s="18"/>
      <c r="L809" s="18"/>
      <c r="M809" s="18"/>
      <c r="N809" s="18"/>
      <c r="O809" s="16"/>
      <c r="P809" s="18"/>
      <c r="Q809" s="18"/>
      <c r="R809" s="18"/>
      <c r="S809" s="18"/>
      <c r="T809" s="18"/>
      <c r="U809" s="16"/>
      <c r="V809" s="18"/>
      <c r="W809" s="16"/>
      <c r="X809" s="18"/>
      <c r="Y809" s="18"/>
      <c r="Z809" s="18"/>
      <c r="AA809" s="18"/>
    </row>
    <row r="810" spans="2:27" x14ac:dyDescent="0.35">
      <c r="B810" s="18"/>
      <c r="C810" s="18"/>
      <c r="D810" s="18"/>
      <c r="E810" s="18"/>
      <c r="F810" s="18"/>
      <c r="G810" s="18"/>
      <c r="H810" s="18"/>
      <c r="I810" s="16"/>
      <c r="J810" s="18"/>
      <c r="K810" s="18"/>
      <c r="L810" s="18"/>
      <c r="M810" s="18"/>
      <c r="N810" s="18"/>
      <c r="O810" s="16"/>
      <c r="P810" s="18"/>
      <c r="Q810" s="18"/>
      <c r="R810" s="18"/>
      <c r="S810" s="18"/>
      <c r="T810" s="18"/>
      <c r="U810" s="16"/>
      <c r="V810" s="18"/>
      <c r="W810" s="16"/>
      <c r="X810" s="18"/>
      <c r="Y810" s="18"/>
      <c r="Z810" s="18"/>
      <c r="AA810" s="18"/>
    </row>
    <row r="811" spans="2:27" x14ac:dyDescent="0.35">
      <c r="B811" s="18"/>
      <c r="C811" s="18"/>
      <c r="D811" s="18"/>
      <c r="E811" s="18"/>
      <c r="F811" s="18"/>
      <c r="G811" s="18"/>
      <c r="H811" s="18"/>
      <c r="I811" s="16"/>
      <c r="J811" s="18"/>
      <c r="K811" s="18"/>
      <c r="L811" s="18"/>
      <c r="M811" s="18"/>
      <c r="N811" s="18"/>
      <c r="O811" s="16"/>
      <c r="P811" s="18"/>
      <c r="Q811" s="18"/>
      <c r="R811" s="18"/>
      <c r="S811" s="18"/>
      <c r="T811" s="18"/>
      <c r="U811" s="16"/>
      <c r="V811" s="18"/>
      <c r="W811" s="16"/>
      <c r="X811" s="18"/>
      <c r="Y811" s="18"/>
      <c r="Z811" s="18"/>
      <c r="AA811" s="18"/>
    </row>
    <row r="812" spans="2:27" x14ac:dyDescent="0.35">
      <c r="B812" s="18"/>
      <c r="C812" s="18"/>
      <c r="D812" s="18"/>
      <c r="E812" s="18"/>
      <c r="F812" s="18"/>
      <c r="G812" s="18"/>
      <c r="H812" s="18"/>
      <c r="I812" s="16"/>
      <c r="J812" s="18"/>
      <c r="K812" s="18"/>
      <c r="L812" s="18"/>
      <c r="M812" s="18"/>
      <c r="N812" s="18"/>
      <c r="O812" s="16"/>
      <c r="P812" s="18"/>
      <c r="Q812" s="18"/>
      <c r="R812" s="18"/>
      <c r="S812" s="18"/>
      <c r="T812" s="18"/>
      <c r="U812" s="16"/>
      <c r="V812" s="18"/>
      <c r="W812" s="16"/>
      <c r="X812" s="18"/>
      <c r="Y812" s="18"/>
      <c r="Z812" s="18"/>
      <c r="AA812" s="18"/>
    </row>
    <row r="813" spans="2:27" x14ac:dyDescent="0.35">
      <c r="B813" s="18"/>
      <c r="C813" s="18"/>
      <c r="D813" s="18"/>
      <c r="E813" s="18"/>
      <c r="F813" s="18"/>
      <c r="G813" s="18"/>
      <c r="H813" s="18"/>
      <c r="I813" s="16"/>
      <c r="J813" s="18"/>
      <c r="K813" s="18"/>
      <c r="L813" s="18"/>
      <c r="M813" s="18"/>
      <c r="N813" s="18"/>
      <c r="O813" s="16"/>
      <c r="P813" s="18"/>
      <c r="Q813" s="18"/>
      <c r="R813" s="18"/>
      <c r="S813" s="18"/>
      <c r="T813" s="18"/>
      <c r="U813" s="16"/>
      <c r="V813" s="18"/>
      <c r="W813" s="16"/>
      <c r="X813" s="18"/>
      <c r="Y813" s="18"/>
      <c r="Z813" s="18"/>
      <c r="AA813" s="18"/>
    </row>
    <row r="814" spans="2:27" x14ac:dyDescent="0.35">
      <c r="B814" s="18"/>
      <c r="C814" s="18"/>
      <c r="D814" s="18"/>
      <c r="E814" s="18"/>
      <c r="F814" s="18"/>
      <c r="G814" s="18"/>
      <c r="H814" s="18"/>
      <c r="I814" s="16"/>
      <c r="J814" s="18"/>
      <c r="K814" s="18"/>
      <c r="L814" s="18"/>
      <c r="M814" s="18"/>
      <c r="N814" s="18"/>
      <c r="O814" s="16"/>
      <c r="P814" s="18"/>
      <c r="Q814" s="18"/>
      <c r="R814" s="18"/>
      <c r="S814" s="18"/>
      <c r="T814" s="18"/>
      <c r="U814" s="16"/>
      <c r="V814" s="18"/>
      <c r="W814" s="16"/>
      <c r="X814" s="18"/>
      <c r="Y814" s="18"/>
      <c r="Z814" s="18"/>
      <c r="AA814" s="18"/>
    </row>
    <row r="815" spans="2:27" x14ac:dyDescent="0.35">
      <c r="B815" s="18"/>
      <c r="C815" s="18"/>
      <c r="D815" s="18"/>
      <c r="E815" s="18"/>
      <c r="F815" s="18"/>
      <c r="G815" s="18"/>
      <c r="H815" s="18"/>
      <c r="I815" s="16"/>
      <c r="J815" s="18"/>
      <c r="K815" s="18"/>
      <c r="L815" s="18"/>
      <c r="M815" s="18"/>
      <c r="N815" s="18"/>
      <c r="O815" s="16"/>
      <c r="P815" s="18"/>
      <c r="Q815" s="18"/>
      <c r="R815" s="18"/>
      <c r="S815" s="18"/>
      <c r="T815" s="18"/>
      <c r="U815" s="16"/>
      <c r="V815" s="18"/>
      <c r="W815" s="16"/>
      <c r="X815" s="18"/>
      <c r="Y815" s="18"/>
      <c r="Z815" s="18"/>
      <c r="AA815" s="18"/>
    </row>
    <row r="816" spans="2:27" x14ac:dyDescent="0.35">
      <c r="B816" s="18"/>
      <c r="C816" s="18"/>
      <c r="D816" s="18"/>
      <c r="E816" s="18"/>
      <c r="F816" s="18"/>
      <c r="G816" s="18"/>
      <c r="H816" s="18"/>
      <c r="I816" s="16"/>
      <c r="J816" s="18"/>
      <c r="K816" s="18"/>
      <c r="L816" s="18"/>
      <c r="M816" s="18"/>
      <c r="N816" s="18"/>
      <c r="O816" s="16"/>
      <c r="P816" s="18"/>
      <c r="Q816" s="18"/>
      <c r="R816" s="18"/>
      <c r="S816" s="18"/>
      <c r="T816" s="18"/>
      <c r="U816" s="16"/>
      <c r="V816" s="18"/>
      <c r="W816" s="16"/>
      <c r="X816" s="18"/>
      <c r="Y816" s="18"/>
      <c r="Z816" s="18"/>
      <c r="AA816" s="18"/>
    </row>
    <row r="817" spans="2:27" x14ac:dyDescent="0.35">
      <c r="B817" s="18"/>
      <c r="C817" s="18"/>
      <c r="D817" s="18"/>
      <c r="E817" s="18"/>
      <c r="F817" s="18"/>
      <c r="G817" s="18"/>
      <c r="H817" s="18"/>
      <c r="I817" s="16"/>
      <c r="J817" s="18"/>
      <c r="K817" s="18"/>
      <c r="L817" s="18"/>
      <c r="M817" s="18"/>
      <c r="N817" s="18"/>
      <c r="O817" s="16"/>
      <c r="P817" s="18"/>
      <c r="Q817" s="18"/>
      <c r="R817" s="18"/>
      <c r="S817" s="18"/>
      <c r="T817" s="18"/>
      <c r="U817" s="16"/>
      <c r="V817" s="18"/>
      <c r="W817" s="16"/>
      <c r="X817" s="18"/>
      <c r="Y817" s="18"/>
      <c r="Z817" s="18"/>
      <c r="AA817" s="18"/>
    </row>
    <row r="818" spans="2:27" x14ac:dyDescent="0.35">
      <c r="B818" s="18"/>
      <c r="C818" s="18"/>
      <c r="D818" s="18"/>
      <c r="E818" s="18"/>
      <c r="F818" s="18"/>
      <c r="G818" s="18"/>
      <c r="H818" s="18"/>
      <c r="I818" s="16"/>
      <c r="J818" s="18"/>
      <c r="K818" s="18"/>
      <c r="L818" s="18"/>
      <c r="M818" s="18"/>
      <c r="N818" s="18"/>
      <c r="O818" s="16"/>
      <c r="P818" s="18"/>
      <c r="Q818" s="18"/>
      <c r="R818" s="18"/>
      <c r="S818" s="18"/>
      <c r="T818" s="18"/>
      <c r="U818" s="16"/>
      <c r="V818" s="18"/>
      <c r="W818" s="16"/>
      <c r="X818" s="18"/>
      <c r="Y818" s="18"/>
      <c r="Z818" s="18"/>
      <c r="AA818" s="18"/>
    </row>
    <row r="819" spans="2:27" x14ac:dyDescent="0.35">
      <c r="B819" s="18"/>
      <c r="C819" s="18"/>
      <c r="D819" s="18"/>
      <c r="E819" s="18"/>
      <c r="F819" s="18"/>
      <c r="G819" s="18"/>
      <c r="H819" s="18"/>
      <c r="I819" s="16"/>
      <c r="J819" s="18"/>
      <c r="K819" s="18"/>
      <c r="L819" s="18"/>
      <c r="M819" s="18"/>
      <c r="N819" s="18"/>
      <c r="O819" s="16"/>
      <c r="P819" s="18"/>
      <c r="Q819" s="18"/>
      <c r="R819" s="18"/>
      <c r="S819" s="18"/>
      <c r="T819" s="18"/>
      <c r="U819" s="16"/>
      <c r="V819" s="18"/>
      <c r="W819" s="16"/>
      <c r="X819" s="18"/>
      <c r="Y819" s="18"/>
      <c r="Z819" s="18"/>
      <c r="AA819" s="18"/>
    </row>
    <row r="820" spans="2:27" x14ac:dyDescent="0.35">
      <c r="B820" s="18"/>
      <c r="C820" s="18"/>
      <c r="D820" s="18"/>
      <c r="E820" s="18"/>
      <c r="F820" s="18"/>
      <c r="G820" s="18"/>
      <c r="H820" s="18"/>
      <c r="I820" s="16"/>
      <c r="J820" s="18"/>
      <c r="K820" s="18"/>
      <c r="L820" s="18"/>
      <c r="M820" s="18"/>
      <c r="N820" s="18"/>
      <c r="O820" s="16"/>
      <c r="P820" s="18"/>
      <c r="Q820" s="18"/>
      <c r="R820" s="18"/>
      <c r="S820" s="18"/>
      <c r="T820" s="18"/>
      <c r="U820" s="16"/>
      <c r="V820" s="18"/>
      <c r="W820" s="16"/>
      <c r="X820" s="18"/>
      <c r="Y820" s="18"/>
      <c r="Z820" s="18"/>
      <c r="AA820" s="18"/>
    </row>
    <row r="821" spans="2:27" x14ac:dyDescent="0.35">
      <c r="B821" s="18"/>
      <c r="C821" s="18"/>
      <c r="D821" s="18"/>
      <c r="E821" s="18"/>
      <c r="F821" s="18"/>
      <c r="G821" s="18"/>
      <c r="H821" s="18"/>
      <c r="I821" s="16"/>
      <c r="J821" s="18"/>
      <c r="K821" s="18"/>
      <c r="L821" s="18"/>
      <c r="M821" s="18"/>
      <c r="N821" s="18"/>
      <c r="O821" s="16"/>
      <c r="P821" s="18"/>
      <c r="Q821" s="18"/>
      <c r="R821" s="18"/>
      <c r="S821" s="18"/>
      <c r="T821" s="18"/>
      <c r="U821" s="16"/>
      <c r="V821" s="18"/>
      <c r="W821" s="16"/>
      <c r="X821" s="18"/>
      <c r="Y821" s="18"/>
      <c r="Z821" s="18"/>
      <c r="AA821" s="18"/>
    </row>
    <row r="822" spans="2:27" x14ac:dyDescent="0.35">
      <c r="B822" s="18"/>
      <c r="C822" s="18"/>
      <c r="D822" s="18"/>
      <c r="E822" s="18"/>
      <c r="F822" s="18"/>
      <c r="G822" s="18"/>
      <c r="H822" s="18"/>
      <c r="I822" s="16"/>
      <c r="J822" s="18"/>
      <c r="K822" s="18"/>
      <c r="L822" s="18"/>
      <c r="M822" s="18"/>
      <c r="N822" s="18"/>
      <c r="O822" s="16"/>
      <c r="P822" s="18"/>
      <c r="Q822" s="18"/>
      <c r="R822" s="18"/>
      <c r="S822" s="18"/>
      <c r="T822" s="18"/>
      <c r="U822" s="16"/>
      <c r="V822" s="18"/>
      <c r="W822" s="16"/>
      <c r="X822" s="18"/>
      <c r="Y822" s="18"/>
      <c r="Z822" s="18"/>
      <c r="AA822" s="18"/>
    </row>
    <row r="823" spans="2:27" x14ac:dyDescent="0.35">
      <c r="B823" s="18"/>
      <c r="C823" s="18"/>
      <c r="D823" s="18"/>
      <c r="E823" s="18"/>
      <c r="F823" s="18"/>
      <c r="G823" s="18"/>
      <c r="H823" s="18"/>
      <c r="I823" s="16"/>
      <c r="J823" s="18"/>
      <c r="K823" s="18"/>
      <c r="L823" s="18"/>
      <c r="M823" s="18"/>
      <c r="N823" s="18"/>
      <c r="O823" s="16"/>
      <c r="P823" s="18"/>
      <c r="Q823" s="18"/>
      <c r="R823" s="18"/>
      <c r="S823" s="18"/>
      <c r="T823" s="18"/>
      <c r="U823" s="16"/>
      <c r="V823" s="18"/>
      <c r="W823" s="16"/>
      <c r="X823" s="18"/>
      <c r="Y823" s="18"/>
      <c r="Z823" s="18"/>
      <c r="AA823" s="18"/>
    </row>
    <row r="824" spans="2:27" x14ac:dyDescent="0.35">
      <c r="B824" s="18"/>
      <c r="C824" s="18"/>
      <c r="D824" s="18"/>
      <c r="E824" s="18"/>
      <c r="F824" s="18"/>
      <c r="G824" s="18"/>
      <c r="H824" s="18"/>
      <c r="I824" s="16"/>
      <c r="J824" s="18"/>
      <c r="K824" s="18"/>
      <c r="L824" s="18"/>
      <c r="M824" s="18"/>
      <c r="N824" s="18"/>
      <c r="O824" s="16"/>
      <c r="P824" s="18"/>
      <c r="Q824" s="18"/>
      <c r="R824" s="18"/>
      <c r="S824" s="18"/>
      <c r="T824" s="18"/>
      <c r="U824" s="16"/>
      <c r="V824" s="18"/>
      <c r="W824" s="16"/>
      <c r="X824" s="18"/>
      <c r="Y824" s="18"/>
      <c r="Z824" s="18"/>
      <c r="AA824" s="18"/>
    </row>
    <row r="825" spans="2:27" x14ac:dyDescent="0.35">
      <c r="B825" s="18"/>
      <c r="C825" s="18"/>
      <c r="D825" s="18"/>
      <c r="E825" s="18"/>
      <c r="F825" s="18"/>
      <c r="G825" s="18"/>
      <c r="H825" s="18"/>
      <c r="I825" s="16"/>
      <c r="J825" s="18"/>
      <c r="K825" s="18"/>
      <c r="L825" s="18"/>
      <c r="M825" s="18"/>
      <c r="N825" s="18"/>
      <c r="O825" s="16"/>
      <c r="P825" s="18"/>
      <c r="Q825" s="18"/>
      <c r="R825" s="18"/>
      <c r="S825" s="18"/>
      <c r="T825" s="18"/>
      <c r="U825" s="16"/>
      <c r="V825" s="18"/>
      <c r="W825" s="16"/>
      <c r="X825" s="18"/>
      <c r="Y825" s="18"/>
      <c r="Z825" s="18"/>
      <c r="AA825" s="18"/>
    </row>
    <row r="826" spans="2:27" x14ac:dyDescent="0.35">
      <c r="B826" s="18"/>
      <c r="C826" s="18"/>
      <c r="D826" s="18"/>
      <c r="E826" s="18"/>
      <c r="F826" s="18"/>
      <c r="G826" s="18"/>
      <c r="H826" s="18"/>
      <c r="I826" s="16"/>
      <c r="J826" s="18"/>
      <c r="K826" s="18"/>
      <c r="L826" s="18"/>
      <c r="M826" s="18"/>
      <c r="N826" s="18"/>
      <c r="O826" s="16"/>
      <c r="P826" s="18"/>
      <c r="Q826" s="18"/>
      <c r="R826" s="18"/>
      <c r="S826" s="18"/>
      <c r="T826" s="18"/>
      <c r="U826" s="16"/>
      <c r="V826" s="18"/>
      <c r="W826" s="16"/>
      <c r="X826" s="18"/>
      <c r="Y826" s="18"/>
      <c r="Z826" s="18"/>
      <c r="AA826" s="18"/>
    </row>
    <row r="827" spans="2:27" x14ac:dyDescent="0.35">
      <c r="B827" s="18"/>
      <c r="C827" s="18"/>
      <c r="D827" s="18"/>
      <c r="E827" s="18"/>
      <c r="F827" s="18"/>
      <c r="G827" s="18"/>
      <c r="H827" s="18"/>
      <c r="I827" s="16"/>
      <c r="J827" s="18"/>
      <c r="K827" s="18"/>
      <c r="L827" s="18"/>
      <c r="M827" s="18"/>
      <c r="N827" s="18"/>
      <c r="O827" s="16"/>
      <c r="P827" s="18"/>
      <c r="Q827" s="18"/>
      <c r="R827" s="18"/>
      <c r="S827" s="18"/>
      <c r="T827" s="18"/>
      <c r="U827" s="16"/>
      <c r="V827" s="18"/>
      <c r="W827" s="16"/>
      <c r="X827" s="18"/>
      <c r="Y827" s="18"/>
      <c r="Z827" s="18"/>
      <c r="AA827" s="18"/>
    </row>
    <row r="828" spans="2:27" x14ac:dyDescent="0.35">
      <c r="B828" s="18"/>
      <c r="C828" s="18"/>
      <c r="D828" s="18"/>
      <c r="E828" s="18"/>
      <c r="F828" s="18"/>
      <c r="G828" s="18"/>
      <c r="H828" s="18"/>
      <c r="I828" s="16"/>
      <c r="J828" s="18"/>
      <c r="K828" s="18"/>
      <c r="L828" s="18"/>
      <c r="M828" s="18"/>
      <c r="N828" s="18"/>
      <c r="O828" s="16"/>
      <c r="P828" s="18"/>
      <c r="Q828" s="18"/>
      <c r="R828" s="18"/>
      <c r="S828" s="18"/>
      <c r="T828" s="18"/>
      <c r="U828" s="16"/>
      <c r="V828" s="18"/>
      <c r="W828" s="16"/>
      <c r="X828" s="18"/>
      <c r="Y828" s="18"/>
      <c r="Z828" s="18"/>
      <c r="AA828" s="18"/>
    </row>
    <row r="829" spans="2:27" x14ac:dyDescent="0.35">
      <c r="B829" s="18"/>
      <c r="C829" s="18"/>
      <c r="D829" s="18"/>
      <c r="E829" s="18"/>
      <c r="F829" s="18"/>
      <c r="G829" s="18"/>
      <c r="H829" s="18"/>
      <c r="I829" s="16"/>
      <c r="J829" s="18"/>
      <c r="K829" s="18"/>
      <c r="L829" s="18"/>
      <c r="M829" s="18"/>
      <c r="N829" s="18"/>
      <c r="O829" s="16"/>
      <c r="P829" s="18"/>
      <c r="Q829" s="18"/>
      <c r="R829" s="18"/>
      <c r="S829" s="18"/>
      <c r="T829" s="18"/>
      <c r="U829" s="16"/>
      <c r="V829" s="18"/>
      <c r="W829" s="16"/>
      <c r="X829" s="18"/>
      <c r="Y829" s="18"/>
      <c r="Z829" s="18"/>
      <c r="AA829" s="18"/>
    </row>
    <row r="830" spans="2:27" x14ac:dyDescent="0.35">
      <c r="B830" s="18"/>
      <c r="C830" s="18"/>
      <c r="D830" s="18"/>
      <c r="E830" s="18"/>
      <c r="F830" s="18"/>
      <c r="G830" s="18"/>
      <c r="H830" s="18"/>
      <c r="I830" s="16"/>
      <c r="J830" s="18"/>
      <c r="K830" s="18"/>
      <c r="L830" s="18"/>
      <c r="M830" s="18"/>
      <c r="N830" s="18"/>
      <c r="O830" s="16"/>
      <c r="P830" s="18"/>
      <c r="Q830" s="18"/>
      <c r="R830" s="18"/>
      <c r="S830" s="18"/>
      <c r="T830" s="18"/>
      <c r="U830" s="16"/>
      <c r="V830" s="18"/>
      <c r="W830" s="16"/>
      <c r="X830" s="18"/>
      <c r="Y830" s="18"/>
      <c r="Z830" s="18"/>
      <c r="AA830" s="18"/>
    </row>
    <row r="831" spans="2:27" x14ac:dyDescent="0.35">
      <c r="B831" s="18"/>
      <c r="C831" s="18"/>
      <c r="D831" s="18"/>
      <c r="E831" s="18"/>
      <c r="F831" s="18"/>
      <c r="G831" s="18"/>
      <c r="H831" s="18"/>
      <c r="I831" s="16"/>
      <c r="J831" s="18"/>
      <c r="K831" s="18"/>
      <c r="L831" s="18"/>
      <c r="M831" s="18"/>
      <c r="N831" s="18"/>
      <c r="O831" s="16"/>
      <c r="P831" s="18"/>
      <c r="Q831" s="18"/>
      <c r="R831" s="18"/>
      <c r="S831" s="18"/>
      <c r="T831" s="18"/>
      <c r="U831" s="16"/>
      <c r="V831" s="18"/>
      <c r="W831" s="16"/>
      <c r="X831" s="18"/>
      <c r="Y831" s="18"/>
      <c r="Z831" s="18"/>
      <c r="AA831" s="18"/>
    </row>
    <row r="832" spans="2:27" x14ac:dyDescent="0.35">
      <c r="B832" s="18"/>
      <c r="C832" s="18"/>
      <c r="D832" s="18"/>
      <c r="E832" s="18"/>
      <c r="F832" s="18"/>
      <c r="G832" s="18"/>
      <c r="H832" s="18"/>
      <c r="I832" s="16"/>
      <c r="J832" s="18"/>
      <c r="K832" s="18"/>
      <c r="L832" s="18"/>
      <c r="M832" s="18"/>
      <c r="N832" s="18"/>
      <c r="O832" s="16"/>
      <c r="P832" s="18"/>
      <c r="Q832" s="18"/>
      <c r="R832" s="18"/>
      <c r="S832" s="18"/>
      <c r="T832" s="18"/>
      <c r="U832" s="16"/>
      <c r="V832" s="18"/>
      <c r="W832" s="16"/>
      <c r="X832" s="18"/>
      <c r="Y832" s="18"/>
      <c r="Z832" s="18"/>
      <c r="AA832" s="18"/>
    </row>
    <row r="833" spans="2:27" x14ac:dyDescent="0.35">
      <c r="B833" s="18"/>
      <c r="C833" s="18"/>
      <c r="D833" s="18"/>
      <c r="E833" s="18"/>
      <c r="F833" s="18"/>
      <c r="G833" s="18"/>
      <c r="H833" s="18"/>
      <c r="I833" s="16"/>
      <c r="J833" s="18"/>
      <c r="K833" s="18"/>
      <c r="L833" s="18"/>
      <c r="M833" s="18"/>
      <c r="N833" s="18"/>
      <c r="O833" s="16"/>
      <c r="P833" s="18"/>
      <c r="Q833" s="18"/>
      <c r="R833" s="18"/>
      <c r="S833" s="18"/>
      <c r="T833" s="18"/>
      <c r="U833" s="16"/>
      <c r="V833" s="18"/>
      <c r="W833" s="16"/>
      <c r="X833" s="18"/>
      <c r="Y833" s="18"/>
      <c r="Z833" s="18"/>
      <c r="AA833" s="18"/>
    </row>
    <row r="834" spans="2:27" x14ac:dyDescent="0.35">
      <c r="B834" s="18"/>
      <c r="C834" s="18"/>
      <c r="D834" s="18"/>
      <c r="E834" s="18"/>
      <c r="F834" s="18"/>
      <c r="G834" s="18"/>
      <c r="H834" s="18"/>
      <c r="I834" s="16"/>
      <c r="J834" s="18"/>
      <c r="K834" s="18"/>
      <c r="L834" s="18"/>
      <c r="M834" s="18"/>
      <c r="N834" s="18"/>
      <c r="O834" s="16"/>
      <c r="P834" s="18"/>
      <c r="Q834" s="18"/>
      <c r="R834" s="18"/>
      <c r="S834" s="18"/>
      <c r="T834" s="18"/>
      <c r="U834" s="16"/>
      <c r="V834" s="18"/>
      <c r="W834" s="16"/>
      <c r="X834" s="18"/>
      <c r="Y834" s="18"/>
      <c r="Z834" s="18"/>
      <c r="AA834" s="18"/>
    </row>
    <row r="835" spans="2:27" x14ac:dyDescent="0.35">
      <c r="B835" s="18"/>
      <c r="C835" s="18"/>
      <c r="D835" s="18"/>
      <c r="E835" s="18"/>
      <c r="F835" s="18"/>
      <c r="G835" s="18"/>
      <c r="H835" s="18"/>
      <c r="I835" s="16"/>
      <c r="J835" s="18"/>
      <c r="K835" s="18"/>
      <c r="L835" s="18"/>
      <c r="M835" s="18"/>
      <c r="N835" s="18"/>
      <c r="O835" s="16"/>
      <c r="P835" s="18"/>
      <c r="Q835" s="18"/>
      <c r="R835" s="18"/>
      <c r="S835" s="18"/>
      <c r="T835" s="18"/>
      <c r="U835" s="16"/>
      <c r="V835" s="18"/>
      <c r="W835" s="16"/>
      <c r="X835" s="18"/>
      <c r="Y835" s="18"/>
      <c r="Z835" s="18"/>
      <c r="AA835" s="18"/>
    </row>
    <row r="836" spans="2:27" x14ac:dyDescent="0.35">
      <c r="B836" s="18"/>
      <c r="C836" s="18"/>
      <c r="D836" s="18"/>
      <c r="E836" s="18"/>
      <c r="F836" s="18"/>
      <c r="G836" s="18"/>
      <c r="H836" s="18"/>
      <c r="I836" s="16"/>
      <c r="J836" s="18"/>
      <c r="K836" s="18"/>
      <c r="L836" s="18"/>
      <c r="M836" s="18"/>
      <c r="N836" s="18"/>
      <c r="O836" s="16"/>
      <c r="P836" s="18"/>
      <c r="Q836" s="18"/>
      <c r="R836" s="18"/>
      <c r="S836" s="18"/>
      <c r="T836" s="18"/>
      <c r="U836" s="16"/>
      <c r="V836" s="18"/>
      <c r="W836" s="16"/>
      <c r="X836" s="18"/>
      <c r="Y836" s="18"/>
      <c r="Z836" s="18"/>
      <c r="AA836" s="18"/>
    </row>
    <row r="837" spans="2:27" x14ac:dyDescent="0.35">
      <c r="B837" s="18"/>
      <c r="C837" s="18"/>
      <c r="D837" s="18"/>
      <c r="E837" s="18"/>
      <c r="F837" s="18"/>
      <c r="G837" s="18"/>
      <c r="H837" s="18"/>
      <c r="I837" s="16"/>
      <c r="J837" s="18"/>
      <c r="K837" s="18"/>
      <c r="L837" s="18"/>
      <c r="M837" s="18"/>
      <c r="N837" s="18"/>
      <c r="O837" s="16"/>
      <c r="P837" s="18"/>
      <c r="Q837" s="18"/>
      <c r="R837" s="18"/>
      <c r="S837" s="18"/>
      <c r="T837" s="18"/>
      <c r="U837" s="16"/>
      <c r="V837" s="18"/>
      <c r="W837" s="16"/>
      <c r="X837" s="18"/>
      <c r="Y837" s="18"/>
      <c r="Z837" s="18"/>
      <c r="AA837" s="18"/>
    </row>
    <row r="838" spans="2:27" x14ac:dyDescent="0.35">
      <c r="B838" s="18"/>
      <c r="C838" s="18"/>
      <c r="D838" s="18"/>
      <c r="E838" s="18"/>
      <c r="F838" s="18"/>
      <c r="G838" s="18"/>
      <c r="H838" s="18"/>
      <c r="I838" s="16"/>
      <c r="J838" s="18"/>
      <c r="K838" s="18"/>
      <c r="L838" s="18"/>
      <c r="M838" s="18"/>
      <c r="N838" s="18"/>
      <c r="O838" s="16"/>
      <c r="P838" s="18"/>
      <c r="Q838" s="18"/>
      <c r="R838" s="18"/>
      <c r="S838" s="18"/>
      <c r="T838" s="18"/>
      <c r="U838" s="16"/>
      <c r="V838" s="18"/>
      <c r="W838" s="16"/>
      <c r="X838" s="18"/>
      <c r="Y838" s="18"/>
      <c r="Z838" s="18"/>
      <c r="AA838" s="18"/>
    </row>
  </sheetData>
  <conditionalFormatting sqref="C538">
    <cfRule type="top10" dxfId="6" priority="2" rank="1"/>
  </conditionalFormatting>
  <conditionalFormatting sqref="C39:C537">
    <cfRule type="top10" dxfId="5" priority="1" rank="1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Pavlos Konstantinidis</cp:lastModifiedBy>
  <dcterms:created xsi:type="dcterms:W3CDTF">2020-06-24T18:30:36Z</dcterms:created>
  <dcterms:modified xsi:type="dcterms:W3CDTF">2022-05-30T10:56:09Z</dcterms:modified>
</cp:coreProperties>
</file>