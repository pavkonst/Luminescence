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esktop\Dosimetry\Deconovolution\Decay\"/>
    </mc:Choice>
  </mc:AlternateContent>
  <xr:revisionPtr revIDLastSave="0" documentId="13_ncr:1_{146F84FF-C2A1-4C60-9DAD-21EEC8F9B75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 1" sheetId="2" r:id="rId1"/>
  </sheets>
  <functionGroups builtInGroupCount="19"/>
  <definedNames>
    <definedName name="solver_adj" localSheetId="0" hidden="1">'sheet 1'!$C$21:$D$23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'sheet 1'!$C$23:$G$23</definedName>
    <definedName name="solver_lhs10" localSheetId="0" hidden="1">'sheet 1'!$G$22</definedName>
    <definedName name="solver_lhs11" localSheetId="0" hidden="1">'sheet 1'!$F$22</definedName>
    <definedName name="solver_lhs12" localSheetId="0" hidden="1">'sheet 1'!$G$23</definedName>
    <definedName name="solver_lhs13" localSheetId="0" hidden="1">'sheet 1'!$E$21</definedName>
    <definedName name="solver_lhs14" localSheetId="0" hidden="1">'sheet 1'!$G$23</definedName>
    <definedName name="solver_lhs15" localSheetId="0" hidden="1">'sheet 1'!$F$23</definedName>
    <definedName name="solver_lhs16" localSheetId="0" hidden="1">'sheet 1'!$F$21</definedName>
    <definedName name="solver_lhs17" localSheetId="0" hidden="1">'sheet 1'!$G$21</definedName>
    <definedName name="solver_lhs18" localSheetId="0" hidden="1">'sheet 1'!$G$21</definedName>
    <definedName name="solver_lhs19" localSheetId="0" hidden="1">'sheet 1'!$G$21</definedName>
    <definedName name="solver_lhs2" localSheetId="0" hidden="1">'sheet 1'!$D$23</definedName>
    <definedName name="solver_lhs20" localSheetId="0" hidden="1">'sheet 1'!$G$21</definedName>
    <definedName name="solver_lhs3" localSheetId="0" hidden="1">'sheet 1'!$C$21</definedName>
    <definedName name="solver_lhs4" localSheetId="0" hidden="1">'sheet 1'!$D$23</definedName>
    <definedName name="solver_lhs5" localSheetId="0" hidden="1">'sheet 1'!$E$22</definedName>
    <definedName name="solver_lhs6" localSheetId="0" hidden="1">'sheet 1'!$E$23</definedName>
    <definedName name="solver_lhs7" localSheetId="0" hidden="1">'sheet 1'!$D$21</definedName>
    <definedName name="solver_lhs8" localSheetId="0" hidden="1">'sheet 1'!$F$23</definedName>
    <definedName name="solver_lhs9" localSheetId="0" hidden="1">'sheet 1'!$E$23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'sheet 1'!$C$33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3</definedName>
    <definedName name="solver_rel2" localSheetId="0" hidden="1">1</definedName>
    <definedName name="solver_rel20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1</definedName>
    <definedName name="solver_rel7" localSheetId="0" hidden="1">3</definedName>
    <definedName name="solver_rel8" localSheetId="0" hidden="1">1</definedName>
    <definedName name="solver_rel9" localSheetId="0" hidden="1">3</definedName>
    <definedName name="solver_rhs1" localSheetId="0" hidden="1">0.000000001</definedName>
    <definedName name="solver_rhs10" localSheetId="0" hidden="1">0</definedName>
    <definedName name="solver_rhs11" localSheetId="0" hidden="1">0</definedName>
    <definedName name="solver_rhs12" localSheetId="0" hidden="1">0.9</definedName>
    <definedName name="solver_rhs13" localSheetId="0" hidden="1">0</definedName>
    <definedName name="solver_rhs14" localSheetId="0" hidden="1">0.00001</definedName>
    <definedName name="solver_rhs15" localSheetId="0" hidden="1">0.00001</definedName>
    <definedName name="solver_rhs16" localSheetId="0" hidden="1">0</definedName>
    <definedName name="solver_rhs17" localSheetId="0" hidden="1">0</definedName>
    <definedName name="solver_rhs18" localSheetId="0" hidden="1">0</definedName>
    <definedName name="solver_rhs19" localSheetId="0" hidden="1">0</definedName>
    <definedName name="solver_rhs2" localSheetId="0" hidden="1">0.9</definedName>
    <definedName name="solver_rhs20" localSheetId="0" hidden="1">0</definedName>
    <definedName name="solver_rhs3" localSheetId="0" hidden="1">0</definedName>
    <definedName name="solver_rhs4" localSheetId="0" hidden="1">0.00001</definedName>
    <definedName name="solver_rhs5" localSheetId="0" hidden="1">0</definedName>
    <definedName name="solver_rhs6" localSheetId="0" hidden="1">0.9</definedName>
    <definedName name="solver_rhs7" localSheetId="0" hidden="1">0</definedName>
    <definedName name="solver_rhs8" localSheetId="0" hidden="1">0.9</definedName>
    <definedName name="solver_rhs9" localSheetId="0" hidden="1">0.00001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9" i="2" l="1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E532" i="2" l="1"/>
  <c r="F532" i="2"/>
  <c r="G532" i="2"/>
  <c r="H532" i="2"/>
  <c r="E521" i="2"/>
  <c r="F521" i="2"/>
  <c r="G521" i="2"/>
  <c r="H521" i="2"/>
  <c r="E522" i="2"/>
  <c r="F522" i="2"/>
  <c r="G522" i="2"/>
  <c r="H522" i="2"/>
  <c r="E523" i="2"/>
  <c r="F523" i="2"/>
  <c r="G523" i="2"/>
  <c r="H523" i="2"/>
  <c r="E524" i="2"/>
  <c r="F524" i="2"/>
  <c r="G524" i="2"/>
  <c r="H524" i="2"/>
  <c r="E525" i="2"/>
  <c r="F525" i="2"/>
  <c r="G525" i="2"/>
  <c r="H525" i="2"/>
  <c r="E526" i="2"/>
  <c r="F526" i="2"/>
  <c r="G526" i="2"/>
  <c r="H526" i="2"/>
  <c r="E527" i="2"/>
  <c r="F527" i="2"/>
  <c r="G527" i="2"/>
  <c r="H527" i="2"/>
  <c r="E528" i="2"/>
  <c r="F528" i="2"/>
  <c r="G528" i="2"/>
  <c r="H528" i="2"/>
  <c r="E529" i="2"/>
  <c r="F529" i="2"/>
  <c r="G529" i="2"/>
  <c r="H529" i="2"/>
  <c r="E530" i="2"/>
  <c r="F530" i="2"/>
  <c r="G530" i="2"/>
  <c r="H530" i="2"/>
  <c r="E531" i="2"/>
  <c r="F531" i="2"/>
  <c r="G531" i="2"/>
  <c r="H531" i="2"/>
  <c r="L526" i="2"/>
  <c r="M531" i="2"/>
  <c r="L527" i="2"/>
  <c r="M523" i="2"/>
  <c r="L528" i="2"/>
  <c r="J522" i="2"/>
  <c r="K522" i="2"/>
  <c r="K527" i="2"/>
  <c r="N521" i="2"/>
  <c r="K530" i="2"/>
  <c r="J521" i="2"/>
  <c r="L530" i="2"/>
  <c r="M529" i="2"/>
  <c r="N524" i="2"/>
  <c r="N529" i="2"/>
  <c r="M521" i="2"/>
  <c r="J531" i="2"/>
  <c r="K528" i="2"/>
  <c r="K526" i="2"/>
  <c r="J529" i="2"/>
  <c r="K524" i="2"/>
  <c r="N530" i="2"/>
  <c r="L521" i="2"/>
  <c r="N528" i="2"/>
  <c r="M527" i="2"/>
  <c r="J532" i="2"/>
  <c r="J525" i="2"/>
  <c r="K532" i="2"/>
  <c r="J523" i="2"/>
  <c r="K523" i="2"/>
  <c r="N522" i="2"/>
  <c r="J530" i="2"/>
  <c r="K531" i="2"/>
  <c r="L522" i="2"/>
  <c r="J528" i="2"/>
  <c r="M526" i="2"/>
  <c r="M532" i="2"/>
  <c r="L529" i="2"/>
  <c r="N527" i="2"/>
  <c r="N525" i="2"/>
  <c r="K529" i="2"/>
  <c r="N532" i="2"/>
  <c r="M522" i="2"/>
  <c r="N523" i="2"/>
  <c r="N531" i="2"/>
  <c r="L525" i="2"/>
  <c r="M528" i="2"/>
  <c r="M524" i="2"/>
  <c r="J526" i="2"/>
  <c r="K525" i="2"/>
  <c r="L531" i="2"/>
  <c r="L532" i="2"/>
  <c r="L524" i="2"/>
  <c r="M530" i="2"/>
  <c r="M525" i="2"/>
  <c r="J524" i="2"/>
  <c r="J527" i="2"/>
  <c r="K521" i="2"/>
  <c r="L523" i="2"/>
  <c r="N526" i="2"/>
  <c r="Q532" i="2" l="1"/>
  <c r="P532" i="2"/>
  <c r="R532" i="2"/>
  <c r="T532" i="2"/>
  <c r="S532" i="2"/>
  <c r="T531" i="2"/>
  <c r="R529" i="2"/>
  <c r="P527" i="2"/>
  <c r="S526" i="2"/>
  <c r="Q524" i="2"/>
  <c r="T523" i="2"/>
  <c r="R521" i="2"/>
  <c r="T528" i="2"/>
  <c r="R531" i="2"/>
  <c r="P529" i="2"/>
  <c r="S528" i="2"/>
  <c r="Q526" i="2"/>
  <c r="T525" i="2"/>
  <c r="R523" i="2"/>
  <c r="P521" i="2"/>
  <c r="S531" i="2"/>
  <c r="P524" i="2"/>
  <c r="Q521" i="2"/>
  <c r="Q531" i="2"/>
  <c r="T530" i="2"/>
  <c r="R528" i="2"/>
  <c r="P526" i="2"/>
  <c r="S525" i="2"/>
  <c r="Q523" i="2"/>
  <c r="T522" i="2"/>
  <c r="S523" i="2"/>
  <c r="P531" i="2"/>
  <c r="S530" i="2"/>
  <c r="Q528" i="2"/>
  <c r="T527" i="2"/>
  <c r="R525" i="2"/>
  <c r="P523" i="2"/>
  <c r="S522" i="2"/>
  <c r="Q529" i="2"/>
  <c r="R530" i="2"/>
  <c r="P528" i="2"/>
  <c r="S527" i="2"/>
  <c r="Q525" i="2"/>
  <c r="T524" i="2"/>
  <c r="R522" i="2"/>
  <c r="Q530" i="2"/>
  <c r="T529" i="2"/>
  <c r="R527" i="2"/>
  <c r="P525" i="2"/>
  <c r="S524" i="2"/>
  <c r="Q522" i="2"/>
  <c r="T521" i="2"/>
  <c r="R526" i="2"/>
  <c r="P530" i="2"/>
  <c r="S529" i="2"/>
  <c r="Q527" i="2"/>
  <c r="T526" i="2"/>
  <c r="R524" i="2"/>
  <c r="P522" i="2"/>
  <c r="S521" i="2"/>
  <c r="V526" i="2" l="1"/>
  <c r="X526" i="2" s="1"/>
  <c r="V532" i="2"/>
  <c r="V522" i="2"/>
  <c r="X522" i="2" s="1"/>
  <c r="V523" i="2"/>
  <c r="X523" i="2" s="1"/>
  <c r="V524" i="2"/>
  <c r="X524" i="2" s="1"/>
  <c r="V527" i="2"/>
  <c r="V521" i="2"/>
  <c r="V528" i="2"/>
  <c r="V530" i="2"/>
  <c r="V525" i="2"/>
  <c r="V531" i="2"/>
  <c r="V529" i="2"/>
  <c r="Y526" i="2" l="1"/>
  <c r="X532" i="2"/>
  <c r="Y532" i="2"/>
  <c r="Y522" i="2"/>
  <c r="Y524" i="2"/>
  <c r="Y523" i="2"/>
  <c r="X528" i="2"/>
  <c r="Y528" i="2"/>
  <c r="X527" i="2"/>
  <c r="Y527" i="2"/>
  <c r="X525" i="2"/>
  <c r="Y525" i="2"/>
  <c r="X521" i="2"/>
  <c r="Y521" i="2"/>
  <c r="X530" i="2"/>
  <c r="Y530" i="2"/>
  <c r="X529" i="2"/>
  <c r="Y529" i="2"/>
  <c r="X531" i="2"/>
  <c r="Y531" i="2"/>
  <c r="G114" i="2"/>
  <c r="H114" i="2"/>
  <c r="E114" i="2"/>
  <c r="F114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J114" i="2"/>
  <c r="L114" i="2"/>
  <c r="N114" i="2"/>
  <c r="K114" i="2"/>
  <c r="M114" i="2"/>
  <c r="E115" i="2" l="1"/>
  <c r="F115" i="2"/>
  <c r="H115" i="2"/>
  <c r="G115" i="2"/>
  <c r="Q114" i="2"/>
  <c r="T114" i="2"/>
  <c r="P114" i="2"/>
  <c r="S114" i="2"/>
  <c r="R114" i="2"/>
  <c r="D26" i="2"/>
  <c r="E26" i="2"/>
  <c r="F26" i="2"/>
  <c r="G26" i="2"/>
  <c r="C26" i="2"/>
  <c r="J115" i="2"/>
  <c r="N115" i="2"/>
  <c r="L115" i="2"/>
  <c r="M115" i="2"/>
  <c r="K115" i="2"/>
  <c r="S115" i="2" l="1"/>
  <c r="P115" i="2"/>
  <c r="T115" i="2"/>
  <c r="R115" i="2"/>
  <c r="Q115" i="2"/>
  <c r="E116" i="2"/>
  <c r="F116" i="2"/>
  <c r="H116" i="2"/>
  <c r="G116" i="2"/>
  <c r="V114" i="2"/>
  <c r="D25" i="2"/>
  <c r="E25" i="2"/>
  <c r="F25" i="2"/>
  <c r="G25" i="2"/>
  <c r="C25" i="2"/>
  <c r="L86" i="2"/>
  <c r="M59" i="2"/>
  <c r="L42" i="2"/>
  <c r="M39" i="2"/>
  <c r="L62" i="2"/>
  <c r="L93" i="2"/>
  <c r="M95" i="2"/>
  <c r="M67" i="2"/>
  <c r="N112" i="2"/>
  <c r="L67" i="2"/>
  <c r="M51" i="2"/>
  <c r="N108" i="2"/>
  <c r="N105" i="2"/>
  <c r="M77" i="2"/>
  <c r="N110" i="2"/>
  <c r="N106" i="2"/>
  <c r="N77" i="2"/>
  <c r="M99" i="2"/>
  <c r="L58" i="2"/>
  <c r="L101" i="2"/>
  <c r="L69" i="2"/>
  <c r="M85" i="2"/>
  <c r="N76" i="2"/>
  <c r="M45" i="2"/>
  <c r="M84" i="2"/>
  <c r="N69" i="2"/>
  <c r="L41" i="2"/>
  <c r="N81" i="2"/>
  <c r="M89" i="2"/>
  <c r="K94" i="2"/>
  <c r="K89" i="2"/>
  <c r="J102" i="2"/>
  <c r="J71" i="2"/>
  <c r="K62" i="2"/>
  <c r="J86" i="2"/>
  <c r="K108" i="2"/>
  <c r="K51" i="2"/>
  <c r="J75" i="2"/>
  <c r="K56" i="2"/>
  <c r="K88" i="2"/>
  <c r="K63" i="2"/>
  <c r="K100" i="2"/>
  <c r="K80" i="2"/>
  <c r="K109" i="2"/>
  <c r="J104" i="2"/>
  <c r="J70" i="2"/>
  <c r="K112" i="2"/>
  <c r="K61" i="2"/>
  <c r="J39" i="2"/>
  <c r="J88" i="2"/>
  <c r="K50" i="2"/>
  <c r="L102" i="2"/>
  <c r="M52" i="2"/>
  <c r="M61" i="2"/>
  <c r="L44" i="2"/>
  <c r="K55" i="2"/>
  <c r="K43" i="2"/>
  <c r="J44" i="2"/>
  <c r="K57" i="2"/>
  <c r="K53" i="2"/>
  <c r="J106" i="2"/>
  <c r="J72" i="2"/>
  <c r="L76" i="2"/>
  <c r="M87" i="2"/>
  <c r="M56" i="2"/>
  <c r="L54" i="2"/>
  <c r="M94" i="2"/>
  <c r="N51" i="2"/>
  <c r="L94" i="2"/>
  <c r="M63" i="2"/>
  <c r="M82" i="2"/>
  <c r="L96" i="2"/>
  <c r="M44" i="2"/>
  <c r="N93" i="2"/>
  <c r="N67" i="2"/>
  <c r="L110" i="2"/>
  <c r="L113" i="2"/>
  <c r="N91" i="2"/>
  <c r="N63" i="2"/>
  <c r="M54" i="2"/>
  <c r="M60" i="2"/>
  <c r="M65" i="2"/>
  <c r="L63" i="2"/>
  <c r="N86" i="2"/>
  <c r="M66" i="2"/>
  <c r="N107" i="2"/>
  <c r="N47" i="2"/>
  <c r="M76" i="2"/>
  <c r="L100" i="2"/>
  <c r="L47" i="2"/>
  <c r="J65" i="2"/>
  <c r="J54" i="2"/>
  <c r="K105" i="2"/>
  <c r="J92" i="2"/>
  <c r="J113" i="2"/>
  <c r="K116" i="2"/>
  <c r="J84" i="2"/>
  <c r="J63" i="2"/>
  <c r="K86" i="2"/>
  <c r="J74" i="2"/>
  <c r="K98" i="2"/>
  <c r="K41" i="2"/>
  <c r="J111" i="2"/>
  <c r="K64" i="2"/>
  <c r="K96" i="2"/>
  <c r="K90" i="2"/>
  <c r="M41" i="2"/>
  <c r="M75" i="2"/>
  <c r="M73" i="2"/>
  <c r="L72" i="2"/>
  <c r="M107" i="2"/>
  <c r="N46" i="2"/>
  <c r="M109" i="2"/>
  <c r="J62" i="2"/>
  <c r="J85" i="2"/>
  <c r="K44" i="2"/>
  <c r="J57" i="2"/>
  <c r="K82" i="2"/>
  <c r="J61" i="2"/>
  <c r="J105" i="2"/>
  <c r="L59" i="2"/>
  <c r="M86" i="2"/>
  <c r="L81" i="2"/>
  <c r="L79" i="2"/>
  <c r="N41" i="2"/>
  <c r="N56" i="2"/>
  <c r="N79" i="2"/>
  <c r="N57" i="2"/>
  <c r="L64" i="2"/>
  <c r="L65" i="2"/>
  <c r="L53" i="2"/>
  <c r="L91" i="2"/>
  <c r="L61" i="2"/>
  <c r="L51" i="2"/>
  <c r="M64" i="2"/>
  <c r="L46" i="2"/>
  <c r="N89" i="2"/>
  <c r="L68" i="2"/>
  <c r="N84" i="2"/>
  <c r="L104" i="2"/>
  <c r="N65" i="2"/>
  <c r="L84" i="2"/>
  <c r="M69" i="2"/>
  <c r="N88" i="2"/>
  <c r="N60" i="2"/>
  <c r="M96" i="2"/>
  <c r="N40" i="2"/>
  <c r="L90" i="2"/>
  <c r="J69" i="2"/>
  <c r="J50" i="2"/>
  <c r="K72" i="2"/>
  <c r="J43" i="2"/>
  <c r="K70" i="2"/>
  <c r="K78" i="2"/>
  <c r="K60" i="2"/>
  <c r="K76" i="2"/>
  <c r="K110" i="2"/>
  <c r="J91" i="2"/>
  <c r="K84" i="2"/>
  <c r="J116" i="2"/>
  <c r="J110" i="2"/>
  <c r="K66" i="2"/>
  <c r="J100" i="2"/>
  <c r="J103" i="2"/>
  <c r="J101" i="2"/>
  <c r="K104" i="2"/>
  <c r="K85" i="2"/>
  <c r="J47" i="2"/>
  <c r="K52" i="2"/>
  <c r="J97" i="2"/>
  <c r="J107" i="2"/>
  <c r="K42" i="2"/>
  <c r="M50" i="2"/>
  <c r="M78" i="2"/>
  <c r="N92" i="2"/>
  <c r="M91" i="2"/>
  <c r="N58" i="2"/>
  <c r="L71" i="2"/>
  <c r="N49" i="2"/>
  <c r="N52" i="2"/>
  <c r="L45" i="2"/>
  <c r="M47" i="2"/>
  <c r="J59" i="2"/>
  <c r="J67" i="2"/>
  <c r="K47" i="2"/>
  <c r="K39" i="2"/>
  <c r="J40" i="2"/>
  <c r="K101" i="2"/>
  <c r="K45" i="2"/>
  <c r="K77" i="2"/>
  <c r="K48" i="2"/>
  <c r="J68" i="2"/>
  <c r="N95" i="2"/>
  <c r="M55" i="2"/>
  <c r="M57" i="2"/>
  <c r="L57" i="2"/>
  <c r="N70" i="2"/>
  <c r="L52" i="2"/>
  <c r="M104" i="2"/>
  <c r="M111" i="2"/>
  <c r="N87" i="2"/>
  <c r="N50" i="2"/>
  <c r="N62" i="2"/>
  <c r="N71" i="2"/>
  <c r="L89" i="2"/>
  <c r="M42" i="2"/>
  <c r="L80" i="2"/>
  <c r="N100" i="2"/>
  <c r="L83" i="2"/>
  <c r="L48" i="2"/>
  <c r="M71" i="2"/>
  <c r="M48" i="2"/>
  <c r="L55" i="2"/>
  <c r="L97" i="2"/>
  <c r="N55" i="2"/>
  <c r="L109" i="2"/>
  <c r="N45" i="2"/>
  <c r="L75" i="2"/>
  <c r="L95" i="2"/>
  <c r="M116" i="2"/>
  <c r="K59" i="2"/>
  <c r="J96" i="2"/>
  <c r="K69" i="2"/>
  <c r="J66" i="2"/>
  <c r="J89" i="2"/>
  <c r="K81" i="2"/>
  <c r="K97" i="2"/>
  <c r="K79" i="2"/>
  <c r="J77" i="2"/>
  <c r="J95" i="2"/>
  <c r="J41" i="2"/>
  <c r="K46" i="2"/>
  <c r="K107" i="2"/>
  <c r="N104" i="2"/>
  <c r="L78" i="2"/>
  <c r="N113" i="2"/>
  <c r="M68" i="2"/>
  <c r="L88" i="2"/>
  <c r="L108" i="2"/>
  <c r="L70" i="2"/>
  <c r="K87" i="2"/>
  <c r="K49" i="2"/>
  <c r="J60" i="2"/>
  <c r="K71" i="2"/>
  <c r="N103" i="2"/>
  <c r="K106" i="2"/>
  <c r="J81" i="2"/>
  <c r="N116" i="2"/>
  <c r="M70" i="2"/>
  <c r="L107" i="2"/>
  <c r="M100" i="2"/>
  <c r="M98" i="2"/>
  <c r="M110" i="2"/>
  <c r="M46" i="2"/>
  <c r="L103" i="2"/>
  <c r="M101" i="2"/>
  <c r="L39" i="2"/>
  <c r="L85" i="2"/>
  <c r="M108" i="2"/>
  <c r="M58" i="2"/>
  <c r="N53" i="2"/>
  <c r="M103" i="2"/>
  <c r="L56" i="2"/>
  <c r="L50" i="2"/>
  <c r="M105" i="2"/>
  <c r="L49" i="2"/>
  <c r="N83" i="2"/>
  <c r="M92" i="2"/>
  <c r="L82" i="2"/>
  <c r="N61" i="2"/>
  <c r="M113" i="2"/>
  <c r="L66" i="2"/>
  <c r="N54" i="2"/>
  <c r="N94" i="2"/>
  <c r="M88" i="2"/>
  <c r="L43" i="2"/>
  <c r="K58" i="2"/>
  <c r="J90" i="2"/>
  <c r="K111" i="2"/>
  <c r="J112" i="2"/>
  <c r="J53" i="2"/>
  <c r="J73" i="2"/>
  <c r="K103" i="2"/>
  <c r="J55" i="2"/>
  <c r="K65" i="2"/>
  <c r="K67" i="2"/>
  <c r="K68" i="2"/>
  <c r="J56" i="2"/>
  <c r="K93" i="2"/>
  <c r="J99" i="2"/>
  <c r="J51" i="2"/>
  <c r="K75" i="2"/>
  <c r="K83" i="2"/>
  <c r="J109" i="2"/>
  <c r="N73" i="2"/>
  <c r="N102" i="2"/>
  <c r="N68" i="2"/>
  <c r="N64" i="2"/>
  <c r="L99" i="2"/>
  <c r="L87" i="2"/>
  <c r="N109" i="2"/>
  <c r="M43" i="2"/>
  <c r="N99" i="2"/>
  <c r="L98" i="2"/>
  <c r="N98" i="2"/>
  <c r="N44" i="2"/>
  <c r="M106" i="2"/>
  <c r="K99" i="2"/>
  <c r="K102" i="2"/>
  <c r="N96" i="2"/>
  <c r="L106" i="2"/>
  <c r="L77" i="2"/>
  <c r="L105" i="2"/>
  <c r="L60" i="2"/>
  <c r="M90" i="2"/>
  <c r="M79" i="2"/>
  <c r="L73" i="2"/>
  <c r="M40" i="2"/>
  <c r="M72" i="2"/>
  <c r="N72" i="2"/>
  <c r="M102" i="2"/>
  <c r="L112" i="2"/>
  <c r="N111" i="2"/>
  <c r="N75" i="2"/>
  <c r="N42" i="2"/>
  <c r="N85" i="2"/>
  <c r="M83" i="2"/>
  <c r="M112" i="2"/>
  <c r="M93" i="2"/>
  <c r="N101" i="2"/>
  <c r="N82" i="2"/>
  <c r="M53" i="2"/>
  <c r="M80" i="2"/>
  <c r="N78" i="2"/>
  <c r="L111" i="2"/>
  <c r="L116" i="2"/>
  <c r="N48" i="2"/>
  <c r="M97" i="2"/>
  <c r="K73" i="2"/>
  <c r="J52" i="2"/>
  <c r="J78" i="2"/>
  <c r="J83" i="2"/>
  <c r="K92" i="2"/>
  <c r="J64" i="2"/>
  <c r="J58" i="2"/>
  <c r="J80" i="2"/>
  <c r="J82" i="2"/>
  <c r="J76" i="2"/>
  <c r="J42" i="2"/>
  <c r="K54" i="2"/>
  <c r="K74" i="2"/>
  <c r="K91" i="2"/>
  <c r="J108" i="2"/>
  <c r="J79" i="2"/>
  <c r="J87" i="2"/>
  <c r="K40" i="2"/>
  <c r="N74" i="2"/>
  <c r="N80" i="2"/>
  <c r="N43" i="2"/>
  <c r="M49" i="2"/>
  <c r="L74" i="2"/>
  <c r="M62" i="2"/>
  <c r="N97" i="2"/>
  <c r="M81" i="2"/>
  <c r="N90" i="2"/>
  <c r="M74" i="2"/>
  <c r="N66" i="2"/>
  <c r="L92" i="2"/>
  <c r="N39" i="2"/>
  <c r="L40" i="2"/>
  <c r="N59" i="2"/>
  <c r="J98" i="2"/>
  <c r="J94" i="2"/>
  <c r="J93" i="2"/>
  <c r="K113" i="2"/>
  <c r="K95" i="2"/>
  <c r="R116" i="2" l="1"/>
  <c r="Q116" i="2"/>
  <c r="S116" i="2"/>
  <c r="P116" i="2"/>
  <c r="T116" i="2"/>
  <c r="H117" i="2"/>
  <c r="F117" i="2"/>
  <c r="G117" i="2"/>
  <c r="E117" i="2"/>
  <c r="V115" i="2"/>
  <c r="X114" i="2"/>
  <c r="Y114" i="2"/>
  <c r="P39" i="2"/>
  <c r="P79" i="2"/>
  <c r="P74" i="2"/>
  <c r="P87" i="2"/>
  <c r="P95" i="2"/>
  <c r="P58" i="2"/>
  <c r="P83" i="2"/>
  <c r="P108" i="2"/>
  <c r="P78" i="2"/>
  <c r="P77" i="2"/>
  <c r="P52" i="2"/>
  <c r="P69" i="2"/>
  <c r="P55" i="2"/>
  <c r="P105" i="2"/>
  <c r="P84" i="2"/>
  <c r="P92" i="2"/>
  <c r="P103" i="2"/>
  <c r="P89" i="2"/>
  <c r="P91" i="2"/>
  <c r="P94" i="2"/>
  <c r="P64" i="2"/>
  <c r="P93" i="2"/>
  <c r="P80" i="2"/>
  <c r="P57" i="2"/>
  <c r="P111" i="2"/>
  <c r="P44" i="2"/>
  <c r="P97" i="2"/>
  <c r="P54" i="2"/>
  <c r="P60" i="2"/>
  <c r="P50" i="2"/>
  <c r="P81" i="2"/>
  <c r="P112" i="2"/>
  <c r="P47" i="2"/>
  <c r="P72" i="2"/>
  <c r="P63" i="2"/>
  <c r="P68" i="2"/>
  <c r="P51" i="2"/>
  <c r="P101" i="2"/>
  <c r="P70" i="2"/>
  <c r="P76" i="2"/>
  <c r="P59" i="2"/>
  <c r="P109" i="2"/>
  <c r="P100" i="2"/>
  <c r="P113" i="2"/>
  <c r="P90" i="2"/>
  <c r="P107" i="2"/>
  <c r="P66" i="2"/>
  <c r="P96" i="2"/>
  <c r="P82" i="2"/>
  <c r="P102" i="2"/>
  <c r="P62" i="2"/>
  <c r="P71" i="2"/>
  <c r="P104" i="2"/>
  <c r="P99" i="2"/>
  <c r="P43" i="2"/>
  <c r="P67" i="2"/>
  <c r="P88" i="2"/>
  <c r="P61" i="2"/>
  <c r="P40" i="2"/>
  <c r="P73" i="2"/>
  <c r="P86" i="2"/>
  <c r="P98" i="2"/>
  <c r="P106" i="2"/>
  <c r="P110" i="2"/>
  <c r="P75" i="2"/>
  <c r="P85" i="2"/>
  <c r="P65" i="2"/>
  <c r="P41" i="2"/>
  <c r="P56" i="2"/>
  <c r="P53" i="2"/>
  <c r="P42" i="2"/>
  <c r="Q52" i="2"/>
  <c r="Q113" i="2"/>
  <c r="Q94" i="2"/>
  <c r="Q92" i="2"/>
  <c r="Q53" i="2"/>
  <c r="Q42" i="2"/>
  <c r="Q105" i="2"/>
  <c r="Q110" i="2"/>
  <c r="Q109" i="2"/>
  <c r="Q72" i="2"/>
  <c r="Q48" i="2"/>
  <c r="Q68" i="2"/>
  <c r="Q54" i="2"/>
  <c r="Q59" i="2"/>
  <c r="Q96" i="2"/>
  <c r="Q58" i="2"/>
  <c r="Q100" i="2"/>
  <c r="Q65" i="2"/>
  <c r="Q95" i="2"/>
  <c r="Q55" i="2"/>
  <c r="Q50" i="2"/>
  <c r="Q62" i="2"/>
  <c r="Q88" i="2"/>
  <c r="Q84" i="2"/>
  <c r="Q90" i="2"/>
  <c r="Q60" i="2"/>
  <c r="Q101" i="2"/>
  <c r="Q111" i="2"/>
  <c r="Q107" i="2"/>
  <c r="Q80" i="2"/>
  <c r="Q89" i="2"/>
  <c r="Q44" i="2"/>
  <c r="Q104" i="2"/>
  <c r="Q76" i="2"/>
  <c r="Q46" i="2"/>
  <c r="Q63" i="2"/>
  <c r="Q40" i="2"/>
  <c r="Q108" i="2"/>
  <c r="Q91" i="2"/>
  <c r="Q83" i="2"/>
  <c r="Q51" i="2"/>
  <c r="Q77" i="2"/>
  <c r="Q99" i="2"/>
  <c r="Q93" i="2"/>
  <c r="Q79" i="2"/>
  <c r="Q75" i="2"/>
  <c r="Q82" i="2"/>
  <c r="T77" i="2"/>
  <c r="S95" i="2"/>
  <c r="R58" i="2"/>
  <c r="R65" i="2"/>
  <c r="Q70" i="2"/>
  <c r="Q73" i="2"/>
  <c r="Q56" i="2"/>
  <c r="R108" i="2"/>
  <c r="S84" i="2"/>
  <c r="S79" i="2"/>
  <c r="S98" i="2"/>
  <c r="Q67" i="2"/>
  <c r="Q106" i="2"/>
  <c r="Q57" i="2"/>
  <c r="Q43" i="2"/>
  <c r="R49" i="2"/>
  <c r="T51" i="2"/>
  <c r="R104" i="2"/>
  <c r="Q69" i="2"/>
  <c r="Q97" i="2"/>
  <c r="R53" i="2"/>
  <c r="R51" i="2"/>
  <c r="S60" i="2"/>
  <c r="Q87" i="2"/>
  <c r="Q81" i="2"/>
  <c r="Q85" i="2"/>
  <c r="Q102" i="2"/>
  <c r="Q98" i="2"/>
  <c r="Q64" i="2"/>
  <c r="T48" i="2"/>
  <c r="S70" i="2"/>
  <c r="R80" i="2"/>
  <c r="Q61" i="2"/>
  <c r="Q49" i="2"/>
  <c r="Q47" i="2"/>
  <c r="Q112" i="2"/>
  <c r="T69" i="2"/>
  <c r="R63" i="2"/>
  <c r="S64" i="2"/>
  <c r="S54" i="2"/>
  <c r="Q66" i="2"/>
  <c r="Q45" i="2"/>
  <c r="Q103" i="2"/>
  <c r="Q74" i="2"/>
  <c r="R56" i="2"/>
  <c r="T96" i="2"/>
  <c r="R61" i="2"/>
  <c r="T53" i="2"/>
  <c r="Q39" i="2"/>
  <c r="Q41" i="2"/>
  <c r="Q86" i="2"/>
  <c r="Q71" i="2"/>
  <c r="Q78" i="2"/>
  <c r="T49" i="2"/>
  <c r="R87" i="2"/>
  <c r="S63" i="2"/>
  <c r="T75" i="2"/>
  <c r="T56" i="2"/>
  <c r="T109" i="2"/>
  <c r="R100" i="2"/>
  <c r="S108" i="2"/>
  <c r="T43" i="2"/>
  <c r="R48" i="2"/>
  <c r="R67" i="2"/>
  <c r="T100" i="2"/>
  <c r="T94" i="2"/>
  <c r="T90" i="2"/>
  <c r="R110" i="2"/>
  <c r="S102" i="2"/>
  <c r="T79" i="2"/>
  <c r="R95" i="2"/>
  <c r="S88" i="2"/>
  <c r="R71" i="2"/>
  <c r="S82" i="2"/>
  <c r="S43" i="2"/>
  <c r="S66" i="2"/>
  <c r="R107" i="2"/>
  <c r="S83" i="2"/>
  <c r="R39" i="2"/>
  <c r="R94" i="2"/>
  <c r="R88" i="2"/>
  <c r="R74" i="2"/>
  <c r="S49" i="2"/>
  <c r="S62" i="2"/>
  <c r="T71" i="2"/>
  <c r="S100" i="2"/>
  <c r="R76" i="2"/>
  <c r="R78" i="2"/>
  <c r="T58" i="2"/>
  <c r="R43" i="2"/>
  <c r="R109" i="2"/>
  <c r="R79" i="2"/>
  <c r="S106" i="2"/>
  <c r="T65" i="2"/>
  <c r="S72" i="2"/>
  <c r="T110" i="2"/>
  <c r="R105" i="2"/>
  <c r="S109" i="2"/>
  <c r="R54" i="2"/>
  <c r="T84" i="2"/>
  <c r="T108" i="2"/>
  <c r="T74" i="2"/>
  <c r="T72" i="2"/>
  <c r="T54" i="2"/>
  <c r="S113" i="2"/>
  <c r="T87" i="2"/>
  <c r="T88" i="2"/>
  <c r="T57" i="2"/>
  <c r="R103" i="2"/>
  <c r="R98" i="2"/>
  <c r="R70" i="2"/>
  <c r="R57" i="2"/>
  <c r="R93" i="2"/>
  <c r="R64" i="2"/>
  <c r="R77" i="2"/>
  <c r="S103" i="2"/>
  <c r="R106" i="2"/>
  <c r="T64" i="2"/>
  <c r="S69" i="2"/>
  <c r="R46" i="2"/>
  <c r="T68" i="2"/>
  <c r="S48" i="2"/>
  <c r="T89" i="2"/>
  <c r="S58" i="2"/>
  <c r="S99" i="2"/>
  <c r="T42" i="2"/>
  <c r="T39" i="2"/>
  <c r="R81" i="2"/>
  <c r="T52" i="2"/>
  <c r="S90" i="2"/>
  <c r="R111" i="2"/>
  <c r="T82" i="2"/>
  <c r="S73" i="2"/>
  <c r="R82" i="2"/>
  <c r="S81" i="2"/>
  <c r="T62" i="2"/>
  <c r="T46" i="2"/>
  <c r="R68" i="2"/>
  <c r="T80" i="2"/>
  <c r="S71" i="2"/>
  <c r="T91" i="2"/>
  <c r="S68" i="2"/>
  <c r="T102" i="2"/>
  <c r="R101" i="2"/>
  <c r="T67" i="2"/>
  <c r="T103" i="2"/>
  <c r="T93" i="2"/>
  <c r="S47" i="2"/>
  <c r="T104" i="2"/>
  <c r="R113" i="2"/>
  <c r="R102" i="2"/>
  <c r="S96" i="2"/>
  <c r="T81" i="2"/>
  <c r="R42" i="2"/>
  <c r="T61" i="2"/>
  <c r="S85" i="2"/>
  <c r="R112" i="2"/>
  <c r="S78" i="2"/>
  <c r="T60" i="2"/>
  <c r="S44" i="2"/>
  <c r="S75" i="2"/>
  <c r="T76" i="2"/>
  <c r="S51" i="2"/>
  <c r="S57" i="2"/>
  <c r="R75" i="2"/>
  <c r="S101" i="2"/>
  <c r="T113" i="2"/>
  <c r="S74" i="2"/>
  <c r="R89" i="2"/>
  <c r="R45" i="2"/>
  <c r="R47" i="2"/>
  <c r="S67" i="2"/>
  <c r="S91" i="2"/>
  <c r="S50" i="2"/>
  <c r="R92" i="2"/>
  <c r="S92" i="2"/>
  <c r="S42" i="2"/>
  <c r="R97" i="2"/>
  <c r="R86" i="2"/>
  <c r="S39" i="2"/>
  <c r="S61" i="2"/>
  <c r="S52" i="2"/>
  <c r="R59" i="2"/>
  <c r="T107" i="2"/>
  <c r="S65" i="2"/>
  <c r="R44" i="2"/>
  <c r="T40" i="2"/>
  <c r="R96" i="2"/>
  <c r="R60" i="2"/>
  <c r="R84" i="2"/>
  <c r="T63" i="2"/>
  <c r="R83" i="2"/>
  <c r="T97" i="2"/>
  <c r="S94" i="2"/>
  <c r="S87" i="2"/>
  <c r="S77" i="2"/>
  <c r="S107" i="2"/>
  <c r="T44" i="2"/>
  <c r="T99" i="2"/>
  <c r="T98" i="2"/>
  <c r="T106" i="2"/>
  <c r="T66" i="2"/>
  <c r="R90" i="2"/>
  <c r="T59" i="2"/>
  <c r="S89" i="2"/>
  <c r="T73" i="2"/>
  <c r="S55" i="2"/>
  <c r="R40" i="2"/>
  <c r="R62" i="2"/>
  <c r="S110" i="2"/>
  <c r="S45" i="2"/>
  <c r="R99" i="2"/>
  <c r="T41" i="2"/>
  <c r="S86" i="2"/>
  <c r="T112" i="2"/>
  <c r="T105" i="2"/>
  <c r="S76" i="2"/>
  <c r="T55" i="2"/>
  <c r="R55" i="2"/>
  <c r="T86" i="2"/>
  <c r="S93" i="2"/>
  <c r="S59" i="2"/>
  <c r="S46" i="2"/>
  <c r="S97" i="2"/>
  <c r="T83" i="2"/>
  <c r="R50" i="2"/>
  <c r="T70" i="2"/>
  <c r="S80" i="2"/>
  <c r="S56" i="2"/>
  <c r="T50" i="2"/>
  <c r="R41" i="2"/>
  <c r="R73" i="2"/>
  <c r="R72" i="2"/>
  <c r="T111" i="2"/>
  <c r="S40" i="2"/>
  <c r="T95" i="2"/>
  <c r="R52" i="2"/>
  <c r="T47" i="2"/>
  <c r="T92" i="2"/>
  <c r="R85" i="2"/>
  <c r="S41" i="2"/>
  <c r="S53" i="2"/>
  <c r="R69" i="2"/>
  <c r="S104" i="2"/>
  <c r="S112" i="2"/>
  <c r="T85" i="2"/>
  <c r="S105" i="2"/>
  <c r="S111" i="2"/>
  <c r="T101" i="2"/>
  <c r="T78" i="2"/>
  <c r="T45" i="2"/>
  <c r="R66" i="2"/>
  <c r="R91" i="2"/>
  <c r="K117" i="2"/>
  <c r="J117" i="2"/>
  <c r="M117" i="2"/>
  <c r="N117" i="2"/>
  <c r="L117" i="2"/>
  <c r="V116" i="2" l="1"/>
  <c r="R117" i="2"/>
  <c r="P117" i="2"/>
  <c r="T117" i="2"/>
  <c r="Q117" i="2"/>
  <c r="S117" i="2"/>
  <c r="X115" i="2"/>
  <c r="Y115" i="2"/>
  <c r="F118" i="2"/>
  <c r="G118" i="2"/>
  <c r="E118" i="2"/>
  <c r="H118" i="2"/>
  <c r="V64" i="2"/>
  <c r="Y64" i="2" s="1"/>
  <c r="V98" i="2"/>
  <c r="X98" i="2" s="1"/>
  <c r="V106" i="2"/>
  <c r="Y106" i="2" s="1"/>
  <c r="V88" i="2"/>
  <c r="Y88" i="2" s="1"/>
  <c r="V67" i="2"/>
  <c r="Y67" i="2" s="1"/>
  <c r="V61" i="2"/>
  <c r="X61" i="2" s="1"/>
  <c r="V76" i="2"/>
  <c r="Y76" i="2" s="1"/>
  <c r="V54" i="2"/>
  <c r="X54" i="2" s="1"/>
  <c r="V60" i="2"/>
  <c r="Y60" i="2" s="1"/>
  <c r="V86" i="2"/>
  <c r="V73" i="2"/>
  <c r="V43" i="2"/>
  <c r="V99" i="2"/>
  <c r="V71" i="2"/>
  <c r="V62" i="2"/>
  <c r="V102" i="2"/>
  <c r="V82" i="2"/>
  <c r="V96" i="2"/>
  <c r="V66" i="2"/>
  <c r="V104" i="2"/>
  <c r="V51" i="2"/>
  <c r="V68" i="2"/>
  <c r="V63" i="2"/>
  <c r="V72" i="2"/>
  <c r="V47" i="2"/>
  <c r="V107" i="2"/>
  <c r="V50" i="2"/>
  <c r="V97" i="2"/>
  <c r="V44" i="2"/>
  <c r="V111" i="2"/>
  <c r="V90" i="2"/>
  <c r="V40" i="2"/>
  <c r="V80" i="2"/>
  <c r="V112" i="2"/>
  <c r="V113" i="2"/>
  <c r="V70" i="2"/>
  <c r="V101" i="2"/>
  <c r="V57" i="2"/>
  <c r="V94" i="2"/>
  <c r="V91" i="2"/>
  <c r="V89" i="2"/>
  <c r="V103" i="2"/>
  <c r="V92" i="2"/>
  <c r="V84" i="2"/>
  <c r="V105" i="2"/>
  <c r="V55" i="2"/>
  <c r="V69" i="2"/>
  <c r="V52" i="2"/>
  <c r="V39" i="2"/>
  <c r="V81" i="2"/>
  <c r="V100" i="2"/>
  <c r="V59" i="2"/>
  <c r="V58" i="2"/>
  <c r="V109" i="2"/>
  <c r="V87" i="2"/>
  <c r="V95" i="2"/>
  <c r="V79" i="2"/>
  <c r="V77" i="2"/>
  <c r="V78" i="2"/>
  <c r="V108" i="2"/>
  <c r="V83" i="2"/>
  <c r="V93" i="2"/>
  <c r="V42" i="2"/>
  <c r="V53" i="2"/>
  <c r="V56" i="2"/>
  <c r="V41" i="2"/>
  <c r="V65" i="2"/>
  <c r="V85" i="2"/>
  <c r="V75" i="2"/>
  <c r="V110" i="2"/>
  <c r="V74" i="2"/>
  <c r="J45" i="2"/>
  <c r="M118" i="2"/>
  <c r="K118" i="2"/>
  <c r="N118" i="2"/>
  <c r="L118" i="2"/>
  <c r="J118" i="2"/>
  <c r="X116" i="2" l="1"/>
  <c r="Y116" i="2"/>
  <c r="P118" i="2"/>
  <c r="T118" i="2"/>
  <c r="Q118" i="2"/>
  <c r="S118" i="2"/>
  <c r="R118" i="2"/>
  <c r="F119" i="2"/>
  <c r="G119" i="2"/>
  <c r="E119" i="2"/>
  <c r="H119" i="2"/>
  <c r="V117" i="2"/>
  <c r="X64" i="2"/>
  <c r="Y98" i="2"/>
  <c r="X60" i="2"/>
  <c r="X88" i="2"/>
  <c r="X76" i="2"/>
  <c r="Y54" i="2"/>
  <c r="Y61" i="2"/>
  <c r="X106" i="2"/>
  <c r="X67" i="2"/>
  <c r="P45" i="2"/>
  <c r="X52" i="2"/>
  <c r="Y52" i="2"/>
  <c r="X94" i="2"/>
  <c r="Y94" i="2"/>
  <c r="X70" i="2"/>
  <c r="Y70" i="2"/>
  <c r="Y80" i="2"/>
  <c r="X80" i="2"/>
  <c r="Y66" i="2"/>
  <c r="X66" i="2"/>
  <c r="Y102" i="2"/>
  <c r="X102" i="2"/>
  <c r="X83" i="2"/>
  <c r="Y83" i="2"/>
  <c r="Y78" i="2"/>
  <c r="X78" i="2"/>
  <c r="Y105" i="2"/>
  <c r="X105" i="2"/>
  <c r="Y90" i="2"/>
  <c r="X90" i="2"/>
  <c r="Y111" i="2"/>
  <c r="X111" i="2"/>
  <c r="X44" i="2"/>
  <c r="Y44" i="2"/>
  <c r="Y43" i="2"/>
  <c r="X43" i="2"/>
  <c r="Y100" i="2"/>
  <c r="X100" i="2"/>
  <c r="Y81" i="2"/>
  <c r="X81" i="2"/>
  <c r="Y89" i="2"/>
  <c r="X89" i="2"/>
  <c r="Y72" i="2"/>
  <c r="X72" i="2"/>
  <c r="X68" i="2"/>
  <c r="Y68" i="2"/>
  <c r="Y82" i="2"/>
  <c r="X82" i="2"/>
  <c r="X73" i="2"/>
  <c r="Y73" i="2"/>
  <c r="Y75" i="2"/>
  <c r="X75" i="2"/>
  <c r="Y41" i="2"/>
  <c r="X41" i="2"/>
  <c r="X53" i="2"/>
  <c r="Y53" i="2"/>
  <c r="X93" i="2"/>
  <c r="Y93" i="2"/>
  <c r="Y84" i="2"/>
  <c r="X84" i="2"/>
  <c r="X112" i="2"/>
  <c r="Y112" i="2"/>
  <c r="Y86" i="2"/>
  <c r="X86" i="2"/>
  <c r="X56" i="2"/>
  <c r="Y56" i="2"/>
  <c r="Y113" i="2"/>
  <c r="X113" i="2"/>
  <c r="Y50" i="2"/>
  <c r="X50" i="2"/>
  <c r="Y96" i="2"/>
  <c r="X96" i="2"/>
  <c r="Y42" i="2"/>
  <c r="X42" i="2"/>
  <c r="X39" i="2"/>
  <c r="Y39" i="2"/>
  <c r="Y101" i="2"/>
  <c r="X101" i="2"/>
  <c r="Y107" i="2"/>
  <c r="X107" i="2"/>
  <c r="Y99" i="2"/>
  <c r="X99" i="2"/>
  <c r="Y65" i="2"/>
  <c r="X65" i="2"/>
  <c r="Y59" i="2"/>
  <c r="X59" i="2"/>
  <c r="X40" i="2"/>
  <c r="Y40" i="2"/>
  <c r="Y110" i="2"/>
  <c r="X110" i="2"/>
  <c r="Y77" i="2"/>
  <c r="X77" i="2"/>
  <c r="Y95" i="2"/>
  <c r="X95" i="2"/>
  <c r="Y92" i="2"/>
  <c r="X92" i="2"/>
  <c r="Y91" i="2"/>
  <c r="X91" i="2"/>
  <c r="Y51" i="2"/>
  <c r="X51" i="2"/>
  <c r="X71" i="2"/>
  <c r="Y71" i="2"/>
  <c r="X87" i="2"/>
  <c r="Y87" i="2"/>
  <c r="X104" i="2"/>
  <c r="Y104" i="2"/>
  <c r="X79" i="2"/>
  <c r="Y79" i="2"/>
  <c r="Y109" i="2"/>
  <c r="X109" i="2"/>
  <c r="X58" i="2"/>
  <c r="Y58" i="2"/>
  <c r="Y69" i="2"/>
  <c r="X69" i="2"/>
  <c r="Y74" i="2"/>
  <c r="X74" i="2"/>
  <c r="Y85" i="2"/>
  <c r="X85" i="2"/>
  <c r="X108" i="2"/>
  <c r="Y108" i="2"/>
  <c r="Y55" i="2"/>
  <c r="X55" i="2"/>
  <c r="Y103" i="2"/>
  <c r="X103" i="2"/>
  <c r="X57" i="2"/>
  <c r="Y57" i="2"/>
  <c r="Y97" i="2"/>
  <c r="X97" i="2"/>
  <c r="X47" i="2"/>
  <c r="Y47" i="2"/>
  <c r="Y63" i="2"/>
  <c r="X63" i="2"/>
  <c r="X62" i="2"/>
  <c r="Y62" i="2"/>
  <c r="N119" i="2"/>
  <c r="J46" i="2"/>
  <c r="K119" i="2"/>
  <c r="J119" i="2"/>
  <c r="L119" i="2"/>
  <c r="M119" i="2"/>
  <c r="S119" i="2" l="1"/>
  <c r="R119" i="2"/>
  <c r="T119" i="2"/>
  <c r="Q119" i="2"/>
  <c r="P119" i="2"/>
  <c r="E120" i="2"/>
  <c r="G120" i="2"/>
  <c r="F120" i="2"/>
  <c r="H120" i="2"/>
  <c r="X117" i="2"/>
  <c r="Y117" i="2"/>
  <c r="V118" i="2"/>
  <c r="P46" i="2"/>
  <c r="V46" i="2" s="1"/>
  <c r="V45" i="2"/>
  <c r="J48" i="2"/>
  <c r="N120" i="2"/>
  <c r="K120" i="2"/>
  <c r="M120" i="2"/>
  <c r="L120" i="2"/>
  <c r="J120" i="2"/>
  <c r="V119" i="2" l="1"/>
  <c r="Y119" i="2" s="1"/>
  <c r="Q120" i="2"/>
  <c r="T120" i="2"/>
  <c r="R120" i="2"/>
  <c r="P120" i="2"/>
  <c r="S120" i="2"/>
  <c r="E121" i="2"/>
  <c r="G121" i="2"/>
  <c r="H121" i="2"/>
  <c r="F121" i="2"/>
  <c r="X118" i="2"/>
  <c r="Y118" i="2"/>
  <c r="P48" i="2"/>
  <c r="X45" i="2"/>
  <c r="Y45" i="2"/>
  <c r="X46" i="2"/>
  <c r="Y46" i="2"/>
  <c r="L121" i="2"/>
  <c r="J49" i="2"/>
  <c r="K121" i="2"/>
  <c r="J121" i="2"/>
  <c r="M121" i="2"/>
  <c r="N121" i="2"/>
  <c r="X119" i="2" l="1"/>
  <c r="P121" i="2"/>
  <c r="Q121" i="2"/>
  <c r="R121" i="2"/>
  <c r="T121" i="2"/>
  <c r="S121" i="2"/>
  <c r="V120" i="2"/>
  <c r="G122" i="2"/>
  <c r="H122" i="2"/>
  <c r="E122" i="2"/>
  <c r="F122" i="2"/>
  <c r="P49" i="2"/>
  <c r="V49" i="2" s="1"/>
  <c r="V48" i="2"/>
  <c r="Y48" i="2" s="1"/>
  <c r="N122" i="2"/>
  <c r="K122" i="2"/>
  <c r="M122" i="2"/>
  <c r="J122" i="2"/>
  <c r="L122" i="2"/>
  <c r="T122" i="2" l="1"/>
  <c r="S122" i="2"/>
  <c r="R122" i="2"/>
  <c r="P122" i="2"/>
  <c r="Q122" i="2"/>
  <c r="X120" i="2"/>
  <c r="Y120" i="2"/>
  <c r="E123" i="2"/>
  <c r="F123" i="2"/>
  <c r="H123" i="2"/>
  <c r="G123" i="2"/>
  <c r="V121" i="2"/>
  <c r="X48" i="2"/>
  <c r="Y49" i="2"/>
  <c r="X49" i="2"/>
  <c r="M123" i="2"/>
  <c r="L123" i="2"/>
  <c r="N123" i="2"/>
  <c r="K123" i="2"/>
  <c r="J123" i="2"/>
  <c r="P123" i="2" l="1"/>
  <c r="T123" i="2"/>
  <c r="R123" i="2"/>
  <c r="Q123" i="2"/>
  <c r="S123" i="2"/>
  <c r="V122" i="2"/>
  <c r="Y121" i="2"/>
  <c r="X121" i="2"/>
  <c r="E124" i="2"/>
  <c r="F124" i="2"/>
  <c r="H124" i="2"/>
  <c r="G124" i="2"/>
  <c r="M124" i="2"/>
  <c r="N124" i="2"/>
  <c r="K124" i="2"/>
  <c r="J124" i="2"/>
  <c r="L124" i="2"/>
  <c r="R124" i="2" l="1"/>
  <c r="T124" i="2"/>
  <c r="Q124" i="2"/>
  <c r="S124" i="2"/>
  <c r="P124" i="2"/>
  <c r="X122" i="2"/>
  <c r="Y122" i="2"/>
  <c r="H125" i="2"/>
  <c r="F125" i="2"/>
  <c r="E125" i="2"/>
  <c r="G125" i="2"/>
  <c r="V123" i="2"/>
  <c r="K125" i="2"/>
  <c r="L125" i="2"/>
  <c r="M125" i="2"/>
  <c r="J125" i="2"/>
  <c r="N125" i="2"/>
  <c r="S125" i="2" l="1"/>
  <c r="Q125" i="2"/>
  <c r="R125" i="2"/>
  <c r="P125" i="2"/>
  <c r="T125" i="2"/>
  <c r="X123" i="2"/>
  <c r="Y123" i="2"/>
  <c r="V124" i="2"/>
  <c r="F126" i="2"/>
  <c r="G126" i="2"/>
  <c r="E126" i="2"/>
  <c r="H126" i="2"/>
  <c r="J126" i="2"/>
  <c r="L126" i="2"/>
  <c r="K126" i="2"/>
  <c r="M126" i="2"/>
  <c r="N126" i="2"/>
  <c r="T126" i="2" l="1"/>
  <c r="R126" i="2"/>
  <c r="Q126" i="2"/>
  <c r="S126" i="2"/>
  <c r="P126" i="2"/>
  <c r="V125" i="2"/>
  <c r="F127" i="2"/>
  <c r="G127" i="2"/>
  <c r="E127" i="2"/>
  <c r="H127" i="2"/>
  <c r="X124" i="2"/>
  <c r="Y124" i="2"/>
  <c r="J127" i="2"/>
  <c r="M127" i="2"/>
  <c r="N127" i="2"/>
  <c r="L127" i="2"/>
  <c r="K127" i="2"/>
  <c r="V126" i="2" l="1"/>
  <c r="X126" i="2" s="1"/>
  <c r="T127" i="2"/>
  <c r="S127" i="2"/>
  <c r="Q127" i="2"/>
  <c r="P127" i="2"/>
  <c r="R127" i="2"/>
  <c r="X125" i="2"/>
  <c r="Y125" i="2"/>
  <c r="E128" i="2"/>
  <c r="G128" i="2"/>
  <c r="F128" i="2"/>
  <c r="H128" i="2"/>
  <c r="K128" i="2"/>
  <c r="L128" i="2"/>
  <c r="N128" i="2"/>
  <c r="M128" i="2"/>
  <c r="J128" i="2"/>
  <c r="Y126" i="2" l="1"/>
  <c r="T128" i="2"/>
  <c r="P128" i="2"/>
  <c r="R128" i="2"/>
  <c r="Q128" i="2"/>
  <c r="S128" i="2"/>
  <c r="E129" i="2"/>
  <c r="G129" i="2"/>
  <c r="H129" i="2"/>
  <c r="F129" i="2"/>
  <c r="V127" i="2"/>
  <c r="L129" i="2"/>
  <c r="N129" i="2"/>
  <c r="M129" i="2"/>
  <c r="J129" i="2"/>
  <c r="K129" i="2"/>
  <c r="Q129" i="2" l="1"/>
  <c r="P129" i="2"/>
  <c r="R129" i="2"/>
  <c r="T129" i="2"/>
  <c r="S129" i="2"/>
  <c r="V128" i="2"/>
  <c r="Y127" i="2"/>
  <c r="X127" i="2"/>
  <c r="G130" i="2"/>
  <c r="H130" i="2"/>
  <c r="E130" i="2"/>
  <c r="F130" i="2"/>
  <c r="K130" i="2"/>
  <c r="L130" i="2"/>
  <c r="M130" i="2"/>
  <c r="N130" i="2"/>
  <c r="J130" i="2"/>
  <c r="P130" i="2" l="1"/>
  <c r="R130" i="2"/>
  <c r="Q130" i="2"/>
  <c r="T130" i="2"/>
  <c r="S130" i="2"/>
  <c r="E131" i="2"/>
  <c r="F131" i="2"/>
  <c r="H131" i="2"/>
  <c r="G131" i="2"/>
  <c r="X128" i="2"/>
  <c r="Y128" i="2"/>
  <c r="V129" i="2"/>
  <c r="J131" i="2"/>
  <c r="K131" i="2"/>
  <c r="N131" i="2"/>
  <c r="M131" i="2"/>
  <c r="L131" i="2"/>
  <c r="Q131" i="2" l="1"/>
  <c r="S131" i="2"/>
  <c r="P131" i="2"/>
  <c r="T131" i="2"/>
  <c r="R131" i="2"/>
  <c r="Y129" i="2"/>
  <c r="X129" i="2"/>
  <c r="E132" i="2"/>
  <c r="F132" i="2"/>
  <c r="H132" i="2"/>
  <c r="G132" i="2"/>
  <c r="V130" i="2"/>
  <c r="K132" i="2"/>
  <c r="N132" i="2"/>
  <c r="L132" i="2"/>
  <c r="M132" i="2"/>
  <c r="J132" i="2"/>
  <c r="P132" i="2" l="1"/>
  <c r="S132" i="2"/>
  <c r="T132" i="2"/>
  <c r="R132" i="2"/>
  <c r="Q132" i="2"/>
  <c r="X130" i="2"/>
  <c r="Y130" i="2"/>
  <c r="V131" i="2"/>
  <c r="H133" i="2"/>
  <c r="F133" i="2"/>
  <c r="E133" i="2"/>
  <c r="G133" i="2"/>
  <c r="K133" i="2"/>
  <c r="M133" i="2"/>
  <c r="N133" i="2"/>
  <c r="J133" i="2"/>
  <c r="L133" i="2"/>
  <c r="S133" i="2" l="1"/>
  <c r="R133" i="2"/>
  <c r="T133" i="2"/>
  <c r="Q133" i="2"/>
  <c r="P133" i="2"/>
  <c r="F134" i="2"/>
  <c r="G134" i="2"/>
  <c r="H134" i="2"/>
  <c r="E134" i="2"/>
  <c r="X131" i="2"/>
  <c r="Y131" i="2"/>
  <c r="V132" i="2"/>
  <c r="K134" i="2"/>
  <c r="N134" i="2"/>
  <c r="L134" i="2"/>
  <c r="M134" i="2"/>
  <c r="J134" i="2"/>
  <c r="V133" i="2" l="1"/>
  <c r="X133" i="2" s="1"/>
  <c r="P134" i="2"/>
  <c r="R134" i="2"/>
  <c r="Q134" i="2"/>
  <c r="S134" i="2"/>
  <c r="T134" i="2"/>
  <c r="X132" i="2"/>
  <c r="Y132" i="2"/>
  <c r="F135" i="2"/>
  <c r="G135" i="2"/>
  <c r="E135" i="2"/>
  <c r="H135" i="2"/>
  <c r="J135" i="2"/>
  <c r="N135" i="2"/>
  <c r="L135" i="2"/>
  <c r="K135" i="2"/>
  <c r="M135" i="2"/>
  <c r="Y133" i="2" l="1"/>
  <c r="V134" i="2"/>
  <c r="Y134" i="2" s="1"/>
  <c r="T135" i="2"/>
  <c r="Q135" i="2"/>
  <c r="P135" i="2"/>
  <c r="R135" i="2"/>
  <c r="S135" i="2"/>
  <c r="E136" i="2"/>
  <c r="G136" i="2"/>
  <c r="F136" i="2"/>
  <c r="H136" i="2"/>
  <c r="K136" i="2"/>
  <c r="N136" i="2"/>
  <c r="L136" i="2"/>
  <c r="J136" i="2"/>
  <c r="M136" i="2"/>
  <c r="X134" i="2" l="1"/>
  <c r="V135" i="2"/>
  <c r="Y135" i="2" s="1"/>
  <c r="T136" i="2"/>
  <c r="R136" i="2"/>
  <c r="S136" i="2"/>
  <c r="Q136" i="2"/>
  <c r="P136" i="2"/>
  <c r="E137" i="2"/>
  <c r="G137" i="2"/>
  <c r="H137" i="2"/>
  <c r="F137" i="2"/>
  <c r="N137" i="2"/>
  <c r="J137" i="2"/>
  <c r="M137" i="2"/>
  <c r="L137" i="2"/>
  <c r="K137" i="2"/>
  <c r="V136" i="2" l="1"/>
  <c r="Y136" i="2" s="1"/>
  <c r="X135" i="2"/>
  <c r="S137" i="2"/>
  <c r="Q137" i="2"/>
  <c r="P137" i="2"/>
  <c r="R137" i="2"/>
  <c r="T137" i="2"/>
  <c r="G138" i="2"/>
  <c r="H138" i="2"/>
  <c r="E138" i="2"/>
  <c r="F138" i="2"/>
  <c r="L138" i="2"/>
  <c r="J138" i="2"/>
  <c r="K138" i="2"/>
  <c r="M138" i="2"/>
  <c r="N138" i="2"/>
  <c r="X136" i="2" l="1"/>
  <c r="R138" i="2"/>
  <c r="P138" i="2"/>
  <c r="Q138" i="2"/>
  <c r="T138" i="2"/>
  <c r="S138" i="2"/>
  <c r="E139" i="2"/>
  <c r="F139" i="2"/>
  <c r="H139" i="2"/>
  <c r="G139" i="2"/>
  <c r="V137" i="2"/>
  <c r="L139" i="2"/>
  <c r="N139" i="2"/>
  <c r="K139" i="2"/>
  <c r="J139" i="2"/>
  <c r="M139" i="2"/>
  <c r="Q139" i="2" l="1"/>
  <c r="S139" i="2"/>
  <c r="P139" i="2"/>
  <c r="T139" i="2"/>
  <c r="R139" i="2"/>
  <c r="Y137" i="2"/>
  <c r="X137" i="2"/>
  <c r="E140" i="2"/>
  <c r="F140" i="2"/>
  <c r="H140" i="2"/>
  <c r="G140" i="2"/>
  <c r="V138" i="2"/>
  <c r="K140" i="2"/>
  <c r="L140" i="2"/>
  <c r="M140" i="2"/>
  <c r="N140" i="2"/>
  <c r="J140" i="2"/>
  <c r="Q140" i="2" l="1"/>
  <c r="S140" i="2"/>
  <c r="P140" i="2"/>
  <c r="T140" i="2"/>
  <c r="R140" i="2"/>
  <c r="Y138" i="2"/>
  <c r="X138" i="2"/>
  <c r="C32" i="2" s="1"/>
  <c r="V139" i="2"/>
  <c r="H141" i="2"/>
  <c r="F141" i="2"/>
  <c r="E141" i="2"/>
  <c r="G141" i="2"/>
  <c r="K141" i="2"/>
  <c r="J141" i="2"/>
  <c r="N141" i="2"/>
  <c r="L141" i="2"/>
  <c r="M141" i="2"/>
  <c r="V140" i="2" l="1"/>
  <c r="X140" i="2" s="1"/>
  <c r="S141" i="2"/>
  <c r="Q141" i="2"/>
  <c r="R141" i="2"/>
  <c r="P141" i="2"/>
  <c r="T141" i="2"/>
  <c r="F142" i="2"/>
  <c r="G142" i="2"/>
  <c r="E142" i="2"/>
  <c r="H142" i="2"/>
  <c r="X139" i="2"/>
  <c r="Y139" i="2"/>
  <c r="M142" i="2"/>
  <c r="L142" i="2"/>
  <c r="N142" i="2"/>
  <c r="K142" i="2"/>
  <c r="J142" i="2"/>
  <c r="Y140" i="2" l="1"/>
  <c r="V141" i="2"/>
  <c r="Y141" i="2" s="1"/>
  <c r="S142" i="2"/>
  <c r="P142" i="2"/>
  <c r="T142" i="2"/>
  <c r="Q142" i="2"/>
  <c r="R142" i="2"/>
  <c r="F143" i="2"/>
  <c r="G143" i="2"/>
  <c r="E143" i="2"/>
  <c r="H143" i="2"/>
  <c r="J143" i="2"/>
  <c r="M143" i="2"/>
  <c r="N143" i="2"/>
  <c r="L143" i="2"/>
  <c r="K143" i="2"/>
  <c r="X141" i="2" l="1"/>
  <c r="Q143" i="2"/>
  <c r="T143" i="2"/>
  <c r="P143" i="2"/>
  <c r="R143" i="2"/>
  <c r="S143" i="2"/>
  <c r="E144" i="2"/>
  <c r="G144" i="2"/>
  <c r="F144" i="2"/>
  <c r="H144" i="2"/>
  <c r="V142" i="2"/>
  <c r="K144" i="2"/>
  <c r="N144" i="2"/>
  <c r="L144" i="2"/>
  <c r="M144" i="2"/>
  <c r="J144" i="2"/>
  <c r="S144" i="2" l="1"/>
  <c r="Q144" i="2"/>
  <c r="T144" i="2"/>
  <c r="P144" i="2"/>
  <c r="R144" i="2"/>
  <c r="E145" i="2"/>
  <c r="G145" i="2"/>
  <c r="H145" i="2"/>
  <c r="F145" i="2"/>
  <c r="X142" i="2"/>
  <c r="Y142" i="2"/>
  <c r="V143" i="2"/>
  <c r="J145" i="2"/>
  <c r="L145" i="2"/>
  <c r="N145" i="2"/>
  <c r="M145" i="2"/>
  <c r="K145" i="2"/>
  <c r="Q145" i="2" l="1"/>
  <c r="S145" i="2"/>
  <c r="P145" i="2"/>
  <c r="R145" i="2"/>
  <c r="T145" i="2"/>
  <c r="Y143" i="2"/>
  <c r="X143" i="2"/>
  <c r="V144" i="2"/>
  <c r="G146" i="2"/>
  <c r="H146" i="2"/>
  <c r="E146" i="2"/>
  <c r="F146" i="2"/>
  <c r="J146" i="2"/>
  <c r="N146" i="2"/>
  <c r="M146" i="2"/>
  <c r="L146" i="2"/>
  <c r="K146" i="2"/>
  <c r="Q146" i="2" l="1"/>
  <c r="R146" i="2"/>
  <c r="P146" i="2"/>
  <c r="T146" i="2"/>
  <c r="S146" i="2"/>
  <c r="V145" i="2"/>
  <c r="E147" i="2"/>
  <c r="F147" i="2"/>
  <c r="H147" i="2"/>
  <c r="G147" i="2"/>
  <c r="X144" i="2"/>
  <c r="Y144" i="2"/>
  <c r="J147" i="2"/>
  <c r="M147" i="2"/>
  <c r="K147" i="2"/>
  <c r="L147" i="2"/>
  <c r="N147" i="2"/>
  <c r="P147" i="2" l="1"/>
  <c r="S147" i="2"/>
  <c r="T147" i="2"/>
  <c r="R147" i="2"/>
  <c r="Q147" i="2"/>
  <c r="E148" i="2"/>
  <c r="F148" i="2"/>
  <c r="H148" i="2"/>
  <c r="G148" i="2"/>
  <c r="Y145" i="2"/>
  <c r="X145" i="2"/>
  <c r="V146" i="2"/>
  <c r="K148" i="2"/>
  <c r="N148" i="2"/>
  <c r="M148" i="2"/>
  <c r="L148" i="2"/>
  <c r="J148" i="2"/>
  <c r="Q148" i="2" l="1"/>
  <c r="S148" i="2"/>
  <c r="P148" i="2"/>
  <c r="T148" i="2"/>
  <c r="R148" i="2"/>
  <c r="H149" i="2"/>
  <c r="F149" i="2"/>
  <c r="E149" i="2"/>
  <c r="G149" i="2"/>
  <c r="X146" i="2"/>
  <c r="Y146" i="2"/>
  <c r="V147" i="2"/>
  <c r="K149" i="2"/>
  <c r="N149" i="2"/>
  <c r="L149" i="2"/>
  <c r="M149" i="2"/>
  <c r="J149" i="2"/>
  <c r="P149" i="2" l="1"/>
  <c r="T149" i="2"/>
  <c r="S149" i="2"/>
  <c r="R149" i="2"/>
  <c r="Q149" i="2"/>
  <c r="X147" i="2"/>
  <c r="Y147" i="2"/>
  <c r="V148" i="2"/>
  <c r="F150" i="2"/>
  <c r="G150" i="2"/>
  <c r="E150" i="2"/>
  <c r="H150" i="2"/>
  <c r="J150" i="2"/>
  <c r="M150" i="2"/>
  <c r="N150" i="2"/>
  <c r="K150" i="2"/>
  <c r="L150" i="2"/>
  <c r="T150" i="2" l="1"/>
  <c r="Q150" i="2"/>
  <c r="R150" i="2"/>
  <c r="S150" i="2"/>
  <c r="P150" i="2"/>
  <c r="F151" i="2"/>
  <c r="G151" i="2"/>
  <c r="E151" i="2"/>
  <c r="H151" i="2"/>
  <c r="Y148" i="2"/>
  <c r="X148" i="2"/>
  <c r="V149" i="2"/>
  <c r="J151" i="2"/>
  <c r="L151" i="2"/>
  <c r="K151" i="2"/>
  <c r="M151" i="2"/>
  <c r="N151" i="2"/>
  <c r="V150" i="2" l="1"/>
  <c r="X150" i="2" s="1"/>
  <c r="S151" i="2"/>
  <c r="R151" i="2"/>
  <c r="P151" i="2"/>
  <c r="T151" i="2"/>
  <c r="Q151" i="2"/>
  <c r="E152" i="2"/>
  <c r="F152" i="2"/>
  <c r="G152" i="2"/>
  <c r="H152" i="2"/>
  <c r="X149" i="2"/>
  <c r="Y149" i="2"/>
  <c r="K152" i="2"/>
  <c r="M152" i="2"/>
  <c r="N152" i="2"/>
  <c r="L152" i="2"/>
  <c r="J152" i="2"/>
  <c r="Y150" i="2" l="1"/>
  <c r="Q152" i="2"/>
  <c r="P152" i="2"/>
  <c r="T152" i="2"/>
  <c r="S152" i="2"/>
  <c r="R152" i="2"/>
  <c r="E153" i="2"/>
  <c r="G153" i="2"/>
  <c r="H153" i="2"/>
  <c r="F153" i="2"/>
  <c r="V151" i="2"/>
  <c r="N153" i="2"/>
  <c r="J153" i="2"/>
  <c r="L153" i="2"/>
  <c r="M153" i="2"/>
  <c r="K153" i="2"/>
  <c r="Q153" i="2" l="1"/>
  <c r="R153" i="2"/>
  <c r="P153" i="2"/>
  <c r="T153" i="2"/>
  <c r="S153" i="2"/>
  <c r="Y151" i="2"/>
  <c r="X151" i="2"/>
  <c r="G154" i="2"/>
  <c r="H154" i="2"/>
  <c r="F154" i="2"/>
  <c r="E154" i="2"/>
  <c r="V152" i="2"/>
  <c r="J154" i="2"/>
  <c r="N154" i="2"/>
  <c r="K154" i="2"/>
  <c r="L154" i="2"/>
  <c r="M154" i="2"/>
  <c r="P154" i="2" l="1"/>
  <c r="Q154" i="2"/>
  <c r="S154" i="2"/>
  <c r="R154" i="2"/>
  <c r="T154" i="2"/>
  <c r="X152" i="2"/>
  <c r="Y152" i="2"/>
  <c r="V153" i="2"/>
  <c r="E155" i="2"/>
  <c r="F155" i="2"/>
  <c r="G155" i="2"/>
  <c r="H155" i="2"/>
  <c r="K155" i="2"/>
  <c r="L155" i="2"/>
  <c r="M155" i="2"/>
  <c r="J155" i="2"/>
  <c r="N155" i="2"/>
  <c r="T155" i="2" l="1"/>
  <c r="P155" i="2"/>
  <c r="Q155" i="2"/>
  <c r="S155" i="2"/>
  <c r="R155" i="2"/>
  <c r="E156" i="2"/>
  <c r="F156" i="2"/>
  <c r="H156" i="2"/>
  <c r="G156" i="2"/>
  <c r="Y153" i="2"/>
  <c r="X153" i="2"/>
  <c r="V154" i="2"/>
  <c r="J156" i="2"/>
  <c r="L156" i="2"/>
  <c r="N156" i="2"/>
  <c r="K156" i="2"/>
  <c r="M156" i="2"/>
  <c r="R156" i="2" l="1"/>
  <c r="Q156" i="2"/>
  <c r="S156" i="2"/>
  <c r="P156" i="2"/>
  <c r="T156" i="2"/>
  <c r="H157" i="2"/>
  <c r="F157" i="2"/>
  <c r="G157" i="2"/>
  <c r="E157" i="2"/>
  <c r="V155" i="2"/>
  <c r="X154" i="2"/>
  <c r="Y154" i="2"/>
  <c r="J157" i="2"/>
  <c r="M157" i="2"/>
  <c r="N157" i="2"/>
  <c r="L157" i="2"/>
  <c r="K157" i="2"/>
  <c r="V156" i="2" l="1"/>
  <c r="X156" i="2" s="1"/>
  <c r="S157" i="2"/>
  <c r="R157" i="2"/>
  <c r="Q157" i="2"/>
  <c r="P157" i="2"/>
  <c r="T157" i="2"/>
  <c r="Y155" i="2"/>
  <c r="X155" i="2"/>
  <c r="F158" i="2"/>
  <c r="E158" i="2"/>
  <c r="G158" i="2"/>
  <c r="H158" i="2"/>
  <c r="J158" i="2"/>
  <c r="M158" i="2"/>
  <c r="N158" i="2"/>
  <c r="L158" i="2"/>
  <c r="K158" i="2"/>
  <c r="Y156" i="2" l="1"/>
  <c r="T158" i="2"/>
  <c r="S158" i="2"/>
  <c r="Q158" i="2"/>
  <c r="R158" i="2"/>
  <c r="P158" i="2"/>
  <c r="V157" i="2"/>
  <c r="F159" i="2"/>
  <c r="G159" i="2"/>
  <c r="E159" i="2"/>
  <c r="H159" i="2"/>
  <c r="L159" i="2"/>
  <c r="M159" i="2"/>
  <c r="N159" i="2"/>
  <c r="J159" i="2"/>
  <c r="K159" i="2"/>
  <c r="V158" i="2" l="1"/>
  <c r="Y158" i="2" s="1"/>
  <c r="T159" i="2"/>
  <c r="R159" i="2"/>
  <c r="Q159" i="2"/>
  <c r="P159" i="2"/>
  <c r="S159" i="2"/>
  <c r="X157" i="2"/>
  <c r="Y157" i="2"/>
  <c r="E160" i="2"/>
  <c r="F160" i="2"/>
  <c r="G160" i="2"/>
  <c r="H160" i="2"/>
  <c r="J160" i="2"/>
  <c r="N160" i="2"/>
  <c r="L160" i="2"/>
  <c r="M160" i="2"/>
  <c r="K160" i="2"/>
  <c r="X158" i="2" l="1"/>
  <c r="T160" i="2"/>
  <c r="S160" i="2"/>
  <c r="R160" i="2"/>
  <c r="Q160" i="2"/>
  <c r="P160" i="2"/>
  <c r="E161" i="2"/>
  <c r="G161" i="2"/>
  <c r="F161" i="2"/>
  <c r="H161" i="2"/>
  <c r="V159" i="2"/>
  <c r="N161" i="2"/>
  <c r="M161" i="2"/>
  <c r="L161" i="2"/>
  <c r="K161" i="2"/>
  <c r="J161" i="2"/>
  <c r="V160" i="2" l="1"/>
  <c r="Y160" i="2" s="1"/>
  <c r="S161" i="2"/>
  <c r="P161" i="2"/>
  <c r="Q161" i="2"/>
  <c r="T161" i="2"/>
  <c r="R161" i="2"/>
  <c r="G162" i="2"/>
  <c r="H162" i="2"/>
  <c r="F162" i="2"/>
  <c r="E162" i="2"/>
  <c r="Y159" i="2"/>
  <c r="X159" i="2"/>
  <c r="K162" i="2"/>
  <c r="L162" i="2"/>
  <c r="M162" i="2"/>
  <c r="J162" i="2"/>
  <c r="N162" i="2"/>
  <c r="X160" i="2" l="1"/>
  <c r="T162" i="2"/>
  <c r="S162" i="2"/>
  <c r="R162" i="2"/>
  <c r="Q162" i="2"/>
  <c r="P162" i="2"/>
  <c r="V161" i="2"/>
  <c r="E163" i="2"/>
  <c r="F163" i="2"/>
  <c r="G163" i="2"/>
  <c r="H163" i="2"/>
  <c r="M163" i="2"/>
  <c r="N163" i="2"/>
  <c r="K163" i="2"/>
  <c r="L163" i="2"/>
  <c r="J163" i="2"/>
  <c r="V162" i="2" l="1"/>
  <c r="Y162" i="2" s="1"/>
  <c r="T163" i="2"/>
  <c r="R163" i="2"/>
  <c r="P163" i="2"/>
  <c r="S163" i="2"/>
  <c r="Q163" i="2"/>
  <c r="Y161" i="2"/>
  <c r="X161" i="2"/>
  <c r="E164" i="2"/>
  <c r="F164" i="2"/>
  <c r="H164" i="2"/>
  <c r="G164" i="2"/>
  <c r="K164" i="2"/>
  <c r="L164" i="2"/>
  <c r="N164" i="2"/>
  <c r="M164" i="2"/>
  <c r="J164" i="2"/>
  <c r="X162" i="2" l="1"/>
  <c r="S164" i="2"/>
  <c r="P164" i="2"/>
  <c r="T164" i="2"/>
  <c r="R164" i="2"/>
  <c r="Q164" i="2"/>
  <c r="E165" i="2"/>
  <c r="F165" i="2"/>
  <c r="G165" i="2"/>
  <c r="H165" i="2"/>
  <c r="V163" i="2"/>
  <c r="L165" i="2"/>
  <c r="N165" i="2"/>
  <c r="M165" i="2"/>
  <c r="K165" i="2"/>
  <c r="J165" i="2"/>
  <c r="T165" i="2" l="1"/>
  <c r="Q165" i="2"/>
  <c r="S165" i="2"/>
  <c r="P165" i="2"/>
  <c r="R165" i="2"/>
  <c r="F166" i="2"/>
  <c r="E166" i="2"/>
  <c r="G166" i="2"/>
  <c r="H166" i="2"/>
  <c r="Y163" i="2"/>
  <c r="X163" i="2"/>
  <c r="V164" i="2"/>
  <c r="K166" i="2"/>
  <c r="N166" i="2"/>
  <c r="M166" i="2"/>
  <c r="L166" i="2"/>
  <c r="J166" i="2"/>
  <c r="R166" i="2" l="1"/>
  <c r="Q166" i="2"/>
  <c r="P166" i="2"/>
  <c r="T166" i="2"/>
  <c r="S166" i="2"/>
  <c r="X164" i="2"/>
  <c r="Y164" i="2"/>
  <c r="V165" i="2"/>
  <c r="G167" i="2"/>
  <c r="E167" i="2"/>
  <c r="F167" i="2"/>
  <c r="H167" i="2"/>
  <c r="K167" i="2"/>
  <c r="N167" i="2"/>
  <c r="M167" i="2"/>
  <c r="J167" i="2"/>
  <c r="L167" i="2"/>
  <c r="V166" i="2" l="1"/>
  <c r="X166" i="2" s="1"/>
  <c r="P167" i="2"/>
  <c r="T167" i="2"/>
  <c r="Q167" i="2"/>
  <c r="S167" i="2"/>
  <c r="R167" i="2"/>
  <c r="E168" i="2"/>
  <c r="F168" i="2"/>
  <c r="G168" i="2"/>
  <c r="H168" i="2"/>
  <c r="Y165" i="2"/>
  <c r="X165" i="2"/>
  <c r="K168" i="2"/>
  <c r="L168" i="2"/>
  <c r="N168" i="2"/>
  <c r="J168" i="2"/>
  <c r="M168" i="2"/>
  <c r="Y166" i="2" l="1"/>
  <c r="R168" i="2"/>
  <c r="P168" i="2"/>
  <c r="T168" i="2"/>
  <c r="S168" i="2"/>
  <c r="Q168" i="2"/>
  <c r="E169" i="2"/>
  <c r="G169" i="2"/>
  <c r="F169" i="2"/>
  <c r="H169" i="2"/>
  <c r="V167" i="2"/>
  <c r="J169" i="2"/>
  <c r="L169" i="2"/>
  <c r="M169" i="2"/>
  <c r="N169" i="2"/>
  <c r="K169" i="2"/>
  <c r="Q169" i="2" l="1"/>
  <c r="P169" i="2"/>
  <c r="T169" i="2"/>
  <c r="R169" i="2"/>
  <c r="S169" i="2"/>
  <c r="V168" i="2"/>
  <c r="Y167" i="2"/>
  <c r="X167" i="2"/>
  <c r="H170" i="2"/>
  <c r="E170" i="2"/>
  <c r="F170" i="2"/>
  <c r="G170" i="2"/>
  <c r="J170" i="2"/>
  <c r="N170" i="2"/>
  <c r="L170" i="2"/>
  <c r="M170" i="2"/>
  <c r="K170" i="2"/>
  <c r="P170" i="2" l="1"/>
  <c r="S170" i="2"/>
  <c r="R170" i="2"/>
  <c r="Q170" i="2"/>
  <c r="T170" i="2"/>
  <c r="X168" i="2"/>
  <c r="Y168" i="2"/>
  <c r="E171" i="2"/>
  <c r="G171" i="2"/>
  <c r="H171" i="2"/>
  <c r="F171" i="2"/>
  <c r="V169" i="2"/>
  <c r="J171" i="2"/>
  <c r="L171" i="2"/>
  <c r="M171" i="2"/>
  <c r="N171" i="2"/>
  <c r="K171" i="2"/>
  <c r="T171" i="2" l="1"/>
  <c r="Q171" i="2"/>
  <c r="R171" i="2"/>
  <c r="P171" i="2"/>
  <c r="S171" i="2"/>
  <c r="Y169" i="2"/>
  <c r="X169" i="2"/>
  <c r="F172" i="2"/>
  <c r="H172" i="2"/>
  <c r="E172" i="2"/>
  <c r="G172" i="2"/>
  <c r="V170" i="2"/>
  <c r="J172" i="2"/>
  <c r="K172" i="2"/>
  <c r="N172" i="2"/>
  <c r="M172" i="2"/>
  <c r="L172" i="2"/>
  <c r="Q172" i="2" l="1"/>
  <c r="S172" i="2"/>
  <c r="P172" i="2"/>
  <c r="R172" i="2"/>
  <c r="T172" i="2"/>
  <c r="X170" i="2"/>
  <c r="Y170" i="2"/>
  <c r="V171" i="2"/>
  <c r="G173" i="2"/>
  <c r="H173" i="2"/>
  <c r="F173" i="2"/>
  <c r="E173" i="2"/>
  <c r="K173" i="2"/>
  <c r="M173" i="2"/>
  <c r="L173" i="2"/>
  <c r="N173" i="2"/>
  <c r="J173" i="2"/>
  <c r="P173" i="2" l="1"/>
  <c r="R173" i="2"/>
  <c r="Q173" i="2"/>
  <c r="S173" i="2"/>
  <c r="T173" i="2"/>
  <c r="F174" i="2"/>
  <c r="E174" i="2"/>
  <c r="G174" i="2"/>
  <c r="H174" i="2"/>
  <c r="V172" i="2"/>
  <c r="X171" i="2"/>
  <c r="Y171" i="2"/>
  <c r="K174" i="2"/>
  <c r="L174" i="2"/>
  <c r="J174" i="2"/>
  <c r="M174" i="2"/>
  <c r="N174" i="2"/>
  <c r="P174" i="2" l="1"/>
  <c r="Q174" i="2"/>
  <c r="R174" i="2"/>
  <c r="T174" i="2"/>
  <c r="S174" i="2"/>
  <c r="Y172" i="2"/>
  <c r="X172" i="2"/>
  <c r="G175" i="2"/>
  <c r="H175" i="2"/>
  <c r="E175" i="2"/>
  <c r="F175" i="2"/>
  <c r="V173" i="2"/>
  <c r="J175" i="2"/>
  <c r="M175" i="2"/>
  <c r="L175" i="2"/>
  <c r="N175" i="2"/>
  <c r="K175" i="2"/>
  <c r="R175" i="2" l="1"/>
  <c r="P175" i="2"/>
  <c r="Q175" i="2"/>
  <c r="T175" i="2"/>
  <c r="S175" i="2"/>
  <c r="X173" i="2"/>
  <c r="Y173" i="2"/>
  <c r="E176" i="2"/>
  <c r="F176" i="2"/>
  <c r="G176" i="2"/>
  <c r="H176" i="2"/>
  <c r="V174" i="2"/>
  <c r="K176" i="2"/>
  <c r="L176" i="2"/>
  <c r="M176" i="2"/>
  <c r="J176" i="2"/>
  <c r="N176" i="2"/>
  <c r="T176" i="2" l="1"/>
  <c r="S176" i="2"/>
  <c r="R176" i="2"/>
  <c r="Q176" i="2"/>
  <c r="P176" i="2"/>
  <c r="E177" i="2"/>
  <c r="G177" i="2"/>
  <c r="F177" i="2"/>
  <c r="H177" i="2"/>
  <c r="X174" i="2"/>
  <c r="Y174" i="2"/>
  <c r="V175" i="2"/>
  <c r="K177" i="2"/>
  <c r="L177" i="2"/>
  <c r="M177" i="2"/>
  <c r="N177" i="2"/>
  <c r="J177" i="2"/>
  <c r="V176" i="2" l="1"/>
  <c r="Y176" i="2" s="1"/>
  <c r="Q177" i="2"/>
  <c r="P177" i="2"/>
  <c r="S177" i="2"/>
  <c r="T177" i="2"/>
  <c r="R177" i="2"/>
  <c r="X175" i="2"/>
  <c r="Y175" i="2"/>
  <c r="H178" i="2"/>
  <c r="E178" i="2"/>
  <c r="F178" i="2"/>
  <c r="G178" i="2"/>
  <c r="K178" i="2"/>
  <c r="N178" i="2"/>
  <c r="L178" i="2"/>
  <c r="M178" i="2"/>
  <c r="J178" i="2"/>
  <c r="X176" i="2" l="1"/>
  <c r="R178" i="2"/>
  <c r="P178" i="2"/>
  <c r="S178" i="2"/>
  <c r="Q178" i="2"/>
  <c r="T178" i="2"/>
  <c r="E179" i="2"/>
  <c r="F179" i="2"/>
  <c r="G179" i="2"/>
  <c r="H179" i="2"/>
  <c r="V177" i="2"/>
  <c r="J179" i="2"/>
  <c r="K179" i="2"/>
  <c r="M179" i="2"/>
  <c r="L179" i="2"/>
  <c r="N179" i="2"/>
  <c r="V178" i="2" l="1"/>
  <c r="Y178" i="2" s="1"/>
  <c r="T179" i="2"/>
  <c r="R179" i="2"/>
  <c r="S179" i="2"/>
  <c r="P179" i="2"/>
  <c r="Q179" i="2"/>
  <c r="X177" i="2"/>
  <c r="Y177" i="2"/>
  <c r="F180" i="2"/>
  <c r="H180" i="2"/>
  <c r="E180" i="2"/>
  <c r="G180" i="2"/>
  <c r="J180" i="2"/>
  <c r="N180" i="2"/>
  <c r="M180" i="2"/>
  <c r="K180" i="2"/>
  <c r="L180" i="2"/>
  <c r="X178" i="2" l="1"/>
  <c r="Q180" i="2"/>
  <c r="S180" i="2"/>
  <c r="P180" i="2"/>
  <c r="T180" i="2"/>
  <c r="R180" i="2"/>
  <c r="V179" i="2"/>
  <c r="E181" i="2"/>
  <c r="F181" i="2"/>
  <c r="H181" i="2"/>
  <c r="G181" i="2"/>
  <c r="N181" i="2"/>
  <c r="M181" i="2"/>
  <c r="L181" i="2"/>
  <c r="K181" i="2"/>
  <c r="J181" i="2"/>
  <c r="P181" i="2" l="1"/>
  <c r="T181" i="2"/>
  <c r="S181" i="2"/>
  <c r="R181" i="2"/>
  <c r="Q181" i="2"/>
  <c r="Y179" i="2"/>
  <c r="X179" i="2"/>
  <c r="F182" i="2"/>
  <c r="E182" i="2"/>
  <c r="G182" i="2"/>
  <c r="H182" i="2"/>
  <c r="V180" i="2"/>
  <c r="J182" i="2"/>
  <c r="M182" i="2"/>
  <c r="L182" i="2"/>
  <c r="N182" i="2"/>
  <c r="K182" i="2"/>
  <c r="P182" i="2" l="1"/>
  <c r="T182" i="2"/>
  <c r="S182" i="2"/>
  <c r="Q182" i="2"/>
  <c r="R182" i="2"/>
  <c r="Y180" i="2"/>
  <c r="X180" i="2"/>
  <c r="G183" i="2"/>
  <c r="E183" i="2"/>
  <c r="F183" i="2"/>
  <c r="H183" i="2"/>
  <c r="V181" i="2"/>
  <c r="K183" i="2"/>
  <c r="N183" i="2"/>
  <c r="M183" i="2"/>
  <c r="L183" i="2"/>
  <c r="J183" i="2"/>
  <c r="T183" i="2" l="1"/>
  <c r="Q183" i="2"/>
  <c r="R183" i="2"/>
  <c r="P183" i="2"/>
  <c r="S183" i="2"/>
  <c r="X181" i="2"/>
  <c r="Y181" i="2"/>
  <c r="F184" i="2"/>
  <c r="G184" i="2"/>
  <c r="H184" i="2"/>
  <c r="E184" i="2"/>
  <c r="V182" i="2"/>
  <c r="J184" i="2"/>
  <c r="N184" i="2"/>
  <c r="L184" i="2"/>
  <c r="M184" i="2"/>
  <c r="K184" i="2"/>
  <c r="V183" i="2" l="1"/>
  <c r="X183" i="2" s="1"/>
  <c r="Q184" i="2"/>
  <c r="R184" i="2"/>
  <c r="T184" i="2"/>
  <c r="S184" i="2"/>
  <c r="P184" i="2"/>
  <c r="X182" i="2"/>
  <c r="Y182" i="2"/>
  <c r="E185" i="2"/>
  <c r="G185" i="2"/>
  <c r="F185" i="2"/>
  <c r="H185" i="2"/>
  <c r="J185" i="2"/>
  <c r="N185" i="2"/>
  <c r="M185" i="2"/>
  <c r="K185" i="2"/>
  <c r="L185" i="2"/>
  <c r="V184" i="2" l="1"/>
  <c r="Y184" i="2" s="1"/>
  <c r="Y183" i="2"/>
  <c r="T185" i="2"/>
  <c r="P185" i="2"/>
  <c r="R185" i="2"/>
  <c r="Q185" i="2"/>
  <c r="S185" i="2"/>
  <c r="H186" i="2"/>
  <c r="F186" i="2"/>
  <c r="G186" i="2"/>
  <c r="E186" i="2"/>
  <c r="L186" i="2"/>
  <c r="K186" i="2"/>
  <c r="M186" i="2"/>
  <c r="N186" i="2"/>
  <c r="J186" i="2"/>
  <c r="X184" i="2" l="1"/>
  <c r="T186" i="2"/>
  <c r="R186" i="2"/>
  <c r="Q186" i="2"/>
  <c r="P186" i="2"/>
  <c r="S186" i="2"/>
  <c r="E187" i="2"/>
  <c r="F187" i="2"/>
  <c r="G187" i="2"/>
  <c r="H187" i="2"/>
  <c r="V185" i="2"/>
  <c r="N187" i="2"/>
  <c r="M187" i="2"/>
  <c r="L187" i="2"/>
  <c r="K187" i="2"/>
  <c r="J187" i="2"/>
  <c r="Q187" i="2" l="1"/>
  <c r="S187" i="2"/>
  <c r="P187" i="2"/>
  <c r="T187" i="2"/>
  <c r="R187" i="2"/>
  <c r="F188" i="2"/>
  <c r="G188" i="2"/>
  <c r="H188" i="2"/>
  <c r="E188" i="2"/>
  <c r="X185" i="2"/>
  <c r="Y185" i="2"/>
  <c r="V186" i="2"/>
  <c r="J188" i="2"/>
  <c r="M188" i="2"/>
  <c r="K188" i="2"/>
  <c r="L188" i="2"/>
  <c r="N188" i="2"/>
  <c r="S188" i="2" l="1"/>
  <c r="Q188" i="2"/>
  <c r="P188" i="2"/>
  <c r="R188" i="2"/>
  <c r="T188" i="2"/>
  <c r="X186" i="2"/>
  <c r="Y186" i="2"/>
  <c r="E189" i="2"/>
  <c r="F189" i="2"/>
  <c r="H189" i="2"/>
  <c r="G189" i="2"/>
  <c r="V187" i="2"/>
  <c r="K189" i="2"/>
  <c r="M189" i="2"/>
  <c r="L189" i="2"/>
  <c r="J189" i="2"/>
  <c r="N189" i="2"/>
  <c r="T189" i="2" l="1"/>
  <c r="S189" i="2"/>
  <c r="Q189" i="2"/>
  <c r="R189" i="2"/>
  <c r="P189" i="2"/>
  <c r="Y187" i="2"/>
  <c r="X187" i="2"/>
  <c r="E190" i="2"/>
  <c r="F190" i="2"/>
  <c r="G190" i="2"/>
  <c r="H190" i="2"/>
  <c r="V188" i="2"/>
  <c r="K190" i="2"/>
  <c r="M190" i="2"/>
  <c r="N190" i="2"/>
  <c r="L190" i="2"/>
  <c r="J190" i="2"/>
  <c r="V189" i="2" l="1"/>
  <c r="Y189" i="2" s="1"/>
  <c r="T190" i="2"/>
  <c r="R190" i="2"/>
  <c r="S190" i="2"/>
  <c r="Q190" i="2"/>
  <c r="P190" i="2"/>
  <c r="Y188" i="2"/>
  <c r="X188" i="2"/>
  <c r="G191" i="2"/>
  <c r="H191" i="2"/>
  <c r="E191" i="2"/>
  <c r="F191" i="2"/>
  <c r="K191" i="2"/>
  <c r="M191" i="2"/>
  <c r="L191" i="2"/>
  <c r="N191" i="2"/>
  <c r="J191" i="2"/>
  <c r="X189" i="2" l="1"/>
  <c r="V190" i="2"/>
  <c r="Y190" i="2" s="1"/>
  <c r="R191" i="2"/>
  <c r="T191" i="2"/>
  <c r="Q191" i="2"/>
  <c r="P191" i="2"/>
  <c r="S191" i="2"/>
  <c r="E192" i="2"/>
  <c r="F192" i="2"/>
  <c r="G192" i="2"/>
  <c r="H192" i="2"/>
  <c r="L192" i="2"/>
  <c r="N192" i="2"/>
  <c r="K192" i="2"/>
  <c r="J192" i="2"/>
  <c r="M192" i="2"/>
  <c r="X190" i="2" l="1"/>
  <c r="T192" i="2"/>
  <c r="R192" i="2"/>
  <c r="P192" i="2"/>
  <c r="S192" i="2"/>
  <c r="Q192" i="2"/>
  <c r="E193" i="2"/>
  <c r="F193" i="2"/>
  <c r="G193" i="2"/>
  <c r="H193" i="2"/>
  <c r="V191" i="2"/>
  <c r="J193" i="2"/>
  <c r="K193" i="2"/>
  <c r="M193" i="2"/>
  <c r="N193" i="2"/>
  <c r="L193" i="2"/>
  <c r="R193" i="2" l="1"/>
  <c r="Q193" i="2"/>
  <c r="S193" i="2"/>
  <c r="P193" i="2"/>
  <c r="T193" i="2"/>
  <c r="V192" i="2"/>
  <c r="H194" i="2"/>
  <c r="E194" i="2"/>
  <c r="F194" i="2"/>
  <c r="G194" i="2"/>
  <c r="X191" i="2"/>
  <c r="Y191" i="2"/>
  <c r="J194" i="2"/>
  <c r="M194" i="2"/>
  <c r="N194" i="2"/>
  <c r="K194" i="2"/>
  <c r="L194" i="2"/>
  <c r="T194" i="2" l="1"/>
  <c r="S194" i="2"/>
  <c r="R194" i="2"/>
  <c r="Q194" i="2"/>
  <c r="P194" i="2"/>
  <c r="V193" i="2"/>
  <c r="E195" i="2"/>
  <c r="F195" i="2"/>
  <c r="G195" i="2"/>
  <c r="H195" i="2"/>
  <c r="Y192" i="2"/>
  <c r="X192" i="2"/>
  <c r="K195" i="2"/>
  <c r="L195" i="2"/>
  <c r="M195" i="2"/>
  <c r="N195" i="2"/>
  <c r="J195" i="2"/>
  <c r="V194" i="2" l="1"/>
  <c r="Y194" i="2" s="1"/>
  <c r="T195" i="2"/>
  <c r="R195" i="2"/>
  <c r="Q195" i="2"/>
  <c r="S195" i="2"/>
  <c r="P195" i="2"/>
  <c r="F196" i="2"/>
  <c r="G196" i="2"/>
  <c r="H196" i="2"/>
  <c r="E196" i="2"/>
  <c r="X193" i="2"/>
  <c r="Y193" i="2"/>
  <c r="J196" i="2"/>
  <c r="K196" i="2"/>
  <c r="L196" i="2"/>
  <c r="N196" i="2"/>
  <c r="M196" i="2"/>
  <c r="V195" i="2" l="1"/>
  <c r="Y195" i="2" s="1"/>
  <c r="X194" i="2"/>
  <c r="S196" i="2"/>
  <c r="R196" i="2"/>
  <c r="P196" i="2"/>
  <c r="Q196" i="2"/>
  <c r="T196" i="2"/>
  <c r="E197" i="2"/>
  <c r="F197" i="2"/>
  <c r="G197" i="2"/>
  <c r="H197" i="2"/>
  <c r="M197" i="2"/>
  <c r="L197" i="2"/>
  <c r="N197" i="2"/>
  <c r="J197" i="2"/>
  <c r="K197" i="2"/>
  <c r="X195" i="2" l="1"/>
  <c r="S197" i="2"/>
  <c r="R197" i="2"/>
  <c r="Q197" i="2"/>
  <c r="T197" i="2"/>
  <c r="P197" i="2"/>
  <c r="V196" i="2"/>
  <c r="E198" i="2"/>
  <c r="F198" i="2"/>
  <c r="G198" i="2"/>
  <c r="H198" i="2"/>
  <c r="N198" i="2"/>
  <c r="L198" i="2"/>
  <c r="M198" i="2"/>
  <c r="J198" i="2"/>
  <c r="K198" i="2"/>
  <c r="V197" i="2" l="1"/>
  <c r="X197" i="2" s="1"/>
  <c r="S198" i="2"/>
  <c r="R198" i="2"/>
  <c r="Q198" i="2"/>
  <c r="T198" i="2"/>
  <c r="P198" i="2"/>
  <c r="G199" i="2"/>
  <c r="H199" i="2"/>
  <c r="E199" i="2"/>
  <c r="F199" i="2"/>
  <c r="Y196" i="2"/>
  <c r="X196" i="2"/>
  <c r="K199" i="2"/>
  <c r="L199" i="2"/>
  <c r="N199" i="2"/>
  <c r="J199" i="2"/>
  <c r="M199" i="2"/>
  <c r="Y197" i="2" l="1"/>
  <c r="V198" i="2"/>
  <c r="X198" i="2" s="1"/>
  <c r="S199" i="2"/>
  <c r="R199" i="2"/>
  <c r="Q199" i="2"/>
  <c r="P199" i="2"/>
  <c r="T199" i="2"/>
  <c r="E200" i="2"/>
  <c r="G200" i="2"/>
  <c r="F200" i="2"/>
  <c r="H200" i="2"/>
  <c r="M200" i="2"/>
  <c r="J200" i="2"/>
  <c r="K200" i="2"/>
  <c r="L200" i="2"/>
  <c r="N200" i="2"/>
  <c r="Y198" i="2" l="1"/>
  <c r="R200" i="2"/>
  <c r="T200" i="2"/>
  <c r="S200" i="2"/>
  <c r="Q200" i="2"/>
  <c r="P200" i="2"/>
  <c r="V199" i="2"/>
  <c r="E201" i="2"/>
  <c r="F201" i="2"/>
  <c r="G201" i="2"/>
  <c r="H201" i="2"/>
  <c r="N201" i="2"/>
  <c r="M201" i="2"/>
  <c r="J201" i="2"/>
  <c r="L201" i="2"/>
  <c r="K201" i="2"/>
  <c r="V200" i="2" l="1"/>
  <c r="Y200" i="2" s="1"/>
  <c r="Q201" i="2"/>
  <c r="P201" i="2"/>
  <c r="T201" i="2"/>
  <c r="S201" i="2"/>
  <c r="R201" i="2"/>
  <c r="X199" i="2"/>
  <c r="Y199" i="2"/>
  <c r="H202" i="2"/>
  <c r="E202" i="2"/>
  <c r="F202" i="2"/>
  <c r="G202" i="2"/>
  <c r="K202" i="2"/>
  <c r="L202" i="2"/>
  <c r="N202" i="2"/>
  <c r="M202" i="2"/>
  <c r="J202" i="2"/>
  <c r="X200" i="2" l="1"/>
  <c r="R202" i="2"/>
  <c r="S202" i="2"/>
  <c r="P202" i="2"/>
  <c r="Q202" i="2"/>
  <c r="T202" i="2"/>
  <c r="E203" i="2"/>
  <c r="F203" i="2"/>
  <c r="H203" i="2"/>
  <c r="G203" i="2"/>
  <c r="V201" i="2"/>
  <c r="M203" i="2"/>
  <c r="J203" i="2"/>
  <c r="N203" i="2"/>
  <c r="L203" i="2"/>
  <c r="K203" i="2"/>
  <c r="Q203" i="2" l="1"/>
  <c r="S203" i="2"/>
  <c r="P203" i="2"/>
  <c r="T203" i="2"/>
  <c r="R203" i="2"/>
  <c r="F204" i="2"/>
  <c r="G204" i="2"/>
  <c r="H204" i="2"/>
  <c r="E204" i="2"/>
  <c r="Y201" i="2"/>
  <c r="X201" i="2"/>
  <c r="V202" i="2"/>
  <c r="J204" i="2"/>
  <c r="M204" i="2"/>
  <c r="N204" i="2"/>
  <c r="K204" i="2"/>
  <c r="L204" i="2"/>
  <c r="Q204" i="2" l="1"/>
  <c r="R204" i="2"/>
  <c r="P204" i="2"/>
  <c r="S204" i="2"/>
  <c r="T204" i="2"/>
  <c r="X202" i="2"/>
  <c r="Y202" i="2"/>
  <c r="F205" i="2"/>
  <c r="H205" i="2"/>
  <c r="E205" i="2"/>
  <c r="G205" i="2"/>
  <c r="V203" i="2"/>
  <c r="K205" i="2"/>
  <c r="L205" i="2"/>
  <c r="N205" i="2"/>
  <c r="J205" i="2"/>
  <c r="M205" i="2"/>
  <c r="Q205" i="2" l="1"/>
  <c r="R205" i="2"/>
  <c r="S205" i="2"/>
  <c r="T205" i="2"/>
  <c r="P205" i="2"/>
  <c r="E206" i="2"/>
  <c r="F206" i="2"/>
  <c r="G206" i="2"/>
  <c r="H206" i="2"/>
  <c r="Y203" i="2"/>
  <c r="X203" i="2"/>
  <c r="V204" i="2"/>
  <c r="K206" i="2"/>
  <c r="M206" i="2"/>
  <c r="J206" i="2"/>
  <c r="N206" i="2"/>
  <c r="L206" i="2"/>
  <c r="V205" i="2" l="1"/>
  <c r="X205" i="2" s="1"/>
  <c r="P206" i="2"/>
  <c r="Q206" i="2"/>
  <c r="T206" i="2"/>
  <c r="S206" i="2"/>
  <c r="R206" i="2"/>
  <c r="Y204" i="2"/>
  <c r="X204" i="2"/>
  <c r="G207" i="2"/>
  <c r="H207" i="2"/>
  <c r="E207" i="2"/>
  <c r="F207" i="2"/>
  <c r="J207" i="2"/>
  <c r="L207" i="2"/>
  <c r="N207" i="2"/>
  <c r="M207" i="2"/>
  <c r="K207" i="2"/>
  <c r="Y205" i="2" l="1"/>
  <c r="R207" i="2"/>
  <c r="P207" i="2"/>
  <c r="Q207" i="2"/>
  <c r="T207" i="2"/>
  <c r="S207" i="2"/>
  <c r="E208" i="2"/>
  <c r="G208" i="2"/>
  <c r="F208" i="2"/>
  <c r="H208" i="2"/>
  <c r="V206" i="2"/>
  <c r="M208" i="2"/>
  <c r="L208" i="2"/>
  <c r="K208" i="2"/>
  <c r="N208" i="2"/>
  <c r="J208" i="2"/>
  <c r="P208" i="2" l="1"/>
  <c r="Q208" i="2"/>
  <c r="T208" i="2"/>
  <c r="R208" i="2"/>
  <c r="S208" i="2"/>
  <c r="X206" i="2"/>
  <c r="Y206" i="2"/>
  <c r="E209" i="2"/>
  <c r="F209" i="2"/>
  <c r="G209" i="2"/>
  <c r="H209" i="2"/>
  <c r="V207" i="2"/>
  <c r="J209" i="2"/>
  <c r="M209" i="2"/>
  <c r="L209" i="2"/>
  <c r="N209" i="2"/>
  <c r="K209" i="2"/>
  <c r="P209" i="2" l="1"/>
  <c r="T209" i="2"/>
  <c r="S209" i="2"/>
  <c r="R209" i="2"/>
  <c r="Q209" i="2"/>
  <c r="X207" i="2"/>
  <c r="Y207" i="2"/>
  <c r="H210" i="2"/>
  <c r="E210" i="2"/>
  <c r="F210" i="2"/>
  <c r="G210" i="2"/>
  <c r="V208" i="2"/>
  <c r="J210" i="2"/>
  <c r="M210" i="2"/>
  <c r="N210" i="2"/>
  <c r="L210" i="2"/>
  <c r="K210" i="2"/>
  <c r="R210" i="2" l="1"/>
  <c r="T210" i="2"/>
  <c r="P210" i="2"/>
  <c r="S210" i="2"/>
  <c r="Q210" i="2"/>
  <c r="Y208" i="2"/>
  <c r="X208" i="2"/>
  <c r="E211" i="2"/>
  <c r="F211" i="2"/>
  <c r="H211" i="2"/>
  <c r="G211" i="2"/>
  <c r="V209" i="2"/>
  <c r="K211" i="2"/>
  <c r="L211" i="2"/>
  <c r="M211" i="2"/>
  <c r="N211" i="2"/>
  <c r="J211" i="2"/>
  <c r="R211" i="2" l="1"/>
  <c r="T211" i="2"/>
  <c r="Q211" i="2"/>
  <c r="S211" i="2"/>
  <c r="P211" i="2"/>
  <c r="X209" i="2"/>
  <c r="Y209" i="2"/>
  <c r="V210" i="2"/>
  <c r="F212" i="2"/>
  <c r="G212" i="2"/>
  <c r="H212" i="2"/>
  <c r="E212" i="2"/>
  <c r="J212" i="2"/>
  <c r="K212" i="2"/>
  <c r="L212" i="2"/>
  <c r="M212" i="2"/>
  <c r="N212" i="2"/>
  <c r="V211" i="2" l="1"/>
  <c r="X211" i="2" s="1"/>
  <c r="Q212" i="2"/>
  <c r="P212" i="2"/>
  <c r="T212" i="2"/>
  <c r="S212" i="2"/>
  <c r="R212" i="2"/>
  <c r="F213" i="2"/>
  <c r="E213" i="2"/>
  <c r="H213" i="2"/>
  <c r="G213" i="2"/>
  <c r="X210" i="2"/>
  <c r="Y210" i="2"/>
  <c r="J213" i="2"/>
  <c r="L213" i="2"/>
  <c r="K213" i="2"/>
  <c r="M213" i="2"/>
  <c r="N213" i="2"/>
  <c r="Y211" i="2" l="1"/>
  <c r="Q213" i="2"/>
  <c r="S213" i="2"/>
  <c r="T213" i="2"/>
  <c r="R213" i="2"/>
  <c r="P213" i="2"/>
  <c r="V212" i="2"/>
  <c r="E214" i="2"/>
  <c r="F214" i="2"/>
  <c r="G214" i="2"/>
  <c r="H214" i="2"/>
  <c r="L214" i="2"/>
  <c r="N214" i="2"/>
  <c r="M214" i="2"/>
  <c r="J214" i="2"/>
  <c r="K214" i="2"/>
  <c r="V213" i="2" l="1"/>
  <c r="Y213" i="2" s="1"/>
  <c r="T214" i="2"/>
  <c r="S214" i="2"/>
  <c r="R214" i="2"/>
  <c r="P214" i="2"/>
  <c r="Q214" i="2"/>
  <c r="X212" i="2"/>
  <c r="Y212" i="2"/>
  <c r="G215" i="2"/>
  <c r="H215" i="2"/>
  <c r="E215" i="2"/>
  <c r="F215" i="2"/>
  <c r="K215" i="2"/>
  <c r="M215" i="2"/>
  <c r="N215" i="2"/>
  <c r="L215" i="2"/>
  <c r="J215" i="2"/>
  <c r="X213" i="2" l="1"/>
  <c r="R215" i="2"/>
  <c r="Q215" i="2"/>
  <c r="T215" i="2"/>
  <c r="P215" i="2"/>
  <c r="S215" i="2"/>
  <c r="V214" i="2"/>
  <c r="E216" i="2"/>
  <c r="G216" i="2"/>
  <c r="F216" i="2"/>
  <c r="H216" i="2"/>
  <c r="M216" i="2"/>
  <c r="L216" i="2"/>
  <c r="N216" i="2"/>
  <c r="K216" i="2"/>
  <c r="J216" i="2"/>
  <c r="V215" i="2" l="1"/>
  <c r="Y215" i="2" s="1"/>
  <c r="P216" i="2"/>
  <c r="R216" i="2"/>
  <c r="T216" i="2"/>
  <c r="S216" i="2"/>
  <c r="Q216" i="2"/>
  <c r="X214" i="2"/>
  <c r="Y214" i="2"/>
  <c r="E217" i="2"/>
  <c r="F217" i="2"/>
  <c r="G217" i="2"/>
  <c r="H217" i="2"/>
  <c r="K217" i="2"/>
  <c r="N217" i="2"/>
  <c r="L217" i="2"/>
  <c r="J217" i="2"/>
  <c r="M217" i="2"/>
  <c r="X215" i="2" l="1"/>
  <c r="T217" i="2"/>
  <c r="R217" i="2"/>
  <c r="P217" i="2"/>
  <c r="S217" i="2"/>
  <c r="Q217" i="2"/>
  <c r="H218" i="2"/>
  <c r="E218" i="2"/>
  <c r="G218" i="2"/>
  <c r="F218" i="2"/>
  <c r="V216" i="2"/>
  <c r="N218" i="2"/>
  <c r="M218" i="2"/>
  <c r="L218" i="2"/>
  <c r="K218" i="2"/>
  <c r="J218" i="2"/>
  <c r="Q218" i="2" l="1"/>
  <c r="T218" i="2"/>
  <c r="R218" i="2"/>
  <c r="P218" i="2"/>
  <c r="S218" i="2"/>
  <c r="E219" i="2"/>
  <c r="F219" i="2"/>
  <c r="H219" i="2"/>
  <c r="G219" i="2"/>
  <c r="X216" i="2"/>
  <c r="Y216" i="2"/>
  <c r="V217" i="2"/>
  <c r="K219" i="2"/>
  <c r="N219" i="2"/>
  <c r="L219" i="2"/>
  <c r="M219" i="2"/>
  <c r="J219" i="2"/>
  <c r="V218" i="2" l="1"/>
  <c r="X218" i="2" s="1"/>
  <c r="P219" i="2"/>
  <c r="S219" i="2"/>
  <c r="Q219" i="2"/>
  <c r="T219" i="2"/>
  <c r="R219" i="2"/>
  <c r="X217" i="2"/>
  <c r="Y217" i="2"/>
  <c r="F220" i="2"/>
  <c r="G220" i="2"/>
  <c r="H220" i="2"/>
  <c r="E220" i="2"/>
  <c r="K220" i="2"/>
  <c r="L220" i="2"/>
  <c r="J220" i="2"/>
  <c r="N220" i="2"/>
  <c r="M220" i="2"/>
  <c r="Y218" i="2" l="1"/>
  <c r="Q220" i="2"/>
  <c r="P220" i="2"/>
  <c r="T220" i="2"/>
  <c r="S220" i="2"/>
  <c r="R220" i="2"/>
  <c r="F221" i="2"/>
  <c r="E221" i="2"/>
  <c r="G221" i="2"/>
  <c r="H221" i="2"/>
  <c r="V219" i="2"/>
  <c r="L221" i="2"/>
  <c r="N221" i="2"/>
  <c r="K221" i="2"/>
  <c r="J221" i="2"/>
  <c r="M221" i="2"/>
  <c r="P221" i="2" l="1"/>
  <c r="T221" i="2"/>
  <c r="S221" i="2"/>
  <c r="Q221" i="2"/>
  <c r="R221" i="2"/>
  <c r="V220" i="2"/>
  <c r="X219" i="2"/>
  <c r="Y219" i="2"/>
  <c r="E222" i="2"/>
  <c r="F222" i="2"/>
  <c r="G222" i="2"/>
  <c r="H222" i="2"/>
  <c r="K222" i="2"/>
  <c r="L222" i="2"/>
  <c r="N222" i="2"/>
  <c r="M222" i="2"/>
  <c r="J222" i="2"/>
  <c r="T222" i="2" l="1"/>
  <c r="Q222" i="2"/>
  <c r="S222" i="2"/>
  <c r="R222" i="2"/>
  <c r="P222" i="2"/>
  <c r="Y220" i="2"/>
  <c r="X220" i="2"/>
  <c r="G223" i="2"/>
  <c r="H223" i="2"/>
  <c r="E223" i="2"/>
  <c r="F223" i="2"/>
  <c r="V221" i="2"/>
  <c r="K223" i="2"/>
  <c r="J223" i="2"/>
  <c r="N223" i="2"/>
  <c r="L223" i="2"/>
  <c r="M223" i="2"/>
  <c r="V222" i="2" l="1"/>
  <c r="X222" i="2" s="1"/>
  <c r="R223" i="2"/>
  <c r="Q223" i="2"/>
  <c r="P223" i="2"/>
  <c r="T223" i="2"/>
  <c r="S223" i="2"/>
  <c r="X221" i="2"/>
  <c r="Y221" i="2"/>
  <c r="E224" i="2"/>
  <c r="G224" i="2"/>
  <c r="F224" i="2"/>
  <c r="H224" i="2"/>
  <c r="J224" i="2"/>
  <c r="M224" i="2"/>
  <c r="K224" i="2"/>
  <c r="N224" i="2"/>
  <c r="L224" i="2"/>
  <c r="Y222" i="2" l="1"/>
  <c r="R224" i="2"/>
  <c r="Q224" i="2"/>
  <c r="S224" i="2"/>
  <c r="P224" i="2"/>
  <c r="T224" i="2"/>
  <c r="E225" i="2"/>
  <c r="G225" i="2"/>
  <c r="H225" i="2"/>
  <c r="F225" i="2"/>
  <c r="V223" i="2"/>
  <c r="L225" i="2"/>
  <c r="N225" i="2"/>
  <c r="J225" i="2"/>
  <c r="M225" i="2"/>
  <c r="K225" i="2"/>
  <c r="V224" i="2" l="1"/>
  <c r="X224" i="2" s="1"/>
  <c r="Q225" i="2"/>
  <c r="R225" i="2"/>
  <c r="S225" i="2"/>
  <c r="P225" i="2"/>
  <c r="T225" i="2"/>
  <c r="Y223" i="2"/>
  <c r="X223" i="2"/>
  <c r="H226" i="2"/>
  <c r="E226" i="2"/>
  <c r="G226" i="2"/>
  <c r="F226" i="2"/>
  <c r="K226" i="2"/>
  <c r="M226" i="2"/>
  <c r="J226" i="2"/>
  <c r="L226" i="2"/>
  <c r="N226" i="2"/>
  <c r="Y224" i="2" l="1"/>
  <c r="R226" i="2"/>
  <c r="S226" i="2"/>
  <c r="Q226" i="2"/>
  <c r="P226" i="2"/>
  <c r="T226" i="2"/>
  <c r="E227" i="2"/>
  <c r="F227" i="2"/>
  <c r="H227" i="2"/>
  <c r="G227" i="2"/>
  <c r="V225" i="2"/>
  <c r="L227" i="2"/>
  <c r="N227" i="2"/>
  <c r="J227" i="2"/>
  <c r="M227" i="2"/>
  <c r="K227" i="2"/>
  <c r="Q227" i="2" l="1"/>
  <c r="P227" i="2"/>
  <c r="R227" i="2"/>
  <c r="S227" i="2"/>
  <c r="T227" i="2"/>
  <c r="V226" i="2"/>
  <c r="F228" i="2"/>
  <c r="H228" i="2"/>
  <c r="E228" i="2"/>
  <c r="G228" i="2"/>
  <c r="Y225" i="2"/>
  <c r="X225" i="2"/>
  <c r="J228" i="2"/>
  <c r="K228" i="2"/>
  <c r="N228" i="2"/>
  <c r="L228" i="2"/>
  <c r="M228" i="2"/>
  <c r="R228" i="2" l="1"/>
  <c r="Q228" i="2"/>
  <c r="P228" i="2"/>
  <c r="S228" i="2"/>
  <c r="T228" i="2"/>
  <c r="F229" i="2"/>
  <c r="H229" i="2"/>
  <c r="G229" i="2"/>
  <c r="E229" i="2"/>
  <c r="X226" i="2"/>
  <c r="Y226" i="2"/>
  <c r="V227" i="2"/>
  <c r="J229" i="2"/>
  <c r="L229" i="2"/>
  <c r="K229" i="2"/>
  <c r="N229" i="2"/>
  <c r="M229" i="2"/>
  <c r="P229" i="2" l="1"/>
  <c r="Q229" i="2"/>
  <c r="S229" i="2"/>
  <c r="T229" i="2"/>
  <c r="R229" i="2"/>
  <c r="X227" i="2"/>
  <c r="Y227" i="2"/>
  <c r="V228" i="2"/>
  <c r="F230" i="2"/>
  <c r="G230" i="2"/>
  <c r="E230" i="2"/>
  <c r="H230" i="2"/>
  <c r="K230" i="2"/>
  <c r="M230" i="2"/>
  <c r="N230" i="2"/>
  <c r="L230" i="2"/>
  <c r="J230" i="2"/>
  <c r="Q230" i="2" l="1"/>
  <c r="T230" i="2"/>
  <c r="S230" i="2"/>
  <c r="P230" i="2"/>
  <c r="R230" i="2"/>
  <c r="G231" i="2"/>
  <c r="E231" i="2"/>
  <c r="F231" i="2"/>
  <c r="H231" i="2"/>
  <c r="Y228" i="2"/>
  <c r="X228" i="2"/>
  <c r="V229" i="2"/>
  <c r="J231" i="2"/>
  <c r="L231" i="2"/>
  <c r="N231" i="2"/>
  <c r="K231" i="2"/>
  <c r="M231" i="2"/>
  <c r="P231" i="2" l="1"/>
  <c r="S231" i="2"/>
  <c r="T231" i="2"/>
  <c r="R231" i="2"/>
  <c r="Q231" i="2"/>
  <c r="E232" i="2"/>
  <c r="G232" i="2"/>
  <c r="F232" i="2"/>
  <c r="H232" i="2"/>
  <c r="V230" i="2"/>
  <c r="X229" i="2"/>
  <c r="Y229" i="2"/>
  <c r="K232" i="2"/>
  <c r="L232" i="2"/>
  <c r="N232" i="2"/>
  <c r="M232" i="2"/>
  <c r="J232" i="2"/>
  <c r="Q232" i="2" l="1"/>
  <c r="P232" i="2"/>
  <c r="R232" i="2"/>
  <c r="T232" i="2"/>
  <c r="S232" i="2"/>
  <c r="E233" i="2"/>
  <c r="G233" i="2"/>
  <c r="H233" i="2"/>
  <c r="F233" i="2"/>
  <c r="X230" i="2"/>
  <c r="Y230" i="2"/>
  <c r="V231" i="2"/>
  <c r="N233" i="2"/>
  <c r="K233" i="2"/>
  <c r="L233" i="2"/>
  <c r="M233" i="2"/>
  <c r="J233" i="2"/>
  <c r="Q233" i="2" l="1"/>
  <c r="P233" i="2"/>
  <c r="R233" i="2"/>
  <c r="T233" i="2"/>
  <c r="S233" i="2"/>
  <c r="Y231" i="2"/>
  <c r="X231" i="2"/>
  <c r="V232" i="2"/>
  <c r="H234" i="2"/>
  <c r="E234" i="2"/>
  <c r="F234" i="2"/>
  <c r="G234" i="2"/>
  <c r="K234" i="2"/>
  <c r="N234" i="2"/>
  <c r="J234" i="2"/>
  <c r="M234" i="2"/>
  <c r="L234" i="2"/>
  <c r="R234" i="2" l="1"/>
  <c r="Q234" i="2"/>
  <c r="S234" i="2"/>
  <c r="P234" i="2"/>
  <c r="T234" i="2"/>
  <c r="E235" i="2"/>
  <c r="F235" i="2"/>
  <c r="H235" i="2"/>
  <c r="G235" i="2"/>
  <c r="V233" i="2"/>
  <c r="Y232" i="2"/>
  <c r="X232" i="2"/>
  <c r="K235" i="2"/>
  <c r="N235" i="2"/>
  <c r="M235" i="2"/>
  <c r="L235" i="2"/>
  <c r="J235" i="2"/>
  <c r="Q235" i="2" l="1"/>
  <c r="P235" i="2"/>
  <c r="T235" i="2"/>
  <c r="S235" i="2"/>
  <c r="R235" i="2"/>
  <c r="F236" i="2"/>
  <c r="H236" i="2"/>
  <c r="E236" i="2"/>
  <c r="G236" i="2"/>
  <c r="Y233" i="2"/>
  <c r="X233" i="2"/>
  <c r="V234" i="2"/>
  <c r="K236" i="2"/>
  <c r="N236" i="2"/>
  <c r="M236" i="2"/>
  <c r="L236" i="2"/>
  <c r="J236" i="2"/>
  <c r="P236" i="2" l="1"/>
  <c r="S236" i="2"/>
  <c r="Q236" i="2"/>
  <c r="R236" i="2"/>
  <c r="T236" i="2"/>
  <c r="F237" i="2"/>
  <c r="E237" i="2"/>
  <c r="G237" i="2"/>
  <c r="H237" i="2"/>
  <c r="X234" i="2"/>
  <c r="Y234" i="2"/>
  <c r="V235" i="2"/>
  <c r="J237" i="2"/>
  <c r="L237" i="2"/>
  <c r="N237" i="2"/>
  <c r="K237" i="2"/>
  <c r="M237" i="2"/>
  <c r="R237" i="2" l="1"/>
  <c r="P237" i="2"/>
  <c r="T237" i="2"/>
  <c r="S237" i="2"/>
  <c r="Q237" i="2"/>
  <c r="X235" i="2"/>
  <c r="Y235" i="2"/>
  <c r="F238" i="2"/>
  <c r="G238" i="2"/>
  <c r="E238" i="2"/>
  <c r="H238" i="2"/>
  <c r="V236" i="2"/>
  <c r="J238" i="2"/>
  <c r="L238" i="2"/>
  <c r="K238" i="2"/>
  <c r="N238" i="2"/>
  <c r="M238" i="2"/>
  <c r="T238" i="2" l="1"/>
  <c r="S238" i="2"/>
  <c r="Q238" i="2"/>
  <c r="R238" i="2"/>
  <c r="P238" i="2"/>
  <c r="Y236" i="2"/>
  <c r="X236" i="2"/>
  <c r="V237" i="2"/>
  <c r="G239" i="2"/>
  <c r="F239" i="2"/>
  <c r="H239" i="2"/>
  <c r="E239" i="2"/>
  <c r="K239" i="2"/>
  <c r="L239" i="2"/>
  <c r="J239" i="2"/>
  <c r="N239" i="2"/>
  <c r="M239" i="2"/>
  <c r="V238" i="2" l="1"/>
  <c r="X238" i="2" s="1"/>
  <c r="Q239" i="2"/>
  <c r="T239" i="2"/>
  <c r="R239" i="2"/>
  <c r="P239" i="2"/>
  <c r="S239" i="2"/>
  <c r="E240" i="2"/>
  <c r="G240" i="2"/>
  <c r="F240" i="2"/>
  <c r="H240" i="2"/>
  <c r="X237" i="2"/>
  <c r="Y237" i="2"/>
  <c r="K240" i="2"/>
  <c r="L240" i="2"/>
  <c r="N240" i="2"/>
  <c r="J240" i="2"/>
  <c r="M240" i="2"/>
  <c r="Y238" i="2" l="1"/>
  <c r="T240" i="2"/>
  <c r="S240" i="2"/>
  <c r="P240" i="2"/>
  <c r="R240" i="2"/>
  <c r="Q240" i="2"/>
  <c r="V239" i="2"/>
  <c r="E241" i="2"/>
  <c r="G241" i="2"/>
  <c r="H241" i="2"/>
  <c r="F241" i="2"/>
  <c r="L241" i="2"/>
  <c r="M241" i="2"/>
  <c r="N241" i="2"/>
  <c r="K241" i="2"/>
  <c r="J241" i="2"/>
  <c r="R241" i="2" l="1"/>
  <c r="S241" i="2"/>
  <c r="P241" i="2"/>
  <c r="T241" i="2"/>
  <c r="Q241" i="2"/>
  <c r="Y239" i="2"/>
  <c r="X239" i="2"/>
  <c r="V240" i="2"/>
  <c r="H242" i="2"/>
  <c r="E242" i="2"/>
  <c r="G242" i="2"/>
  <c r="F242" i="2"/>
  <c r="K242" i="2"/>
  <c r="L242" i="2"/>
  <c r="J242" i="2"/>
  <c r="N242" i="2"/>
  <c r="M242" i="2"/>
  <c r="P242" i="2" l="1"/>
  <c r="R242" i="2"/>
  <c r="S242" i="2"/>
  <c r="Q242" i="2"/>
  <c r="T242" i="2"/>
  <c r="X240" i="2"/>
  <c r="Y240" i="2"/>
  <c r="V241" i="2"/>
  <c r="E243" i="2"/>
  <c r="F243" i="2"/>
  <c r="H243" i="2"/>
  <c r="G243" i="2"/>
  <c r="K243" i="2"/>
  <c r="M243" i="2"/>
  <c r="J243" i="2"/>
  <c r="N243" i="2"/>
  <c r="L243" i="2"/>
  <c r="R243" i="2" l="1"/>
  <c r="S243" i="2"/>
  <c r="T243" i="2"/>
  <c r="P243" i="2"/>
  <c r="Q243" i="2"/>
  <c r="X241" i="2"/>
  <c r="Y241" i="2"/>
  <c r="F244" i="2"/>
  <c r="H244" i="2"/>
  <c r="E244" i="2"/>
  <c r="G244" i="2"/>
  <c r="V242" i="2"/>
  <c r="J244" i="2"/>
  <c r="K244" i="2"/>
  <c r="M244" i="2"/>
  <c r="N244" i="2"/>
  <c r="L244" i="2"/>
  <c r="S244" i="2" l="1"/>
  <c r="Q244" i="2"/>
  <c r="P244" i="2"/>
  <c r="T244" i="2"/>
  <c r="R244" i="2"/>
  <c r="X242" i="2"/>
  <c r="Y242" i="2"/>
  <c r="V243" i="2"/>
  <c r="F245" i="2"/>
  <c r="H245" i="2"/>
  <c r="E245" i="2"/>
  <c r="G245" i="2"/>
  <c r="J245" i="2"/>
  <c r="L245" i="2"/>
  <c r="N245" i="2"/>
  <c r="K245" i="2"/>
  <c r="M245" i="2"/>
  <c r="S245" i="2" l="1"/>
  <c r="T245" i="2"/>
  <c r="P245" i="2"/>
  <c r="Q245" i="2"/>
  <c r="R245" i="2"/>
  <c r="X243" i="2"/>
  <c r="Y243" i="2"/>
  <c r="V244" i="2"/>
  <c r="F246" i="2"/>
  <c r="G246" i="2"/>
  <c r="E246" i="2"/>
  <c r="H246" i="2"/>
  <c r="J246" i="2"/>
  <c r="N246" i="2"/>
  <c r="K246" i="2"/>
  <c r="L246" i="2"/>
  <c r="M246" i="2"/>
  <c r="T246" i="2" l="1"/>
  <c r="Q246" i="2"/>
  <c r="R246" i="2"/>
  <c r="S246" i="2"/>
  <c r="P246" i="2"/>
  <c r="V245" i="2"/>
  <c r="G247" i="2"/>
  <c r="E247" i="2"/>
  <c r="F247" i="2"/>
  <c r="H247" i="2"/>
  <c r="X244" i="2"/>
  <c r="Y244" i="2"/>
  <c r="K247" i="2"/>
  <c r="L247" i="2"/>
  <c r="N247" i="2"/>
  <c r="J247" i="2"/>
  <c r="M247" i="2"/>
  <c r="V246" i="2" l="1"/>
  <c r="X246" i="2" s="1"/>
  <c r="T247" i="2"/>
  <c r="R247" i="2"/>
  <c r="Q247" i="2"/>
  <c r="P247" i="2"/>
  <c r="S247" i="2"/>
  <c r="E248" i="2"/>
  <c r="G248" i="2"/>
  <c r="F248" i="2"/>
  <c r="H248" i="2"/>
  <c r="Y245" i="2"/>
  <c r="X245" i="2"/>
  <c r="J248" i="2"/>
  <c r="L248" i="2"/>
  <c r="N248" i="2"/>
  <c r="M248" i="2"/>
  <c r="K248" i="2"/>
  <c r="Y246" i="2" l="1"/>
  <c r="P248" i="2"/>
  <c r="Q248" i="2"/>
  <c r="R248" i="2"/>
  <c r="T248" i="2"/>
  <c r="S248" i="2"/>
  <c r="E249" i="2"/>
  <c r="G249" i="2"/>
  <c r="H249" i="2"/>
  <c r="F249" i="2"/>
  <c r="V247" i="2"/>
  <c r="M249" i="2"/>
  <c r="L249" i="2"/>
  <c r="N249" i="2"/>
  <c r="K249" i="2"/>
  <c r="J249" i="2"/>
  <c r="Q249" i="2" l="1"/>
  <c r="P249" i="2"/>
  <c r="S249" i="2"/>
  <c r="R249" i="2"/>
  <c r="T249" i="2"/>
  <c r="H250" i="2"/>
  <c r="E250" i="2"/>
  <c r="F250" i="2"/>
  <c r="G250" i="2"/>
  <c r="Y247" i="2"/>
  <c r="X247" i="2"/>
  <c r="V248" i="2"/>
  <c r="J250" i="2"/>
  <c r="N250" i="2"/>
  <c r="L250" i="2"/>
  <c r="M250" i="2"/>
  <c r="K250" i="2"/>
  <c r="Q250" i="2" l="1"/>
  <c r="S250" i="2"/>
  <c r="R250" i="2"/>
  <c r="T250" i="2"/>
  <c r="P250" i="2"/>
  <c r="Y248" i="2"/>
  <c r="X248" i="2"/>
  <c r="V249" i="2"/>
  <c r="F251" i="2"/>
  <c r="H251" i="2"/>
  <c r="E251" i="2"/>
  <c r="G251" i="2"/>
  <c r="K251" i="2"/>
  <c r="N251" i="2"/>
  <c r="L251" i="2"/>
  <c r="M251" i="2"/>
  <c r="J251" i="2"/>
  <c r="V250" i="2" l="1"/>
  <c r="Y250" i="2" s="1"/>
  <c r="S251" i="2"/>
  <c r="T251" i="2"/>
  <c r="Q251" i="2"/>
  <c r="P251" i="2"/>
  <c r="R251" i="2"/>
  <c r="F252" i="2"/>
  <c r="E252" i="2"/>
  <c r="G252" i="2"/>
  <c r="H252" i="2"/>
  <c r="X249" i="2"/>
  <c r="Y249" i="2"/>
  <c r="J252" i="2"/>
  <c r="M252" i="2"/>
  <c r="N252" i="2"/>
  <c r="K252" i="2"/>
  <c r="L252" i="2"/>
  <c r="X250" i="2" l="1"/>
  <c r="P252" i="2"/>
  <c r="S252" i="2"/>
  <c r="Q252" i="2"/>
  <c r="R252" i="2"/>
  <c r="T252" i="2"/>
  <c r="V251" i="2"/>
  <c r="F253" i="2"/>
  <c r="E253" i="2"/>
  <c r="H253" i="2"/>
  <c r="G253" i="2"/>
  <c r="M253" i="2"/>
  <c r="L253" i="2"/>
  <c r="K253" i="2"/>
  <c r="J253" i="2"/>
  <c r="N253" i="2"/>
  <c r="T253" i="2" l="1"/>
  <c r="Q253" i="2"/>
  <c r="R253" i="2"/>
  <c r="S253" i="2"/>
  <c r="P253" i="2"/>
  <c r="Y251" i="2"/>
  <c r="X251" i="2"/>
  <c r="E254" i="2"/>
  <c r="F254" i="2"/>
  <c r="G254" i="2"/>
  <c r="H254" i="2"/>
  <c r="V252" i="2"/>
  <c r="K254" i="2"/>
  <c r="L254" i="2"/>
  <c r="M254" i="2"/>
  <c r="N254" i="2"/>
  <c r="J254" i="2"/>
  <c r="P254" i="2" l="1"/>
  <c r="S254" i="2"/>
  <c r="R254" i="2"/>
  <c r="T254" i="2"/>
  <c r="Q254" i="2"/>
  <c r="G255" i="2"/>
  <c r="H255" i="2"/>
  <c r="E255" i="2"/>
  <c r="F255" i="2"/>
  <c r="V253" i="2"/>
  <c r="X252" i="2"/>
  <c r="Y252" i="2"/>
  <c r="K255" i="2"/>
  <c r="J255" i="2"/>
  <c r="M255" i="2"/>
  <c r="N255" i="2"/>
  <c r="L255" i="2"/>
  <c r="S255" i="2" l="1"/>
  <c r="T255" i="2"/>
  <c r="R255" i="2"/>
  <c r="Q255" i="2"/>
  <c r="P255" i="2"/>
  <c r="X253" i="2"/>
  <c r="Y253" i="2"/>
  <c r="E256" i="2"/>
  <c r="F256" i="2"/>
  <c r="G256" i="2"/>
  <c r="H256" i="2"/>
  <c r="V254" i="2"/>
  <c r="J256" i="2"/>
  <c r="L256" i="2"/>
  <c r="N256" i="2"/>
  <c r="M256" i="2"/>
  <c r="K256" i="2"/>
  <c r="V255" i="2" l="1"/>
  <c r="Y255" i="2" s="1"/>
  <c r="R256" i="2"/>
  <c r="Q256" i="2"/>
  <c r="T256" i="2"/>
  <c r="S256" i="2"/>
  <c r="P256" i="2"/>
  <c r="Y254" i="2"/>
  <c r="X254" i="2"/>
  <c r="E257" i="2"/>
  <c r="F257" i="2"/>
  <c r="G257" i="2"/>
  <c r="H257" i="2"/>
  <c r="J257" i="2"/>
  <c r="L257" i="2"/>
  <c r="M257" i="2"/>
  <c r="K257" i="2"/>
  <c r="N257" i="2"/>
  <c r="X255" i="2" l="1"/>
  <c r="V256" i="2"/>
  <c r="X256" i="2" s="1"/>
  <c r="T257" i="2"/>
  <c r="S257" i="2"/>
  <c r="Q257" i="2"/>
  <c r="P257" i="2"/>
  <c r="R257" i="2"/>
  <c r="H258" i="2"/>
  <c r="E258" i="2"/>
  <c r="F258" i="2"/>
  <c r="G258" i="2"/>
  <c r="L258" i="2"/>
  <c r="M258" i="2"/>
  <c r="N258" i="2"/>
  <c r="J258" i="2"/>
  <c r="K258" i="2"/>
  <c r="Y256" i="2" l="1"/>
  <c r="V257" i="2"/>
  <c r="Y257" i="2" s="1"/>
  <c r="R258" i="2"/>
  <c r="S258" i="2"/>
  <c r="T258" i="2"/>
  <c r="Q258" i="2"/>
  <c r="P258" i="2"/>
  <c r="E259" i="2"/>
  <c r="F259" i="2"/>
  <c r="G259" i="2"/>
  <c r="H259" i="2"/>
  <c r="L259" i="2"/>
  <c r="M259" i="2"/>
  <c r="N259" i="2"/>
  <c r="K259" i="2"/>
  <c r="J259" i="2"/>
  <c r="X257" i="2" l="1"/>
  <c r="S259" i="2"/>
  <c r="T259" i="2"/>
  <c r="R259" i="2"/>
  <c r="Q259" i="2"/>
  <c r="P259" i="2"/>
  <c r="V258" i="2"/>
  <c r="F260" i="2"/>
  <c r="G260" i="2"/>
  <c r="H260" i="2"/>
  <c r="E260" i="2"/>
  <c r="L260" i="2"/>
  <c r="M260" i="2"/>
  <c r="N260" i="2"/>
  <c r="K260" i="2"/>
  <c r="J260" i="2"/>
  <c r="V259" i="2" l="1"/>
  <c r="X259" i="2" s="1"/>
  <c r="P260" i="2"/>
  <c r="T260" i="2"/>
  <c r="Q260" i="2"/>
  <c r="S260" i="2"/>
  <c r="R260" i="2"/>
  <c r="X258" i="2"/>
  <c r="Y258" i="2"/>
  <c r="E261" i="2"/>
  <c r="F261" i="2"/>
  <c r="G261" i="2"/>
  <c r="H261" i="2"/>
  <c r="K261" i="2"/>
  <c r="L261" i="2"/>
  <c r="J261" i="2"/>
  <c r="N261" i="2"/>
  <c r="M261" i="2"/>
  <c r="Y259" i="2" l="1"/>
  <c r="T261" i="2"/>
  <c r="R261" i="2"/>
  <c r="Q261" i="2"/>
  <c r="P261" i="2"/>
  <c r="S261" i="2"/>
  <c r="E262" i="2"/>
  <c r="F262" i="2"/>
  <c r="G262" i="2"/>
  <c r="H262" i="2"/>
  <c r="V260" i="2"/>
  <c r="N262" i="2"/>
  <c r="M262" i="2"/>
  <c r="L262" i="2"/>
  <c r="J262" i="2"/>
  <c r="K262" i="2"/>
  <c r="V261" i="2" l="1"/>
  <c r="Y261" i="2" s="1"/>
  <c r="P262" i="2"/>
  <c r="T262" i="2"/>
  <c r="S262" i="2"/>
  <c r="R262" i="2"/>
  <c r="Q262" i="2"/>
  <c r="X260" i="2"/>
  <c r="Y260" i="2"/>
  <c r="G263" i="2"/>
  <c r="H263" i="2"/>
  <c r="E263" i="2"/>
  <c r="F263" i="2"/>
  <c r="K263" i="2"/>
  <c r="L263" i="2"/>
  <c r="N263" i="2"/>
  <c r="J263" i="2"/>
  <c r="M263" i="2"/>
  <c r="X261" i="2" l="1"/>
  <c r="R263" i="2"/>
  <c r="Q263" i="2"/>
  <c r="P263" i="2"/>
  <c r="T263" i="2"/>
  <c r="S263" i="2"/>
  <c r="E264" i="2"/>
  <c r="F264" i="2"/>
  <c r="G264" i="2"/>
  <c r="H264" i="2"/>
  <c r="V262" i="2"/>
  <c r="L264" i="2"/>
  <c r="M264" i="2"/>
  <c r="N264" i="2"/>
  <c r="K264" i="2"/>
  <c r="J264" i="2"/>
  <c r="P264" i="2" l="1"/>
  <c r="T264" i="2"/>
  <c r="R264" i="2"/>
  <c r="S264" i="2"/>
  <c r="Q264" i="2"/>
  <c r="V263" i="2"/>
  <c r="X262" i="2"/>
  <c r="Y262" i="2"/>
  <c r="E265" i="2"/>
  <c r="F265" i="2"/>
  <c r="G265" i="2"/>
  <c r="H265" i="2"/>
  <c r="K265" i="2"/>
  <c r="M265" i="2"/>
  <c r="L265" i="2"/>
  <c r="N265" i="2"/>
  <c r="J265" i="2"/>
  <c r="T265" i="2" l="1"/>
  <c r="P265" i="2"/>
  <c r="R265" i="2"/>
  <c r="Q265" i="2"/>
  <c r="S265" i="2"/>
  <c r="X263" i="2"/>
  <c r="Y263" i="2"/>
  <c r="H266" i="2"/>
  <c r="E266" i="2"/>
  <c r="G266" i="2"/>
  <c r="F266" i="2"/>
  <c r="V264" i="2"/>
  <c r="K266" i="2"/>
  <c r="N266" i="2"/>
  <c r="L266" i="2"/>
  <c r="J266" i="2"/>
  <c r="M266" i="2"/>
  <c r="S266" i="2" l="1"/>
  <c r="R266" i="2"/>
  <c r="P266" i="2"/>
  <c r="Q266" i="2"/>
  <c r="T266" i="2"/>
  <c r="X264" i="2"/>
  <c r="Y264" i="2"/>
  <c r="V265" i="2"/>
  <c r="E267" i="2"/>
  <c r="F267" i="2"/>
  <c r="G267" i="2"/>
  <c r="H267" i="2"/>
  <c r="J267" i="2"/>
  <c r="N267" i="2"/>
  <c r="L267" i="2"/>
  <c r="M267" i="2"/>
  <c r="K267" i="2"/>
  <c r="T267" i="2" l="1"/>
  <c r="S267" i="2"/>
  <c r="Q267" i="2"/>
  <c r="R267" i="2"/>
  <c r="P267" i="2"/>
  <c r="V266" i="2"/>
  <c r="F268" i="2"/>
  <c r="G268" i="2"/>
  <c r="H268" i="2"/>
  <c r="E268" i="2"/>
  <c r="Y265" i="2"/>
  <c r="X265" i="2"/>
  <c r="J268" i="2"/>
  <c r="M268" i="2"/>
  <c r="L268" i="2"/>
  <c r="K268" i="2"/>
  <c r="N268" i="2"/>
  <c r="V267" i="2" l="1"/>
  <c r="Y267" i="2" s="1"/>
  <c r="Q268" i="2"/>
  <c r="T268" i="2"/>
  <c r="S268" i="2"/>
  <c r="P268" i="2"/>
  <c r="R268" i="2"/>
  <c r="E269" i="2"/>
  <c r="F269" i="2"/>
  <c r="G269" i="2"/>
  <c r="H269" i="2"/>
  <c r="X266" i="2"/>
  <c r="Y266" i="2"/>
  <c r="J269" i="2"/>
  <c r="M269" i="2"/>
  <c r="L269" i="2"/>
  <c r="N269" i="2"/>
  <c r="K269" i="2"/>
  <c r="X267" i="2" l="1"/>
  <c r="Q269" i="2"/>
  <c r="P269" i="2"/>
  <c r="T269" i="2"/>
  <c r="S269" i="2"/>
  <c r="R269" i="2"/>
  <c r="E270" i="2"/>
  <c r="F270" i="2"/>
  <c r="G270" i="2"/>
  <c r="H270" i="2"/>
  <c r="V268" i="2"/>
  <c r="K270" i="2"/>
  <c r="N270" i="2"/>
  <c r="M270" i="2"/>
  <c r="J270" i="2"/>
  <c r="L270" i="2"/>
  <c r="P270" i="2" l="1"/>
  <c r="T270" i="2"/>
  <c r="S270" i="2"/>
  <c r="R270" i="2"/>
  <c r="Q270" i="2"/>
  <c r="X268" i="2"/>
  <c r="Y268" i="2"/>
  <c r="V269" i="2"/>
  <c r="G271" i="2"/>
  <c r="H271" i="2"/>
  <c r="E271" i="2"/>
  <c r="F271" i="2"/>
  <c r="K271" i="2"/>
  <c r="N271" i="2"/>
  <c r="M271" i="2"/>
  <c r="L271" i="2"/>
  <c r="J271" i="2"/>
  <c r="Q271" i="2" l="1"/>
  <c r="T271" i="2"/>
  <c r="S271" i="2"/>
  <c r="R271" i="2"/>
  <c r="P271" i="2"/>
  <c r="Y269" i="2"/>
  <c r="X269" i="2"/>
  <c r="E272" i="2"/>
  <c r="F272" i="2"/>
  <c r="G272" i="2"/>
  <c r="H272" i="2"/>
  <c r="V270" i="2"/>
  <c r="K272" i="2"/>
  <c r="N272" i="2"/>
  <c r="M272" i="2"/>
  <c r="L272" i="2"/>
  <c r="J272" i="2"/>
  <c r="V271" i="2" l="1"/>
  <c r="Y271" i="2" s="1"/>
  <c r="S272" i="2"/>
  <c r="R272" i="2"/>
  <c r="P272" i="2"/>
  <c r="T272" i="2"/>
  <c r="Q272" i="2"/>
  <c r="Y270" i="2"/>
  <c r="X270" i="2"/>
  <c r="E273" i="2"/>
  <c r="F273" i="2"/>
  <c r="G273" i="2"/>
  <c r="H273" i="2"/>
  <c r="K273" i="2"/>
  <c r="N273" i="2"/>
  <c r="L273" i="2"/>
  <c r="J273" i="2"/>
  <c r="M273" i="2"/>
  <c r="X271" i="2" l="1"/>
  <c r="R273" i="2"/>
  <c r="S273" i="2"/>
  <c r="P273" i="2"/>
  <c r="T273" i="2"/>
  <c r="Q273" i="2"/>
  <c r="V272" i="2"/>
  <c r="H274" i="2"/>
  <c r="E274" i="2"/>
  <c r="F274" i="2"/>
  <c r="G274" i="2"/>
  <c r="M274" i="2"/>
  <c r="L274" i="2"/>
  <c r="J274" i="2"/>
  <c r="N274" i="2"/>
  <c r="K274" i="2"/>
  <c r="R274" i="2" l="1"/>
  <c r="S274" i="2"/>
  <c r="P274" i="2"/>
  <c r="T274" i="2"/>
  <c r="Q274" i="2"/>
  <c r="Y272" i="2"/>
  <c r="X272" i="2"/>
  <c r="V273" i="2"/>
  <c r="E275" i="2"/>
  <c r="F275" i="2"/>
  <c r="G275" i="2"/>
  <c r="H275" i="2"/>
  <c r="J275" i="2"/>
  <c r="L275" i="2"/>
  <c r="M275" i="2"/>
  <c r="N275" i="2"/>
  <c r="K275" i="2"/>
  <c r="T275" i="2" l="1"/>
  <c r="R275" i="2"/>
  <c r="S275" i="2"/>
  <c r="P275" i="2"/>
  <c r="Q275" i="2"/>
  <c r="Y273" i="2"/>
  <c r="X273" i="2"/>
  <c r="V274" i="2"/>
  <c r="F276" i="2"/>
  <c r="G276" i="2"/>
  <c r="H276" i="2"/>
  <c r="E276" i="2"/>
  <c r="J276" i="2"/>
  <c r="L276" i="2"/>
  <c r="M276" i="2"/>
  <c r="K276" i="2"/>
  <c r="N276" i="2"/>
  <c r="S276" i="2" l="1"/>
  <c r="Q276" i="2"/>
  <c r="R276" i="2"/>
  <c r="P276" i="2"/>
  <c r="T276" i="2"/>
  <c r="Y274" i="2"/>
  <c r="X274" i="2"/>
  <c r="E277" i="2"/>
  <c r="F277" i="2"/>
  <c r="G277" i="2"/>
  <c r="H277" i="2"/>
  <c r="V275" i="2"/>
  <c r="K277" i="2"/>
  <c r="M277" i="2"/>
  <c r="N277" i="2"/>
  <c r="L277" i="2"/>
  <c r="J277" i="2"/>
  <c r="V276" i="2" l="1"/>
  <c r="Y276" i="2" s="1"/>
  <c r="T277" i="2"/>
  <c r="R277" i="2"/>
  <c r="Q277" i="2"/>
  <c r="P277" i="2"/>
  <c r="S277" i="2"/>
  <c r="Y275" i="2"/>
  <c r="X275" i="2"/>
  <c r="E278" i="2"/>
  <c r="F278" i="2"/>
  <c r="G278" i="2"/>
  <c r="H278" i="2"/>
  <c r="K278" i="2"/>
  <c r="N278" i="2"/>
  <c r="L278" i="2"/>
  <c r="M278" i="2"/>
  <c r="J278" i="2"/>
  <c r="X276" i="2" l="1"/>
  <c r="R278" i="2"/>
  <c r="T278" i="2"/>
  <c r="S278" i="2"/>
  <c r="P278" i="2"/>
  <c r="Q278" i="2"/>
  <c r="V277" i="2"/>
  <c r="G279" i="2"/>
  <c r="H279" i="2"/>
  <c r="F279" i="2"/>
  <c r="E279" i="2"/>
  <c r="L279" i="2"/>
  <c r="N279" i="2"/>
  <c r="J279" i="2"/>
  <c r="M279" i="2"/>
  <c r="K279" i="2"/>
  <c r="V278" i="2" l="1"/>
  <c r="Y278" i="2" s="1"/>
  <c r="S279" i="2"/>
  <c r="P279" i="2"/>
  <c r="Q279" i="2"/>
  <c r="R279" i="2"/>
  <c r="T279" i="2"/>
  <c r="Y277" i="2"/>
  <c r="X277" i="2"/>
  <c r="E280" i="2"/>
  <c r="F280" i="2"/>
  <c r="G280" i="2"/>
  <c r="H280" i="2"/>
  <c r="K280" i="2"/>
  <c r="M280" i="2"/>
  <c r="N280" i="2"/>
  <c r="J280" i="2"/>
  <c r="L280" i="2"/>
  <c r="X278" i="2" l="1"/>
  <c r="T280" i="2"/>
  <c r="R280" i="2"/>
  <c r="P280" i="2"/>
  <c r="Q280" i="2"/>
  <c r="S280" i="2"/>
  <c r="E281" i="2"/>
  <c r="F281" i="2"/>
  <c r="G281" i="2"/>
  <c r="H281" i="2"/>
  <c r="V279" i="2"/>
  <c r="M281" i="2"/>
  <c r="N281" i="2"/>
  <c r="J281" i="2"/>
  <c r="L281" i="2"/>
  <c r="K281" i="2"/>
  <c r="T281" i="2" l="1"/>
  <c r="S281" i="2"/>
  <c r="R281" i="2"/>
  <c r="P281" i="2"/>
  <c r="Q281" i="2"/>
  <c r="X279" i="2"/>
  <c r="Y279" i="2"/>
  <c r="H282" i="2"/>
  <c r="E282" i="2"/>
  <c r="F282" i="2"/>
  <c r="G282" i="2"/>
  <c r="V280" i="2"/>
  <c r="J282" i="2"/>
  <c r="M282" i="2"/>
  <c r="L282" i="2"/>
  <c r="N282" i="2"/>
  <c r="K282" i="2"/>
  <c r="V281" i="2" l="1"/>
  <c r="Y281" i="2" s="1"/>
  <c r="S282" i="2"/>
  <c r="R282" i="2"/>
  <c r="Q282" i="2"/>
  <c r="P282" i="2"/>
  <c r="T282" i="2"/>
  <c r="X280" i="2"/>
  <c r="Y280" i="2"/>
  <c r="E283" i="2"/>
  <c r="F283" i="2"/>
  <c r="G283" i="2"/>
  <c r="H283" i="2"/>
  <c r="K283" i="2"/>
  <c r="N283" i="2"/>
  <c r="J283" i="2"/>
  <c r="M283" i="2"/>
  <c r="L283" i="2"/>
  <c r="X281" i="2" l="1"/>
  <c r="S283" i="2"/>
  <c r="R283" i="2"/>
  <c r="Q283" i="2"/>
  <c r="P283" i="2"/>
  <c r="T283" i="2"/>
  <c r="V282" i="2"/>
  <c r="F284" i="2"/>
  <c r="G284" i="2"/>
  <c r="H284" i="2"/>
  <c r="E284" i="2"/>
  <c r="N284" i="2"/>
  <c r="K284" i="2"/>
  <c r="M284" i="2"/>
  <c r="J284" i="2"/>
  <c r="L284" i="2"/>
  <c r="V283" i="2" l="1"/>
  <c r="Y283" i="2" s="1"/>
  <c r="T284" i="2"/>
  <c r="Q284" i="2"/>
  <c r="P284" i="2"/>
  <c r="S284" i="2"/>
  <c r="R284" i="2"/>
  <c r="X282" i="2"/>
  <c r="Y282" i="2"/>
  <c r="E285" i="2"/>
  <c r="F285" i="2"/>
  <c r="H285" i="2"/>
  <c r="G285" i="2"/>
  <c r="K285" i="2"/>
  <c r="J285" i="2"/>
  <c r="N285" i="2"/>
  <c r="M285" i="2"/>
  <c r="L285" i="2"/>
  <c r="X283" i="2" l="1"/>
  <c r="T285" i="2"/>
  <c r="R285" i="2"/>
  <c r="Q285" i="2"/>
  <c r="S285" i="2"/>
  <c r="P285" i="2"/>
  <c r="V284" i="2"/>
  <c r="E286" i="2"/>
  <c r="F286" i="2"/>
  <c r="G286" i="2"/>
  <c r="H286" i="2"/>
  <c r="L286" i="2"/>
  <c r="N286" i="2"/>
  <c r="J286" i="2"/>
  <c r="M286" i="2"/>
  <c r="K286" i="2"/>
  <c r="V285" i="2" l="1"/>
  <c r="X285" i="2" s="1"/>
  <c r="T286" i="2"/>
  <c r="R286" i="2"/>
  <c r="Q286" i="2"/>
  <c r="S286" i="2"/>
  <c r="P286" i="2"/>
  <c r="X284" i="2"/>
  <c r="Y284" i="2"/>
  <c r="G287" i="2"/>
  <c r="H287" i="2"/>
  <c r="E287" i="2"/>
  <c r="F287" i="2"/>
  <c r="J287" i="2"/>
  <c r="L287" i="2"/>
  <c r="N287" i="2"/>
  <c r="M287" i="2"/>
  <c r="K287" i="2"/>
  <c r="V286" i="2" l="1"/>
  <c r="Y286" i="2" s="1"/>
  <c r="Y285" i="2"/>
  <c r="Q287" i="2"/>
  <c r="P287" i="2"/>
  <c r="S287" i="2"/>
  <c r="T287" i="2"/>
  <c r="R287" i="2"/>
  <c r="E288" i="2"/>
  <c r="F288" i="2"/>
  <c r="G288" i="2"/>
  <c r="H288" i="2"/>
  <c r="N288" i="2"/>
  <c r="J288" i="2"/>
  <c r="L288" i="2"/>
  <c r="M288" i="2"/>
  <c r="K288" i="2"/>
  <c r="X286" i="2" l="1"/>
  <c r="T288" i="2"/>
  <c r="S288" i="2"/>
  <c r="R288" i="2"/>
  <c r="Q288" i="2"/>
  <c r="P288" i="2"/>
  <c r="V287" i="2"/>
  <c r="E289" i="2"/>
  <c r="F289" i="2"/>
  <c r="G289" i="2"/>
  <c r="H289" i="2"/>
  <c r="N289" i="2"/>
  <c r="M289" i="2"/>
  <c r="L289" i="2"/>
  <c r="J289" i="2"/>
  <c r="K289" i="2"/>
  <c r="V288" i="2" l="1"/>
  <c r="Y288" i="2" s="1"/>
  <c r="S289" i="2"/>
  <c r="R289" i="2"/>
  <c r="P289" i="2"/>
  <c r="T289" i="2"/>
  <c r="Q289" i="2"/>
  <c r="Y287" i="2"/>
  <c r="X287" i="2"/>
  <c r="H290" i="2"/>
  <c r="E290" i="2"/>
  <c r="F290" i="2"/>
  <c r="G290" i="2"/>
  <c r="J290" i="2"/>
  <c r="N290" i="2"/>
  <c r="K290" i="2"/>
  <c r="L290" i="2"/>
  <c r="M290" i="2"/>
  <c r="X288" i="2" l="1"/>
  <c r="R290" i="2"/>
  <c r="P290" i="2"/>
  <c r="S290" i="2"/>
  <c r="Q290" i="2"/>
  <c r="T290" i="2"/>
  <c r="V289" i="2"/>
  <c r="E291" i="2"/>
  <c r="F291" i="2"/>
  <c r="G291" i="2"/>
  <c r="H291" i="2"/>
  <c r="N291" i="2"/>
  <c r="M291" i="2"/>
  <c r="L291" i="2"/>
  <c r="J291" i="2"/>
  <c r="K291" i="2"/>
  <c r="T291" i="2" l="1"/>
  <c r="R291" i="2"/>
  <c r="S291" i="2"/>
  <c r="Q291" i="2"/>
  <c r="P291" i="2"/>
  <c r="F292" i="2"/>
  <c r="G292" i="2"/>
  <c r="H292" i="2"/>
  <c r="E292" i="2"/>
  <c r="Y289" i="2"/>
  <c r="X289" i="2"/>
  <c r="V290" i="2"/>
  <c r="J292" i="2"/>
  <c r="M292" i="2"/>
  <c r="L292" i="2"/>
  <c r="K292" i="2"/>
  <c r="N292" i="2"/>
  <c r="V291" i="2" l="1"/>
  <c r="X291" i="2" s="1"/>
  <c r="R292" i="2"/>
  <c r="S292" i="2"/>
  <c r="P292" i="2"/>
  <c r="Q292" i="2"/>
  <c r="T292" i="2"/>
  <c r="E293" i="2"/>
  <c r="F293" i="2"/>
  <c r="G293" i="2"/>
  <c r="H293" i="2"/>
  <c r="Y290" i="2"/>
  <c r="X290" i="2"/>
  <c r="J293" i="2"/>
  <c r="N293" i="2"/>
  <c r="L293" i="2"/>
  <c r="K293" i="2"/>
  <c r="M293" i="2"/>
  <c r="Y291" i="2" l="1"/>
  <c r="V292" i="2"/>
  <c r="X292" i="2" s="1"/>
  <c r="Q293" i="2"/>
  <c r="P293" i="2"/>
  <c r="T293" i="2"/>
  <c r="S293" i="2"/>
  <c r="R293" i="2"/>
  <c r="E294" i="2"/>
  <c r="F294" i="2"/>
  <c r="G294" i="2"/>
  <c r="H294" i="2"/>
  <c r="M294" i="2"/>
  <c r="K294" i="2"/>
  <c r="N294" i="2"/>
  <c r="J294" i="2"/>
  <c r="L294" i="2"/>
  <c r="Y292" i="2" l="1"/>
  <c r="P294" i="2"/>
  <c r="T294" i="2"/>
  <c r="S294" i="2"/>
  <c r="R294" i="2"/>
  <c r="Q294" i="2"/>
  <c r="G295" i="2"/>
  <c r="H295" i="2"/>
  <c r="E295" i="2"/>
  <c r="F295" i="2"/>
  <c r="V293" i="2"/>
  <c r="L295" i="2"/>
  <c r="M295" i="2"/>
  <c r="K295" i="2"/>
  <c r="N295" i="2"/>
  <c r="J295" i="2"/>
  <c r="R295" i="2" l="1"/>
  <c r="Q295" i="2"/>
  <c r="S295" i="2"/>
  <c r="P295" i="2"/>
  <c r="T295" i="2"/>
  <c r="Y293" i="2"/>
  <c r="X293" i="2"/>
  <c r="E296" i="2"/>
  <c r="F296" i="2"/>
  <c r="G296" i="2"/>
  <c r="H296" i="2"/>
  <c r="V294" i="2"/>
  <c r="J296" i="2"/>
  <c r="L296" i="2"/>
  <c r="M296" i="2"/>
  <c r="N296" i="2"/>
  <c r="K296" i="2"/>
  <c r="R296" i="2" l="1"/>
  <c r="T296" i="2"/>
  <c r="S296" i="2"/>
  <c r="Q296" i="2"/>
  <c r="P296" i="2"/>
  <c r="E297" i="2"/>
  <c r="F297" i="2"/>
  <c r="G297" i="2"/>
  <c r="H297" i="2"/>
  <c r="X294" i="2"/>
  <c r="Y294" i="2"/>
  <c r="V295" i="2"/>
  <c r="J297" i="2"/>
  <c r="L297" i="2"/>
  <c r="M297" i="2"/>
  <c r="N297" i="2"/>
  <c r="K297" i="2"/>
  <c r="Q297" i="2" l="1"/>
  <c r="T297" i="2"/>
  <c r="P297" i="2"/>
  <c r="S297" i="2"/>
  <c r="R297" i="2"/>
  <c r="V296" i="2"/>
  <c r="H298" i="2"/>
  <c r="E298" i="2"/>
  <c r="G298" i="2"/>
  <c r="F298" i="2"/>
  <c r="X295" i="2"/>
  <c r="Y295" i="2"/>
  <c r="J298" i="2"/>
  <c r="M298" i="2"/>
  <c r="K298" i="2"/>
  <c r="N298" i="2"/>
  <c r="L298" i="2"/>
  <c r="T298" i="2" l="1"/>
  <c r="R298" i="2"/>
  <c r="S298" i="2"/>
  <c r="Q298" i="2"/>
  <c r="P298" i="2"/>
  <c r="X296" i="2"/>
  <c r="Y296" i="2"/>
  <c r="V297" i="2"/>
  <c r="E299" i="2"/>
  <c r="F299" i="2"/>
  <c r="G299" i="2"/>
  <c r="H299" i="2"/>
  <c r="J299" i="2"/>
  <c r="N299" i="2"/>
  <c r="L299" i="2"/>
  <c r="K299" i="2"/>
  <c r="M299" i="2"/>
  <c r="V298" i="2" l="1"/>
  <c r="X298" i="2" s="1"/>
  <c r="T299" i="2"/>
  <c r="Q299" i="2"/>
  <c r="R299" i="2"/>
  <c r="S299" i="2"/>
  <c r="P299" i="2"/>
  <c r="F300" i="2"/>
  <c r="G300" i="2"/>
  <c r="H300" i="2"/>
  <c r="E300" i="2"/>
  <c r="Y297" i="2"/>
  <c r="X297" i="2"/>
  <c r="K300" i="2"/>
  <c r="N300" i="2"/>
  <c r="J300" i="2"/>
  <c r="M300" i="2"/>
  <c r="L300" i="2"/>
  <c r="V299" i="2" l="1"/>
  <c r="X299" i="2" s="1"/>
  <c r="Y298" i="2"/>
  <c r="P300" i="2"/>
  <c r="Q300" i="2"/>
  <c r="T300" i="2"/>
  <c r="R300" i="2"/>
  <c r="S300" i="2"/>
  <c r="E301" i="2"/>
  <c r="F301" i="2"/>
  <c r="G301" i="2"/>
  <c r="H301" i="2"/>
  <c r="N301" i="2"/>
  <c r="K301" i="2"/>
  <c r="L301" i="2"/>
  <c r="J301" i="2"/>
  <c r="M301" i="2"/>
  <c r="Y299" i="2" l="1"/>
  <c r="R301" i="2"/>
  <c r="S301" i="2"/>
  <c r="T301" i="2"/>
  <c r="P301" i="2"/>
  <c r="Q301" i="2"/>
  <c r="E302" i="2"/>
  <c r="F302" i="2"/>
  <c r="G302" i="2"/>
  <c r="H302" i="2"/>
  <c r="V300" i="2"/>
  <c r="N302" i="2"/>
  <c r="M302" i="2"/>
  <c r="L302" i="2"/>
  <c r="J302" i="2"/>
  <c r="K302" i="2"/>
  <c r="V301" i="2" l="1"/>
  <c r="Y301" i="2" s="1"/>
  <c r="Q302" i="2"/>
  <c r="P302" i="2"/>
  <c r="T302" i="2"/>
  <c r="S302" i="2"/>
  <c r="R302" i="2"/>
  <c r="G303" i="2"/>
  <c r="H303" i="2"/>
  <c r="E303" i="2"/>
  <c r="F303" i="2"/>
  <c r="Y300" i="2"/>
  <c r="X300" i="2"/>
  <c r="K303" i="2"/>
  <c r="L303" i="2"/>
  <c r="J303" i="2"/>
  <c r="N303" i="2"/>
  <c r="M303" i="2"/>
  <c r="X301" i="2" l="1"/>
  <c r="T303" i="2"/>
  <c r="S303" i="2"/>
  <c r="P303" i="2"/>
  <c r="R303" i="2"/>
  <c r="Q303" i="2"/>
  <c r="E304" i="2"/>
  <c r="F304" i="2"/>
  <c r="G304" i="2"/>
  <c r="H304" i="2"/>
  <c r="V302" i="2"/>
  <c r="N304" i="2"/>
  <c r="L304" i="2"/>
  <c r="M304" i="2"/>
  <c r="J304" i="2"/>
  <c r="K304" i="2"/>
  <c r="V303" i="2" l="1"/>
  <c r="X303" i="2" s="1"/>
  <c r="P304" i="2"/>
  <c r="Q304" i="2"/>
  <c r="T304" i="2"/>
  <c r="S304" i="2"/>
  <c r="R304" i="2"/>
  <c r="E305" i="2"/>
  <c r="F305" i="2"/>
  <c r="G305" i="2"/>
  <c r="H305" i="2"/>
  <c r="X302" i="2"/>
  <c r="Y302" i="2"/>
  <c r="K305" i="2"/>
  <c r="N305" i="2"/>
  <c r="M305" i="2"/>
  <c r="L305" i="2"/>
  <c r="J305" i="2"/>
  <c r="Y303" i="2" l="1"/>
  <c r="R305" i="2"/>
  <c r="T305" i="2"/>
  <c r="Q305" i="2"/>
  <c r="P305" i="2"/>
  <c r="S305" i="2"/>
  <c r="H306" i="2"/>
  <c r="E306" i="2"/>
  <c r="F306" i="2"/>
  <c r="G306" i="2"/>
  <c r="V304" i="2"/>
  <c r="M306" i="2"/>
  <c r="N306" i="2"/>
  <c r="L306" i="2"/>
  <c r="K306" i="2"/>
  <c r="J306" i="2"/>
  <c r="V305" i="2" l="1"/>
  <c r="Y305" i="2" s="1"/>
  <c r="Q306" i="2"/>
  <c r="S306" i="2"/>
  <c r="R306" i="2"/>
  <c r="P306" i="2"/>
  <c r="T306" i="2"/>
  <c r="E307" i="2"/>
  <c r="F307" i="2"/>
  <c r="G307" i="2"/>
  <c r="H307" i="2"/>
  <c r="X304" i="2"/>
  <c r="Y304" i="2"/>
  <c r="J307" i="2"/>
  <c r="L307" i="2"/>
  <c r="K307" i="2"/>
  <c r="M307" i="2"/>
  <c r="N307" i="2"/>
  <c r="X305" i="2" l="1"/>
  <c r="V306" i="2"/>
  <c r="X306" i="2" s="1"/>
  <c r="Q307" i="2"/>
  <c r="T307" i="2"/>
  <c r="P307" i="2"/>
  <c r="S307" i="2"/>
  <c r="R307" i="2"/>
  <c r="F308" i="2"/>
  <c r="G308" i="2"/>
  <c r="H308" i="2"/>
  <c r="E308" i="2"/>
  <c r="L308" i="2"/>
  <c r="J308" i="2"/>
  <c r="M308" i="2"/>
  <c r="K308" i="2"/>
  <c r="N308" i="2"/>
  <c r="Y306" i="2" l="1"/>
  <c r="R308" i="2"/>
  <c r="Q308" i="2"/>
  <c r="T308" i="2"/>
  <c r="P308" i="2"/>
  <c r="S308" i="2"/>
  <c r="V307" i="2"/>
  <c r="E309" i="2"/>
  <c r="F309" i="2"/>
  <c r="G309" i="2"/>
  <c r="H309" i="2"/>
  <c r="M309" i="2"/>
  <c r="L309" i="2"/>
  <c r="K309" i="2"/>
  <c r="N309" i="2"/>
  <c r="J309" i="2"/>
  <c r="T309" i="2" l="1"/>
  <c r="P309" i="2"/>
  <c r="S309" i="2"/>
  <c r="R309" i="2"/>
  <c r="Q309" i="2"/>
  <c r="X307" i="2"/>
  <c r="Y307" i="2"/>
  <c r="E310" i="2"/>
  <c r="F310" i="2"/>
  <c r="G310" i="2"/>
  <c r="H310" i="2"/>
  <c r="V308" i="2"/>
  <c r="J310" i="2"/>
  <c r="M310" i="2"/>
  <c r="N310" i="2"/>
  <c r="L310" i="2"/>
  <c r="K310" i="2"/>
  <c r="T310" i="2" l="1"/>
  <c r="Q310" i="2"/>
  <c r="S310" i="2"/>
  <c r="R310" i="2"/>
  <c r="P310" i="2"/>
  <c r="G311" i="2"/>
  <c r="H311" i="2"/>
  <c r="F311" i="2"/>
  <c r="E311" i="2"/>
  <c r="Y308" i="2"/>
  <c r="X308" i="2"/>
  <c r="V309" i="2"/>
  <c r="K311" i="2"/>
  <c r="M311" i="2"/>
  <c r="L311" i="2"/>
  <c r="N311" i="2"/>
  <c r="J311" i="2"/>
  <c r="V310" i="2" l="1"/>
  <c r="X310" i="2" s="1"/>
  <c r="T311" i="2"/>
  <c r="S311" i="2"/>
  <c r="Q311" i="2"/>
  <c r="P311" i="2"/>
  <c r="R311" i="2"/>
  <c r="Y309" i="2"/>
  <c r="X309" i="2"/>
  <c r="E312" i="2"/>
  <c r="F312" i="2"/>
  <c r="G312" i="2"/>
  <c r="H312" i="2"/>
  <c r="J312" i="2"/>
  <c r="M312" i="2"/>
  <c r="L312" i="2"/>
  <c r="N312" i="2"/>
  <c r="K312" i="2"/>
  <c r="Y310" i="2" l="1"/>
  <c r="S312" i="2"/>
  <c r="R312" i="2"/>
  <c r="T312" i="2"/>
  <c r="Q312" i="2"/>
  <c r="P312" i="2"/>
  <c r="E313" i="2"/>
  <c r="F313" i="2"/>
  <c r="G313" i="2"/>
  <c r="H313" i="2"/>
  <c r="V311" i="2"/>
  <c r="L313" i="2"/>
  <c r="N313" i="2"/>
  <c r="M313" i="2"/>
  <c r="J313" i="2"/>
  <c r="K313" i="2"/>
  <c r="V312" i="2" l="1"/>
  <c r="X312" i="2" s="1"/>
  <c r="Q313" i="2"/>
  <c r="P313" i="2"/>
  <c r="T313" i="2"/>
  <c r="R313" i="2"/>
  <c r="S313" i="2"/>
  <c r="X311" i="2"/>
  <c r="Y311" i="2"/>
  <c r="H314" i="2"/>
  <c r="E314" i="2"/>
  <c r="F314" i="2"/>
  <c r="G314" i="2"/>
  <c r="J314" i="2"/>
  <c r="M314" i="2"/>
  <c r="L314" i="2"/>
  <c r="N314" i="2"/>
  <c r="K314" i="2"/>
  <c r="Y312" i="2" l="1"/>
  <c r="V313" i="2"/>
  <c r="X313" i="2" s="1"/>
  <c r="R314" i="2"/>
  <c r="Q314" i="2"/>
  <c r="P314" i="2"/>
  <c r="S314" i="2"/>
  <c r="T314" i="2"/>
  <c r="E315" i="2"/>
  <c r="F315" i="2"/>
  <c r="H315" i="2"/>
  <c r="G315" i="2"/>
  <c r="L315" i="2"/>
  <c r="J315" i="2"/>
  <c r="K315" i="2"/>
  <c r="M315" i="2"/>
  <c r="N315" i="2"/>
  <c r="Y313" i="2" l="1"/>
  <c r="S315" i="2"/>
  <c r="T315" i="2"/>
  <c r="Q315" i="2"/>
  <c r="R315" i="2"/>
  <c r="P315" i="2"/>
  <c r="V314" i="2"/>
  <c r="F316" i="2"/>
  <c r="G316" i="2"/>
  <c r="H316" i="2"/>
  <c r="E316" i="2"/>
  <c r="L316" i="2"/>
  <c r="K316" i="2"/>
  <c r="J316" i="2"/>
  <c r="N316" i="2"/>
  <c r="M316" i="2"/>
  <c r="V315" i="2" l="1"/>
  <c r="Y315" i="2" s="1"/>
  <c r="Q316" i="2"/>
  <c r="S316" i="2"/>
  <c r="P316" i="2"/>
  <c r="T316" i="2"/>
  <c r="R316" i="2"/>
  <c r="E317" i="2"/>
  <c r="F317" i="2"/>
  <c r="G317" i="2"/>
  <c r="H317" i="2"/>
  <c r="X314" i="2"/>
  <c r="Y314" i="2"/>
  <c r="J317" i="2"/>
  <c r="L317" i="2"/>
  <c r="M317" i="2"/>
  <c r="N317" i="2"/>
  <c r="K317" i="2"/>
  <c r="X315" i="2" l="1"/>
  <c r="T317" i="2"/>
  <c r="S317" i="2"/>
  <c r="R317" i="2"/>
  <c r="Q317" i="2"/>
  <c r="P317" i="2"/>
  <c r="E318" i="2"/>
  <c r="F318" i="2"/>
  <c r="G318" i="2"/>
  <c r="H318" i="2"/>
  <c r="V316" i="2"/>
  <c r="L318" i="2"/>
  <c r="J318" i="2"/>
  <c r="K318" i="2"/>
  <c r="M318" i="2"/>
  <c r="N318" i="2"/>
  <c r="T318" i="2" l="1"/>
  <c r="S318" i="2"/>
  <c r="R318" i="2"/>
  <c r="Q318" i="2"/>
  <c r="P318" i="2"/>
  <c r="G319" i="2"/>
  <c r="H319" i="2"/>
  <c r="E319" i="2"/>
  <c r="F319" i="2"/>
  <c r="V317" i="2"/>
  <c r="Y316" i="2"/>
  <c r="X316" i="2"/>
  <c r="K319" i="2"/>
  <c r="M319" i="2"/>
  <c r="J319" i="2"/>
  <c r="N319" i="2"/>
  <c r="L319" i="2"/>
  <c r="V318" i="2" l="1"/>
  <c r="X318" i="2" s="1"/>
  <c r="S319" i="2"/>
  <c r="Q319" i="2"/>
  <c r="T319" i="2"/>
  <c r="R319" i="2"/>
  <c r="P319" i="2"/>
  <c r="Y317" i="2"/>
  <c r="X317" i="2"/>
  <c r="E320" i="2"/>
  <c r="F320" i="2"/>
  <c r="G320" i="2"/>
  <c r="H320" i="2"/>
  <c r="J320" i="2"/>
  <c r="K320" i="2"/>
  <c r="M320" i="2"/>
  <c r="L320" i="2"/>
  <c r="N320" i="2"/>
  <c r="Y318" i="2" l="1"/>
  <c r="S320" i="2"/>
  <c r="R320" i="2"/>
  <c r="T320" i="2"/>
  <c r="Q320" i="2"/>
  <c r="P320" i="2"/>
  <c r="V319" i="2"/>
  <c r="E321" i="2"/>
  <c r="F321" i="2"/>
  <c r="G321" i="2"/>
  <c r="H321" i="2"/>
  <c r="J321" i="2"/>
  <c r="L321" i="2"/>
  <c r="N321" i="2"/>
  <c r="M321" i="2"/>
  <c r="K321" i="2"/>
  <c r="V320" i="2" l="1"/>
  <c r="X320" i="2" s="1"/>
  <c r="P321" i="2"/>
  <c r="T321" i="2"/>
  <c r="Q321" i="2"/>
  <c r="S321" i="2"/>
  <c r="R321" i="2"/>
  <c r="X319" i="2"/>
  <c r="Y319" i="2"/>
  <c r="H322" i="2"/>
  <c r="E322" i="2"/>
  <c r="F322" i="2"/>
  <c r="G322" i="2"/>
  <c r="K322" i="2"/>
  <c r="N322" i="2"/>
  <c r="M322" i="2"/>
  <c r="J322" i="2"/>
  <c r="L322" i="2"/>
  <c r="Y320" i="2" l="1"/>
  <c r="P322" i="2"/>
  <c r="S322" i="2"/>
  <c r="T322" i="2"/>
  <c r="Q322" i="2"/>
  <c r="R322" i="2"/>
  <c r="E323" i="2"/>
  <c r="F323" i="2"/>
  <c r="G323" i="2"/>
  <c r="H323" i="2"/>
  <c r="V321" i="2"/>
  <c r="M323" i="2"/>
  <c r="K323" i="2"/>
  <c r="L323" i="2"/>
  <c r="N323" i="2"/>
  <c r="J323" i="2"/>
  <c r="P323" i="2" l="1"/>
  <c r="R323" i="2"/>
  <c r="T323" i="2"/>
  <c r="S323" i="2"/>
  <c r="Q323" i="2"/>
  <c r="Y321" i="2"/>
  <c r="X321" i="2"/>
  <c r="F324" i="2"/>
  <c r="G324" i="2"/>
  <c r="H324" i="2"/>
  <c r="E324" i="2"/>
  <c r="V322" i="2"/>
  <c r="J324" i="2"/>
  <c r="L324" i="2"/>
  <c r="M324" i="2"/>
  <c r="K324" i="2"/>
  <c r="N324" i="2"/>
  <c r="P324" i="2" l="1"/>
  <c r="Q324" i="2"/>
  <c r="S324" i="2"/>
  <c r="T324" i="2"/>
  <c r="R324" i="2"/>
  <c r="F325" i="2"/>
  <c r="G325" i="2"/>
  <c r="H325" i="2"/>
  <c r="E325" i="2"/>
  <c r="X322" i="2"/>
  <c r="Y322" i="2"/>
  <c r="V323" i="2"/>
  <c r="J325" i="2"/>
  <c r="M325" i="2"/>
  <c r="N325" i="2"/>
  <c r="L325" i="2"/>
  <c r="K325" i="2"/>
  <c r="P325" i="2" l="1"/>
  <c r="Q325" i="2"/>
  <c r="T325" i="2"/>
  <c r="S325" i="2"/>
  <c r="R325" i="2"/>
  <c r="Y323" i="2"/>
  <c r="X323" i="2"/>
  <c r="E326" i="2"/>
  <c r="F326" i="2"/>
  <c r="G326" i="2"/>
  <c r="H326" i="2"/>
  <c r="V324" i="2"/>
  <c r="J326" i="2"/>
  <c r="L326" i="2"/>
  <c r="M326" i="2"/>
  <c r="N326" i="2"/>
  <c r="K326" i="2"/>
  <c r="T326" i="2" l="1"/>
  <c r="S326" i="2"/>
  <c r="Q326" i="2"/>
  <c r="R326" i="2"/>
  <c r="P326" i="2"/>
  <c r="G327" i="2"/>
  <c r="H327" i="2"/>
  <c r="E327" i="2"/>
  <c r="F327" i="2"/>
  <c r="Y324" i="2"/>
  <c r="X324" i="2"/>
  <c r="V325" i="2"/>
  <c r="K327" i="2"/>
  <c r="L327" i="2"/>
  <c r="J327" i="2"/>
  <c r="M327" i="2"/>
  <c r="N327" i="2"/>
  <c r="V326" i="2" l="1"/>
  <c r="Y326" i="2" s="1"/>
  <c r="T327" i="2"/>
  <c r="S327" i="2"/>
  <c r="R327" i="2"/>
  <c r="Q327" i="2"/>
  <c r="P327" i="2"/>
  <c r="Y325" i="2"/>
  <c r="X325" i="2"/>
  <c r="E328" i="2"/>
  <c r="G328" i="2"/>
  <c r="H328" i="2"/>
  <c r="F328" i="2"/>
  <c r="K328" i="2"/>
  <c r="L328" i="2"/>
  <c r="N328" i="2"/>
  <c r="J328" i="2"/>
  <c r="M328" i="2"/>
  <c r="X326" i="2" l="1"/>
  <c r="V327" i="2"/>
  <c r="X327" i="2" s="1"/>
  <c r="S328" i="2"/>
  <c r="R328" i="2"/>
  <c r="Q328" i="2"/>
  <c r="T328" i="2"/>
  <c r="P328" i="2"/>
  <c r="E329" i="2"/>
  <c r="F329" i="2"/>
  <c r="G329" i="2"/>
  <c r="H329" i="2"/>
  <c r="N329" i="2"/>
  <c r="L329" i="2"/>
  <c r="K329" i="2"/>
  <c r="M329" i="2"/>
  <c r="J329" i="2"/>
  <c r="Y327" i="2" l="1"/>
  <c r="V328" i="2"/>
  <c r="X328" i="2" s="1"/>
  <c r="T329" i="2"/>
  <c r="P329" i="2"/>
  <c r="S329" i="2"/>
  <c r="Q329" i="2"/>
  <c r="R329" i="2"/>
  <c r="H330" i="2"/>
  <c r="E330" i="2"/>
  <c r="F330" i="2"/>
  <c r="G330" i="2"/>
  <c r="M330" i="2"/>
  <c r="N330" i="2"/>
  <c r="K330" i="2"/>
  <c r="J330" i="2"/>
  <c r="L330" i="2"/>
  <c r="Y328" i="2" l="1"/>
  <c r="V329" i="2"/>
  <c r="X329" i="2" s="1"/>
  <c r="Q330" i="2"/>
  <c r="S330" i="2"/>
  <c r="P330" i="2"/>
  <c r="R330" i="2"/>
  <c r="T330" i="2"/>
  <c r="E331" i="2"/>
  <c r="F331" i="2"/>
  <c r="H331" i="2"/>
  <c r="G331" i="2"/>
  <c r="M331" i="2"/>
  <c r="N331" i="2"/>
  <c r="J331" i="2"/>
  <c r="K331" i="2"/>
  <c r="L331" i="2"/>
  <c r="Y329" i="2" l="1"/>
  <c r="S331" i="2"/>
  <c r="R331" i="2"/>
  <c r="T331" i="2"/>
  <c r="Q331" i="2"/>
  <c r="P331" i="2"/>
  <c r="V330" i="2"/>
  <c r="F332" i="2"/>
  <c r="G332" i="2"/>
  <c r="H332" i="2"/>
  <c r="E332" i="2"/>
  <c r="M332" i="2"/>
  <c r="J332" i="2"/>
  <c r="L332" i="2"/>
  <c r="K332" i="2"/>
  <c r="N332" i="2"/>
  <c r="V331" i="2" l="1"/>
  <c r="X331" i="2" s="1"/>
  <c r="Q332" i="2"/>
  <c r="S332" i="2"/>
  <c r="P332" i="2"/>
  <c r="T332" i="2"/>
  <c r="R332" i="2"/>
  <c r="E333" i="2"/>
  <c r="F333" i="2"/>
  <c r="G333" i="2"/>
  <c r="H333" i="2"/>
  <c r="X330" i="2"/>
  <c r="Y330" i="2"/>
  <c r="J333" i="2"/>
  <c r="M333" i="2"/>
  <c r="N333" i="2"/>
  <c r="K333" i="2"/>
  <c r="L333" i="2"/>
  <c r="Y331" i="2" l="1"/>
  <c r="P333" i="2"/>
  <c r="Q333" i="2"/>
  <c r="T333" i="2"/>
  <c r="S333" i="2"/>
  <c r="R333" i="2"/>
  <c r="E334" i="2"/>
  <c r="F334" i="2"/>
  <c r="G334" i="2"/>
  <c r="H334" i="2"/>
  <c r="V332" i="2"/>
  <c r="N334" i="2"/>
  <c r="L334" i="2"/>
  <c r="M334" i="2"/>
  <c r="K334" i="2"/>
  <c r="J334" i="2"/>
  <c r="P334" i="2" l="1"/>
  <c r="Q334" i="2"/>
  <c r="S334" i="2"/>
  <c r="T334" i="2"/>
  <c r="R334" i="2"/>
  <c r="X332" i="2"/>
  <c r="Y332" i="2"/>
  <c r="G335" i="2"/>
  <c r="H335" i="2"/>
  <c r="E335" i="2"/>
  <c r="F335" i="2"/>
  <c r="V333" i="2"/>
  <c r="J335" i="2"/>
  <c r="K335" i="2"/>
  <c r="N335" i="2"/>
  <c r="L335" i="2"/>
  <c r="M335" i="2"/>
  <c r="Q335" i="2" l="1"/>
  <c r="P335" i="2"/>
  <c r="T335" i="2"/>
  <c r="R335" i="2"/>
  <c r="S335" i="2"/>
  <c r="X333" i="2"/>
  <c r="Y333" i="2"/>
  <c r="E336" i="2"/>
  <c r="F336" i="2"/>
  <c r="G336" i="2"/>
  <c r="H336" i="2"/>
  <c r="V334" i="2"/>
  <c r="J336" i="2"/>
  <c r="L336" i="2"/>
  <c r="M336" i="2"/>
  <c r="K336" i="2"/>
  <c r="N336" i="2"/>
  <c r="T336" i="2" l="1"/>
  <c r="S336" i="2"/>
  <c r="R336" i="2"/>
  <c r="P336" i="2"/>
  <c r="Q336" i="2"/>
  <c r="Y334" i="2"/>
  <c r="X334" i="2"/>
  <c r="V335" i="2"/>
  <c r="E337" i="2"/>
  <c r="F337" i="2"/>
  <c r="G337" i="2"/>
  <c r="H337" i="2"/>
  <c r="K337" i="2"/>
  <c r="M337" i="2"/>
  <c r="L337" i="2"/>
  <c r="N337" i="2"/>
  <c r="J337" i="2"/>
  <c r="R337" i="2" l="1"/>
  <c r="P337" i="2"/>
  <c r="T337" i="2"/>
  <c r="Q337" i="2"/>
  <c r="S337" i="2"/>
  <c r="V336" i="2"/>
  <c r="H338" i="2"/>
  <c r="E338" i="2"/>
  <c r="F338" i="2"/>
  <c r="G338" i="2"/>
  <c r="Y335" i="2"/>
  <c r="X335" i="2"/>
  <c r="K338" i="2"/>
  <c r="L338" i="2"/>
  <c r="M338" i="2"/>
  <c r="N338" i="2"/>
  <c r="J338" i="2"/>
  <c r="S338" i="2" l="1"/>
  <c r="Q338" i="2"/>
  <c r="P338" i="2"/>
  <c r="R338" i="2"/>
  <c r="T338" i="2"/>
  <c r="X336" i="2"/>
  <c r="Y336" i="2"/>
  <c r="E339" i="2"/>
  <c r="F339" i="2"/>
  <c r="G339" i="2"/>
  <c r="H339" i="2"/>
  <c r="V337" i="2"/>
  <c r="J339" i="2"/>
  <c r="M339" i="2"/>
  <c r="L339" i="2"/>
  <c r="K339" i="2"/>
  <c r="N339" i="2"/>
  <c r="T339" i="2" l="1"/>
  <c r="R339" i="2"/>
  <c r="S339" i="2"/>
  <c r="Q339" i="2"/>
  <c r="P339" i="2"/>
  <c r="F340" i="2"/>
  <c r="G340" i="2"/>
  <c r="H340" i="2"/>
  <c r="E340" i="2"/>
  <c r="V338" i="2"/>
  <c r="X337" i="2"/>
  <c r="Y337" i="2"/>
  <c r="J340" i="2"/>
  <c r="K340" i="2"/>
  <c r="N340" i="2"/>
  <c r="L340" i="2"/>
  <c r="M340" i="2"/>
  <c r="V339" i="2" l="1"/>
  <c r="Y339" i="2" s="1"/>
  <c r="S340" i="2"/>
  <c r="R340" i="2"/>
  <c r="Q340" i="2"/>
  <c r="P340" i="2"/>
  <c r="T340" i="2"/>
  <c r="F341" i="2"/>
  <c r="G341" i="2"/>
  <c r="H341" i="2"/>
  <c r="E341" i="2"/>
  <c r="X338" i="2"/>
  <c r="Y338" i="2"/>
  <c r="K341" i="2"/>
  <c r="N341" i="2"/>
  <c r="M341" i="2"/>
  <c r="J341" i="2"/>
  <c r="L341" i="2"/>
  <c r="X339" i="2" l="1"/>
  <c r="Q341" i="2"/>
  <c r="R341" i="2"/>
  <c r="T341" i="2"/>
  <c r="P341" i="2"/>
  <c r="S341" i="2"/>
  <c r="V340" i="2"/>
  <c r="E342" i="2"/>
  <c r="F342" i="2"/>
  <c r="G342" i="2"/>
  <c r="H342" i="2"/>
  <c r="M342" i="2"/>
  <c r="J342" i="2"/>
  <c r="N342" i="2"/>
  <c r="L342" i="2"/>
  <c r="K342" i="2"/>
  <c r="T342" i="2" l="1"/>
  <c r="R342" i="2"/>
  <c r="S342" i="2"/>
  <c r="Q342" i="2"/>
  <c r="P342" i="2"/>
  <c r="X340" i="2"/>
  <c r="Y340" i="2"/>
  <c r="V341" i="2"/>
  <c r="H343" i="2"/>
  <c r="E343" i="2"/>
  <c r="F343" i="2"/>
  <c r="G343" i="2"/>
  <c r="J343" i="2"/>
  <c r="N343" i="2"/>
  <c r="K343" i="2"/>
  <c r="M343" i="2"/>
  <c r="L343" i="2"/>
  <c r="V342" i="2" l="1"/>
  <c r="X342" i="2" s="1"/>
  <c r="Q343" i="2"/>
  <c r="R343" i="2"/>
  <c r="P343" i="2"/>
  <c r="S343" i="2"/>
  <c r="T343" i="2"/>
  <c r="X341" i="2"/>
  <c r="Y341" i="2"/>
  <c r="E344" i="2"/>
  <c r="F344" i="2"/>
  <c r="G344" i="2"/>
  <c r="H344" i="2"/>
  <c r="J344" i="2"/>
  <c r="L344" i="2"/>
  <c r="K344" i="2"/>
  <c r="M344" i="2"/>
  <c r="N344" i="2"/>
  <c r="Y342" i="2" l="1"/>
  <c r="R344" i="2"/>
  <c r="T344" i="2"/>
  <c r="P344" i="2"/>
  <c r="S344" i="2"/>
  <c r="Q344" i="2"/>
  <c r="F345" i="2"/>
  <c r="G345" i="2"/>
  <c r="H345" i="2"/>
  <c r="E345" i="2"/>
  <c r="V343" i="2"/>
  <c r="M345" i="2"/>
  <c r="L345" i="2"/>
  <c r="K345" i="2"/>
  <c r="N345" i="2"/>
  <c r="J345" i="2"/>
  <c r="R345" i="2" l="1"/>
  <c r="P345" i="2"/>
  <c r="Q345" i="2"/>
  <c r="T345" i="2"/>
  <c r="S345" i="2"/>
  <c r="Y343" i="2"/>
  <c r="X343" i="2"/>
  <c r="V344" i="2"/>
  <c r="E346" i="2"/>
  <c r="F346" i="2"/>
  <c r="G346" i="2"/>
  <c r="H346" i="2"/>
  <c r="J346" i="2"/>
  <c r="M346" i="2"/>
  <c r="L346" i="2"/>
  <c r="K346" i="2"/>
  <c r="N346" i="2"/>
  <c r="S346" i="2" l="1"/>
  <c r="Q346" i="2"/>
  <c r="T346" i="2"/>
  <c r="R346" i="2"/>
  <c r="P346" i="2"/>
  <c r="X344" i="2"/>
  <c r="Y344" i="2"/>
  <c r="V345" i="2"/>
  <c r="E347" i="2"/>
  <c r="F347" i="2"/>
  <c r="G347" i="2"/>
  <c r="H347" i="2"/>
  <c r="J347" i="2"/>
  <c r="L347" i="2"/>
  <c r="N347" i="2"/>
  <c r="K347" i="2"/>
  <c r="M347" i="2"/>
  <c r="V346" i="2" l="1"/>
  <c r="X346" i="2" s="1"/>
  <c r="T347" i="2"/>
  <c r="P347" i="2"/>
  <c r="R347" i="2"/>
  <c r="S347" i="2"/>
  <c r="Q347" i="2"/>
  <c r="G348" i="2"/>
  <c r="H348" i="2"/>
  <c r="E348" i="2"/>
  <c r="F348" i="2"/>
  <c r="X345" i="2"/>
  <c r="Y345" i="2"/>
  <c r="K348" i="2"/>
  <c r="M348" i="2"/>
  <c r="L348" i="2"/>
  <c r="N348" i="2"/>
  <c r="J348" i="2"/>
  <c r="Y346" i="2" l="1"/>
  <c r="P348" i="2"/>
  <c r="T348" i="2"/>
  <c r="R348" i="2"/>
  <c r="Q348" i="2"/>
  <c r="S348" i="2"/>
  <c r="V347" i="2"/>
  <c r="E349" i="2"/>
  <c r="F349" i="2"/>
  <c r="G349" i="2"/>
  <c r="H349" i="2"/>
  <c r="L349" i="2"/>
  <c r="J349" i="2"/>
  <c r="K349" i="2"/>
  <c r="M349" i="2"/>
  <c r="N349" i="2"/>
  <c r="S349" i="2" l="1"/>
  <c r="T349" i="2"/>
  <c r="R349" i="2"/>
  <c r="Q349" i="2"/>
  <c r="P349" i="2"/>
  <c r="X347" i="2"/>
  <c r="Y347" i="2"/>
  <c r="E350" i="2"/>
  <c r="F350" i="2"/>
  <c r="G350" i="2"/>
  <c r="H350" i="2"/>
  <c r="V348" i="2"/>
  <c r="J350" i="2"/>
  <c r="N350" i="2"/>
  <c r="L350" i="2"/>
  <c r="K350" i="2"/>
  <c r="M350" i="2"/>
  <c r="V349" i="2" l="1"/>
  <c r="X349" i="2" s="1"/>
  <c r="P350" i="2"/>
  <c r="S350" i="2"/>
  <c r="T350" i="2"/>
  <c r="R350" i="2"/>
  <c r="Q350" i="2"/>
  <c r="H351" i="2"/>
  <c r="E351" i="2"/>
  <c r="F351" i="2"/>
  <c r="G351" i="2"/>
  <c r="Y348" i="2"/>
  <c r="X348" i="2"/>
  <c r="J351" i="2"/>
  <c r="N351" i="2"/>
  <c r="L351" i="2"/>
  <c r="M351" i="2"/>
  <c r="K351" i="2"/>
  <c r="Y349" i="2" l="1"/>
  <c r="P351" i="2"/>
  <c r="T351" i="2"/>
  <c r="S351" i="2"/>
  <c r="R351" i="2"/>
  <c r="Q351" i="2"/>
  <c r="E352" i="2"/>
  <c r="F352" i="2"/>
  <c r="G352" i="2"/>
  <c r="H352" i="2"/>
  <c r="V350" i="2"/>
  <c r="J352" i="2"/>
  <c r="M352" i="2"/>
  <c r="L352" i="2"/>
  <c r="N352" i="2"/>
  <c r="K352" i="2"/>
  <c r="Q352" i="2" l="1"/>
  <c r="T352" i="2"/>
  <c r="S352" i="2"/>
  <c r="P352" i="2"/>
  <c r="R352" i="2"/>
  <c r="F353" i="2"/>
  <c r="G353" i="2"/>
  <c r="H353" i="2"/>
  <c r="E353" i="2"/>
  <c r="Y350" i="2"/>
  <c r="X350" i="2"/>
  <c r="V351" i="2"/>
  <c r="K353" i="2"/>
  <c r="L353" i="2"/>
  <c r="N353" i="2"/>
  <c r="M353" i="2"/>
  <c r="J353" i="2"/>
  <c r="V352" i="2" l="1"/>
  <c r="X352" i="2" s="1"/>
  <c r="S353" i="2"/>
  <c r="R353" i="2"/>
  <c r="P353" i="2"/>
  <c r="Q353" i="2"/>
  <c r="T353" i="2"/>
  <c r="Y351" i="2"/>
  <c r="X351" i="2"/>
  <c r="E354" i="2"/>
  <c r="F354" i="2"/>
  <c r="G354" i="2"/>
  <c r="H354" i="2"/>
  <c r="K354" i="2"/>
  <c r="N354" i="2"/>
  <c r="M354" i="2"/>
  <c r="L354" i="2"/>
  <c r="J354" i="2"/>
  <c r="Y352" i="2" l="1"/>
  <c r="S354" i="2"/>
  <c r="R354" i="2"/>
  <c r="T354" i="2"/>
  <c r="Q354" i="2"/>
  <c r="P354" i="2"/>
  <c r="E355" i="2"/>
  <c r="F355" i="2"/>
  <c r="G355" i="2"/>
  <c r="H355" i="2"/>
  <c r="V353" i="2"/>
  <c r="N355" i="2"/>
  <c r="M355" i="2"/>
  <c r="L355" i="2"/>
  <c r="K355" i="2"/>
  <c r="J355" i="2"/>
  <c r="V354" i="2" l="1"/>
  <c r="X354" i="2" s="1"/>
  <c r="T355" i="2"/>
  <c r="S355" i="2"/>
  <c r="P355" i="2"/>
  <c r="R355" i="2"/>
  <c r="Q355" i="2"/>
  <c r="Y353" i="2"/>
  <c r="X353" i="2"/>
  <c r="G356" i="2"/>
  <c r="H356" i="2"/>
  <c r="E356" i="2"/>
  <c r="F356" i="2"/>
  <c r="J356" i="2"/>
  <c r="N356" i="2"/>
  <c r="L356" i="2"/>
  <c r="M356" i="2"/>
  <c r="K356" i="2"/>
  <c r="Y354" i="2" l="1"/>
  <c r="R356" i="2"/>
  <c r="P356" i="2"/>
  <c r="Q356" i="2"/>
  <c r="S356" i="2"/>
  <c r="T356" i="2"/>
  <c r="E357" i="2"/>
  <c r="F357" i="2"/>
  <c r="G357" i="2"/>
  <c r="H357" i="2"/>
  <c r="V355" i="2"/>
  <c r="N357" i="2"/>
  <c r="M357" i="2"/>
  <c r="L357" i="2"/>
  <c r="K357" i="2"/>
  <c r="J357" i="2"/>
  <c r="P357" i="2" l="1"/>
  <c r="T357" i="2"/>
  <c r="S357" i="2"/>
  <c r="R357" i="2"/>
  <c r="Q357" i="2"/>
  <c r="E358" i="2"/>
  <c r="F358" i="2"/>
  <c r="G358" i="2"/>
  <c r="H358" i="2"/>
  <c r="X355" i="2"/>
  <c r="Y355" i="2"/>
  <c r="V356" i="2"/>
  <c r="K358" i="2"/>
  <c r="N358" i="2"/>
  <c r="L358" i="2"/>
  <c r="M358" i="2"/>
  <c r="J358" i="2"/>
  <c r="R358" i="2" l="1"/>
  <c r="Q358" i="2"/>
  <c r="T358" i="2"/>
  <c r="P358" i="2"/>
  <c r="S358" i="2"/>
  <c r="X356" i="2"/>
  <c r="Y356" i="2"/>
  <c r="H359" i="2"/>
  <c r="E359" i="2"/>
  <c r="F359" i="2"/>
  <c r="G359" i="2"/>
  <c r="V357" i="2"/>
  <c r="K359" i="2"/>
  <c r="L359" i="2"/>
  <c r="N359" i="2"/>
  <c r="J359" i="2"/>
  <c r="M359" i="2"/>
  <c r="R359" i="2" l="1"/>
  <c r="S359" i="2"/>
  <c r="P359" i="2"/>
  <c r="Q359" i="2"/>
  <c r="T359" i="2"/>
  <c r="X357" i="2"/>
  <c r="Y357" i="2"/>
  <c r="E360" i="2"/>
  <c r="F360" i="2"/>
  <c r="G360" i="2"/>
  <c r="H360" i="2"/>
  <c r="V358" i="2"/>
  <c r="K360" i="2"/>
  <c r="M360" i="2"/>
  <c r="L360" i="2"/>
  <c r="N360" i="2"/>
  <c r="J360" i="2"/>
  <c r="S360" i="2" l="1"/>
  <c r="R360" i="2"/>
  <c r="T360" i="2"/>
  <c r="P360" i="2"/>
  <c r="Q360" i="2"/>
  <c r="Y358" i="2"/>
  <c r="X358" i="2"/>
  <c r="V359" i="2"/>
  <c r="F361" i="2"/>
  <c r="G361" i="2"/>
  <c r="H361" i="2"/>
  <c r="E361" i="2"/>
  <c r="J361" i="2"/>
  <c r="L361" i="2"/>
  <c r="M361" i="2"/>
  <c r="N361" i="2"/>
  <c r="K361" i="2"/>
  <c r="P361" i="2" l="1"/>
  <c r="T361" i="2"/>
  <c r="Q361" i="2"/>
  <c r="R361" i="2"/>
  <c r="S361" i="2"/>
  <c r="V360" i="2"/>
  <c r="E362" i="2"/>
  <c r="F362" i="2"/>
  <c r="G362" i="2"/>
  <c r="H362" i="2"/>
  <c r="Y359" i="2"/>
  <c r="X359" i="2"/>
  <c r="J362" i="2"/>
  <c r="L362" i="2"/>
  <c r="N362" i="2"/>
  <c r="K362" i="2"/>
  <c r="M362" i="2"/>
  <c r="T362" i="2" l="1"/>
  <c r="S362" i="2"/>
  <c r="R362" i="2"/>
  <c r="Q362" i="2"/>
  <c r="P362" i="2"/>
  <c r="E363" i="2"/>
  <c r="F363" i="2"/>
  <c r="G363" i="2"/>
  <c r="H363" i="2"/>
  <c r="X360" i="2"/>
  <c r="Y360" i="2"/>
  <c r="V361" i="2"/>
  <c r="K363" i="2"/>
  <c r="N363" i="2"/>
  <c r="L363" i="2"/>
  <c r="J363" i="2"/>
  <c r="M363" i="2"/>
  <c r="V362" i="2" l="1"/>
  <c r="Y362" i="2" s="1"/>
  <c r="R363" i="2"/>
  <c r="P363" i="2"/>
  <c r="T363" i="2"/>
  <c r="S363" i="2"/>
  <c r="Q363" i="2"/>
  <c r="X361" i="2"/>
  <c r="Y361" i="2"/>
  <c r="G364" i="2"/>
  <c r="H364" i="2"/>
  <c r="E364" i="2"/>
  <c r="F364" i="2"/>
  <c r="J364" i="2"/>
  <c r="L364" i="2"/>
  <c r="M364" i="2"/>
  <c r="N364" i="2"/>
  <c r="K364" i="2"/>
  <c r="X362" i="2" l="1"/>
  <c r="R364" i="2"/>
  <c r="Q364" i="2"/>
  <c r="P364" i="2"/>
  <c r="T364" i="2"/>
  <c r="S364" i="2"/>
  <c r="E365" i="2"/>
  <c r="F365" i="2"/>
  <c r="G365" i="2"/>
  <c r="H365" i="2"/>
  <c r="V363" i="2"/>
  <c r="L365" i="2"/>
  <c r="N365" i="2"/>
  <c r="J365" i="2"/>
  <c r="M365" i="2"/>
  <c r="K365" i="2"/>
  <c r="T365" i="2" l="1"/>
  <c r="P365" i="2"/>
  <c r="S365" i="2"/>
  <c r="R365" i="2"/>
  <c r="Q365" i="2"/>
  <c r="V364" i="2"/>
  <c r="E366" i="2"/>
  <c r="F366" i="2"/>
  <c r="G366" i="2"/>
  <c r="H366" i="2"/>
  <c r="X363" i="2"/>
  <c r="Y363" i="2"/>
  <c r="J366" i="2"/>
  <c r="N366" i="2"/>
  <c r="M366" i="2"/>
  <c r="L366" i="2"/>
  <c r="K366" i="2"/>
  <c r="Q366" i="2" l="1"/>
  <c r="P366" i="2"/>
  <c r="S366" i="2"/>
  <c r="T366" i="2"/>
  <c r="R366" i="2"/>
  <c r="X364" i="2"/>
  <c r="Y364" i="2"/>
  <c r="H367" i="2"/>
  <c r="E367" i="2"/>
  <c r="F367" i="2"/>
  <c r="G367" i="2"/>
  <c r="V365" i="2"/>
  <c r="J367" i="2"/>
  <c r="N367" i="2"/>
  <c r="K367" i="2"/>
  <c r="L367" i="2"/>
  <c r="M367" i="2"/>
  <c r="P367" i="2" l="1"/>
  <c r="S367" i="2"/>
  <c r="R367" i="2"/>
  <c r="Q367" i="2"/>
  <c r="T367" i="2"/>
  <c r="X365" i="2"/>
  <c r="Y365" i="2"/>
  <c r="E368" i="2"/>
  <c r="F368" i="2"/>
  <c r="H368" i="2"/>
  <c r="G368" i="2"/>
  <c r="V366" i="2"/>
  <c r="K368" i="2"/>
  <c r="N368" i="2"/>
  <c r="L368" i="2"/>
  <c r="M368" i="2"/>
  <c r="J368" i="2"/>
  <c r="R368" i="2" l="1"/>
  <c r="T368" i="2"/>
  <c r="Q368" i="2"/>
  <c r="S368" i="2"/>
  <c r="P368" i="2"/>
  <c r="F369" i="2"/>
  <c r="G369" i="2"/>
  <c r="H369" i="2"/>
  <c r="E369" i="2"/>
  <c r="Y366" i="2"/>
  <c r="X366" i="2"/>
  <c r="V367" i="2"/>
  <c r="K369" i="2"/>
  <c r="N369" i="2"/>
  <c r="L369" i="2"/>
  <c r="M369" i="2"/>
  <c r="J369" i="2"/>
  <c r="V368" i="2" l="1"/>
  <c r="Y368" i="2" s="1"/>
  <c r="Q369" i="2"/>
  <c r="R369" i="2"/>
  <c r="P369" i="2"/>
  <c r="S369" i="2"/>
  <c r="T369" i="2"/>
  <c r="Y367" i="2"/>
  <c r="X367" i="2"/>
  <c r="F370" i="2"/>
  <c r="H370" i="2"/>
  <c r="E370" i="2"/>
  <c r="G370" i="2"/>
  <c r="K370" i="2"/>
  <c r="J370" i="2"/>
  <c r="M370" i="2"/>
  <c r="L370" i="2"/>
  <c r="N370" i="2"/>
  <c r="X368" i="2" l="1"/>
  <c r="T370" i="2"/>
  <c r="S370" i="2"/>
  <c r="Q370" i="2"/>
  <c r="R370" i="2"/>
  <c r="P370" i="2"/>
  <c r="E371" i="2"/>
  <c r="F371" i="2"/>
  <c r="G371" i="2"/>
  <c r="H371" i="2"/>
  <c r="V369" i="2"/>
  <c r="M371" i="2"/>
  <c r="K371" i="2"/>
  <c r="N371" i="2"/>
  <c r="J371" i="2"/>
  <c r="L371" i="2"/>
  <c r="V370" i="2" l="1"/>
  <c r="X370" i="2" s="1"/>
  <c r="P371" i="2"/>
  <c r="T371" i="2"/>
  <c r="S371" i="2"/>
  <c r="R371" i="2"/>
  <c r="Q371" i="2"/>
  <c r="G372" i="2"/>
  <c r="H372" i="2"/>
  <c r="E372" i="2"/>
  <c r="F372" i="2"/>
  <c r="X369" i="2"/>
  <c r="Y369" i="2"/>
  <c r="J372" i="2"/>
  <c r="L372" i="2"/>
  <c r="N372" i="2"/>
  <c r="K372" i="2"/>
  <c r="M372" i="2"/>
  <c r="Y370" i="2" l="1"/>
  <c r="T372" i="2"/>
  <c r="Q372" i="2"/>
  <c r="S372" i="2"/>
  <c r="R372" i="2"/>
  <c r="P372" i="2"/>
  <c r="E373" i="2"/>
  <c r="G373" i="2"/>
  <c r="F373" i="2"/>
  <c r="H373" i="2"/>
  <c r="V371" i="2"/>
  <c r="M373" i="2"/>
  <c r="J373" i="2"/>
  <c r="N373" i="2"/>
  <c r="K373" i="2"/>
  <c r="L373" i="2"/>
  <c r="V372" i="2" l="1"/>
  <c r="X372" i="2" s="1"/>
  <c r="P373" i="2"/>
  <c r="R373" i="2"/>
  <c r="Q373" i="2"/>
  <c r="T373" i="2"/>
  <c r="S373" i="2"/>
  <c r="E374" i="2"/>
  <c r="F374" i="2"/>
  <c r="G374" i="2"/>
  <c r="H374" i="2"/>
  <c r="X371" i="2"/>
  <c r="Y371" i="2"/>
  <c r="K374" i="2"/>
  <c r="J374" i="2"/>
  <c r="N374" i="2"/>
  <c r="M374" i="2"/>
  <c r="L374" i="2"/>
  <c r="Y372" i="2" l="1"/>
  <c r="T374" i="2"/>
  <c r="S374" i="2"/>
  <c r="R374" i="2"/>
  <c r="P374" i="2"/>
  <c r="Q374" i="2"/>
  <c r="H375" i="2"/>
  <c r="E375" i="2"/>
  <c r="F375" i="2"/>
  <c r="G375" i="2"/>
  <c r="V373" i="2"/>
  <c r="M375" i="2"/>
  <c r="L375" i="2"/>
  <c r="K375" i="2"/>
  <c r="J375" i="2"/>
  <c r="N375" i="2"/>
  <c r="T375" i="2" l="1"/>
  <c r="P375" i="2"/>
  <c r="S375" i="2"/>
  <c r="R375" i="2"/>
  <c r="Q375" i="2"/>
  <c r="E376" i="2"/>
  <c r="F376" i="2"/>
  <c r="H376" i="2"/>
  <c r="G376" i="2"/>
  <c r="X373" i="2"/>
  <c r="Y373" i="2"/>
  <c r="V374" i="2"/>
  <c r="K376" i="2"/>
  <c r="M376" i="2"/>
  <c r="L376" i="2"/>
  <c r="N376" i="2"/>
  <c r="J376" i="2"/>
  <c r="P376" i="2" l="1"/>
  <c r="Q376" i="2"/>
  <c r="S376" i="2"/>
  <c r="T376" i="2"/>
  <c r="R376" i="2"/>
  <c r="X374" i="2"/>
  <c r="Y374" i="2"/>
  <c r="F377" i="2"/>
  <c r="G377" i="2"/>
  <c r="H377" i="2"/>
  <c r="E377" i="2"/>
  <c r="V375" i="2"/>
  <c r="K377" i="2"/>
  <c r="J377" i="2"/>
  <c r="M377" i="2"/>
  <c r="N377" i="2"/>
  <c r="L377" i="2"/>
  <c r="Q377" i="2" l="1"/>
  <c r="P377" i="2"/>
  <c r="T377" i="2"/>
  <c r="S377" i="2"/>
  <c r="R377" i="2"/>
  <c r="F378" i="2"/>
  <c r="E378" i="2"/>
  <c r="G378" i="2"/>
  <c r="H378" i="2"/>
  <c r="X375" i="2"/>
  <c r="Y375" i="2"/>
  <c r="V376" i="2"/>
  <c r="M378" i="2"/>
  <c r="J378" i="2"/>
  <c r="N378" i="2"/>
  <c r="L378" i="2"/>
  <c r="K378" i="2"/>
  <c r="R378" i="2" l="1"/>
  <c r="T378" i="2"/>
  <c r="S378" i="2"/>
  <c r="P378" i="2"/>
  <c r="Q378" i="2"/>
  <c r="E379" i="2"/>
  <c r="F379" i="2"/>
  <c r="G379" i="2"/>
  <c r="H379" i="2"/>
  <c r="V377" i="2"/>
  <c r="Y376" i="2"/>
  <c r="X376" i="2"/>
  <c r="J379" i="2"/>
  <c r="N379" i="2"/>
  <c r="K379" i="2"/>
  <c r="M379" i="2"/>
  <c r="L379" i="2"/>
  <c r="V378" i="2" l="1"/>
  <c r="X378" i="2" s="1"/>
  <c r="Q379" i="2"/>
  <c r="P379" i="2"/>
  <c r="T379" i="2"/>
  <c r="S379" i="2"/>
  <c r="R379" i="2"/>
  <c r="G380" i="2"/>
  <c r="H380" i="2"/>
  <c r="E380" i="2"/>
  <c r="F380" i="2"/>
  <c r="Y377" i="2"/>
  <c r="X377" i="2"/>
  <c r="K380" i="2"/>
  <c r="N380" i="2"/>
  <c r="L380" i="2"/>
  <c r="M380" i="2"/>
  <c r="J380" i="2"/>
  <c r="Y378" i="2" l="1"/>
  <c r="T380" i="2"/>
  <c r="S380" i="2"/>
  <c r="R380" i="2"/>
  <c r="Q380" i="2"/>
  <c r="P380" i="2"/>
  <c r="V379" i="2"/>
  <c r="E381" i="2"/>
  <c r="G381" i="2"/>
  <c r="F381" i="2"/>
  <c r="H381" i="2"/>
  <c r="N381" i="2"/>
  <c r="L381" i="2"/>
  <c r="M381" i="2"/>
  <c r="J381" i="2"/>
  <c r="K381" i="2"/>
  <c r="V380" i="2" l="1"/>
  <c r="X380" i="2" s="1"/>
  <c r="T381" i="2"/>
  <c r="R381" i="2"/>
  <c r="Q381" i="2"/>
  <c r="P381" i="2"/>
  <c r="S381" i="2"/>
  <c r="X379" i="2"/>
  <c r="Y379" i="2"/>
  <c r="E382" i="2"/>
  <c r="F382" i="2"/>
  <c r="G382" i="2"/>
  <c r="H382" i="2"/>
  <c r="J382" i="2"/>
  <c r="L382" i="2"/>
  <c r="K382" i="2"/>
  <c r="N382" i="2"/>
  <c r="M382" i="2"/>
  <c r="Y380" i="2" l="1"/>
  <c r="V381" i="2"/>
  <c r="Y381" i="2" s="1"/>
  <c r="T382" i="2"/>
  <c r="S382" i="2"/>
  <c r="Q382" i="2"/>
  <c r="P382" i="2"/>
  <c r="R382" i="2"/>
  <c r="H383" i="2"/>
  <c r="E383" i="2"/>
  <c r="G383" i="2"/>
  <c r="F383" i="2"/>
  <c r="L383" i="2"/>
  <c r="N383" i="2"/>
  <c r="K383" i="2"/>
  <c r="J383" i="2"/>
  <c r="M383" i="2"/>
  <c r="X381" i="2" l="1"/>
  <c r="R383" i="2"/>
  <c r="P383" i="2"/>
  <c r="Q383" i="2"/>
  <c r="S383" i="2"/>
  <c r="T383" i="2"/>
  <c r="V382" i="2"/>
  <c r="E384" i="2"/>
  <c r="F384" i="2"/>
  <c r="H384" i="2"/>
  <c r="G384" i="2"/>
  <c r="N384" i="2"/>
  <c r="L384" i="2"/>
  <c r="M384" i="2"/>
  <c r="J384" i="2"/>
  <c r="K384" i="2"/>
  <c r="S384" i="2" l="1"/>
  <c r="T384" i="2"/>
  <c r="R384" i="2"/>
  <c r="Q384" i="2"/>
  <c r="P384" i="2"/>
  <c r="F385" i="2"/>
  <c r="G385" i="2"/>
  <c r="H385" i="2"/>
  <c r="E385" i="2"/>
  <c r="V383" i="2"/>
  <c r="X382" i="2"/>
  <c r="Y382" i="2"/>
  <c r="J385" i="2"/>
  <c r="M385" i="2"/>
  <c r="L385" i="2"/>
  <c r="K385" i="2"/>
  <c r="N385" i="2"/>
  <c r="V384" i="2" l="1"/>
  <c r="Y384" i="2" s="1"/>
  <c r="S385" i="2"/>
  <c r="R385" i="2"/>
  <c r="Q385" i="2"/>
  <c r="P385" i="2"/>
  <c r="T385" i="2"/>
  <c r="F386" i="2"/>
  <c r="E386" i="2"/>
  <c r="G386" i="2"/>
  <c r="H386" i="2"/>
  <c r="X383" i="2"/>
  <c r="Y383" i="2"/>
  <c r="J386" i="2"/>
  <c r="K386" i="2"/>
  <c r="L386" i="2"/>
  <c r="M386" i="2"/>
  <c r="N386" i="2"/>
  <c r="X384" i="2" l="1"/>
  <c r="R386" i="2"/>
  <c r="T386" i="2"/>
  <c r="P386" i="2"/>
  <c r="S386" i="2"/>
  <c r="Q386" i="2"/>
  <c r="E387" i="2"/>
  <c r="F387" i="2"/>
  <c r="G387" i="2"/>
  <c r="H387" i="2"/>
  <c r="V385" i="2"/>
  <c r="L387" i="2"/>
  <c r="N387" i="2"/>
  <c r="M387" i="2"/>
  <c r="J387" i="2"/>
  <c r="K387" i="2"/>
  <c r="T387" i="2" l="1"/>
  <c r="Q387" i="2"/>
  <c r="S387" i="2"/>
  <c r="P387" i="2"/>
  <c r="R387" i="2"/>
  <c r="Y385" i="2"/>
  <c r="X385" i="2"/>
  <c r="G388" i="2"/>
  <c r="H388" i="2"/>
  <c r="E388" i="2"/>
  <c r="F388" i="2"/>
  <c r="V386" i="2"/>
  <c r="J388" i="2"/>
  <c r="L388" i="2"/>
  <c r="N388" i="2"/>
  <c r="M388" i="2"/>
  <c r="K388" i="2"/>
  <c r="T388" i="2" l="1"/>
  <c r="R388" i="2"/>
  <c r="Q388" i="2"/>
  <c r="P388" i="2"/>
  <c r="S388" i="2"/>
  <c r="E389" i="2"/>
  <c r="G389" i="2"/>
  <c r="F389" i="2"/>
  <c r="H389" i="2"/>
  <c r="X386" i="2"/>
  <c r="Y386" i="2"/>
  <c r="V387" i="2"/>
  <c r="J389" i="2"/>
  <c r="N389" i="2"/>
  <c r="L389" i="2"/>
  <c r="M389" i="2"/>
  <c r="K389" i="2"/>
  <c r="P389" i="2" l="1"/>
  <c r="R389" i="2"/>
  <c r="T389" i="2"/>
  <c r="S389" i="2"/>
  <c r="Q389" i="2"/>
  <c r="Y387" i="2"/>
  <c r="X387" i="2"/>
  <c r="E390" i="2"/>
  <c r="F390" i="2"/>
  <c r="G390" i="2"/>
  <c r="H390" i="2"/>
  <c r="V388" i="2"/>
  <c r="K390" i="2"/>
  <c r="M390" i="2"/>
  <c r="L390" i="2"/>
  <c r="N390" i="2"/>
  <c r="J390" i="2"/>
  <c r="R390" i="2" l="1"/>
  <c r="S390" i="2"/>
  <c r="P390" i="2"/>
  <c r="T390" i="2"/>
  <c r="Q390" i="2"/>
  <c r="X388" i="2"/>
  <c r="Y388" i="2"/>
  <c r="H391" i="2"/>
  <c r="E391" i="2"/>
  <c r="F391" i="2"/>
  <c r="G391" i="2"/>
  <c r="V389" i="2"/>
  <c r="J391" i="2"/>
  <c r="N391" i="2"/>
  <c r="M391" i="2"/>
  <c r="K391" i="2"/>
  <c r="L391" i="2"/>
  <c r="S391" i="2" l="1"/>
  <c r="Q391" i="2"/>
  <c r="R391" i="2"/>
  <c r="P391" i="2"/>
  <c r="T391" i="2"/>
  <c r="Y389" i="2"/>
  <c r="X389" i="2"/>
  <c r="V390" i="2"/>
  <c r="E392" i="2"/>
  <c r="F392" i="2"/>
  <c r="H392" i="2"/>
  <c r="G392" i="2"/>
  <c r="J392" i="2"/>
  <c r="N392" i="2"/>
  <c r="K392" i="2"/>
  <c r="M392" i="2"/>
  <c r="L392" i="2"/>
  <c r="S392" i="2" l="1"/>
  <c r="R392" i="2"/>
  <c r="Q392" i="2"/>
  <c r="T392" i="2"/>
  <c r="P392" i="2"/>
  <c r="V391" i="2"/>
  <c r="F393" i="2"/>
  <c r="G393" i="2"/>
  <c r="H393" i="2"/>
  <c r="E393" i="2"/>
  <c r="X390" i="2"/>
  <c r="Y390" i="2"/>
  <c r="K393" i="2"/>
  <c r="M393" i="2"/>
  <c r="N393" i="2"/>
  <c r="L393" i="2"/>
  <c r="J393" i="2"/>
  <c r="V392" i="2" l="1"/>
  <c r="X392" i="2" s="1"/>
  <c r="Q393" i="2"/>
  <c r="P393" i="2"/>
  <c r="T393" i="2"/>
  <c r="S393" i="2"/>
  <c r="R393" i="2"/>
  <c r="F394" i="2"/>
  <c r="E394" i="2"/>
  <c r="G394" i="2"/>
  <c r="H394" i="2"/>
  <c r="X391" i="2"/>
  <c r="Y391" i="2"/>
  <c r="J394" i="2"/>
  <c r="K394" i="2"/>
  <c r="N394" i="2"/>
  <c r="M394" i="2"/>
  <c r="L394" i="2"/>
  <c r="Y392" i="2" l="1"/>
  <c r="T394" i="2"/>
  <c r="S394" i="2"/>
  <c r="Q394" i="2"/>
  <c r="P394" i="2"/>
  <c r="R394" i="2"/>
  <c r="E395" i="2"/>
  <c r="F395" i="2"/>
  <c r="G395" i="2"/>
  <c r="H395" i="2"/>
  <c r="V393" i="2"/>
  <c r="N395" i="2"/>
  <c r="L395" i="2"/>
  <c r="J395" i="2"/>
  <c r="M395" i="2"/>
  <c r="K395" i="2"/>
  <c r="Q395" i="2" l="1"/>
  <c r="P395" i="2"/>
  <c r="T395" i="2"/>
  <c r="S395" i="2"/>
  <c r="R395" i="2"/>
  <c r="Y393" i="2"/>
  <c r="X393" i="2"/>
  <c r="V394" i="2"/>
  <c r="G396" i="2"/>
  <c r="H396" i="2"/>
  <c r="F396" i="2"/>
  <c r="E396" i="2"/>
  <c r="K396" i="2"/>
  <c r="N396" i="2"/>
  <c r="M396" i="2"/>
  <c r="L396" i="2"/>
  <c r="J396" i="2"/>
  <c r="V395" i="2" l="1"/>
  <c r="X395" i="2" s="1"/>
  <c r="R396" i="2"/>
  <c r="T396" i="2"/>
  <c r="Q396" i="2"/>
  <c r="P396" i="2"/>
  <c r="S396" i="2"/>
  <c r="X394" i="2"/>
  <c r="Y394" i="2"/>
  <c r="E397" i="2"/>
  <c r="G397" i="2"/>
  <c r="F397" i="2"/>
  <c r="H397" i="2"/>
  <c r="J397" i="2"/>
  <c r="N397" i="2"/>
  <c r="M397" i="2"/>
  <c r="K397" i="2"/>
  <c r="L397" i="2"/>
  <c r="Y395" i="2" l="1"/>
  <c r="R397" i="2"/>
  <c r="P397" i="2"/>
  <c r="Q397" i="2"/>
  <c r="T397" i="2"/>
  <c r="S397" i="2"/>
  <c r="E398" i="2"/>
  <c r="F398" i="2"/>
  <c r="G398" i="2"/>
  <c r="H398" i="2"/>
  <c r="V396" i="2"/>
  <c r="N398" i="2"/>
  <c r="M398" i="2"/>
  <c r="J398" i="2"/>
  <c r="L398" i="2"/>
  <c r="K398" i="2"/>
  <c r="Q398" i="2" l="1"/>
  <c r="P398" i="2"/>
  <c r="T398" i="2"/>
  <c r="S398" i="2"/>
  <c r="R398" i="2"/>
  <c r="H399" i="2"/>
  <c r="E399" i="2"/>
  <c r="F399" i="2"/>
  <c r="G399" i="2"/>
  <c r="X396" i="2"/>
  <c r="Y396" i="2"/>
  <c r="V397" i="2"/>
  <c r="K399" i="2"/>
  <c r="N399" i="2"/>
  <c r="L399" i="2"/>
  <c r="J399" i="2"/>
  <c r="M399" i="2"/>
  <c r="T399" i="2" l="1"/>
  <c r="S399" i="2"/>
  <c r="Q399" i="2"/>
  <c r="R399" i="2"/>
  <c r="P399" i="2"/>
  <c r="E400" i="2"/>
  <c r="F400" i="2"/>
  <c r="H400" i="2"/>
  <c r="G400" i="2"/>
  <c r="X397" i="2"/>
  <c r="Y397" i="2"/>
  <c r="V398" i="2"/>
  <c r="K400" i="2"/>
  <c r="M400" i="2"/>
  <c r="J400" i="2"/>
  <c r="N400" i="2"/>
  <c r="L400" i="2"/>
  <c r="V399" i="2" l="1"/>
  <c r="Y399" i="2" s="1"/>
  <c r="P400" i="2"/>
  <c r="S400" i="2"/>
  <c r="T400" i="2"/>
  <c r="Q400" i="2"/>
  <c r="R400" i="2"/>
  <c r="F401" i="2"/>
  <c r="G401" i="2"/>
  <c r="H401" i="2"/>
  <c r="E401" i="2"/>
  <c r="X398" i="2"/>
  <c r="Y398" i="2"/>
  <c r="K401" i="2"/>
  <c r="M401" i="2"/>
  <c r="N401" i="2"/>
  <c r="J401" i="2"/>
  <c r="L401" i="2"/>
  <c r="X399" i="2" l="1"/>
  <c r="P401" i="2"/>
  <c r="Q401" i="2"/>
  <c r="S401" i="2"/>
  <c r="T401" i="2"/>
  <c r="R401" i="2"/>
  <c r="F402" i="2"/>
  <c r="E402" i="2"/>
  <c r="G402" i="2"/>
  <c r="H402" i="2"/>
  <c r="V400" i="2"/>
  <c r="L402" i="2"/>
  <c r="N402" i="2"/>
  <c r="M402" i="2"/>
  <c r="K402" i="2"/>
  <c r="J402" i="2"/>
  <c r="T402" i="2" l="1"/>
  <c r="R402" i="2"/>
  <c r="S402" i="2"/>
  <c r="Q402" i="2"/>
  <c r="P402" i="2"/>
  <c r="Y400" i="2"/>
  <c r="X400" i="2"/>
  <c r="E403" i="2"/>
  <c r="F403" i="2"/>
  <c r="G403" i="2"/>
  <c r="H403" i="2"/>
  <c r="V401" i="2"/>
  <c r="J403" i="2"/>
  <c r="L403" i="2"/>
  <c r="K403" i="2"/>
  <c r="N403" i="2"/>
  <c r="M403" i="2"/>
  <c r="V402" i="2" l="1"/>
  <c r="X402" i="2" s="1"/>
  <c r="T403" i="2"/>
  <c r="R403" i="2"/>
  <c r="Q403" i="2"/>
  <c r="S403" i="2"/>
  <c r="P403" i="2"/>
  <c r="G404" i="2"/>
  <c r="H404" i="2"/>
  <c r="E404" i="2"/>
  <c r="F404" i="2"/>
  <c r="Y401" i="2"/>
  <c r="X401" i="2"/>
  <c r="J404" i="2"/>
  <c r="M404" i="2"/>
  <c r="N404" i="2"/>
  <c r="L404" i="2"/>
  <c r="K404" i="2"/>
  <c r="V403" i="2" l="1"/>
  <c r="X403" i="2" s="1"/>
  <c r="Y402" i="2"/>
  <c r="T404" i="2"/>
  <c r="Q404" i="2"/>
  <c r="S404" i="2"/>
  <c r="R404" i="2"/>
  <c r="P404" i="2"/>
  <c r="E405" i="2"/>
  <c r="G405" i="2"/>
  <c r="F405" i="2"/>
  <c r="H405" i="2"/>
  <c r="K405" i="2"/>
  <c r="N405" i="2"/>
  <c r="M405" i="2"/>
  <c r="L405" i="2"/>
  <c r="J405" i="2"/>
  <c r="V404" i="2" l="1"/>
  <c r="X404" i="2" s="1"/>
  <c r="Y403" i="2"/>
  <c r="P405" i="2"/>
  <c r="T405" i="2"/>
  <c r="R405" i="2"/>
  <c r="S405" i="2"/>
  <c r="Q405" i="2"/>
  <c r="E406" i="2"/>
  <c r="F406" i="2"/>
  <c r="G406" i="2"/>
  <c r="H406" i="2"/>
  <c r="N406" i="2"/>
  <c r="K406" i="2"/>
  <c r="J406" i="2"/>
  <c r="L406" i="2"/>
  <c r="M406" i="2"/>
  <c r="Y404" i="2" l="1"/>
  <c r="R406" i="2"/>
  <c r="Q406" i="2"/>
  <c r="P406" i="2"/>
  <c r="T406" i="2"/>
  <c r="S406" i="2"/>
  <c r="H407" i="2"/>
  <c r="E407" i="2"/>
  <c r="F407" i="2"/>
  <c r="G407" i="2"/>
  <c r="V405" i="2"/>
  <c r="K407" i="2"/>
  <c r="L407" i="2"/>
  <c r="M407" i="2"/>
  <c r="N407" i="2"/>
  <c r="J407" i="2"/>
  <c r="T407" i="2" l="1"/>
  <c r="Q407" i="2"/>
  <c r="S407" i="2"/>
  <c r="R407" i="2"/>
  <c r="P407" i="2"/>
  <c r="V406" i="2"/>
  <c r="E408" i="2"/>
  <c r="F408" i="2"/>
  <c r="H408" i="2"/>
  <c r="G408" i="2"/>
  <c r="X405" i="2"/>
  <c r="Y405" i="2"/>
  <c r="K408" i="2"/>
  <c r="N408" i="2"/>
  <c r="M408" i="2"/>
  <c r="J408" i="2"/>
  <c r="L408" i="2"/>
  <c r="V407" i="2" l="1"/>
  <c r="X407" i="2" s="1"/>
  <c r="S408" i="2"/>
  <c r="T408" i="2"/>
  <c r="R408" i="2"/>
  <c r="P408" i="2"/>
  <c r="Q408" i="2"/>
  <c r="F409" i="2"/>
  <c r="G409" i="2"/>
  <c r="H409" i="2"/>
  <c r="E409" i="2"/>
  <c r="X406" i="2"/>
  <c r="Y406" i="2"/>
  <c r="J409" i="2"/>
  <c r="M409" i="2"/>
  <c r="L409" i="2"/>
  <c r="N409" i="2"/>
  <c r="K409" i="2"/>
  <c r="Y407" i="2" l="1"/>
  <c r="S409" i="2"/>
  <c r="R409" i="2"/>
  <c r="P409" i="2"/>
  <c r="Q409" i="2"/>
  <c r="T409" i="2"/>
  <c r="F410" i="2"/>
  <c r="E410" i="2"/>
  <c r="G410" i="2"/>
  <c r="H410" i="2"/>
  <c r="V408" i="2"/>
  <c r="L410" i="2"/>
  <c r="M410" i="2"/>
  <c r="N410" i="2"/>
  <c r="J410" i="2"/>
  <c r="K410" i="2"/>
  <c r="R410" i="2" l="1"/>
  <c r="T410" i="2"/>
  <c r="P410" i="2"/>
  <c r="S410" i="2"/>
  <c r="Q410" i="2"/>
  <c r="Y408" i="2"/>
  <c r="X408" i="2"/>
  <c r="E411" i="2"/>
  <c r="F411" i="2"/>
  <c r="G411" i="2"/>
  <c r="H411" i="2"/>
  <c r="V409" i="2"/>
  <c r="K411" i="2"/>
  <c r="J411" i="2"/>
  <c r="N411" i="2"/>
  <c r="M411" i="2"/>
  <c r="L411" i="2"/>
  <c r="S411" i="2" l="1"/>
  <c r="T411" i="2"/>
  <c r="R411" i="2"/>
  <c r="Q411" i="2"/>
  <c r="P411" i="2"/>
  <c r="G412" i="2"/>
  <c r="H412" i="2"/>
  <c r="E412" i="2"/>
  <c r="F412" i="2"/>
  <c r="Y409" i="2"/>
  <c r="X409" i="2"/>
  <c r="V410" i="2"/>
  <c r="K412" i="2"/>
  <c r="N412" i="2"/>
  <c r="M412" i="2"/>
  <c r="L412" i="2"/>
  <c r="J412" i="2"/>
  <c r="V411" i="2" l="1"/>
  <c r="X411" i="2" s="1"/>
  <c r="S412" i="2"/>
  <c r="P412" i="2"/>
  <c r="R412" i="2"/>
  <c r="Q412" i="2"/>
  <c r="T412" i="2"/>
  <c r="X410" i="2"/>
  <c r="Y410" i="2"/>
  <c r="E413" i="2"/>
  <c r="G413" i="2"/>
  <c r="H413" i="2"/>
  <c r="F413" i="2"/>
  <c r="J413" i="2"/>
  <c r="L413" i="2"/>
  <c r="K413" i="2"/>
  <c r="M413" i="2"/>
  <c r="N413" i="2"/>
  <c r="Y411" i="2" l="1"/>
  <c r="S413" i="2"/>
  <c r="Q413" i="2"/>
  <c r="T413" i="2"/>
  <c r="R413" i="2"/>
  <c r="P413" i="2"/>
  <c r="V412" i="2"/>
  <c r="E414" i="2"/>
  <c r="F414" i="2"/>
  <c r="G414" i="2"/>
  <c r="H414" i="2"/>
  <c r="L414" i="2"/>
  <c r="M414" i="2"/>
  <c r="N414" i="2"/>
  <c r="J414" i="2"/>
  <c r="K414" i="2"/>
  <c r="T414" i="2" l="1"/>
  <c r="P414" i="2"/>
  <c r="S414" i="2"/>
  <c r="R414" i="2"/>
  <c r="Q414" i="2"/>
  <c r="X412" i="2"/>
  <c r="Y412" i="2"/>
  <c r="V413" i="2"/>
  <c r="H415" i="2"/>
  <c r="E415" i="2"/>
  <c r="F415" i="2"/>
  <c r="G415" i="2"/>
  <c r="K415" i="2"/>
  <c r="N415" i="2"/>
  <c r="M415" i="2"/>
  <c r="L415" i="2"/>
  <c r="J415" i="2"/>
  <c r="S415" i="2" l="1"/>
  <c r="P415" i="2"/>
  <c r="Q415" i="2"/>
  <c r="R415" i="2"/>
  <c r="T415" i="2"/>
  <c r="X413" i="2"/>
  <c r="Y413" i="2"/>
  <c r="V414" i="2"/>
  <c r="E416" i="2"/>
  <c r="F416" i="2"/>
  <c r="H416" i="2"/>
  <c r="G416" i="2"/>
  <c r="J416" i="2"/>
  <c r="K416" i="2"/>
  <c r="L416" i="2"/>
  <c r="M416" i="2"/>
  <c r="N416" i="2"/>
  <c r="S416" i="2" l="1"/>
  <c r="P416" i="2"/>
  <c r="T416" i="2"/>
  <c r="Q416" i="2"/>
  <c r="R416" i="2"/>
  <c r="F417" i="2"/>
  <c r="G417" i="2"/>
  <c r="H417" i="2"/>
  <c r="E417" i="2"/>
  <c r="X414" i="2"/>
  <c r="Y414" i="2"/>
  <c r="V415" i="2"/>
  <c r="J417" i="2"/>
  <c r="M417" i="2"/>
  <c r="N417" i="2"/>
  <c r="L417" i="2"/>
  <c r="K417" i="2"/>
  <c r="V416" i="2" l="1"/>
  <c r="X416" i="2" s="1"/>
  <c r="Q417" i="2"/>
  <c r="R417" i="2"/>
  <c r="P417" i="2"/>
  <c r="T417" i="2"/>
  <c r="S417" i="2"/>
  <c r="F418" i="2"/>
  <c r="E418" i="2"/>
  <c r="G418" i="2"/>
  <c r="H418" i="2"/>
  <c r="Y415" i="2"/>
  <c r="X415" i="2"/>
  <c r="J418" i="2"/>
  <c r="N418" i="2"/>
  <c r="M418" i="2"/>
  <c r="K418" i="2"/>
  <c r="L418" i="2"/>
  <c r="Y416" i="2" l="1"/>
  <c r="P418" i="2"/>
  <c r="R418" i="2"/>
  <c r="T418" i="2"/>
  <c r="S418" i="2"/>
  <c r="Q418" i="2"/>
  <c r="V417" i="2"/>
  <c r="E419" i="2"/>
  <c r="F419" i="2"/>
  <c r="G419" i="2"/>
  <c r="H419" i="2"/>
  <c r="N419" i="2"/>
  <c r="K419" i="2"/>
  <c r="M419" i="2"/>
  <c r="L419" i="2"/>
  <c r="J419" i="2"/>
  <c r="R419" i="2" l="1"/>
  <c r="Q419" i="2"/>
  <c r="T419" i="2"/>
  <c r="S419" i="2"/>
  <c r="P419" i="2"/>
  <c r="Y417" i="2"/>
  <c r="X417" i="2"/>
  <c r="G420" i="2"/>
  <c r="H420" i="2"/>
  <c r="E420" i="2"/>
  <c r="F420" i="2"/>
  <c r="V418" i="2"/>
  <c r="J420" i="2"/>
  <c r="N420" i="2"/>
  <c r="M420" i="2"/>
  <c r="L420" i="2"/>
  <c r="K420" i="2"/>
  <c r="V419" i="2" l="1"/>
  <c r="X419" i="2" s="1"/>
  <c r="R420" i="2"/>
  <c r="Q420" i="2"/>
  <c r="T420" i="2"/>
  <c r="P420" i="2"/>
  <c r="S420" i="2"/>
  <c r="E421" i="2"/>
  <c r="G421" i="2"/>
  <c r="H421" i="2"/>
  <c r="F421" i="2"/>
  <c r="Y418" i="2"/>
  <c r="X418" i="2"/>
  <c r="J421" i="2"/>
  <c r="L421" i="2"/>
  <c r="M421" i="2"/>
  <c r="N421" i="2"/>
  <c r="K421" i="2"/>
  <c r="Y419" i="2" l="1"/>
  <c r="Q421" i="2"/>
  <c r="P421" i="2"/>
  <c r="R421" i="2"/>
  <c r="T421" i="2"/>
  <c r="S421" i="2"/>
  <c r="E422" i="2"/>
  <c r="F422" i="2"/>
  <c r="G422" i="2"/>
  <c r="H422" i="2"/>
  <c r="V420" i="2"/>
  <c r="N422" i="2"/>
  <c r="L422" i="2"/>
  <c r="M422" i="2"/>
  <c r="J422" i="2"/>
  <c r="K422" i="2"/>
  <c r="Q422" i="2" l="1"/>
  <c r="P422" i="2"/>
  <c r="T422" i="2"/>
  <c r="S422" i="2"/>
  <c r="R422" i="2"/>
  <c r="H423" i="2"/>
  <c r="E423" i="2"/>
  <c r="F423" i="2"/>
  <c r="G423" i="2"/>
  <c r="X420" i="2"/>
  <c r="Y420" i="2"/>
  <c r="V421" i="2"/>
  <c r="J423" i="2"/>
  <c r="L423" i="2"/>
  <c r="M423" i="2"/>
  <c r="N423" i="2"/>
  <c r="K423" i="2"/>
  <c r="T423" i="2" l="1"/>
  <c r="S423" i="2"/>
  <c r="P423" i="2"/>
  <c r="R423" i="2"/>
  <c r="Q423" i="2"/>
  <c r="X421" i="2"/>
  <c r="Y421" i="2"/>
  <c r="E424" i="2"/>
  <c r="F424" i="2"/>
  <c r="H424" i="2"/>
  <c r="G424" i="2"/>
  <c r="V422" i="2"/>
  <c r="K424" i="2"/>
  <c r="L424" i="2"/>
  <c r="J424" i="2"/>
  <c r="N424" i="2"/>
  <c r="M424" i="2"/>
  <c r="S424" i="2" l="1"/>
  <c r="R424" i="2"/>
  <c r="Q424" i="2"/>
  <c r="T424" i="2"/>
  <c r="P424" i="2"/>
  <c r="F425" i="2"/>
  <c r="G425" i="2"/>
  <c r="H425" i="2"/>
  <c r="E425" i="2"/>
  <c r="Y422" i="2"/>
  <c r="X422" i="2"/>
  <c r="V423" i="2"/>
  <c r="J425" i="2"/>
  <c r="N425" i="2"/>
  <c r="L425" i="2"/>
  <c r="K425" i="2"/>
  <c r="M425" i="2"/>
  <c r="V424" i="2" l="1"/>
  <c r="X424" i="2" s="1"/>
  <c r="R425" i="2"/>
  <c r="Q425" i="2"/>
  <c r="P425" i="2"/>
  <c r="S425" i="2"/>
  <c r="T425" i="2"/>
  <c r="X423" i="2"/>
  <c r="Y423" i="2"/>
  <c r="E426" i="2"/>
  <c r="F426" i="2"/>
  <c r="G426" i="2"/>
  <c r="H426" i="2"/>
  <c r="K426" i="2"/>
  <c r="L426" i="2"/>
  <c r="J426" i="2"/>
  <c r="M426" i="2"/>
  <c r="N426" i="2"/>
  <c r="Y424" i="2" l="1"/>
  <c r="S426" i="2"/>
  <c r="R426" i="2"/>
  <c r="T426" i="2"/>
  <c r="Q426" i="2"/>
  <c r="P426" i="2"/>
  <c r="E427" i="2"/>
  <c r="F427" i="2"/>
  <c r="G427" i="2"/>
  <c r="H427" i="2"/>
  <c r="V425" i="2"/>
  <c r="M427" i="2"/>
  <c r="K427" i="2"/>
  <c r="L427" i="2"/>
  <c r="N427" i="2"/>
  <c r="J427" i="2"/>
  <c r="V426" i="2" l="1"/>
  <c r="X426" i="2" s="1"/>
  <c r="Q427" i="2"/>
  <c r="T427" i="2"/>
  <c r="P427" i="2"/>
  <c r="S427" i="2"/>
  <c r="R427" i="2"/>
  <c r="G428" i="2"/>
  <c r="H428" i="2"/>
  <c r="E428" i="2"/>
  <c r="F428" i="2"/>
  <c r="Y425" i="2"/>
  <c r="X425" i="2"/>
  <c r="J428" i="2"/>
  <c r="M428" i="2"/>
  <c r="K428" i="2"/>
  <c r="L428" i="2"/>
  <c r="N428" i="2"/>
  <c r="Y426" i="2" l="1"/>
  <c r="Q428" i="2"/>
  <c r="P428" i="2"/>
  <c r="T428" i="2"/>
  <c r="R428" i="2"/>
  <c r="S428" i="2"/>
  <c r="E429" i="2"/>
  <c r="F429" i="2"/>
  <c r="G429" i="2"/>
  <c r="H429" i="2"/>
  <c r="V427" i="2"/>
  <c r="N429" i="2"/>
  <c r="K429" i="2"/>
  <c r="J429" i="2"/>
  <c r="L429" i="2"/>
  <c r="M429" i="2"/>
  <c r="S429" i="2" l="1"/>
  <c r="T429" i="2"/>
  <c r="R429" i="2"/>
  <c r="Q429" i="2"/>
  <c r="P429" i="2"/>
  <c r="E430" i="2"/>
  <c r="F430" i="2"/>
  <c r="G430" i="2"/>
  <c r="H430" i="2"/>
  <c r="V428" i="2"/>
  <c r="X427" i="2"/>
  <c r="Y427" i="2"/>
  <c r="J430" i="2"/>
  <c r="M430" i="2"/>
  <c r="K430" i="2"/>
  <c r="L430" i="2"/>
  <c r="N430" i="2"/>
  <c r="V429" i="2" l="1"/>
  <c r="X429" i="2" s="1"/>
  <c r="R430" i="2"/>
  <c r="P430" i="2"/>
  <c r="Q430" i="2"/>
  <c r="T430" i="2"/>
  <c r="S430" i="2"/>
  <c r="H431" i="2"/>
  <c r="E431" i="2"/>
  <c r="F431" i="2"/>
  <c r="G431" i="2"/>
  <c r="X428" i="2"/>
  <c r="Y428" i="2"/>
  <c r="K431" i="2"/>
  <c r="N431" i="2"/>
  <c r="M431" i="2"/>
  <c r="J431" i="2"/>
  <c r="L431" i="2"/>
  <c r="Y429" i="2" l="1"/>
  <c r="P431" i="2"/>
  <c r="T431" i="2"/>
  <c r="S431" i="2"/>
  <c r="R431" i="2"/>
  <c r="Q431" i="2"/>
  <c r="V430" i="2"/>
  <c r="E432" i="2"/>
  <c r="F432" i="2"/>
  <c r="G432" i="2"/>
  <c r="H432" i="2"/>
  <c r="K432" i="2"/>
  <c r="L432" i="2"/>
  <c r="M432" i="2"/>
  <c r="J432" i="2"/>
  <c r="N432" i="2"/>
  <c r="T432" i="2" l="1"/>
  <c r="Q432" i="2"/>
  <c r="R432" i="2"/>
  <c r="P432" i="2"/>
  <c r="S432" i="2"/>
  <c r="X430" i="2"/>
  <c r="Y430" i="2"/>
  <c r="F433" i="2"/>
  <c r="G433" i="2"/>
  <c r="H433" i="2"/>
  <c r="E433" i="2"/>
  <c r="V431" i="2"/>
  <c r="K433" i="2"/>
  <c r="M433" i="2"/>
  <c r="N433" i="2"/>
  <c r="J433" i="2"/>
  <c r="L433" i="2"/>
  <c r="V432" i="2" l="1"/>
  <c r="X432" i="2" s="1"/>
  <c r="Q433" i="2"/>
  <c r="S433" i="2"/>
  <c r="P433" i="2"/>
  <c r="T433" i="2"/>
  <c r="R433" i="2"/>
  <c r="E434" i="2"/>
  <c r="F434" i="2"/>
  <c r="G434" i="2"/>
  <c r="H434" i="2"/>
  <c r="X431" i="2"/>
  <c r="Y431" i="2"/>
  <c r="K434" i="2"/>
  <c r="N434" i="2"/>
  <c r="M434" i="2"/>
  <c r="L434" i="2"/>
  <c r="J434" i="2"/>
  <c r="Y432" i="2" l="1"/>
  <c r="R434" i="2"/>
  <c r="P434" i="2"/>
  <c r="T434" i="2"/>
  <c r="Q434" i="2"/>
  <c r="S434" i="2"/>
  <c r="E435" i="2"/>
  <c r="F435" i="2"/>
  <c r="G435" i="2"/>
  <c r="H435" i="2"/>
  <c r="V433" i="2"/>
  <c r="L435" i="2"/>
  <c r="N435" i="2"/>
  <c r="M435" i="2"/>
  <c r="J435" i="2"/>
  <c r="K435" i="2"/>
  <c r="T435" i="2" l="1"/>
  <c r="S435" i="2"/>
  <c r="R435" i="2"/>
  <c r="Q435" i="2"/>
  <c r="P435" i="2"/>
  <c r="F436" i="2"/>
  <c r="G436" i="2"/>
  <c r="H436" i="2"/>
  <c r="E436" i="2"/>
  <c r="Y433" i="2"/>
  <c r="X433" i="2"/>
  <c r="V434" i="2"/>
  <c r="J436" i="2"/>
  <c r="L436" i="2"/>
  <c r="M436" i="2"/>
  <c r="K436" i="2"/>
  <c r="N436" i="2"/>
  <c r="V435" i="2" l="1"/>
  <c r="Y435" i="2" s="1"/>
  <c r="S436" i="2"/>
  <c r="Q436" i="2"/>
  <c r="P436" i="2"/>
  <c r="R436" i="2"/>
  <c r="T436" i="2"/>
  <c r="E437" i="2"/>
  <c r="F437" i="2"/>
  <c r="G437" i="2"/>
  <c r="H437" i="2"/>
  <c r="X434" i="2"/>
  <c r="Y434" i="2"/>
  <c r="K437" i="2"/>
  <c r="M437" i="2"/>
  <c r="L437" i="2"/>
  <c r="N437" i="2"/>
  <c r="J437" i="2"/>
  <c r="X435" i="2" l="1"/>
  <c r="T437" i="2"/>
  <c r="R437" i="2"/>
  <c r="S437" i="2"/>
  <c r="Q437" i="2"/>
  <c r="P437" i="2"/>
  <c r="V436" i="2"/>
  <c r="E438" i="2"/>
  <c r="F438" i="2"/>
  <c r="G438" i="2"/>
  <c r="H438" i="2"/>
  <c r="L438" i="2"/>
  <c r="M438" i="2"/>
  <c r="N438" i="2"/>
  <c r="J438" i="2"/>
  <c r="K438" i="2"/>
  <c r="V437" i="2" l="1"/>
  <c r="Y437" i="2" s="1"/>
  <c r="T438" i="2"/>
  <c r="Q438" i="2"/>
  <c r="S438" i="2"/>
  <c r="R438" i="2"/>
  <c r="P438" i="2"/>
  <c r="Y436" i="2"/>
  <c r="X436" i="2"/>
  <c r="G439" i="2"/>
  <c r="H439" i="2"/>
  <c r="E439" i="2"/>
  <c r="F439" i="2"/>
  <c r="K439" i="2"/>
  <c r="M439" i="2"/>
  <c r="J439" i="2"/>
  <c r="N439" i="2"/>
  <c r="L439" i="2"/>
  <c r="V438" i="2" l="1"/>
  <c r="X438" i="2" s="1"/>
  <c r="X437" i="2"/>
  <c r="Q439" i="2"/>
  <c r="P439" i="2"/>
  <c r="S439" i="2"/>
  <c r="R439" i="2"/>
  <c r="T439" i="2"/>
  <c r="E440" i="2"/>
  <c r="F440" i="2"/>
  <c r="G440" i="2"/>
  <c r="H440" i="2"/>
  <c r="N440" i="2"/>
  <c r="L440" i="2"/>
  <c r="M440" i="2"/>
  <c r="J440" i="2"/>
  <c r="K440" i="2"/>
  <c r="Y438" i="2" l="1"/>
  <c r="R440" i="2"/>
  <c r="T440" i="2"/>
  <c r="P440" i="2"/>
  <c r="S440" i="2"/>
  <c r="Q440" i="2"/>
  <c r="V439" i="2"/>
  <c r="E441" i="2"/>
  <c r="F441" i="2"/>
  <c r="G441" i="2"/>
  <c r="H441" i="2"/>
  <c r="N441" i="2"/>
  <c r="M441" i="2"/>
  <c r="L441" i="2"/>
  <c r="K441" i="2"/>
  <c r="J441" i="2"/>
  <c r="P441" i="2" l="1"/>
  <c r="S441" i="2"/>
  <c r="T441" i="2"/>
  <c r="R441" i="2"/>
  <c r="Q441" i="2"/>
  <c r="H442" i="2"/>
  <c r="E442" i="2"/>
  <c r="F442" i="2"/>
  <c r="G442" i="2"/>
  <c r="X439" i="2"/>
  <c r="Y439" i="2"/>
  <c r="V440" i="2"/>
  <c r="J442" i="2"/>
  <c r="M442" i="2"/>
  <c r="K442" i="2"/>
  <c r="N442" i="2"/>
  <c r="L442" i="2"/>
  <c r="P442" i="2" l="1"/>
  <c r="T442" i="2"/>
  <c r="S442" i="2"/>
  <c r="R442" i="2"/>
  <c r="Q442" i="2"/>
  <c r="X440" i="2"/>
  <c r="Y440" i="2"/>
  <c r="E443" i="2"/>
  <c r="F443" i="2"/>
  <c r="G443" i="2"/>
  <c r="H443" i="2"/>
  <c r="V441" i="2"/>
  <c r="J443" i="2"/>
  <c r="M443" i="2"/>
  <c r="N443" i="2"/>
  <c r="L443" i="2"/>
  <c r="K443" i="2"/>
  <c r="Q443" i="2" l="1"/>
  <c r="T443" i="2"/>
  <c r="R443" i="2"/>
  <c r="P443" i="2"/>
  <c r="S443" i="2"/>
  <c r="X441" i="2"/>
  <c r="Y441" i="2"/>
  <c r="F444" i="2"/>
  <c r="G444" i="2"/>
  <c r="H444" i="2"/>
  <c r="E444" i="2"/>
  <c r="V442" i="2"/>
  <c r="J444" i="2"/>
  <c r="M444" i="2"/>
  <c r="N444" i="2"/>
  <c r="K444" i="2"/>
  <c r="L444" i="2"/>
  <c r="V443" i="2" l="1"/>
  <c r="Y443" i="2" s="1"/>
  <c r="Q444" i="2"/>
  <c r="S444" i="2"/>
  <c r="P444" i="2"/>
  <c r="T444" i="2"/>
  <c r="R444" i="2"/>
  <c r="Y442" i="2"/>
  <c r="X442" i="2"/>
  <c r="E445" i="2"/>
  <c r="F445" i="2"/>
  <c r="G445" i="2"/>
  <c r="H445" i="2"/>
  <c r="J445" i="2"/>
  <c r="M445" i="2"/>
  <c r="N445" i="2"/>
  <c r="K445" i="2"/>
  <c r="L445" i="2"/>
  <c r="X443" i="2" l="1"/>
  <c r="T445" i="2"/>
  <c r="S445" i="2"/>
  <c r="Q445" i="2"/>
  <c r="P445" i="2"/>
  <c r="R445" i="2"/>
  <c r="V444" i="2"/>
  <c r="E446" i="2"/>
  <c r="F446" i="2"/>
  <c r="G446" i="2"/>
  <c r="H446" i="2"/>
  <c r="M446" i="2"/>
  <c r="J446" i="2"/>
  <c r="N446" i="2"/>
  <c r="L446" i="2"/>
  <c r="K446" i="2"/>
  <c r="V445" i="2" l="1"/>
  <c r="X445" i="2" s="1"/>
  <c r="T446" i="2"/>
  <c r="R446" i="2"/>
  <c r="S446" i="2"/>
  <c r="Q446" i="2"/>
  <c r="P446" i="2"/>
  <c r="G447" i="2"/>
  <c r="H447" i="2"/>
  <c r="E447" i="2"/>
  <c r="F447" i="2"/>
  <c r="Y444" i="2"/>
  <c r="X444" i="2"/>
  <c r="K447" i="2"/>
  <c r="L447" i="2"/>
  <c r="M447" i="2"/>
  <c r="N447" i="2"/>
  <c r="J447" i="2"/>
  <c r="V446" i="2" l="1"/>
  <c r="X446" i="2" s="1"/>
  <c r="Y445" i="2"/>
  <c r="S447" i="2"/>
  <c r="T447" i="2"/>
  <c r="Q447" i="2"/>
  <c r="R447" i="2"/>
  <c r="P447" i="2"/>
  <c r="E448" i="2"/>
  <c r="F448" i="2"/>
  <c r="G448" i="2"/>
  <c r="H448" i="2"/>
  <c r="L448" i="2"/>
  <c r="N448" i="2"/>
  <c r="M448" i="2"/>
  <c r="J448" i="2"/>
  <c r="K448" i="2"/>
  <c r="Y446" i="2" l="1"/>
  <c r="V447" i="2"/>
  <c r="X447" i="2" s="1"/>
  <c r="Q448" i="2"/>
  <c r="T448" i="2"/>
  <c r="S448" i="2"/>
  <c r="R448" i="2"/>
  <c r="P448" i="2"/>
  <c r="E449" i="2"/>
  <c r="F449" i="2"/>
  <c r="G449" i="2"/>
  <c r="H449" i="2"/>
  <c r="L449" i="2"/>
  <c r="N449" i="2"/>
  <c r="M449" i="2"/>
  <c r="K449" i="2"/>
  <c r="J449" i="2"/>
  <c r="V448" i="2" l="1"/>
  <c r="X448" i="2" s="1"/>
  <c r="Y447" i="2"/>
  <c r="S449" i="2"/>
  <c r="R449" i="2"/>
  <c r="P449" i="2"/>
  <c r="T449" i="2"/>
  <c r="Q449" i="2"/>
  <c r="H450" i="2"/>
  <c r="E450" i="2"/>
  <c r="F450" i="2"/>
  <c r="G450" i="2"/>
  <c r="N450" i="2"/>
  <c r="M450" i="2"/>
  <c r="K450" i="2"/>
  <c r="L450" i="2"/>
  <c r="J450" i="2"/>
  <c r="Y448" i="2" l="1"/>
  <c r="S450" i="2"/>
  <c r="R450" i="2"/>
  <c r="Q450" i="2"/>
  <c r="P450" i="2"/>
  <c r="T450" i="2"/>
  <c r="V449" i="2"/>
  <c r="E451" i="2"/>
  <c r="F451" i="2"/>
  <c r="G451" i="2"/>
  <c r="H451" i="2"/>
  <c r="L451" i="2"/>
  <c r="M451" i="2"/>
  <c r="J451" i="2"/>
  <c r="N451" i="2"/>
  <c r="K451" i="2"/>
  <c r="T451" i="2" l="1"/>
  <c r="S451" i="2"/>
  <c r="Q451" i="2"/>
  <c r="R451" i="2"/>
  <c r="P451" i="2"/>
  <c r="F452" i="2"/>
  <c r="G452" i="2"/>
  <c r="H452" i="2"/>
  <c r="E452" i="2"/>
  <c r="Y449" i="2"/>
  <c r="X449" i="2"/>
  <c r="V450" i="2"/>
  <c r="J452" i="2"/>
  <c r="K452" i="2"/>
  <c r="N452" i="2"/>
  <c r="M452" i="2"/>
  <c r="L452" i="2"/>
  <c r="V451" i="2" l="1"/>
  <c r="X451" i="2" s="1"/>
  <c r="R452" i="2"/>
  <c r="S452" i="2"/>
  <c r="Q452" i="2"/>
  <c r="P452" i="2"/>
  <c r="T452" i="2"/>
  <c r="E453" i="2"/>
  <c r="F453" i="2"/>
  <c r="G453" i="2"/>
  <c r="H453" i="2"/>
  <c r="Y450" i="2"/>
  <c r="X450" i="2"/>
  <c r="J453" i="2"/>
  <c r="N453" i="2"/>
  <c r="L453" i="2"/>
  <c r="K453" i="2"/>
  <c r="M453" i="2"/>
  <c r="Y451" i="2" l="1"/>
  <c r="S453" i="2"/>
  <c r="T453" i="2"/>
  <c r="R453" i="2"/>
  <c r="Q453" i="2"/>
  <c r="P453" i="2"/>
  <c r="E454" i="2"/>
  <c r="F454" i="2"/>
  <c r="G454" i="2"/>
  <c r="H454" i="2"/>
  <c r="V452" i="2"/>
  <c r="L454" i="2"/>
  <c r="N454" i="2"/>
  <c r="M454" i="2"/>
  <c r="J454" i="2"/>
  <c r="K454" i="2"/>
  <c r="V453" i="2" l="1"/>
  <c r="X453" i="2" s="1"/>
  <c r="T454" i="2"/>
  <c r="S454" i="2"/>
  <c r="R454" i="2"/>
  <c r="Q454" i="2"/>
  <c r="P454" i="2"/>
  <c r="G455" i="2"/>
  <c r="H455" i="2"/>
  <c r="E455" i="2"/>
  <c r="F455" i="2"/>
  <c r="X452" i="2"/>
  <c r="Y452" i="2"/>
  <c r="J455" i="2"/>
  <c r="N455" i="2"/>
  <c r="K455" i="2"/>
  <c r="L455" i="2"/>
  <c r="M455" i="2"/>
  <c r="V454" i="2" l="1"/>
  <c r="X454" i="2" s="1"/>
  <c r="Y453" i="2"/>
  <c r="T455" i="2"/>
  <c r="R455" i="2"/>
  <c r="S455" i="2"/>
  <c r="Q455" i="2"/>
  <c r="P455" i="2"/>
  <c r="E456" i="2"/>
  <c r="F456" i="2"/>
  <c r="G456" i="2"/>
  <c r="H456" i="2"/>
  <c r="L456" i="2"/>
  <c r="M456" i="2"/>
  <c r="K456" i="2"/>
  <c r="N456" i="2"/>
  <c r="J456" i="2"/>
  <c r="Y454" i="2" l="1"/>
  <c r="V455" i="2"/>
  <c r="Y455" i="2" s="1"/>
  <c r="P456" i="2"/>
  <c r="S456" i="2"/>
  <c r="T456" i="2"/>
  <c r="R456" i="2"/>
  <c r="Q456" i="2"/>
  <c r="E457" i="2"/>
  <c r="F457" i="2"/>
  <c r="G457" i="2"/>
  <c r="H457" i="2"/>
  <c r="N457" i="2"/>
  <c r="L457" i="2"/>
  <c r="J457" i="2"/>
  <c r="K457" i="2"/>
  <c r="M457" i="2"/>
  <c r="X455" i="2" l="1"/>
  <c r="Q457" i="2"/>
  <c r="P457" i="2"/>
  <c r="T457" i="2"/>
  <c r="S457" i="2"/>
  <c r="R457" i="2"/>
  <c r="H458" i="2"/>
  <c r="E458" i="2"/>
  <c r="F458" i="2"/>
  <c r="G458" i="2"/>
  <c r="V456" i="2"/>
  <c r="L458" i="2"/>
  <c r="J458" i="2"/>
  <c r="N458" i="2"/>
  <c r="M458" i="2"/>
  <c r="K458" i="2"/>
  <c r="T458" i="2" l="1"/>
  <c r="P458" i="2"/>
  <c r="S458" i="2"/>
  <c r="R458" i="2"/>
  <c r="Q458" i="2"/>
  <c r="X456" i="2"/>
  <c r="Y456" i="2"/>
  <c r="E459" i="2"/>
  <c r="F459" i="2"/>
  <c r="G459" i="2"/>
  <c r="H459" i="2"/>
  <c r="V457" i="2"/>
  <c r="K459" i="2"/>
  <c r="M459" i="2"/>
  <c r="N459" i="2"/>
  <c r="L459" i="2"/>
  <c r="J459" i="2"/>
  <c r="T459" i="2" l="1"/>
  <c r="S459" i="2"/>
  <c r="R459" i="2"/>
  <c r="Q459" i="2"/>
  <c r="P459" i="2"/>
  <c r="F460" i="2"/>
  <c r="G460" i="2"/>
  <c r="H460" i="2"/>
  <c r="E460" i="2"/>
  <c r="Y457" i="2"/>
  <c r="X457" i="2"/>
  <c r="V458" i="2"/>
  <c r="K460" i="2"/>
  <c r="L460" i="2"/>
  <c r="M460" i="2"/>
  <c r="J460" i="2"/>
  <c r="N460" i="2"/>
  <c r="V459" i="2" l="1"/>
  <c r="X459" i="2" s="1"/>
  <c r="R460" i="2"/>
  <c r="Q460" i="2"/>
  <c r="S460" i="2"/>
  <c r="P460" i="2"/>
  <c r="T460" i="2"/>
  <c r="Y458" i="2"/>
  <c r="X458" i="2"/>
  <c r="E461" i="2"/>
  <c r="F461" i="2"/>
  <c r="G461" i="2"/>
  <c r="H461" i="2"/>
  <c r="K461" i="2"/>
  <c r="N461" i="2"/>
  <c r="M461" i="2"/>
  <c r="J461" i="2"/>
  <c r="L461" i="2"/>
  <c r="Y459" i="2" l="1"/>
  <c r="T461" i="2"/>
  <c r="R461" i="2"/>
  <c r="P461" i="2"/>
  <c r="S461" i="2"/>
  <c r="Q461" i="2"/>
  <c r="V460" i="2"/>
  <c r="E462" i="2"/>
  <c r="F462" i="2"/>
  <c r="G462" i="2"/>
  <c r="H462" i="2"/>
  <c r="N462" i="2"/>
  <c r="M462" i="2"/>
  <c r="J462" i="2"/>
  <c r="K462" i="2"/>
  <c r="L462" i="2"/>
  <c r="T462" i="2" l="1"/>
  <c r="Q462" i="2"/>
  <c r="R462" i="2"/>
  <c r="S462" i="2"/>
  <c r="P462" i="2"/>
  <c r="X460" i="2"/>
  <c r="Y460" i="2"/>
  <c r="V461" i="2"/>
  <c r="G463" i="2"/>
  <c r="H463" i="2"/>
  <c r="E463" i="2"/>
  <c r="F463" i="2"/>
  <c r="J463" i="2"/>
  <c r="N463" i="2"/>
  <c r="K463" i="2"/>
  <c r="L463" i="2"/>
  <c r="M463" i="2"/>
  <c r="V462" i="2" l="1"/>
  <c r="X462" i="2" s="1"/>
  <c r="R463" i="2"/>
  <c r="Q463" i="2"/>
  <c r="P463" i="2"/>
  <c r="T463" i="2"/>
  <c r="S463" i="2"/>
  <c r="X461" i="2"/>
  <c r="Y461" i="2"/>
  <c r="E464" i="2"/>
  <c r="F464" i="2"/>
  <c r="G464" i="2"/>
  <c r="H464" i="2"/>
  <c r="J464" i="2"/>
  <c r="N464" i="2"/>
  <c r="M464" i="2"/>
  <c r="K464" i="2"/>
  <c r="L464" i="2"/>
  <c r="Y462" i="2" l="1"/>
  <c r="S464" i="2"/>
  <c r="Q464" i="2"/>
  <c r="T464" i="2"/>
  <c r="R464" i="2"/>
  <c r="P464" i="2"/>
  <c r="E465" i="2"/>
  <c r="F465" i="2"/>
  <c r="G465" i="2"/>
  <c r="H465" i="2"/>
  <c r="V463" i="2"/>
  <c r="M465" i="2"/>
  <c r="K465" i="2"/>
  <c r="N465" i="2"/>
  <c r="L465" i="2"/>
  <c r="J465" i="2"/>
  <c r="Q465" i="2" l="1"/>
  <c r="R465" i="2"/>
  <c r="P465" i="2"/>
  <c r="T465" i="2"/>
  <c r="S465" i="2"/>
  <c r="X463" i="2"/>
  <c r="Y463" i="2"/>
  <c r="H466" i="2"/>
  <c r="E466" i="2"/>
  <c r="F466" i="2"/>
  <c r="G466" i="2"/>
  <c r="V464" i="2"/>
  <c r="K466" i="2"/>
  <c r="M466" i="2"/>
  <c r="J466" i="2"/>
  <c r="L466" i="2"/>
  <c r="N466" i="2"/>
  <c r="V465" i="2" l="1"/>
  <c r="Y465" i="2" s="1"/>
  <c r="S466" i="2"/>
  <c r="R466" i="2"/>
  <c r="P466" i="2"/>
  <c r="Q466" i="2"/>
  <c r="T466" i="2"/>
  <c r="E467" i="2"/>
  <c r="F467" i="2"/>
  <c r="G467" i="2"/>
  <c r="H467" i="2"/>
  <c r="X464" i="2"/>
  <c r="Y464" i="2"/>
  <c r="K467" i="2"/>
  <c r="J467" i="2"/>
  <c r="L467" i="2"/>
  <c r="N467" i="2"/>
  <c r="M467" i="2"/>
  <c r="X465" i="2" l="1"/>
  <c r="P467" i="2"/>
  <c r="T467" i="2"/>
  <c r="S467" i="2"/>
  <c r="R467" i="2"/>
  <c r="Q467" i="2"/>
  <c r="F468" i="2"/>
  <c r="G468" i="2"/>
  <c r="H468" i="2"/>
  <c r="E468" i="2"/>
  <c r="V466" i="2"/>
  <c r="N468" i="2"/>
  <c r="M468" i="2"/>
  <c r="J468" i="2"/>
  <c r="L468" i="2"/>
  <c r="K468" i="2"/>
  <c r="S468" i="2" l="1"/>
  <c r="Q468" i="2"/>
  <c r="P468" i="2"/>
  <c r="R468" i="2"/>
  <c r="T468" i="2"/>
  <c r="Y466" i="2"/>
  <c r="X466" i="2"/>
  <c r="E469" i="2"/>
  <c r="F469" i="2"/>
  <c r="G469" i="2"/>
  <c r="H469" i="2"/>
  <c r="V467" i="2"/>
  <c r="J469" i="2"/>
  <c r="L469" i="2"/>
  <c r="N469" i="2"/>
  <c r="M469" i="2"/>
  <c r="K469" i="2"/>
  <c r="S469" i="2" l="1"/>
  <c r="T469" i="2"/>
  <c r="R469" i="2"/>
  <c r="Q469" i="2"/>
  <c r="P469" i="2"/>
  <c r="E470" i="2"/>
  <c r="F470" i="2"/>
  <c r="G470" i="2"/>
  <c r="H470" i="2"/>
  <c r="V468" i="2"/>
  <c r="X467" i="2"/>
  <c r="Y467" i="2"/>
  <c r="J470" i="2"/>
  <c r="K470" i="2"/>
  <c r="N470" i="2"/>
  <c r="L470" i="2"/>
  <c r="M470" i="2"/>
  <c r="V469" i="2" l="1"/>
  <c r="X469" i="2" s="1"/>
  <c r="Q470" i="2"/>
  <c r="T470" i="2"/>
  <c r="P470" i="2"/>
  <c r="S470" i="2"/>
  <c r="R470" i="2"/>
  <c r="G471" i="2"/>
  <c r="H471" i="2"/>
  <c r="E471" i="2"/>
  <c r="F471" i="2"/>
  <c r="X468" i="2"/>
  <c r="Y468" i="2"/>
  <c r="N471" i="2"/>
  <c r="J471" i="2"/>
  <c r="M471" i="2"/>
  <c r="L471" i="2"/>
  <c r="K471" i="2"/>
  <c r="Y469" i="2" l="1"/>
  <c r="P471" i="2"/>
  <c r="R471" i="2"/>
  <c r="Q471" i="2"/>
  <c r="T471" i="2"/>
  <c r="S471" i="2"/>
  <c r="V470" i="2"/>
  <c r="E472" i="2"/>
  <c r="F472" i="2"/>
  <c r="G472" i="2"/>
  <c r="H472" i="2"/>
  <c r="N472" i="2"/>
  <c r="L472" i="2"/>
  <c r="M472" i="2"/>
  <c r="K472" i="2"/>
  <c r="J472" i="2"/>
  <c r="T472" i="2" l="1"/>
  <c r="S472" i="2"/>
  <c r="Q472" i="2"/>
  <c r="P472" i="2"/>
  <c r="R472" i="2"/>
  <c r="X470" i="2"/>
  <c r="Y470" i="2"/>
  <c r="E473" i="2"/>
  <c r="F473" i="2"/>
  <c r="G473" i="2"/>
  <c r="H473" i="2"/>
  <c r="V471" i="2"/>
  <c r="K473" i="2"/>
  <c r="M473" i="2"/>
  <c r="N473" i="2"/>
  <c r="J473" i="2"/>
  <c r="L473" i="2"/>
  <c r="S473" i="2" l="1"/>
  <c r="P473" i="2"/>
  <c r="T473" i="2"/>
  <c r="R473" i="2"/>
  <c r="Q473" i="2"/>
  <c r="V472" i="2"/>
  <c r="X471" i="2"/>
  <c r="Y471" i="2"/>
  <c r="H474" i="2"/>
  <c r="E474" i="2"/>
  <c r="F474" i="2"/>
  <c r="G474" i="2"/>
  <c r="K474" i="2"/>
  <c r="M474" i="2"/>
  <c r="L474" i="2"/>
  <c r="J474" i="2"/>
  <c r="N474" i="2"/>
  <c r="S474" i="2" l="1"/>
  <c r="P474" i="2"/>
  <c r="Q474" i="2"/>
  <c r="R474" i="2"/>
  <c r="T474" i="2"/>
  <c r="X472" i="2"/>
  <c r="Y472" i="2"/>
  <c r="E475" i="2"/>
  <c r="F475" i="2"/>
  <c r="G475" i="2"/>
  <c r="H475" i="2"/>
  <c r="V473" i="2"/>
  <c r="J475" i="2"/>
  <c r="N475" i="2"/>
  <c r="L475" i="2"/>
  <c r="M475" i="2"/>
  <c r="K475" i="2"/>
  <c r="S475" i="2" l="1"/>
  <c r="T475" i="2"/>
  <c r="R475" i="2"/>
  <c r="Q475" i="2"/>
  <c r="P475" i="2"/>
  <c r="X473" i="2"/>
  <c r="Y473" i="2"/>
  <c r="F476" i="2"/>
  <c r="G476" i="2"/>
  <c r="H476" i="2"/>
  <c r="E476" i="2"/>
  <c r="V474" i="2"/>
  <c r="K476" i="2"/>
  <c r="M476" i="2"/>
  <c r="N476" i="2"/>
  <c r="L476" i="2"/>
  <c r="J476" i="2"/>
  <c r="V475" i="2" l="1"/>
  <c r="Y475" i="2" s="1"/>
  <c r="Q476" i="2"/>
  <c r="P476" i="2"/>
  <c r="R476" i="2"/>
  <c r="T476" i="2"/>
  <c r="S476" i="2"/>
  <c r="Y474" i="2"/>
  <c r="X474" i="2"/>
  <c r="E477" i="2"/>
  <c r="F477" i="2"/>
  <c r="G477" i="2"/>
  <c r="H477" i="2"/>
  <c r="J477" i="2"/>
  <c r="M477" i="2"/>
  <c r="N477" i="2"/>
  <c r="K477" i="2"/>
  <c r="L477" i="2"/>
  <c r="X475" i="2" l="1"/>
  <c r="V476" i="2"/>
  <c r="Y476" i="2" s="1"/>
  <c r="S477" i="2"/>
  <c r="Q477" i="2"/>
  <c r="R477" i="2"/>
  <c r="P477" i="2"/>
  <c r="T477" i="2"/>
  <c r="E478" i="2"/>
  <c r="F478" i="2"/>
  <c r="G478" i="2"/>
  <c r="H478" i="2"/>
  <c r="M478" i="2"/>
  <c r="L478" i="2"/>
  <c r="K478" i="2"/>
  <c r="J478" i="2"/>
  <c r="N478" i="2"/>
  <c r="X476" i="2" l="1"/>
  <c r="Q478" i="2"/>
  <c r="P478" i="2"/>
  <c r="T478" i="2"/>
  <c r="S478" i="2"/>
  <c r="R478" i="2"/>
  <c r="V477" i="2"/>
  <c r="G479" i="2"/>
  <c r="H479" i="2"/>
  <c r="E479" i="2"/>
  <c r="F479" i="2"/>
  <c r="J479" i="2"/>
  <c r="N479" i="2"/>
  <c r="L479" i="2"/>
  <c r="M479" i="2"/>
  <c r="K479" i="2"/>
  <c r="S479" i="2" l="1"/>
  <c r="Q479" i="2"/>
  <c r="R479" i="2"/>
  <c r="P479" i="2"/>
  <c r="T479" i="2"/>
  <c r="E480" i="2"/>
  <c r="F480" i="2"/>
  <c r="G480" i="2"/>
  <c r="H480" i="2"/>
  <c r="V478" i="2"/>
  <c r="X477" i="2"/>
  <c r="Y477" i="2"/>
  <c r="J480" i="2"/>
  <c r="K480" i="2"/>
  <c r="M480" i="2"/>
  <c r="N480" i="2"/>
  <c r="L480" i="2"/>
  <c r="V479" i="2" l="1"/>
  <c r="X479" i="2" s="1"/>
  <c r="Q480" i="2"/>
  <c r="T480" i="2"/>
  <c r="S480" i="2"/>
  <c r="P480" i="2"/>
  <c r="R480" i="2"/>
  <c r="E481" i="2"/>
  <c r="F481" i="2"/>
  <c r="G481" i="2"/>
  <c r="H481" i="2"/>
  <c r="X478" i="2"/>
  <c r="Y478" i="2"/>
  <c r="J481" i="2"/>
  <c r="M481" i="2"/>
  <c r="L481" i="2"/>
  <c r="K481" i="2"/>
  <c r="N481" i="2"/>
  <c r="Y479" i="2" l="1"/>
  <c r="P481" i="2"/>
  <c r="S481" i="2"/>
  <c r="T481" i="2"/>
  <c r="Q481" i="2"/>
  <c r="R481" i="2"/>
  <c r="V480" i="2"/>
  <c r="H482" i="2"/>
  <c r="E482" i="2"/>
  <c r="F482" i="2"/>
  <c r="G482" i="2"/>
  <c r="L482" i="2"/>
  <c r="M482" i="2"/>
  <c r="K482" i="2"/>
  <c r="N482" i="2"/>
  <c r="J482" i="2"/>
  <c r="Q482" i="2" l="1"/>
  <c r="S482" i="2"/>
  <c r="R482" i="2"/>
  <c r="P482" i="2"/>
  <c r="T482" i="2"/>
  <c r="X480" i="2"/>
  <c r="Y480" i="2"/>
  <c r="E483" i="2"/>
  <c r="F483" i="2"/>
  <c r="G483" i="2"/>
  <c r="H483" i="2"/>
  <c r="V481" i="2"/>
  <c r="K483" i="2"/>
  <c r="M483" i="2"/>
  <c r="N483" i="2"/>
  <c r="L483" i="2"/>
  <c r="J483" i="2"/>
  <c r="V482" i="2" l="1"/>
  <c r="X482" i="2" s="1"/>
  <c r="S483" i="2"/>
  <c r="T483" i="2"/>
  <c r="R483" i="2"/>
  <c r="Q483" i="2"/>
  <c r="P483" i="2"/>
  <c r="F484" i="2"/>
  <c r="G484" i="2"/>
  <c r="H484" i="2"/>
  <c r="E484" i="2"/>
  <c r="X481" i="2"/>
  <c r="Y481" i="2"/>
  <c r="K484" i="2"/>
  <c r="N484" i="2"/>
  <c r="J484" i="2"/>
  <c r="L484" i="2"/>
  <c r="M484" i="2"/>
  <c r="Y482" i="2" l="1"/>
  <c r="R484" i="2"/>
  <c r="S484" i="2"/>
  <c r="Q484" i="2"/>
  <c r="P484" i="2"/>
  <c r="T484" i="2"/>
  <c r="E485" i="2"/>
  <c r="F485" i="2"/>
  <c r="G485" i="2"/>
  <c r="H485" i="2"/>
  <c r="V483" i="2"/>
  <c r="L485" i="2"/>
  <c r="N485" i="2"/>
  <c r="K485" i="2"/>
  <c r="M485" i="2"/>
  <c r="J485" i="2"/>
  <c r="Q485" i="2" l="1"/>
  <c r="T485" i="2"/>
  <c r="S485" i="2"/>
  <c r="R485" i="2"/>
  <c r="P485" i="2"/>
  <c r="E486" i="2"/>
  <c r="F486" i="2"/>
  <c r="G486" i="2"/>
  <c r="H486" i="2"/>
  <c r="Y483" i="2"/>
  <c r="X483" i="2"/>
  <c r="V484" i="2"/>
  <c r="K486" i="2"/>
  <c r="N486" i="2"/>
  <c r="J486" i="2"/>
  <c r="L486" i="2"/>
  <c r="M486" i="2"/>
  <c r="V485" i="2" l="1"/>
  <c r="X485" i="2" s="1"/>
  <c r="P486" i="2"/>
  <c r="T486" i="2"/>
  <c r="S486" i="2"/>
  <c r="Q486" i="2"/>
  <c r="R486" i="2"/>
  <c r="X484" i="2"/>
  <c r="Y484" i="2"/>
  <c r="G487" i="2"/>
  <c r="H487" i="2"/>
  <c r="E487" i="2"/>
  <c r="F487" i="2"/>
  <c r="K487" i="2"/>
  <c r="L487" i="2"/>
  <c r="M487" i="2"/>
  <c r="N487" i="2"/>
  <c r="J487" i="2"/>
  <c r="Y485" i="2" l="1"/>
  <c r="R487" i="2"/>
  <c r="P487" i="2"/>
  <c r="Q487" i="2"/>
  <c r="T487" i="2"/>
  <c r="S487" i="2"/>
  <c r="E488" i="2"/>
  <c r="F488" i="2"/>
  <c r="G488" i="2"/>
  <c r="H488" i="2"/>
  <c r="V486" i="2"/>
  <c r="N488" i="2"/>
  <c r="L488" i="2"/>
  <c r="M488" i="2"/>
  <c r="K488" i="2"/>
  <c r="J488" i="2"/>
  <c r="T488" i="2" l="1"/>
  <c r="P488" i="2"/>
  <c r="S488" i="2"/>
  <c r="R488" i="2"/>
  <c r="Q488" i="2"/>
  <c r="X486" i="2"/>
  <c r="Y486" i="2"/>
  <c r="V487" i="2"/>
  <c r="E489" i="2"/>
  <c r="F489" i="2"/>
  <c r="G489" i="2"/>
  <c r="H489" i="2"/>
  <c r="J489" i="2"/>
  <c r="L489" i="2"/>
  <c r="M489" i="2"/>
  <c r="N489" i="2"/>
  <c r="K489" i="2"/>
  <c r="P489" i="2" l="1"/>
  <c r="Q489" i="2"/>
  <c r="T489" i="2"/>
  <c r="S489" i="2"/>
  <c r="R489" i="2"/>
  <c r="Y487" i="2"/>
  <c r="X487" i="2"/>
  <c r="V488" i="2"/>
  <c r="H490" i="2"/>
  <c r="E490" i="2"/>
  <c r="F490" i="2"/>
  <c r="G490" i="2"/>
  <c r="J490" i="2"/>
  <c r="N490" i="2"/>
  <c r="M490" i="2"/>
  <c r="K490" i="2"/>
  <c r="L490" i="2"/>
  <c r="S490" i="2" l="1"/>
  <c r="Q490" i="2"/>
  <c r="T490" i="2"/>
  <c r="P490" i="2"/>
  <c r="R490" i="2"/>
  <c r="E491" i="2"/>
  <c r="F491" i="2"/>
  <c r="G491" i="2"/>
  <c r="H491" i="2"/>
  <c r="X488" i="2"/>
  <c r="Y488" i="2"/>
  <c r="V489" i="2"/>
  <c r="K491" i="2"/>
  <c r="L491" i="2"/>
  <c r="J491" i="2"/>
  <c r="N491" i="2"/>
  <c r="M491" i="2"/>
  <c r="P491" i="2" l="1"/>
  <c r="R491" i="2"/>
  <c r="T491" i="2"/>
  <c r="S491" i="2"/>
  <c r="Q491" i="2"/>
  <c r="V490" i="2"/>
  <c r="X489" i="2"/>
  <c r="Y489" i="2"/>
  <c r="F492" i="2"/>
  <c r="G492" i="2"/>
  <c r="H492" i="2"/>
  <c r="E492" i="2"/>
  <c r="J492" i="2"/>
  <c r="L492" i="2"/>
  <c r="M492" i="2"/>
  <c r="N492" i="2"/>
  <c r="K492" i="2"/>
  <c r="P492" i="2" l="1"/>
  <c r="T492" i="2"/>
  <c r="Q492" i="2"/>
  <c r="S492" i="2"/>
  <c r="R492" i="2"/>
  <c r="E493" i="2"/>
  <c r="F493" i="2"/>
  <c r="G493" i="2"/>
  <c r="H493" i="2"/>
  <c r="Y490" i="2"/>
  <c r="X490" i="2"/>
  <c r="V491" i="2"/>
  <c r="J493" i="2"/>
  <c r="N493" i="2"/>
  <c r="L493" i="2"/>
  <c r="M493" i="2"/>
  <c r="K493" i="2"/>
  <c r="Q493" i="2" l="1"/>
  <c r="P493" i="2"/>
  <c r="T493" i="2"/>
  <c r="S493" i="2"/>
  <c r="R493" i="2"/>
  <c r="Y491" i="2"/>
  <c r="X491" i="2"/>
  <c r="E494" i="2"/>
  <c r="F494" i="2"/>
  <c r="G494" i="2"/>
  <c r="H494" i="2"/>
  <c r="V492" i="2"/>
  <c r="J494" i="2"/>
  <c r="L494" i="2"/>
  <c r="K494" i="2"/>
  <c r="N494" i="2"/>
  <c r="M494" i="2"/>
  <c r="T494" i="2" l="1"/>
  <c r="S494" i="2"/>
  <c r="R494" i="2"/>
  <c r="Q494" i="2"/>
  <c r="P494" i="2"/>
  <c r="X492" i="2"/>
  <c r="Y492" i="2"/>
  <c r="V493" i="2"/>
  <c r="G495" i="2"/>
  <c r="H495" i="2"/>
  <c r="E495" i="2"/>
  <c r="F495" i="2"/>
  <c r="K495" i="2"/>
  <c r="M495" i="2"/>
  <c r="N495" i="2"/>
  <c r="J495" i="2"/>
  <c r="L495" i="2"/>
  <c r="V494" i="2" l="1"/>
  <c r="Y494" i="2" s="1"/>
  <c r="Q495" i="2"/>
  <c r="R495" i="2"/>
  <c r="P495" i="2"/>
  <c r="T495" i="2"/>
  <c r="S495" i="2"/>
  <c r="X493" i="2"/>
  <c r="Y493" i="2"/>
  <c r="E496" i="2"/>
  <c r="F496" i="2"/>
  <c r="G496" i="2"/>
  <c r="H496" i="2"/>
  <c r="K496" i="2"/>
  <c r="N496" i="2"/>
  <c r="M496" i="2"/>
  <c r="L496" i="2"/>
  <c r="J496" i="2"/>
  <c r="X494" i="2" l="1"/>
  <c r="S496" i="2"/>
  <c r="P496" i="2"/>
  <c r="Q496" i="2"/>
  <c r="R496" i="2"/>
  <c r="T496" i="2"/>
  <c r="E497" i="2"/>
  <c r="F497" i="2"/>
  <c r="G497" i="2"/>
  <c r="H497" i="2"/>
  <c r="V495" i="2"/>
  <c r="M497" i="2"/>
  <c r="N497" i="2"/>
  <c r="J497" i="2"/>
  <c r="L497" i="2"/>
  <c r="K497" i="2"/>
  <c r="Q497" i="2" l="1"/>
  <c r="P497" i="2"/>
  <c r="T497" i="2"/>
  <c r="S497" i="2"/>
  <c r="R497" i="2"/>
  <c r="X495" i="2"/>
  <c r="Y495" i="2"/>
  <c r="H498" i="2"/>
  <c r="E498" i="2"/>
  <c r="F498" i="2"/>
  <c r="G498" i="2"/>
  <c r="V496" i="2"/>
  <c r="J498" i="2"/>
  <c r="M498" i="2"/>
  <c r="N498" i="2"/>
  <c r="L498" i="2"/>
  <c r="K498" i="2"/>
  <c r="S498" i="2" l="1"/>
  <c r="R498" i="2"/>
  <c r="Q498" i="2"/>
  <c r="P498" i="2"/>
  <c r="T498" i="2"/>
  <c r="E499" i="2"/>
  <c r="F499" i="2"/>
  <c r="G499" i="2"/>
  <c r="H499" i="2"/>
  <c r="X496" i="2"/>
  <c r="Y496" i="2"/>
  <c r="V497" i="2"/>
  <c r="K499" i="2"/>
  <c r="L499" i="2"/>
  <c r="M499" i="2"/>
  <c r="J499" i="2"/>
  <c r="N499" i="2"/>
  <c r="V498" i="2" l="1"/>
  <c r="Y498" i="2" s="1"/>
  <c r="T499" i="2"/>
  <c r="P499" i="2"/>
  <c r="R499" i="2"/>
  <c r="S499" i="2"/>
  <c r="Q499" i="2"/>
  <c r="X497" i="2"/>
  <c r="Y497" i="2"/>
  <c r="F500" i="2"/>
  <c r="G500" i="2"/>
  <c r="H500" i="2"/>
  <c r="E500" i="2"/>
  <c r="K500" i="2"/>
  <c r="M500" i="2"/>
  <c r="N500" i="2"/>
  <c r="L500" i="2"/>
  <c r="J500" i="2"/>
  <c r="X498" i="2" l="1"/>
  <c r="Q500" i="2"/>
  <c r="T500" i="2"/>
  <c r="P500" i="2"/>
  <c r="S500" i="2"/>
  <c r="R500" i="2"/>
  <c r="E501" i="2"/>
  <c r="F501" i="2"/>
  <c r="G501" i="2"/>
  <c r="H501" i="2"/>
  <c r="V499" i="2"/>
  <c r="M501" i="2"/>
  <c r="K501" i="2"/>
  <c r="N501" i="2"/>
  <c r="L501" i="2"/>
  <c r="J501" i="2"/>
  <c r="P501" i="2" l="1"/>
  <c r="T501" i="2"/>
  <c r="S501" i="2"/>
  <c r="R501" i="2"/>
  <c r="Q501" i="2"/>
  <c r="E502" i="2"/>
  <c r="F502" i="2"/>
  <c r="G502" i="2"/>
  <c r="H502" i="2"/>
  <c r="V500" i="2"/>
  <c r="Y499" i="2"/>
  <c r="X499" i="2"/>
  <c r="J502" i="2"/>
  <c r="L502" i="2"/>
  <c r="K502" i="2"/>
  <c r="M502" i="2"/>
  <c r="N502" i="2"/>
  <c r="Q502" i="2" l="1"/>
  <c r="P502" i="2"/>
  <c r="T502" i="2"/>
  <c r="S502" i="2"/>
  <c r="R502" i="2"/>
  <c r="G503" i="2"/>
  <c r="H503" i="2"/>
  <c r="E503" i="2"/>
  <c r="F503" i="2"/>
  <c r="Y500" i="2"/>
  <c r="X500" i="2"/>
  <c r="V501" i="2"/>
  <c r="K503" i="2"/>
  <c r="N503" i="2"/>
  <c r="M503" i="2"/>
  <c r="J503" i="2"/>
  <c r="L503" i="2"/>
  <c r="T503" i="2" l="1"/>
  <c r="R503" i="2"/>
  <c r="S503" i="2"/>
  <c r="Q503" i="2"/>
  <c r="P503" i="2"/>
  <c r="E504" i="2"/>
  <c r="F504" i="2"/>
  <c r="G504" i="2"/>
  <c r="H504" i="2"/>
  <c r="X501" i="2"/>
  <c r="Y501" i="2"/>
  <c r="V502" i="2"/>
  <c r="J504" i="2"/>
  <c r="N504" i="2"/>
  <c r="L504" i="2"/>
  <c r="M504" i="2"/>
  <c r="K504" i="2"/>
  <c r="V503" i="2" l="1"/>
  <c r="Y503" i="2" s="1"/>
  <c r="Q504" i="2"/>
  <c r="T504" i="2"/>
  <c r="S504" i="2"/>
  <c r="P504" i="2"/>
  <c r="R504" i="2"/>
  <c r="E505" i="2"/>
  <c r="F505" i="2"/>
  <c r="G505" i="2"/>
  <c r="H505" i="2"/>
  <c r="Y502" i="2"/>
  <c r="X502" i="2"/>
  <c r="J505" i="2"/>
  <c r="L505" i="2"/>
  <c r="K505" i="2"/>
  <c r="M505" i="2"/>
  <c r="N505" i="2"/>
  <c r="X503" i="2" l="1"/>
  <c r="Q505" i="2"/>
  <c r="R505" i="2"/>
  <c r="P505" i="2"/>
  <c r="T505" i="2"/>
  <c r="S505" i="2"/>
  <c r="H506" i="2"/>
  <c r="E506" i="2"/>
  <c r="F506" i="2"/>
  <c r="G506" i="2"/>
  <c r="V504" i="2"/>
  <c r="M506" i="2"/>
  <c r="L506" i="2"/>
  <c r="K506" i="2"/>
  <c r="J506" i="2"/>
  <c r="N506" i="2"/>
  <c r="S506" i="2" l="1"/>
  <c r="R506" i="2"/>
  <c r="Q506" i="2"/>
  <c r="T506" i="2"/>
  <c r="P506" i="2"/>
  <c r="E507" i="2"/>
  <c r="F507" i="2"/>
  <c r="G507" i="2"/>
  <c r="H507" i="2"/>
  <c r="X504" i="2"/>
  <c r="Y504" i="2"/>
  <c r="V505" i="2"/>
  <c r="J507" i="2"/>
  <c r="K507" i="2"/>
  <c r="L507" i="2"/>
  <c r="M507" i="2"/>
  <c r="N507" i="2"/>
  <c r="V506" i="2" l="1"/>
  <c r="X506" i="2" s="1"/>
  <c r="P507" i="2"/>
  <c r="T507" i="2"/>
  <c r="S507" i="2"/>
  <c r="Q507" i="2"/>
  <c r="R507" i="2"/>
  <c r="F508" i="2"/>
  <c r="G508" i="2"/>
  <c r="H508" i="2"/>
  <c r="E508" i="2"/>
  <c r="X505" i="2"/>
  <c r="Y505" i="2"/>
  <c r="J508" i="2"/>
  <c r="N508" i="2"/>
  <c r="M508" i="2"/>
  <c r="L508" i="2"/>
  <c r="K508" i="2"/>
  <c r="Y506" i="2" l="1"/>
  <c r="R508" i="2"/>
  <c r="Q508" i="2"/>
  <c r="S508" i="2"/>
  <c r="P508" i="2"/>
  <c r="T508" i="2"/>
  <c r="E509" i="2"/>
  <c r="F509" i="2"/>
  <c r="G509" i="2"/>
  <c r="H509" i="2"/>
  <c r="V507" i="2"/>
  <c r="M509" i="2"/>
  <c r="N509" i="2"/>
  <c r="L509" i="2"/>
  <c r="J509" i="2"/>
  <c r="K509" i="2"/>
  <c r="P509" i="2" l="1"/>
  <c r="T509" i="2"/>
  <c r="S509" i="2"/>
  <c r="R509" i="2"/>
  <c r="Q509" i="2"/>
  <c r="E510" i="2"/>
  <c r="F510" i="2"/>
  <c r="G510" i="2"/>
  <c r="H510" i="2"/>
  <c r="V508" i="2"/>
  <c r="Y507" i="2"/>
  <c r="X507" i="2"/>
  <c r="J510" i="2"/>
  <c r="L510" i="2"/>
  <c r="N510" i="2"/>
  <c r="M510" i="2"/>
  <c r="K510" i="2"/>
  <c r="Q510" i="2" l="1"/>
  <c r="P510" i="2"/>
  <c r="T510" i="2"/>
  <c r="S510" i="2"/>
  <c r="R510" i="2"/>
  <c r="G511" i="2"/>
  <c r="H511" i="2"/>
  <c r="E511" i="2"/>
  <c r="F511" i="2"/>
  <c r="X508" i="2"/>
  <c r="Y508" i="2"/>
  <c r="V509" i="2"/>
  <c r="J511" i="2"/>
  <c r="N511" i="2"/>
  <c r="M511" i="2"/>
  <c r="K511" i="2"/>
  <c r="L511" i="2"/>
  <c r="T511" i="2" l="1"/>
  <c r="Q511" i="2"/>
  <c r="S511" i="2"/>
  <c r="R511" i="2"/>
  <c r="P511" i="2"/>
  <c r="X509" i="2"/>
  <c r="Y509" i="2"/>
  <c r="V510" i="2"/>
  <c r="E512" i="2"/>
  <c r="F512" i="2"/>
  <c r="G512" i="2"/>
  <c r="H512" i="2"/>
  <c r="K512" i="2"/>
  <c r="N512" i="2"/>
  <c r="M512" i="2"/>
  <c r="J512" i="2"/>
  <c r="L512" i="2"/>
  <c r="V511" i="2" l="1"/>
  <c r="Y511" i="2" s="1"/>
  <c r="S512" i="2"/>
  <c r="P512" i="2"/>
  <c r="T512" i="2"/>
  <c r="R512" i="2"/>
  <c r="Q512" i="2"/>
  <c r="E513" i="2"/>
  <c r="F513" i="2"/>
  <c r="G513" i="2"/>
  <c r="H513" i="2"/>
  <c r="X510" i="2"/>
  <c r="Y510" i="2"/>
  <c r="J513" i="2"/>
  <c r="N513" i="2"/>
  <c r="M513" i="2"/>
  <c r="L513" i="2"/>
  <c r="K513" i="2"/>
  <c r="X511" i="2" l="1"/>
  <c r="P513" i="2"/>
  <c r="Q513" i="2"/>
  <c r="T513" i="2"/>
  <c r="S513" i="2"/>
  <c r="R513" i="2"/>
  <c r="V512" i="2"/>
  <c r="H514" i="2"/>
  <c r="E514" i="2"/>
  <c r="F514" i="2"/>
  <c r="G514" i="2"/>
  <c r="N514" i="2"/>
  <c r="L514" i="2"/>
  <c r="K514" i="2"/>
  <c r="J514" i="2"/>
  <c r="M514" i="2"/>
  <c r="R514" i="2" l="1"/>
  <c r="T514" i="2"/>
  <c r="S514" i="2"/>
  <c r="Q514" i="2"/>
  <c r="P514" i="2"/>
  <c r="Y512" i="2"/>
  <c r="X512" i="2"/>
  <c r="E515" i="2"/>
  <c r="F515" i="2"/>
  <c r="G515" i="2"/>
  <c r="H515" i="2"/>
  <c r="V513" i="2"/>
  <c r="K515" i="2"/>
  <c r="N515" i="2"/>
  <c r="M515" i="2"/>
  <c r="J515" i="2"/>
  <c r="L515" i="2"/>
  <c r="V514" i="2" l="1"/>
  <c r="X514" i="2" s="1"/>
  <c r="R515" i="2"/>
  <c r="S515" i="2"/>
  <c r="T515" i="2"/>
  <c r="Q515" i="2"/>
  <c r="P515" i="2"/>
  <c r="F516" i="2"/>
  <c r="G516" i="2"/>
  <c r="H516" i="2"/>
  <c r="E516" i="2"/>
  <c r="X513" i="2"/>
  <c r="Y513" i="2"/>
  <c r="K516" i="2"/>
  <c r="L516" i="2"/>
  <c r="M516" i="2"/>
  <c r="J516" i="2"/>
  <c r="N516" i="2"/>
  <c r="V515" i="2" l="1"/>
  <c r="Y515" i="2" s="1"/>
  <c r="Y514" i="2"/>
  <c r="S516" i="2"/>
  <c r="Q516" i="2"/>
  <c r="P516" i="2"/>
  <c r="T516" i="2"/>
  <c r="R516" i="2"/>
  <c r="E517" i="2"/>
  <c r="F517" i="2"/>
  <c r="G517" i="2"/>
  <c r="H517" i="2"/>
  <c r="K517" i="2"/>
  <c r="M517" i="2"/>
  <c r="N517" i="2"/>
  <c r="L517" i="2"/>
  <c r="J517" i="2"/>
  <c r="X515" i="2" l="1"/>
  <c r="S517" i="2"/>
  <c r="T517" i="2"/>
  <c r="Q517" i="2"/>
  <c r="P517" i="2"/>
  <c r="R517" i="2"/>
  <c r="E518" i="2"/>
  <c r="F518" i="2"/>
  <c r="G518" i="2"/>
  <c r="H518" i="2"/>
  <c r="V516" i="2"/>
  <c r="N518" i="2"/>
  <c r="M518" i="2"/>
  <c r="J518" i="2"/>
  <c r="L518" i="2"/>
  <c r="K518" i="2"/>
  <c r="P518" i="2" l="1"/>
  <c r="T518" i="2"/>
  <c r="S518" i="2"/>
  <c r="R518" i="2"/>
  <c r="Q518" i="2"/>
  <c r="V517" i="2"/>
  <c r="X516" i="2"/>
  <c r="Y516" i="2"/>
  <c r="G519" i="2"/>
  <c r="H519" i="2"/>
  <c r="E519" i="2"/>
  <c r="F519" i="2"/>
  <c r="K519" i="2"/>
  <c r="L519" i="2"/>
  <c r="N519" i="2"/>
  <c r="M519" i="2"/>
  <c r="J519" i="2"/>
  <c r="P519" i="2" l="1"/>
  <c r="T519" i="2"/>
  <c r="R519" i="2"/>
  <c r="S519" i="2"/>
  <c r="Q519" i="2"/>
  <c r="X517" i="2"/>
  <c r="Y517" i="2"/>
  <c r="E520" i="2"/>
  <c r="F520" i="2"/>
  <c r="G520" i="2"/>
  <c r="H520" i="2"/>
  <c r="V518" i="2"/>
  <c r="K520" i="2"/>
  <c r="M520" i="2"/>
  <c r="N520" i="2"/>
  <c r="L520" i="2"/>
  <c r="J520" i="2"/>
  <c r="T520" i="2" l="1"/>
  <c r="Q520" i="2"/>
  <c r="R520" i="2"/>
  <c r="S520" i="2"/>
  <c r="P520" i="2"/>
  <c r="X518" i="2"/>
  <c r="Y518" i="2"/>
  <c r="V519" i="2"/>
  <c r="V520" i="2" l="1"/>
  <c r="Y520" i="2" s="1"/>
  <c r="Y519" i="2"/>
  <c r="X519" i="2"/>
  <c r="X520" i="2" l="1"/>
  <c r="E29" i="2" l="1"/>
  <c r="F29" i="2"/>
  <c r="G29" i="2"/>
  <c r="D29" i="2"/>
  <c r="C29" i="2" l="1"/>
  <c r="C30" i="2" s="1"/>
  <c r="E30" i="2" l="1"/>
  <c r="F30" i="2"/>
  <c r="G30" i="2"/>
  <c r="D30" i="2"/>
  <c r="Z39" i="2"/>
  <c r="AA532" i="2" l="1"/>
  <c r="AA526" i="2"/>
  <c r="AA523" i="2"/>
  <c r="AA524" i="2"/>
  <c r="AA522" i="2"/>
  <c r="AA529" i="2"/>
  <c r="AA528" i="2"/>
  <c r="AA530" i="2"/>
  <c r="AA531" i="2"/>
  <c r="AA525" i="2"/>
  <c r="AA527" i="2"/>
  <c r="AA521" i="2"/>
  <c r="AA49" i="2"/>
  <c r="AA91" i="2"/>
  <c r="AA55" i="2"/>
  <c r="AA97" i="2"/>
  <c r="AA98" i="2"/>
  <c r="AA69" i="2"/>
  <c r="AA66" i="2"/>
  <c r="AA105" i="2"/>
  <c r="AA94" i="2"/>
  <c r="AA85" i="2"/>
  <c r="AA71" i="2"/>
  <c r="AA64" i="2"/>
  <c r="AA48" i="2"/>
  <c r="AA114" i="2"/>
  <c r="AA104" i="2"/>
  <c r="AA96" i="2"/>
  <c r="AA74" i="2"/>
  <c r="AA65" i="2"/>
  <c r="AA50" i="2"/>
  <c r="AA93" i="2"/>
  <c r="AA80" i="2"/>
  <c r="AA112" i="2"/>
  <c r="AA79" i="2"/>
  <c r="AA113" i="2"/>
  <c r="AA81" i="2"/>
  <c r="AA116" i="2"/>
  <c r="AA115" i="2"/>
  <c r="AA42" i="2"/>
  <c r="AA111" i="2"/>
  <c r="AA62" i="2"/>
  <c r="AA63" i="2"/>
  <c r="AA47" i="2"/>
  <c r="AA109" i="2"/>
  <c r="AA70" i="2"/>
  <c r="AA75" i="2"/>
  <c r="AA56" i="2"/>
  <c r="AA40" i="2"/>
  <c r="AA87" i="2"/>
  <c r="AA76" i="2"/>
  <c r="AA118" i="2"/>
  <c r="AA120" i="2"/>
  <c r="AA53" i="2"/>
  <c r="AA44" i="2"/>
  <c r="AA39" i="2"/>
  <c r="AA51" i="2"/>
  <c r="AA52" i="2"/>
  <c r="AA103" i="2"/>
  <c r="AA102" i="2"/>
  <c r="AA88" i="2"/>
  <c r="AA67" i="2"/>
  <c r="AA60" i="2"/>
  <c r="AA73" i="2"/>
  <c r="AA46" i="2"/>
  <c r="AA99" i="2"/>
  <c r="AA78" i="2"/>
  <c r="AA107" i="2"/>
  <c r="AA43" i="2"/>
  <c r="AA92" i="2"/>
  <c r="AA106" i="2"/>
  <c r="AA68" i="2"/>
  <c r="AA57" i="2"/>
  <c r="AA84" i="2"/>
  <c r="AA100" i="2"/>
  <c r="AA90" i="2"/>
  <c r="AA61" i="2"/>
  <c r="AA72" i="2"/>
  <c r="AA89" i="2"/>
  <c r="AA110" i="2"/>
  <c r="AA117" i="2"/>
  <c r="AA119" i="2"/>
  <c r="AA82" i="2"/>
  <c r="AA108" i="2"/>
  <c r="AA59" i="2"/>
  <c r="AA95" i="2"/>
  <c r="AA83" i="2"/>
  <c r="AA54" i="2"/>
  <c r="AA86" i="2"/>
  <c r="AA58" i="2"/>
  <c r="AA45" i="2"/>
  <c r="AA77" i="2"/>
  <c r="AA41" i="2"/>
  <c r="AA101" i="2"/>
  <c r="AA121" i="2"/>
  <c r="AA122" i="2"/>
  <c r="AA123" i="2"/>
  <c r="AA124" i="2"/>
  <c r="AA126" i="2"/>
  <c r="AA125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50" i="2"/>
  <c r="AA149" i="2"/>
  <c r="AA151" i="2"/>
  <c r="AA152" i="2"/>
  <c r="AA153" i="2"/>
  <c r="AA154" i="2"/>
  <c r="AA156" i="2"/>
  <c r="AA155" i="2"/>
  <c r="AA157" i="2"/>
  <c r="AA158" i="2"/>
  <c r="AA160" i="2"/>
  <c r="AA159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6" i="2"/>
  <c r="AA175" i="2"/>
  <c r="AA177" i="2"/>
  <c r="AA178" i="2"/>
  <c r="AA179" i="2"/>
  <c r="AA180" i="2"/>
  <c r="AA181" i="2"/>
  <c r="AA183" i="2"/>
  <c r="AA182" i="2"/>
  <c r="AA184" i="2"/>
  <c r="AA185" i="2"/>
  <c r="AA186" i="2"/>
  <c r="AA187" i="2"/>
  <c r="AA189" i="2"/>
  <c r="AA188" i="2"/>
  <c r="AA190" i="2"/>
  <c r="AA191" i="2"/>
  <c r="AA192" i="2"/>
  <c r="AA194" i="2"/>
  <c r="AA193" i="2"/>
  <c r="AA195" i="2"/>
  <c r="AA196" i="2"/>
  <c r="AA197" i="2"/>
  <c r="AA198" i="2"/>
  <c r="AA200" i="2"/>
  <c r="AA199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4" i="2"/>
  <c r="AA223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6" i="2"/>
  <c r="AA245" i="2"/>
  <c r="AA247" i="2"/>
  <c r="AA248" i="2"/>
  <c r="AA250" i="2"/>
  <c r="AA249" i="2"/>
  <c r="AA251" i="2"/>
  <c r="AA252" i="2"/>
  <c r="AA253" i="2"/>
  <c r="AA254" i="2"/>
  <c r="AA255" i="2"/>
  <c r="AA256" i="2"/>
  <c r="AA257" i="2"/>
  <c r="AA258" i="2"/>
  <c r="AA259" i="2"/>
  <c r="AA261" i="2"/>
  <c r="AA260" i="2"/>
  <c r="AA262" i="2"/>
  <c r="AA263" i="2"/>
  <c r="AA264" i="2"/>
  <c r="AA265" i="2"/>
  <c r="AA267" i="2"/>
  <c r="AA266" i="2"/>
  <c r="AA268" i="2"/>
  <c r="AA269" i="2"/>
  <c r="AA270" i="2"/>
  <c r="AA271" i="2"/>
  <c r="AA272" i="2"/>
  <c r="AA273" i="2"/>
  <c r="AA274" i="2"/>
  <c r="AA275" i="2"/>
  <c r="AA276" i="2"/>
  <c r="AA278" i="2"/>
  <c r="AA277" i="2"/>
  <c r="AA279" i="2"/>
  <c r="AA280" i="2"/>
  <c r="AA281" i="2"/>
  <c r="AA282" i="2"/>
  <c r="AA283" i="2"/>
  <c r="AA285" i="2"/>
  <c r="AA284" i="2"/>
  <c r="AA286" i="2"/>
  <c r="AA288" i="2"/>
  <c r="AA287" i="2"/>
  <c r="AA289" i="2"/>
  <c r="AA290" i="2"/>
  <c r="AA291" i="2"/>
  <c r="AA292" i="2"/>
  <c r="AA293" i="2"/>
  <c r="AA294" i="2"/>
  <c r="AA295" i="2"/>
  <c r="AA296" i="2"/>
  <c r="AA297" i="2"/>
  <c r="AA298" i="2"/>
  <c r="AA299" i="2"/>
  <c r="AA301" i="2"/>
  <c r="AA300" i="2"/>
  <c r="AA303" i="2"/>
  <c r="AA302" i="2"/>
  <c r="AA305" i="2"/>
  <c r="AA304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20" i="2"/>
  <c r="AA319" i="2"/>
  <c r="AA321" i="2"/>
  <c r="AA322" i="2"/>
  <c r="AA323" i="2"/>
  <c r="AA324" i="2"/>
  <c r="AA326" i="2"/>
  <c r="AA325" i="2"/>
  <c r="AA327" i="2"/>
  <c r="AA328" i="2"/>
  <c r="AA329" i="2"/>
  <c r="AA331" i="2"/>
  <c r="AA330" i="2"/>
  <c r="AA332" i="2"/>
  <c r="AA333" i="2"/>
  <c r="AA334" i="2"/>
  <c r="AA335" i="2"/>
  <c r="AA336" i="2"/>
  <c r="AA337" i="2"/>
  <c r="AA338" i="2"/>
  <c r="AA339" i="2"/>
  <c r="AA340" i="2"/>
  <c r="AA342" i="2"/>
  <c r="AA341" i="2"/>
  <c r="AA343" i="2"/>
  <c r="AA344" i="2"/>
  <c r="AA346" i="2"/>
  <c r="AA345" i="2"/>
  <c r="AA347" i="2"/>
  <c r="AA349" i="2"/>
  <c r="AA348" i="2"/>
  <c r="AA350" i="2"/>
  <c r="AA352" i="2"/>
  <c r="AA351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2" i="2"/>
  <c r="AA371" i="2"/>
  <c r="AA373" i="2"/>
  <c r="AA374" i="2"/>
  <c r="AA375" i="2"/>
  <c r="AA376" i="2"/>
  <c r="AA377" i="2"/>
  <c r="AA378" i="2"/>
  <c r="AA379" i="2"/>
  <c r="AA380" i="2"/>
  <c r="AA381" i="2"/>
  <c r="AA382" i="2"/>
  <c r="AA384" i="2"/>
  <c r="AA383" i="2"/>
  <c r="AA385" i="2"/>
  <c r="AA386" i="2"/>
  <c r="AA387" i="2"/>
  <c r="AA388" i="2"/>
  <c r="AA389" i="2"/>
  <c r="AA390" i="2"/>
  <c r="AA391" i="2"/>
  <c r="AA392" i="2"/>
  <c r="AA393" i="2"/>
  <c r="AA395" i="2"/>
  <c r="AA394" i="2"/>
  <c r="AA396" i="2"/>
  <c r="AA397" i="2"/>
  <c r="AA398" i="2"/>
  <c r="AA399" i="2"/>
  <c r="AA400" i="2"/>
  <c r="AA401" i="2"/>
  <c r="AA402" i="2"/>
  <c r="AA403" i="2"/>
  <c r="AA404" i="2"/>
  <c r="AA405" i="2"/>
  <c r="AA407" i="2"/>
  <c r="AA406" i="2"/>
  <c r="AA408" i="2"/>
  <c r="AA409" i="2"/>
  <c r="AA410" i="2"/>
  <c r="AA411" i="2"/>
  <c r="AA412" i="2"/>
  <c r="AA413" i="2"/>
  <c r="AA414" i="2"/>
  <c r="AA416" i="2"/>
  <c r="AA415" i="2"/>
  <c r="AA417" i="2"/>
  <c r="AA419" i="2"/>
  <c r="AA418" i="2"/>
  <c r="AA420" i="2"/>
  <c r="AA421" i="2"/>
  <c r="AA422" i="2"/>
  <c r="AA424" i="2"/>
  <c r="AA423" i="2"/>
  <c r="AA425" i="2"/>
  <c r="AA426" i="2"/>
  <c r="AA427" i="2"/>
  <c r="AA428" i="2"/>
  <c r="AA429" i="2"/>
  <c r="AA430" i="2"/>
  <c r="AA432" i="2"/>
  <c r="AA431" i="2"/>
  <c r="AA433" i="2"/>
  <c r="AA435" i="2"/>
  <c r="AA434" i="2"/>
  <c r="AA437" i="2"/>
  <c r="AA436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1" i="2"/>
  <c r="AA450" i="2"/>
  <c r="AA452" i="2"/>
  <c r="AA453" i="2"/>
  <c r="AA454" i="2"/>
  <c r="AA455" i="2"/>
  <c r="AA456" i="2"/>
  <c r="AA457" i="2"/>
  <c r="AA458" i="2"/>
  <c r="AA459" i="2"/>
  <c r="AA460" i="2"/>
  <c r="AA462" i="2"/>
  <c r="AA461" i="2"/>
  <c r="AA463" i="2"/>
  <c r="AA465" i="2"/>
  <c r="AA464" i="2"/>
  <c r="AA466" i="2"/>
  <c r="AA467" i="2"/>
  <c r="AA469" i="2"/>
  <c r="AA468" i="2"/>
  <c r="AA470" i="2"/>
  <c r="AA471" i="2"/>
  <c r="AA472" i="2"/>
  <c r="AA473" i="2"/>
  <c r="AA475" i="2"/>
  <c r="AA474" i="2"/>
  <c r="AA476" i="2"/>
  <c r="AA477" i="2"/>
  <c r="AA478" i="2"/>
  <c r="AA479" i="2"/>
  <c r="AA480" i="2"/>
  <c r="AA482" i="2"/>
  <c r="AA481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8" i="2"/>
  <c r="AA497" i="2"/>
  <c r="AA499" i="2"/>
  <c r="AA500" i="2"/>
  <c r="AA501" i="2"/>
  <c r="AA503" i="2"/>
  <c r="AA502" i="2"/>
  <c r="AA504" i="2"/>
  <c r="AA505" i="2"/>
  <c r="AA506" i="2"/>
  <c r="AA507" i="2"/>
  <c r="AA508" i="2"/>
  <c r="AA509" i="2"/>
  <c r="AA511" i="2"/>
  <c r="AA510" i="2"/>
  <c r="AA512" i="2"/>
  <c r="AA513" i="2"/>
  <c r="AA514" i="2"/>
  <c r="AA515" i="2"/>
  <c r="AA516" i="2"/>
  <c r="AA517" i="2"/>
  <c r="AA518" i="2"/>
  <c r="AA520" i="2"/>
  <c r="AA519" i="2"/>
  <c r="C33" i="2" l="1"/>
</calcChain>
</file>

<file path=xl/sharedStrings.xml><?xml version="1.0" encoding="utf-8"?>
<sst xmlns="http://schemas.openxmlformats.org/spreadsheetml/2006/main" count="40" uniqueCount="40">
  <si>
    <t>λ</t>
  </si>
  <si>
    <t>I0</t>
  </si>
  <si>
    <t>EXPERIMENTAL</t>
  </si>
  <si>
    <t>time (t)</t>
  </si>
  <si>
    <t>I(t)</t>
  </si>
  <si>
    <t>z1</t>
  </si>
  <si>
    <t>z2</t>
  </si>
  <si>
    <t>z3</t>
  </si>
  <si>
    <t>z4</t>
  </si>
  <si>
    <t>z5</t>
  </si>
  <si>
    <t>W(e^z1)</t>
  </si>
  <si>
    <t>W(e^z2)</t>
  </si>
  <si>
    <t>W(e^z3)</t>
  </si>
  <si>
    <t>W(e^z4)</t>
  </si>
  <si>
    <t>W(e^z5)</t>
  </si>
  <si>
    <t>SUMS</t>
  </si>
  <si>
    <t>Least squares</t>
  </si>
  <si>
    <t>FOM(%)</t>
  </si>
  <si>
    <t>I1</t>
  </si>
  <si>
    <t>I2</t>
  </si>
  <si>
    <t>I3</t>
  </si>
  <si>
    <t>I4</t>
  </si>
  <si>
    <t>I5</t>
  </si>
  <si>
    <t>Itot</t>
  </si>
  <si>
    <t>Theoretical</t>
  </si>
  <si>
    <t>Afit</t>
  </si>
  <si>
    <t>FOM</t>
  </si>
  <si>
    <t>(EXPER. - THEOR.)^2</t>
  </si>
  <si>
    <t>ABS(EXPER. - THEOR)</t>
  </si>
  <si>
    <t>Παράμετροι:</t>
  </si>
  <si>
    <r>
      <t>Im &gt;= 0</t>
    </r>
    <r>
      <rPr>
        <sz val="11"/>
        <color rgb="FF000000"/>
        <rFont val="Calibri"/>
        <family val="2"/>
        <scheme val="minor"/>
      </rPr>
      <t xml:space="preserve">  </t>
    </r>
  </si>
  <si>
    <r>
      <t>Tm &gt;= 273</t>
    </r>
    <r>
      <rPr>
        <sz val="11"/>
        <color rgb="FF000000"/>
        <rFont val="Calibri"/>
        <family val="2"/>
        <scheme val="minor"/>
      </rPr>
      <t xml:space="preserve">  </t>
    </r>
  </si>
  <si>
    <r>
      <t>0,3 =&lt; E =&lt; 2,5</t>
    </r>
    <r>
      <rPr>
        <sz val="11"/>
        <color rgb="FF000000"/>
        <rFont val="Calibri"/>
        <family val="2"/>
        <scheme val="minor"/>
      </rPr>
      <t xml:space="preserve">  </t>
    </r>
  </si>
  <si>
    <r>
      <t>0,00001 =&lt; R =&lt; 0,9</t>
    </r>
    <r>
      <rPr>
        <sz val="11"/>
        <color rgb="FF000000"/>
        <rFont val="Calibri"/>
        <family val="2"/>
        <scheme val="minor"/>
      </rPr>
      <t xml:space="preserve">  </t>
    </r>
  </si>
  <si>
    <t>factor</t>
  </si>
  <si>
    <t>Components</t>
  </si>
  <si>
    <t>τ</t>
  </si>
  <si>
    <t>Contribution %</t>
  </si>
  <si>
    <t>σ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</si>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</sst>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8"/>
      <color theme="3"/>
      <name val="Cambria"/>
      <family val="2"/>
      <charset val="161"/>
      <scheme val="major"/>
    </font>
    <font>
      <b/>
      <sz val="15"/>
      <color theme="3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rgb="FF006100"/>
      <name val="Calibri"/>
      <family val="2"/>
      <charset val="161"/>
      <scheme val="minor"/>
    </font>
    <font>
      <sz val="11"/>
      <color rgb="FF9C0006"/>
      <name val="Calibri"/>
      <family val="2"/>
      <charset val="161"/>
      <scheme val="minor"/>
    </font>
    <font>
      <sz val="11"/>
      <color rgb="FF9C6500"/>
      <name val="Calibri"/>
      <family val="2"/>
      <charset val="161"/>
      <scheme val="minor"/>
    </font>
    <font>
      <sz val="11"/>
      <color rgb="FF3F3F76"/>
      <name val="Calibri"/>
      <family val="2"/>
      <charset val="161"/>
      <scheme val="minor"/>
    </font>
    <font>
      <b/>
      <sz val="11"/>
      <color rgb="FF3F3F3F"/>
      <name val="Calibri"/>
      <family val="2"/>
      <charset val="161"/>
      <scheme val="minor"/>
    </font>
    <font>
      <b/>
      <sz val="11"/>
      <color rgb="FFFA7D00"/>
      <name val="Calibri"/>
      <family val="2"/>
      <charset val="161"/>
      <scheme val="minor"/>
    </font>
    <font>
      <sz val="11"/>
      <color rgb="FFFA7D00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i/>
      <sz val="11"/>
      <color rgb="FF7F7F7F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color theme="0"/>
      <name val="Calibri"/>
      <family val="2"/>
      <charset val="161"/>
      <scheme val="minor"/>
    </font>
    <font>
      <b/>
      <sz val="11"/>
      <color theme="1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4"/>
      <name val="Times New Roman"/>
      <family val="1"/>
      <charset val="161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2" fillId="0" borderId="0"/>
    <xf numFmtId="0" fontId="1" fillId="0" borderId="0"/>
  </cellStyleXfs>
  <cellXfs count="28">
    <xf numFmtId="0" fontId="0" fillId="0" borderId="0" xfId="0"/>
    <xf numFmtId="0" fontId="0" fillId="35" borderId="0" xfId="0" applyFill="1" applyAlignment="1">
      <alignment horizontal="center"/>
    </xf>
    <xf numFmtId="0" fontId="18" fillId="34" borderId="0" xfId="0" applyFont="1" applyFill="1" applyAlignment="1">
      <alignment horizontal="center"/>
    </xf>
    <xf numFmtId="0" fontId="0" fillId="38" borderId="0" xfId="0" applyFill="1"/>
    <xf numFmtId="0" fontId="16" fillId="37" borderId="0" xfId="0" applyFont="1" applyFill="1" applyAlignment="1">
      <alignment horizontal="center"/>
    </xf>
    <xf numFmtId="0" fontId="16" fillId="0" borderId="10" xfId="0" applyFont="1" applyFill="1" applyBorder="1" applyAlignment="1"/>
    <xf numFmtId="0" fontId="14" fillId="35" borderId="0" xfId="0" applyFont="1" applyFill="1" applyAlignment="1">
      <alignment horizontal="center"/>
    </xf>
    <xf numFmtId="0" fontId="16" fillId="34" borderId="10" xfId="0" applyFont="1" applyFill="1" applyBorder="1" applyAlignment="1"/>
    <xf numFmtId="0" fontId="0" fillId="35" borderId="0" xfId="0" applyFill="1"/>
    <xf numFmtId="0" fontId="0" fillId="0" borderId="0" xfId="0"/>
    <xf numFmtId="0" fontId="16" fillId="36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6" fillId="34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/>
    <xf numFmtId="0" fontId="16" fillId="33" borderId="0" xfId="0" applyFont="1" applyFill="1" applyAlignment="1">
      <alignment horizontal="center"/>
    </xf>
    <xf numFmtId="0" fontId="0" fillId="38" borderId="0" xfId="0" applyFill="1"/>
    <xf numFmtId="0" fontId="0" fillId="0" borderId="0" xfId="0"/>
    <xf numFmtId="0" fontId="0" fillId="0" borderId="0" xfId="0"/>
    <xf numFmtId="0" fontId="0" fillId="0" borderId="0" xfId="0"/>
    <xf numFmtId="0" fontId="16" fillId="34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/>
    <xf numFmtId="0" fontId="21" fillId="0" borderId="0" xfId="0" applyFont="1"/>
    <xf numFmtId="0" fontId="18" fillId="0" borderId="0" xfId="0" applyFont="1"/>
    <xf numFmtId="0" fontId="18" fillId="0" borderId="0" xfId="0" applyFont="1" applyAlignment="1">
      <alignment horizontal="center"/>
    </xf>
    <xf numFmtId="0" fontId="18" fillId="35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 xr:uid="{80AEE85D-C399-474A-951D-0EC5A3C06178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  <cellStyle name="Κανονικό 7" xfId="42" xr:uid="{6A6E8B7A-2BA3-4CC1-A3F3-B9E03E74A7D3}"/>
  </cellStyles>
  <dxfs count="22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CW</a:t>
            </a:r>
            <a:r>
              <a:rPr lang="en-US" baseline="0"/>
              <a:t> </a:t>
            </a:r>
            <a:r>
              <a:rPr lang="en-US"/>
              <a:t>OSL </a:t>
            </a:r>
            <a:endParaRPr lang="el-GR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932370694675005"/>
          <c:y val="9.52333147100589E-2"/>
          <c:w val="0.7125089565761501"/>
          <c:h val="0.76682558804651824"/>
        </c:manualLayout>
      </c:layout>
      <c:scatterChart>
        <c:scatterStyle val="lineMarker"/>
        <c:varyColors val="0"/>
        <c:ser>
          <c:idx val="0"/>
          <c:order val="0"/>
          <c:tx>
            <c:v>Experimental</c:v>
          </c:tx>
          <c:spPr>
            <a:ln w="28575">
              <a:noFill/>
            </a:ln>
          </c:spPr>
          <c:marker>
            <c:symbol val="diamond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'sheet 1'!$B$39:$B$788</c:f>
              <c:numCache>
                <c:formatCode>General</c:formatCode>
                <c:ptCount val="750"/>
                <c:pt idx="0">
                  <c:v>0</c:v>
                </c:pt>
                <c:pt idx="1">
                  <c:v>0.20000000000000284</c:v>
                </c:pt>
                <c:pt idx="2">
                  <c:v>0.5</c:v>
                </c:pt>
                <c:pt idx="3">
                  <c:v>0.80000000000000426</c:v>
                </c:pt>
                <c:pt idx="4">
                  <c:v>1.1000000000000014</c:v>
                </c:pt>
                <c:pt idx="5">
                  <c:v>1.3999999999999986</c:v>
                </c:pt>
                <c:pt idx="6">
                  <c:v>1.7000000000000028</c:v>
                </c:pt>
                <c:pt idx="7">
                  <c:v>2</c:v>
                </c:pt>
                <c:pt idx="8">
                  <c:v>2.2000000000000028</c:v>
                </c:pt>
                <c:pt idx="9">
                  <c:v>2.5</c:v>
                </c:pt>
                <c:pt idx="10">
                  <c:v>2.8000000000000043</c:v>
                </c:pt>
                <c:pt idx="11">
                  <c:v>3.1000000000000014</c:v>
                </c:pt>
                <c:pt idx="12">
                  <c:v>3.3999999999999986</c:v>
                </c:pt>
                <c:pt idx="13">
                  <c:v>3.7000000000000028</c:v>
                </c:pt>
                <c:pt idx="14">
                  <c:v>4</c:v>
                </c:pt>
                <c:pt idx="15">
                  <c:v>4.2000000000000028</c:v>
                </c:pt>
                <c:pt idx="16">
                  <c:v>4.5</c:v>
                </c:pt>
                <c:pt idx="17">
                  <c:v>4.8000000000000043</c:v>
                </c:pt>
                <c:pt idx="18">
                  <c:v>5.1000000000000014</c:v>
                </c:pt>
                <c:pt idx="19">
                  <c:v>5.3999999999999986</c:v>
                </c:pt>
                <c:pt idx="20">
                  <c:v>5.6999999999999957</c:v>
                </c:pt>
                <c:pt idx="21">
                  <c:v>6.0000000000000071</c:v>
                </c:pt>
                <c:pt idx="22">
                  <c:v>6.1999999999999957</c:v>
                </c:pt>
                <c:pt idx="23">
                  <c:v>6.5000000000000071</c:v>
                </c:pt>
                <c:pt idx="24">
                  <c:v>6.8000000000000043</c:v>
                </c:pt>
                <c:pt idx="25">
                  <c:v>7.1000000000000014</c:v>
                </c:pt>
                <c:pt idx="26">
                  <c:v>7.3999999999999986</c:v>
                </c:pt>
                <c:pt idx="27">
                  <c:v>7.6999999999999957</c:v>
                </c:pt>
                <c:pt idx="28">
                  <c:v>8.0000000000000071</c:v>
                </c:pt>
                <c:pt idx="29">
                  <c:v>8.1999999999999957</c:v>
                </c:pt>
                <c:pt idx="30">
                  <c:v>8.5000000000000071</c:v>
                </c:pt>
                <c:pt idx="31">
                  <c:v>8.8000000000000043</c:v>
                </c:pt>
                <c:pt idx="32">
                  <c:v>9.1000000000000014</c:v>
                </c:pt>
                <c:pt idx="33">
                  <c:v>9.3999999999999986</c:v>
                </c:pt>
                <c:pt idx="34">
                  <c:v>9.6999999999999957</c:v>
                </c:pt>
                <c:pt idx="35">
                  <c:v>10.000000000000007</c:v>
                </c:pt>
                <c:pt idx="36">
                  <c:v>10.199999999999996</c:v>
                </c:pt>
                <c:pt idx="37">
                  <c:v>10.500000000000007</c:v>
                </c:pt>
                <c:pt idx="38">
                  <c:v>10.800000000000004</c:v>
                </c:pt>
                <c:pt idx="39">
                  <c:v>11.100000000000001</c:v>
                </c:pt>
                <c:pt idx="40">
                  <c:v>11.399999999999999</c:v>
                </c:pt>
                <c:pt idx="41">
                  <c:v>11.699999999999996</c:v>
                </c:pt>
                <c:pt idx="42">
                  <c:v>12.000000000000007</c:v>
                </c:pt>
                <c:pt idx="43">
                  <c:v>12.199999999999996</c:v>
                </c:pt>
                <c:pt idx="44">
                  <c:v>12.500000000000007</c:v>
                </c:pt>
                <c:pt idx="45">
                  <c:v>12.800000000000004</c:v>
                </c:pt>
                <c:pt idx="46">
                  <c:v>13.100000000000001</c:v>
                </c:pt>
                <c:pt idx="47">
                  <c:v>13.399999999999999</c:v>
                </c:pt>
                <c:pt idx="48">
                  <c:v>13.699999999999996</c:v>
                </c:pt>
                <c:pt idx="49">
                  <c:v>14.000000000000007</c:v>
                </c:pt>
                <c:pt idx="50">
                  <c:v>14.199999999999996</c:v>
                </c:pt>
                <c:pt idx="51">
                  <c:v>14.500000000000007</c:v>
                </c:pt>
                <c:pt idx="52">
                  <c:v>14.800000000000004</c:v>
                </c:pt>
                <c:pt idx="53">
                  <c:v>15.100000000000001</c:v>
                </c:pt>
                <c:pt idx="54">
                  <c:v>15.399999999999999</c:v>
                </c:pt>
                <c:pt idx="55">
                  <c:v>15.699999999999996</c:v>
                </c:pt>
                <c:pt idx="56">
                  <c:v>16.000000000000007</c:v>
                </c:pt>
                <c:pt idx="57">
                  <c:v>16.199999999999996</c:v>
                </c:pt>
                <c:pt idx="58">
                  <c:v>16.500000000000007</c:v>
                </c:pt>
                <c:pt idx="59">
                  <c:v>16.800000000000004</c:v>
                </c:pt>
                <c:pt idx="60">
                  <c:v>17.100000000000001</c:v>
                </c:pt>
                <c:pt idx="61">
                  <c:v>17.399999999999999</c:v>
                </c:pt>
                <c:pt idx="62">
                  <c:v>17.699999999999996</c:v>
                </c:pt>
                <c:pt idx="63">
                  <c:v>18.000000000000007</c:v>
                </c:pt>
                <c:pt idx="64">
                  <c:v>18.199999999999996</c:v>
                </c:pt>
                <c:pt idx="65">
                  <c:v>18.500000000000007</c:v>
                </c:pt>
                <c:pt idx="66">
                  <c:v>18.800000000000004</c:v>
                </c:pt>
                <c:pt idx="67">
                  <c:v>19.100000000000001</c:v>
                </c:pt>
                <c:pt idx="68">
                  <c:v>19.399999999999999</c:v>
                </c:pt>
                <c:pt idx="69">
                  <c:v>19.699999999999996</c:v>
                </c:pt>
                <c:pt idx="70">
                  <c:v>20.000000000000007</c:v>
                </c:pt>
                <c:pt idx="71">
                  <c:v>20.199999999999996</c:v>
                </c:pt>
                <c:pt idx="72">
                  <c:v>20.500000000000007</c:v>
                </c:pt>
                <c:pt idx="73">
                  <c:v>20.800000000000004</c:v>
                </c:pt>
                <c:pt idx="74">
                  <c:v>21.1</c:v>
                </c:pt>
                <c:pt idx="75">
                  <c:v>21.4</c:v>
                </c:pt>
                <c:pt idx="76">
                  <c:v>21.699999999999996</c:v>
                </c:pt>
                <c:pt idx="77">
                  <c:v>22.000000000000007</c:v>
                </c:pt>
                <c:pt idx="78">
                  <c:v>22.199999999999996</c:v>
                </c:pt>
                <c:pt idx="79">
                  <c:v>22.500000000000007</c:v>
                </c:pt>
                <c:pt idx="80">
                  <c:v>22.800000000000004</c:v>
                </c:pt>
                <c:pt idx="81">
                  <c:v>23.1</c:v>
                </c:pt>
                <c:pt idx="82">
                  <c:v>23.4</c:v>
                </c:pt>
                <c:pt idx="83">
                  <c:v>23.699999999999996</c:v>
                </c:pt>
                <c:pt idx="84">
                  <c:v>24.000000000000007</c:v>
                </c:pt>
                <c:pt idx="85">
                  <c:v>24.199999999999996</c:v>
                </c:pt>
                <c:pt idx="86">
                  <c:v>24.500000000000007</c:v>
                </c:pt>
                <c:pt idx="87">
                  <c:v>24.800000000000004</c:v>
                </c:pt>
                <c:pt idx="88">
                  <c:v>25.1</c:v>
                </c:pt>
                <c:pt idx="89">
                  <c:v>25.4</c:v>
                </c:pt>
                <c:pt idx="90">
                  <c:v>25.699999999999996</c:v>
                </c:pt>
                <c:pt idx="91">
                  <c:v>26.000000000000007</c:v>
                </c:pt>
                <c:pt idx="92">
                  <c:v>26.199999999999996</c:v>
                </c:pt>
                <c:pt idx="93">
                  <c:v>26.500000000000007</c:v>
                </c:pt>
                <c:pt idx="94">
                  <c:v>26.800000000000004</c:v>
                </c:pt>
                <c:pt idx="95">
                  <c:v>27.1</c:v>
                </c:pt>
                <c:pt idx="96">
                  <c:v>27.4</c:v>
                </c:pt>
                <c:pt idx="97">
                  <c:v>27.699999999999996</c:v>
                </c:pt>
                <c:pt idx="98">
                  <c:v>28.000000000000007</c:v>
                </c:pt>
                <c:pt idx="99">
                  <c:v>28.199999999999996</c:v>
                </c:pt>
                <c:pt idx="100">
                  <c:v>28.500000000000007</c:v>
                </c:pt>
                <c:pt idx="101">
                  <c:v>28.800000000000004</c:v>
                </c:pt>
                <c:pt idx="102">
                  <c:v>29.1</c:v>
                </c:pt>
                <c:pt idx="103">
                  <c:v>29.4</c:v>
                </c:pt>
                <c:pt idx="104">
                  <c:v>29.699999999999996</c:v>
                </c:pt>
                <c:pt idx="105">
                  <c:v>30.000000000000007</c:v>
                </c:pt>
                <c:pt idx="106">
                  <c:v>30.199999999999996</c:v>
                </c:pt>
                <c:pt idx="107">
                  <c:v>30.500000000000007</c:v>
                </c:pt>
                <c:pt idx="108">
                  <c:v>30.800000000000004</c:v>
                </c:pt>
                <c:pt idx="109">
                  <c:v>31.1</c:v>
                </c:pt>
                <c:pt idx="110">
                  <c:v>31.4</c:v>
                </c:pt>
                <c:pt idx="111">
                  <c:v>31.699999999999996</c:v>
                </c:pt>
                <c:pt idx="112">
                  <c:v>32.000000000000007</c:v>
                </c:pt>
                <c:pt idx="113">
                  <c:v>32.199999999999996</c:v>
                </c:pt>
                <c:pt idx="114">
                  <c:v>32.500000000000007</c:v>
                </c:pt>
                <c:pt idx="115">
                  <c:v>32.800000000000004</c:v>
                </c:pt>
                <c:pt idx="116">
                  <c:v>33.1</c:v>
                </c:pt>
                <c:pt idx="117">
                  <c:v>33.4</c:v>
                </c:pt>
                <c:pt idx="118">
                  <c:v>33.699999999999996</c:v>
                </c:pt>
                <c:pt idx="119">
                  <c:v>34.000000000000007</c:v>
                </c:pt>
                <c:pt idx="120">
                  <c:v>34.199999999999996</c:v>
                </c:pt>
                <c:pt idx="121">
                  <c:v>34.500000000000007</c:v>
                </c:pt>
                <c:pt idx="122">
                  <c:v>34.800000000000004</c:v>
                </c:pt>
                <c:pt idx="123">
                  <c:v>35.1</c:v>
                </c:pt>
                <c:pt idx="124">
                  <c:v>35.4</c:v>
                </c:pt>
                <c:pt idx="125">
                  <c:v>35.699999999999996</c:v>
                </c:pt>
                <c:pt idx="126">
                  <c:v>36.000000000000007</c:v>
                </c:pt>
                <c:pt idx="127">
                  <c:v>36.199999999999996</c:v>
                </c:pt>
                <c:pt idx="128">
                  <c:v>36.500000000000007</c:v>
                </c:pt>
                <c:pt idx="129">
                  <c:v>36.800000000000004</c:v>
                </c:pt>
                <c:pt idx="130">
                  <c:v>37.1</c:v>
                </c:pt>
                <c:pt idx="131">
                  <c:v>37.4</c:v>
                </c:pt>
                <c:pt idx="132">
                  <c:v>37.699999999999996</c:v>
                </c:pt>
                <c:pt idx="133">
                  <c:v>38.000000000000007</c:v>
                </c:pt>
                <c:pt idx="134">
                  <c:v>38.199999999999996</c:v>
                </c:pt>
                <c:pt idx="135">
                  <c:v>38.500000000000007</c:v>
                </c:pt>
                <c:pt idx="136">
                  <c:v>38.800000000000004</c:v>
                </c:pt>
                <c:pt idx="137">
                  <c:v>39.1</c:v>
                </c:pt>
                <c:pt idx="138">
                  <c:v>39.4</c:v>
                </c:pt>
                <c:pt idx="139">
                  <c:v>39.699999999999996</c:v>
                </c:pt>
                <c:pt idx="140">
                  <c:v>40.000000000000007</c:v>
                </c:pt>
                <c:pt idx="141">
                  <c:v>40.199999999999996</c:v>
                </c:pt>
                <c:pt idx="142">
                  <c:v>40.500000000000007</c:v>
                </c:pt>
                <c:pt idx="143">
                  <c:v>40.800000000000004</c:v>
                </c:pt>
                <c:pt idx="144">
                  <c:v>41.1</c:v>
                </c:pt>
                <c:pt idx="145">
                  <c:v>41.4</c:v>
                </c:pt>
                <c:pt idx="146">
                  <c:v>41.699999999999996</c:v>
                </c:pt>
                <c:pt idx="147">
                  <c:v>42.000000000000007</c:v>
                </c:pt>
                <c:pt idx="148">
                  <c:v>42.199999999999996</c:v>
                </c:pt>
                <c:pt idx="149">
                  <c:v>42.500000000000007</c:v>
                </c:pt>
                <c:pt idx="150">
                  <c:v>42.800000000000004</c:v>
                </c:pt>
                <c:pt idx="151">
                  <c:v>43.1</c:v>
                </c:pt>
                <c:pt idx="152">
                  <c:v>43.4</c:v>
                </c:pt>
                <c:pt idx="153">
                  <c:v>43.699999999999996</c:v>
                </c:pt>
                <c:pt idx="154">
                  <c:v>44.000000000000007</c:v>
                </c:pt>
                <c:pt idx="155">
                  <c:v>44.199999999999996</c:v>
                </c:pt>
                <c:pt idx="156">
                  <c:v>44.500000000000007</c:v>
                </c:pt>
                <c:pt idx="157">
                  <c:v>44.800000000000004</c:v>
                </c:pt>
                <c:pt idx="158">
                  <c:v>45.1</c:v>
                </c:pt>
                <c:pt idx="159">
                  <c:v>45.4</c:v>
                </c:pt>
                <c:pt idx="160">
                  <c:v>45.699999999999996</c:v>
                </c:pt>
                <c:pt idx="161">
                  <c:v>46.000000000000007</c:v>
                </c:pt>
                <c:pt idx="162">
                  <c:v>46.199999999999996</c:v>
                </c:pt>
                <c:pt idx="163">
                  <c:v>46.500000000000007</c:v>
                </c:pt>
                <c:pt idx="164">
                  <c:v>46.800000000000004</c:v>
                </c:pt>
                <c:pt idx="165">
                  <c:v>47.1</c:v>
                </c:pt>
                <c:pt idx="166">
                  <c:v>47.4</c:v>
                </c:pt>
                <c:pt idx="167">
                  <c:v>47.699999999999996</c:v>
                </c:pt>
                <c:pt idx="168">
                  <c:v>48.000000000000007</c:v>
                </c:pt>
                <c:pt idx="169">
                  <c:v>48.199999999999996</c:v>
                </c:pt>
                <c:pt idx="170">
                  <c:v>48.500000000000007</c:v>
                </c:pt>
                <c:pt idx="171">
                  <c:v>48.800000000000004</c:v>
                </c:pt>
                <c:pt idx="172">
                  <c:v>49.1</c:v>
                </c:pt>
                <c:pt idx="173">
                  <c:v>49.4</c:v>
                </c:pt>
                <c:pt idx="174">
                  <c:v>49.699999999999996</c:v>
                </c:pt>
                <c:pt idx="175">
                  <c:v>50.000000000000007</c:v>
                </c:pt>
                <c:pt idx="176">
                  <c:v>50.199999999999996</c:v>
                </c:pt>
                <c:pt idx="177">
                  <c:v>50.500000000000007</c:v>
                </c:pt>
                <c:pt idx="178">
                  <c:v>50.800000000000004</c:v>
                </c:pt>
                <c:pt idx="179">
                  <c:v>51.1</c:v>
                </c:pt>
                <c:pt idx="180">
                  <c:v>51.4</c:v>
                </c:pt>
                <c:pt idx="181">
                  <c:v>51.699999999999996</c:v>
                </c:pt>
                <c:pt idx="182">
                  <c:v>52.000000000000007</c:v>
                </c:pt>
                <c:pt idx="183">
                  <c:v>52.199999999999996</c:v>
                </c:pt>
                <c:pt idx="184">
                  <c:v>52.500000000000007</c:v>
                </c:pt>
                <c:pt idx="185">
                  <c:v>52.800000000000004</c:v>
                </c:pt>
                <c:pt idx="186">
                  <c:v>53.1</c:v>
                </c:pt>
                <c:pt idx="187">
                  <c:v>53.4</c:v>
                </c:pt>
                <c:pt idx="188">
                  <c:v>53.699999999999996</c:v>
                </c:pt>
                <c:pt idx="189">
                  <c:v>54.000000000000007</c:v>
                </c:pt>
                <c:pt idx="190">
                  <c:v>54.199999999999996</c:v>
                </c:pt>
                <c:pt idx="191">
                  <c:v>54.500000000000007</c:v>
                </c:pt>
                <c:pt idx="192">
                  <c:v>54.800000000000004</c:v>
                </c:pt>
                <c:pt idx="193">
                  <c:v>55.1</c:v>
                </c:pt>
                <c:pt idx="194">
                  <c:v>55.4</c:v>
                </c:pt>
                <c:pt idx="195">
                  <c:v>55.699999999999996</c:v>
                </c:pt>
                <c:pt idx="196">
                  <c:v>56.000000000000007</c:v>
                </c:pt>
                <c:pt idx="197">
                  <c:v>56.199999999999996</c:v>
                </c:pt>
                <c:pt idx="198">
                  <c:v>56.500000000000007</c:v>
                </c:pt>
                <c:pt idx="199">
                  <c:v>56.800000000000004</c:v>
                </c:pt>
                <c:pt idx="200">
                  <c:v>57.1</c:v>
                </c:pt>
                <c:pt idx="201">
                  <c:v>57.4</c:v>
                </c:pt>
                <c:pt idx="202">
                  <c:v>57.699999999999996</c:v>
                </c:pt>
                <c:pt idx="203">
                  <c:v>58.000000000000007</c:v>
                </c:pt>
                <c:pt idx="204">
                  <c:v>58.199999999999996</c:v>
                </c:pt>
                <c:pt idx="205">
                  <c:v>58.500000000000007</c:v>
                </c:pt>
                <c:pt idx="206">
                  <c:v>58.800000000000004</c:v>
                </c:pt>
                <c:pt idx="207">
                  <c:v>59.1</c:v>
                </c:pt>
                <c:pt idx="208">
                  <c:v>59.4</c:v>
                </c:pt>
                <c:pt idx="209">
                  <c:v>59.699999999999996</c:v>
                </c:pt>
                <c:pt idx="210">
                  <c:v>60.000000000000007</c:v>
                </c:pt>
                <c:pt idx="211">
                  <c:v>60.199999999999996</c:v>
                </c:pt>
                <c:pt idx="212">
                  <c:v>60.500000000000007</c:v>
                </c:pt>
                <c:pt idx="213">
                  <c:v>60.800000000000004</c:v>
                </c:pt>
                <c:pt idx="214">
                  <c:v>61.1</c:v>
                </c:pt>
                <c:pt idx="215">
                  <c:v>61.4</c:v>
                </c:pt>
                <c:pt idx="216">
                  <c:v>61.699999999999996</c:v>
                </c:pt>
                <c:pt idx="217">
                  <c:v>62.000000000000007</c:v>
                </c:pt>
                <c:pt idx="218">
                  <c:v>62.199999999999996</c:v>
                </c:pt>
                <c:pt idx="219">
                  <c:v>62.500000000000007</c:v>
                </c:pt>
                <c:pt idx="220">
                  <c:v>62.800000000000004</c:v>
                </c:pt>
                <c:pt idx="221">
                  <c:v>63.1</c:v>
                </c:pt>
                <c:pt idx="222">
                  <c:v>63.4</c:v>
                </c:pt>
                <c:pt idx="223">
                  <c:v>63.699999999999996</c:v>
                </c:pt>
                <c:pt idx="224">
                  <c:v>64</c:v>
                </c:pt>
                <c:pt idx="225">
                  <c:v>64.199999999999989</c:v>
                </c:pt>
                <c:pt idx="226">
                  <c:v>64.5</c:v>
                </c:pt>
                <c:pt idx="227">
                  <c:v>64.800000000000011</c:v>
                </c:pt>
                <c:pt idx="228">
                  <c:v>65.099999999999994</c:v>
                </c:pt>
                <c:pt idx="229">
                  <c:v>65.400000000000006</c:v>
                </c:pt>
                <c:pt idx="230">
                  <c:v>65.699999999999989</c:v>
                </c:pt>
                <c:pt idx="231">
                  <c:v>66</c:v>
                </c:pt>
                <c:pt idx="232">
                  <c:v>66.199999999999989</c:v>
                </c:pt>
                <c:pt idx="233">
                  <c:v>66.5</c:v>
                </c:pt>
                <c:pt idx="234">
                  <c:v>66.800000000000011</c:v>
                </c:pt>
                <c:pt idx="235">
                  <c:v>67.099999999999994</c:v>
                </c:pt>
                <c:pt idx="236">
                  <c:v>67.400000000000006</c:v>
                </c:pt>
                <c:pt idx="237">
                  <c:v>67.699999999999989</c:v>
                </c:pt>
                <c:pt idx="238">
                  <c:v>68</c:v>
                </c:pt>
                <c:pt idx="239">
                  <c:v>68.199999999999989</c:v>
                </c:pt>
                <c:pt idx="240">
                  <c:v>68.5</c:v>
                </c:pt>
                <c:pt idx="241">
                  <c:v>68.800000000000011</c:v>
                </c:pt>
                <c:pt idx="242">
                  <c:v>69.099999999999994</c:v>
                </c:pt>
                <c:pt idx="243">
                  <c:v>69.400000000000006</c:v>
                </c:pt>
                <c:pt idx="244">
                  <c:v>69.699999999999989</c:v>
                </c:pt>
                <c:pt idx="245">
                  <c:v>70</c:v>
                </c:pt>
                <c:pt idx="246">
                  <c:v>70.199999999999989</c:v>
                </c:pt>
                <c:pt idx="247">
                  <c:v>70.5</c:v>
                </c:pt>
                <c:pt idx="248">
                  <c:v>70.799999999999983</c:v>
                </c:pt>
                <c:pt idx="249">
                  <c:v>71.099999999999994</c:v>
                </c:pt>
                <c:pt idx="250">
                  <c:v>71.400000000000006</c:v>
                </c:pt>
                <c:pt idx="251">
                  <c:v>71.699999999999989</c:v>
                </c:pt>
                <c:pt idx="252">
                  <c:v>72</c:v>
                </c:pt>
                <c:pt idx="253">
                  <c:v>72.199999999999989</c:v>
                </c:pt>
                <c:pt idx="254">
                  <c:v>72.5</c:v>
                </c:pt>
                <c:pt idx="255">
                  <c:v>72.799999999999983</c:v>
                </c:pt>
                <c:pt idx="256">
                  <c:v>73.099999999999994</c:v>
                </c:pt>
                <c:pt idx="257">
                  <c:v>73.400000000000006</c:v>
                </c:pt>
                <c:pt idx="258">
                  <c:v>73.699999999999989</c:v>
                </c:pt>
                <c:pt idx="259">
                  <c:v>74</c:v>
                </c:pt>
                <c:pt idx="260">
                  <c:v>74.199999999999989</c:v>
                </c:pt>
                <c:pt idx="261">
                  <c:v>74.5</c:v>
                </c:pt>
                <c:pt idx="262">
                  <c:v>74.799999999999983</c:v>
                </c:pt>
                <c:pt idx="263">
                  <c:v>75.099999999999994</c:v>
                </c:pt>
                <c:pt idx="264">
                  <c:v>75.400000000000006</c:v>
                </c:pt>
                <c:pt idx="265">
                  <c:v>75.699999999999989</c:v>
                </c:pt>
                <c:pt idx="266">
                  <c:v>76</c:v>
                </c:pt>
                <c:pt idx="267">
                  <c:v>76.199999999999989</c:v>
                </c:pt>
                <c:pt idx="268">
                  <c:v>76.5</c:v>
                </c:pt>
                <c:pt idx="269">
                  <c:v>76.799999999999983</c:v>
                </c:pt>
                <c:pt idx="270">
                  <c:v>77.099999999999994</c:v>
                </c:pt>
                <c:pt idx="271">
                  <c:v>77.400000000000006</c:v>
                </c:pt>
                <c:pt idx="272">
                  <c:v>77.699999999999989</c:v>
                </c:pt>
                <c:pt idx="273">
                  <c:v>78</c:v>
                </c:pt>
                <c:pt idx="274">
                  <c:v>78.199999999999989</c:v>
                </c:pt>
                <c:pt idx="275">
                  <c:v>78.5</c:v>
                </c:pt>
                <c:pt idx="276">
                  <c:v>78.799999999999983</c:v>
                </c:pt>
                <c:pt idx="277">
                  <c:v>79.099999999999994</c:v>
                </c:pt>
                <c:pt idx="278">
                  <c:v>79.400000000000006</c:v>
                </c:pt>
                <c:pt idx="279">
                  <c:v>79.699999999999989</c:v>
                </c:pt>
                <c:pt idx="280">
                  <c:v>80</c:v>
                </c:pt>
                <c:pt idx="281">
                  <c:v>80.199999999999989</c:v>
                </c:pt>
                <c:pt idx="282">
                  <c:v>80.5</c:v>
                </c:pt>
                <c:pt idx="283">
                  <c:v>80.799999999999983</c:v>
                </c:pt>
                <c:pt idx="284">
                  <c:v>81.099999999999994</c:v>
                </c:pt>
                <c:pt idx="285">
                  <c:v>81.400000000000006</c:v>
                </c:pt>
                <c:pt idx="286">
                  <c:v>81.699999999999989</c:v>
                </c:pt>
                <c:pt idx="287">
                  <c:v>82</c:v>
                </c:pt>
                <c:pt idx="288">
                  <c:v>82.199999999999989</c:v>
                </c:pt>
                <c:pt idx="289">
                  <c:v>82.5</c:v>
                </c:pt>
                <c:pt idx="290">
                  <c:v>82.799999999999983</c:v>
                </c:pt>
                <c:pt idx="291">
                  <c:v>83.1</c:v>
                </c:pt>
                <c:pt idx="292">
                  <c:v>83.4</c:v>
                </c:pt>
                <c:pt idx="293">
                  <c:v>83.699999999999989</c:v>
                </c:pt>
                <c:pt idx="294">
                  <c:v>84</c:v>
                </c:pt>
                <c:pt idx="295">
                  <c:v>84.199999999999989</c:v>
                </c:pt>
                <c:pt idx="296">
                  <c:v>84.5</c:v>
                </c:pt>
                <c:pt idx="297">
                  <c:v>84.799999999999983</c:v>
                </c:pt>
                <c:pt idx="298">
                  <c:v>85.1</c:v>
                </c:pt>
                <c:pt idx="299">
                  <c:v>85.4</c:v>
                </c:pt>
                <c:pt idx="300">
                  <c:v>85.699999999999989</c:v>
                </c:pt>
                <c:pt idx="301">
                  <c:v>86</c:v>
                </c:pt>
                <c:pt idx="302">
                  <c:v>86.199999999999989</c:v>
                </c:pt>
                <c:pt idx="303">
                  <c:v>86.5</c:v>
                </c:pt>
                <c:pt idx="304">
                  <c:v>86.799999999999983</c:v>
                </c:pt>
                <c:pt idx="305">
                  <c:v>87.1</c:v>
                </c:pt>
                <c:pt idx="306">
                  <c:v>87.4</c:v>
                </c:pt>
                <c:pt idx="307">
                  <c:v>87.699999999999989</c:v>
                </c:pt>
                <c:pt idx="308">
                  <c:v>88</c:v>
                </c:pt>
                <c:pt idx="309">
                  <c:v>88.199999999999989</c:v>
                </c:pt>
                <c:pt idx="310">
                  <c:v>88.5</c:v>
                </c:pt>
                <c:pt idx="311">
                  <c:v>88.799999999999983</c:v>
                </c:pt>
                <c:pt idx="312">
                  <c:v>89.1</c:v>
                </c:pt>
                <c:pt idx="313">
                  <c:v>89.4</c:v>
                </c:pt>
                <c:pt idx="314">
                  <c:v>89.699999999999989</c:v>
                </c:pt>
                <c:pt idx="315">
                  <c:v>90</c:v>
                </c:pt>
                <c:pt idx="316">
                  <c:v>90.199999999999989</c:v>
                </c:pt>
                <c:pt idx="317">
                  <c:v>90.5</c:v>
                </c:pt>
                <c:pt idx="318">
                  <c:v>90.799999999999983</c:v>
                </c:pt>
                <c:pt idx="319">
                  <c:v>91.1</c:v>
                </c:pt>
                <c:pt idx="320">
                  <c:v>91.4</c:v>
                </c:pt>
                <c:pt idx="321">
                  <c:v>91.699999999999989</c:v>
                </c:pt>
                <c:pt idx="322">
                  <c:v>92</c:v>
                </c:pt>
                <c:pt idx="323">
                  <c:v>92.199999999999989</c:v>
                </c:pt>
                <c:pt idx="324">
                  <c:v>92.5</c:v>
                </c:pt>
                <c:pt idx="325">
                  <c:v>92.799999999999983</c:v>
                </c:pt>
                <c:pt idx="326">
                  <c:v>93.1</c:v>
                </c:pt>
                <c:pt idx="327">
                  <c:v>93.4</c:v>
                </c:pt>
                <c:pt idx="328">
                  <c:v>93.699999999999989</c:v>
                </c:pt>
                <c:pt idx="329">
                  <c:v>94</c:v>
                </c:pt>
                <c:pt idx="330">
                  <c:v>94.199999999999989</c:v>
                </c:pt>
                <c:pt idx="331">
                  <c:v>94.5</c:v>
                </c:pt>
                <c:pt idx="332">
                  <c:v>94.799999999999983</c:v>
                </c:pt>
                <c:pt idx="333">
                  <c:v>95.1</c:v>
                </c:pt>
                <c:pt idx="334">
                  <c:v>95.4</c:v>
                </c:pt>
                <c:pt idx="335">
                  <c:v>95.699999999999989</c:v>
                </c:pt>
                <c:pt idx="336">
                  <c:v>96</c:v>
                </c:pt>
                <c:pt idx="337">
                  <c:v>96.199999999999989</c:v>
                </c:pt>
                <c:pt idx="338">
                  <c:v>96.5</c:v>
                </c:pt>
                <c:pt idx="339">
                  <c:v>96.799999999999983</c:v>
                </c:pt>
                <c:pt idx="340">
                  <c:v>97.1</c:v>
                </c:pt>
                <c:pt idx="341">
                  <c:v>97.4</c:v>
                </c:pt>
                <c:pt idx="342">
                  <c:v>97.699999999999989</c:v>
                </c:pt>
                <c:pt idx="343">
                  <c:v>98</c:v>
                </c:pt>
                <c:pt idx="344">
                  <c:v>98.199999999999989</c:v>
                </c:pt>
                <c:pt idx="345">
                  <c:v>98.5</c:v>
                </c:pt>
                <c:pt idx="346">
                  <c:v>98.799999999999983</c:v>
                </c:pt>
                <c:pt idx="347">
                  <c:v>99.1</c:v>
                </c:pt>
                <c:pt idx="348">
                  <c:v>99.4</c:v>
                </c:pt>
                <c:pt idx="349">
                  <c:v>99.699999999999989</c:v>
                </c:pt>
                <c:pt idx="350">
                  <c:v>100</c:v>
                </c:pt>
                <c:pt idx="351">
                  <c:v>100.19999999999999</c:v>
                </c:pt>
                <c:pt idx="352">
                  <c:v>100.5</c:v>
                </c:pt>
                <c:pt idx="353">
                  <c:v>100.79999999999998</c:v>
                </c:pt>
                <c:pt idx="354">
                  <c:v>101.1</c:v>
                </c:pt>
                <c:pt idx="355">
                  <c:v>101.4</c:v>
                </c:pt>
                <c:pt idx="356">
                  <c:v>101.69999999999999</c:v>
                </c:pt>
                <c:pt idx="357">
                  <c:v>102</c:v>
                </c:pt>
                <c:pt idx="358">
                  <c:v>102.19999999999999</c:v>
                </c:pt>
                <c:pt idx="359">
                  <c:v>102.5</c:v>
                </c:pt>
                <c:pt idx="360">
                  <c:v>102.79999999999998</c:v>
                </c:pt>
                <c:pt idx="361">
                  <c:v>103.1</c:v>
                </c:pt>
                <c:pt idx="362">
                  <c:v>103.4</c:v>
                </c:pt>
                <c:pt idx="363">
                  <c:v>103.69999999999999</c:v>
                </c:pt>
                <c:pt idx="364">
                  <c:v>104</c:v>
                </c:pt>
                <c:pt idx="365">
                  <c:v>104.19999999999999</c:v>
                </c:pt>
                <c:pt idx="366">
                  <c:v>104.5</c:v>
                </c:pt>
                <c:pt idx="367">
                  <c:v>104.79999999999998</c:v>
                </c:pt>
                <c:pt idx="368">
                  <c:v>105.1</c:v>
                </c:pt>
                <c:pt idx="369">
                  <c:v>105.4</c:v>
                </c:pt>
                <c:pt idx="370">
                  <c:v>105.69999999999999</c:v>
                </c:pt>
                <c:pt idx="371">
                  <c:v>106</c:v>
                </c:pt>
                <c:pt idx="372">
                  <c:v>106.19999999999999</c:v>
                </c:pt>
                <c:pt idx="373">
                  <c:v>106.5</c:v>
                </c:pt>
                <c:pt idx="374">
                  <c:v>106.79999999999998</c:v>
                </c:pt>
                <c:pt idx="375">
                  <c:v>107.1</c:v>
                </c:pt>
                <c:pt idx="376">
                  <c:v>107.4</c:v>
                </c:pt>
                <c:pt idx="377">
                  <c:v>107.69999999999999</c:v>
                </c:pt>
                <c:pt idx="378">
                  <c:v>108</c:v>
                </c:pt>
                <c:pt idx="379">
                  <c:v>108.19999999999999</c:v>
                </c:pt>
                <c:pt idx="380">
                  <c:v>108.5</c:v>
                </c:pt>
                <c:pt idx="381">
                  <c:v>108.79999999999998</c:v>
                </c:pt>
                <c:pt idx="382">
                  <c:v>109.1</c:v>
                </c:pt>
                <c:pt idx="383">
                  <c:v>109.4</c:v>
                </c:pt>
                <c:pt idx="384">
                  <c:v>109.69999999999999</c:v>
                </c:pt>
                <c:pt idx="385">
                  <c:v>110</c:v>
                </c:pt>
                <c:pt idx="386">
                  <c:v>110.19999999999999</c:v>
                </c:pt>
                <c:pt idx="387">
                  <c:v>110.5</c:v>
                </c:pt>
                <c:pt idx="388">
                  <c:v>110.79999999999998</c:v>
                </c:pt>
                <c:pt idx="389">
                  <c:v>111.1</c:v>
                </c:pt>
                <c:pt idx="390">
                  <c:v>111.4</c:v>
                </c:pt>
                <c:pt idx="391">
                  <c:v>111.69999999999999</c:v>
                </c:pt>
                <c:pt idx="392">
                  <c:v>112</c:v>
                </c:pt>
                <c:pt idx="393">
                  <c:v>112.19999999999999</c:v>
                </c:pt>
                <c:pt idx="394">
                  <c:v>112.5</c:v>
                </c:pt>
                <c:pt idx="395">
                  <c:v>112.79999999999998</c:v>
                </c:pt>
                <c:pt idx="396">
                  <c:v>113.1</c:v>
                </c:pt>
                <c:pt idx="397">
                  <c:v>113.4</c:v>
                </c:pt>
                <c:pt idx="398">
                  <c:v>113.69999999999999</c:v>
                </c:pt>
                <c:pt idx="399">
                  <c:v>114</c:v>
                </c:pt>
                <c:pt idx="400">
                  <c:v>114.19999999999999</c:v>
                </c:pt>
                <c:pt idx="401">
                  <c:v>114.5</c:v>
                </c:pt>
                <c:pt idx="402">
                  <c:v>114.79999999999998</c:v>
                </c:pt>
                <c:pt idx="403">
                  <c:v>115.1</c:v>
                </c:pt>
                <c:pt idx="404">
                  <c:v>115.4</c:v>
                </c:pt>
                <c:pt idx="405">
                  <c:v>115.69999999999999</c:v>
                </c:pt>
                <c:pt idx="406">
                  <c:v>116</c:v>
                </c:pt>
                <c:pt idx="407">
                  <c:v>116.19999999999999</c:v>
                </c:pt>
                <c:pt idx="408">
                  <c:v>116.5</c:v>
                </c:pt>
                <c:pt idx="409">
                  <c:v>116.79999999999998</c:v>
                </c:pt>
                <c:pt idx="410">
                  <c:v>117.1</c:v>
                </c:pt>
                <c:pt idx="411">
                  <c:v>117.4</c:v>
                </c:pt>
                <c:pt idx="412">
                  <c:v>117.69999999999999</c:v>
                </c:pt>
                <c:pt idx="413">
                  <c:v>118</c:v>
                </c:pt>
                <c:pt idx="414">
                  <c:v>118.19999999999999</c:v>
                </c:pt>
                <c:pt idx="415">
                  <c:v>118.5</c:v>
                </c:pt>
                <c:pt idx="416">
                  <c:v>118.79999999999998</c:v>
                </c:pt>
                <c:pt idx="417">
                  <c:v>119.1</c:v>
                </c:pt>
                <c:pt idx="418">
                  <c:v>119.4</c:v>
                </c:pt>
                <c:pt idx="419">
                  <c:v>119.69999999999999</c:v>
                </c:pt>
                <c:pt idx="420">
                  <c:v>120</c:v>
                </c:pt>
                <c:pt idx="421">
                  <c:v>120.19999999999999</c:v>
                </c:pt>
                <c:pt idx="422">
                  <c:v>120.5</c:v>
                </c:pt>
                <c:pt idx="423">
                  <c:v>120.79999999999998</c:v>
                </c:pt>
                <c:pt idx="424">
                  <c:v>121.1</c:v>
                </c:pt>
                <c:pt idx="425">
                  <c:v>121.4</c:v>
                </c:pt>
                <c:pt idx="426">
                  <c:v>121.69999999999999</c:v>
                </c:pt>
                <c:pt idx="427">
                  <c:v>122</c:v>
                </c:pt>
                <c:pt idx="428">
                  <c:v>122.19999999999999</c:v>
                </c:pt>
                <c:pt idx="429">
                  <c:v>122.5</c:v>
                </c:pt>
                <c:pt idx="430">
                  <c:v>122.79999999999998</c:v>
                </c:pt>
                <c:pt idx="431">
                  <c:v>123.1</c:v>
                </c:pt>
                <c:pt idx="432">
                  <c:v>123.4</c:v>
                </c:pt>
                <c:pt idx="433">
                  <c:v>123.69999999999999</c:v>
                </c:pt>
                <c:pt idx="434">
                  <c:v>124</c:v>
                </c:pt>
                <c:pt idx="435">
                  <c:v>124.19999999999999</c:v>
                </c:pt>
                <c:pt idx="436">
                  <c:v>124.5</c:v>
                </c:pt>
                <c:pt idx="437">
                  <c:v>124.79999999999998</c:v>
                </c:pt>
                <c:pt idx="438">
                  <c:v>125.1</c:v>
                </c:pt>
                <c:pt idx="439">
                  <c:v>125.4</c:v>
                </c:pt>
                <c:pt idx="440">
                  <c:v>125.69999999999999</c:v>
                </c:pt>
                <c:pt idx="441">
                  <c:v>126</c:v>
                </c:pt>
                <c:pt idx="442">
                  <c:v>126.19999999999999</c:v>
                </c:pt>
                <c:pt idx="443">
                  <c:v>126.5</c:v>
                </c:pt>
                <c:pt idx="444">
                  <c:v>126.79999999999998</c:v>
                </c:pt>
                <c:pt idx="445">
                  <c:v>127.1</c:v>
                </c:pt>
                <c:pt idx="446">
                  <c:v>127.4</c:v>
                </c:pt>
                <c:pt idx="447">
                  <c:v>127.69999999999999</c:v>
                </c:pt>
                <c:pt idx="448">
                  <c:v>128</c:v>
                </c:pt>
                <c:pt idx="449">
                  <c:v>128.19999999999999</c:v>
                </c:pt>
                <c:pt idx="450">
                  <c:v>128.5</c:v>
                </c:pt>
                <c:pt idx="451">
                  <c:v>128.79999999999998</c:v>
                </c:pt>
                <c:pt idx="452">
                  <c:v>129.1</c:v>
                </c:pt>
                <c:pt idx="453">
                  <c:v>129.4</c:v>
                </c:pt>
                <c:pt idx="454">
                  <c:v>129.69999999999999</c:v>
                </c:pt>
                <c:pt idx="455">
                  <c:v>130</c:v>
                </c:pt>
                <c:pt idx="456">
                  <c:v>130.19999999999999</c:v>
                </c:pt>
                <c:pt idx="457">
                  <c:v>130.5</c:v>
                </c:pt>
                <c:pt idx="458">
                  <c:v>130.79999999999998</c:v>
                </c:pt>
                <c:pt idx="459">
                  <c:v>131.1</c:v>
                </c:pt>
                <c:pt idx="460">
                  <c:v>131.4</c:v>
                </c:pt>
                <c:pt idx="461">
                  <c:v>131.69999999999999</c:v>
                </c:pt>
                <c:pt idx="462">
                  <c:v>132</c:v>
                </c:pt>
                <c:pt idx="463">
                  <c:v>132.19999999999999</c:v>
                </c:pt>
                <c:pt idx="464">
                  <c:v>132.5</c:v>
                </c:pt>
                <c:pt idx="465">
                  <c:v>132.79999999999998</c:v>
                </c:pt>
                <c:pt idx="466">
                  <c:v>133.1</c:v>
                </c:pt>
                <c:pt idx="467">
                  <c:v>133.4</c:v>
                </c:pt>
                <c:pt idx="468">
                  <c:v>133.69999999999999</c:v>
                </c:pt>
                <c:pt idx="469">
                  <c:v>134</c:v>
                </c:pt>
                <c:pt idx="470">
                  <c:v>134.19999999999999</c:v>
                </c:pt>
                <c:pt idx="471">
                  <c:v>134.5</c:v>
                </c:pt>
                <c:pt idx="472">
                  <c:v>134.79999999999998</c:v>
                </c:pt>
                <c:pt idx="473">
                  <c:v>135.1</c:v>
                </c:pt>
                <c:pt idx="474">
                  <c:v>135.4</c:v>
                </c:pt>
                <c:pt idx="475">
                  <c:v>135.69999999999999</c:v>
                </c:pt>
                <c:pt idx="476">
                  <c:v>136</c:v>
                </c:pt>
                <c:pt idx="477">
                  <c:v>136.19999999999999</c:v>
                </c:pt>
                <c:pt idx="478">
                  <c:v>136.5</c:v>
                </c:pt>
                <c:pt idx="479">
                  <c:v>136.79999999999998</c:v>
                </c:pt>
                <c:pt idx="480">
                  <c:v>137.1</c:v>
                </c:pt>
                <c:pt idx="481">
                  <c:v>137.4</c:v>
                </c:pt>
                <c:pt idx="482">
                  <c:v>137.69999999999999</c:v>
                </c:pt>
                <c:pt idx="483">
                  <c:v>138</c:v>
                </c:pt>
                <c:pt idx="484">
                  <c:v>138.19999999999999</c:v>
                </c:pt>
                <c:pt idx="485">
                  <c:v>138.5</c:v>
                </c:pt>
                <c:pt idx="486">
                  <c:v>138.79999999999998</c:v>
                </c:pt>
                <c:pt idx="487">
                  <c:v>139.1</c:v>
                </c:pt>
                <c:pt idx="488">
                  <c:v>139.4</c:v>
                </c:pt>
                <c:pt idx="489">
                  <c:v>139.69999999999999</c:v>
                </c:pt>
                <c:pt idx="490">
                  <c:v>140</c:v>
                </c:pt>
                <c:pt idx="491">
                  <c:v>140.19999999999999</c:v>
                </c:pt>
                <c:pt idx="492">
                  <c:v>140.5</c:v>
                </c:pt>
                <c:pt idx="493">
                  <c:v>140.79999999999998</c:v>
                </c:pt>
              </c:numCache>
            </c:numRef>
          </c:xVal>
          <c:yVal>
            <c:numRef>
              <c:f>'sheet 1'!$C$39:$C$788</c:f>
              <c:numCache>
                <c:formatCode>General</c:formatCode>
                <c:ptCount val="750"/>
                <c:pt idx="0">
                  <c:v>1671</c:v>
                </c:pt>
                <c:pt idx="1">
                  <c:v>1584</c:v>
                </c:pt>
                <c:pt idx="2">
                  <c:v>1608</c:v>
                </c:pt>
                <c:pt idx="3">
                  <c:v>1574</c:v>
                </c:pt>
                <c:pt idx="4">
                  <c:v>1632</c:v>
                </c:pt>
                <c:pt idx="5">
                  <c:v>1542</c:v>
                </c:pt>
                <c:pt idx="6">
                  <c:v>1523</c:v>
                </c:pt>
                <c:pt idx="7">
                  <c:v>1607</c:v>
                </c:pt>
                <c:pt idx="8">
                  <c:v>1526</c:v>
                </c:pt>
                <c:pt idx="9">
                  <c:v>1514</c:v>
                </c:pt>
                <c:pt idx="10">
                  <c:v>1543</c:v>
                </c:pt>
                <c:pt idx="11">
                  <c:v>1565</c:v>
                </c:pt>
                <c:pt idx="12">
                  <c:v>1577</c:v>
                </c:pt>
                <c:pt idx="13">
                  <c:v>1455</c:v>
                </c:pt>
                <c:pt idx="14">
                  <c:v>1511</c:v>
                </c:pt>
                <c:pt idx="15">
                  <c:v>1430</c:v>
                </c:pt>
                <c:pt idx="16">
                  <c:v>1427</c:v>
                </c:pt>
                <c:pt idx="17">
                  <c:v>1475</c:v>
                </c:pt>
                <c:pt idx="18">
                  <c:v>1445</c:v>
                </c:pt>
                <c:pt idx="19">
                  <c:v>1462</c:v>
                </c:pt>
                <c:pt idx="20">
                  <c:v>1573</c:v>
                </c:pt>
                <c:pt idx="21">
                  <c:v>1489</c:v>
                </c:pt>
                <c:pt idx="22">
                  <c:v>1386</c:v>
                </c:pt>
                <c:pt idx="23">
                  <c:v>1471</c:v>
                </c:pt>
                <c:pt idx="24">
                  <c:v>1419</c:v>
                </c:pt>
                <c:pt idx="25">
                  <c:v>1400</c:v>
                </c:pt>
                <c:pt idx="26">
                  <c:v>1455</c:v>
                </c:pt>
                <c:pt idx="27">
                  <c:v>1381</c:v>
                </c:pt>
                <c:pt idx="28">
                  <c:v>1341</c:v>
                </c:pt>
                <c:pt idx="29">
                  <c:v>1388</c:v>
                </c:pt>
                <c:pt idx="30">
                  <c:v>1330</c:v>
                </c:pt>
                <c:pt idx="31">
                  <c:v>1355</c:v>
                </c:pt>
                <c:pt idx="32">
                  <c:v>1443</c:v>
                </c:pt>
                <c:pt idx="33">
                  <c:v>1398</c:v>
                </c:pt>
                <c:pt idx="34">
                  <c:v>1326</c:v>
                </c:pt>
                <c:pt idx="35">
                  <c:v>1355</c:v>
                </c:pt>
                <c:pt idx="36">
                  <c:v>1376</c:v>
                </c:pt>
                <c:pt idx="37">
                  <c:v>1345</c:v>
                </c:pt>
                <c:pt idx="38">
                  <c:v>1263</c:v>
                </c:pt>
                <c:pt idx="39">
                  <c:v>1308</c:v>
                </c:pt>
                <c:pt idx="40">
                  <c:v>1360</c:v>
                </c:pt>
                <c:pt idx="41">
                  <c:v>1314</c:v>
                </c:pt>
                <c:pt idx="42">
                  <c:v>1366</c:v>
                </c:pt>
                <c:pt idx="43">
                  <c:v>1268</c:v>
                </c:pt>
                <c:pt idx="44">
                  <c:v>1260</c:v>
                </c:pt>
                <c:pt idx="45">
                  <c:v>1284</c:v>
                </c:pt>
                <c:pt idx="46">
                  <c:v>1313</c:v>
                </c:pt>
                <c:pt idx="47">
                  <c:v>1246</c:v>
                </c:pt>
                <c:pt idx="48">
                  <c:v>1283</c:v>
                </c:pt>
                <c:pt idx="49">
                  <c:v>1239</c:v>
                </c:pt>
                <c:pt idx="50">
                  <c:v>1263</c:v>
                </c:pt>
                <c:pt idx="51">
                  <c:v>1282</c:v>
                </c:pt>
                <c:pt idx="52">
                  <c:v>1249</c:v>
                </c:pt>
                <c:pt idx="53">
                  <c:v>1269</c:v>
                </c:pt>
                <c:pt idx="54">
                  <c:v>1269</c:v>
                </c:pt>
                <c:pt idx="55">
                  <c:v>1246</c:v>
                </c:pt>
                <c:pt idx="56">
                  <c:v>1214</c:v>
                </c:pt>
                <c:pt idx="57">
                  <c:v>1279</c:v>
                </c:pt>
                <c:pt idx="58">
                  <c:v>1261</c:v>
                </c:pt>
                <c:pt idx="59">
                  <c:v>1215</c:v>
                </c:pt>
                <c:pt idx="60">
                  <c:v>1214</c:v>
                </c:pt>
                <c:pt idx="61">
                  <c:v>1214</c:v>
                </c:pt>
                <c:pt idx="62">
                  <c:v>1228</c:v>
                </c:pt>
                <c:pt idx="63">
                  <c:v>1203</c:v>
                </c:pt>
                <c:pt idx="64">
                  <c:v>1243</c:v>
                </c:pt>
                <c:pt idx="65">
                  <c:v>1200</c:v>
                </c:pt>
                <c:pt idx="66">
                  <c:v>1170</c:v>
                </c:pt>
                <c:pt idx="67">
                  <c:v>1219</c:v>
                </c:pt>
                <c:pt idx="68">
                  <c:v>1169</c:v>
                </c:pt>
                <c:pt idx="69">
                  <c:v>1205</c:v>
                </c:pt>
                <c:pt idx="70">
                  <c:v>1201</c:v>
                </c:pt>
                <c:pt idx="71">
                  <c:v>1157</c:v>
                </c:pt>
                <c:pt idx="72">
                  <c:v>1152</c:v>
                </c:pt>
                <c:pt idx="73">
                  <c:v>1116</c:v>
                </c:pt>
                <c:pt idx="74">
                  <c:v>1147</c:v>
                </c:pt>
                <c:pt idx="75">
                  <c:v>1156</c:v>
                </c:pt>
                <c:pt idx="76">
                  <c:v>1203</c:v>
                </c:pt>
                <c:pt idx="77">
                  <c:v>1105</c:v>
                </c:pt>
                <c:pt idx="78">
                  <c:v>1179</c:v>
                </c:pt>
                <c:pt idx="79">
                  <c:v>1168</c:v>
                </c:pt>
                <c:pt idx="80">
                  <c:v>1152</c:v>
                </c:pt>
                <c:pt idx="81">
                  <c:v>1115</c:v>
                </c:pt>
                <c:pt idx="82">
                  <c:v>1051</c:v>
                </c:pt>
                <c:pt idx="83">
                  <c:v>1098</c:v>
                </c:pt>
                <c:pt idx="84">
                  <c:v>1144</c:v>
                </c:pt>
                <c:pt idx="85">
                  <c:v>1122</c:v>
                </c:pt>
                <c:pt idx="86">
                  <c:v>1104</c:v>
                </c:pt>
                <c:pt idx="87">
                  <c:v>1106</c:v>
                </c:pt>
                <c:pt idx="88">
                  <c:v>1133</c:v>
                </c:pt>
                <c:pt idx="89">
                  <c:v>1096</c:v>
                </c:pt>
                <c:pt idx="90">
                  <c:v>1057</c:v>
                </c:pt>
                <c:pt idx="91">
                  <c:v>1095</c:v>
                </c:pt>
                <c:pt idx="92">
                  <c:v>1098</c:v>
                </c:pt>
                <c:pt idx="93">
                  <c:v>1056</c:v>
                </c:pt>
                <c:pt idx="94">
                  <c:v>1097</c:v>
                </c:pt>
                <c:pt idx="95">
                  <c:v>1083</c:v>
                </c:pt>
                <c:pt idx="96">
                  <c:v>983</c:v>
                </c:pt>
                <c:pt idx="97">
                  <c:v>1059</c:v>
                </c:pt>
                <c:pt idx="98">
                  <c:v>1023</c:v>
                </c:pt>
                <c:pt idx="99">
                  <c:v>1049</c:v>
                </c:pt>
                <c:pt idx="100">
                  <c:v>1082</c:v>
                </c:pt>
                <c:pt idx="101">
                  <c:v>1060</c:v>
                </c:pt>
                <c:pt idx="102">
                  <c:v>1068</c:v>
                </c:pt>
                <c:pt idx="103">
                  <c:v>1037</c:v>
                </c:pt>
                <c:pt idx="104">
                  <c:v>1018</c:v>
                </c:pt>
                <c:pt idx="105">
                  <c:v>1113</c:v>
                </c:pt>
                <c:pt idx="106">
                  <c:v>1030</c:v>
                </c:pt>
                <c:pt idx="107">
                  <c:v>1065</c:v>
                </c:pt>
                <c:pt idx="108">
                  <c:v>1052</c:v>
                </c:pt>
                <c:pt idx="109">
                  <c:v>1074</c:v>
                </c:pt>
                <c:pt idx="110">
                  <c:v>1040</c:v>
                </c:pt>
                <c:pt idx="111">
                  <c:v>989</c:v>
                </c:pt>
                <c:pt idx="112">
                  <c:v>974</c:v>
                </c:pt>
                <c:pt idx="113">
                  <c:v>990</c:v>
                </c:pt>
                <c:pt idx="114">
                  <c:v>974</c:v>
                </c:pt>
                <c:pt idx="115">
                  <c:v>991</c:v>
                </c:pt>
                <c:pt idx="116">
                  <c:v>989</c:v>
                </c:pt>
                <c:pt idx="117">
                  <c:v>1013</c:v>
                </c:pt>
                <c:pt idx="118">
                  <c:v>1010</c:v>
                </c:pt>
                <c:pt idx="119">
                  <c:v>1024</c:v>
                </c:pt>
                <c:pt idx="120">
                  <c:v>1046</c:v>
                </c:pt>
                <c:pt idx="121">
                  <c:v>956</c:v>
                </c:pt>
                <c:pt idx="122">
                  <c:v>934</c:v>
                </c:pt>
                <c:pt idx="123">
                  <c:v>986</c:v>
                </c:pt>
                <c:pt idx="124">
                  <c:v>921</c:v>
                </c:pt>
                <c:pt idx="125">
                  <c:v>1039</c:v>
                </c:pt>
                <c:pt idx="126">
                  <c:v>978</c:v>
                </c:pt>
                <c:pt idx="127">
                  <c:v>947</c:v>
                </c:pt>
                <c:pt idx="128">
                  <c:v>1035</c:v>
                </c:pt>
                <c:pt idx="129">
                  <c:v>1007</c:v>
                </c:pt>
                <c:pt idx="130">
                  <c:v>951</c:v>
                </c:pt>
                <c:pt idx="131">
                  <c:v>1039</c:v>
                </c:pt>
                <c:pt idx="132">
                  <c:v>990</c:v>
                </c:pt>
                <c:pt idx="133">
                  <c:v>938</c:v>
                </c:pt>
                <c:pt idx="134">
                  <c:v>1018</c:v>
                </c:pt>
                <c:pt idx="135">
                  <c:v>954</c:v>
                </c:pt>
                <c:pt idx="136">
                  <c:v>983</c:v>
                </c:pt>
                <c:pt idx="137">
                  <c:v>921</c:v>
                </c:pt>
                <c:pt idx="138">
                  <c:v>923</c:v>
                </c:pt>
                <c:pt idx="139">
                  <c:v>974</c:v>
                </c:pt>
                <c:pt idx="140">
                  <c:v>926</c:v>
                </c:pt>
                <c:pt idx="141">
                  <c:v>933</c:v>
                </c:pt>
                <c:pt idx="142">
                  <c:v>943</c:v>
                </c:pt>
                <c:pt idx="143">
                  <c:v>978</c:v>
                </c:pt>
                <c:pt idx="144">
                  <c:v>923</c:v>
                </c:pt>
                <c:pt idx="145">
                  <c:v>922</c:v>
                </c:pt>
                <c:pt idx="146">
                  <c:v>930</c:v>
                </c:pt>
                <c:pt idx="147">
                  <c:v>955</c:v>
                </c:pt>
                <c:pt idx="148">
                  <c:v>932</c:v>
                </c:pt>
                <c:pt idx="149">
                  <c:v>938</c:v>
                </c:pt>
                <c:pt idx="150">
                  <c:v>915</c:v>
                </c:pt>
                <c:pt idx="151">
                  <c:v>939</c:v>
                </c:pt>
                <c:pt idx="152">
                  <c:v>924</c:v>
                </c:pt>
                <c:pt idx="153">
                  <c:v>903</c:v>
                </c:pt>
                <c:pt idx="154">
                  <c:v>942</c:v>
                </c:pt>
                <c:pt idx="155">
                  <c:v>905</c:v>
                </c:pt>
                <c:pt idx="156">
                  <c:v>940</c:v>
                </c:pt>
                <c:pt idx="157">
                  <c:v>895</c:v>
                </c:pt>
                <c:pt idx="158">
                  <c:v>912</c:v>
                </c:pt>
                <c:pt idx="159">
                  <c:v>908</c:v>
                </c:pt>
                <c:pt idx="160">
                  <c:v>845</c:v>
                </c:pt>
                <c:pt idx="161">
                  <c:v>933</c:v>
                </c:pt>
                <c:pt idx="162">
                  <c:v>955</c:v>
                </c:pt>
                <c:pt idx="163">
                  <c:v>834</c:v>
                </c:pt>
                <c:pt idx="164">
                  <c:v>908</c:v>
                </c:pt>
                <c:pt idx="165">
                  <c:v>941</c:v>
                </c:pt>
                <c:pt idx="166">
                  <c:v>928</c:v>
                </c:pt>
                <c:pt idx="167">
                  <c:v>832</c:v>
                </c:pt>
                <c:pt idx="168">
                  <c:v>897</c:v>
                </c:pt>
                <c:pt idx="169">
                  <c:v>841</c:v>
                </c:pt>
                <c:pt idx="170">
                  <c:v>928</c:v>
                </c:pt>
                <c:pt idx="171">
                  <c:v>834</c:v>
                </c:pt>
                <c:pt idx="172">
                  <c:v>863</c:v>
                </c:pt>
                <c:pt idx="173">
                  <c:v>860</c:v>
                </c:pt>
                <c:pt idx="174">
                  <c:v>879</c:v>
                </c:pt>
                <c:pt idx="175">
                  <c:v>897</c:v>
                </c:pt>
                <c:pt idx="176">
                  <c:v>844</c:v>
                </c:pt>
                <c:pt idx="177">
                  <c:v>838</c:v>
                </c:pt>
                <c:pt idx="178">
                  <c:v>904</c:v>
                </c:pt>
                <c:pt idx="179">
                  <c:v>844</c:v>
                </c:pt>
                <c:pt idx="180">
                  <c:v>880</c:v>
                </c:pt>
                <c:pt idx="181">
                  <c:v>866</c:v>
                </c:pt>
                <c:pt idx="182">
                  <c:v>858</c:v>
                </c:pt>
                <c:pt idx="183">
                  <c:v>798</c:v>
                </c:pt>
                <c:pt idx="184">
                  <c:v>899</c:v>
                </c:pt>
                <c:pt idx="185">
                  <c:v>861</c:v>
                </c:pt>
                <c:pt idx="186">
                  <c:v>849</c:v>
                </c:pt>
                <c:pt idx="187">
                  <c:v>872</c:v>
                </c:pt>
                <c:pt idx="188">
                  <c:v>799</c:v>
                </c:pt>
                <c:pt idx="189">
                  <c:v>811</c:v>
                </c:pt>
                <c:pt idx="190">
                  <c:v>843</c:v>
                </c:pt>
                <c:pt idx="191">
                  <c:v>779</c:v>
                </c:pt>
                <c:pt idx="192">
                  <c:v>861</c:v>
                </c:pt>
                <c:pt idx="193">
                  <c:v>838</c:v>
                </c:pt>
                <c:pt idx="194">
                  <c:v>840</c:v>
                </c:pt>
                <c:pt idx="195">
                  <c:v>816</c:v>
                </c:pt>
                <c:pt idx="196">
                  <c:v>805</c:v>
                </c:pt>
                <c:pt idx="197">
                  <c:v>843</c:v>
                </c:pt>
                <c:pt idx="198">
                  <c:v>806</c:v>
                </c:pt>
                <c:pt idx="199">
                  <c:v>794</c:v>
                </c:pt>
                <c:pt idx="200">
                  <c:v>799</c:v>
                </c:pt>
                <c:pt idx="201">
                  <c:v>824</c:v>
                </c:pt>
                <c:pt idx="202">
                  <c:v>784</c:v>
                </c:pt>
                <c:pt idx="203">
                  <c:v>748</c:v>
                </c:pt>
                <c:pt idx="204">
                  <c:v>809</c:v>
                </c:pt>
                <c:pt idx="205">
                  <c:v>840</c:v>
                </c:pt>
                <c:pt idx="206">
                  <c:v>824</c:v>
                </c:pt>
                <c:pt idx="207">
                  <c:v>767</c:v>
                </c:pt>
                <c:pt idx="208">
                  <c:v>788</c:v>
                </c:pt>
                <c:pt idx="209">
                  <c:v>786</c:v>
                </c:pt>
                <c:pt idx="210">
                  <c:v>805</c:v>
                </c:pt>
                <c:pt idx="211">
                  <c:v>752</c:v>
                </c:pt>
                <c:pt idx="212">
                  <c:v>800</c:v>
                </c:pt>
                <c:pt idx="213">
                  <c:v>823</c:v>
                </c:pt>
                <c:pt idx="214">
                  <c:v>806</c:v>
                </c:pt>
                <c:pt idx="215">
                  <c:v>776</c:v>
                </c:pt>
                <c:pt idx="216">
                  <c:v>797</c:v>
                </c:pt>
                <c:pt idx="217">
                  <c:v>798</c:v>
                </c:pt>
                <c:pt idx="218">
                  <c:v>798</c:v>
                </c:pt>
                <c:pt idx="219">
                  <c:v>794</c:v>
                </c:pt>
                <c:pt idx="220">
                  <c:v>802</c:v>
                </c:pt>
                <c:pt idx="221">
                  <c:v>800</c:v>
                </c:pt>
                <c:pt idx="222">
                  <c:v>758</c:v>
                </c:pt>
                <c:pt idx="223">
                  <c:v>751</c:v>
                </c:pt>
                <c:pt idx="224">
                  <c:v>804</c:v>
                </c:pt>
                <c:pt idx="225">
                  <c:v>759</c:v>
                </c:pt>
                <c:pt idx="226">
                  <c:v>781</c:v>
                </c:pt>
                <c:pt idx="227">
                  <c:v>737</c:v>
                </c:pt>
                <c:pt idx="228">
                  <c:v>754</c:v>
                </c:pt>
                <c:pt idx="229">
                  <c:v>754</c:v>
                </c:pt>
                <c:pt idx="230">
                  <c:v>818</c:v>
                </c:pt>
                <c:pt idx="231">
                  <c:v>770</c:v>
                </c:pt>
                <c:pt idx="232">
                  <c:v>762</c:v>
                </c:pt>
                <c:pt idx="233">
                  <c:v>803</c:v>
                </c:pt>
                <c:pt idx="234">
                  <c:v>817</c:v>
                </c:pt>
                <c:pt idx="235">
                  <c:v>792</c:v>
                </c:pt>
                <c:pt idx="236">
                  <c:v>744</c:v>
                </c:pt>
                <c:pt idx="237">
                  <c:v>791</c:v>
                </c:pt>
                <c:pt idx="238">
                  <c:v>801</c:v>
                </c:pt>
                <c:pt idx="239">
                  <c:v>730</c:v>
                </c:pt>
                <c:pt idx="240">
                  <c:v>720</c:v>
                </c:pt>
                <c:pt idx="241">
                  <c:v>708</c:v>
                </c:pt>
                <c:pt idx="242">
                  <c:v>757</c:v>
                </c:pt>
                <c:pt idx="243">
                  <c:v>741</c:v>
                </c:pt>
                <c:pt idx="244">
                  <c:v>761</c:v>
                </c:pt>
                <c:pt idx="245">
                  <c:v>699</c:v>
                </c:pt>
                <c:pt idx="246">
                  <c:v>740</c:v>
                </c:pt>
                <c:pt idx="247">
                  <c:v>728</c:v>
                </c:pt>
                <c:pt idx="248">
                  <c:v>711</c:v>
                </c:pt>
                <c:pt idx="249">
                  <c:v>710</c:v>
                </c:pt>
                <c:pt idx="250">
                  <c:v>739</c:v>
                </c:pt>
                <c:pt idx="251">
                  <c:v>693</c:v>
                </c:pt>
                <c:pt idx="252">
                  <c:v>697</c:v>
                </c:pt>
                <c:pt idx="253">
                  <c:v>706</c:v>
                </c:pt>
                <c:pt idx="254">
                  <c:v>710</c:v>
                </c:pt>
                <c:pt idx="255">
                  <c:v>734</c:v>
                </c:pt>
                <c:pt idx="256">
                  <c:v>736</c:v>
                </c:pt>
                <c:pt idx="257">
                  <c:v>765</c:v>
                </c:pt>
                <c:pt idx="258">
                  <c:v>759</c:v>
                </c:pt>
                <c:pt idx="259">
                  <c:v>711</c:v>
                </c:pt>
                <c:pt idx="260">
                  <c:v>725</c:v>
                </c:pt>
                <c:pt idx="261">
                  <c:v>719</c:v>
                </c:pt>
                <c:pt idx="262">
                  <c:v>724</c:v>
                </c:pt>
                <c:pt idx="263">
                  <c:v>681</c:v>
                </c:pt>
                <c:pt idx="264">
                  <c:v>717</c:v>
                </c:pt>
                <c:pt idx="265">
                  <c:v>694</c:v>
                </c:pt>
                <c:pt idx="266">
                  <c:v>690</c:v>
                </c:pt>
                <c:pt idx="267">
                  <c:v>671</c:v>
                </c:pt>
                <c:pt idx="268">
                  <c:v>703</c:v>
                </c:pt>
                <c:pt idx="269">
                  <c:v>679</c:v>
                </c:pt>
                <c:pt idx="270">
                  <c:v>736</c:v>
                </c:pt>
                <c:pt idx="271">
                  <c:v>709</c:v>
                </c:pt>
                <c:pt idx="272">
                  <c:v>673</c:v>
                </c:pt>
                <c:pt idx="273">
                  <c:v>712</c:v>
                </c:pt>
                <c:pt idx="274">
                  <c:v>683</c:v>
                </c:pt>
                <c:pt idx="275">
                  <c:v>686</c:v>
                </c:pt>
                <c:pt idx="276">
                  <c:v>669</c:v>
                </c:pt>
                <c:pt idx="277">
                  <c:v>672</c:v>
                </c:pt>
                <c:pt idx="278">
                  <c:v>723</c:v>
                </c:pt>
                <c:pt idx="279">
                  <c:v>717</c:v>
                </c:pt>
                <c:pt idx="280">
                  <c:v>670</c:v>
                </c:pt>
                <c:pt idx="281">
                  <c:v>676</c:v>
                </c:pt>
                <c:pt idx="282">
                  <c:v>731</c:v>
                </c:pt>
                <c:pt idx="283">
                  <c:v>723</c:v>
                </c:pt>
                <c:pt idx="284">
                  <c:v>712</c:v>
                </c:pt>
                <c:pt idx="285">
                  <c:v>682</c:v>
                </c:pt>
                <c:pt idx="286">
                  <c:v>698</c:v>
                </c:pt>
                <c:pt idx="287">
                  <c:v>658</c:v>
                </c:pt>
                <c:pt idx="288">
                  <c:v>676</c:v>
                </c:pt>
                <c:pt idx="289">
                  <c:v>649</c:v>
                </c:pt>
                <c:pt idx="290">
                  <c:v>694</c:v>
                </c:pt>
                <c:pt idx="291">
                  <c:v>694</c:v>
                </c:pt>
                <c:pt idx="292">
                  <c:v>598</c:v>
                </c:pt>
                <c:pt idx="293">
                  <c:v>679</c:v>
                </c:pt>
                <c:pt idx="294">
                  <c:v>655</c:v>
                </c:pt>
                <c:pt idx="295">
                  <c:v>645</c:v>
                </c:pt>
                <c:pt idx="296">
                  <c:v>700</c:v>
                </c:pt>
                <c:pt idx="297">
                  <c:v>683</c:v>
                </c:pt>
                <c:pt idx="298">
                  <c:v>650</c:v>
                </c:pt>
                <c:pt idx="299">
                  <c:v>681</c:v>
                </c:pt>
                <c:pt idx="300">
                  <c:v>644</c:v>
                </c:pt>
                <c:pt idx="301">
                  <c:v>695</c:v>
                </c:pt>
                <c:pt idx="302">
                  <c:v>671</c:v>
                </c:pt>
                <c:pt idx="303">
                  <c:v>648</c:v>
                </c:pt>
                <c:pt idx="304">
                  <c:v>693</c:v>
                </c:pt>
                <c:pt idx="305">
                  <c:v>656</c:v>
                </c:pt>
                <c:pt idx="306">
                  <c:v>664</c:v>
                </c:pt>
                <c:pt idx="307">
                  <c:v>635</c:v>
                </c:pt>
                <c:pt idx="308">
                  <c:v>597</c:v>
                </c:pt>
                <c:pt idx="309">
                  <c:v>652</c:v>
                </c:pt>
                <c:pt idx="310">
                  <c:v>636</c:v>
                </c:pt>
                <c:pt idx="311">
                  <c:v>629</c:v>
                </c:pt>
                <c:pt idx="312">
                  <c:v>605</c:v>
                </c:pt>
                <c:pt idx="313">
                  <c:v>684</c:v>
                </c:pt>
                <c:pt idx="314">
                  <c:v>656</c:v>
                </c:pt>
                <c:pt idx="315">
                  <c:v>638</c:v>
                </c:pt>
                <c:pt idx="316">
                  <c:v>588</c:v>
                </c:pt>
                <c:pt idx="317">
                  <c:v>625</c:v>
                </c:pt>
                <c:pt idx="318">
                  <c:v>655</c:v>
                </c:pt>
                <c:pt idx="319">
                  <c:v>628</c:v>
                </c:pt>
                <c:pt idx="320">
                  <c:v>646</c:v>
                </c:pt>
                <c:pt idx="321">
                  <c:v>616</c:v>
                </c:pt>
                <c:pt idx="322">
                  <c:v>638</c:v>
                </c:pt>
                <c:pt idx="323">
                  <c:v>632</c:v>
                </c:pt>
                <c:pt idx="324">
                  <c:v>587</c:v>
                </c:pt>
                <c:pt idx="325">
                  <c:v>629</c:v>
                </c:pt>
                <c:pt idx="326">
                  <c:v>649</c:v>
                </c:pt>
                <c:pt idx="327">
                  <c:v>650</c:v>
                </c:pt>
                <c:pt idx="328">
                  <c:v>681</c:v>
                </c:pt>
                <c:pt idx="329">
                  <c:v>605</c:v>
                </c:pt>
                <c:pt idx="330">
                  <c:v>660</c:v>
                </c:pt>
                <c:pt idx="331">
                  <c:v>570</c:v>
                </c:pt>
                <c:pt idx="332">
                  <c:v>647</c:v>
                </c:pt>
                <c:pt idx="333">
                  <c:v>627</c:v>
                </c:pt>
                <c:pt idx="334">
                  <c:v>620</c:v>
                </c:pt>
                <c:pt idx="335">
                  <c:v>623</c:v>
                </c:pt>
                <c:pt idx="336">
                  <c:v>657</c:v>
                </c:pt>
                <c:pt idx="337">
                  <c:v>602</c:v>
                </c:pt>
                <c:pt idx="338">
                  <c:v>600</c:v>
                </c:pt>
                <c:pt idx="339">
                  <c:v>661</c:v>
                </c:pt>
                <c:pt idx="340">
                  <c:v>655</c:v>
                </c:pt>
                <c:pt idx="341">
                  <c:v>617</c:v>
                </c:pt>
                <c:pt idx="342">
                  <c:v>595</c:v>
                </c:pt>
                <c:pt idx="343">
                  <c:v>573</c:v>
                </c:pt>
                <c:pt idx="344">
                  <c:v>597</c:v>
                </c:pt>
                <c:pt idx="345">
                  <c:v>584</c:v>
                </c:pt>
                <c:pt idx="346">
                  <c:v>620</c:v>
                </c:pt>
                <c:pt idx="347">
                  <c:v>614</c:v>
                </c:pt>
                <c:pt idx="348">
                  <c:v>594</c:v>
                </c:pt>
                <c:pt idx="349">
                  <c:v>587</c:v>
                </c:pt>
                <c:pt idx="350">
                  <c:v>611</c:v>
                </c:pt>
                <c:pt idx="351">
                  <c:v>630</c:v>
                </c:pt>
                <c:pt idx="352">
                  <c:v>601</c:v>
                </c:pt>
                <c:pt idx="353">
                  <c:v>610</c:v>
                </c:pt>
                <c:pt idx="354">
                  <c:v>583</c:v>
                </c:pt>
                <c:pt idx="355">
                  <c:v>576</c:v>
                </c:pt>
                <c:pt idx="356">
                  <c:v>585</c:v>
                </c:pt>
                <c:pt idx="357">
                  <c:v>595</c:v>
                </c:pt>
                <c:pt idx="358">
                  <c:v>584</c:v>
                </c:pt>
                <c:pt idx="359">
                  <c:v>619</c:v>
                </c:pt>
                <c:pt idx="360">
                  <c:v>549</c:v>
                </c:pt>
                <c:pt idx="361">
                  <c:v>608</c:v>
                </c:pt>
                <c:pt idx="362">
                  <c:v>540</c:v>
                </c:pt>
                <c:pt idx="363">
                  <c:v>590</c:v>
                </c:pt>
                <c:pt idx="364">
                  <c:v>592</c:v>
                </c:pt>
                <c:pt idx="365">
                  <c:v>599</c:v>
                </c:pt>
                <c:pt idx="366">
                  <c:v>577</c:v>
                </c:pt>
                <c:pt idx="367">
                  <c:v>605</c:v>
                </c:pt>
                <c:pt idx="368">
                  <c:v>577</c:v>
                </c:pt>
                <c:pt idx="369">
                  <c:v>572</c:v>
                </c:pt>
                <c:pt idx="370">
                  <c:v>642</c:v>
                </c:pt>
                <c:pt idx="371">
                  <c:v>609</c:v>
                </c:pt>
                <c:pt idx="372">
                  <c:v>601</c:v>
                </c:pt>
                <c:pt idx="373">
                  <c:v>605</c:v>
                </c:pt>
                <c:pt idx="374">
                  <c:v>572</c:v>
                </c:pt>
                <c:pt idx="375">
                  <c:v>576</c:v>
                </c:pt>
                <c:pt idx="376">
                  <c:v>534</c:v>
                </c:pt>
                <c:pt idx="377">
                  <c:v>592</c:v>
                </c:pt>
                <c:pt idx="378">
                  <c:v>549</c:v>
                </c:pt>
                <c:pt idx="379">
                  <c:v>577</c:v>
                </c:pt>
                <c:pt idx="380">
                  <c:v>581</c:v>
                </c:pt>
                <c:pt idx="381">
                  <c:v>564</c:v>
                </c:pt>
                <c:pt idx="382">
                  <c:v>564</c:v>
                </c:pt>
                <c:pt idx="383">
                  <c:v>546</c:v>
                </c:pt>
                <c:pt idx="384">
                  <c:v>540</c:v>
                </c:pt>
                <c:pt idx="385">
                  <c:v>543</c:v>
                </c:pt>
                <c:pt idx="386">
                  <c:v>567</c:v>
                </c:pt>
                <c:pt idx="387">
                  <c:v>556</c:v>
                </c:pt>
                <c:pt idx="388">
                  <c:v>533</c:v>
                </c:pt>
                <c:pt idx="389">
                  <c:v>539</c:v>
                </c:pt>
                <c:pt idx="390">
                  <c:v>545</c:v>
                </c:pt>
                <c:pt idx="391">
                  <c:v>581</c:v>
                </c:pt>
                <c:pt idx="392">
                  <c:v>536</c:v>
                </c:pt>
                <c:pt idx="393">
                  <c:v>528</c:v>
                </c:pt>
                <c:pt idx="394">
                  <c:v>555</c:v>
                </c:pt>
                <c:pt idx="395">
                  <c:v>563</c:v>
                </c:pt>
                <c:pt idx="396">
                  <c:v>549</c:v>
                </c:pt>
                <c:pt idx="397">
                  <c:v>568</c:v>
                </c:pt>
                <c:pt idx="398">
                  <c:v>555</c:v>
                </c:pt>
                <c:pt idx="399">
                  <c:v>552</c:v>
                </c:pt>
                <c:pt idx="400">
                  <c:v>582</c:v>
                </c:pt>
                <c:pt idx="401">
                  <c:v>545</c:v>
                </c:pt>
                <c:pt idx="402">
                  <c:v>577</c:v>
                </c:pt>
                <c:pt idx="403">
                  <c:v>577</c:v>
                </c:pt>
                <c:pt idx="404">
                  <c:v>578</c:v>
                </c:pt>
                <c:pt idx="405">
                  <c:v>534</c:v>
                </c:pt>
                <c:pt idx="406">
                  <c:v>525</c:v>
                </c:pt>
                <c:pt idx="407">
                  <c:v>548</c:v>
                </c:pt>
                <c:pt idx="408">
                  <c:v>536</c:v>
                </c:pt>
                <c:pt idx="409">
                  <c:v>533</c:v>
                </c:pt>
                <c:pt idx="410">
                  <c:v>574</c:v>
                </c:pt>
                <c:pt idx="411">
                  <c:v>608</c:v>
                </c:pt>
                <c:pt idx="412">
                  <c:v>512</c:v>
                </c:pt>
                <c:pt idx="413">
                  <c:v>567</c:v>
                </c:pt>
                <c:pt idx="414">
                  <c:v>551</c:v>
                </c:pt>
                <c:pt idx="415">
                  <c:v>526</c:v>
                </c:pt>
                <c:pt idx="416">
                  <c:v>553</c:v>
                </c:pt>
                <c:pt idx="417">
                  <c:v>536</c:v>
                </c:pt>
                <c:pt idx="418">
                  <c:v>496</c:v>
                </c:pt>
                <c:pt idx="419">
                  <c:v>547</c:v>
                </c:pt>
                <c:pt idx="420">
                  <c:v>546</c:v>
                </c:pt>
                <c:pt idx="421">
                  <c:v>552</c:v>
                </c:pt>
                <c:pt idx="422">
                  <c:v>518</c:v>
                </c:pt>
                <c:pt idx="423">
                  <c:v>546</c:v>
                </c:pt>
                <c:pt idx="424">
                  <c:v>583</c:v>
                </c:pt>
                <c:pt idx="425">
                  <c:v>513</c:v>
                </c:pt>
                <c:pt idx="426">
                  <c:v>527</c:v>
                </c:pt>
                <c:pt idx="427">
                  <c:v>516</c:v>
                </c:pt>
                <c:pt idx="428">
                  <c:v>515</c:v>
                </c:pt>
                <c:pt idx="429">
                  <c:v>562</c:v>
                </c:pt>
                <c:pt idx="430">
                  <c:v>560</c:v>
                </c:pt>
                <c:pt idx="431">
                  <c:v>540</c:v>
                </c:pt>
                <c:pt idx="432">
                  <c:v>561</c:v>
                </c:pt>
                <c:pt idx="433">
                  <c:v>500</c:v>
                </c:pt>
                <c:pt idx="434">
                  <c:v>525</c:v>
                </c:pt>
                <c:pt idx="435">
                  <c:v>512</c:v>
                </c:pt>
                <c:pt idx="436">
                  <c:v>540</c:v>
                </c:pt>
                <c:pt idx="437">
                  <c:v>547</c:v>
                </c:pt>
                <c:pt idx="438">
                  <c:v>535</c:v>
                </c:pt>
                <c:pt idx="439">
                  <c:v>542</c:v>
                </c:pt>
                <c:pt idx="440">
                  <c:v>503</c:v>
                </c:pt>
                <c:pt idx="441">
                  <c:v>482</c:v>
                </c:pt>
                <c:pt idx="442">
                  <c:v>503</c:v>
                </c:pt>
                <c:pt idx="443">
                  <c:v>531</c:v>
                </c:pt>
                <c:pt idx="444">
                  <c:v>551</c:v>
                </c:pt>
                <c:pt idx="445">
                  <c:v>517</c:v>
                </c:pt>
                <c:pt idx="446">
                  <c:v>502</c:v>
                </c:pt>
                <c:pt idx="447">
                  <c:v>498</c:v>
                </c:pt>
                <c:pt idx="448">
                  <c:v>487</c:v>
                </c:pt>
                <c:pt idx="449">
                  <c:v>528</c:v>
                </c:pt>
                <c:pt idx="450">
                  <c:v>532</c:v>
                </c:pt>
                <c:pt idx="451">
                  <c:v>527</c:v>
                </c:pt>
                <c:pt idx="452">
                  <c:v>488</c:v>
                </c:pt>
                <c:pt idx="453">
                  <c:v>485</c:v>
                </c:pt>
                <c:pt idx="454">
                  <c:v>493</c:v>
                </c:pt>
                <c:pt idx="455">
                  <c:v>480</c:v>
                </c:pt>
                <c:pt idx="456">
                  <c:v>503</c:v>
                </c:pt>
                <c:pt idx="457">
                  <c:v>519</c:v>
                </c:pt>
                <c:pt idx="458">
                  <c:v>469</c:v>
                </c:pt>
                <c:pt idx="459">
                  <c:v>507</c:v>
                </c:pt>
                <c:pt idx="460">
                  <c:v>543</c:v>
                </c:pt>
                <c:pt idx="461">
                  <c:v>485</c:v>
                </c:pt>
                <c:pt idx="462">
                  <c:v>469</c:v>
                </c:pt>
                <c:pt idx="463">
                  <c:v>466</c:v>
                </c:pt>
                <c:pt idx="464">
                  <c:v>526</c:v>
                </c:pt>
                <c:pt idx="465">
                  <c:v>474</c:v>
                </c:pt>
                <c:pt idx="466">
                  <c:v>494</c:v>
                </c:pt>
                <c:pt idx="467">
                  <c:v>482</c:v>
                </c:pt>
                <c:pt idx="468">
                  <c:v>480</c:v>
                </c:pt>
                <c:pt idx="469">
                  <c:v>494</c:v>
                </c:pt>
                <c:pt idx="470">
                  <c:v>482</c:v>
                </c:pt>
                <c:pt idx="471">
                  <c:v>490</c:v>
                </c:pt>
                <c:pt idx="472">
                  <c:v>512</c:v>
                </c:pt>
                <c:pt idx="473">
                  <c:v>523</c:v>
                </c:pt>
                <c:pt idx="474">
                  <c:v>546</c:v>
                </c:pt>
                <c:pt idx="475">
                  <c:v>510</c:v>
                </c:pt>
                <c:pt idx="476">
                  <c:v>482</c:v>
                </c:pt>
                <c:pt idx="477">
                  <c:v>472</c:v>
                </c:pt>
                <c:pt idx="478">
                  <c:v>500</c:v>
                </c:pt>
                <c:pt idx="479">
                  <c:v>467</c:v>
                </c:pt>
                <c:pt idx="480">
                  <c:v>520</c:v>
                </c:pt>
                <c:pt idx="481">
                  <c:v>477</c:v>
                </c:pt>
                <c:pt idx="482">
                  <c:v>502</c:v>
                </c:pt>
                <c:pt idx="483">
                  <c:v>486</c:v>
                </c:pt>
                <c:pt idx="484">
                  <c:v>488</c:v>
                </c:pt>
                <c:pt idx="485">
                  <c:v>518</c:v>
                </c:pt>
                <c:pt idx="486">
                  <c:v>516</c:v>
                </c:pt>
                <c:pt idx="487">
                  <c:v>507</c:v>
                </c:pt>
                <c:pt idx="488">
                  <c:v>455</c:v>
                </c:pt>
                <c:pt idx="489">
                  <c:v>521</c:v>
                </c:pt>
                <c:pt idx="490">
                  <c:v>488</c:v>
                </c:pt>
                <c:pt idx="491">
                  <c:v>487</c:v>
                </c:pt>
                <c:pt idx="492">
                  <c:v>487</c:v>
                </c:pt>
                <c:pt idx="493">
                  <c:v>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21-4875-B88C-B488B95351CA}"/>
            </c:ext>
          </c:extLst>
        </c:ser>
        <c:ser>
          <c:idx val="1"/>
          <c:order val="1"/>
          <c:tx>
            <c:strRef>
              <c:f>'sheet 1'!$V$37</c:f>
              <c:strCache>
                <c:ptCount val="1"/>
                <c:pt idx="0">
                  <c:v>Theoretical</c:v>
                </c:pt>
              </c:strCache>
            </c:strRef>
          </c:tx>
          <c:spPr>
            <a:ln w="19050">
              <a:solidFill>
                <a:srgbClr val="C00000"/>
              </a:solidFill>
            </a:ln>
          </c:spPr>
          <c:marker>
            <c:symbol val="diamond"/>
            <c:size val="4"/>
          </c:marker>
          <c:xVal>
            <c:numRef>
              <c:f>'sheet 1'!$B$39:$B$840</c:f>
              <c:numCache>
                <c:formatCode>General</c:formatCode>
                <c:ptCount val="802"/>
                <c:pt idx="0">
                  <c:v>0</c:v>
                </c:pt>
                <c:pt idx="1">
                  <c:v>0.20000000000000284</c:v>
                </c:pt>
                <c:pt idx="2">
                  <c:v>0.5</c:v>
                </c:pt>
                <c:pt idx="3">
                  <c:v>0.80000000000000426</c:v>
                </c:pt>
                <c:pt idx="4">
                  <c:v>1.1000000000000014</c:v>
                </c:pt>
                <c:pt idx="5">
                  <c:v>1.3999999999999986</c:v>
                </c:pt>
                <c:pt idx="6">
                  <c:v>1.7000000000000028</c:v>
                </c:pt>
                <c:pt idx="7">
                  <c:v>2</c:v>
                </c:pt>
                <c:pt idx="8">
                  <c:v>2.2000000000000028</c:v>
                </c:pt>
                <c:pt idx="9">
                  <c:v>2.5</c:v>
                </c:pt>
                <c:pt idx="10">
                  <c:v>2.8000000000000043</c:v>
                </c:pt>
                <c:pt idx="11">
                  <c:v>3.1000000000000014</c:v>
                </c:pt>
                <c:pt idx="12">
                  <c:v>3.3999999999999986</c:v>
                </c:pt>
                <c:pt idx="13">
                  <c:v>3.7000000000000028</c:v>
                </c:pt>
                <c:pt idx="14">
                  <c:v>4</c:v>
                </c:pt>
                <c:pt idx="15">
                  <c:v>4.2000000000000028</c:v>
                </c:pt>
                <c:pt idx="16">
                  <c:v>4.5</c:v>
                </c:pt>
                <c:pt idx="17">
                  <c:v>4.8000000000000043</c:v>
                </c:pt>
                <c:pt idx="18">
                  <c:v>5.1000000000000014</c:v>
                </c:pt>
                <c:pt idx="19">
                  <c:v>5.3999999999999986</c:v>
                </c:pt>
                <c:pt idx="20">
                  <c:v>5.6999999999999957</c:v>
                </c:pt>
                <c:pt idx="21">
                  <c:v>6.0000000000000071</c:v>
                </c:pt>
                <c:pt idx="22">
                  <c:v>6.1999999999999957</c:v>
                </c:pt>
                <c:pt idx="23">
                  <c:v>6.5000000000000071</c:v>
                </c:pt>
                <c:pt idx="24">
                  <c:v>6.8000000000000043</c:v>
                </c:pt>
                <c:pt idx="25">
                  <c:v>7.1000000000000014</c:v>
                </c:pt>
                <c:pt idx="26">
                  <c:v>7.3999999999999986</c:v>
                </c:pt>
                <c:pt idx="27">
                  <c:v>7.6999999999999957</c:v>
                </c:pt>
                <c:pt idx="28">
                  <c:v>8.0000000000000071</c:v>
                </c:pt>
                <c:pt idx="29">
                  <c:v>8.1999999999999957</c:v>
                </c:pt>
                <c:pt idx="30">
                  <c:v>8.5000000000000071</c:v>
                </c:pt>
                <c:pt idx="31">
                  <c:v>8.8000000000000043</c:v>
                </c:pt>
                <c:pt idx="32">
                  <c:v>9.1000000000000014</c:v>
                </c:pt>
                <c:pt idx="33">
                  <c:v>9.3999999999999986</c:v>
                </c:pt>
                <c:pt idx="34">
                  <c:v>9.6999999999999957</c:v>
                </c:pt>
                <c:pt idx="35">
                  <c:v>10.000000000000007</c:v>
                </c:pt>
                <c:pt idx="36">
                  <c:v>10.199999999999996</c:v>
                </c:pt>
                <c:pt idx="37">
                  <c:v>10.500000000000007</c:v>
                </c:pt>
                <c:pt idx="38">
                  <c:v>10.800000000000004</c:v>
                </c:pt>
                <c:pt idx="39">
                  <c:v>11.100000000000001</c:v>
                </c:pt>
                <c:pt idx="40">
                  <c:v>11.399999999999999</c:v>
                </c:pt>
                <c:pt idx="41">
                  <c:v>11.699999999999996</c:v>
                </c:pt>
                <c:pt idx="42">
                  <c:v>12.000000000000007</c:v>
                </c:pt>
                <c:pt idx="43">
                  <c:v>12.199999999999996</c:v>
                </c:pt>
                <c:pt idx="44">
                  <c:v>12.500000000000007</c:v>
                </c:pt>
                <c:pt idx="45">
                  <c:v>12.800000000000004</c:v>
                </c:pt>
                <c:pt idx="46">
                  <c:v>13.100000000000001</c:v>
                </c:pt>
                <c:pt idx="47">
                  <c:v>13.399999999999999</c:v>
                </c:pt>
                <c:pt idx="48">
                  <c:v>13.699999999999996</c:v>
                </c:pt>
                <c:pt idx="49">
                  <c:v>14.000000000000007</c:v>
                </c:pt>
                <c:pt idx="50">
                  <c:v>14.199999999999996</c:v>
                </c:pt>
                <c:pt idx="51">
                  <c:v>14.500000000000007</c:v>
                </c:pt>
                <c:pt idx="52">
                  <c:v>14.800000000000004</c:v>
                </c:pt>
                <c:pt idx="53">
                  <c:v>15.100000000000001</c:v>
                </c:pt>
                <c:pt idx="54">
                  <c:v>15.399999999999999</c:v>
                </c:pt>
                <c:pt idx="55">
                  <c:v>15.699999999999996</c:v>
                </c:pt>
                <c:pt idx="56">
                  <c:v>16.000000000000007</c:v>
                </c:pt>
                <c:pt idx="57">
                  <c:v>16.199999999999996</c:v>
                </c:pt>
                <c:pt idx="58">
                  <c:v>16.500000000000007</c:v>
                </c:pt>
                <c:pt idx="59">
                  <c:v>16.800000000000004</c:v>
                </c:pt>
                <c:pt idx="60">
                  <c:v>17.100000000000001</c:v>
                </c:pt>
                <c:pt idx="61">
                  <c:v>17.399999999999999</c:v>
                </c:pt>
                <c:pt idx="62">
                  <c:v>17.699999999999996</c:v>
                </c:pt>
                <c:pt idx="63">
                  <c:v>18.000000000000007</c:v>
                </c:pt>
                <c:pt idx="64">
                  <c:v>18.199999999999996</c:v>
                </c:pt>
                <c:pt idx="65">
                  <c:v>18.500000000000007</c:v>
                </c:pt>
                <c:pt idx="66">
                  <c:v>18.800000000000004</c:v>
                </c:pt>
                <c:pt idx="67">
                  <c:v>19.100000000000001</c:v>
                </c:pt>
                <c:pt idx="68">
                  <c:v>19.399999999999999</c:v>
                </c:pt>
                <c:pt idx="69">
                  <c:v>19.699999999999996</c:v>
                </c:pt>
                <c:pt idx="70">
                  <c:v>20.000000000000007</c:v>
                </c:pt>
                <c:pt idx="71">
                  <c:v>20.199999999999996</c:v>
                </c:pt>
                <c:pt idx="72">
                  <c:v>20.500000000000007</c:v>
                </c:pt>
                <c:pt idx="73">
                  <c:v>20.800000000000004</c:v>
                </c:pt>
                <c:pt idx="74">
                  <c:v>21.1</c:v>
                </c:pt>
                <c:pt idx="75">
                  <c:v>21.4</c:v>
                </c:pt>
                <c:pt idx="76">
                  <c:v>21.699999999999996</c:v>
                </c:pt>
                <c:pt idx="77">
                  <c:v>22.000000000000007</c:v>
                </c:pt>
                <c:pt idx="78">
                  <c:v>22.199999999999996</c:v>
                </c:pt>
                <c:pt idx="79">
                  <c:v>22.500000000000007</c:v>
                </c:pt>
                <c:pt idx="80">
                  <c:v>22.800000000000004</c:v>
                </c:pt>
                <c:pt idx="81">
                  <c:v>23.1</c:v>
                </c:pt>
                <c:pt idx="82">
                  <c:v>23.4</c:v>
                </c:pt>
                <c:pt idx="83">
                  <c:v>23.699999999999996</c:v>
                </c:pt>
                <c:pt idx="84">
                  <c:v>24.000000000000007</c:v>
                </c:pt>
                <c:pt idx="85">
                  <c:v>24.199999999999996</c:v>
                </c:pt>
                <c:pt idx="86">
                  <c:v>24.500000000000007</c:v>
                </c:pt>
                <c:pt idx="87">
                  <c:v>24.800000000000004</c:v>
                </c:pt>
                <c:pt idx="88">
                  <c:v>25.1</c:v>
                </c:pt>
                <c:pt idx="89">
                  <c:v>25.4</c:v>
                </c:pt>
                <c:pt idx="90">
                  <c:v>25.699999999999996</c:v>
                </c:pt>
                <c:pt idx="91">
                  <c:v>26.000000000000007</c:v>
                </c:pt>
                <c:pt idx="92">
                  <c:v>26.199999999999996</c:v>
                </c:pt>
                <c:pt idx="93">
                  <c:v>26.500000000000007</c:v>
                </c:pt>
                <c:pt idx="94">
                  <c:v>26.800000000000004</c:v>
                </c:pt>
                <c:pt idx="95">
                  <c:v>27.1</c:v>
                </c:pt>
                <c:pt idx="96">
                  <c:v>27.4</c:v>
                </c:pt>
                <c:pt idx="97">
                  <c:v>27.699999999999996</c:v>
                </c:pt>
                <c:pt idx="98">
                  <c:v>28.000000000000007</c:v>
                </c:pt>
                <c:pt idx="99">
                  <c:v>28.199999999999996</c:v>
                </c:pt>
                <c:pt idx="100">
                  <c:v>28.500000000000007</c:v>
                </c:pt>
                <c:pt idx="101">
                  <c:v>28.800000000000004</c:v>
                </c:pt>
                <c:pt idx="102">
                  <c:v>29.1</c:v>
                </c:pt>
                <c:pt idx="103">
                  <c:v>29.4</c:v>
                </c:pt>
                <c:pt idx="104">
                  <c:v>29.699999999999996</c:v>
                </c:pt>
                <c:pt idx="105">
                  <c:v>30.000000000000007</c:v>
                </c:pt>
                <c:pt idx="106">
                  <c:v>30.199999999999996</c:v>
                </c:pt>
                <c:pt idx="107">
                  <c:v>30.500000000000007</c:v>
                </c:pt>
                <c:pt idx="108">
                  <c:v>30.800000000000004</c:v>
                </c:pt>
                <c:pt idx="109">
                  <c:v>31.1</c:v>
                </c:pt>
                <c:pt idx="110">
                  <c:v>31.4</c:v>
                </c:pt>
                <c:pt idx="111">
                  <c:v>31.699999999999996</c:v>
                </c:pt>
                <c:pt idx="112">
                  <c:v>32.000000000000007</c:v>
                </c:pt>
                <c:pt idx="113">
                  <c:v>32.199999999999996</c:v>
                </c:pt>
                <c:pt idx="114">
                  <c:v>32.500000000000007</c:v>
                </c:pt>
                <c:pt idx="115">
                  <c:v>32.800000000000004</c:v>
                </c:pt>
                <c:pt idx="116">
                  <c:v>33.1</c:v>
                </c:pt>
                <c:pt idx="117">
                  <c:v>33.4</c:v>
                </c:pt>
                <c:pt idx="118">
                  <c:v>33.699999999999996</c:v>
                </c:pt>
                <c:pt idx="119">
                  <c:v>34.000000000000007</c:v>
                </c:pt>
                <c:pt idx="120">
                  <c:v>34.199999999999996</c:v>
                </c:pt>
                <c:pt idx="121">
                  <c:v>34.500000000000007</c:v>
                </c:pt>
                <c:pt idx="122">
                  <c:v>34.800000000000004</c:v>
                </c:pt>
                <c:pt idx="123">
                  <c:v>35.1</c:v>
                </c:pt>
                <c:pt idx="124">
                  <c:v>35.4</c:v>
                </c:pt>
                <c:pt idx="125">
                  <c:v>35.699999999999996</c:v>
                </c:pt>
                <c:pt idx="126">
                  <c:v>36.000000000000007</c:v>
                </c:pt>
                <c:pt idx="127">
                  <c:v>36.199999999999996</c:v>
                </c:pt>
                <c:pt idx="128">
                  <c:v>36.500000000000007</c:v>
                </c:pt>
                <c:pt idx="129">
                  <c:v>36.800000000000004</c:v>
                </c:pt>
                <c:pt idx="130">
                  <c:v>37.1</c:v>
                </c:pt>
                <c:pt idx="131">
                  <c:v>37.4</c:v>
                </c:pt>
                <c:pt idx="132">
                  <c:v>37.699999999999996</c:v>
                </c:pt>
                <c:pt idx="133">
                  <c:v>38.000000000000007</c:v>
                </c:pt>
                <c:pt idx="134">
                  <c:v>38.199999999999996</c:v>
                </c:pt>
                <c:pt idx="135">
                  <c:v>38.500000000000007</c:v>
                </c:pt>
                <c:pt idx="136">
                  <c:v>38.800000000000004</c:v>
                </c:pt>
                <c:pt idx="137">
                  <c:v>39.1</c:v>
                </c:pt>
                <c:pt idx="138">
                  <c:v>39.4</c:v>
                </c:pt>
                <c:pt idx="139">
                  <c:v>39.699999999999996</c:v>
                </c:pt>
                <c:pt idx="140">
                  <c:v>40.000000000000007</c:v>
                </c:pt>
                <c:pt idx="141">
                  <c:v>40.199999999999996</c:v>
                </c:pt>
                <c:pt idx="142">
                  <c:v>40.500000000000007</c:v>
                </c:pt>
                <c:pt idx="143">
                  <c:v>40.800000000000004</c:v>
                </c:pt>
                <c:pt idx="144">
                  <c:v>41.1</c:v>
                </c:pt>
                <c:pt idx="145">
                  <c:v>41.4</c:v>
                </c:pt>
                <c:pt idx="146">
                  <c:v>41.699999999999996</c:v>
                </c:pt>
                <c:pt idx="147">
                  <c:v>42.000000000000007</c:v>
                </c:pt>
                <c:pt idx="148">
                  <c:v>42.199999999999996</c:v>
                </c:pt>
                <c:pt idx="149">
                  <c:v>42.500000000000007</c:v>
                </c:pt>
                <c:pt idx="150">
                  <c:v>42.800000000000004</c:v>
                </c:pt>
                <c:pt idx="151">
                  <c:v>43.1</c:v>
                </c:pt>
                <c:pt idx="152">
                  <c:v>43.4</c:v>
                </c:pt>
                <c:pt idx="153">
                  <c:v>43.699999999999996</c:v>
                </c:pt>
                <c:pt idx="154">
                  <c:v>44.000000000000007</c:v>
                </c:pt>
                <c:pt idx="155">
                  <c:v>44.199999999999996</c:v>
                </c:pt>
                <c:pt idx="156">
                  <c:v>44.500000000000007</c:v>
                </c:pt>
                <c:pt idx="157">
                  <c:v>44.800000000000004</c:v>
                </c:pt>
                <c:pt idx="158">
                  <c:v>45.1</c:v>
                </c:pt>
                <c:pt idx="159">
                  <c:v>45.4</c:v>
                </c:pt>
                <c:pt idx="160">
                  <c:v>45.699999999999996</c:v>
                </c:pt>
                <c:pt idx="161">
                  <c:v>46.000000000000007</c:v>
                </c:pt>
                <c:pt idx="162">
                  <c:v>46.199999999999996</c:v>
                </c:pt>
                <c:pt idx="163">
                  <c:v>46.500000000000007</c:v>
                </c:pt>
                <c:pt idx="164">
                  <c:v>46.800000000000004</c:v>
                </c:pt>
                <c:pt idx="165">
                  <c:v>47.1</c:v>
                </c:pt>
                <c:pt idx="166">
                  <c:v>47.4</c:v>
                </c:pt>
                <c:pt idx="167">
                  <c:v>47.699999999999996</c:v>
                </c:pt>
                <c:pt idx="168">
                  <c:v>48.000000000000007</c:v>
                </c:pt>
                <c:pt idx="169">
                  <c:v>48.199999999999996</c:v>
                </c:pt>
                <c:pt idx="170">
                  <c:v>48.500000000000007</c:v>
                </c:pt>
                <c:pt idx="171">
                  <c:v>48.800000000000004</c:v>
                </c:pt>
                <c:pt idx="172">
                  <c:v>49.1</c:v>
                </c:pt>
                <c:pt idx="173">
                  <c:v>49.4</c:v>
                </c:pt>
                <c:pt idx="174">
                  <c:v>49.699999999999996</c:v>
                </c:pt>
                <c:pt idx="175">
                  <c:v>50.000000000000007</c:v>
                </c:pt>
                <c:pt idx="176">
                  <c:v>50.199999999999996</c:v>
                </c:pt>
                <c:pt idx="177">
                  <c:v>50.500000000000007</c:v>
                </c:pt>
                <c:pt idx="178">
                  <c:v>50.800000000000004</c:v>
                </c:pt>
                <c:pt idx="179">
                  <c:v>51.1</c:v>
                </c:pt>
                <c:pt idx="180">
                  <c:v>51.4</c:v>
                </c:pt>
                <c:pt idx="181">
                  <c:v>51.699999999999996</c:v>
                </c:pt>
                <c:pt idx="182">
                  <c:v>52.000000000000007</c:v>
                </c:pt>
                <c:pt idx="183">
                  <c:v>52.199999999999996</c:v>
                </c:pt>
                <c:pt idx="184">
                  <c:v>52.500000000000007</c:v>
                </c:pt>
                <c:pt idx="185">
                  <c:v>52.800000000000004</c:v>
                </c:pt>
                <c:pt idx="186">
                  <c:v>53.1</c:v>
                </c:pt>
                <c:pt idx="187">
                  <c:v>53.4</c:v>
                </c:pt>
                <c:pt idx="188">
                  <c:v>53.699999999999996</c:v>
                </c:pt>
                <c:pt idx="189">
                  <c:v>54.000000000000007</c:v>
                </c:pt>
                <c:pt idx="190">
                  <c:v>54.199999999999996</c:v>
                </c:pt>
                <c:pt idx="191">
                  <c:v>54.500000000000007</c:v>
                </c:pt>
                <c:pt idx="192">
                  <c:v>54.800000000000004</c:v>
                </c:pt>
                <c:pt idx="193">
                  <c:v>55.1</c:v>
                </c:pt>
                <c:pt idx="194">
                  <c:v>55.4</c:v>
                </c:pt>
                <c:pt idx="195">
                  <c:v>55.699999999999996</c:v>
                </c:pt>
                <c:pt idx="196">
                  <c:v>56.000000000000007</c:v>
                </c:pt>
                <c:pt idx="197">
                  <c:v>56.199999999999996</c:v>
                </c:pt>
                <c:pt idx="198">
                  <c:v>56.500000000000007</c:v>
                </c:pt>
                <c:pt idx="199">
                  <c:v>56.800000000000004</c:v>
                </c:pt>
                <c:pt idx="200">
                  <c:v>57.1</c:v>
                </c:pt>
                <c:pt idx="201">
                  <c:v>57.4</c:v>
                </c:pt>
                <c:pt idx="202">
                  <c:v>57.699999999999996</c:v>
                </c:pt>
                <c:pt idx="203">
                  <c:v>58.000000000000007</c:v>
                </c:pt>
                <c:pt idx="204">
                  <c:v>58.199999999999996</c:v>
                </c:pt>
                <c:pt idx="205">
                  <c:v>58.500000000000007</c:v>
                </c:pt>
                <c:pt idx="206">
                  <c:v>58.800000000000004</c:v>
                </c:pt>
                <c:pt idx="207">
                  <c:v>59.1</c:v>
                </c:pt>
                <c:pt idx="208">
                  <c:v>59.4</c:v>
                </c:pt>
                <c:pt idx="209">
                  <c:v>59.699999999999996</c:v>
                </c:pt>
                <c:pt idx="210">
                  <c:v>60.000000000000007</c:v>
                </c:pt>
                <c:pt idx="211">
                  <c:v>60.199999999999996</c:v>
                </c:pt>
                <c:pt idx="212">
                  <c:v>60.500000000000007</c:v>
                </c:pt>
                <c:pt idx="213">
                  <c:v>60.800000000000004</c:v>
                </c:pt>
                <c:pt idx="214">
                  <c:v>61.1</c:v>
                </c:pt>
                <c:pt idx="215">
                  <c:v>61.4</c:v>
                </c:pt>
                <c:pt idx="216">
                  <c:v>61.699999999999996</c:v>
                </c:pt>
                <c:pt idx="217">
                  <c:v>62.000000000000007</c:v>
                </c:pt>
                <c:pt idx="218">
                  <c:v>62.199999999999996</c:v>
                </c:pt>
                <c:pt idx="219">
                  <c:v>62.500000000000007</c:v>
                </c:pt>
                <c:pt idx="220">
                  <c:v>62.800000000000004</c:v>
                </c:pt>
                <c:pt idx="221">
                  <c:v>63.1</c:v>
                </c:pt>
                <c:pt idx="222">
                  <c:v>63.4</c:v>
                </c:pt>
                <c:pt idx="223">
                  <c:v>63.699999999999996</c:v>
                </c:pt>
                <c:pt idx="224">
                  <c:v>64</c:v>
                </c:pt>
                <c:pt idx="225">
                  <c:v>64.199999999999989</c:v>
                </c:pt>
                <c:pt idx="226">
                  <c:v>64.5</c:v>
                </c:pt>
                <c:pt idx="227">
                  <c:v>64.800000000000011</c:v>
                </c:pt>
                <c:pt idx="228">
                  <c:v>65.099999999999994</c:v>
                </c:pt>
                <c:pt idx="229">
                  <c:v>65.400000000000006</c:v>
                </c:pt>
                <c:pt idx="230">
                  <c:v>65.699999999999989</c:v>
                </c:pt>
                <c:pt idx="231">
                  <c:v>66</c:v>
                </c:pt>
                <c:pt idx="232">
                  <c:v>66.199999999999989</c:v>
                </c:pt>
                <c:pt idx="233">
                  <c:v>66.5</c:v>
                </c:pt>
                <c:pt idx="234">
                  <c:v>66.800000000000011</c:v>
                </c:pt>
                <c:pt idx="235">
                  <c:v>67.099999999999994</c:v>
                </c:pt>
                <c:pt idx="236">
                  <c:v>67.400000000000006</c:v>
                </c:pt>
                <c:pt idx="237">
                  <c:v>67.699999999999989</c:v>
                </c:pt>
                <c:pt idx="238">
                  <c:v>68</c:v>
                </c:pt>
                <c:pt idx="239">
                  <c:v>68.199999999999989</c:v>
                </c:pt>
                <c:pt idx="240">
                  <c:v>68.5</c:v>
                </c:pt>
                <c:pt idx="241">
                  <c:v>68.800000000000011</c:v>
                </c:pt>
                <c:pt idx="242">
                  <c:v>69.099999999999994</c:v>
                </c:pt>
                <c:pt idx="243">
                  <c:v>69.400000000000006</c:v>
                </c:pt>
                <c:pt idx="244">
                  <c:v>69.699999999999989</c:v>
                </c:pt>
                <c:pt idx="245">
                  <c:v>70</c:v>
                </c:pt>
                <c:pt idx="246">
                  <c:v>70.199999999999989</c:v>
                </c:pt>
                <c:pt idx="247">
                  <c:v>70.5</c:v>
                </c:pt>
                <c:pt idx="248">
                  <c:v>70.799999999999983</c:v>
                </c:pt>
                <c:pt idx="249">
                  <c:v>71.099999999999994</c:v>
                </c:pt>
                <c:pt idx="250">
                  <c:v>71.400000000000006</c:v>
                </c:pt>
                <c:pt idx="251">
                  <c:v>71.699999999999989</c:v>
                </c:pt>
                <c:pt idx="252">
                  <c:v>72</c:v>
                </c:pt>
                <c:pt idx="253">
                  <c:v>72.199999999999989</c:v>
                </c:pt>
                <c:pt idx="254">
                  <c:v>72.5</c:v>
                </c:pt>
                <c:pt idx="255">
                  <c:v>72.799999999999983</c:v>
                </c:pt>
                <c:pt idx="256">
                  <c:v>73.099999999999994</c:v>
                </c:pt>
                <c:pt idx="257">
                  <c:v>73.400000000000006</c:v>
                </c:pt>
                <c:pt idx="258">
                  <c:v>73.699999999999989</c:v>
                </c:pt>
                <c:pt idx="259">
                  <c:v>74</c:v>
                </c:pt>
                <c:pt idx="260">
                  <c:v>74.199999999999989</c:v>
                </c:pt>
                <c:pt idx="261">
                  <c:v>74.5</c:v>
                </c:pt>
                <c:pt idx="262">
                  <c:v>74.799999999999983</c:v>
                </c:pt>
                <c:pt idx="263">
                  <c:v>75.099999999999994</c:v>
                </c:pt>
                <c:pt idx="264">
                  <c:v>75.400000000000006</c:v>
                </c:pt>
                <c:pt idx="265">
                  <c:v>75.699999999999989</c:v>
                </c:pt>
                <c:pt idx="266">
                  <c:v>76</c:v>
                </c:pt>
                <c:pt idx="267">
                  <c:v>76.199999999999989</c:v>
                </c:pt>
                <c:pt idx="268">
                  <c:v>76.5</c:v>
                </c:pt>
                <c:pt idx="269">
                  <c:v>76.799999999999983</c:v>
                </c:pt>
                <c:pt idx="270">
                  <c:v>77.099999999999994</c:v>
                </c:pt>
                <c:pt idx="271">
                  <c:v>77.400000000000006</c:v>
                </c:pt>
                <c:pt idx="272">
                  <c:v>77.699999999999989</c:v>
                </c:pt>
                <c:pt idx="273">
                  <c:v>78</c:v>
                </c:pt>
                <c:pt idx="274">
                  <c:v>78.199999999999989</c:v>
                </c:pt>
                <c:pt idx="275">
                  <c:v>78.5</c:v>
                </c:pt>
                <c:pt idx="276">
                  <c:v>78.799999999999983</c:v>
                </c:pt>
                <c:pt idx="277">
                  <c:v>79.099999999999994</c:v>
                </c:pt>
                <c:pt idx="278">
                  <c:v>79.400000000000006</c:v>
                </c:pt>
                <c:pt idx="279">
                  <c:v>79.699999999999989</c:v>
                </c:pt>
                <c:pt idx="280">
                  <c:v>80</c:v>
                </c:pt>
                <c:pt idx="281">
                  <c:v>80.199999999999989</c:v>
                </c:pt>
                <c:pt idx="282">
                  <c:v>80.5</c:v>
                </c:pt>
                <c:pt idx="283">
                  <c:v>80.799999999999983</c:v>
                </c:pt>
                <c:pt idx="284">
                  <c:v>81.099999999999994</c:v>
                </c:pt>
                <c:pt idx="285">
                  <c:v>81.400000000000006</c:v>
                </c:pt>
                <c:pt idx="286">
                  <c:v>81.699999999999989</c:v>
                </c:pt>
                <c:pt idx="287">
                  <c:v>82</c:v>
                </c:pt>
                <c:pt idx="288">
                  <c:v>82.199999999999989</c:v>
                </c:pt>
                <c:pt idx="289">
                  <c:v>82.5</c:v>
                </c:pt>
                <c:pt idx="290">
                  <c:v>82.799999999999983</c:v>
                </c:pt>
                <c:pt idx="291">
                  <c:v>83.1</c:v>
                </c:pt>
                <c:pt idx="292">
                  <c:v>83.4</c:v>
                </c:pt>
                <c:pt idx="293">
                  <c:v>83.699999999999989</c:v>
                </c:pt>
                <c:pt idx="294">
                  <c:v>84</c:v>
                </c:pt>
                <c:pt idx="295">
                  <c:v>84.199999999999989</c:v>
                </c:pt>
                <c:pt idx="296">
                  <c:v>84.5</c:v>
                </c:pt>
                <c:pt idx="297">
                  <c:v>84.799999999999983</c:v>
                </c:pt>
                <c:pt idx="298">
                  <c:v>85.1</c:v>
                </c:pt>
                <c:pt idx="299">
                  <c:v>85.4</c:v>
                </c:pt>
                <c:pt idx="300">
                  <c:v>85.699999999999989</c:v>
                </c:pt>
                <c:pt idx="301">
                  <c:v>86</c:v>
                </c:pt>
                <c:pt idx="302">
                  <c:v>86.199999999999989</c:v>
                </c:pt>
                <c:pt idx="303">
                  <c:v>86.5</c:v>
                </c:pt>
                <c:pt idx="304">
                  <c:v>86.799999999999983</c:v>
                </c:pt>
                <c:pt idx="305">
                  <c:v>87.1</c:v>
                </c:pt>
                <c:pt idx="306">
                  <c:v>87.4</c:v>
                </c:pt>
                <c:pt idx="307">
                  <c:v>87.699999999999989</c:v>
                </c:pt>
                <c:pt idx="308">
                  <c:v>88</c:v>
                </c:pt>
                <c:pt idx="309">
                  <c:v>88.199999999999989</c:v>
                </c:pt>
                <c:pt idx="310">
                  <c:v>88.5</c:v>
                </c:pt>
                <c:pt idx="311">
                  <c:v>88.799999999999983</c:v>
                </c:pt>
                <c:pt idx="312">
                  <c:v>89.1</c:v>
                </c:pt>
                <c:pt idx="313">
                  <c:v>89.4</c:v>
                </c:pt>
                <c:pt idx="314">
                  <c:v>89.699999999999989</c:v>
                </c:pt>
                <c:pt idx="315">
                  <c:v>90</c:v>
                </c:pt>
                <c:pt idx="316">
                  <c:v>90.199999999999989</c:v>
                </c:pt>
                <c:pt idx="317">
                  <c:v>90.5</c:v>
                </c:pt>
                <c:pt idx="318">
                  <c:v>90.799999999999983</c:v>
                </c:pt>
                <c:pt idx="319">
                  <c:v>91.1</c:v>
                </c:pt>
                <c:pt idx="320">
                  <c:v>91.4</c:v>
                </c:pt>
                <c:pt idx="321">
                  <c:v>91.699999999999989</c:v>
                </c:pt>
                <c:pt idx="322">
                  <c:v>92</c:v>
                </c:pt>
                <c:pt idx="323">
                  <c:v>92.199999999999989</c:v>
                </c:pt>
                <c:pt idx="324">
                  <c:v>92.5</c:v>
                </c:pt>
                <c:pt idx="325">
                  <c:v>92.799999999999983</c:v>
                </c:pt>
                <c:pt idx="326">
                  <c:v>93.1</c:v>
                </c:pt>
                <c:pt idx="327">
                  <c:v>93.4</c:v>
                </c:pt>
                <c:pt idx="328">
                  <c:v>93.699999999999989</c:v>
                </c:pt>
                <c:pt idx="329">
                  <c:v>94</c:v>
                </c:pt>
                <c:pt idx="330">
                  <c:v>94.199999999999989</c:v>
                </c:pt>
                <c:pt idx="331">
                  <c:v>94.5</c:v>
                </c:pt>
                <c:pt idx="332">
                  <c:v>94.799999999999983</c:v>
                </c:pt>
                <c:pt idx="333">
                  <c:v>95.1</c:v>
                </c:pt>
                <c:pt idx="334">
                  <c:v>95.4</c:v>
                </c:pt>
                <c:pt idx="335">
                  <c:v>95.699999999999989</c:v>
                </c:pt>
                <c:pt idx="336">
                  <c:v>96</c:v>
                </c:pt>
                <c:pt idx="337">
                  <c:v>96.199999999999989</c:v>
                </c:pt>
                <c:pt idx="338">
                  <c:v>96.5</c:v>
                </c:pt>
                <c:pt idx="339">
                  <c:v>96.799999999999983</c:v>
                </c:pt>
                <c:pt idx="340">
                  <c:v>97.1</c:v>
                </c:pt>
                <c:pt idx="341">
                  <c:v>97.4</c:v>
                </c:pt>
                <c:pt idx="342">
                  <c:v>97.699999999999989</c:v>
                </c:pt>
                <c:pt idx="343">
                  <c:v>98</c:v>
                </c:pt>
                <c:pt idx="344">
                  <c:v>98.199999999999989</c:v>
                </c:pt>
                <c:pt idx="345">
                  <c:v>98.5</c:v>
                </c:pt>
                <c:pt idx="346">
                  <c:v>98.799999999999983</c:v>
                </c:pt>
                <c:pt idx="347">
                  <c:v>99.1</c:v>
                </c:pt>
                <c:pt idx="348">
                  <c:v>99.4</c:v>
                </c:pt>
                <c:pt idx="349">
                  <c:v>99.699999999999989</c:v>
                </c:pt>
                <c:pt idx="350">
                  <c:v>100</c:v>
                </c:pt>
                <c:pt idx="351">
                  <c:v>100.19999999999999</c:v>
                </c:pt>
                <c:pt idx="352">
                  <c:v>100.5</c:v>
                </c:pt>
                <c:pt idx="353">
                  <c:v>100.79999999999998</c:v>
                </c:pt>
                <c:pt idx="354">
                  <c:v>101.1</c:v>
                </c:pt>
                <c:pt idx="355">
                  <c:v>101.4</c:v>
                </c:pt>
                <c:pt idx="356">
                  <c:v>101.69999999999999</c:v>
                </c:pt>
                <c:pt idx="357">
                  <c:v>102</c:v>
                </c:pt>
                <c:pt idx="358">
                  <c:v>102.19999999999999</c:v>
                </c:pt>
                <c:pt idx="359">
                  <c:v>102.5</c:v>
                </c:pt>
                <c:pt idx="360">
                  <c:v>102.79999999999998</c:v>
                </c:pt>
                <c:pt idx="361">
                  <c:v>103.1</c:v>
                </c:pt>
                <c:pt idx="362">
                  <c:v>103.4</c:v>
                </c:pt>
                <c:pt idx="363">
                  <c:v>103.69999999999999</c:v>
                </c:pt>
                <c:pt idx="364">
                  <c:v>104</c:v>
                </c:pt>
                <c:pt idx="365">
                  <c:v>104.19999999999999</c:v>
                </c:pt>
                <c:pt idx="366">
                  <c:v>104.5</c:v>
                </c:pt>
                <c:pt idx="367">
                  <c:v>104.79999999999998</c:v>
                </c:pt>
                <c:pt idx="368">
                  <c:v>105.1</c:v>
                </c:pt>
                <c:pt idx="369">
                  <c:v>105.4</c:v>
                </c:pt>
                <c:pt idx="370">
                  <c:v>105.69999999999999</c:v>
                </c:pt>
                <c:pt idx="371">
                  <c:v>106</c:v>
                </c:pt>
                <c:pt idx="372">
                  <c:v>106.19999999999999</c:v>
                </c:pt>
                <c:pt idx="373">
                  <c:v>106.5</c:v>
                </c:pt>
                <c:pt idx="374">
                  <c:v>106.79999999999998</c:v>
                </c:pt>
                <c:pt idx="375">
                  <c:v>107.1</c:v>
                </c:pt>
                <c:pt idx="376">
                  <c:v>107.4</c:v>
                </c:pt>
                <c:pt idx="377">
                  <c:v>107.69999999999999</c:v>
                </c:pt>
                <c:pt idx="378">
                  <c:v>108</c:v>
                </c:pt>
                <c:pt idx="379">
                  <c:v>108.19999999999999</c:v>
                </c:pt>
                <c:pt idx="380">
                  <c:v>108.5</c:v>
                </c:pt>
                <c:pt idx="381">
                  <c:v>108.79999999999998</c:v>
                </c:pt>
                <c:pt idx="382">
                  <c:v>109.1</c:v>
                </c:pt>
                <c:pt idx="383">
                  <c:v>109.4</c:v>
                </c:pt>
                <c:pt idx="384">
                  <c:v>109.69999999999999</c:v>
                </c:pt>
                <c:pt idx="385">
                  <c:v>110</c:v>
                </c:pt>
                <c:pt idx="386">
                  <c:v>110.19999999999999</c:v>
                </c:pt>
                <c:pt idx="387">
                  <c:v>110.5</c:v>
                </c:pt>
                <c:pt idx="388">
                  <c:v>110.79999999999998</c:v>
                </c:pt>
                <c:pt idx="389">
                  <c:v>111.1</c:v>
                </c:pt>
                <c:pt idx="390">
                  <c:v>111.4</c:v>
                </c:pt>
                <c:pt idx="391">
                  <c:v>111.69999999999999</c:v>
                </c:pt>
                <c:pt idx="392">
                  <c:v>112</c:v>
                </c:pt>
                <c:pt idx="393">
                  <c:v>112.19999999999999</c:v>
                </c:pt>
                <c:pt idx="394">
                  <c:v>112.5</c:v>
                </c:pt>
                <c:pt idx="395">
                  <c:v>112.79999999999998</c:v>
                </c:pt>
                <c:pt idx="396">
                  <c:v>113.1</c:v>
                </c:pt>
                <c:pt idx="397">
                  <c:v>113.4</c:v>
                </c:pt>
                <c:pt idx="398">
                  <c:v>113.69999999999999</c:v>
                </c:pt>
                <c:pt idx="399">
                  <c:v>114</c:v>
                </c:pt>
                <c:pt idx="400">
                  <c:v>114.19999999999999</c:v>
                </c:pt>
                <c:pt idx="401">
                  <c:v>114.5</c:v>
                </c:pt>
                <c:pt idx="402">
                  <c:v>114.79999999999998</c:v>
                </c:pt>
                <c:pt idx="403">
                  <c:v>115.1</c:v>
                </c:pt>
                <c:pt idx="404">
                  <c:v>115.4</c:v>
                </c:pt>
                <c:pt idx="405">
                  <c:v>115.69999999999999</c:v>
                </c:pt>
                <c:pt idx="406">
                  <c:v>116</c:v>
                </c:pt>
                <c:pt idx="407">
                  <c:v>116.19999999999999</c:v>
                </c:pt>
                <c:pt idx="408">
                  <c:v>116.5</c:v>
                </c:pt>
                <c:pt idx="409">
                  <c:v>116.79999999999998</c:v>
                </c:pt>
                <c:pt idx="410">
                  <c:v>117.1</c:v>
                </c:pt>
                <c:pt idx="411">
                  <c:v>117.4</c:v>
                </c:pt>
                <c:pt idx="412">
                  <c:v>117.69999999999999</c:v>
                </c:pt>
                <c:pt idx="413">
                  <c:v>118</c:v>
                </c:pt>
                <c:pt idx="414">
                  <c:v>118.19999999999999</c:v>
                </c:pt>
                <c:pt idx="415">
                  <c:v>118.5</c:v>
                </c:pt>
                <c:pt idx="416">
                  <c:v>118.79999999999998</c:v>
                </c:pt>
                <c:pt idx="417">
                  <c:v>119.1</c:v>
                </c:pt>
                <c:pt idx="418">
                  <c:v>119.4</c:v>
                </c:pt>
                <c:pt idx="419">
                  <c:v>119.69999999999999</c:v>
                </c:pt>
                <c:pt idx="420">
                  <c:v>120</c:v>
                </c:pt>
                <c:pt idx="421">
                  <c:v>120.19999999999999</c:v>
                </c:pt>
                <c:pt idx="422">
                  <c:v>120.5</c:v>
                </c:pt>
                <c:pt idx="423">
                  <c:v>120.79999999999998</c:v>
                </c:pt>
                <c:pt idx="424">
                  <c:v>121.1</c:v>
                </c:pt>
                <c:pt idx="425">
                  <c:v>121.4</c:v>
                </c:pt>
                <c:pt idx="426">
                  <c:v>121.69999999999999</c:v>
                </c:pt>
                <c:pt idx="427">
                  <c:v>122</c:v>
                </c:pt>
                <c:pt idx="428">
                  <c:v>122.19999999999999</c:v>
                </c:pt>
                <c:pt idx="429">
                  <c:v>122.5</c:v>
                </c:pt>
                <c:pt idx="430">
                  <c:v>122.79999999999998</c:v>
                </c:pt>
                <c:pt idx="431">
                  <c:v>123.1</c:v>
                </c:pt>
                <c:pt idx="432">
                  <c:v>123.4</c:v>
                </c:pt>
                <c:pt idx="433">
                  <c:v>123.69999999999999</c:v>
                </c:pt>
                <c:pt idx="434">
                  <c:v>124</c:v>
                </c:pt>
                <c:pt idx="435">
                  <c:v>124.19999999999999</c:v>
                </c:pt>
                <c:pt idx="436">
                  <c:v>124.5</c:v>
                </c:pt>
                <c:pt idx="437">
                  <c:v>124.79999999999998</c:v>
                </c:pt>
                <c:pt idx="438">
                  <c:v>125.1</c:v>
                </c:pt>
                <c:pt idx="439">
                  <c:v>125.4</c:v>
                </c:pt>
                <c:pt idx="440">
                  <c:v>125.69999999999999</c:v>
                </c:pt>
                <c:pt idx="441">
                  <c:v>126</c:v>
                </c:pt>
                <c:pt idx="442">
                  <c:v>126.19999999999999</c:v>
                </c:pt>
                <c:pt idx="443">
                  <c:v>126.5</c:v>
                </c:pt>
                <c:pt idx="444">
                  <c:v>126.79999999999998</c:v>
                </c:pt>
                <c:pt idx="445">
                  <c:v>127.1</c:v>
                </c:pt>
                <c:pt idx="446">
                  <c:v>127.4</c:v>
                </c:pt>
                <c:pt idx="447">
                  <c:v>127.69999999999999</c:v>
                </c:pt>
                <c:pt idx="448">
                  <c:v>128</c:v>
                </c:pt>
                <c:pt idx="449">
                  <c:v>128.19999999999999</c:v>
                </c:pt>
                <c:pt idx="450">
                  <c:v>128.5</c:v>
                </c:pt>
                <c:pt idx="451">
                  <c:v>128.79999999999998</c:v>
                </c:pt>
                <c:pt idx="452">
                  <c:v>129.1</c:v>
                </c:pt>
                <c:pt idx="453">
                  <c:v>129.4</c:v>
                </c:pt>
                <c:pt idx="454">
                  <c:v>129.69999999999999</c:v>
                </c:pt>
                <c:pt idx="455">
                  <c:v>130</c:v>
                </c:pt>
                <c:pt idx="456">
                  <c:v>130.19999999999999</c:v>
                </c:pt>
                <c:pt idx="457">
                  <c:v>130.5</c:v>
                </c:pt>
                <c:pt idx="458">
                  <c:v>130.79999999999998</c:v>
                </c:pt>
                <c:pt idx="459">
                  <c:v>131.1</c:v>
                </c:pt>
                <c:pt idx="460">
                  <c:v>131.4</c:v>
                </c:pt>
                <c:pt idx="461">
                  <c:v>131.69999999999999</c:v>
                </c:pt>
                <c:pt idx="462">
                  <c:v>132</c:v>
                </c:pt>
                <c:pt idx="463">
                  <c:v>132.19999999999999</c:v>
                </c:pt>
                <c:pt idx="464">
                  <c:v>132.5</c:v>
                </c:pt>
                <c:pt idx="465">
                  <c:v>132.79999999999998</c:v>
                </c:pt>
                <c:pt idx="466">
                  <c:v>133.1</c:v>
                </c:pt>
                <c:pt idx="467">
                  <c:v>133.4</c:v>
                </c:pt>
                <c:pt idx="468">
                  <c:v>133.69999999999999</c:v>
                </c:pt>
                <c:pt idx="469">
                  <c:v>134</c:v>
                </c:pt>
                <c:pt idx="470">
                  <c:v>134.19999999999999</c:v>
                </c:pt>
                <c:pt idx="471">
                  <c:v>134.5</c:v>
                </c:pt>
                <c:pt idx="472">
                  <c:v>134.79999999999998</c:v>
                </c:pt>
                <c:pt idx="473">
                  <c:v>135.1</c:v>
                </c:pt>
                <c:pt idx="474">
                  <c:v>135.4</c:v>
                </c:pt>
                <c:pt idx="475">
                  <c:v>135.69999999999999</c:v>
                </c:pt>
                <c:pt idx="476">
                  <c:v>136</c:v>
                </c:pt>
                <c:pt idx="477">
                  <c:v>136.19999999999999</c:v>
                </c:pt>
                <c:pt idx="478">
                  <c:v>136.5</c:v>
                </c:pt>
                <c:pt idx="479">
                  <c:v>136.79999999999998</c:v>
                </c:pt>
                <c:pt idx="480">
                  <c:v>137.1</c:v>
                </c:pt>
                <c:pt idx="481">
                  <c:v>137.4</c:v>
                </c:pt>
                <c:pt idx="482">
                  <c:v>137.69999999999999</c:v>
                </c:pt>
                <c:pt idx="483">
                  <c:v>138</c:v>
                </c:pt>
                <c:pt idx="484">
                  <c:v>138.19999999999999</c:v>
                </c:pt>
                <c:pt idx="485">
                  <c:v>138.5</c:v>
                </c:pt>
                <c:pt idx="486">
                  <c:v>138.79999999999998</c:v>
                </c:pt>
                <c:pt idx="487">
                  <c:v>139.1</c:v>
                </c:pt>
                <c:pt idx="488">
                  <c:v>139.4</c:v>
                </c:pt>
                <c:pt idx="489">
                  <c:v>139.69999999999999</c:v>
                </c:pt>
                <c:pt idx="490">
                  <c:v>140</c:v>
                </c:pt>
                <c:pt idx="491">
                  <c:v>140.19999999999999</c:v>
                </c:pt>
                <c:pt idx="492">
                  <c:v>140.5</c:v>
                </c:pt>
                <c:pt idx="493">
                  <c:v>140.79999999999998</c:v>
                </c:pt>
              </c:numCache>
            </c:numRef>
          </c:xVal>
          <c:yVal>
            <c:numRef>
              <c:f>'sheet 1'!$V$39:$V$840</c:f>
              <c:numCache>
                <c:formatCode>General</c:formatCode>
                <c:ptCount val="802"/>
                <c:pt idx="0">
                  <c:v>1610.7175758704225</c:v>
                </c:pt>
                <c:pt idx="1">
                  <c:v>1604.1736707737912</c:v>
                </c:pt>
                <c:pt idx="2">
                  <c:v>1594.4832841226792</c:v>
                </c:pt>
                <c:pt idx="3">
                  <c:v>1584.9403276444345</c:v>
                </c:pt>
                <c:pt idx="4">
                  <c:v>1575.5413695997408</c:v>
                </c:pt>
                <c:pt idx="5">
                  <c:v>1566.2830786838526</c:v>
                </c:pt>
                <c:pt idx="6">
                  <c:v>1557.1622205481713</c:v>
                </c:pt>
                <c:pt idx="7">
                  <c:v>1548.1756544602526</c:v>
                </c:pt>
                <c:pt idx="8">
                  <c:v>1542.2577071352798</c:v>
                </c:pt>
                <c:pt idx="9">
                  <c:v>1533.4882258766152</c:v>
                </c:pt>
                <c:pt idx="10">
                  <c:v>1524.8450950612432</c:v>
                </c:pt>
                <c:pt idx="11">
                  <c:v>1516.3254907148171</c:v>
                </c:pt>
                <c:pt idx="12">
                  <c:v>1507.9266685486261</c:v>
                </c:pt>
                <c:pt idx="13">
                  <c:v>1499.64596129546</c:v>
                </c:pt>
                <c:pt idx="14">
                  <c:v>1491.4807761478908</c:v>
                </c:pt>
                <c:pt idx="15">
                  <c:v>1486.1002505946051</c:v>
                </c:pt>
                <c:pt idx="16">
                  <c:v>1478.1220349646771</c:v>
                </c:pt>
                <c:pt idx="17">
                  <c:v>1470.2527728716602</c:v>
                </c:pt>
                <c:pt idx="18">
                  <c:v>1462.4901241490777</c:v>
                </c:pt>
                <c:pt idx="19">
                  <c:v>1454.8318123649765</c:v>
                </c:pt>
                <c:pt idx="20">
                  <c:v>1447.2756227627369</c:v>
                </c:pt>
                <c:pt idx="21">
                  <c:v>1439.819400278438</c:v>
                </c:pt>
                <c:pt idx="22">
                  <c:v>1434.9030845606092</c:v>
                </c:pt>
                <c:pt idx="23">
                  <c:v>1427.6088410166717</c:v>
                </c:pt>
                <c:pt idx="24">
                  <c:v>1420.4090952859433</c:v>
                </c:pt>
                <c:pt idx="25">
                  <c:v>1413.3018953679725</c:v>
                </c:pt>
                <c:pt idx="26">
                  <c:v>1406.2853406245024</c:v>
                </c:pt>
                <c:pt idx="27">
                  <c:v>1399.3575801741986</c:v>
                </c:pt>
                <c:pt idx="28">
                  <c:v>1392.5168113451366</c:v>
                </c:pt>
                <c:pt idx="29">
                  <c:v>1388.0037584540667</c:v>
                </c:pt>
                <c:pt idx="30">
                  <c:v>1381.304095956426</c:v>
                </c:pt>
                <c:pt idx="31">
                  <c:v>1374.6868424656834</c:v>
                </c:pt>
                <c:pt idx="32">
                  <c:v>1368.1503597097683</c:v>
                </c:pt>
                <c:pt idx="33">
                  <c:v>1361.6930511019405</c:v>
                </c:pt>
                <c:pt idx="34">
                  <c:v>1355.3133604792849</c:v>
                </c:pt>
                <c:pt idx="35">
                  <c:v>1349.0097708851815</c:v>
                </c:pt>
                <c:pt idx="36">
                  <c:v>1344.8489243074591</c:v>
                </c:pt>
                <c:pt idx="37">
                  <c:v>1338.6689015255349</c:v>
                </c:pt>
                <c:pt idx="38">
                  <c:v>1332.5611174197986</c:v>
                </c:pt>
                <c:pt idx="39">
                  <c:v>1326.5241890386415</c:v>
                </c:pt>
                <c:pt idx="40">
                  <c:v>1320.5567674876108</c:v>
                </c:pt>
                <c:pt idx="41">
                  <c:v>1314.6575369305508</c:v>
                </c:pt>
                <c:pt idx="42">
                  <c:v>1308.8252136244951</c:v>
                </c:pt>
                <c:pt idx="43">
                  <c:v>1304.973548968002</c:v>
                </c:pt>
                <c:pt idx="44">
                  <c:v>1299.2499692095348</c:v>
                </c:pt>
                <c:pt idx="45">
                  <c:v>1293.5900232935767</c:v>
                </c:pt>
                <c:pt idx="46">
                  <c:v>1287.992537407046</c:v>
                </c:pt>
                <c:pt idx="47">
                  <c:v>1282.4563657363362</c:v>
                </c:pt>
                <c:pt idx="48">
                  <c:v>1276.9803896707599</c:v>
                </c:pt>
                <c:pt idx="49">
                  <c:v>1271.5635170321407</c:v>
                </c:pt>
                <c:pt idx="50">
                  <c:v>1267.9845761462429</c:v>
                </c:pt>
                <c:pt idx="51">
                  <c:v>1262.6638515973939</c:v>
                </c:pt>
                <c:pt idx="52">
                  <c:v>1257.3994416348562</c:v>
                </c:pt>
                <c:pt idx="53">
                  <c:v>1252.1903448051989</c:v>
                </c:pt>
                <c:pt idx="54">
                  <c:v>1247.0355828104057</c:v>
                </c:pt>
                <c:pt idx="55">
                  <c:v>1241.9341998683919</c:v>
                </c:pt>
                <c:pt idx="56">
                  <c:v>1236.8852620939088</c:v>
                </c:pt>
                <c:pt idx="57">
                  <c:v>1233.5479882623004</c:v>
                </c:pt>
                <c:pt idx="58">
                  <c:v>1228.5844413812042</c:v>
                </c:pt>
                <c:pt idx="59">
                  <c:v>1223.6709518590771</c:v>
                </c:pt>
                <c:pt idx="60">
                  <c:v>1218.8066611123122</c:v>
                </c:pt>
                <c:pt idx="61">
                  <c:v>1213.9907298136795</c:v>
                </c:pt>
                <c:pt idx="62">
                  <c:v>1209.2223373756815</c:v>
                </c:pt>
                <c:pt idx="63">
                  <c:v>1204.5006814499091</c:v>
                </c:pt>
                <c:pt idx="64">
                  <c:v>1201.3784873913385</c:v>
                </c:pt>
                <c:pt idx="65">
                  <c:v>1196.7329906632744</c:v>
                </c:pt>
                <c:pt idx="66">
                  <c:v>1192.1321763776975</c:v>
                </c:pt>
                <c:pt idx="67">
                  <c:v>1187.5753050234705</c:v>
                </c:pt>
                <c:pt idx="68">
                  <c:v>1183.0616531879568</c:v>
                </c:pt>
                <c:pt idx="69">
                  <c:v>1178.5905131371035</c:v>
                </c:pt>
                <c:pt idx="70">
                  <c:v>1174.1611924081817</c:v>
                </c:pt>
                <c:pt idx="71">
                  <c:v>1171.2312096677242</c:v>
                </c:pt>
                <c:pt idx="72">
                  <c:v>1166.8700892335314</c:v>
                </c:pt>
                <c:pt idx="73">
                  <c:v>1162.5490132468194</c:v>
                </c:pt>
                <c:pt idx="74">
                  <c:v>1158.2673419484966</c:v>
                </c:pt>
                <c:pt idx="75">
                  <c:v>1154.024449105329</c:v>
                </c:pt>
                <c:pt idx="76">
                  <c:v>1149.8197216667004</c:v>
                </c:pt>
                <c:pt idx="77">
                  <c:v>1145.652559431448</c:v>
                </c:pt>
                <c:pt idx="78">
                  <c:v>1142.8950301161622</c:v>
                </c:pt>
                <c:pt idx="79">
                  <c:v>1138.7891766517073</c:v>
                </c:pt>
                <c:pt idx="80">
                  <c:v>1134.7193482437538</c:v>
                </c:pt>
                <c:pt idx="81">
                  <c:v>1130.6849891092613</c:v>
                </c:pt>
                <c:pt idx="82">
                  <c:v>1126.6855548835006</c:v>
                </c:pt>
                <c:pt idx="83">
                  <c:v>1122.7205123379808</c:v>
                </c:pt>
                <c:pt idx="84">
                  <c:v>1118.7893391064345</c:v>
                </c:pt>
                <c:pt idx="85">
                  <c:v>1116.1871200833648</c:v>
                </c:pt>
                <c:pt idx="86">
                  <c:v>1112.3112635564887</c:v>
                </c:pt>
                <c:pt idx="87">
                  <c:v>1108.4679344703559</c:v>
                </c:pt>
                <c:pt idx="88">
                  <c:v>1104.6566480658837</c:v>
                </c:pt>
                <c:pt idx="89">
                  <c:v>1100.8769292666434</c:v>
                </c:pt>
                <c:pt idx="90">
                  <c:v>1097.1283124458632</c:v>
                </c:pt>
                <c:pt idx="91">
                  <c:v>1093.4103411999158</c:v>
                </c:pt>
                <c:pt idx="92">
                  <c:v>1090.9484977193626</c:v>
                </c:pt>
                <c:pt idx="93">
                  <c:v>1087.2806125564591</c:v>
                </c:pt>
                <c:pt idx="94">
                  <c:v>1083.6421993274075</c:v>
                </c:pt>
                <c:pt idx="95">
                  <c:v>1080.0328336083321</c:v>
                </c:pt>
                <c:pt idx="96">
                  <c:v>1076.4520992214414</c:v>
                </c:pt>
                <c:pt idx="97">
                  <c:v>1072.8995880416246</c:v>
                </c:pt>
                <c:pt idx="98">
                  <c:v>1069.3748998083079</c:v>
                </c:pt>
                <c:pt idx="99">
                  <c:v>1067.0403706683428</c:v>
                </c:pt>
                <c:pt idx="100">
                  <c:v>1063.5611853270934</c:v>
                </c:pt>
                <c:pt idx="101">
                  <c:v>1060.1087926431132</c:v>
                </c:pt>
                <c:pt idx="102">
                  <c:v>1056.6828196633837</c:v>
                </c:pt>
                <c:pt idx="103">
                  <c:v>1053.2829004862592</c:v>
                </c:pt>
                <c:pt idx="104">
                  <c:v>1049.9086761001938</c:v>
                </c:pt>
                <c:pt idx="105">
                  <c:v>1046.5597942267409</c:v>
                </c:pt>
                <c:pt idx="106">
                  <c:v>1044.3411145033424</c:v>
                </c:pt>
                <c:pt idx="107">
                  <c:v>1041.0337051146912</c:v>
                </c:pt>
                <c:pt idx="108">
                  <c:v>1037.7507305970753</c:v>
                </c:pt>
                <c:pt idx="109">
                  <c:v>1034.4918620825272</c:v>
                </c:pt>
                <c:pt idx="110">
                  <c:v>1031.2567767563696</c:v>
                </c:pt>
                <c:pt idx="111">
                  <c:v>1028.0451577221304</c:v>
                </c:pt>
                <c:pt idx="112">
                  <c:v>1024.8566938699582</c:v>
                </c:pt>
                <c:pt idx="113">
                  <c:v>1022.7437642226057</c:v>
                </c:pt>
                <c:pt idx="114">
                  <c:v>1019.593216297252</c:v>
                </c:pt>
                <c:pt idx="115">
                  <c:v>1016.4650212533338</c:v>
                </c:pt>
                <c:pt idx="116">
                  <c:v>1013.3588881265896</c:v>
                </c:pt>
                <c:pt idx="117">
                  <c:v>1010.2745311686022</c:v>
                </c:pt>
                <c:pt idx="118">
                  <c:v>1007.2116697331801</c:v>
                </c:pt>
                <c:pt idx="119">
                  <c:v>1004.1700281656092</c:v>
                </c:pt>
                <c:pt idx="120">
                  <c:v>1002.1539220240907</c:v>
                </c:pt>
                <c:pt idx="121">
                  <c:v>999.14704755306275</c:v>
                </c:pt>
                <c:pt idx="122">
                  <c:v>996.16068146096563</c:v>
                </c:pt>
                <c:pt idx="123">
                  <c:v>993.1945654918909</c:v>
                </c:pt>
                <c:pt idx="124">
                  <c:v>990.24844590020962</c:v>
                </c:pt>
                <c:pt idx="125">
                  <c:v>987.32207335461783</c:v>
                </c:pt>
                <c:pt idx="126">
                  <c:v>984.41520284455396</c:v>
                </c:pt>
                <c:pt idx="127">
                  <c:v>982.48800455976436</c:v>
                </c:pt>
                <c:pt idx="128">
                  <c:v>979.61310442139234</c:v>
                </c:pt>
                <c:pt idx="129">
                  <c:v>976.75707339357996</c:v>
                </c:pt>
                <c:pt idx="130">
                  <c:v>973.91968154438155</c:v>
                </c:pt>
                <c:pt idx="131">
                  <c:v>971.10070285531833</c:v>
                </c:pt>
                <c:pt idx="132">
                  <c:v>968.29991514003405</c:v>
                </c:pt>
                <c:pt idx="133">
                  <c:v>965.51709996491138</c:v>
                </c:pt>
                <c:pt idx="134">
                  <c:v>963.67176839024148</c:v>
                </c:pt>
                <c:pt idx="135">
                  <c:v>960.91843198861829</c:v>
                </c:pt>
                <c:pt idx="136">
                  <c:v>958.18250340095676</c:v>
                </c:pt>
                <c:pt idx="137">
                  <c:v>955.46377730486529</c:v>
                </c:pt>
                <c:pt idx="138">
                  <c:v>952.76205178468842</c:v>
                </c:pt>
                <c:pt idx="139">
                  <c:v>950.07712826229067</c:v>
                </c:pt>
                <c:pt idx="140">
                  <c:v>947.40881142947535</c:v>
                </c:pt>
                <c:pt idx="141">
                  <c:v>945.63906448339799</c:v>
                </c:pt>
                <c:pt idx="142">
                  <c:v>942.99800012120318</c:v>
                </c:pt>
                <c:pt idx="143">
                  <c:v>940.37303711613959</c:v>
                </c:pt>
                <c:pt idx="144">
                  <c:v>937.7639915968557</c:v>
                </c:pt>
                <c:pt idx="145">
                  <c:v>935.17068266692877</c:v>
                </c:pt>
                <c:pt idx="146">
                  <c:v>932.59293234576114</c:v>
                </c:pt>
                <c:pt idx="147">
                  <c:v>930.03056551084262</c:v>
                </c:pt>
                <c:pt idx="148">
                  <c:v>928.33078212514999</c:v>
                </c:pt>
                <c:pt idx="149">
                  <c:v>925.79367285736203</c:v>
                </c:pt>
                <c:pt idx="150">
                  <c:v>923.27149363045396</c:v>
                </c:pt>
                <c:pt idx="151">
                  <c:v>920.76407932872507</c:v>
                </c:pt>
                <c:pt idx="152">
                  <c:v>918.27126744216343</c:v>
                </c:pt>
                <c:pt idx="153">
                  <c:v>915.79289801580637</c:v>
                </c:pt>
                <c:pt idx="154">
                  <c:v>913.3288136002443</c:v>
                </c:pt>
                <c:pt idx="155">
                  <c:v>911.69395013458757</c:v>
                </c:pt>
                <c:pt idx="156">
                  <c:v>909.25333083515216</c:v>
                </c:pt>
                <c:pt idx="157">
                  <c:v>906.82658856633043</c:v>
                </c:pt>
                <c:pt idx="158">
                  <c:v>904.41357466004183</c:v>
                </c:pt>
                <c:pt idx="159">
                  <c:v>902.01414273710293</c:v>
                </c:pt>
                <c:pt idx="160">
                  <c:v>899.62814866369774</c:v>
                </c:pt>
                <c:pt idx="161">
                  <c:v>897.25545050881169</c:v>
                </c:pt>
                <c:pt idx="162">
                  <c:v>895.68096925044358</c:v>
                </c:pt>
                <c:pt idx="163">
                  <c:v>893.33012140891742</c:v>
                </c:pt>
                <c:pt idx="164">
                  <c:v>890.99220145881304</c:v>
                </c:pt>
                <c:pt idx="165">
                  <c:v>888.66707519684769</c:v>
                </c:pt>
                <c:pt idx="166">
                  <c:v>886.35461043597081</c:v>
                </c:pt>
                <c:pt idx="167">
                  <c:v>884.05467696783137</c:v>
                </c:pt>
                <c:pt idx="168">
                  <c:v>881.7671465260571</c:v>
                </c:pt>
                <c:pt idx="169">
                  <c:v>880.24895432421476</c:v>
                </c:pt>
                <c:pt idx="170">
                  <c:v>877.98181571767373</c:v>
                </c:pt>
                <c:pt idx="171">
                  <c:v>875.72674731721122</c:v>
                </c:pt>
                <c:pt idx="172">
                  <c:v>873.48362767553692</c:v>
                </c:pt>
                <c:pt idx="173">
                  <c:v>871.25233712618956</c:v>
                </c:pt>
                <c:pt idx="174">
                  <c:v>869.0327577510734</c:v>
                </c:pt>
                <c:pt idx="175">
                  <c:v>866.82477334868827</c:v>
                </c:pt>
                <c:pt idx="176">
                  <c:v>865.35916877906413</c:v>
                </c:pt>
                <c:pt idx="177">
                  <c:v>863.17025566977304</c:v>
                </c:pt>
                <c:pt idx="178">
                  <c:v>860.99263582037918</c:v>
                </c:pt>
                <c:pt idx="179">
                  <c:v>858.82619906247169</c:v>
                </c:pt>
                <c:pt idx="180">
                  <c:v>856.67083680462918</c:v>
                </c:pt>
                <c:pt idx="181">
                  <c:v>854.52644200426482</c:v>
                </c:pt>
                <c:pt idx="182">
                  <c:v>852.39290914005608</c:v>
                </c:pt>
                <c:pt idx="183">
                  <c:v>850.97653687414959</c:v>
                </c:pt>
                <c:pt idx="184">
                  <c:v>848.86087679156503</c:v>
                </c:pt>
                <c:pt idx="185">
                  <c:v>846.7558044887096</c:v>
                </c:pt>
                <c:pt idx="186">
                  <c:v>844.66121979549359</c:v>
                </c:pt>
                <c:pt idx="187">
                  <c:v>842.5770239418091</c:v>
                </c:pt>
                <c:pt idx="188">
                  <c:v>840.50311953304049</c:v>
                </c:pt>
                <c:pt idx="189">
                  <c:v>838.43941052607579</c:v>
                </c:pt>
                <c:pt idx="190">
                  <c:v>837.06922180670108</c:v>
                </c:pt>
                <c:pt idx="191">
                  <c:v>835.02229530342902</c:v>
                </c:pt>
                <c:pt idx="192">
                  <c:v>832.98531451714848</c:v>
                </c:pt>
                <c:pt idx="193">
                  <c:v>830.95818816281712</c:v>
                </c:pt>
                <c:pt idx="194">
                  <c:v>828.94082620124323</c:v>
                </c:pt>
                <c:pt idx="195">
                  <c:v>826.93313981773053</c:v>
                </c:pt>
                <c:pt idx="196">
                  <c:v>824.93504140114453</c:v>
                </c:pt>
                <c:pt idx="197">
                  <c:v>823.608259709771</c:v>
                </c:pt>
                <c:pt idx="198">
                  <c:v>821.62594975077718</c:v>
                </c:pt>
                <c:pt idx="199">
                  <c:v>819.65299985842739</c:v>
                </c:pt>
                <c:pt idx="200">
                  <c:v>817.68932666226885</c:v>
                </c:pt>
                <c:pt idx="201">
                  <c:v>815.73484790313285</c:v>
                </c:pt>
                <c:pt idx="202">
                  <c:v>813.78948241446267</c:v>
                </c:pt>
                <c:pt idx="203">
                  <c:v>811.85315010400495</c:v>
                </c:pt>
                <c:pt idx="204">
                  <c:v>810.56724125636254</c:v>
                </c:pt>
                <c:pt idx="205">
                  <c:v>808.64578912128059</c:v>
                </c:pt>
                <c:pt idx="206">
                  <c:v>806.73316170184364</c:v>
                </c:pt>
                <c:pt idx="207">
                  <c:v>804.8292826940143</c:v>
                </c:pt>
                <c:pt idx="208">
                  <c:v>802.93407678725794</c:v>
                </c:pt>
                <c:pt idx="209">
                  <c:v>801.04746964817105</c:v>
                </c:pt>
                <c:pt idx="210">
                  <c:v>799.16938790442862</c:v>
                </c:pt>
                <c:pt idx="211">
                  <c:v>797.92203393449813</c:v>
                </c:pt>
                <c:pt idx="212">
                  <c:v>796.05800069396355</c:v>
                </c:pt>
                <c:pt idx="213">
                  <c:v>794.20230176907535</c:v>
                </c:pt>
                <c:pt idx="214">
                  <c:v>792.35486717905201</c:v>
                </c:pt>
                <c:pt idx="215">
                  <c:v>790.51562783326574</c:v>
                </c:pt>
                <c:pt idx="216">
                  <c:v>788.68451551685553</c:v>
                </c:pt>
                <c:pt idx="217">
                  <c:v>786.86146287661768</c:v>
                </c:pt>
                <c:pt idx="218">
                  <c:v>785.65053917102057</c:v>
                </c:pt>
                <c:pt idx="219">
                  <c:v>783.84077194716599</c:v>
                </c:pt>
                <c:pt idx="220">
                  <c:v>782.03888889903556</c:v>
                </c:pt>
                <c:pt idx="221">
                  <c:v>780.24482571637031</c:v>
                </c:pt>
                <c:pt idx="222">
                  <c:v>778.45851888816298</c:v>
                </c:pt>
                <c:pt idx="223">
                  <c:v>776.67990568998948</c:v>
                </c:pt>
                <c:pt idx="224">
                  <c:v>774.90892417157602</c:v>
                </c:pt>
                <c:pt idx="225">
                  <c:v>773.73247940060696</c:v>
                </c:pt>
                <c:pt idx="226">
                  <c:v>771.9740817452531</c:v>
                </c:pt>
                <c:pt idx="227">
                  <c:v>770.22315426159719</c:v>
                </c:pt>
                <c:pt idx="228">
                  <c:v>768.47963773524316</c:v>
                </c:pt>
                <c:pt idx="229">
                  <c:v>766.7434736709115</c:v>
                </c:pt>
                <c:pt idx="230">
                  <c:v>765.01460428125654</c:v>
                </c:pt>
                <c:pt idx="231">
                  <c:v>763.29297247588818</c:v>
                </c:pt>
                <c:pt idx="232">
                  <c:v>762.14921093728617</c:v>
                </c:pt>
                <c:pt idx="233">
                  <c:v>760.43951676376173</c:v>
                </c:pt>
                <c:pt idx="234">
                  <c:v>758.73691125948528</c:v>
                </c:pt>
                <c:pt idx="235">
                  <c:v>757.04133979885012</c:v>
                </c:pt>
                <c:pt idx="236">
                  <c:v>755.35274840456464</c:v>
                </c:pt>
                <c:pt idx="237">
                  <c:v>753.67108373775829</c:v>
                </c:pt>
                <c:pt idx="238">
                  <c:v>751.99629308826718</c:v>
                </c:pt>
                <c:pt idx="239">
                  <c:v>750.8835591379692</c:v>
                </c:pt>
                <c:pt idx="240">
                  <c:v>749.22010972774626</c:v>
                </c:pt>
                <c:pt idx="241">
                  <c:v>747.56339677606582</c:v>
                </c:pt>
                <c:pt idx="242">
                  <c:v>745.91336979769051</c:v>
                </c:pt>
                <c:pt idx="243">
                  <c:v>744.26997889300537</c:v>
                </c:pt>
                <c:pt idx="244">
                  <c:v>742.63317473924917</c:v>
                </c:pt>
                <c:pt idx="245">
                  <c:v>741.00290858189715</c:v>
                </c:pt>
                <c:pt idx="246">
                  <c:v>739.91967287455964</c:v>
                </c:pt>
                <c:pt idx="247">
                  <c:v>738.30019655110027</c:v>
                </c:pt>
                <c:pt idx="248">
                  <c:v>736.68713092614007</c:v>
                </c:pt>
                <c:pt idx="249">
                  <c:v>735.08042925741097</c:v>
                </c:pt>
                <c:pt idx="250">
                  <c:v>733.48004533264225</c:v>
                </c:pt>
                <c:pt idx="251">
                  <c:v>731.88593346177004</c:v>
                </c:pt>
                <c:pt idx="252">
                  <c:v>730.29804846927982</c:v>
                </c:pt>
                <c:pt idx="253">
                  <c:v>729.24289577201193</c:v>
                </c:pt>
                <c:pt idx="254">
                  <c:v>727.66528989388735</c:v>
                </c:pt>
                <c:pt idx="255">
                  <c:v>726.09379288488685</c:v>
                </c:pt>
                <c:pt idx="256">
                  <c:v>724.52836139280225</c:v>
                </c:pt>
                <c:pt idx="257">
                  <c:v>722.96895254596575</c:v>
                </c:pt>
                <c:pt idx="258">
                  <c:v>721.41552394631537</c:v>
                </c:pt>
                <c:pt idx="259">
                  <c:v>719.86803366257618</c:v>
                </c:pt>
                <c:pt idx="260">
                  <c:v>718.83965203948003</c:v>
                </c:pt>
                <c:pt idx="261">
                  <c:v>717.30196701495538</c:v>
                </c:pt>
                <c:pt idx="262">
                  <c:v>715.77011072109349</c:v>
                </c:pt>
                <c:pt idx="263">
                  <c:v>714.24404288171604</c:v>
                </c:pt>
                <c:pt idx="264">
                  <c:v>712.72372365712567</c:v>
                </c:pt>
                <c:pt idx="265">
                  <c:v>711.20911363792197</c:v>
                </c:pt>
                <c:pt idx="266">
                  <c:v>709.70017383891911</c:v>
                </c:pt>
                <c:pt idx="267">
                  <c:v>708.69734503281018</c:v>
                </c:pt>
                <c:pt idx="268">
                  <c:v>707.19777010034727</c:v>
                </c:pt>
                <c:pt idx="269">
                  <c:v>705.70376345637703</c:v>
                </c:pt>
                <c:pt idx="270">
                  <c:v>704.21528762077139</c:v>
                </c:pt>
                <c:pt idx="271">
                  <c:v>702.73230551055963</c:v>
                </c:pt>
                <c:pt idx="272">
                  <c:v>701.25478043440125</c:v>
                </c:pt>
                <c:pt idx="273">
                  <c:v>699.78267608714941</c:v>
                </c:pt>
                <c:pt idx="274">
                  <c:v>698.80426694913376</c:v>
                </c:pt>
                <c:pt idx="275">
                  <c:v>697.34111750397949</c:v>
                </c:pt>
                <c:pt idx="276">
                  <c:v>695.88329382169877</c:v>
                </c:pt>
                <c:pt idx="277">
                  <c:v>694.43076096812433</c:v>
                </c:pt>
                <c:pt idx="278">
                  <c:v>692.983484371082</c:v>
                </c:pt>
                <c:pt idx="279">
                  <c:v>691.54142981544203</c:v>
                </c:pt>
                <c:pt idx="280">
                  <c:v>690.10456343825103</c:v>
                </c:pt>
                <c:pt idx="281">
                  <c:v>689.14951827643608</c:v>
                </c:pt>
                <c:pt idx="282">
                  <c:v>687.72122455371539</c:v>
                </c:pt>
                <c:pt idx="283">
                  <c:v>686.29803039383046</c:v>
                </c:pt>
                <c:pt idx="284">
                  <c:v>684.87990318477227</c:v>
                </c:pt>
                <c:pt idx="285">
                  <c:v>683.4668106450232</c:v>
                </c:pt>
                <c:pt idx="286">
                  <c:v>682.05872081911809</c:v>
                </c:pt>
                <c:pt idx="287">
                  <c:v>680.6556020732794</c:v>
                </c:pt>
                <c:pt idx="288">
                  <c:v>679.72293580938663</c:v>
                </c:pt>
                <c:pt idx="289">
                  <c:v>678.32803275984747</c:v>
                </c:pt>
                <c:pt idx="290">
                  <c:v>676.93801797388164</c:v>
                </c:pt>
                <c:pt idx="291">
                  <c:v>675.55286096100156</c:v>
                </c:pt>
                <c:pt idx="292">
                  <c:v>674.17253153294018</c:v>
                </c:pt>
                <c:pt idx="293">
                  <c:v>672.79699979966472</c:v>
                </c:pt>
                <c:pt idx="294">
                  <c:v>671.42623616545472</c:v>
                </c:pt>
                <c:pt idx="295">
                  <c:v>670.51502820299777</c:v>
                </c:pt>
                <c:pt idx="296">
                  <c:v>669.15214641945363</c:v>
                </c:pt>
                <c:pt idx="297">
                  <c:v>667.79395522274422</c:v>
                </c:pt>
                <c:pt idx="298">
                  <c:v>666.44042606372113</c:v>
                </c:pt>
                <c:pt idx="299">
                  <c:v>665.09153067004377</c:v>
                </c:pt>
                <c:pt idx="300">
                  <c:v>663.74724104259246</c:v>
                </c:pt>
                <c:pt idx="301">
                  <c:v>662.40752945193708</c:v>
                </c:pt>
                <c:pt idx="302">
                  <c:v>661.51691817234314</c:v>
                </c:pt>
                <c:pt idx="303">
                  <c:v>660.18477574356291</c:v>
                </c:pt>
                <c:pt idx="304">
                  <c:v>658.85713869865879</c:v>
                </c:pt>
                <c:pt idx="305">
                  <c:v>657.5339802677363</c:v>
                </c:pt>
                <c:pt idx="306">
                  <c:v>656.21527393482575</c:v>
                </c:pt>
                <c:pt idx="307">
                  <c:v>654.90099343465056</c:v>
                </c:pt>
                <c:pt idx="308">
                  <c:v>653.59111274944109</c:v>
                </c:pt>
                <c:pt idx="309">
                  <c:v>652.72029056338499</c:v>
                </c:pt>
                <c:pt idx="310">
                  <c:v>651.41768574819309</c:v>
                </c:pt>
                <c:pt idx="311">
                  <c:v>650.11941255361398</c:v>
                </c:pt>
                <c:pt idx="312">
                  <c:v>648.82544584296022</c:v>
                </c:pt>
                <c:pt idx="313">
                  <c:v>647.53576071283044</c:v>
                </c:pt>
                <c:pt idx="314">
                  <c:v>646.25033249019293</c:v>
                </c:pt>
                <c:pt idx="315">
                  <c:v>644.96913672950927</c:v>
                </c:pt>
                <c:pt idx="316">
                  <c:v>644.11734562005211</c:v>
                </c:pt>
                <c:pt idx="317">
                  <c:v>642.84315024814123</c:v>
                </c:pt>
                <c:pt idx="318">
                  <c:v>641.57312324088548</c:v>
                </c:pt>
                <c:pt idx="319">
                  <c:v>640.30724096299696</c:v>
                </c:pt>
                <c:pt idx="320">
                  <c:v>639.04547999383101</c:v>
                </c:pt>
                <c:pt idx="321">
                  <c:v>637.78781712474824</c:v>
                </c:pt>
                <c:pt idx="322">
                  <c:v>636.53422935651497</c:v>
                </c:pt>
                <c:pt idx="323">
                  <c:v>635.70075685867323</c:v>
                </c:pt>
                <c:pt idx="324">
                  <c:v>634.45391037644174</c:v>
                </c:pt>
                <c:pt idx="325">
                  <c:v>633.21107866818136</c:v>
                </c:pt>
                <c:pt idx="326">
                  <c:v>631.97223948086105</c:v>
                </c:pt>
                <c:pt idx="327">
                  <c:v>630.73737075922577</c:v>
                </c:pt>
                <c:pt idx="328">
                  <c:v>629.50645064340904</c:v>
                </c:pt>
                <c:pt idx="329">
                  <c:v>628.27945746657701</c:v>
                </c:pt>
                <c:pt idx="330">
                  <c:v>627.46363303485498</c:v>
                </c:pt>
                <c:pt idx="331">
                  <c:v>626.24313712476533</c:v>
                </c:pt>
                <c:pt idx="332">
                  <c:v>625.02651130162474</c:v>
                </c:pt>
                <c:pt idx="333">
                  <c:v>623.81373458679911</c:v>
                </c:pt>
                <c:pt idx="334">
                  <c:v>622.60478618414857</c:v>
                </c:pt>
                <c:pt idx="335">
                  <c:v>621.39964547786064</c:v>
                </c:pt>
                <c:pt idx="336">
                  <c:v>620.1982920303152</c:v>
                </c:pt>
                <c:pt idx="337">
                  <c:v>619.39948375170695</c:v>
                </c:pt>
                <c:pt idx="338">
                  <c:v>618.20439746245347</c:v>
                </c:pt>
                <c:pt idx="339">
                  <c:v>617.01304478687302</c:v>
                </c:pt>
                <c:pt idx="340">
                  <c:v>615.82540592293867</c:v>
                </c:pt>
                <c:pt idx="341">
                  <c:v>614.6414612372505</c:v>
                </c:pt>
                <c:pt idx="342">
                  <c:v>613.46119126306576</c:v>
                </c:pt>
                <c:pt idx="343">
                  <c:v>612.28457669836098</c:v>
                </c:pt>
                <c:pt idx="344">
                  <c:v>611.50218831349434</c:v>
                </c:pt>
                <c:pt idx="345">
                  <c:v>610.33162364587338</c:v>
                </c:pt>
                <c:pt idx="346">
                  <c:v>609.1646637065046</c:v>
                </c:pt>
                <c:pt idx="347">
                  <c:v>608.00128978117732</c:v>
                </c:pt>
                <c:pt idx="348">
                  <c:v>606.84148331170604</c:v>
                </c:pt>
                <c:pt idx="349">
                  <c:v>605.68522589413851</c:v>
                </c:pt>
                <c:pt idx="350">
                  <c:v>604.53249927699221</c:v>
                </c:pt>
                <c:pt idx="351">
                  <c:v>603.76596747655708</c:v>
                </c:pt>
                <c:pt idx="352">
                  <c:v>602.61908537654256</c:v>
                </c:pt>
                <c:pt idx="353">
                  <c:v>601.4756861385838</c:v>
                </c:pt>
                <c:pt idx="354">
                  <c:v>600.3357520555528</c:v>
                </c:pt>
                <c:pt idx="355">
                  <c:v>599.1992655648769</c:v>
                </c:pt>
                <c:pt idx="356">
                  <c:v>598.06620924691083</c:v>
                </c:pt>
                <c:pt idx="357">
                  <c:v>596.93656582332608</c:v>
                </c:pt>
                <c:pt idx="358">
                  <c:v>596.18535779083095</c:v>
                </c:pt>
                <c:pt idx="359">
                  <c:v>595.06136450707959</c:v>
                </c:pt>
                <c:pt idx="360">
                  <c:v>593.94073872107469</c:v>
                </c:pt>
                <c:pt idx="361">
                  <c:v>592.823463659259</c:v>
                </c:pt>
                <c:pt idx="362">
                  <c:v>591.70952268218173</c:v>
                </c:pt>
                <c:pt idx="363">
                  <c:v>590.59889928301027</c:v>
                </c:pt>
                <c:pt idx="364">
                  <c:v>589.49157708606504</c:v>
                </c:pt>
                <c:pt idx="365">
                  <c:v>588.75518826134123</c:v>
                </c:pt>
                <c:pt idx="366">
                  <c:v>587.65333202935085</c:v>
                </c:pt>
                <c:pt idx="367">
                  <c:v>586.55473396136335</c:v>
                </c:pt>
                <c:pt idx="368">
                  <c:v>585.45937815036825</c:v>
                </c:pt>
                <c:pt idx="369">
                  <c:v>584.36724881392388</c:v>
                </c:pt>
                <c:pt idx="370">
                  <c:v>583.27833029280134</c:v>
                </c:pt>
                <c:pt idx="371">
                  <c:v>582.19260704964461</c:v>
                </c:pt>
                <c:pt idx="372">
                  <c:v>581.47055909047378</c:v>
                </c:pt>
                <c:pt idx="373">
                  <c:v>580.39012710996917</c:v>
                </c:pt>
                <c:pt idx="374">
                  <c:v>579.31284956031232</c:v>
                </c:pt>
                <c:pt idx="375">
                  <c:v>578.23871133984539</c:v>
                </c:pt>
                <c:pt idx="376">
                  <c:v>577.16769746276634</c:v>
                </c:pt>
                <c:pt idx="377">
                  <c:v>576.09979305788931</c:v>
                </c:pt>
                <c:pt idx="378">
                  <c:v>575.03498336741882</c:v>
                </c:pt>
                <c:pt idx="379">
                  <c:v>574.32682228923807</c:v>
                </c:pt>
                <c:pt idx="380">
                  <c:v>573.26713796516367</c:v>
                </c:pt>
                <c:pt idx="381">
                  <c:v>572.2105095465904</c:v>
                </c:pt>
                <c:pt idx="382">
                  <c:v>571.15692268127009</c:v>
                </c:pt>
                <c:pt idx="383">
                  <c:v>570.1063631248403</c:v>
                </c:pt>
                <c:pt idx="384">
                  <c:v>569.05881673968815</c:v>
                </c:pt>
                <c:pt idx="385">
                  <c:v>568.01426949382858</c:v>
                </c:pt>
                <c:pt idx="386">
                  <c:v>567.31956396972294</c:v>
                </c:pt>
                <c:pt idx="387">
                  <c:v>566.27998439055045</c:v>
                </c:pt>
                <c:pt idx="388">
                  <c:v>565.24336704007408</c:v>
                </c:pt>
                <c:pt idx="389">
                  <c:v>564.20969826424925</c:v>
                </c:pt>
                <c:pt idx="390">
                  <c:v>563.17896450961621</c:v>
                </c:pt>
                <c:pt idx="391">
                  <c:v>562.15115232225651</c:v>
                </c:pt>
                <c:pt idx="392">
                  <c:v>561.12624834676649</c:v>
                </c:pt>
                <c:pt idx="393">
                  <c:v>560.44458815193855</c:v>
                </c:pt>
                <c:pt idx="394">
                  <c:v>559.42450178191393</c:v>
                </c:pt>
                <c:pt idx="395">
                  <c:v>558.40728848329502</c:v>
                </c:pt>
                <c:pt idx="396">
                  <c:v>557.39293525331016</c:v>
                </c:pt>
                <c:pt idx="397">
                  <c:v>556.38142918307517</c:v>
                </c:pt>
                <c:pt idx="398">
                  <c:v>555.37275745663692</c:v>
                </c:pt>
                <c:pt idx="399">
                  <c:v>554.36690735002946</c:v>
                </c:pt>
                <c:pt idx="400">
                  <c:v>553.69790193667018</c:v>
                </c:pt>
                <c:pt idx="401">
                  <c:v>552.69672650119423</c:v>
                </c:pt>
                <c:pt idx="402">
                  <c:v>551.69833919763857</c:v>
                </c:pt>
                <c:pt idx="403">
                  <c:v>550.70272763143907</c:v>
                </c:pt>
                <c:pt idx="404">
                  <c:v>549.70987949577011</c:v>
                </c:pt>
                <c:pt idx="405">
                  <c:v>548.71978257066462</c:v>
                </c:pt>
                <c:pt idx="406">
                  <c:v>547.73242472214667</c:v>
                </c:pt>
                <c:pt idx="407">
                  <c:v>547.07570191216132</c:v>
                </c:pt>
                <c:pt idx="408">
                  <c:v>546.09288245774792</c:v>
                </c:pt>
                <c:pt idx="409">
                  <c:v>545.11277013657741</c:v>
                </c:pt>
                <c:pt idx="410">
                  <c:v>544.13535312272813</c:v>
                </c:pt>
                <c:pt idx="411">
                  <c:v>543.1606196723626</c:v>
                </c:pt>
                <c:pt idx="412">
                  <c:v>542.1885581229194</c:v>
                </c:pt>
                <c:pt idx="413">
                  <c:v>541.21915689231389</c:v>
                </c:pt>
                <c:pt idx="414">
                  <c:v>540.57436167670255</c:v>
                </c:pt>
                <c:pt idx="415">
                  <c:v>539.60936878894881</c:v>
                </c:pt>
                <c:pt idx="416">
                  <c:v>538.64700572195568</c:v>
                </c:pt>
                <c:pt idx="417">
                  <c:v>537.68726118205052</c:v>
                </c:pt>
                <c:pt idx="418">
                  <c:v>536.73012395244143</c:v>
                </c:pt>
                <c:pt idx="419">
                  <c:v>535.77558289247236</c:v>
                </c:pt>
                <c:pt idx="420">
                  <c:v>534.82362693688651</c:v>
                </c:pt>
                <c:pt idx="421">
                  <c:v>534.19042037176541</c:v>
                </c:pt>
                <c:pt idx="422">
                  <c:v>533.24274853652025</c:v>
                </c:pt>
                <c:pt idx="423">
                  <c:v>532.29763266143596</c:v>
                </c:pt>
                <c:pt idx="424">
                  <c:v>531.35506195157541</c:v>
                </c:pt>
                <c:pt idx="425">
                  <c:v>530.41502568408646</c:v>
                </c:pt>
                <c:pt idx="426">
                  <c:v>529.47751320751536</c:v>
                </c:pt>
                <c:pt idx="427">
                  <c:v>528.54251394112805</c:v>
                </c:pt>
                <c:pt idx="428">
                  <c:v>527.9205721314255</c:v>
                </c:pt>
                <c:pt idx="429">
                  <c:v>526.98973822589448</c:v>
                </c:pt>
                <c:pt idx="430">
                  <c:v>526.06138965592822</c:v>
                </c:pt>
                <c:pt idx="431">
                  <c:v>525.13551609442732</c:v>
                </c:pt>
                <c:pt idx="432">
                  <c:v>524.21210728195297</c:v>
                </c:pt>
                <c:pt idx="433">
                  <c:v>523.2911530260933</c:v>
                </c:pt>
                <c:pt idx="434">
                  <c:v>522.37264320083739</c:v>
                </c:pt>
                <c:pt idx="435">
                  <c:v>521.76165636363282</c:v>
                </c:pt>
                <c:pt idx="436">
                  <c:v>520.84719826552691</c:v>
                </c:pt>
                <c:pt idx="437">
                  <c:v>519.9351579152725</c:v>
                </c:pt>
                <c:pt idx="438">
                  <c:v>519.02552542508977</c:v>
                </c:pt>
                <c:pt idx="439">
                  <c:v>518.11829097077361</c:v>
                </c:pt>
                <c:pt idx="440">
                  <c:v>517.21344479110803</c:v>
                </c:pt>
                <c:pt idx="441">
                  <c:v>516.31097718728768</c:v>
                </c:pt>
                <c:pt idx="442">
                  <c:v>515.71064878757556</c:v>
                </c:pt>
                <c:pt idx="443">
                  <c:v>514.81212409163004</c:v>
                </c:pt>
                <c:pt idx="444">
                  <c:v>513.91595240883748</c:v>
                </c:pt>
                <c:pt idx="445">
                  <c:v>513.02212426438734</c:v>
                </c:pt>
                <c:pt idx="446">
                  <c:v>512.13063024326641</c:v>
                </c:pt>
                <c:pt idx="447">
                  <c:v>511.24146098971664</c:v>
                </c:pt>
                <c:pt idx="448">
                  <c:v>510.35460720669988</c:v>
                </c:pt>
                <c:pt idx="449">
                  <c:v>509.7646531591015</c:v>
                </c:pt>
                <c:pt idx="450">
                  <c:v>508.88163799136714</c:v>
                </c:pt>
                <c:pt idx="451">
                  <c:v>508.00091378513349</c:v>
                </c:pt>
                <c:pt idx="452">
                  <c:v>507.12247145418564</c:v>
                </c:pt>
                <c:pt idx="453">
                  <c:v>506.24630196860949</c:v>
                </c:pt>
                <c:pt idx="454">
                  <c:v>505.37239635429063</c:v>
                </c:pt>
                <c:pt idx="455">
                  <c:v>504.50074569241667</c:v>
                </c:pt>
                <c:pt idx="456">
                  <c:v>503.92089362300129</c:v>
                </c:pt>
                <c:pt idx="457">
                  <c:v>503.05298154427487</c:v>
                </c:pt>
                <c:pt idx="458">
                  <c:v>502.18730090115355</c:v>
                </c:pt>
                <c:pt idx="459">
                  <c:v>501.3238429734493</c:v>
                </c:pt>
                <c:pt idx="460">
                  <c:v>500.46259909403523</c:v>
                </c:pt>
                <c:pt idx="461">
                  <c:v>499.60356064838095</c:v>
                </c:pt>
                <c:pt idx="462">
                  <c:v>498.74671907409152</c:v>
                </c:pt>
                <c:pt idx="463">
                  <c:v>498.17670763705587</c:v>
                </c:pt>
                <c:pt idx="464">
                  <c:v>497.3235086276635</c:v>
                </c:pt>
                <c:pt idx="465">
                  <c:v>496.47248390802923</c:v>
                </c:pt>
                <c:pt idx="466">
                  <c:v>495.62362510307128</c:v>
                </c:pt>
                <c:pt idx="467">
                  <c:v>494.77692388776495</c:v>
                </c:pt>
                <c:pt idx="468">
                  <c:v>493.93237198671034</c:v>
                </c:pt>
                <c:pt idx="469">
                  <c:v>493.08996117370532</c:v>
                </c:pt>
                <c:pt idx="470">
                  <c:v>492.52953941816622</c:v>
                </c:pt>
                <c:pt idx="471">
                  <c:v>491.69067893708308</c:v>
                </c:pt>
                <c:pt idx="472">
                  <c:v>490.85393784483796</c:v>
                </c:pt>
                <c:pt idx="473">
                  <c:v>490.01930809204407</c:v>
                </c:pt>
                <c:pt idx="474">
                  <c:v>489.18678167658192</c:v>
                </c:pt>
                <c:pt idx="475">
                  <c:v>488.35635064319814</c:v>
                </c:pt>
                <c:pt idx="476">
                  <c:v>487.52800708310798</c:v>
                </c:pt>
                <c:pt idx="477">
                  <c:v>486.97693386573019</c:v>
                </c:pt>
                <c:pt idx="478">
                  <c:v>486.15205197769069</c:v>
                </c:pt>
                <c:pt idx="479">
                  <c:v>485.32923669706554</c:v>
                </c:pt>
                <c:pt idx="480">
                  <c:v>484.50848028213301</c:v>
                </c:pt>
                <c:pt idx="481">
                  <c:v>483.68977503584586</c:v>
                </c:pt>
                <c:pt idx="482">
                  <c:v>482.87311330545782</c:v>
                </c:pt>
                <c:pt idx="483">
                  <c:v>482.05848748215561</c:v>
                </c:pt>
                <c:pt idx="484">
                  <c:v>481.51653092174035</c:v>
                </c:pt>
                <c:pt idx="485">
                  <c:v>480.70528148660776</c:v>
                </c:pt>
                <c:pt idx="486">
                  <c:v>479.89604788041004</c:v>
                </c:pt>
                <c:pt idx="487">
                  <c:v>479.08882265232631</c:v>
                </c:pt>
                <c:pt idx="488">
                  <c:v>478.28359839379868</c:v>
                </c:pt>
                <c:pt idx="489">
                  <c:v>477.48036773818473</c:v>
                </c:pt>
                <c:pt idx="490">
                  <c:v>476.6791233604136</c:v>
                </c:pt>
                <c:pt idx="491">
                  <c:v>476.14606033094611</c:v>
                </c:pt>
                <c:pt idx="492">
                  <c:v>475.34811025014778</c:v>
                </c:pt>
                <c:pt idx="493">
                  <c:v>474.55212711433836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21-4875-B88C-B488B95351CA}"/>
            </c:ext>
          </c:extLst>
        </c:ser>
        <c:ser>
          <c:idx val="2"/>
          <c:order val="2"/>
          <c:tx>
            <c:strRef>
              <c:f>'sheet 1'!$P$38</c:f>
              <c:strCache>
                <c:ptCount val="1"/>
                <c:pt idx="0">
                  <c:v>I1</c:v>
                </c:pt>
              </c:strCache>
            </c:strRef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'sheet 1'!$B$39:$B$841</c:f>
              <c:numCache>
                <c:formatCode>General</c:formatCode>
                <c:ptCount val="803"/>
                <c:pt idx="0">
                  <c:v>0</c:v>
                </c:pt>
                <c:pt idx="1">
                  <c:v>0.20000000000000284</c:v>
                </c:pt>
                <c:pt idx="2">
                  <c:v>0.5</c:v>
                </c:pt>
                <c:pt idx="3">
                  <c:v>0.80000000000000426</c:v>
                </c:pt>
                <c:pt idx="4">
                  <c:v>1.1000000000000014</c:v>
                </c:pt>
                <c:pt idx="5">
                  <c:v>1.3999999999999986</c:v>
                </c:pt>
                <c:pt idx="6">
                  <c:v>1.7000000000000028</c:v>
                </c:pt>
                <c:pt idx="7">
                  <c:v>2</c:v>
                </c:pt>
                <c:pt idx="8">
                  <c:v>2.2000000000000028</c:v>
                </c:pt>
                <c:pt idx="9">
                  <c:v>2.5</c:v>
                </c:pt>
                <c:pt idx="10">
                  <c:v>2.8000000000000043</c:v>
                </c:pt>
                <c:pt idx="11">
                  <c:v>3.1000000000000014</c:v>
                </c:pt>
                <c:pt idx="12">
                  <c:v>3.3999999999999986</c:v>
                </c:pt>
                <c:pt idx="13">
                  <c:v>3.7000000000000028</c:v>
                </c:pt>
                <c:pt idx="14">
                  <c:v>4</c:v>
                </c:pt>
                <c:pt idx="15">
                  <c:v>4.2000000000000028</c:v>
                </c:pt>
                <c:pt idx="16">
                  <c:v>4.5</c:v>
                </c:pt>
                <c:pt idx="17">
                  <c:v>4.8000000000000043</c:v>
                </c:pt>
                <c:pt idx="18">
                  <c:v>5.1000000000000014</c:v>
                </c:pt>
                <c:pt idx="19">
                  <c:v>5.3999999999999986</c:v>
                </c:pt>
                <c:pt idx="20">
                  <c:v>5.6999999999999957</c:v>
                </c:pt>
                <c:pt idx="21">
                  <c:v>6.0000000000000071</c:v>
                </c:pt>
                <c:pt idx="22">
                  <c:v>6.1999999999999957</c:v>
                </c:pt>
                <c:pt idx="23">
                  <c:v>6.5000000000000071</c:v>
                </c:pt>
                <c:pt idx="24">
                  <c:v>6.8000000000000043</c:v>
                </c:pt>
                <c:pt idx="25">
                  <c:v>7.1000000000000014</c:v>
                </c:pt>
                <c:pt idx="26">
                  <c:v>7.3999999999999986</c:v>
                </c:pt>
                <c:pt idx="27">
                  <c:v>7.6999999999999957</c:v>
                </c:pt>
                <c:pt idx="28">
                  <c:v>8.0000000000000071</c:v>
                </c:pt>
                <c:pt idx="29">
                  <c:v>8.1999999999999957</c:v>
                </c:pt>
                <c:pt idx="30">
                  <c:v>8.5000000000000071</c:v>
                </c:pt>
                <c:pt idx="31">
                  <c:v>8.8000000000000043</c:v>
                </c:pt>
                <c:pt idx="32">
                  <c:v>9.1000000000000014</c:v>
                </c:pt>
                <c:pt idx="33">
                  <c:v>9.3999999999999986</c:v>
                </c:pt>
                <c:pt idx="34">
                  <c:v>9.6999999999999957</c:v>
                </c:pt>
                <c:pt idx="35">
                  <c:v>10.000000000000007</c:v>
                </c:pt>
                <c:pt idx="36">
                  <c:v>10.199999999999996</c:v>
                </c:pt>
                <c:pt idx="37">
                  <c:v>10.500000000000007</c:v>
                </c:pt>
                <c:pt idx="38">
                  <c:v>10.800000000000004</c:v>
                </c:pt>
                <c:pt idx="39">
                  <c:v>11.100000000000001</c:v>
                </c:pt>
                <c:pt idx="40">
                  <c:v>11.399999999999999</c:v>
                </c:pt>
                <c:pt idx="41">
                  <c:v>11.699999999999996</c:v>
                </c:pt>
                <c:pt idx="42">
                  <c:v>12.000000000000007</c:v>
                </c:pt>
                <c:pt idx="43">
                  <c:v>12.199999999999996</c:v>
                </c:pt>
                <c:pt idx="44">
                  <c:v>12.500000000000007</c:v>
                </c:pt>
                <c:pt idx="45">
                  <c:v>12.800000000000004</c:v>
                </c:pt>
                <c:pt idx="46">
                  <c:v>13.100000000000001</c:v>
                </c:pt>
                <c:pt idx="47">
                  <c:v>13.399999999999999</c:v>
                </c:pt>
                <c:pt idx="48">
                  <c:v>13.699999999999996</c:v>
                </c:pt>
                <c:pt idx="49">
                  <c:v>14.000000000000007</c:v>
                </c:pt>
                <c:pt idx="50">
                  <c:v>14.199999999999996</c:v>
                </c:pt>
                <c:pt idx="51">
                  <c:v>14.500000000000007</c:v>
                </c:pt>
                <c:pt idx="52">
                  <c:v>14.800000000000004</c:v>
                </c:pt>
                <c:pt idx="53">
                  <c:v>15.100000000000001</c:v>
                </c:pt>
                <c:pt idx="54">
                  <c:v>15.399999999999999</c:v>
                </c:pt>
                <c:pt idx="55">
                  <c:v>15.699999999999996</c:v>
                </c:pt>
                <c:pt idx="56">
                  <c:v>16.000000000000007</c:v>
                </c:pt>
                <c:pt idx="57">
                  <c:v>16.199999999999996</c:v>
                </c:pt>
                <c:pt idx="58">
                  <c:v>16.500000000000007</c:v>
                </c:pt>
                <c:pt idx="59">
                  <c:v>16.800000000000004</c:v>
                </c:pt>
                <c:pt idx="60">
                  <c:v>17.100000000000001</c:v>
                </c:pt>
                <c:pt idx="61">
                  <c:v>17.399999999999999</c:v>
                </c:pt>
                <c:pt idx="62">
                  <c:v>17.699999999999996</c:v>
                </c:pt>
                <c:pt idx="63">
                  <c:v>18.000000000000007</c:v>
                </c:pt>
                <c:pt idx="64">
                  <c:v>18.199999999999996</c:v>
                </c:pt>
                <c:pt idx="65">
                  <c:v>18.500000000000007</c:v>
                </c:pt>
                <c:pt idx="66">
                  <c:v>18.800000000000004</c:v>
                </c:pt>
                <c:pt idx="67">
                  <c:v>19.100000000000001</c:v>
                </c:pt>
                <c:pt idx="68">
                  <c:v>19.399999999999999</c:v>
                </c:pt>
                <c:pt idx="69">
                  <c:v>19.699999999999996</c:v>
                </c:pt>
                <c:pt idx="70">
                  <c:v>20.000000000000007</c:v>
                </c:pt>
                <c:pt idx="71">
                  <c:v>20.199999999999996</c:v>
                </c:pt>
                <c:pt idx="72">
                  <c:v>20.500000000000007</c:v>
                </c:pt>
                <c:pt idx="73">
                  <c:v>20.800000000000004</c:v>
                </c:pt>
                <c:pt idx="74">
                  <c:v>21.1</c:v>
                </c:pt>
                <c:pt idx="75">
                  <c:v>21.4</c:v>
                </c:pt>
                <c:pt idx="76">
                  <c:v>21.699999999999996</c:v>
                </c:pt>
                <c:pt idx="77">
                  <c:v>22.000000000000007</c:v>
                </c:pt>
                <c:pt idx="78">
                  <c:v>22.199999999999996</c:v>
                </c:pt>
                <c:pt idx="79">
                  <c:v>22.500000000000007</c:v>
                </c:pt>
                <c:pt idx="80">
                  <c:v>22.800000000000004</c:v>
                </c:pt>
                <c:pt idx="81">
                  <c:v>23.1</c:v>
                </c:pt>
                <c:pt idx="82">
                  <c:v>23.4</c:v>
                </c:pt>
                <c:pt idx="83">
                  <c:v>23.699999999999996</c:v>
                </c:pt>
                <c:pt idx="84">
                  <c:v>24.000000000000007</c:v>
                </c:pt>
                <c:pt idx="85">
                  <c:v>24.199999999999996</c:v>
                </c:pt>
                <c:pt idx="86">
                  <c:v>24.500000000000007</c:v>
                </c:pt>
                <c:pt idx="87">
                  <c:v>24.800000000000004</c:v>
                </c:pt>
                <c:pt idx="88">
                  <c:v>25.1</c:v>
                </c:pt>
                <c:pt idx="89">
                  <c:v>25.4</c:v>
                </c:pt>
                <c:pt idx="90">
                  <c:v>25.699999999999996</c:v>
                </c:pt>
                <c:pt idx="91">
                  <c:v>26.000000000000007</c:v>
                </c:pt>
                <c:pt idx="92">
                  <c:v>26.199999999999996</c:v>
                </c:pt>
                <c:pt idx="93">
                  <c:v>26.500000000000007</c:v>
                </c:pt>
                <c:pt idx="94">
                  <c:v>26.800000000000004</c:v>
                </c:pt>
                <c:pt idx="95">
                  <c:v>27.1</c:v>
                </c:pt>
                <c:pt idx="96">
                  <c:v>27.4</c:v>
                </c:pt>
                <c:pt idx="97">
                  <c:v>27.699999999999996</c:v>
                </c:pt>
                <c:pt idx="98">
                  <c:v>28.000000000000007</c:v>
                </c:pt>
                <c:pt idx="99">
                  <c:v>28.199999999999996</c:v>
                </c:pt>
                <c:pt idx="100">
                  <c:v>28.500000000000007</c:v>
                </c:pt>
                <c:pt idx="101">
                  <c:v>28.800000000000004</c:v>
                </c:pt>
                <c:pt idx="102">
                  <c:v>29.1</c:v>
                </c:pt>
                <c:pt idx="103">
                  <c:v>29.4</c:v>
                </c:pt>
                <c:pt idx="104">
                  <c:v>29.699999999999996</c:v>
                </c:pt>
                <c:pt idx="105">
                  <c:v>30.000000000000007</c:v>
                </c:pt>
                <c:pt idx="106">
                  <c:v>30.199999999999996</c:v>
                </c:pt>
                <c:pt idx="107">
                  <c:v>30.500000000000007</c:v>
                </c:pt>
                <c:pt idx="108">
                  <c:v>30.800000000000004</c:v>
                </c:pt>
                <c:pt idx="109">
                  <c:v>31.1</c:v>
                </c:pt>
                <c:pt idx="110">
                  <c:v>31.4</c:v>
                </c:pt>
                <c:pt idx="111">
                  <c:v>31.699999999999996</c:v>
                </c:pt>
                <c:pt idx="112">
                  <c:v>32.000000000000007</c:v>
                </c:pt>
                <c:pt idx="113">
                  <c:v>32.199999999999996</c:v>
                </c:pt>
                <c:pt idx="114">
                  <c:v>32.500000000000007</c:v>
                </c:pt>
                <c:pt idx="115">
                  <c:v>32.800000000000004</c:v>
                </c:pt>
                <c:pt idx="116">
                  <c:v>33.1</c:v>
                </c:pt>
                <c:pt idx="117">
                  <c:v>33.4</c:v>
                </c:pt>
                <c:pt idx="118">
                  <c:v>33.699999999999996</c:v>
                </c:pt>
                <c:pt idx="119">
                  <c:v>34.000000000000007</c:v>
                </c:pt>
                <c:pt idx="120">
                  <c:v>34.199999999999996</c:v>
                </c:pt>
                <c:pt idx="121">
                  <c:v>34.500000000000007</c:v>
                </c:pt>
                <c:pt idx="122">
                  <c:v>34.800000000000004</c:v>
                </c:pt>
                <c:pt idx="123">
                  <c:v>35.1</c:v>
                </c:pt>
                <c:pt idx="124">
                  <c:v>35.4</c:v>
                </c:pt>
                <c:pt idx="125">
                  <c:v>35.699999999999996</c:v>
                </c:pt>
                <c:pt idx="126">
                  <c:v>36.000000000000007</c:v>
                </c:pt>
                <c:pt idx="127">
                  <c:v>36.199999999999996</c:v>
                </c:pt>
                <c:pt idx="128">
                  <c:v>36.500000000000007</c:v>
                </c:pt>
                <c:pt idx="129">
                  <c:v>36.800000000000004</c:v>
                </c:pt>
                <c:pt idx="130">
                  <c:v>37.1</c:v>
                </c:pt>
                <c:pt idx="131">
                  <c:v>37.4</c:v>
                </c:pt>
                <c:pt idx="132">
                  <c:v>37.699999999999996</c:v>
                </c:pt>
                <c:pt idx="133">
                  <c:v>38.000000000000007</c:v>
                </c:pt>
                <c:pt idx="134">
                  <c:v>38.199999999999996</c:v>
                </c:pt>
                <c:pt idx="135">
                  <c:v>38.500000000000007</c:v>
                </c:pt>
                <c:pt idx="136">
                  <c:v>38.800000000000004</c:v>
                </c:pt>
                <c:pt idx="137">
                  <c:v>39.1</c:v>
                </c:pt>
                <c:pt idx="138">
                  <c:v>39.4</c:v>
                </c:pt>
                <c:pt idx="139">
                  <c:v>39.699999999999996</c:v>
                </c:pt>
                <c:pt idx="140">
                  <c:v>40.000000000000007</c:v>
                </c:pt>
                <c:pt idx="141">
                  <c:v>40.199999999999996</c:v>
                </c:pt>
                <c:pt idx="142">
                  <c:v>40.500000000000007</c:v>
                </c:pt>
                <c:pt idx="143">
                  <c:v>40.800000000000004</c:v>
                </c:pt>
                <c:pt idx="144">
                  <c:v>41.1</c:v>
                </c:pt>
                <c:pt idx="145">
                  <c:v>41.4</c:v>
                </c:pt>
                <c:pt idx="146">
                  <c:v>41.699999999999996</c:v>
                </c:pt>
                <c:pt idx="147">
                  <c:v>42.000000000000007</c:v>
                </c:pt>
                <c:pt idx="148">
                  <c:v>42.199999999999996</c:v>
                </c:pt>
                <c:pt idx="149">
                  <c:v>42.500000000000007</c:v>
                </c:pt>
                <c:pt idx="150">
                  <c:v>42.800000000000004</c:v>
                </c:pt>
                <c:pt idx="151">
                  <c:v>43.1</c:v>
                </c:pt>
                <c:pt idx="152">
                  <c:v>43.4</c:v>
                </c:pt>
                <c:pt idx="153">
                  <c:v>43.699999999999996</c:v>
                </c:pt>
                <c:pt idx="154">
                  <c:v>44.000000000000007</c:v>
                </c:pt>
                <c:pt idx="155">
                  <c:v>44.199999999999996</c:v>
                </c:pt>
                <c:pt idx="156">
                  <c:v>44.500000000000007</c:v>
                </c:pt>
                <c:pt idx="157">
                  <c:v>44.800000000000004</c:v>
                </c:pt>
                <c:pt idx="158">
                  <c:v>45.1</c:v>
                </c:pt>
                <c:pt idx="159">
                  <c:v>45.4</c:v>
                </c:pt>
                <c:pt idx="160">
                  <c:v>45.699999999999996</c:v>
                </c:pt>
                <c:pt idx="161">
                  <c:v>46.000000000000007</c:v>
                </c:pt>
                <c:pt idx="162">
                  <c:v>46.199999999999996</c:v>
                </c:pt>
                <c:pt idx="163">
                  <c:v>46.500000000000007</c:v>
                </c:pt>
                <c:pt idx="164">
                  <c:v>46.800000000000004</c:v>
                </c:pt>
                <c:pt idx="165">
                  <c:v>47.1</c:v>
                </c:pt>
                <c:pt idx="166">
                  <c:v>47.4</c:v>
                </c:pt>
                <c:pt idx="167">
                  <c:v>47.699999999999996</c:v>
                </c:pt>
                <c:pt idx="168">
                  <c:v>48.000000000000007</c:v>
                </c:pt>
                <c:pt idx="169">
                  <c:v>48.199999999999996</c:v>
                </c:pt>
                <c:pt idx="170">
                  <c:v>48.500000000000007</c:v>
                </c:pt>
                <c:pt idx="171">
                  <c:v>48.800000000000004</c:v>
                </c:pt>
                <c:pt idx="172">
                  <c:v>49.1</c:v>
                </c:pt>
                <c:pt idx="173">
                  <c:v>49.4</c:v>
                </c:pt>
                <c:pt idx="174">
                  <c:v>49.699999999999996</c:v>
                </c:pt>
                <c:pt idx="175">
                  <c:v>50.000000000000007</c:v>
                </c:pt>
                <c:pt idx="176">
                  <c:v>50.199999999999996</c:v>
                </c:pt>
                <c:pt idx="177">
                  <c:v>50.500000000000007</c:v>
                </c:pt>
                <c:pt idx="178">
                  <c:v>50.800000000000004</c:v>
                </c:pt>
                <c:pt idx="179">
                  <c:v>51.1</c:v>
                </c:pt>
                <c:pt idx="180">
                  <c:v>51.4</c:v>
                </c:pt>
                <c:pt idx="181">
                  <c:v>51.699999999999996</c:v>
                </c:pt>
                <c:pt idx="182">
                  <c:v>52.000000000000007</c:v>
                </c:pt>
                <c:pt idx="183">
                  <c:v>52.199999999999996</c:v>
                </c:pt>
                <c:pt idx="184">
                  <c:v>52.500000000000007</c:v>
                </c:pt>
                <c:pt idx="185">
                  <c:v>52.800000000000004</c:v>
                </c:pt>
                <c:pt idx="186">
                  <c:v>53.1</c:v>
                </c:pt>
                <c:pt idx="187">
                  <c:v>53.4</c:v>
                </c:pt>
                <c:pt idx="188">
                  <c:v>53.699999999999996</c:v>
                </c:pt>
                <c:pt idx="189">
                  <c:v>54.000000000000007</c:v>
                </c:pt>
                <c:pt idx="190">
                  <c:v>54.199999999999996</c:v>
                </c:pt>
                <c:pt idx="191">
                  <c:v>54.500000000000007</c:v>
                </c:pt>
                <c:pt idx="192">
                  <c:v>54.800000000000004</c:v>
                </c:pt>
                <c:pt idx="193">
                  <c:v>55.1</c:v>
                </c:pt>
                <c:pt idx="194">
                  <c:v>55.4</c:v>
                </c:pt>
                <c:pt idx="195">
                  <c:v>55.699999999999996</c:v>
                </c:pt>
                <c:pt idx="196">
                  <c:v>56.000000000000007</c:v>
                </c:pt>
                <c:pt idx="197">
                  <c:v>56.199999999999996</c:v>
                </c:pt>
                <c:pt idx="198">
                  <c:v>56.500000000000007</c:v>
                </c:pt>
                <c:pt idx="199">
                  <c:v>56.800000000000004</c:v>
                </c:pt>
                <c:pt idx="200">
                  <c:v>57.1</c:v>
                </c:pt>
                <c:pt idx="201">
                  <c:v>57.4</c:v>
                </c:pt>
                <c:pt idx="202">
                  <c:v>57.699999999999996</c:v>
                </c:pt>
                <c:pt idx="203">
                  <c:v>58.000000000000007</c:v>
                </c:pt>
                <c:pt idx="204">
                  <c:v>58.199999999999996</c:v>
                </c:pt>
                <c:pt idx="205">
                  <c:v>58.500000000000007</c:v>
                </c:pt>
                <c:pt idx="206">
                  <c:v>58.800000000000004</c:v>
                </c:pt>
                <c:pt idx="207">
                  <c:v>59.1</c:v>
                </c:pt>
                <c:pt idx="208">
                  <c:v>59.4</c:v>
                </c:pt>
                <c:pt idx="209">
                  <c:v>59.699999999999996</c:v>
                </c:pt>
                <c:pt idx="210">
                  <c:v>60.000000000000007</c:v>
                </c:pt>
                <c:pt idx="211">
                  <c:v>60.199999999999996</c:v>
                </c:pt>
                <c:pt idx="212">
                  <c:v>60.500000000000007</c:v>
                </c:pt>
                <c:pt idx="213">
                  <c:v>60.800000000000004</c:v>
                </c:pt>
                <c:pt idx="214">
                  <c:v>61.1</c:v>
                </c:pt>
                <c:pt idx="215">
                  <c:v>61.4</c:v>
                </c:pt>
                <c:pt idx="216">
                  <c:v>61.699999999999996</c:v>
                </c:pt>
                <c:pt idx="217">
                  <c:v>62.000000000000007</c:v>
                </c:pt>
                <c:pt idx="218">
                  <c:v>62.199999999999996</c:v>
                </c:pt>
                <c:pt idx="219">
                  <c:v>62.500000000000007</c:v>
                </c:pt>
                <c:pt idx="220">
                  <c:v>62.800000000000004</c:v>
                </c:pt>
                <c:pt idx="221">
                  <c:v>63.1</c:v>
                </c:pt>
                <c:pt idx="222">
                  <c:v>63.4</c:v>
                </c:pt>
                <c:pt idx="223">
                  <c:v>63.699999999999996</c:v>
                </c:pt>
                <c:pt idx="224">
                  <c:v>64</c:v>
                </c:pt>
                <c:pt idx="225">
                  <c:v>64.199999999999989</c:v>
                </c:pt>
                <c:pt idx="226">
                  <c:v>64.5</c:v>
                </c:pt>
                <c:pt idx="227">
                  <c:v>64.800000000000011</c:v>
                </c:pt>
                <c:pt idx="228">
                  <c:v>65.099999999999994</c:v>
                </c:pt>
                <c:pt idx="229">
                  <c:v>65.400000000000006</c:v>
                </c:pt>
                <c:pt idx="230">
                  <c:v>65.699999999999989</c:v>
                </c:pt>
                <c:pt idx="231">
                  <c:v>66</c:v>
                </c:pt>
                <c:pt idx="232">
                  <c:v>66.199999999999989</c:v>
                </c:pt>
                <c:pt idx="233">
                  <c:v>66.5</c:v>
                </c:pt>
                <c:pt idx="234">
                  <c:v>66.800000000000011</c:v>
                </c:pt>
                <c:pt idx="235">
                  <c:v>67.099999999999994</c:v>
                </c:pt>
                <c:pt idx="236">
                  <c:v>67.400000000000006</c:v>
                </c:pt>
                <c:pt idx="237">
                  <c:v>67.699999999999989</c:v>
                </c:pt>
                <c:pt idx="238">
                  <c:v>68</c:v>
                </c:pt>
                <c:pt idx="239">
                  <c:v>68.199999999999989</c:v>
                </c:pt>
                <c:pt idx="240">
                  <c:v>68.5</c:v>
                </c:pt>
                <c:pt idx="241">
                  <c:v>68.800000000000011</c:v>
                </c:pt>
                <c:pt idx="242">
                  <c:v>69.099999999999994</c:v>
                </c:pt>
                <c:pt idx="243">
                  <c:v>69.400000000000006</c:v>
                </c:pt>
                <c:pt idx="244">
                  <c:v>69.699999999999989</c:v>
                </c:pt>
                <c:pt idx="245">
                  <c:v>70</c:v>
                </c:pt>
                <c:pt idx="246">
                  <c:v>70.199999999999989</c:v>
                </c:pt>
                <c:pt idx="247">
                  <c:v>70.5</c:v>
                </c:pt>
                <c:pt idx="248">
                  <c:v>70.799999999999983</c:v>
                </c:pt>
                <c:pt idx="249">
                  <c:v>71.099999999999994</c:v>
                </c:pt>
                <c:pt idx="250">
                  <c:v>71.400000000000006</c:v>
                </c:pt>
                <c:pt idx="251">
                  <c:v>71.699999999999989</c:v>
                </c:pt>
                <c:pt idx="252">
                  <c:v>72</c:v>
                </c:pt>
                <c:pt idx="253">
                  <c:v>72.199999999999989</c:v>
                </c:pt>
                <c:pt idx="254">
                  <c:v>72.5</c:v>
                </c:pt>
                <c:pt idx="255">
                  <c:v>72.799999999999983</c:v>
                </c:pt>
                <c:pt idx="256">
                  <c:v>73.099999999999994</c:v>
                </c:pt>
                <c:pt idx="257">
                  <c:v>73.400000000000006</c:v>
                </c:pt>
                <c:pt idx="258">
                  <c:v>73.699999999999989</c:v>
                </c:pt>
                <c:pt idx="259">
                  <c:v>74</c:v>
                </c:pt>
                <c:pt idx="260">
                  <c:v>74.199999999999989</c:v>
                </c:pt>
                <c:pt idx="261">
                  <c:v>74.5</c:v>
                </c:pt>
                <c:pt idx="262">
                  <c:v>74.799999999999983</c:v>
                </c:pt>
                <c:pt idx="263">
                  <c:v>75.099999999999994</c:v>
                </c:pt>
                <c:pt idx="264">
                  <c:v>75.400000000000006</c:v>
                </c:pt>
                <c:pt idx="265">
                  <c:v>75.699999999999989</c:v>
                </c:pt>
                <c:pt idx="266">
                  <c:v>76</c:v>
                </c:pt>
                <c:pt idx="267">
                  <c:v>76.199999999999989</c:v>
                </c:pt>
                <c:pt idx="268">
                  <c:v>76.5</c:v>
                </c:pt>
                <c:pt idx="269">
                  <c:v>76.799999999999983</c:v>
                </c:pt>
                <c:pt idx="270">
                  <c:v>77.099999999999994</c:v>
                </c:pt>
                <c:pt idx="271">
                  <c:v>77.400000000000006</c:v>
                </c:pt>
                <c:pt idx="272">
                  <c:v>77.699999999999989</c:v>
                </c:pt>
                <c:pt idx="273">
                  <c:v>78</c:v>
                </c:pt>
                <c:pt idx="274">
                  <c:v>78.199999999999989</c:v>
                </c:pt>
                <c:pt idx="275">
                  <c:v>78.5</c:v>
                </c:pt>
                <c:pt idx="276">
                  <c:v>78.799999999999983</c:v>
                </c:pt>
                <c:pt idx="277">
                  <c:v>79.099999999999994</c:v>
                </c:pt>
                <c:pt idx="278">
                  <c:v>79.400000000000006</c:v>
                </c:pt>
                <c:pt idx="279">
                  <c:v>79.699999999999989</c:v>
                </c:pt>
                <c:pt idx="280">
                  <c:v>80</c:v>
                </c:pt>
                <c:pt idx="281">
                  <c:v>80.199999999999989</c:v>
                </c:pt>
                <c:pt idx="282">
                  <c:v>80.5</c:v>
                </c:pt>
                <c:pt idx="283">
                  <c:v>80.799999999999983</c:v>
                </c:pt>
                <c:pt idx="284">
                  <c:v>81.099999999999994</c:v>
                </c:pt>
                <c:pt idx="285">
                  <c:v>81.400000000000006</c:v>
                </c:pt>
                <c:pt idx="286">
                  <c:v>81.699999999999989</c:v>
                </c:pt>
                <c:pt idx="287">
                  <c:v>82</c:v>
                </c:pt>
                <c:pt idx="288">
                  <c:v>82.199999999999989</c:v>
                </c:pt>
                <c:pt idx="289">
                  <c:v>82.5</c:v>
                </c:pt>
                <c:pt idx="290">
                  <c:v>82.799999999999983</c:v>
                </c:pt>
                <c:pt idx="291">
                  <c:v>83.1</c:v>
                </c:pt>
                <c:pt idx="292">
                  <c:v>83.4</c:v>
                </c:pt>
                <c:pt idx="293">
                  <c:v>83.699999999999989</c:v>
                </c:pt>
                <c:pt idx="294">
                  <c:v>84</c:v>
                </c:pt>
                <c:pt idx="295">
                  <c:v>84.199999999999989</c:v>
                </c:pt>
                <c:pt idx="296">
                  <c:v>84.5</c:v>
                </c:pt>
                <c:pt idx="297">
                  <c:v>84.799999999999983</c:v>
                </c:pt>
                <c:pt idx="298">
                  <c:v>85.1</c:v>
                </c:pt>
                <c:pt idx="299">
                  <c:v>85.4</c:v>
                </c:pt>
                <c:pt idx="300">
                  <c:v>85.699999999999989</c:v>
                </c:pt>
                <c:pt idx="301">
                  <c:v>86</c:v>
                </c:pt>
                <c:pt idx="302">
                  <c:v>86.199999999999989</c:v>
                </c:pt>
                <c:pt idx="303">
                  <c:v>86.5</c:v>
                </c:pt>
                <c:pt idx="304">
                  <c:v>86.799999999999983</c:v>
                </c:pt>
                <c:pt idx="305">
                  <c:v>87.1</c:v>
                </c:pt>
                <c:pt idx="306">
                  <c:v>87.4</c:v>
                </c:pt>
                <c:pt idx="307">
                  <c:v>87.699999999999989</c:v>
                </c:pt>
                <c:pt idx="308">
                  <c:v>88</c:v>
                </c:pt>
                <c:pt idx="309">
                  <c:v>88.199999999999989</c:v>
                </c:pt>
                <c:pt idx="310">
                  <c:v>88.5</c:v>
                </c:pt>
                <c:pt idx="311">
                  <c:v>88.799999999999983</c:v>
                </c:pt>
                <c:pt idx="312">
                  <c:v>89.1</c:v>
                </c:pt>
                <c:pt idx="313">
                  <c:v>89.4</c:v>
                </c:pt>
                <c:pt idx="314">
                  <c:v>89.699999999999989</c:v>
                </c:pt>
                <c:pt idx="315">
                  <c:v>90</c:v>
                </c:pt>
                <c:pt idx="316">
                  <c:v>90.199999999999989</c:v>
                </c:pt>
                <c:pt idx="317">
                  <c:v>90.5</c:v>
                </c:pt>
                <c:pt idx="318">
                  <c:v>90.799999999999983</c:v>
                </c:pt>
                <c:pt idx="319">
                  <c:v>91.1</c:v>
                </c:pt>
                <c:pt idx="320">
                  <c:v>91.4</c:v>
                </c:pt>
                <c:pt idx="321">
                  <c:v>91.699999999999989</c:v>
                </c:pt>
                <c:pt idx="322">
                  <c:v>92</c:v>
                </c:pt>
                <c:pt idx="323">
                  <c:v>92.199999999999989</c:v>
                </c:pt>
                <c:pt idx="324">
                  <c:v>92.5</c:v>
                </c:pt>
                <c:pt idx="325">
                  <c:v>92.799999999999983</c:v>
                </c:pt>
                <c:pt idx="326">
                  <c:v>93.1</c:v>
                </c:pt>
                <c:pt idx="327">
                  <c:v>93.4</c:v>
                </c:pt>
                <c:pt idx="328">
                  <c:v>93.699999999999989</c:v>
                </c:pt>
                <c:pt idx="329">
                  <c:v>94</c:v>
                </c:pt>
                <c:pt idx="330">
                  <c:v>94.199999999999989</c:v>
                </c:pt>
                <c:pt idx="331">
                  <c:v>94.5</c:v>
                </c:pt>
                <c:pt idx="332">
                  <c:v>94.799999999999983</c:v>
                </c:pt>
                <c:pt idx="333">
                  <c:v>95.1</c:v>
                </c:pt>
                <c:pt idx="334">
                  <c:v>95.4</c:v>
                </c:pt>
                <c:pt idx="335">
                  <c:v>95.699999999999989</c:v>
                </c:pt>
                <c:pt idx="336">
                  <c:v>96</c:v>
                </c:pt>
                <c:pt idx="337">
                  <c:v>96.199999999999989</c:v>
                </c:pt>
                <c:pt idx="338">
                  <c:v>96.5</c:v>
                </c:pt>
                <c:pt idx="339">
                  <c:v>96.799999999999983</c:v>
                </c:pt>
                <c:pt idx="340">
                  <c:v>97.1</c:v>
                </c:pt>
                <c:pt idx="341">
                  <c:v>97.4</c:v>
                </c:pt>
                <c:pt idx="342">
                  <c:v>97.699999999999989</c:v>
                </c:pt>
                <c:pt idx="343">
                  <c:v>98</c:v>
                </c:pt>
                <c:pt idx="344">
                  <c:v>98.199999999999989</c:v>
                </c:pt>
                <c:pt idx="345">
                  <c:v>98.5</c:v>
                </c:pt>
                <c:pt idx="346">
                  <c:v>98.799999999999983</c:v>
                </c:pt>
                <c:pt idx="347">
                  <c:v>99.1</c:v>
                </c:pt>
                <c:pt idx="348">
                  <c:v>99.4</c:v>
                </c:pt>
                <c:pt idx="349">
                  <c:v>99.699999999999989</c:v>
                </c:pt>
                <c:pt idx="350">
                  <c:v>100</c:v>
                </c:pt>
                <c:pt idx="351">
                  <c:v>100.19999999999999</c:v>
                </c:pt>
                <c:pt idx="352">
                  <c:v>100.5</c:v>
                </c:pt>
                <c:pt idx="353">
                  <c:v>100.79999999999998</c:v>
                </c:pt>
                <c:pt idx="354">
                  <c:v>101.1</c:v>
                </c:pt>
                <c:pt idx="355">
                  <c:v>101.4</c:v>
                </c:pt>
                <c:pt idx="356">
                  <c:v>101.69999999999999</c:v>
                </c:pt>
                <c:pt idx="357">
                  <c:v>102</c:v>
                </c:pt>
                <c:pt idx="358">
                  <c:v>102.19999999999999</c:v>
                </c:pt>
                <c:pt idx="359">
                  <c:v>102.5</c:v>
                </c:pt>
                <c:pt idx="360">
                  <c:v>102.79999999999998</c:v>
                </c:pt>
                <c:pt idx="361">
                  <c:v>103.1</c:v>
                </c:pt>
                <c:pt idx="362">
                  <c:v>103.4</c:v>
                </c:pt>
                <c:pt idx="363">
                  <c:v>103.69999999999999</c:v>
                </c:pt>
                <c:pt idx="364">
                  <c:v>104</c:v>
                </c:pt>
                <c:pt idx="365">
                  <c:v>104.19999999999999</c:v>
                </c:pt>
                <c:pt idx="366">
                  <c:v>104.5</c:v>
                </c:pt>
                <c:pt idx="367">
                  <c:v>104.79999999999998</c:v>
                </c:pt>
                <c:pt idx="368">
                  <c:v>105.1</c:v>
                </c:pt>
                <c:pt idx="369">
                  <c:v>105.4</c:v>
                </c:pt>
                <c:pt idx="370">
                  <c:v>105.69999999999999</c:v>
                </c:pt>
                <c:pt idx="371">
                  <c:v>106</c:v>
                </c:pt>
                <c:pt idx="372">
                  <c:v>106.19999999999999</c:v>
                </c:pt>
                <c:pt idx="373">
                  <c:v>106.5</c:v>
                </c:pt>
                <c:pt idx="374">
                  <c:v>106.79999999999998</c:v>
                </c:pt>
                <c:pt idx="375">
                  <c:v>107.1</c:v>
                </c:pt>
                <c:pt idx="376">
                  <c:v>107.4</c:v>
                </c:pt>
                <c:pt idx="377">
                  <c:v>107.69999999999999</c:v>
                </c:pt>
                <c:pt idx="378">
                  <c:v>108</c:v>
                </c:pt>
                <c:pt idx="379">
                  <c:v>108.19999999999999</c:v>
                </c:pt>
                <c:pt idx="380">
                  <c:v>108.5</c:v>
                </c:pt>
                <c:pt idx="381">
                  <c:v>108.79999999999998</c:v>
                </c:pt>
                <c:pt idx="382">
                  <c:v>109.1</c:v>
                </c:pt>
                <c:pt idx="383">
                  <c:v>109.4</c:v>
                </c:pt>
                <c:pt idx="384">
                  <c:v>109.69999999999999</c:v>
                </c:pt>
                <c:pt idx="385">
                  <c:v>110</c:v>
                </c:pt>
                <c:pt idx="386">
                  <c:v>110.19999999999999</c:v>
                </c:pt>
                <c:pt idx="387">
                  <c:v>110.5</c:v>
                </c:pt>
                <c:pt idx="388">
                  <c:v>110.79999999999998</c:v>
                </c:pt>
                <c:pt idx="389">
                  <c:v>111.1</c:v>
                </c:pt>
                <c:pt idx="390">
                  <c:v>111.4</c:v>
                </c:pt>
                <c:pt idx="391">
                  <c:v>111.69999999999999</c:v>
                </c:pt>
                <c:pt idx="392">
                  <c:v>112</c:v>
                </c:pt>
                <c:pt idx="393">
                  <c:v>112.19999999999999</c:v>
                </c:pt>
                <c:pt idx="394">
                  <c:v>112.5</c:v>
                </c:pt>
                <c:pt idx="395">
                  <c:v>112.79999999999998</c:v>
                </c:pt>
                <c:pt idx="396">
                  <c:v>113.1</c:v>
                </c:pt>
                <c:pt idx="397">
                  <c:v>113.4</c:v>
                </c:pt>
                <c:pt idx="398">
                  <c:v>113.69999999999999</c:v>
                </c:pt>
                <c:pt idx="399">
                  <c:v>114</c:v>
                </c:pt>
                <c:pt idx="400">
                  <c:v>114.19999999999999</c:v>
                </c:pt>
                <c:pt idx="401">
                  <c:v>114.5</c:v>
                </c:pt>
                <c:pt idx="402">
                  <c:v>114.79999999999998</c:v>
                </c:pt>
                <c:pt idx="403">
                  <c:v>115.1</c:v>
                </c:pt>
                <c:pt idx="404">
                  <c:v>115.4</c:v>
                </c:pt>
                <c:pt idx="405">
                  <c:v>115.69999999999999</c:v>
                </c:pt>
                <c:pt idx="406">
                  <c:v>116</c:v>
                </c:pt>
                <c:pt idx="407">
                  <c:v>116.19999999999999</c:v>
                </c:pt>
                <c:pt idx="408">
                  <c:v>116.5</c:v>
                </c:pt>
                <c:pt idx="409">
                  <c:v>116.79999999999998</c:v>
                </c:pt>
                <c:pt idx="410">
                  <c:v>117.1</c:v>
                </c:pt>
                <c:pt idx="411">
                  <c:v>117.4</c:v>
                </c:pt>
                <c:pt idx="412">
                  <c:v>117.69999999999999</c:v>
                </c:pt>
                <c:pt idx="413">
                  <c:v>118</c:v>
                </c:pt>
                <c:pt idx="414">
                  <c:v>118.19999999999999</c:v>
                </c:pt>
                <c:pt idx="415">
                  <c:v>118.5</c:v>
                </c:pt>
                <c:pt idx="416">
                  <c:v>118.79999999999998</c:v>
                </c:pt>
                <c:pt idx="417">
                  <c:v>119.1</c:v>
                </c:pt>
                <c:pt idx="418">
                  <c:v>119.4</c:v>
                </c:pt>
                <c:pt idx="419">
                  <c:v>119.69999999999999</c:v>
                </c:pt>
                <c:pt idx="420">
                  <c:v>120</c:v>
                </c:pt>
                <c:pt idx="421">
                  <c:v>120.19999999999999</c:v>
                </c:pt>
                <c:pt idx="422">
                  <c:v>120.5</c:v>
                </c:pt>
                <c:pt idx="423">
                  <c:v>120.79999999999998</c:v>
                </c:pt>
                <c:pt idx="424">
                  <c:v>121.1</c:v>
                </c:pt>
                <c:pt idx="425">
                  <c:v>121.4</c:v>
                </c:pt>
                <c:pt idx="426">
                  <c:v>121.69999999999999</c:v>
                </c:pt>
                <c:pt idx="427">
                  <c:v>122</c:v>
                </c:pt>
                <c:pt idx="428">
                  <c:v>122.19999999999999</c:v>
                </c:pt>
                <c:pt idx="429">
                  <c:v>122.5</c:v>
                </c:pt>
                <c:pt idx="430">
                  <c:v>122.79999999999998</c:v>
                </c:pt>
                <c:pt idx="431">
                  <c:v>123.1</c:v>
                </c:pt>
                <c:pt idx="432">
                  <c:v>123.4</c:v>
                </c:pt>
                <c:pt idx="433">
                  <c:v>123.69999999999999</c:v>
                </c:pt>
                <c:pt idx="434">
                  <c:v>124</c:v>
                </c:pt>
                <c:pt idx="435">
                  <c:v>124.19999999999999</c:v>
                </c:pt>
                <c:pt idx="436">
                  <c:v>124.5</c:v>
                </c:pt>
                <c:pt idx="437">
                  <c:v>124.79999999999998</c:v>
                </c:pt>
                <c:pt idx="438">
                  <c:v>125.1</c:v>
                </c:pt>
                <c:pt idx="439">
                  <c:v>125.4</c:v>
                </c:pt>
                <c:pt idx="440">
                  <c:v>125.69999999999999</c:v>
                </c:pt>
                <c:pt idx="441">
                  <c:v>126</c:v>
                </c:pt>
                <c:pt idx="442">
                  <c:v>126.19999999999999</c:v>
                </c:pt>
                <c:pt idx="443">
                  <c:v>126.5</c:v>
                </c:pt>
                <c:pt idx="444">
                  <c:v>126.79999999999998</c:v>
                </c:pt>
                <c:pt idx="445">
                  <c:v>127.1</c:v>
                </c:pt>
                <c:pt idx="446">
                  <c:v>127.4</c:v>
                </c:pt>
                <c:pt idx="447">
                  <c:v>127.69999999999999</c:v>
                </c:pt>
                <c:pt idx="448">
                  <c:v>128</c:v>
                </c:pt>
                <c:pt idx="449">
                  <c:v>128.19999999999999</c:v>
                </c:pt>
                <c:pt idx="450">
                  <c:v>128.5</c:v>
                </c:pt>
                <c:pt idx="451">
                  <c:v>128.79999999999998</c:v>
                </c:pt>
                <c:pt idx="452">
                  <c:v>129.1</c:v>
                </c:pt>
                <c:pt idx="453">
                  <c:v>129.4</c:v>
                </c:pt>
                <c:pt idx="454">
                  <c:v>129.69999999999999</c:v>
                </c:pt>
                <c:pt idx="455">
                  <c:v>130</c:v>
                </c:pt>
                <c:pt idx="456">
                  <c:v>130.19999999999999</c:v>
                </c:pt>
                <c:pt idx="457">
                  <c:v>130.5</c:v>
                </c:pt>
                <c:pt idx="458">
                  <c:v>130.79999999999998</c:v>
                </c:pt>
                <c:pt idx="459">
                  <c:v>131.1</c:v>
                </c:pt>
                <c:pt idx="460">
                  <c:v>131.4</c:v>
                </c:pt>
                <c:pt idx="461">
                  <c:v>131.69999999999999</c:v>
                </c:pt>
                <c:pt idx="462">
                  <c:v>132</c:v>
                </c:pt>
                <c:pt idx="463">
                  <c:v>132.19999999999999</c:v>
                </c:pt>
                <c:pt idx="464">
                  <c:v>132.5</c:v>
                </c:pt>
                <c:pt idx="465">
                  <c:v>132.79999999999998</c:v>
                </c:pt>
                <c:pt idx="466">
                  <c:v>133.1</c:v>
                </c:pt>
                <c:pt idx="467">
                  <c:v>133.4</c:v>
                </c:pt>
                <c:pt idx="468">
                  <c:v>133.69999999999999</c:v>
                </c:pt>
                <c:pt idx="469">
                  <c:v>134</c:v>
                </c:pt>
                <c:pt idx="470">
                  <c:v>134.19999999999999</c:v>
                </c:pt>
                <c:pt idx="471">
                  <c:v>134.5</c:v>
                </c:pt>
                <c:pt idx="472">
                  <c:v>134.79999999999998</c:v>
                </c:pt>
                <c:pt idx="473">
                  <c:v>135.1</c:v>
                </c:pt>
                <c:pt idx="474">
                  <c:v>135.4</c:v>
                </c:pt>
                <c:pt idx="475">
                  <c:v>135.69999999999999</c:v>
                </c:pt>
                <c:pt idx="476">
                  <c:v>136</c:v>
                </c:pt>
                <c:pt idx="477">
                  <c:v>136.19999999999999</c:v>
                </c:pt>
                <c:pt idx="478">
                  <c:v>136.5</c:v>
                </c:pt>
                <c:pt idx="479">
                  <c:v>136.79999999999998</c:v>
                </c:pt>
                <c:pt idx="480">
                  <c:v>137.1</c:v>
                </c:pt>
                <c:pt idx="481">
                  <c:v>137.4</c:v>
                </c:pt>
                <c:pt idx="482">
                  <c:v>137.69999999999999</c:v>
                </c:pt>
                <c:pt idx="483">
                  <c:v>138</c:v>
                </c:pt>
                <c:pt idx="484">
                  <c:v>138.19999999999999</c:v>
                </c:pt>
                <c:pt idx="485">
                  <c:v>138.5</c:v>
                </c:pt>
                <c:pt idx="486">
                  <c:v>138.79999999999998</c:v>
                </c:pt>
                <c:pt idx="487">
                  <c:v>139.1</c:v>
                </c:pt>
                <c:pt idx="488">
                  <c:v>139.4</c:v>
                </c:pt>
                <c:pt idx="489">
                  <c:v>139.69999999999999</c:v>
                </c:pt>
                <c:pt idx="490">
                  <c:v>140</c:v>
                </c:pt>
                <c:pt idx="491">
                  <c:v>140.19999999999999</c:v>
                </c:pt>
                <c:pt idx="492">
                  <c:v>140.5</c:v>
                </c:pt>
                <c:pt idx="493">
                  <c:v>140.79999999999998</c:v>
                </c:pt>
              </c:numCache>
            </c:numRef>
          </c:xVal>
          <c:yVal>
            <c:numRef>
              <c:f>'sheet 1'!$P$39:$P$841</c:f>
              <c:numCache>
                <c:formatCode>General</c:formatCode>
                <c:ptCount val="803"/>
                <c:pt idx="0">
                  <c:v>623.7014598098898</c:v>
                </c:pt>
                <c:pt idx="1">
                  <c:v>618.43451628386606</c:v>
                </c:pt>
                <c:pt idx="2">
                  <c:v>610.65570644601689</c:v>
                </c:pt>
                <c:pt idx="3">
                  <c:v>603.01969949252964</c:v>
                </c:pt>
                <c:pt idx="4">
                  <c:v>595.52307643249821</c:v>
                </c:pt>
                <c:pt idx="5">
                  <c:v>588.16251867195444</c:v>
                </c:pt>
                <c:pt idx="6">
                  <c:v>580.93480453555446</c:v>
                </c:pt>
                <c:pt idx="7">
                  <c:v>573.83680592669975</c:v>
                </c:pt>
                <c:pt idx="8">
                  <c:v>569.17536729957465</c:v>
                </c:pt>
                <c:pt idx="9">
                  <c:v>562.28685396468666</c:v>
                </c:pt>
                <c:pt idx="10">
                  <c:v>555.52014806642615</c:v>
                </c:pt>
                <c:pt idx="11">
                  <c:v>548.87243813008388</c:v>
                </c:pt>
                <c:pt idx="12">
                  <c:v>542.34099232969834</c:v>
                </c:pt>
                <c:pt idx="13">
                  <c:v>535.92315582403023</c:v>
                </c:pt>
                <c:pt idx="14">
                  <c:v>529.61634819495703</c:v>
                </c:pt>
                <c:pt idx="15">
                  <c:v>525.47225085062541</c:v>
                </c:pt>
                <c:pt idx="16">
                  <c:v>519.34495145673952</c:v>
                </c:pt>
                <c:pt idx="17">
                  <c:v>513.32214523048629</c:v>
                </c:pt>
                <c:pt idx="18">
                  <c:v>507.40150426118925</c:v>
                </c:pt>
                <c:pt idx="19">
                  <c:v>501.58076433653946</c:v>
                </c:pt>
                <c:pt idx="20">
                  <c:v>495.85772288351427</c:v>
                </c:pt>
                <c:pt idx="21">
                  <c:v>490.23023698585257</c:v>
                </c:pt>
                <c:pt idx="22">
                  <c:v>486.53063410697047</c:v>
                </c:pt>
                <c:pt idx="23">
                  <c:v>481.05780144290316</c:v>
                </c:pt>
                <c:pt idx="24">
                  <c:v>475.67508724834533</c:v>
                </c:pt>
                <c:pt idx="25">
                  <c:v>470.38055153965104</c:v>
                </c:pt>
                <c:pt idx="26">
                  <c:v>465.17230565993344</c:v>
                </c:pt>
                <c:pt idx="27">
                  <c:v>460.04851067389666</c:v>
                </c:pt>
                <c:pt idx="28">
                  <c:v>455.00737582042973</c:v>
                </c:pt>
                <c:pt idx="29">
                  <c:v>451.6916783964777</c:v>
                </c:pt>
                <c:pt idx="30">
                  <c:v>446.78445709978769</c:v>
                </c:pt>
                <c:pt idx="31">
                  <c:v>441.95534491209378</c:v>
                </c:pt>
                <c:pt idx="32">
                  <c:v>437.20271534388752</c:v>
                </c:pt>
                <c:pt idx="33">
                  <c:v>432.52498355626102</c:v>
                </c:pt>
                <c:pt idx="34">
                  <c:v>427.92060509950159</c:v>
                </c:pt>
                <c:pt idx="35">
                  <c:v>423.38807469566956</c:v>
                </c:pt>
                <c:pt idx="36">
                  <c:v>420.40557723222344</c:v>
                </c:pt>
                <c:pt idx="37">
                  <c:v>415.9895512070446</c:v>
                </c:pt>
                <c:pt idx="38">
                  <c:v>411.64154185758258</c:v>
                </c:pt>
                <c:pt idx="39">
                  <c:v>407.3601777852079</c:v>
                </c:pt>
                <c:pt idx="40">
                  <c:v>403.1441216144097</c:v>
                </c:pt>
                <c:pt idx="41">
                  <c:v>398.99206899403094</c:v>
                </c:pt>
                <c:pt idx="42">
                  <c:v>394.90274763227154</c:v>
                </c:pt>
                <c:pt idx="43">
                  <c:v>392.21076991582902</c:v>
                </c:pt>
                <c:pt idx="44">
                  <c:v>388.22325746980482</c:v>
                </c:pt>
                <c:pt idx="45">
                  <c:v>384.29523324569624</c:v>
                </c:pt>
                <c:pt idx="46">
                  <c:v>380.42553475839253</c:v>
                </c:pt>
                <c:pt idx="47">
                  <c:v>376.6130274888913</c:v>
                </c:pt>
                <c:pt idx="48">
                  <c:v>372.85660408784975</c:v>
                </c:pt>
                <c:pt idx="49">
                  <c:v>369.15518360527244</c:v>
                </c:pt>
                <c:pt idx="50">
                  <c:v>366.71760495960723</c:v>
                </c:pt>
                <c:pt idx="51">
                  <c:v>363.10552324773994</c:v>
                </c:pt>
                <c:pt idx="52">
                  <c:v>359.54568539414271</c:v>
                </c:pt>
                <c:pt idx="53">
                  <c:v>356.03710105282448</c:v>
                </c:pt>
                <c:pt idx="54">
                  <c:v>352.57880300051124</c:v>
                </c:pt>
                <c:pt idx="55">
                  <c:v>349.16984649726299</c:v>
                </c:pt>
                <c:pt idx="56">
                  <c:v>345.80930866747167</c:v>
                </c:pt>
                <c:pt idx="57">
                  <c:v>343.59540328002913</c:v>
                </c:pt>
                <c:pt idx="58">
                  <c:v>340.31356989807807</c:v>
                </c:pt>
                <c:pt idx="59">
                  <c:v>337.07779658192061</c:v>
                </c:pt>
                <c:pt idx="60">
                  <c:v>333.88723563925856</c:v>
                </c:pt>
                <c:pt idx="61">
                  <c:v>330.74105860212603</c:v>
                </c:pt>
                <c:pt idx="62">
                  <c:v>327.63845571033914</c:v>
                </c:pt>
                <c:pt idx="63">
                  <c:v>324.57863541095122</c:v>
                </c:pt>
                <c:pt idx="64">
                  <c:v>322.56214046455847</c:v>
                </c:pt>
                <c:pt idx="65">
                  <c:v>319.57191340020808</c:v>
                </c:pt>
                <c:pt idx="66">
                  <c:v>316.62244349142253</c:v>
                </c:pt>
                <c:pt idx="67">
                  <c:v>313.71300190655563</c:v>
                </c:pt>
                <c:pt idx="68">
                  <c:v>310.84287588105428</c:v>
                </c:pt>
                <c:pt idx="69">
                  <c:v>308.01136829763794</c:v>
                </c:pt>
                <c:pt idx="70">
                  <c:v>305.21779727913395</c:v>
                </c:pt>
                <c:pt idx="71">
                  <c:v>303.37616247173258</c:v>
                </c:pt>
                <c:pt idx="72">
                  <c:v>300.64434392522912</c:v>
                </c:pt>
                <c:pt idx="73">
                  <c:v>297.94871514543763</c:v>
                </c:pt>
                <c:pt idx="74">
                  <c:v>295.28864684516702</c:v>
                </c:pt>
                <c:pt idx="75">
                  <c:v>292.66352323230302</c:v>
                </c:pt>
                <c:pt idx="76">
                  <c:v>290.07274166666519</c:v>
                </c:pt>
                <c:pt idx="77">
                  <c:v>287.51571232693237</c:v>
                </c:pt>
                <c:pt idx="78">
                  <c:v>285.82949173321373</c:v>
                </c:pt>
                <c:pt idx="79">
                  <c:v>283.32743918534197</c:v>
                </c:pt>
                <c:pt idx="80">
                  <c:v>280.85762624721502</c:v>
                </c:pt>
                <c:pt idx="81">
                  <c:v>278.41950740424898</c:v>
                </c:pt>
                <c:pt idx="82">
                  <c:v>276.01254853000717</c:v>
                </c:pt>
                <c:pt idx="83">
                  <c:v>273.63622660421839</c:v>
                </c:pt>
                <c:pt idx="84">
                  <c:v>271.29002943885422</c:v>
                </c:pt>
                <c:pt idx="85">
                  <c:v>269.74238583180198</c:v>
                </c:pt>
                <c:pt idx="86">
                  <c:v>267.44528698568894</c:v>
                </c:pt>
                <c:pt idx="87">
                  <c:v>265.17699802285119</c:v>
                </c:pt>
                <c:pt idx="88">
                  <c:v>262.93704425328548</c:v>
                </c:pt>
                <c:pt idx="89">
                  <c:v>260.72496064008226</c:v>
                </c:pt>
                <c:pt idx="90">
                  <c:v>258.54029156651666</c:v>
                </c:pt>
                <c:pt idx="91">
                  <c:v>256.3825906096281</c:v>
                </c:pt>
                <c:pt idx="92">
                  <c:v>254.95888920493226</c:v>
                </c:pt>
                <c:pt idx="93">
                  <c:v>252.84516733389606</c:v>
                </c:pt>
                <c:pt idx="94">
                  <c:v>250.75726641069298</c:v>
                </c:pt>
                <c:pt idx="95">
                  <c:v>248.69477188513886</c:v>
                </c:pt>
                <c:pt idx="96">
                  <c:v>246.65727742416183</c:v>
                </c:pt>
                <c:pt idx="97">
                  <c:v>244.64438471849115</c:v>
                </c:pt>
                <c:pt idx="98">
                  <c:v>242.65570329459811</c:v>
                </c:pt>
                <c:pt idx="99">
                  <c:v>241.34317703395843</c:v>
                </c:pt>
                <c:pt idx="100">
                  <c:v>239.39400073198664</c:v>
                </c:pt>
                <c:pt idx="101">
                  <c:v>237.46803138123948</c:v>
                </c:pt>
                <c:pt idx="102">
                  <c:v>235.56490571090788</c:v>
                </c:pt>
                <c:pt idx="103">
                  <c:v>233.68426747316778</c:v>
                </c:pt>
                <c:pt idx="104">
                  <c:v>231.82576728199072</c:v>
                </c:pt>
                <c:pt idx="105">
                  <c:v>229.98906245622868</c:v>
                </c:pt>
                <c:pt idx="106">
                  <c:v>228.77653485396308</c:v>
                </c:pt>
                <c:pt idx="107">
                  <c:v>226.97541185197167</c:v>
                </c:pt>
                <c:pt idx="108">
                  <c:v>225.19520202931292</c:v>
                </c:pt>
                <c:pt idx="109">
                  <c:v>223.43558601258437</c:v>
                </c:pt>
                <c:pt idx="110">
                  <c:v>221.69625045385098</c:v>
                </c:pt>
                <c:pt idx="111">
                  <c:v>219.97688789564705</c:v>
                </c:pt>
                <c:pt idx="112">
                  <c:v>218.27719663947491</c:v>
                </c:pt>
                <c:pt idx="113">
                  <c:v>217.15485120231304</c:v>
                </c:pt>
                <c:pt idx="114">
                  <c:v>215.48729024551179</c:v>
                </c:pt>
                <c:pt idx="115">
                  <c:v>213.8386232524993</c:v>
                </c:pt>
                <c:pt idx="116">
                  <c:v>212.20856856968905</c:v>
                </c:pt>
                <c:pt idx="117">
                  <c:v>210.59684973207615</c:v>
                </c:pt>
                <c:pt idx="118">
                  <c:v>209.00319534970009</c:v>
                </c:pt>
                <c:pt idx="119">
                  <c:v>207.42733899697879</c:v>
                </c:pt>
                <c:pt idx="120">
                  <c:v>206.38652652283724</c:v>
                </c:pt>
                <c:pt idx="121">
                  <c:v>204.83975463884042</c:v>
                </c:pt>
                <c:pt idx="122">
                  <c:v>203.31009377473899</c:v>
                </c:pt>
                <c:pt idx="123">
                  <c:v>201.79729480509678</c:v>
                </c:pt>
                <c:pt idx="124">
                  <c:v>200.30111308803924</c:v>
                </c:pt>
                <c:pt idx="125">
                  <c:v>198.82130836938063</c:v>
                </c:pt>
                <c:pt idx="126">
                  <c:v>197.3576446891222</c:v>
                </c:pt>
                <c:pt idx="127">
                  <c:v>196.39072152766951</c:v>
                </c:pt>
                <c:pt idx="128">
                  <c:v>194.95344659771396</c:v>
                </c:pt>
                <c:pt idx="129">
                  <c:v>193.53170378680949</c:v>
                </c:pt>
                <c:pt idx="130">
                  <c:v>192.12527211689016</c:v>
                </c:pt>
                <c:pt idx="131">
                  <c:v>190.73393449717597</c:v>
                </c:pt>
                <c:pt idx="132">
                  <c:v>189.35747764290619</c:v>
                </c:pt>
                <c:pt idx="133">
                  <c:v>187.99569199603727</c:v>
                </c:pt>
                <c:pt idx="134">
                  <c:v>187.09588373769964</c:v>
                </c:pt>
                <c:pt idx="135">
                  <c:v>185.75809429612849</c:v>
                </c:pt>
                <c:pt idx="136">
                  <c:v>184.43443487732941</c:v>
                </c:pt>
                <c:pt idx="137">
                  <c:v>183.12470893973989</c:v>
                </c:pt>
                <c:pt idx="138">
                  <c:v>181.82872332287741</c:v>
                </c:pt>
                <c:pt idx="139">
                  <c:v>180.5462881782006</c:v>
                </c:pt>
                <c:pt idx="140">
                  <c:v>179.27721690160544</c:v>
                </c:pt>
                <c:pt idx="141">
                  <c:v>178.43850304564793</c:v>
                </c:pt>
                <c:pt idx="142">
                  <c:v>177.19129881058413</c:v>
                </c:pt>
                <c:pt idx="143">
                  <c:v>175.95697619798204</c:v>
                </c:pt>
                <c:pt idx="144">
                  <c:v>174.73535994773906</c:v>
                </c:pt>
                <c:pt idx="145">
                  <c:v>173.52627774954061</c:v>
                </c:pt>
                <c:pt idx="146">
                  <c:v>172.32956018383143</c:v>
                </c:pt>
                <c:pt idx="147">
                  <c:v>171.14504066415398</c:v>
                </c:pt>
                <c:pt idx="148">
                  <c:v>170.36205667033354</c:v>
                </c:pt>
                <c:pt idx="149">
                  <c:v>169.19750455213193</c:v>
                </c:pt>
                <c:pt idx="150">
                  <c:v>168.04471967580625</c:v>
                </c:pt>
                <c:pt idx="151">
                  <c:v>166.90354537072824</c:v>
                </c:pt>
                <c:pt idx="152">
                  <c:v>165.77382754732147</c:v>
                </c:pt>
                <c:pt idx="153">
                  <c:v>164.6554146464955</c:v>
                </c:pt>
                <c:pt idx="154">
                  <c:v>163.54815759022623</c:v>
                </c:pt>
                <c:pt idx="155">
                  <c:v>162.81611139470618</c:v>
                </c:pt>
                <c:pt idx="156">
                  <c:v>161.72712271430117</c:v>
                </c:pt>
                <c:pt idx="157">
                  <c:v>160.64890410281015</c:v>
                </c:pt>
                <c:pt idx="158">
                  <c:v>159.58131517438306</c:v>
                </c:pt>
                <c:pt idx="159">
                  <c:v>158.52421780792409</c:v>
                </c:pt>
                <c:pt idx="160">
                  <c:v>157.47747610363535</c:v>
                </c:pt>
                <c:pt idx="161">
                  <c:v>156.44095634052468</c:v>
                </c:pt>
                <c:pt idx="162">
                  <c:v>155.75555695498397</c:v>
                </c:pt>
                <c:pt idx="163">
                  <c:v>154.73578238921306</c:v>
                </c:pt>
                <c:pt idx="164">
                  <c:v>153.72588351415308</c:v>
                </c:pt>
                <c:pt idx="165">
                  <c:v>152.72573424917817</c:v>
                </c:pt>
                <c:pt idx="166">
                  <c:v>151.73521050623779</c:v>
                </c:pt>
                <c:pt idx="167">
                  <c:v>150.75419015239368</c:v>
                </c:pt>
                <c:pt idx="168">
                  <c:v>149.78255297317241</c:v>
                </c:pt>
                <c:pt idx="169">
                  <c:v>149.13994921658519</c:v>
                </c:pt>
                <c:pt idx="170">
                  <c:v>148.18368861582817</c:v>
                </c:pt>
                <c:pt idx="171">
                  <c:v>147.2364997267203</c:v>
                </c:pt>
                <c:pt idx="172">
                  <c:v>146.29826906825986</c:v>
                </c:pt>
                <c:pt idx="173">
                  <c:v>145.36888491709075</c:v>
                </c:pt>
                <c:pt idx="174">
                  <c:v>144.44823727511067</c:v>
                </c:pt>
                <c:pt idx="175">
                  <c:v>143.53621783776995</c:v>
                </c:pt>
                <c:pt idx="176">
                  <c:v>142.93294559634128</c:v>
                </c:pt>
                <c:pt idx="177">
                  <c:v>142.03507032502614</c:v>
                </c:pt>
                <c:pt idx="178">
                  <c:v>141.14554249193273</c:v>
                </c:pt>
                <c:pt idx="179">
                  <c:v>140.26425974170976</c:v>
                </c:pt>
                <c:pt idx="180">
                  <c:v>139.39112127327905</c:v>
                </c:pt>
                <c:pt idx="181">
                  <c:v>138.52602781174767</c:v>
                </c:pt>
                <c:pt idx="182">
                  <c:v>137.66888158090759</c:v>
                </c:pt>
                <c:pt idx="183">
                  <c:v>137.10181827098987</c:v>
                </c:pt>
                <c:pt idx="184">
                  <c:v>136.25770412959062</c:v>
                </c:pt>
                <c:pt idx="185">
                  <c:v>135.42128360622883</c:v>
                </c:pt>
                <c:pt idx="186">
                  <c:v>134.59246419372326</c:v>
                </c:pt>
                <c:pt idx="187">
                  <c:v>133.7711547626142</c:v>
                </c:pt>
                <c:pt idx="188">
                  <c:v>132.95726553674078</c:v>
                </c:pt>
                <c:pt idx="189">
                  <c:v>132.15070806931979</c:v>
                </c:pt>
                <c:pt idx="190">
                  <c:v>131.61703320462027</c:v>
                </c:pt>
                <c:pt idx="191">
                  <c:v>130.82250232282101</c:v>
                </c:pt>
                <c:pt idx="192">
                  <c:v>130.03507366387799</c:v>
                </c:pt>
                <c:pt idx="193">
                  <c:v>129.25466345852291</c:v>
                </c:pt>
                <c:pt idx="194">
                  <c:v>128.48118916152558</c:v>
                </c:pt>
                <c:pt idx="195">
                  <c:v>127.71456943040157</c:v>
                </c:pt>
                <c:pt idx="196">
                  <c:v>126.95472410454893</c:v>
                </c:pt>
                <c:pt idx="197">
                  <c:v>126.4518850533436</c:v>
                </c:pt>
                <c:pt idx="198">
                  <c:v>125.70315541371514</c:v>
                </c:pt>
                <c:pt idx="199">
                  <c:v>124.96099204166268</c:v>
                </c:pt>
                <c:pt idx="200">
                  <c:v>124.22531893832804</c:v>
                </c:pt>
                <c:pt idx="201">
                  <c:v>123.49606119476366</c:v>
                </c:pt>
                <c:pt idx="202">
                  <c:v>122.7731449733222</c:v>
                </c:pt>
                <c:pt idx="203">
                  <c:v>122.05649748941408</c:v>
                </c:pt>
                <c:pt idx="204">
                  <c:v>121.58217965822696</c:v>
                </c:pt>
                <c:pt idx="205">
                  <c:v>120.87582113031579</c:v>
                </c:pt>
                <c:pt idx="206">
                  <c:v>120.1755422610963</c:v>
                </c:pt>
                <c:pt idx="207">
                  <c:v>119.4812739768453</c:v>
                </c:pt>
                <c:pt idx="208">
                  <c:v>118.79294817639557</c:v>
                </c:pt>
                <c:pt idx="209">
                  <c:v>118.11049771482929</c:v>
                </c:pt>
                <c:pt idx="210">
                  <c:v>117.43385638748798</c:v>
                </c:pt>
                <c:pt idx="211">
                  <c:v>116.9859571913936</c:v>
                </c:pt>
                <c:pt idx="212">
                  <c:v>116.31885313719719</c:v>
                </c:pt>
                <c:pt idx="213">
                  <c:v>115.65738615000436</c:v>
                </c:pt>
                <c:pt idx="214">
                  <c:v>115.00149334090476</c:v>
                </c:pt>
                <c:pt idx="215">
                  <c:v>114.35111269061539</c:v>
                </c:pt>
                <c:pt idx="216">
                  <c:v>113.7061830351584</c:v>
                </c:pt>
                <c:pt idx="217">
                  <c:v>113.06664405181235</c:v>
                </c:pt>
                <c:pt idx="218">
                  <c:v>112.64325013340981</c:v>
                </c:pt>
                <c:pt idx="219">
                  <c:v>112.0125637944253</c:v>
                </c:pt>
                <c:pt idx="220">
                  <c:v>111.38711127579083</c:v>
                </c:pt>
                <c:pt idx="221">
                  <c:v>110.76683522345652</c:v>
                </c:pt>
                <c:pt idx="222">
                  <c:v>110.15167906251155</c:v>
                </c:pt>
                <c:pt idx="223">
                  <c:v>109.54158698457671</c:v>
                </c:pt>
                <c:pt idx="224">
                  <c:v>108.9365039354327</c:v>
                </c:pt>
                <c:pt idx="225">
                  <c:v>108.53587117876218</c:v>
                </c:pt>
                <c:pt idx="226">
                  <c:v>107.93901617819031</c:v>
                </c:pt>
                <c:pt idx="227">
                  <c:v>107.34702699055447</c:v>
                </c:pt>
                <c:pt idx="228">
                  <c:v>106.75985122473199</c:v>
                </c:pt>
                <c:pt idx="229">
                  <c:v>106.17743718900834</c:v>
                </c:pt>
                <c:pt idx="230">
                  <c:v>105.59973387995396</c:v>
                </c:pt>
                <c:pt idx="231">
                  <c:v>105.02669097150611</c:v>
                </c:pt>
                <c:pt idx="232">
                  <c:v>104.64722692703972</c:v>
                </c:pt>
                <c:pt idx="233">
                  <c:v>104.08184132312458</c:v>
                </c:pt>
                <c:pt idx="234">
                  <c:v>103.52098514766705</c:v>
                </c:pt>
                <c:pt idx="235">
                  <c:v>102.96461046806952</c:v>
                </c:pt>
                <c:pt idx="236">
                  <c:v>102.41266998073625</c:v>
                </c:pt>
                <c:pt idx="237">
                  <c:v>101.8651170012392</c:v>
                </c:pt>
                <c:pt idx="238">
                  <c:v>101.32190545466128</c:v>
                </c:pt>
                <c:pt idx="239">
                  <c:v>100.96215384964144</c:v>
                </c:pt>
                <c:pt idx="240">
                  <c:v>100.4260772613798</c:v>
                </c:pt>
                <c:pt idx="241">
                  <c:v>99.894222147854933</c:v>
                </c:pt>
                <c:pt idx="242">
                  <c:v>99.366544589190269</c:v>
                </c:pt>
                <c:pt idx="243">
                  <c:v>98.843001232207868</c:v>
                </c:pt>
                <c:pt idx="244">
                  <c:v>98.323549281715543</c:v>
                </c:pt>
                <c:pt idx="245">
                  <c:v>97.80814649194825</c:v>
                </c:pt>
                <c:pt idx="246">
                  <c:v>97.466773548890586</c:v>
                </c:pt>
                <c:pt idx="247">
                  <c:v>96.958026946553645</c:v>
                </c:pt>
                <c:pt idx="248">
                  <c:v>96.453219472203756</c:v>
                </c:pt>
                <c:pt idx="249">
                  <c:v>95.952310823850851</c:v>
                </c:pt>
                <c:pt idx="250">
                  <c:v>95.455261210957957</c:v>
                </c:pt>
                <c:pt idx="251">
                  <c:v>94.962031346705928</c:v>
                </c:pt>
                <c:pt idx="252">
                  <c:v>94.472582440393438</c:v>
                </c:pt>
                <c:pt idx="253">
                  <c:v>94.148364767227761</c:v>
                </c:pt>
                <c:pt idx="254">
                  <c:v>93.66513257979922</c:v>
                </c:pt>
                <c:pt idx="255">
                  <c:v>93.185580277534143</c:v>
                </c:pt>
                <c:pt idx="256">
                  <c:v>92.70967082593134</c:v>
                </c:pt>
                <c:pt idx="257">
                  <c:v>92.237367652858197</c:v>
                </c:pt>
                <c:pt idx="258">
                  <c:v>91.768634641670346</c:v>
                </c:pt>
                <c:pt idx="259">
                  <c:v>91.303436124449604</c:v>
                </c:pt>
                <c:pt idx="260">
                  <c:v>90.995249973925553</c:v>
                </c:pt>
                <c:pt idx="261">
                  <c:v>90.535864215697742</c:v>
                </c:pt>
                <c:pt idx="262">
                  <c:v>90.079919980586396</c:v>
                </c:pt>
                <c:pt idx="263">
                  <c:v>89.627383190010406</c:v>
                </c:pt>
                <c:pt idx="264">
                  <c:v>89.17822018406325</c:v>
                </c:pt>
                <c:pt idx="265">
                  <c:v>88.732397715381708</c:v>
                </c:pt>
                <c:pt idx="266">
                  <c:v>88.289882943118201</c:v>
                </c:pt>
                <c:pt idx="267">
                  <c:v>87.996694667874934</c:v>
                </c:pt>
                <c:pt idx="268">
                  <c:v>87.559620828697732</c:v>
                </c:pt>
                <c:pt idx="269">
                  <c:v>87.125769053011723</c:v>
                </c:pt>
                <c:pt idx="270">
                  <c:v>86.695107940589338</c:v>
                </c:pt>
                <c:pt idx="271">
                  <c:v>86.267606470910493</c:v>
                </c:pt>
                <c:pt idx="272">
                  <c:v>85.843233997688202</c:v>
                </c:pt>
                <c:pt idx="273">
                  <c:v>85.421960243486183</c:v>
                </c:pt>
                <c:pt idx="274">
                  <c:v>85.142817797495923</c:v>
                </c:pt>
                <c:pt idx="275">
                  <c:v>84.72664227688567</c:v>
                </c:pt>
                <c:pt idx="276">
                  <c:v>84.313486498763893</c:v>
                </c:pt>
                <c:pt idx="277">
                  <c:v>83.903321493529532</c:v>
                </c:pt>
                <c:pt idx="278">
                  <c:v>83.496118636474336</c:v>
                </c:pt>
                <c:pt idx="279">
                  <c:v>83.091849642886842</c:v>
                </c:pt>
                <c:pt idx="280">
                  <c:v>82.690486563237357</c:v>
                </c:pt>
                <c:pt idx="281">
                  <c:v>82.424511920925411</c:v>
                </c:pt>
                <c:pt idx="282">
                  <c:v>82.027930816503144</c:v>
                </c:pt>
                <c:pt idx="283">
                  <c:v>81.634182696835381</c:v>
                </c:pt>
                <c:pt idx="284">
                  <c:v>81.243240801459507</c:v>
                </c:pt>
                <c:pt idx="285">
                  <c:v>80.855078683646852</c:v>
                </c:pt>
                <c:pt idx="286">
                  <c:v>80.46967020601663</c:v>
                </c:pt>
                <c:pt idx="287">
                  <c:v>80.086989536221338</c:v>
                </c:pt>
                <c:pt idx="288">
                  <c:v>79.833371918059186</c:v>
                </c:pt>
                <c:pt idx="289">
                  <c:v>79.455181004501668</c:v>
                </c:pt>
                <c:pt idx="290">
                  <c:v>79.079650471726211</c:v>
                </c:pt>
                <c:pt idx="291">
                  <c:v>78.706755570039391</c:v>
                </c:pt>
                <c:pt idx="292">
                  <c:v>78.336471835547968</c:v>
                </c:pt>
                <c:pt idx="293">
                  <c:v>77.968775086223133</c:v>
                </c:pt>
                <c:pt idx="294">
                  <c:v>77.603641418027522</c:v>
                </c:pt>
                <c:pt idx="295">
                  <c:v>77.361631226289802</c:v>
                </c:pt>
                <c:pt idx="296">
                  <c:v>77.000716982881201</c:v>
                </c:pt>
                <c:pt idx="297">
                  <c:v>76.642303406780172</c:v>
                </c:pt>
                <c:pt idx="298">
                  <c:v>76.286367581102652</c:v>
                </c:pt>
                <c:pt idx="299">
                  <c:v>75.932886849681225</c:v>
                </c:pt>
                <c:pt idx="300">
                  <c:v>75.581838813527497</c:v>
                </c:pt>
                <c:pt idx="301">
                  <c:v>75.233201327350173</c:v>
                </c:pt>
                <c:pt idx="302">
                  <c:v>75.002104708443582</c:v>
                </c:pt>
                <c:pt idx="303">
                  <c:v>74.657436272019439</c:v>
                </c:pt>
                <c:pt idx="304">
                  <c:v>74.315120545866307</c:v>
                </c:pt>
                <c:pt idx="305">
                  <c:v>73.975136286000591</c:v>
                </c:pt>
                <c:pt idx="306">
                  <c:v>73.637462486595197</c:v>
                </c:pt>
                <c:pt idx="307">
                  <c:v>73.302078376794867</c:v>
                </c:pt>
                <c:pt idx="308">
                  <c:v>72.968963417580923</c:v>
                </c:pt>
                <c:pt idx="309">
                  <c:v>72.748137378235924</c:v>
                </c:pt>
                <c:pt idx="310">
                  <c:v>72.418759314322202</c:v>
                </c:pt>
                <c:pt idx="311">
                  <c:v>72.09159674038024</c:v>
                </c:pt>
                <c:pt idx="312">
                  <c:v>71.766629941412106</c:v>
                </c:pt>
                <c:pt idx="313">
                  <c:v>71.44383942025415</c:v>
                </c:pt>
                <c:pt idx="314">
                  <c:v>71.123205894706061</c:v>
                </c:pt>
                <c:pt idx="315">
                  <c:v>70.804710294703483</c:v>
                </c:pt>
                <c:pt idx="316">
                  <c:v>70.593558308651637</c:v>
                </c:pt>
                <c:pt idx="317">
                  <c:v>70.278584107338943</c:v>
                </c:pt>
                <c:pt idx="318">
                  <c:v>69.965697994137969</c:v>
                </c:pt>
                <c:pt idx="319">
                  <c:v>69.654881653317616</c:v>
                </c:pt>
                <c:pt idx="320">
                  <c:v>69.346116968647735</c:v>
                </c:pt>
                <c:pt idx="321">
                  <c:v>69.039386020806873</c:v>
                </c:pt>
                <c:pt idx="322">
                  <c:v>68.734671084828918</c:v>
                </c:pt>
                <c:pt idx="323">
                  <c:v>68.532639134614101</c:v>
                </c:pt>
                <c:pt idx="324">
                  <c:v>68.231245349519767</c:v>
                </c:pt>
                <c:pt idx="325">
                  <c:v>67.931821240887757</c:v>
                </c:pt>
                <c:pt idx="326">
                  <c:v>67.634349775157332</c:v>
                </c:pt>
                <c:pt idx="327">
                  <c:v>67.338814101705353</c:v>
                </c:pt>
                <c:pt idx="328">
                  <c:v>67.045197550502238</c:v>
                </c:pt>
                <c:pt idx="329">
                  <c:v>66.753483629802588</c:v>
                </c:pt>
                <c:pt idx="330">
                  <c:v>66.560056635286998</c:v>
                </c:pt>
                <c:pt idx="331">
                  <c:v>66.271477594138034</c:v>
                </c:pt>
                <c:pt idx="332">
                  <c:v>65.984758059922981</c:v>
                </c:pt>
                <c:pt idx="333">
                  <c:v>65.699882175396525</c:v>
                </c:pt>
                <c:pt idx="334">
                  <c:v>65.416834251265499</c:v>
                </c:pt>
                <c:pt idx="335">
                  <c:v>65.135598764066017</c:v>
                </c:pt>
                <c:pt idx="336">
                  <c:v>64.856160354072216</c:v>
                </c:pt>
                <c:pt idx="337">
                  <c:v>64.670858945167353</c:v>
                </c:pt>
                <c:pt idx="338">
                  <c:v>64.394381969329061</c:v>
                </c:pt>
                <c:pt idx="339">
                  <c:v>64.119661896347978</c:v>
                </c:pt>
                <c:pt idx="340">
                  <c:v>63.846683949467547</c:v>
                </c:pt>
                <c:pt idx="341">
                  <c:v>63.57543350630619</c:v>
                </c:pt>
                <c:pt idx="342">
                  <c:v>63.305896096932912</c:v>
                </c:pt>
                <c:pt idx="343">
                  <c:v>63.038057401970413</c:v>
                </c:pt>
                <c:pt idx="344">
                  <c:v>62.860434998287886</c:v>
                </c:pt>
                <c:pt idx="345">
                  <c:v>62.595396076171852</c:v>
                </c:pt>
                <c:pt idx="346">
                  <c:v>62.332018405371585</c:v>
                </c:pt>
                <c:pt idx="347">
                  <c:v>62.070288202751613</c:v>
                </c:pt>
                <c:pt idx="348">
                  <c:v>61.81019182723454</c:v>
                </c:pt>
                <c:pt idx="349">
                  <c:v>61.551715778053385</c:v>
                </c:pt>
                <c:pt idx="350">
                  <c:v>61.294846693029562</c:v>
                </c:pt>
                <c:pt idx="351">
                  <c:v>61.12448685762304</c:v>
                </c:pt>
                <c:pt idx="352">
                  <c:v>60.870266723507648</c:v>
                </c:pt>
                <c:pt idx="353">
                  <c:v>60.617618585780981</c:v>
                </c:pt>
                <c:pt idx="354">
                  <c:v>60.366529576078577</c:v>
                </c:pt>
                <c:pt idx="355">
                  <c:v>60.116986956904952</c:v>
                </c:pt>
                <c:pt idx="356">
                  <c:v>59.868978120045298</c:v>
                </c:pt>
                <c:pt idx="357">
                  <c:v>59.622490584999277</c:v>
                </c:pt>
                <c:pt idx="358">
                  <c:v>59.459004623259858</c:v>
                </c:pt>
                <c:pt idx="359">
                  <c:v>59.215025198787444</c:v>
                </c:pt>
                <c:pt idx="360">
                  <c:v>58.972534407503829</c:v>
                </c:pt>
                <c:pt idx="361">
                  <c:v>58.731520224149627</c:v>
                </c:pt>
                <c:pt idx="362">
                  <c:v>58.491970744157712</c:v>
                </c:pt>
                <c:pt idx="363">
                  <c:v>58.253874182207198</c:v>
                </c:pt>
                <c:pt idx="364">
                  <c:v>58.01721887079789</c:v>
                </c:pt>
                <c:pt idx="365">
                  <c:v>57.860243648948334</c:v>
                </c:pt>
                <c:pt idx="366">
                  <c:v>57.625964809556393</c:v>
                </c:pt>
                <c:pt idx="367">
                  <c:v>57.393096672753948</c:v>
                </c:pt>
                <c:pt idx="368">
                  <c:v>57.161627991169013</c:v>
                </c:pt>
                <c:pt idx="369">
                  <c:v>56.93154762885375</c:v>
                </c:pt>
                <c:pt idx="370">
                  <c:v>56.702844559967012</c:v>
                </c:pt>
                <c:pt idx="371">
                  <c:v>56.475507867474683</c:v>
                </c:pt>
                <c:pt idx="372">
                  <c:v>56.324703828061125</c:v>
                </c:pt>
                <c:pt idx="373">
                  <c:v>56.099620460955393</c:v>
                </c:pt>
                <c:pt idx="374">
                  <c:v>55.87587488040748</c:v>
                </c:pt>
                <c:pt idx="375">
                  <c:v>55.653456557509628</c:v>
                </c:pt>
                <c:pt idx="376">
                  <c:v>55.432355066327993</c:v>
                </c:pt>
                <c:pt idx="377">
                  <c:v>55.212560082700378</c:v>
                </c:pt>
                <c:pt idx="378">
                  <c:v>54.994061383050251</c:v>
                </c:pt>
                <c:pt idx="379">
                  <c:v>54.849110737407109</c:v>
                </c:pt>
                <c:pt idx="380">
                  <c:v>54.632750061489794</c:v>
                </c:pt>
                <c:pt idx="381">
                  <c:v>54.417658889585518</c:v>
                </c:pt>
                <c:pt idx="382">
                  <c:v>54.203827357043004</c:v>
                </c:pt>
                <c:pt idx="383">
                  <c:v>53.991245694470848</c:v>
                </c:pt>
                <c:pt idx="384">
                  <c:v>53.779904226639346</c:v>
                </c:pt>
                <c:pt idx="385">
                  <c:v>53.569793371396912</c:v>
                </c:pt>
                <c:pt idx="386">
                  <c:v>53.430398451318062</c:v>
                </c:pt>
                <c:pt idx="387">
                  <c:v>53.222317572811029</c:v>
                </c:pt>
                <c:pt idx="388">
                  <c:v>53.015442201453475</c:v>
                </c:pt>
                <c:pt idx="389">
                  <c:v>52.809763087342503</c:v>
                </c:pt>
                <c:pt idx="390">
                  <c:v>52.60527106878525</c:v>
                </c:pt>
                <c:pt idx="391">
                  <c:v>52.401957071294412</c:v>
                </c:pt>
                <c:pt idx="392">
                  <c:v>52.199812106597321</c:v>
                </c:pt>
                <c:pt idx="393">
                  <c:v>52.065693859423035</c:v>
                </c:pt>
                <c:pt idx="394">
                  <c:v>51.86547753984626</c:v>
                </c:pt>
                <c:pt idx="395">
                  <c:v>51.666406698433654</c:v>
                </c:pt>
                <c:pt idx="396">
                  <c:v>51.468472654763531</c:v>
                </c:pt>
                <c:pt idx="397">
                  <c:v>51.271666810173961</c:v>
                </c:pt>
                <c:pt idx="398">
                  <c:v>51.075980646843327</c:v>
                </c:pt>
                <c:pt idx="399">
                  <c:v>50.881405726882754</c:v>
                </c:pt>
                <c:pt idx="400">
                  <c:v>50.7523023399498</c:v>
                </c:pt>
                <c:pt idx="401">
                  <c:v>50.559560955677227</c:v>
                </c:pt>
                <c:pt idx="402">
                  <c:v>50.367908697746564</c:v>
                </c:pt>
                <c:pt idx="403">
                  <c:v>50.177337413781714</c:v>
                </c:pt>
                <c:pt idx="404">
                  <c:v>49.987839027258417</c:v>
                </c:pt>
                <c:pt idx="405">
                  <c:v>49.799405536661496</c:v>
                </c:pt>
                <c:pt idx="406">
                  <c:v>49.612029014652933</c:v>
                </c:pt>
                <c:pt idx="407">
                  <c:v>49.487694656581503</c:v>
                </c:pt>
                <c:pt idx="408">
                  <c:v>49.302062331452234</c:v>
                </c:pt>
                <c:pt idx="409">
                  <c:v>49.117466191776998</c:v>
                </c:pt>
                <c:pt idx="410">
                  <c:v>48.93389857525608</c:v>
                </c:pt>
                <c:pt idx="411">
                  <c:v>48.751351890024395</c:v>
                </c:pt>
                <c:pt idx="412">
                  <c:v>48.569818613878446</c:v>
                </c:pt>
                <c:pt idx="413">
                  <c:v>48.38929129351289</c:v>
                </c:pt>
                <c:pt idx="414">
                  <c:v>48.269494961150293</c:v>
                </c:pt>
                <c:pt idx="415">
                  <c:v>48.090627855598647</c:v>
                </c:pt>
                <c:pt idx="416">
                  <c:v>47.912747161481953</c:v>
                </c:pt>
                <c:pt idx="417">
                  <c:v>47.735845671746958</c:v>
                </c:pt>
                <c:pt idx="418">
                  <c:v>47.559916244802956</c:v>
                </c:pt>
                <c:pt idx="419">
                  <c:v>47.38495180381161</c:v>
                </c:pt>
                <c:pt idx="420">
                  <c:v>47.210945335985869</c:v>
                </c:pt>
                <c:pt idx="421">
                  <c:v>47.095469797013287</c:v>
                </c:pt>
                <c:pt idx="422">
                  <c:v>46.923044538935535</c:v>
                </c:pt>
                <c:pt idx="423">
                  <c:v>46.751558861160255</c:v>
                </c:pt>
                <c:pt idx="424">
                  <c:v>46.581005979897903</c:v>
                </c:pt>
                <c:pt idx="425">
                  <c:v>46.411379172252914</c:v>
                </c:pt>
                <c:pt idx="426">
                  <c:v>46.242671775571011</c:v>
                </c:pt>
                <c:pt idx="427">
                  <c:v>46.074877186794374</c:v>
                </c:pt>
                <c:pt idx="428">
                  <c:v>45.963518009052343</c:v>
                </c:pt>
                <c:pt idx="429">
                  <c:v>45.797230253176032</c:v>
                </c:pt>
                <c:pt idx="430">
                  <c:v>45.631837983595346</c:v>
                </c:pt>
                <c:pt idx="431">
                  <c:v>45.46733481038612</c:v>
                </c:pt>
                <c:pt idx="432">
                  <c:v>45.303714400316558</c:v>
                </c:pt>
                <c:pt idx="433">
                  <c:v>45.140970476246459</c:v>
                </c:pt>
                <c:pt idx="434">
                  <c:v>44.97909681653384</c:v>
                </c:pt>
                <c:pt idx="435">
                  <c:v>44.871661476049852</c:v>
                </c:pt>
                <c:pt idx="436">
                  <c:v>44.711224579944201</c:v>
                </c:pt>
                <c:pt idx="437">
                  <c:v>44.55164162404175</c:v>
                </c:pt>
                <c:pt idx="438">
                  <c:v>44.392906585234748</c:v>
                </c:pt>
                <c:pt idx="439">
                  <c:v>44.235013493239578</c:v>
                </c:pt>
                <c:pt idx="440">
                  <c:v>44.077956430043592</c:v>
                </c:pt>
                <c:pt idx="441">
                  <c:v>43.921729529358316</c:v>
                </c:pt>
                <c:pt idx="442">
                  <c:v>43.818036589883043</c:v>
                </c:pt>
                <c:pt idx="443">
                  <c:v>43.663180395963153</c:v>
                </c:pt>
                <c:pt idx="444">
                  <c:v>43.509138969906637</c:v>
                </c:pt>
                <c:pt idx="445">
                  <c:v>43.355906630510475</c:v>
                </c:pt>
                <c:pt idx="446">
                  <c:v>43.203477745831556</c:v>
                </c:pt>
                <c:pt idx="447">
                  <c:v>43.051846732676289</c:v>
                </c:pt>
                <c:pt idx="448">
                  <c:v>42.901008056096678</c:v>
                </c:pt>
                <c:pt idx="449">
                  <c:v>42.800886413684836</c:v>
                </c:pt>
                <c:pt idx="450">
                  <c:v>42.651356127642352</c:v>
                </c:pt>
                <c:pt idx="451">
                  <c:v>42.502603650413498</c:v>
                </c:pt>
                <c:pt idx="452">
                  <c:v>42.354623619735563</c:v>
                </c:pt>
                <c:pt idx="453">
                  <c:v>42.207410719317998</c:v>
                </c:pt>
                <c:pt idx="454">
                  <c:v>42.060959678371702</c:v>
                </c:pt>
                <c:pt idx="455">
                  <c:v>41.915265271143717</c:v>
                </c:pt>
                <c:pt idx="456">
                  <c:v>41.818553457964505</c:v>
                </c:pt>
                <c:pt idx="457">
                  <c:v>41.674108615015776</c:v>
                </c:pt>
                <c:pt idx="458">
                  <c:v>41.530406687142801</c:v>
                </c:pt>
                <c:pt idx="459">
                  <c:v>41.387442609833847</c:v>
                </c:pt>
                <c:pt idx="460">
                  <c:v>41.245211361514528</c:v>
                </c:pt>
                <c:pt idx="461">
                  <c:v>41.10370796311264</c:v>
                </c:pt>
                <c:pt idx="462">
                  <c:v>40.962927477628597</c:v>
                </c:pt>
                <c:pt idx="463">
                  <c:v>40.86947301976813</c:v>
                </c:pt>
                <c:pt idx="464">
                  <c:v>40.729886530964649</c:v>
                </c:pt>
                <c:pt idx="465">
                  <c:v>40.591009992221075</c:v>
                </c:pt>
                <c:pt idx="466">
                  <c:v>40.452838617208229</c:v>
                </c:pt>
                <c:pt idx="467">
                  <c:v>40.315367659729731</c:v>
                </c:pt>
                <c:pt idx="468">
                  <c:v>40.178592413320061</c:v>
                </c:pt>
                <c:pt idx="469">
                  <c:v>40.04250821084716</c:v>
                </c:pt>
                <c:pt idx="470">
                  <c:v>39.95216703537946</c:v>
                </c:pt>
                <c:pt idx="471">
                  <c:v>39.817224306985885</c:v>
                </c:pt>
                <c:pt idx="472">
                  <c:v>39.682960366168636</c:v>
                </c:pt>
                <c:pt idx="473">
                  <c:v>39.549370686693052</c:v>
                </c:pt>
                <c:pt idx="474">
                  <c:v>39.416450779863894</c:v>
                </c:pt>
                <c:pt idx="475">
                  <c:v>39.284196194153402</c:v>
                </c:pt>
                <c:pt idx="476">
                  <c:v>39.152602514833426</c:v>
                </c:pt>
                <c:pt idx="477">
                  <c:v>39.065238401895812</c:v>
                </c:pt>
                <c:pt idx="478">
                  <c:v>38.934736521519973</c:v>
                </c:pt>
                <c:pt idx="479">
                  <c:v>38.804883952085547</c:v>
                </c:pt>
                <c:pt idx="480">
                  <c:v>38.6756764107189</c:v>
                </c:pt>
                <c:pt idx="481">
                  <c:v>38.547109649685332</c:v>
                </c:pt>
                <c:pt idx="482">
                  <c:v>38.419179456044631</c:v>
                </c:pt>
                <c:pt idx="483">
                  <c:v>38.291881651310518</c:v>
                </c:pt>
                <c:pt idx="484">
                  <c:v>38.207365727328906</c:v>
                </c:pt>
                <c:pt idx="485">
                  <c:v>38.081112711094278</c:v>
                </c:pt>
                <c:pt idx="486">
                  <c:v>37.95548110702974</c:v>
                </c:pt>
                <c:pt idx="487">
                  <c:v>37.830466860128865</c:v>
                </c:pt>
                <c:pt idx="488">
                  <c:v>37.706065948300598</c:v>
                </c:pt>
                <c:pt idx="489">
                  <c:v>37.582274382049839</c:v>
                </c:pt>
                <c:pt idx="490">
                  <c:v>37.459088204161951</c:v>
                </c:pt>
                <c:pt idx="491">
                  <c:v>37.377298472738794</c:v>
                </c:pt>
                <c:pt idx="492">
                  <c:v>37.255112568333111</c:v>
                </c:pt>
                <c:pt idx="493">
                  <c:v>37.133521655170902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21-4875-B88C-B488B95351CA}"/>
            </c:ext>
          </c:extLst>
        </c:ser>
        <c:ser>
          <c:idx val="3"/>
          <c:order val="3"/>
          <c:tx>
            <c:strRef>
              <c:f>'sheet 1'!$Q$38</c:f>
              <c:strCache>
                <c:ptCount val="1"/>
                <c:pt idx="0">
                  <c:v>I2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2"/>
            <c:spPr>
              <a:ln w="9525"/>
            </c:spPr>
          </c:marker>
          <c:xVal>
            <c:numRef>
              <c:f>'sheet 1'!$B$39:$B$841</c:f>
              <c:numCache>
                <c:formatCode>General</c:formatCode>
                <c:ptCount val="803"/>
                <c:pt idx="0">
                  <c:v>0</c:v>
                </c:pt>
                <c:pt idx="1">
                  <c:v>0.20000000000000284</c:v>
                </c:pt>
                <c:pt idx="2">
                  <c:v>0.5</c:v>
                </c:pt>
                <c:pt idx="3">
                  <c:v>0.80000000000000426</c:v>
                </c:pt>
                <c:pt idx="4">
                  <c:v>1.1000000000000014</c:v>
                </c:pt>
                <c:pt idx="5">
                  <c:v>1.3999999999999986</c:v>
                </c:pt>
                <c:pt idx="6">
                  <c:v>1.7000000000000028</c:v>
                </c:pt>
                <c:pt idx="7">
                  <c:v>2</c:v>
                </c:pt>
                <c:pt idx="8">
                  <c:v>2.2000000000000028</c:v>
                </c:pt>
                <c:pt idx="9">
                  <c:v>2.5</c:v>
                </c:pt>
                <c:pt idx="10">
                  <c:v>2.8000000000000043</c:v>
                </c:pt>
                <c:pt idx="11">
                  <c:v>3.1000000000000014</c:v>
                </c:pt>
                <c:pt idx="12">
                  <c:v>3.3999999999999986</c:v>
                </c:pt>
                <c:pt idx="13">
                  <c:v>3.7000000000000028</c:v>
                </c:pt>
                <c:pt idx="14">
                  <c:v>4</c:v>
                </c:pt>
                <c:pt idx="15">
                  <c:v>4.2000000000000028</c:v>
                </c:pt>
                <c:pt idx="16">
                  <c:v>4.5</c:v>
                </c:pt>
                <c:pt idx="17">
                  <c:v>4.8000000000000043</c:v>
                </c:pt>
                <c:pt idx="18">
                  <c:v>5.1000000000000014</c:v>
                </c:pt>
                <c:pt idx="19">
                  <c:v>5.3999999999999986</c:v>
                </c:pt>
                <c:pt idx="20">
                  <c:v>5.6999999999999957</c:v>
                </c:pt>
                <c:pt idx="21">
                  <c:v>6.0000000000000071</c:v>
                </c:pt>
                <c:pt idx="22">
                  <c:v>6.1999999999999957</c:v>
                </c:pt>
                <c:pt idx="23">
                  <c:v>6.5000000000000071</c:v>
                </c:pt>
                <c:pt idx="24">
                  <c:v>6.8000000000000043</c:v>
                </c:pt>
                <c:pt idx="25">
                  <c:v>7.1000000000000014</c:v>
                </c:pt>
                <c:pt idx="26">
                  <c:v>7.3999999999999986</c:v>
                </c:pt>
                <c:pt idx="27">
                  <c:v>7.6999999999999957</c:v>
                </c:pt>
                <c:pt idx="28">
                  <c:v>8.0000000000000071</c:v>
                </c:pt>
                <c:pt idx="29">
                  <c:v>8.1999999999999957</c:v>
                </c:pt>
                <c:pt idx="30">
                  <c:v>8.5000000000000071</c:v>
                </c:pt>
                <c:pt idx="31">
                  <c:v>8.8000000000000043</c:v>
                </c:pt>
                <c:pt idx="32">
                  <c:v>9.1000000000000014</c:v>
                </c:pt>
                <c:pt idx="33">
                  <c:v>9.3999999999999986</c:v>
                </c:pt>
                <c:pt idx="34">
                  <c:v>9.6999999999999957</c:v>
                </c:pt>
                <c:pt idx="35">
                  <c:v>10.000000000000007</c:v>
                </c:pt>
                <c:pt idx="36">
                  <c:v>10.199999999999996</c:v>
                </c:pt>
                <c:pt idx="37">
                  <c:v>10.500000000000007</c:v>
                </c:pt>
                <c:pt idx="38">
                  <c:v>10.800000000000004</c:v>
                </c:pt>
                <c:pt idx="39">
                  <c:v>11.100000000000001</c:v>
                </c:pt>
                <c:pt idx="40">
                  <c:v>11.399999999999999</c:v>
                </c:pt>
                <c:pt idx="41">
                  <c:v>11.699999999999996</c:v>
                </c:pt>
                <c:pt idx="42">
                  <c:v>12.000000000000007</c:v>
                </c:pt>
                <c:pt idx="43">
                  <c:v>12.199999999999996</c:v>
                </c:pt>
                <c:pt idx="44">
                  <c:v>12.500000000000007</c:v>
                </c:pt>
                <c:pt idx="45">
                  <c:v>12.800000000000004</c:v>
                </c:pt>
                <c:pt idx="46">
                  <c:v>13.100000000000001</c:v>
                </c:pt>
                <c:pt idx="47">
                  <c:v>13.399999999999999</c:v>
                </c:pt>
                <c:pt idx="48">
                  <c:v>13.699999999999996</c:v>
                </c:pt>
                <c:pt idx="49">
                  <c:v>14.000000000000007</c:v>
                </c:pt>
                <c:pt idx="50">
                  <c:v>14.199999999999996</c:v>
                </c:pt>
                <c:pt idx="51">
                  <c:v>14.500000000000007</c:v>
                </c:pt>
                <c:pt idx="52">
                  <c:v>14.800000000000004</c:v>
                </c:pt>
                <c:pt idx="53">
                  <c:v>15.100000000000001</c:v>
                </c:pt>
                <c:pt idx="54">
                  <c:v>15.399999999999999</c:v>
                </c:pt>
                <c:pt idx="55">
                  <c:v>15.699999999999996</c:v>
                </c:pt>
                <c:pt idx="56">
                  <c:v>16.000000000000007</c:v>
                </c:pt>
                <c:pt idx="57">
                  <c:v>16.199999999999996</c:v>
                </c:pt>
                <c:pt idx="58">
                  <c:v>16.500000000000007</c:v>
                </c:pt>
                <c:pt idx="59">
                  <c:v>16.800000000000004</c:v>
                </c:pt>
                <c:pt idx="60">
                  <c:v>17.100000000000001</c:v>
                </c:pt>
                <c:pt idx="61">
                  <c:v>17.399999999999999</c:v>
                </c:pt>
                <c:pt idx="62">
                  <c:v>17.699999999999996</c:v>
                </c:pt>
                <c:pt idx="63">
                  <c:v>18.000000000000007</c:v>
                </c:pt>
                <c:pt idx="64">
                  <c:v>18.199999999999996</c:v>
                </c:pt>
                <c:pt idx="65">
                  <c:v>18.500000000000007</c:v>
                </c:pt>
                <c:pt idx="66">
                  <c:v>18.800000000000004</c:v>
                </c:pt>
                <c:pt idx="67">
                  <c:v>19.100000000000001</c:v>
                </c:pt>
                <c:pt idx="68">
                  <c:v>19.399999999999999</c:v>
                </c:pt>
                <c:pt idx="69">
                  <c:v>19.699999999999996</c:v>
                </c:pt>
                <c:pt idx="70">
                  <c:v>20.000000000000007</c:v>
                </c:pt>
                <c:pt idx="71">
                  <c:v>20.199999999999996</c:v>
                </c:pt>
                <c:pt idx="72">
                  <c:v>20.500000000000007</c:v>
                </c:pt>
                <c:pt idx="73">
                  <c:v>20.800000000000004</c:v>
                </c:pt>
                <c:pt idx="74">
                  <c:v>21.1</c:v>
                </c:pt>
                <c:pt idx="75">
                  <c:v>21.4</c:v>
                </c:pt>
                <c:pt idx="76">
                  <c:v>21.699999999999996</c:v>
                </c:pt>
                <c:pt idx="77">
                  <c:v>22.000000000000007</c:v>
                </c:pt>
                <c:pt idx="78">
                  <c:v>22.199999999999996</c:v>
                </c:pt>
                <c:pt idx="79">
                  <c:v>22.500000000000007</c:v>
                </c:pt>
                <c:pt idx="80">
                  <c:v>22.800000000000004</c:v>
                </c:pt>
                <c:pt idx="81">
                  <c:v>23.1</c:v>
                </c:pt>
                <c:pt idx="82">
                  <c:v>23.4</c:v>
                </c:pt>
                <c:pt idx="83">
                  <c:v>23.699999999999996</c:v>
                </c:pt>
                <c:pt idx="84">
                  <c:v>24.000000000000007</c:v>
                </c:pt>
                <c:pt idx="85">
                  <c:v>24.199999999999996</c:v>
                </c:pt>
                <c:pt idx="86">
                  <c:v>24.500000000000007</c:v>
                </c:pt>
                <c:pt idx="87">
                  <c:v>24.800000000000004</c:v>
                </c:pt>
                <c:pt idx="88">
                  <c:v>25.1</c:v>
                </c:pt>
                <c:pt idx="89">
                  <c:v>25.4</c:v>
                </c:pt>
                <c:pt idx="90">
                  <c:v>25.699999999999996</c:v>
                </c:pt>
                <c:pt idx="91">
                  <c:v>26.000000000000007</c:v>
                </c:pt>
                <c:pt idx="92">
                  <c:v>26.199999999999996</c:v>
                </c:pt>
                <c:pt idx="93">
                  <c:v>26.500000000000007</c:v>
                </c:pt>
                <c:pt idx="94">
                  <c:v>26.800000000000004</c:v>
                </c:pt>
                <c:pt idx="95">
                  <c:v>27.1</c:v>
                </c:pt>
                <c:pt idx="96">
                  <c:v>27.4</c:v>
                </c:pt>
                <c:pt idx="97">
                  <c:v>27.699999999999996</c:v>
                </c:pt>
                <c:pt idx="98">
                  <c:v>28.000000000000007</c:v>
                </c:pt>
                <c:pt idx="99">
                  <c:v>28.199999999999996</c:v>
                </c:pt>
                <c:pt idx="100">
                  <c:v>28.500000000000007</c:v>
                </c:pt>
                <c:pt idx="101">
                  <c:v>28.800000000000004</c:v>
                </c:pt>
                <c:pt idx="102">
                  <c:v>29.1</c:v>
                </c:pt>
                <c:pt idx="103">
                  <c:v>29.4</c:v>
                </c:pt>
                <c:pt idx="104">
                  <c:v>29.699999999999996</c:v>
                </c:pt>
                <c:pt idx="105">
                  <c:v>30.000000000000007</c:v>
                </c:pt>
                <c:pt idx="106">
                  <c:v>30.199999999999996</c:v>
                </c:pt>
                <c:pt idx="107">
                  <c:v>30.500000000000007</c:v>
                </c:pt>
                <c:pt idx="108">
                  <c:v>30.800000000000004</c:v>
                </c:pt>
                <c:pt idx="109">
                  <c:v>31.1</c:v>
                </c:pt>
                <c:pt idx="110">
                  <c:v>31.4</c:v>
                </c:pt>
                <c:pt idx="111">
                  <c:v>31.699999999999996</c:v>
                </c:pt>
                <c:pt idx="112">
                  <c:v>32.000000000000007</c:v>
                </c:pt>
                <c:pt idx="113">
                  <c:v>32.199999999999996</c:v>
                </c:pt>
                <c:pt idx="114">
                  <c:v>32.500000000000007</c:v>
                </c:pt>
                <c:pt idx="115">
                  <c:v>32.800000000000004</c:v>
                </c:pt>
                <c:pt idx="116">
                  <c:v>33.1</c:v>
                </c:pt>
                <c:pt idx="117">
                  <c:v>33.4</c:v>
                </c:pt>
                <c:pt idx="118">
                  <c:v>33.699999999999996</c:v>
                </c:pt>
                <c:pt idx="119">
                  <c:v>34.000000000000007</c:v>
                </c:pt>
                <c:pt idx="120">
                  <c:v>34.199999999999996</c:v>
                </c:pt>
                <c:pt idx="121">
                  <c:v>34.500000000000007</c:v>
                </c:pt>
                <c:pt idx="122">
                  <c:v>34.800000000000004</c:v>
                </c:pt>
                <c:pt idx="123">
                  <c:v>35.1</c:v>
                </c:pt>
                <c:pt idx="124">
                  <c:v>35.4</c:v>
                </c:pt>
                <c:pt idx="125">
                  <c:v>35.699999999999996</c:v>
                </c:pt>
                <c:pt idx="126">
                  <c:v>36.000000000000007</c:v>
                </c:pt>
                <c:pt idx="127">
                  <c:v>36.199999999999996</c:v>
                </c:pt>
                <c:pt idx="128">
                  <c:v>36.500000000000007</c:v>
                </c:pt>
                <c:pt idx="129">
                  <c:v>36.800000000000004</c:v>
                </c:pt>
                <c:pt idx="130">
                  <c:v>37.1</c:v>
                </c:pt>
                <c:pt idx="131">
                  <c:v>37.4</c:v>
                </c:pt>
                <c:pt idx="132">
                  <c:v>37.699999999999996</c:v>
                </c:pt>
                <c:pt idx="133">
                  <c:v>38.000000000000007</c:v>
                </c:pt>
                <c:pt idx="134">
                  <c:v>38.199999999999996</c:v>
                </c:pt>
                <c:pt idx="135">
                  <c:v>38.500000000000007</c:v>
                </c:pt>
                <c:pt idx="136">
                  <c:v>38.800000000000004</c:v>
                </c:pt>
                <c:pt idx="137">
                  <c:v>39.1</c:v>
                </c:pt>
                <c:pt idx="138">
                  <c:v>39.4</c:v>
                </c:pt>
                <c:pt idx="139">
                  <c:v>39.699999999999996</c:v>
                </c:pt>
                <c:pt idx="140">
                  <c:v>40.000000000000007</c:v>
                </c:pt>
                <c:pt idx="141">
                  <c:v>40.199999999999996</c:v>
                </c:pt>
                <c:pt idx="142">
                  <c:v>40.500000000000007</c:v>
                </c:pt>
                <c:pt idx="143">
                  <c:v>40.800000000000004</c:v>
                </c:pt>
                <c:pt idx="144">
                  <c:v>41.1</c:v>
                </c:pt>
                <c:pt idx="145">
                  <c:v>41.4</c:v>
                </c:pt>
                <c:pt idx="146">
                  <c:v>41.699999999999996</c:v>
                </c:pt>
                <c:pt idx="147">
                  <c:v>42.000000000000007</c:v>
                </c:pt>
                <c:pt idx="148">
                  <c:v>42.199999999999996</c:v>
                </c:pt>
                <c:pt idx="149">
                  <c:v>42.500000000000007</c:v>
                </c:pt>
                <c:pt idx="150">
                  <c:v>42.800000000000004</c:v>
                </c:pt>
                <c:pt idx="151">
                  <c:v>43.1</c:v>
                </c:pt>
                <c:pt idx="152">
                  <c:v>43.4</c:v>
                </c:pt>
                <c:pt idx="153">
                  <c:v>43.699999999999996</c:v>
                </c:pt>
                <c:pt idx="154">
                  <c:v>44.000000000000007</c:v>
                </c:pt>
                <c:pt idx="155">
                  <c:v>44.199999999999996</c:v>
                </c:pt>
                <c:pt idx="156">
                  <c:v>44.500000000000007</c:v>
                </c:pt>
                <c:pt idx="157">
                  <c:v>44.800000000000004</c:v>
                </c:pt>
                <c:pt idx="158">
                  <c:v>45.1</c:v>
                </c:pt>
                <c:pt idx="159">
                  <c:v>45.4</c:v>
                </c:pt>
                <c:pt idx="160">
                  <c:v>45.699999999999996</c:v>
                </c:pt>
                <c:pt idx="161">
                  <c:v>46.000000000000007</c:v>
                </c:pt>
                <c:pt idx="162">
                  <c:v>46.199999999999996</c:v>
                </c:pt>
                <c:pt idx="163">
                  <c:v>46.500000000000007</c:v>
                </c:pt>
                <c:pt idx="164">
                  <c:v>46.800000000000004</c:v>
                </c:pt>
                <c:pt idx="165">
                  <c:v>47.1</c:v>
                </c:pt>
                <c:pt idx="166">
                  <c:v>47.4</c:v>
                </c:pt>
                <c:pt idx="167">
                  <c:v>47.699999999999996</c:v>
                </c:pt>
                <c:pt idx="168">
                  <c:v>48.000000000000007</c:v>
                </c:pt>
                <c:pt idx="169">
                  <c:v>48.199999999999996</c:v>
                </c:pt>
                <c:pt idx="170">
                  <c:v>48.500000000000007</c:v>
                </c:pt>
                <c:pt idx="171">
                  <c:v>48.800000000000004</c:v>
                </c:pt>
                <c:pt idx="172">
                  <c:v>49.1</c:v>
                </c:pt>
                <c:pt idx="173">
                  <c:v>49.4</c:v>
                </c:pt>
                <c:pt idx="174">
                  <c:v>49.699999999999996</c:v>
                </c:pt>
                <c:pt idx="175">
                  <c:v>50.000000000000007</c:v>
                </c:pt>
                <c:pt idx="176">
                  <c:v>50.199999999999996</c:v>
                </c:pt>
                <c:pt idx="177">
                  <c:v>50.500000000000007</c:v>
                </c:pt>
                <c:pt idx="178">
                  <c:v>50.800000000000004</c:v>
                </c:pt>
                <c:pt idx="179">
                  <c:v>51.1</c:v>
                </c:pt>
                <c:pt idx="180">
                  <c:v>51.4</c:v>
                </c:pt>
                <c:pt idx="181">
                  <c:v>51.699999999999996</c:v>
                </c:pt>
                <c:pt idx="182">
                  <c:v>52.000000000000007</c:v>
                </c:pt>
                <c:pt idx="183">
                  <c:v>52.199999999999996</c:v>
                </c:pt>
                <c:pt idx="184">
                  <c:v>52.500000000000007</c:v>
                </c:pt>
                <c:pt idx="185">
                  <c:v>52.800000000000004</c:v>
                </c:pt>
                <c:pt idx="186">
                  <c:v>53.1</c:v>
                </c:pt>
                <c:pt idx="187">
                  <c:v>53.4</c:v>
                </c:pt>
                <c:pt idx="188">
                  <c:v>53.699999999999996</c:v>
                </c:pt>
                <c:pt idx="189">
                  <c:v>54.000000000000007</c:v>
                </c:pt>
                <c:pt idx="190">
                  <c:v>54.199999999999996</c:v>
                </c:pt>
                <c:pt idx="191">
                  <c:v>54.500000000000007</c:v>
                </c:pt>
                <c:pt idx="192">
                  <c:v>54.800000000000004</c:v>
                </c:pt>
                <c:pt idx="193">
                  <c:v>55.1</c:v>
                </c:pt>
                <c:pt idx="194">
                  <c:v>55.4</c:v>
                </c:pt>
                <c:pt idx="195">
                  <c:v>55.699999999999996</c:v>
                </c:pt>
                <c:pt idx="196">
                  <c:v>56.000000000000007</c:v>
                </c:pt>
                <c:pt idx="197">
                  <c:v>56.199999999999996</c:v>
                </c:pt>
                <c:pt idx="198">
                  <c:v>56.500000000000007</c:v>
                </c:pt>
                <c:pt idx="199">
                  <c:v>56.800000000000004</c:v>
                </c:pt>
                <c:pt idx="200">
                  <c:v>57.1</c:v>
                </c:pt>
                <c:pt idx="201">
                  <c:v>57.4</c:v>
                </c:pt>
                <c:pt idx="202">
                  <c:v>57.699999999999996</c:v>
                </c:pt>
                <c:pt idx="203">
                  <c:v>58.000000000000007</c:v>
                </c:pt>
                <c:pt idx="204">
                  <c:v>58.199999999999996</c:v>
                </c:pt>
                <c:pt idx="205">
                  <c:v>58.500000000000007</c:v>
                </c:pt>
                <c:pt idx="206">
                  <c:v>58.800000000000004</c:v>
                </c:pt>
                <c:pt idx="207">
                  <c:v>59.1</c:v>
                </c:pt>
                <c:pt idx="208">
                  <c:v>59.4</c:v>
                </c:pt>
                <c:pt idx="209">
                  <c:v>59.699999999999996</c:v>
                </c:pt>
                <c:pt idx="210">
                  <c:v>60.000000000000007</c:v>
                </c:pt>
                <c:pt idx="211">
                  <c:v>60.199999999999996</c:v>
                </c:pt>
                <c:pt idx="212">
                  <c:v>60.500000000000007</c:v>
                </c:pt>
                <c:pt idx="213">
                  <c:v>60.800000000000004</c:v>
                </c:pt>
                <c:pt idx="214">
                  <c:v>61.1</c:v>
                </c:pt>
                <c:pt idx="215">
                  <c:v>61.4</c:v>
                </c:pt>
                <c:pt idx="216">
                  <c:v>61.699999999999996</c:v>
                </c:pt>
                <c:pt idx="217">
                  <c:v>62.000000000000007</c:v>
                </c:pt>
                <c:pt idx="218">
                  <c:v>62.199999999999996</c:v>
                </c:pt>
                <c:pt idx="219">
                  <c:v>62.500000000000007</c:v>
                </c:pt>
                <c:pt idx="220">
                  <c:v>62.800000000000004</c:v>
                </c:pt>
                <c:pt idx="221">
                  <c:v>63.1</c:v>
                </c:pt>
                <c:pt idx="222">
                  <c:v>63.4</c:v>
                </c:pt>
                <c:pt idx="223">
                  <c:v>63.699999999999996</c:v>
                </c:pt>
                <c:pt idx="224">
                  <c:v>64</c:v>
                </c:pt>
                <c:pt idx="225">
                  <c:v>64.199999999999989</c:v>
                </c:pt>
                <c:pt idx="226">
                  <c:v>64.5</c:v>
                </c:pt>
                <c:pt idx="227">
                  <c:v>64.800000000000011</c:v>
                </c:pt>
                <c:pt idx="228">
                  <c:v>65.099999999999994</c:v>
                </c:pt>
                <c:pt idx="229">
                  <c:v>65.400000000000006</c:v>
                </c:pt>
                <c:pt idx="230">
                  <c:v>65.699999999999989</c:v>
                </c:pt>
                <c:pt idx="231">
                  <c:v>66</c:v>
                </c:pt>
                <c:pt idx="232">
                  <c:v>66.199999999999989</c:v>
                </c:pt>
                <c:pt idx="233">
                  <c:v>66.5</c:v>
                </c:pt>
                <c:pt idx="234">
                  <c:v>66.800000000000011</c:v>
                </c:pt>
                <c:pt idx="235">
                  <c:v>67.099999999999994</c:v>
                </c:pt>
                <c:pt idx="236">
                  <c:v>67.400000000000006</c:v>
                </c:pt>
                <c:pt idx="237">
                  <c:v>67.699999999999989</c:v>
                </c:pt>
                <c:pt idx="238">
                  <c:v>68</c:v>
                </c:pt>
                <c:pt idx="239">
                  <c:v>68.199999999999989</c:v>
                </c:pt>
                <c:pt idx="240">
                  <c:v>68.5</c:v>
                </c:pt>
                <c:pt idx="241">
                  <c:v>68.800000000000011</c:v>
                </c:pt>
                <c:pt idx="242">
                  <c:v>69.099999999999994</c:v>
                </c:pt>
                <c:pt idx="243">
                  <c:v>69.400000000000006</c:v>
                </c:pt>
                <c:pt idx="244">
                  <c:v>69.699999999999989</c:v>
                </c:pt>
                <c:pt idx="245">
                  <c:v>70</c:v>
                </c:pt>
                <c:pt idx="246">
                  <c:v>70.199999999999989</c:v>
                </c:pt>
                <c:pt idx="247">
                  <c:v>70.5</c:v>
                </c:pt>
                <c:pt idx="248">
                  <c:v>70.799999999999983</c:v>
                </c:pt>
                <c:pt idx="249">
                  <c:v>71.099999999999994</c:v>
                </c:pt>
                <c:pt idx="250">
                  <c:v>71.400000000000006</c:v>
                </c:pt>
                <c:pt idx="251">
                  <c:v>71.699999999999989</c:v>
                </c:pt>
                <c:pt idx="252">
                  <c:v>72</c:v>
                </c:pt>
                <c:pt idx="253">
                  <c:v>72.199999999999989</c:v>
                </c:pt>
                <c:pt idx="254">
                  <c:v>72.5</c:v>
                </c:pt>
                <c:pt idx="255">
                  <c:v>72.799999999999983</c:v>
                </c:pt>
                <c:pt idx="256">
                  <c:v>73.099999999999994</c:v>
                </c:pt>
                <c:pt idx="257">
                  <c:v>73.400000000000006</c:v>
                </c:pt>
                <c:pt idx="258">
                  <c:v>73.699999999999989</c:v>
                </c:pt>
                <c:pt idx="259">
                  <c:v>74</c:v>
                </c:pt>
                <c:pt idx="260">
                  <c:v>74.199999999999989</c:v>
                </c:pt>
                <c:pt idx="261">
                  <c:v>74.5</c:v>
                </c:pt>
                <c:pt idx="262">
                  <c:v>74.799999999999983</c:v>
                </c:pt>
                <c:pt idx="263">
                  <c:v>75.099999999999994</c:v>
                </c:pt>
                <c:pt idx="264">
                  <c:v>75.400000000000006</c:v>
                </c:pt>
                <c:pt idx="265">
                  <c:v>75.699999999999989</c:v>
                </c:pt>
                <c:pt idx="266">
                  <c:v>76</c:v>
                </c:pt>
                <c:pt idx="267">
                  <c:v>76.199999999999989</c:v>
                </c:pt>
                <c:pt idx="268">
                  <c:v>76.5</c:v>
                </c:pt>
                <c:pt idx="269">
                  <c:v>76.799999999999983</c:v>
                </c:pt>
                <c:pt idx="270">
                  <c:v>77.099999999999994</c:v>
                </c:pt>
                <c:pt idx="271">
                  <c:v>77.400000000000006</c:v>
                </c:pt>
                <c:pt idx="272">
                  <c:v>77.699999999999989</c:v>
                </c:pt>
                <c:pt idx="273">
                  <c:v>78</c:v>
                </c:pt>
                <c:pt idx="274">
                  <c:v>78.199999999999989</c:v>
                </c:pt>
                <c:pt idx="275">
                  <c:v>78.5</c:v>
                </c:pt>
                <c:pt idx="276">
                  <c:v>78.799999999999983</c:v>
                </c:pt>
                <c:pt idx="277">
                  <c:v>79.099999999999994</c:v>
                </c:pt>
                <c:pt idx="278">
                  <c:v>79.400000000000006</c:v>
                </c:pt>
                <c:pt idx="279">
                  <c:v>79.699999999999989</c:v>
                </c:pt>
                <c:pt idx="280">
                  <c:v>80</c:v>
                </c:pt>
                <c:pt idx="281">
                  <c:v>80.199999999999989</c:v>
                </c:pt>
                <c:pt idx="282">
                  <c:v>80.5</c:v>
                </c:pt>
                <c:pt idx="283">
                  <c:v>80.799999999999983</c:v>
                </c:pt>
                <c:pt idx="284">
                  <c:v>81.099999999999994</c:v>
                </c:pt>
                <c:pt idx="285">
                  <c:v>81.400000000000006</c:v>
                </c:pt>
                <c:pt idx="286">
                  <c:v>81.699999999999989</c:v>
                </c:pt>
                <c:pt idx="287">
                  <c:v>82</c:v>
                </c:pt>
                <c:pt idx="288">
                  <c:v>82.199999999999989</c:v>
                </c:pt>
                <c:pt idx="289">
                  <c:v>82.5</c:v>
                </c:pt>
                <c:pt idx="290">
                  <c:v>82.799999999999983</c:v>
                </c:pt>
                <c:pt idx="291">
                  <c:v>83.1</c:v>
                </c:pt>
                <c:pt idx="292">
                  <c:v>83.4</c:v>
                </c:pt>
                <c:pt idx="293">
                  <c:v>83.699999999999989</c:v>
                </c:pt>
                <c:pt idx="294">
                  <c:v>84</c:v>
                </c:pt>
                <c:pt idx="295">
                  <c:v>84.199999999999989</c:v>
                </c:pt>
                <c:pt idx="296">
                  <c:v>84.5</c:v>
                </c:pt>
                <c:pt idx="297">
                  <c:v>84.799999999999983</c:v>
                </c:pt>
                <c:pt idx="298">
                  <c:v>85.1</c:v>
                </c:pt>
                <c:pt idx="299">
                  <c:v>85.4</c:v>
                </c:pt>
                <c:pt idx="300">
                  <c:v>85.699999999999989</c:v>
                </c:pt>
                <c:pt idx="301">
                  <c:v>86</c:v>
                </c:pt>
                <c:pt idx="302">
                  <c:v>86.199999999999989</c:v>
                </c:pt>
                <c:pt idx="303">
                  <c:v>86.5</c:v>
                </c:pt>
                <c:pt idx="304">
                  <c:v>86.799999999999983</c:v>
                </c:pt>
                <c:pt idx="305">
                  <c:v>87.1</c:v>
                </c:pt>
                <c:pt idx="306">
                  <c:v>87.4</c:v>
                </c:pt>
                <c:pt idx="307">
                  <c:v>87.699999999999989</c:v>
                </c:pt>
                <c:pt idx="308">
                  <c:v>88</c:v>
                </c:pt>
                <c:pt idx="309">
                  <c:v>88.199999999999989</c:v>
                </c:pt>
                <c:pt idx="310">
                  <c:v>88.5</c:v>
                </c:pt>
                <c:pt idx="311">
                  <c:v>88.799999999999983</c:v>
                </c:pt>
                <c:pt idx="312">
                  <c:v>89.1</c:v>
                </c:pt>
                <c:pt idx="313">
                  <c:v>89.4</c:v>
                </c:pt>
                <c:pt idx="314">
                  <c:v>89.699999999999989</c:v>
                </c:pt>
                <c:pt idx="315">
                  <c:v>90</c:v>
                </c:pt>
                <c:pt idx="316">
                  <c:v>90.199999999999989</c:v>
                </c:pt>
                <c:pt idx="317">
                  <c:v>90.5</c:v>
                </c:pt>
                <c:pt idx="318">
                  <c:v>90.799999999999983</c:v>
                </c:pt>
                <c:pt idx="319">
                  <c:v>91.1</c:v>
                </c:pt>
                <c:pt idx="320">
                  <c:v>91.4</c:v>
                </c:pt>
                <c:pt idx="321">
                  <c:v>91.699999999999989</c:v>
                </c:pt>
                <c:pt idx="322">
                  <c:v>92</c:v>
                </c:pt>
                <c:pt idx="323">
                  <c:v>92.199999999999989</c:v>
                </c:pt>
                <c:pt idx="324">
                  <c:v>92.5</c:v>
                </c:pt>
                <c:pt idx="325">
                  <c:v>92.799999999999983</c:v>
                </c:pt>
                <c:pt idx="326">
                  <c:v>93.1</c:v>
                </c:pt>
                <c:pt idx="327">
                  <c:v>93.4</c:v>
                </c:pt>
                <c:pt idx="328">
                  <c:v>93.699999999999989</c:v>
                </c:pt>
                <c:pt idx="329">
                  <c:v>94</c:v>
                </c:pt>
                <c:pt idx="330">
                  <c:v>94.199999999999989</c:v>
                </c:pt>
                <c:pt idx="331">
                  <c:v>94.5</c:v>
                </c:pt>
                <c:pt idx="332">
                  <c:v>94.799999999999983</c:v>
                </c:pt>
                <c:pt idx="333">
                  <c:v>95.1</c:v>
                </c:pt>
                <c:pt idx="334">
                  <c:v>95.4</c:v>
                </c:pt>
                <c:pt idx="335">
                  <c:v>95.699999999999989</c:v>
                </c:pt>
                <c:pt idx="336">
                  <c:v>96</c:v>
                </c:pt>
                <c:pt idx="337">
                  <c:v>96.199999999999989</c:v>
                </c:pt>
                <c:pt idx="338">
                  <c:v>96.5</c:v>
                </c:pt>
                <c:pt idx="339">
                  <c:v>96.799999999999983</c:v>
                </c:pt>
                <c:pt idx="340">
                  <c:v>97.1</c:v>
                </c:pt>
                <c:pt idx="341">
                  <c:v>97.4</c:v>
                </c:pt>
                <c:pt idx="342">
                  <c:v>97.699999999999989</c:v>
                </c:pt>
                <c:pt idx="343">
                  <c:v>98</c:v>
                </c:pt>
                <c:pt idx="344">
                  <c:v>98.199999999999989</c:v>
                </c:pt>
                <c:pt idx="345">
                  <c:v>98.5</c:v>
                </c:pt>
                <c:pt idx="346">
                  <c:v>98.799999999999983</c:v>
                </c:pt>
                <c:pt idx="347">
                  <c:v>99.1</c:v>
                </c:pt>
                <c:pt idx="348">
                  <c:v>99.4</c:v>
                </c:pt>
                <c:pt idx="349">
                  <c:v>99.699999999999989</c:v>
                </c:pt>
                <c:pt idx="350">
                  <c:v>100</c:v>
                </c:pt>
                <c:pt idx="351">
                  <c:v>100.19999999999999</c:v>
                </c:pt>
                <c:pt idx="352">
                  <c:v>100.5</c:v>
                </c:pt>
                <c:pt idx="353">
                  <c:v>100.79999999999998</c:v>
                </c:pt>
                <c:pt idx="354">
                  <c:v>101.1</c:v>
                </c:pt>
                <c:pt idx="355">
                  <c:v>101.4</c:v>
                </c:pt>
                <c:pt idx="356">
                  <c:v>101.69999999999999</c:v>
                </c:pt>
                <c:pt idx="357">
                  <c:v>102</c:v>
                </c:pt>
                <c:pt idx="358">
                  <c:v>102.19999999999999</c:v>
                </c:pt>
                <c:pt idx="359">
                  <c:v>102.5</c:v>
                </c:pt>
                <c:pt idx="360">
                  <c:v>102.79999999999998</c:v>
                </c:pt>
                <c:pt idx="361">
                  <c:v>103.1</c:v>
                </c:pt>
                <c:pt idx="362">
                  <c:v>103.4</c:v>
                </c:pt>
                <c:pt idx="363">
                  <c:v>103.69999999999999</c:v>
                </c:pt>
                <c:pt idx="364">
                  <c:v>104</c:v>
                </c:pt>
                <c:pt idx="365">
                  <c:v>104.19999999999999</c:v>
                </c:pt>
                <c:pt idx="366">
                  <c:v>104.5</c:v>
                </c:pt>
                <c:pt idx="367">
                  <c:v>104.79999999999998</c:v>
                </c:pt>
                <c:pt idx="368">
                  <c:v>105.1</c:v>
                </c:pt>
                <c:pt idx="369">
                  <c:v>105.4</c:v>
                </c:pt>
                <c:pt idx="370">
                  <c:v>105.69999999999999</c:v>
                </c:pt>
                <c:pt idx="371">
                  <c:v>106</c:v>
                </c:pt>
                <c:pt idx="372">
                  <c:v>106.19999999999999</c:v>
                </c:pt>
                <c:pt idx="373">
                  <c:v>106.5</c:v>
                </c:pt>
                <c:pt idx="374">
                  <c:v>106.79999999999998</c:v>
                </c:pt>
                <c:pt idx="375">
                  <c:v>107.1</c:v>
                </c:pt>
                <c:pt idx="376">
                  <c:v>107.4</c:v>
                </c:pt>
                <c:pt idx="377">
                  <c:v>107.69999999999999</c:v>
                </c:pt>
                <c:pt idx="378">
                  <c:v>108</c:v>
                </c:pt>
                <c:pt idx="379">
                  <c:v>108.19999999999999</c:v>
                </c:pt>
                <c:pt idx="380">
                  <c:v>108.5</c:v>
                </c:pt>
                <c:pt idx="381">
                  <c:v>108.79999999999998</c:v>
                </c:pt>
                <c:pt idx="382">
                  <c:v>109.1</c:v>
                </c:pt>
                <c:pt idx="383">
                  <c:v>109.4</c:v>
                </c:pt>
                <c:pt idx="384">
                  <c:v>109.69999999999999</c:v>
                </c:pt>
                <c:pt idx="385">
                  <c:v>110</c:v>
                </c:pt>
                <c:pt idx="386">
                  <c:v>110.19999999999999</c:v>
                </c:pt>
                <c:pt idx="387">
                  <c:v>110.5</c:v>
                </c:pt>
                <c:pt idx="388">
                  <c:v>110.79999999999998</c:v>
                </c:pt>
                <c:pt idx="389">
                  <c:v>111.1</c:v>
                </c:pt>
                <c:pt idx="390">
                  <c:v>111.4</c:v>
                </c:pt>
                <c:pt idx="391">
                  <c:v>111.69999999999999</c:v>
                </c:pt>
                <c:pt idx="392">
                  <c:v>112</c:v>
                </c:pt>
                <c:pt idx="393">
                  <c:v>112.19999999999999</c:v>
                </c:pt>
                <c:pt idx="394">
                  <c:v>112.5</c:v>
                </c:pt>
                <c:pt idx="395">
                  <c:v>112.79999999999998</c:v>
                </c:pt>
                <c:pt idx="396">
                  <c:v>113.1</c:v>
                </c:pt>
                <c:pt idx="397">
                  <c:v>113.4</c:v>
                </c:pt>
                <c:pt idx="398">
                  <c:v>113.69999999999999</c:v>
                </c:pt>
                <c:pt idx="399">
                  <c:v>114</c:v>
                </c:pt>
                <c:pt idx="400">
                  <c:v>114.19999999999999</c:v>
                </c:pt>
                <c:pt idx="401">
                  <c:v>114.5</c:v>
                </c:pt>
                <c:pt idx="402">
                  <c:v>114.79999999999998</c:v>
                </c:pt>
                <c:pt idx="403">
                  <c:v>115.1</c:v>
                </c:pt>
                <c:pt idx="404">
                  <c:v>115.4</c:v>
                </c:pt>
                <c:pt idx="405">
                  <c:v>115.69999999999999</c:v>
                </c:pt>
                <c:pt idx="406">
                  <c:v>116</c:v>
                </c:pt>
                <c:pt idx="407">
                  <c:v>116.19999999999999</c:v>
                </c:pt>
                <c:pt idx="408">
                  <c:v>116.5</c:v>
                </c:pt>
                <c:pt idx="409">
                  <c:v>116.79999999999998</c:v>
                </c:pt>
                <c:pt idx="410">
                  <c:v>117.1</c:v>
                </c:pt>
                <c:pt idx="411">
                  <c:v>117.4</c:v>
                </c:pt>
                <c:pt idx="412">
                  <c:v>117.69999999999999</c:v>
                </c:pt>
                <c:pt idx="413">
                  <c:v>118</c:v>
                </c:pt>
                <c:pt idx="414">
                  <c:v>118.19999999999999</c:v>
                </c:pt>
                <c:pt idx="415">
                  <c:v>118.5</c:v>
                </c:pt>
                <c:pt idx="416">
                  <c:v>118.79999999999998</c:v>
                </c:pt>
                <c:pt idx="417">
                  <c:v>119.1</c:v>
                </c:pt>
                <c:pt idx="418">
                  <c:v>119.4</c:v>
                </c:pt>
                <c:pt idx="419">
                  <c:v>119.69999999999999</c:v>
                </c:pt>
                <c:pt idx="420">
                  <c:v>120</c:v>
                </c:pt>
                <c:pt idx="421">
                  <c:v>120.19999999999999</c:v>
                </c:pt>
                <c:pt idx="422">
                  <c:v>120.5</c:v>
                </c:pt>
                <c:pt idx="423">
                  <c:v>120.79999999999998</c:v>
                </c:pt>
                <c:pt idx="424">
                  <c:v>121.1</c:v>
                </c:pt>
                <c:pt idx="425">
                  <c:v>121.4</c:v>
                </c:pt>
                <c:pt idx="426">
                  <c:v>121.69999999999999</c:v>
                </c:pt>
                <c:pt idx="427">
                  <c:v>122</c:v>
                </c:pt>
                <c:pt idx="428">
                  <c:v>122.19999999999999</c:v>
                </c:pt>
                <c:pt idx="429">
                  <c:v>122.5</c:v>
                </c:pt>
                <c:pt idx="430">
                  <c:v>122.79999999999998</c:v>
                </c:pt>
                <c:pt idx="431">
                  <c:v>123.1</c:v>
                </c:pt>
                <c:pt idx="432">
                  <c:v>123.4</c:v>
                </c:pt>
                <c:pt idx="433">
                  <c:v>123.69999999999999</c:v>
                </c:pt>
                <c:pt idx="434">
                  <c:v>124</c:v>
                </c:pt>
                <c:pt idx="435">
                  <c:v>124.19999999999999</c:v>
                </c:pt>
                <c:pt idx="436">
                  <c:v>124.5</c:v>
                </c:pt>
                <c:pt idx="437">
                  <c:v>124.79999999999998</c:v>
                </c:pt>
                <c:pt idx="438">
                  <c:v>125.1</c:v>
                </c:pt>
                <c:pt idx="439">
                  <c:v>125.4</c:v>
                </c:pt>
                <c:pt idx="440">
                  <c:v>125.69999999999999</c:v>
                </c:pt>
                <c:pt idx="441">
                  <c:v>126</c:v>
                </c:pt>
                <c:pt idx="442">
                  <c:v>126.19999999999999</c:v>
                </c:pt>
                <c:pt idx="443">
                  <c:v>126.5</c:v>
                </c:pt>
                <c:pt idx="444">
                  <c:v>126.79999999999998</c:v>
                </c:pt>
                <c:pt idx="445">
                  <c:v>127.1</c:v>
                </c:pt>
                <c:pt idx="446">
                  <c:v>127.4</c:v>
                </c:pt>
                <c:pt idx="447">
                  <c:v>127.69999999999999</c:v>
                </c:pt>
                <c:pt idx="448">
                  <c:v>128</c:v>
                </c:pt>
                <c:pt idx="449">
                  <c:v>128.19999999999999</c:v>
                </c:pt>
                <c:pt idx="450">
                  <c:v>128.5</c:v>
                </c:pt>
                <c:pt idx="451">
                  <c:v>128.79999999999998</c:v>
                </c:pt>
                <c:pt idx="452">
                  <c:v>129.1</c:v>
                </c:pt>
                <c:pt idx="453">
                  <c:v>129.4</c:v>
                </c:pt>
                <c:pt idx="454">
                  <c:v>129.69999999999999</c:v>
                </c:pt>
                <c:pt idx="455">
                  <c:v>130</c:v>
                </c:pt>
                <c:pt idx="456">
                  <c:v>130.19999999999999</c:v>
                </c:pt>
                <c:pt idx="457">
                  <c:v>130.5</c:v>
                </c:pt>
                <c:pt idx="458">
                  <c:v>130.79999999999998</c:v>
                </c:pt>
                <c:pt idx="459">
                  <c:v>131.1</c:v>
                </c:pt>
                <c:pt idx="460">
                  <c:v>131.4</c:v>
                </c:pt>
                <c:pt idx="461">
                  <c:v>131.69999999999999</c:v>
                </c:pt>
                <c:pt idx="462">
                  <c:v>132</c:v>
                </c:pt>
                <c:pt idx="463">
                  <c:v>132.19999999999999</c:v>
                </c:pt>
                <c:pt idx="464">
                  <c:v>132.5</c:v>
                </c:pt>
                <c:pt idx="465">
                  <c:v>132.79999999999998</c:v>
                </c:pt>
                <c:pt idx="466">
                  <c:v>133.1</c:v>
                </c:pt>
                <c:pt idx="467">
                  <c:v>133.4</c:v>
                </c:pt>
                <c:pt idx="468">
                  <c:v>133.69999999999999</c:v>
                </c:pt>
                <c:pt idx="469">
                  <c:v>134</c:v>
                </c:pt>
                <c:pt idx="470">
                  <c:v>134.19999999999999</c:v>
                </c:pt>
                <c:pt idx="471">
                  <c:v>134.5</c:v>
                </c:pt>
                <c:pt idx="472">
                  <c:v>134.79999999999998</c:v>
                </c:pt>
                <c:pt idx="473">
                  <c:v>135.1</c:v>
                </c:pt>
                <c:pt idx="474">
                  <c:v>135.4</c:v>
                </c:pt>
                <c:pt idx="475">
                  <c:v>135.69999999999999</c:v>
                </c:pt>
                <c:pt idx="476">
                  <c:v>136</c:v>
                </c:pt>
                <c:pt idx="477">
                  <c:v>136.19999999999999</c:v>
                </c:pt>
                <c:pt idx="478">
                  <c:v>136.5</c:v>
                </c:pt>
                <c:pt idx="479">
                  <c:v>136.79999999999998</c:v>
                </c:pt>
                <c:pt idx="480">
                  <c:v>137.1</c:v>
                </c:pt>
                <c:pt idx="481">
                  <c:v>137.4</c:v>
                </c:pt>
                <c:pt idx="482">
                  <c:v>137.69999999999999</c:v>
                </c:pt>
                <c:pt idx="483">
                  <c:v>138</c:v>
                </c:pt>
                <c:pt idx="484">
                  <c:v>138.19999999999999</c:v>
                </c:pt>
                <c:pt idx="485">
                  <c:v>138.5</c:v>
                </c:pt>
                <c:pt idx="486">
                  <c:v>138.79999999999998</c:v>
                </c:pt>
                <c:pt idx="487">
                  <c:v>139.1</c:v>
                </c:pt>
                <c:pt idx="488">
                  <c:v>139.4</c:v>
                </c:pt>
                <c:pt idx="489">
                  <c:v>139.69999999999999</c:v>
                </c:pt>
                <c:pt idx="490">
                  <c:v>140</c:v>
                </c:pt>
                <c:pt idx="491">
                  <c:v>140.19999999999999</c:v>
                </c:pt>
                <c:pt idx="492">
                  <c:v>140.5</c:v>
                </c:pt>
                <c:pt idx="493">
                  <c:v>140.79999999999998</c:v>
                </c:pt>
              </c:numCache>
            </c:numRef>
          </c:xVal>
          <c:yVal>
            <c:numRef>
              <c:f>'sheet 1'!$Q$39:$Q$841</c:f>
              <c:numCache>
                <c:formatCode>General</c:formatCode>
                <c:ptCount val="803"/>
                <c:pt idx="0">
                  <c:v>987.01611606053268</c:v>
                </c:pt>
                <c:pt idx="1">
                  <c:v>985.73915448992511</c:v>
                </c:pt>
                <c:pt idx="2">
                  <c:v>983.82757767666226</c:v>
                </c:pt>
                <c:pt idx="3">
                  <c:v>981.92062815190502</c:v>
                </c:pt>
                <c:pt idx="4">
                  <c:v>980.01829316724263</c:v>
                </c:pt>
                <c:pt idx="5">
                  <c:v>978.12056001189831</c:v>
                </c:pt>
                <c:pt idx="6">
                  <c:v>976.2274160126168</c:v>
                </c:pt>
                <c:pt idx="7">
                  <c:v>974.33884853355278</c:v>
                </c:pt>
                <c:pt idx="8">
                  <c:v>973.08233983570517</c:v>
                </c:pt>
                <c:pt idx="9">
                  <c:v>971.20137191192862</c:v>
                </c:pt>
                <c:pt idx="10">
                  <c:v>969.32494699481697</c:v>
                </c:pt>
                <c:pt idx="11">
                  <c:v>967.45305258473309</c:v>
                </c:pt>
                <c:pt idx="12">
                  <c:v>965.5856762189278</c:v>
                </c:pt>
                <c:pt idx="13">
                  <c:v>963.72280547142964</c:v>
                </c:pt>
                <c:pt idx="14">
                  <c:v>961.86442795293374</c:v>
                </c:pt>
                <c:pt idx="15">
                  <c:v>960.62799974397967</c:v>
                </c:pt>
                <c:pt idx="16">
                  <c:v>958.77708350793762</c:v>
                </c:pt>
                <c:pt idx="17">
                  <c:v>956.93062764117394</c:v>
                </c:pt>
                <c:pt idx="18">
                  <c:v>955.08861988788851</c:v>
                </c:pt>
                <c:pt idx="19">
                  <c:v>953.25104802843714</c:v>
                </c:pt>
                <c:pt idx="20">
                  <c:v>951.41789987922255</c:v>
                </c:pt>
                <c:pt idx="21">
                  <c:v>949.58916329258557</c:v>
                </c:pt>
                <c:pt idx="22">
                  <c:v>948.37245045363863</c:v>
                </c:pt>
                <c:pt idx="23">
                  <c:v>946.55103957376866</c:v>
                </c:pt>
                <c:pt idx="24">
                  <c:v>944.73400803759785</c:v>
                </c:pt>
                <c:pt idx="25">
                  <c:v>942.92134382832137</c:v>
                </c:pt>
                <c:pt idx="26">
                  <c:v>941.1130349645689</c:v>
                </c:pt>
                <c:pt idx="27">
                  <c:v>939.3090695003018</c:v>
                </c:pt>
                <c:pt idx="28">
                  <c:v>937.50943552470687</c:v>
                </c:pt>
                <c:pt idx="29">
                  <c:v>936.3120800575889</c:v>
                </c:pt>
                <c:pt idx="30">
                  <c:v>934.51963885663838</c:v>
                </c:pt>
                <c:pt idx="31">
                  <c:v>932.73149755358963</c:v>
                </c:pt>
                <c:pt idx="32">
                  <c:v>930.94764436588071</c:v>
                </c:pt>
                <c:pt idx="33">
                  <c:v>929.16806754567949</c:v>
                </c:pt>
                <c:pt idx="34">
                  <c:v>927.39275537978335</c:v>
                </c:pt>
                <c:pt idx="35">
                  <c:v>925.62169618951202</c:v>
                </c:pt>
                <c:pt idx="36">
                  <c:v>924.44334707523581</c:v>
                </c:pt>
                <c:pt idx="37">
                  <c:v>922.67935031849038</c:v>
                </c:pt>
                <c:pt idx="38">
                  <c:v>920.9195755622161</c:v>
                </c:pt>
                <c:pt idx="39">
                  <c:v>919.1640112534335</c:v>
                </c:pt>
                <c:pt idx="40">
                  <c:v>917.41264587320109</c:v>
                </c:pt>
                <c:pt idx="41">
                  <c:v>915.6654679365198</c:v>
                </c:pt>
                <c:pt idx="42">
                  <c:v>913.92246599222358</c:v>
                </c:pt>
                <c:pt idx="43">
                  <c:v>912.76277905217285</c:v>
                </c:pt>
                <c:pt idx="44">
                  <c:v>911.02671173972999</c:v>
                </c:pt>
                <c:pt idx="45">
                  <c:v>909.29479004788038</c:v>
                </c:pt>
                <c:pt idx="46">
                  <c:v>907.56700264865356</c:v>
                </c:pt>
                <c:pt idx="47">
                  <c:v>905.84333824744488</c:v>
                </c:pt>
                <c:pt idx="48">
                  <c:v>904.12378558291027</c:v>
                </c:pt>
                <c:pt idx="49">
                  <c:v>902.40833342686824</c:v>
                </c:pt>
                <c:pt idx="50">
                  <c:v>901.26697118663583</c:v>
                </c:pt>
                <c:pt idx="51">
                  <c:v>899.55832834965395</c:v>
                </c:pt>
                <c:pt idx="52">
                  <c:v>897.85375624071355</c:v>
                </c:pt>
                <c:pt idx="53">
                  <c:v>896.15324375237458</c:v>
                </c:pt>
                <c:pt idx="54">
                  <c:v>894.45677980989433</c:v>
                </c:pt>
                <c:pt idx="55">
                  <c:v>892.764353371129</c:v>
                </c:pt>
                <c:pt idx="56">
                  <c:v>891.0759534264372</c:v>
                </c:pt>
                <c:pt idx="57">
                  <c:v>889.95258498227133</c:v>
                </c:pt>
                <c:pt idx="58">
                  <c:v>888.27087148312614</c:v>
                </c:pt>
                <c:pt idx="59">
                  <c:v>886.5931552771566</c:v>
                </c:pt>
                <c:pt idx="60">
                  <c:v>884.91942547305359</c:v>
                </c:pt>
                <c:pt idx="61">
                  <c:v>883.2496712115535</c:v>
                </c:pt>
                <c:pt idx="62">
                  <c:v>881.58388166534223</c:v>
                </c:pt>
                <c:pt idx="63">
                  <c:v>879.92204603895777</c:v>
                </c:pt>
                <c:pt idx="64">
                  <c:v>878.81634692678006</c:v>
                </c:pt>
                <c:pt idx="65">
                  <c:v>877.16107726306643</c:v>
                </c:pt>
                <c:pt idx="66">
                  <c:v>875.50973288627506</c:v>
                </c:pt>
                <c:pt idx="67">
                  <c:v>873.86230311691486</c:v>
                </c:pt>
                <c:pt idx="68">
                  <c:v>872.21877730690255</c:v>
                </c:pt>
                <c:pt idx="69">
                  <c:v>870.57914483946558</c:v>
                </c:pt>
                <c:pt idx="70">
                  <c:v>868.94339512904776</c:v>
                </c:pt>
                <c:pt idx="71">
                  <c:v>867.85504719599157</c:v>
                </c:pt>
                <c:pt idx="72">
                  <c:v>866.22574530830241</c:v>
                </c:pt>
                <c:pt idx="73">
                  <c:v>864.60029810138167</c:v>
                </c:pt>
                <c:pt idx="74">
                  <c:v>862.97869510332953</c:v>
                </c:pt>
                <c:pt idx="75">
                  <c:v>861.36092587302596</c:v>
                </c:pt>
                <c:pt idx="76">
                  <c:v>859.74698000003525</c:v>
                </c:pt>
                <c:pt idx="77">
                  <c:v>858.13684710451571</c:v>
                </c:pt>
                <c:pt idx="78">
                  <c:v>857.06553838294849</c:v>
                </c:pt>
                <c:pt idx="79">
                  <c:v>855.46173746636532</c:v>
                </c:pt>
                <c:pt idx="80">
                  <c:v>853.86172199653868</c:v>
                </c:pt>
                <c:pt idx="81">
                  <c:v>852.26548170501235</c:v>
                </c:pt>
                <c:pt idx="82">
                  <c:v>850.67300635349341</c:v>
                </c:pt>
                <c:pt idx="83">
                  <c:v>849.0842857337625</c:v>
                </c:pt>
                <c:pt idx="84">
                  <c:v>847.49930966758029</c:v>
                </c:pt>
                <c:pt idx="85">
                  <c:v>846.44473425156286</c:v>
                </c:pt>
                <c:pt idx="86">
                  <c:v>844.86597657079972</c:v>
                </c:pt>
                <c:pt idx="87">
                  <c:v>843.29093644750481</c:v>
                </c:pt>
                <c:pt idx="88">
                  <c:v>841.71960381259817</c:v>
                </c:pt>
                <c:pt idx="89">
                  <c:v>840.15196862656126</c:v>
                </c:pt>
                <c:pt idx="90">
                  <c:v>838.58802087934657</c:v>
                </c:pt>
                <c:pt idx="91">
                  <c:v>837.02775059028772</c:v>
                </c:pt>
                <c:pt idx="92">
                  <c:v>835.9896085144303</c:v>
                </c:pt>
                <c:pt idx="93">
                  <c:v>834.43544522256309</c:v>
                </c:pt>
                <c:pt idx="94">
                  <c:v>832.88493291671443</c:v>
                </c:pt>
                <c:pt idx="95">
                  <c:v>831.33806172319328</c:v>
                </c:pt>
                <c:pt idx="96">
                  <c:v>829.7948217972795</c:v>
                </c:pt>
                <c:pt idx="97">
                  <c:v>828.2552033231334</c:v>
                </c:pt>
                <c:pt idx="98">
                  <c:v>826.71919651370979</c:v>
                </c:pt>
                <c:pt idx="99">
                  <c:v>825.69719363438446</c:v>
                </c:pt>
                <c:pt idx="100">
                  <c:v>824.16718459510673</c:v>
                </c:pt>
                <c:pt idx="101">
                  <c:v>822.64076126187388</c:v>
                </c:pt>
                <c:pt idx="102">
                  <c:v>821.11791395247587</c:v>
                </c:pt>
                <c:pt idx="103">
                  <c:v>819.59863301309144</c:v>
                </c:pt>
                <c:pt idx="104">
                  <c:v>818.08290881820312</c:v>
                </c:pt>
                <c:pt idx="105">
                  <c:v>816.57073177051211</c:v>
                </c:pt>
                <c:pt idx="106">
                  <c:v>815.56457964937931</c:v>
                </c:pt>
                <c:pt idx="107">
                  <c:v>814.05829326271964</c:v>
                </c:pt>
                <c:pt idx="108">
                  <c:v>812.55552856776228</c:v>
                </c:pt>
                <c:pt idx="109">
                  <c:v>811.0562760699429</c:v>
                </c:pt>
                <c:pt idx="110">
                  <c:v>809.56052630251861</c:v>
                </c:pt>
                <c:pt idx="111">
                  <c:v>808.0682698264834</c:v>
                </c:pt>
                <c:pt idx="112">
                  <c:v>806.57949723048341</c:v>
                </c:pt>
                <c:pt idx="113">
                  <c:v>805.58891302029269</c:v>
                </c:pt>
                <c:pt idx="114">
                  <c:v>804.1059260517402</c:v>
                </c:pt>
                <c:pt idx="115">
                  <c:v>802.62639800083457</c:v>
                </c:pt>
                <c:pt idx="116">
                  <c:v>801.15031955690051</c:v>
                </c:pt>
                <c:pt idx="117">
                  <c:v>799.67768143652597</c:v>
                </c:pt>
                <c:pt idx="118">
                  <c:v>798.20847438347994</c:v>
                </c:pt>
                <c:pt idx="119">
                  <c:v>796.74268916863036</c:v>
                </c:pt>
                <c:pt idx="120">
                  <c:v>795.76739550125342</c:v>
                </c:pt>
                <c:pt idx="121">
                  <c:v>794.30729291422233</c:v>
                </c:pt>
                <c:pt idx="122">
                  <c:v>792.85058768622662</c:v>
                </c:pt>
                <c:pt idx="123">
                  <c:v>791.39727068679406</c:v>
                </c:pt>
                <c:pt idx="124">
                  <c:v>789.94733281217043</c:v>
                </c:pt>
                <c:pt idx="125">
                  <c:v>788.5007649852372</c:v>
                </c:pt>
                <c:pt idx="126">
                  <c:v>787.05755815543182</c:v>
                </c:pt>
                <c:pt idx="127">
                  <c:v>786.09728303209488</c:v>
                </c:pt>
                <c:pt idx="128">
                  <c:v>784.65965782367834</c:v>
                </c:pt>
                <c:pt idx="129">
                  <c:v>783.22536960677041</c:v>
                </c:pt>
                <c:pt idx="130">
                  <c:v>781.79440942749136</c:v>
                </c:pt>
                <c:pt idx="131">
                  <c:v>780.36676835814239</c:v>
                </c:pt>
                <c:pt idx="132">
                  <c:v>778.9424374971278</c:v>
                </c:pt>
                <c:pt idx="133">
                  <c:v>777.52140796887409</c:v>
                </c:pt>
                <c:pt idx="134">
                  <c:v>776.57588465254184</c:v>
                </c:pt>
                <c:pt idx="135">
                  <c:v>775.16033769248975</c:v>
                </c:pt>
                <c:pt idx="136">
                  <c:v>773.74806852362735</c:v>
                </c:pt>
                <c:pt idx="137">
                  <c:v>772.3390683651254</c:v>
                </c:pt>
                <c:pt idx="138">
                  <c:v>770.93332846181102</c:v>
                </c:pt>
                <c:pt idx="139">
                  <c:v>769.53084008409007</c:v>
                </c:pt>
                <c:pt idx="140">
                  <c:v>768.13159452786988</c:v>
                </c:pt>
                <c:pt idx="141">
                  <c:v>767.20056143775003</c:v>
                </c:pt>
                <c:pt idx="142">
                  <c:v>765.80670131061902</c:v>
                </c:pt>
                <c:pt idx="143">
                  <c:v>764.41606091815754</c:v>
                </c:pt>
                <c:pt idx="144">
                  <c:v>763.02863164911662</c:v>
                </c:pt>
                <c:pt idx="145">
                  <c:v>761.64440491738821</c:v>
                </c:pt>
                <c:pt idx="146">
                  <c:v>760.26337216192974</c:v>
                </c:pt>
                <c:pt idx="147">
                  <c:v>758.88552484668867</c:v>
                </c:pt>
                <c:pt idx="148">
                  <c:v>757.96872545481642</c:v>
                </c:pt>
                <c:pt idx="149">
                  <c:v>756.59616830523009</c:v>
                </c:pt>
                <c:pt idx="150">
                  <c:v>755.22677395464768</c:v>
                </c:pt>
                <c:pt idx="151">
                  <c:v>753.86053395799684</c:v>
                </c:pt>
                <c:pt idx="152">
                  <c:v>752.49743989484193</c:v>
                </c:pt>
                <c:pt idx="153">
                  <c:v>751.13748336931087</c:v>
                </c:pt>
                <c:pt idx="154">
                  <c:v>749.78065601001811</c:v>
                </c:pt>
                <c:pt idx="155">
                  <c:v>748.87783873988133</c:v>
                </c:pt>
                <c:pt idx="156">
                  <c:v>747.52620812085092</c:v>
                </c:pt>
                <c:pt idx="157">
                  <c:v>746.17768446352034</c:v>
                </c:pt>
                <c:pt idx="158">
                  <c:v>744.83225948565871</c:v>
                </c:pt>
                <c:pt idx="159">
                  <c:v>743.48992492917887</c:v>
                </c:pt>
                <c:pt idx="160">
                  <c:v>742.15067256006239</c:v>
                </c:pt>
                <c:pt idx="161">
                  <c:v>740.81449416828696</c:v>
                </c:pt>
                <c:pt idx="162">
                  <c:v>739.92541229545964</c:v>
                </c:pt>
                <c:pt idx="163">
                  <c:v>738.59433901970431</c:v>
                </c:pt>
                <c:pt idx="164">
                  <c:v>737.26631794465993</c:v>
                </c:pt>
                <c:pt idx="165">
                  <c:v>735.94134094766946</c:v>
                </c:pt>
                <c:pt idx="166">
                  <c:v>734.61939992973305</c:v>
                </c:pt>
                <c:pt idx="167">
                  <c:v>733.30048681543769</c:v>
                </c:pt>
                <c:pt idx="168">
                  <c:v>731.98459355288469</c:v>
                </c:pt>
                <c:pt idx="169">
                  <c:v>731.10900510762963</c:v>
                </c:pt>
                <c:pt idx="170">
                  <c:v>729.79812710184558</c:v>
                </c:pt>
                <c:pt idx="171">
                  <c:v>728.49024759049098</c:v>
                </c:pt>
                <c:pt idx="172">
                  <c:v>727.18535860727707</c:v>
                </c:pt>
                <c:pt idx="173">
                  <c:v>725.88345220909878</c:v>
                </c:pt>
                <c:pt idx="174">
                  <c:v>724.58452047596279</c:v>
                </c:pt>
                <c:pt idx="175">
                  <c:v>723.28855551091829</c:v>
                </c:pt>
                <c:pt idx="176">
                  <c:v>722.42622318272288</c:v>
                </c:pt>
                <c:pt idx="177">
                  <c:v>721.1351853447469</c:v>
                </c:pt>
                <c:pt idx="178">
                  <c:v>719.84709332844648</c:v>
                </c:pt>
                <c:pt idx="179">
                  <c:v>718.56193932076189</c:v>
                </c:pt>
                <c:pt idx="180">
                  <c:v>717.27971553135012</c:v>
                </c:pt>
                <c:pt idx="181">
                  <c:v>716.00041419251716</c:v>
                </c:pt>
                <c:pt idx="182">
                  <c:v>714.72402755914845</c:v>
                </c:pt>
                <c:pt idx="183">
                  <c:v>713.87471860315975</c:v>
                </c:pt>
                <c:pt idx="184">
                  <c:v>712.60317266197444</c:v>
                </c:pt>
                <c:pt idx="185">
                  <c:v>711.33452088248077</c:v>
                </c:pt>
                <c:pt idx="186">
                  <c:v>710.06875560177036</c:v>
                </c:pt>
                <c:pt idx="187">
                  <c:v>708.80586917919493</c:v>
                </c:pt>
                <c:pt idx="188">
                  <c:v>707.54585399629968</c:v>
                </c:pt>
                <c:pt idx="189">
                  <c:v>706.28870245675603</c:v>
                </c:pt>
                <c:pt idx="190">
                  <c:v>705.45218860208081</c:v>
                </c:pt>
                <c:pt idx="191">
                  <c:v>704.19979298060798</c:v>
                </c:pt>
                <c:pt idx="192">
                  <c:v>702.95024085327054</c:v>
                </c:pt>
                <c:pt idx="193">
                  <c:v>701.70352470429418</c:v>
                </c:pt>
                <c:pt idx="194">
                  <c:v>700.45963703971768</c:v>
                </c:pt>
                <c:pt idx="195">
                  <c:v>699.21857038732901</c:v>
                </c:pt>
                <c:pt idx="196">
                  <c:v>697.98031729659556</c:v>
                </c:pt>
                <c:pt idx="197">
                  <c:v>697.15637465642737</c:v>
                </c:pt>
                <c:pt idx="198">
                  <c:v>695.9227943370621</c:v>
                </c:pt>
                <c:pt idx="199">
                  <c:v>694.69200781676477</c:v>
                </c:pt>
                <c:pt idx="200">
                  <c:v>693.46400772394077</c:v>
                </c:pt>
                <c:pt idx="201">
                  <c:v>692.23878670836916</c:v>
                </c:pt>
                <c:pt idx="202">
                  <c:v>691.01633744114042</c:v>
                </c:pt>
                <c:pt idx="203">
                  <c:v>689.79665261459081</c:v>
                </c:pt>
                <c:pt idx="204">
                  <c:v>688.98506159813553</c:v>
                </c:pt>
                <c:pt idx="205">
                  <c:v>687.7699679909648</c:v>
                </c:pt>
                <c:pt idx="206">
                  <c:v>686.55761944074732</c:v>
                </c:pt>
                <c:pt idx="207">
                  <c:v>685.34800871716902</c:v>
                </c:pt>
                <c:pt idx="208">
                  <c:v>684.14112861086232</c:v>
                </c:pt>
                <c:pt idx="209">
                  <c:v>682.93697193334174</c:v>
                </c:pt>
                <c:pt idx="210">
                  <c:v>681.73553151694068</c:v>
                </c:pt>
                <c:pt idx="211">
                  <c:v>680.93607674310454</c:v>
                </c:pt>
                <c:pt idx="212">
                  <c:v>679.7391475567664</c:v>
                </c:pt>
                <c:pt idx="213">
                  <c:v>678.54491561907105</c:v>
                </c:pt>
                <c:pt idx="214">
                  <c:v>677.35337383814726</c:v>
                </c:pt>
                <c:pt idx="215">
                  <c:v>676.16451514265032</c:v>
                </c:pt>
                <c:pt idx="216">
                  <c:v>674.97833248169718</c:v>
                </c:pt>
                <c:pt idx="217">
                  <c:v>673.79481882480536</c:v>
                </c:pt>
                <c:pt idx="218">
                  <c:v>673.0072890376108</c:v>
                </c:pt>
                <c:pt idx="219">
                  <c:v>671.82820815274067</c:v>
                </c:pt>
                <c:pt idx="220">
                  <c:v>670.6517776232447</c:v>
                </c:pt>
                <c:pt idx="221">
                  <c:v>669.47799049291382</c:v>
                </c:pt>
                <c:pt idx="222">
                  <c:v>668.30683982565142</c:v>
                </c:pt>
                <c:pt idx="223">
                  <c:v>667.13831870541276</c:v>
                </c:pt>
                <c:pt idx="224">
                  <c:v>665.97242023614331</c:v>
                </c:pt>
                <c:pt idx="225">
                  <c:v>665.19660822184483</c:v>
                </c:pt>
                <c:pt idx="226">
                  <c:v>664.03506556706282</c:v>
                </c:pt>
                <c:pt idx="227">
                  <c:v>662.87612727104272</c:v>
                </c:pt>
                <c:pt idx="228">
                  <c:v>661.7197865105112</c:v>
                </c:pt>
                <c:pt idx="229">
                  <c:v>660.56603648190321</c:v>
                </c:pt>
                <c:pt idx="230">
                  <c:v>659.41487040130255</c:v>
                </c:pt>
                <c:pt idx="231">
                  <c:v>658.26628150438205</c:v>
                </c:pt>
                <c:pt idx="232">
                  <c:v>657.50198401024647</c:v>
                </c:pt>
                <c:pt idx="233">
                  <c:v>656.35767544063719</c:v>
                </c:pt>
                <c:pt idx="234">
                  <c:v>655.21592611181825</c:v>
                </c:pt>
                <c:pt idx="235">
                  <c:v>654.07672933078061</c:v>
                </c:pt>
                <c:pt idx="236">
                  <c:v>652.94007842382837</c:v>
                </c:pt>
                <c:pt idx="237">
                  <c:v>651.80596673651905</c:v>
                </c:pt>
                <c:pt idx="238">
                  <c:v>650.67438763360587</c:v>
                </c:pt>
                <c:pt idx="239">
                  <c:v>649.92140528832772</c:v>
                </c:pt>
                <c:pt idx="240">
                  <c:v>648.7940324663665</c:v>
                </c:pt>
                <c:pt idx="241">
                  <c:v>647.66917462821084</c:v>
                </c:pt>
                <c:pt idx="242">
                  <c:v>646.5468252085002</c:v>
                </c:pt>
                <c:pt idx="243">
                  <c:v>645.42697766079755</c:v>
                </c:pt>
                <c:pt idx="244">
                  <c:v>644.30962545753368</c:v>
                </c:pt>
                <c:pt idx="245">
                  <c:v>643.19476208994888</c:v>
                </c:pt>
                <c:pt idx="246">
                  <c:v>642.45289932566902</c:v>
                </c:pt>
                <c:pt idx="247">
                  <c:v>641.3421696045466</c:v>
                </c:pt>
                <c:pt idx="248">
                  <c:v>640.23391145393634</c:v>
                </c:pt>
                <c:pt idx="249">
                  <c:v>639.12811843356008</c:v>
                </c:pt>
                <c:pt idx="250">
                  <c:v>638.02478412168432</c:v>
                </c:pt>
                <c:pt idx="251">
                  <c:v>636.92390211506415</c:v>
                </c:pt>
                <c:pt idx="252">
                  <c:v>635.82546602888635</c:v>
                </c:pt>
                <c:pt idx="253">
                  <c:v>635.09453100478413</c:v>
                </c:pt>
                <c:pt idx="254">
                  <c:v>634.00015731408814</c:v>
                </c:pt>
                <c:pt idx="255">
                  <c:v>632.90821260735277</c:v>
                </c:pt>
                <c:pt idx="256">
                  <c:v>631.81869056687094</c:v>
                </c:pt>
                <c:pt idx="257">
                  <c:v>630.73158489310754</c:v>
                </c:pt>
                <c:pt idx="258">
                  <c:v>629.64688930464501</c:v>
                </c:pt>
                <c:pt idx="259">
                  <c:v>628.56459753812658</c:v>
                </c:pt>
                <c:pt idx="260">
                  <c:v>627.8444020655545</c:v>
                </c:pt>
                <c:pt idx="261">
                  <c:v>626.76610279925762</c:v>
                </c:pt>
                <c:pt idx="262">
                  <c:v>625.69019074050709</c:v>
                </c:pt>
                <c:pt idx="263">
                  <c:v>624.61665969170565</c:v>
                </c:pt>
                <c:pt idx="264">
                  <c:v>623.54550347306247</c:v>
                </c:pt>
                <c:pt idx="265">
                  <c:v>622.47671592254028</c:v>
                </c:pt>
                <c:pt idx="266">
                  <c:v>621.41029089580093</c:v>
                </c:pt>
                <c:pt idx="267">
                  <c:v>620.7006503649352</c:v>
                </c:pt>
                <c:pt idx="268">
                  <c:v>619.63814927164958</c:v>
                </c:pt>
                <c:pt idx="269">
                  <c:v>618.57799440336532</c:v>
                </c:pt>
                <c:pt idx="270">
                  <c:v>617.52017968018208</c:v>
                </c:pt>
                <c:pt idx="271">
                  <c:v>616.46469903964908</c:v>
                </c:pt>
                <c:pt idx="272">
                  <c:v>615.41154643671302</c:v>
                </c:pt>
                <c:pt idx="273">
                  <c:v>614.36071584366323</c:v>
                </c:pt>
                <c:pt idx="274">
                  <c:v>613.66144915163784</c:v>
                </c:pt>
                <c:pt idx="275">
                  <c:v>612.61447522709386</c:v>
                </c:pt>
                <c:pt idx="276">
                  <c:v>611.56980732293493</c:v>
                </c:pt>
                <c:pt idx="277">
                  <c:v>610.52743947459476</c:v>
                </c:pt>
                <c:pt idx="278">
                  <c:v>609.48736573460769</c:v>
                </c:pt>
                <c:pt idx="279">
                  <c:v>608.44958017255522</c:v>
                </c:pt>
                <c:pt idx="280">
                  <c:v>607.41407687501373</c:v>
                </c:pt>
                <c:pt idx="281">
                  <c:v>606.72500635551069</c:v>
                </c:pt>
                <c:pt idx="282">
                  <c:v>605.69329373721223</c:v>
                </c:pt>
                <c:pt idx="283">
                  <c:v>604.66384769699505</c:v>
                </c:pt>
                <c:pt idx="284">
                  <c:v>603.6366623833128</c:v>
                </c:pt>
                <c:pt idx="285">
                  <c:v>602.61173196137634</c:v>
                </c:pt>
                <c:pt idx="286">
                  <c:v>601.58905061310145</c:v>
                </c:pt>
                <c:pt idx="287">
                  <c:v>600.56861253705802</c:v>
                </c:pt>
                <c:pt idx="288">
                  <c:v>599.8895638913275</c:v>
                </c:pt>
                <c:pt idx="289">
                  <c:v>598.87285175534578</c:v>
                </c:pt>
                <c:pt idx="290">
                  <c:v>597.85836750215537</c:v>
                </c:pt>
                <c:pt idx="291">
                  <c:v>596.84610539096218</c:v>
                </c:pt>
                <c:pt idx="292">
                  <c:v>595.83605969739222</c:v>
                </c:pt>
                <c:pt idx="293">
                  <c:v>594.82822471344161</c:v>
                </c:pt>
                <c:pt idx="294">
                  <c:v>593.82259474742716</c:v>
                </c:pt>
                <c:pt idx="295">
                  <c:v>593.153396976708</c:v>
                </c:pt>
                <c:pt idx="296">
                  <c:v>592.15142943657247</c:v>
                </c:pt>
                <c:pt idx="297">
                  <c:v>591.15165181596399</c:v>
                </c:pt>
                <c:pt idx="298">
                  <c:v>590.15405848261844</c:v>
                </c:pt>
                <c:pt idx="299">
                  <c:v>589.1586438203625</c:v>
                </c:pt>
                <c:pt idx="300">
                  <c:v>588.16540222906497</c:v>
                </c:pt>
                <c:pt idx="301">
                  <c:v>587.17432812458696</c:v>
                </c:pt>
                <c:pt idx="302">
                  <c:v>586.5148134638996</c:v>
                </c:pt>
                <c:pt idx="303">
                  <c:v>585.52733947154343</c:v>
                </c:pt>
                <c:pt idx="304">
                  <c:v>584.54201815279248</c:v>
                </c:pt>
                <c:pt idx="305">
                  <c:v>583.55884398173566</c:v>
                </c:pt>
                <c:pt idx="306">
                  <c:v>582.57781144823059</c:v>
                </c:pt>
                <c:pt idx="307">
                  <c:v>581.59891505785572</c:v>
                </c:pt>
                <c:pt idx="308">
                  <c:v>580.62214933186021</c:v>
                </c:pt>
                <c:pt idx="309">
                  <c:v>579.97215318514907</c:v>
                </c:pt>
                <c:pt idx="310">
                  <c:v>578.99892643387091</c:v>
                </c:pt>
                <c:pt idx="311">
                  <c:v>578.0278158132337</c:v>
                </c:pt>
                <c:pt idx="312">
                  <c:v>577.05881590154809</c:v>
                </c:pt>
                <c:pt idx="313">
                  <c:v>576.09192129257633</c:v>
                </c:pt>
                <c:pt idx="314">
                  <c:v>575.12712659548686</c:v>
                </c:pt>
                <c:pt idx="315">
                  <c:v>574.16442643480582</c:v>
                </c:pt>
                <c:pt idx="316">
                  <c:v>573.5237873114005</c:v>
                </c:pt>
                <c:pt idx="317">
                  <c:v>572.5645661408023</c:v>
                </c:pt>
                <c:pt idx="318">
                  <c:v>571.60742524674754</c:v>
                </c:pt>
                <c:pt idx="319">
                  <c:v>570.65235930967935</c:v>
                </c:pt>
                <c:pt idx="320">
                  <c:v>569.69936302518329</c:v>
                </c:pt>
                <c:pt idx="321">
                  <c:v>568.74843110394136</c:v>
                </c:pt>
                <c:pt idx="322">
                  <c:v>567.79955827168601</c:v>
                </c:pt>
                <c:pt idx="323">
                  <c:v>567.16811772405913</c:v>
                </c:pt>
                <c:pt idx="324">
                  <c:v>566.22266502692196</c:v>
                </c:pt>
                <c:pt idx="325">
                  <c:v>565.2792574272936</c:v>
                </c:pt>
                <c:pt idx="326">
                  <c:v>564.33788970570367</c:v>
                </c:pt>
                <c:pt idx="327">
                  <c:v>563.39855665752043</c:v>
                </c:pt>
                <c:pt idx="328">
                  <c:v>562.46125309290676</c:v>
                </c:pt>
                <c:pt idx="329">
                  <c:v>561.52597383677448</c:v>
                </c:pt>
                <c:pt idx="330">
                  <c:v>560.90357639956801</c:v>
                </c:pt>
                <c:pt idx="331">
                  <c:v>559.97165953062733</c:v>
                </c:pt>
                <c:pt idx="332">
                  <c:v>559.04175324170171</c:v>
                </c:pt>
                <c:pt idx="333">
                  <c:v>558.1138524114026</c:v>
                </c:pt>
                <c:pt idx="334">
                  <c:v>557.18795193288304</c:v>
                </c:pt>
                <c:pt idx="335">
                  <c:v>556.26404671379464</c:v>
                </c:pt>
                <c:pt idx="336">
                  <c:v>555.34213167624296</c:v>
                </c:pt>
                <c:pt idx="337">
                  <c:v>554.72862480653964</c:v>
                </c:pt>
                <c:pt idx="338">
                  <c:v>553.81001549312441</c:v>
                </c:pt>
                <c:pt idx="339">
                  <c:v>552.893382890525</c:v>
                </c:pt>
                <c:pt idx="340">
                  <c:v>551.97872197347112</c:v>
                </c:pt>
                <c:pt idx="341">
                  <c:v>551.06602773094426</c:v>
                </c:pt>
                <c:pt idx="342">
                  <c:v>550.15529516613287</c:v>
                </c:pt>
                <c:pt idx="343">
                  <c:v>549.2465192963906</c:v>
                </c:pt>
                <c:pt idx="344">
                  <c:v>548.64175331520642</c:v>
                </c:pt>
                <c:pt idx="345">
                  <c:v>547.73622756970155</c:v>
                </c:pt>
                <c:pt idx="346">
                  <c:v>546.83264530113297</c:v>
                </c:pt>
                <c:pt idx="347">
                  <c:v>545.93100157842571</c:v>
                </c:pt>
                <c:pt idx="348">
                  <c:v>545.03129148447147</c:v>
                </c:pt>
                <c:pt idx="349">
                  <c:v>544.13351011608518</c:v>
                </c:pt>
                <c:pt idx="350">
                  <c:v>543.2376525839627</c:v>
                </c:pt>
                <c:pt idx="351">
                  <c:v>542.641480618934</c:v>
                </c:pt>
                <c:pt idx="352">
                  <c:v>541.74881865303496</c:v>
                </c:pt>
                <c:pt idx="353">
                  <c:v>540.85806755280282</c:v>
                </c:pt>
                <c:pt idx="354">
                  <c:v>539.96922247947418</c:v>
                </c:pt>
                <c:pt idx="355">
                  <c:v>539.08227860797194</c:v>
                </c:pt>
                <c:pt idx="356">
                  <c:v>538.19723112686552</c:v>
                </c:pt>
                <c:pt idx="357">
                  <c:v>537.31407523832684</c:v>
                </c:pt>
                <c:pt idx="358">
                  <c:v>536.72635316757112</c:v>
                </c:pt>
                <c:pt idx="359">
                  <c:v>535.84633930829216</c:v>
                </c:pt>
                <c:pt idx="360">
                  <c:v>534.96820431357082</c:v>
                </c:pt>
                <c:pt idx="361">
                  <c:v>534.09194343510933</c:v>
                </c:pt>
                <c:pt idx="362">
                  <c:v>533.21755193802403</c:v>
                </c:pt>
                <c:pt idx="363">
                  <c:v>532.34502510080313</c:v>
                </c:pt>
                <c:pt idx="364">
                  <c:v>531.4743582152671</c:v>
                </c:pt>
                <c:pt idx="365">
                  <c:v>530.89494461239292</c:v>
                </c:pt>
                <c:pt idx="366">
                  <c:v>530.02736721979443</c:v>
                </c:pt>
                <c:pt idx="367">
                  <c:v>529.16163728860943</c:v>
                </c:pt>
                <c:pt idx="368">
                  <c:v>528.29775015919927</c:v>
                </c:pt>
                <c:pt idx="369">
                  <c:v>527.43570118507012</c:v>
                </c:pt>
                <c:pt idx="370">
                  <c:v>526.5754857328343</c:v>
                </c:pt>
                <c:pt idx="371">
                  <c:v>525.71709918216993</c:v>
                </c:pt>
                <c:pt idx="372">
                  <c:v>525.14585526241262</c:v>
                </c:pt>
                <c:pt idx="373">
                  <c:v>524.29050664901376</c:v>
                </c:pt>
                <c:pt idx="374">
                  <c:v>523.43697467990489</c:v>
                </c:pt>
                <c:pt idx="375">
                  <c:v>522.58525478233571</c:v>
                </c:pt>
                <c:pt idx="376">
                  <c:v>521.73534239643834</c:v>
                </c:pt>
                <c:pt idx="377">
                  <c:v>520.88723297518891</c:v>
                </c:pt>
                <c:pt idx="378">
                  <c:v>520.04092198436854</c:v>
                </c:pt>
                <c:pt idx="379">
                  <c:v>519.47771155183091</c:v>
                </c:pt>
                <c:pt idx="380">
                  <c:v>518.63438790367388</c:v>
                </c:pt>
                <c:pt idx="381">
                  <c:v>517.79285065700492</c:v>
                </c:pt>
                <c:pt idx="382">
                  <c:v>516.95309532422709</c:v>
                </c:pt>
                <c:pt idx="383">
                  <c:v>516.11511743036942</c:v>
                </c:pt>
                <c:pt idx="384">
                  <c:v>515.27891251304879</c:v>
                </c:pt>
                <c:pt idx="385">
                  <c:v>514.44447612243164</c:v>
                </c:pt>
                <c:pt idx="386">
                  <c:v>513.88916551840487</c:v>
                </c:pt>
                <c:pt idx="387">
                  <c:v>513.05766681773946</c:v>
                </c:pt>
                <c:pt idx="388">
                  <c:v>512.22792483862065</c:v>
                </c:pt>
                <c:pt idx="389">
                  <c:v>511.39993517690681</c:v>
                </c:pt>
                <c:pt idx="390">
                  <c:v>510.57369344083094</c:v>
                </c:pt>
                <c:pt idx="391">
                  <c:v>509.74919525096215</c:v>
                </c:pt>
                <c:pt idx="392">
                  <c:v>508.92643624016921</c:v>
                </c:pt>
                <c:pt idx="393">
                  <c:v>508.3788942925155</c:v>
                </c:pt>
                <c:pt idx="394">
                  <c:v>507.55902424206766</c:v>
                </c:pt>
                <c:pt idx="395">
                  <c:v>506.74088178486136</c:v>
                </c:pt>
                <c:pt idx="396">
                  <c:v>505.92446259854665</c:v>
                </c:pt>
                <c:pt idx="397">
                  <c:v>505.10976237290123</c:v>
                </c:pt>
                <c:pt idx="398">
                  <c:v>504.29677680979364</c:v>
                </c:pt>
                <c:pt idx="399">
                  <c:v>503.48550162314672</c:v>
                </c:pt>
                <c:pt idx="400">
                  <c:v>502.94559959672034</c:v>
                </c:pt>
                <c:pt idx="401">
                  <c:v>502.13716554551695</c:v>
                </c:pt>
                <c:pt idx="402">
                  <c:v>501.33043049989197</c:v>
                </c:pt>
                <c:pt idx="403">
                  <c:v>500.52539021765739</c:v>
                </c:pt>
                <c:pt idx="404">
                  <c:v>499.72204046851169</c:v>
                </c:pt>
                <c:pt idx="405">
                  <c:v>498.92037703400308</c:v>
                </c:pt>
                <c:pt idx="406">
                  <c:v>498.12039570749374</c:v>
                </c:pt>
                <c:pt idx="407">
                  <c:v>497.58800725557978</c:v>
                </c:pt>
                <c:pt idx="408">
                  <c:v>496.79082012629567</c:v>
                </c:pt>
                <c:pt idx="409">
                  <c:v>495.99530394480036</c:v>
                </c:pt>
                <c:pt idx="410">
                  <c:v>495.20145454747205</c:v>
                </c:pt>
                <c:pt idx="411">
                  <c:v>494.40926778233825</c:v>
                </c:pt>
                <c:pt idx="412">
                  <c:v>493.61873950904095</c:v>
                </c:pt>
                <c:pt idx="413">
                  <c:v>492.82986559880095</c:v>
                </c:pt>
                <c:pt idx="414">
                  <c:v>492.30486671555229</c:v>
                </c:pt>
                <c:pt idx="415">
                  <c:v>491.51874093335016</c:v>
                </c:pt>
                <c:pt idx="416">
                  <c:v>490.73425856047368</c:v>
                </c:pt>
                <c:pt idx="417">
                  <c:v>489.95141551030355</c:v>
                </c:pt>
                <c:pt idx="418">
                  <c:v>489.1702077076385</c:v>
                </c:pt>
                <c:pt idx="419">
                  <c:v>488.39063108866071</c:v>
                </c:pt>
                <c:pt idx="420">
                  <c:v>487.6126816009006</c:v>
                </c:pt>
                <c:pt idx="421">
                  <c:v>487.09495057475215</c:v>
                </c:pt>
                <c:pt idx="422">
                  <c:v>486.31970399758467</c:v>
                </c:pt>
                <c:pt idx="423">
                  <c:v>485.54607380027568</c:v>
                </c:pt>
                <c:pt idx="424">
                  <c:v>484.77405597167751</c:v>
                </c:pt>
                <c:pt idx="425">
                  <c:v>484.00364651183349</c:v>
                </c:pt>
                <c:pt idx="426">
                  <c:v>483.2348414319444</c:v>
                </c:pt>
                <c:pt idx="427">
                  <c:v>482.46763675433363</c:v>
                </c:pt>
                <c:pt idx="428">
                  <c:v>481.95705412237317</c:v>
                </c:pt>
                <c:pt idx="429">
                  <c:v>481.19250797271843</c:v>
                </c:pt>
                <c:pt idx="430">
                  <c:v>480.42955167233293</c:v>
                </c:pt>
                <c:pt idx="431">
                  <c:v>479.66818128404122</c:v>
                </c:pt>
                <c:pt idx="432">
                  <c:v>478.90839288163636</c:v>
                </c:pt>
                <c:pt idx="433">
                  <c:v>478.15018254984687</c:v>
                </c:pt>
                <c:pt idx="434">
                  <c:v>477.39354638430353</c:v>
                </c:pt>
                <c:pt idx="435">
                  <c:v>476.88999488758293</c:v>
                </c:pt>
                <c:pt idx="436">
                  <c:v>476.13597368558271</c:v>
                </c:pt>
                <c:pt idx="437">
                  <c:v>475.38351629123076</c:v>
                </c:pt>
                <c:pt idx="438">
                  <c:v>474.63261883985507</c:v>
                </c:pt>
                <c:pt idx="439">
                  <c:v>473.88327747753402</c:v>
                </c:pt>
                <c:pt idx="440">
                  <c:v>473.1354883610644</c:v>
                </c:pt>
                <c:pt idx="441">
                  <c:v>472.38924765792939</c:v>
                </c:pt>
                <c:pt idx="442">
                  <c:v>471.89261219769253</c:v>
                </c:pt>
                <c:pt idx="443">
                  <c:v>471.14894369566684</c:v>
                </c:pt>
                <c:pt idx="444">
                  <c:v>470.40681343893084</c:v>
                </c:pt>
                <c:pt idx="445">
                  <c:v>469.66621763387684</c:v>
                </c:pt>
                <c:pt idx="446">
                  <c:v>468.92715249743486</c:v>
                </c:pt>
                <c:pt idx="447">
                  <c:v>468.18961425704038</c:v>
                </c:pt>
                <c:pt idx="448">
                  <c:v>467.45359915060322</c:v>
                </c:pt>
                <c:pt idx="449">
                  <c:v>466.96376674541665</c:v>
                </c:pt>
                <c:pt idx="450">
                  <c:v>466.23028186372477</c:v>
                </c:pt>
                <c:pt idx="451">
                  <c:v>465.49831013471999</c:v>
                </c:pt>
                <c:pt idx="452">
                  <c:v>464.76784783445009</c:v>
                </c:pt>
                <c:pt idx="453">
                  <c:v>464.03889124929151</c:v>
                </c:pt>
                <c:pt idx="454">
                  <c:v>463.31143667591891</c:v>
                </c:pt>
                <c:pt idx="455">
                  <c:v>462.58548042127296</c:v>
                </c:pt>
                <c:pt idx="456">
                  <c:v>462.10234016503676</c:v>
                </c:pt>
                <c:pt idx="457">
                  <c:v>461.3788729292591</c:v>
                </c:pt>
                <c:pt idx="458">
                  <c:v>460.65689421401072</c:v>
                </c:pt>
                <c:pt idx="459">
                  <c:v>459.93640036361546</c:v>
                </c:pt>
                <c:pt idx="460">
                  <c:v>459.21738773252071</c:v>
                </c:pt>
                <c:pt idx="461">
                  <c:v>458.49985268526831</c:v>
                </c:pt>
                <c:pt idx="462">
                  <c:v>457.78379159646289</c:v>
                </c:pt>
                <c:pt idx="463">
                  <c:v>457.30723461728775</c:v>
                </c:pt>
                <c:pt idx="464">
                  <c:v>456.59362209669888</c:v>
                </c:pt>
                <c:pt idx="465">
                  <c:v>455.88147391580816</c:v>
                </c:pt>
                <c:pt idx="466">
                  <c:v>455.17078648586306</c:v>
                </c:pt>
                <c:pt idx="467">
                  <c:v>454.46155622803519</c:v>
                </c:pt>
                <c:pt idx="468">
                  <c:v>453.75377957339026</c:v>
                </c:pt>
                <c:pt idx="469">
                  <c:v>453.04745296285813</c:v>
                </c:pt>
                <c:pt idx="470">
                  <c:v>452.57737238278679</c:v>
                </c:pt>
                <c:pt idx="471">
                  <c:v>451.87345463009717</c:v>
                </c:pt>
                <c:pt idx="472">
                  <c:v>451.17097747866933</c:v>
                </c:pt>
                <c:pt idx="473">
                  <c:v>450.469937405351</c:v>
                </c:pt>
                <c:pt idx="474">
                  <c:v>449.77033089671801</c:v>
                </c:pt>
                <c:pt idx="475">
                  <c:v>449.07215444904472</c:v>
                </c:pt>
                <c:pt idx="476">
                  <c:v>448.37540456827458</c:v>
                </c:pt>
                <c:pt idx="477">
                  <c:v>447.91169546383441</c:v>
                </c:pt>
                <c:pt idx="478">
                  <c:v>447.2173154561707</c:v>
                </c:pt>
                <c:pt idx="479">
                  <c:v>446.52435274497998</c:v>
                </c:pt>
                <c:pt idx="480">
                  <c:v>445.83280387141411</c:v>
                </c:pt>
                <c:pt idx="481">
                  <c:v>445.1426653861605</c:v>
                </c:pt>
                <c:pt idx="482">
                  <c:v>444.4539338494132</c:v>
                </c:pt>
                <c:pt idx="483">
                  <c:v>443.76660583084509</c:v>
                </c:pt>
                <c:pt idx="484">
                  <c:v>443.30916519441143</c:v>
                </c:pt>
                <c:pt idx="485">
                  <c:v>442.62416877551351</c:v>
                </c:pt>
                <c:pt idx="486">
                  <c:v>441.94056677338028</c:v>
                </c:pt>
                <c:pt idx="487">
                  <c:v>441.25835579219745</c:v>
                </c:pt>
                <c:pt idx="488">
                  <c:v>440.57753244549809</c:v>
                </c:pt>
                <c:pt idx="489">
                  <c:v>439.89809335613489</c:v>
                </c:pt>
                <c:pt idx="490">
                  <c:v>439.22003515625164</c:v>
                </c:pt>
                <c:pt idx="491">
                  <c:v>438.76876185820731</c:v>
                </c:pt>
                <c:pt idx="492">
                  <c:v>438.09299768181467</c:v>
                </c:pt>
                <c:pt idx="493">
                  <c:v>437.41860545916745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21-4875-B88C-B488B95351CA}"/>
            </c:ext>
          </c:extLst>
        </c:ser>
        <c:ser>
          <c:idx val="4"/>
          <c:order val="4"/>
          <c:tx>
            <c:strRef>
              <c:f>'sheet 1'!$R$38</c:f>
              <c:strCache>
                <c:ptCount val="1"/>
                <c:pt idx="0">
                  <c:v>I3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</c:v>
                </c:pt>
                <c:pt idx="1">
                  <c:v>0.20000000000000284</c:v>
                </c:pt>
                <c:pt idx="2">
                  <c:v>0.5</c:v>
                </c:pt>
                <c:pt idx="3">
                  <c:v>0.80000000000000426</c:v>
                </c:pt>
                <c:pt idx="4">
                  <c:v>1.1000000000000014</c:v>
                </c:pt>
                <c:pt idx="5">
                  <c:v>1.3999999999999986</c:v>
                </c:pt>
                <c:pt idx="6">
                  <c:v>1.7000000000000028</c:v>
                </c:pt>
                <c:pt idx="7">
                  <c:v>2</c:v>
                </c:pt>
                <c:pt idx="8">
                  <c:v>2.2000000000000028</c:v>
                </c:pt>
                <c:pt idx="9">
                  <c:v>2.5</c:v>
                </c:pt>
                <c:pt idx="10">
                  <c:v>2.8000000000000043</c:v>
                </c:pt>
                <c:pt idx="11">
                  <c:v>3.1000000000000014</c:v>
                </c:pt>
                <c:pt idx="12">
                  <c:v>3.3999999999999986</c:v>
                </c:pt>
                <c:pt idx="13">
                  <c:v>3.7000000000000028</c:v>
                </c:pt>
                <c:pt idx="14">
                  <c:v>4</c:v>
                </c:pt>
                <c:pt idx="15">
                  <c:v>4.2000000000000028</c:v>
                </c:pt>
                <c:pt idx="16">
                  <c:v>4.5</c:v>
                </c:pt>
                <c:pt idx="17">
                  <c:v>4.8000000000000043</c:v>
                </c:pt>
                <c:pt idx="18">
                  <c:v>5.1000000000000014</c:v>
                </c:pt>
                <c:pt idx="19">
                  <c:v>5.3999999999999986</c:v>
                </c:pt>
                <c:pt idx="20">
                  <c:v>5.6999999999999957</c:v>
                </c:pt>
                <c:pt idx="21">
                  <c:v>6.0000000000000071</c:v>
                </c:pt>
                <c:pt idx="22">
                  <c:v>6.1999999999999957</c:v>
                </c:pt>
                <c:pt idx="23">
                  <c:v>6.5000000000000071</c:v>
                </c:pt>
                <c:pt idx="24">
                  <c:v>6.8000000000000043</c:v>
                </c:pt>
                <c:pt idx="25">
                  <c:v>7.1000000000000014</c:v>
                </c:pt>
                <c:pt idx="26">
                  <c:v>7.3999999999999986</c:v>
                </c:pt>
                <c:pt idx="27">
                  <c:v>7.6999999999999957</c:v>
                </c:pt>
                <c:pt idx="28">
                  <c:v>8.0000000000000071</c:v>
                </c:pt>
                <c:pt idx="29">
                  <c:v>8.1999999999999957</c:v>
                </c:pt>
                <c:pt idx="30">
                  <c:v>8.5000000000000071</c:v>
                </c:pt>
                <c:pt idx="31">
                  <c:v>8.8000000000000043</c:v>
                </c:pt>
                <c:pt idx="32">
                  <c:v>9.1000000000000014</c:v>
                </c:pt>
                <c:pt idx="33">
                  <c:v>9.3999999999999986</c:v>
                </c:pt>
                <c:pt idx="34">
                  <c:v>9.6999999999999957</c:v>
                </c:pt>
                <c:pt idx="35">
                  <c:v>10.000000000000007</c:v>
                </c:pt>
                <c:pt idx="36">
                  <c:v>10.199999999999996</c:v>
                </c:pt>
                <c:pt idx="37">
                  <c:v>10.500000000000007</c:v>
                </c:pt>
                <c:pt idx="38">
                  <c:v>10.800000000000004</c:v>
                </c:pt>
                <c:pt idx="39">
                  <c:v>11.100000000000001</c:v>
                </c:pt>
                <c:pt idx="40">
                  <c:v>11.399999999999999</c:v>
                </c:pt>
                <c:pt idx="41">
                  <c:v>11.699999999999996</c:v>
                </c:pt>
                <c:pt idx="42">
                  <c:v>12.000000000000007</c:v>
                </c:pt>
                <c:pt idx="43">
                  <c:v>12.199999999999996</c:v>
                </c:pt>
                <c:pt idx="44">
                  <c:v>12.500000000000007</c:v>
                </c:pt>
                <c:pt idx="45">
                  <c:v>12.800000000000004</c:v>
                </c:pt>
                <c:pt idx="46">
                  <c:v>13.100000000000001</c:v>
                </c:pt>
                <c:pt idx="47">
                  <c:v>13.399999999999999</c:v>
                </c:pt>
                <c:pt idx="48">
                  <c:v>13.699999999999996</c:v>
                </c:pt>
                <c:pt idx="49">
                  <c:v>14.000000000000007</c:v>
                </c:pt>
                <c:pt idx="50">
                  <c:v>14.199999999999996</c:v>
                </c:pt>
                <c:pt idx="51">
                  <c:v>14.500000000000007</c:v>
                </c:pt>
                <c:pt idx="52">
                  <c:v>14.800000000000004</c:v>
                </c:pt>
                <c:pt idx="53">
                  <c:v>15.100000000000001</c:v>
                </c:pt>
                <c:pt idx="54">
                  <c:v>15.399999999999999</c:v>
                </c:pt>
                <c:pt idx="55">
                  <c:v>15.699999999999996</c:v>
                </c:pt>
                <c:pt idx="56">
                  <c:v>16.000000000000007</c:v>
                </c:pt>
                <c:pt idx="57">
                  <c:v>16.199999999999996</c:v>
                </c:pt>
                <c:pt idx="58">
                  <c:v>16.500000000000007</c:v>
                </c:pt>
                <c:pt idx="59">
                  <c:v>16.800000000000004</c:v>
                </c:pt>
                <c:pt idx="60">
                  <c:v>17.100000000000001</c:v>
                </c:pt>
                <c:pt idx="61">
                  <c:v>17.399999999999999</c:v>
                </c:pt>
                <c:pt idx="62">
                  <c:v>17.699999999999996</c:v>
                </c:pt>
                <c:pt idx="63">
                  <c:v>18.000000000000007</c:v>
                </c:pt>
                <c:pt idx="64">
                  <c:v>18.199999999999996</c:v>
                </c:pt>
                <c:pt idx="65">
                  <c:v>18.500000000000007</c:v>
                </c:pt>
                <c:pt idx="66">
                  <c:v>18.800000000000004</c:v>
                </c:pt>
                <c:pt idx="67">
                  <c:v>19.100000000000001</c:v>
                </c:pt>
                <c:pt idx="68">
                  <c:v>19.399999999999999</c:v>
                </c:pt>
                <c:pt idx="69">
                  <c:v>19.699999999999996</c:v>
                </c:pt>
                <c:pt idx="70">
                  <c:v>20.000000000000007</c:v>
                </c:pt>
                <c:pt idx="71">
                  <c:v>20.199999999999996</c:v>
                </c:pt>
                <c:pt idx="72">
                  <c:v>20.500000000000007</c:v>
                </c:pt>
                <c:pt idx="73">
                  <c:v>20.800000000000004</c:v>
                </c:pt>
                <c:pt idx="74">
                  <c:v>21.1</c:v>
                </c:pt>
                <c:pt idx="75">
                  <c:v>21.4</c:v>
                </c:pt>
                <c:pt idx="76">
                  <c:v>21.699999999999996</c:v>
                </c:pt>
                <c:pt idx="77">
                  <c:v>22.000000000000007</c:v>
                </c:pt>
                <c:pt idx="78">
                  <c:v>22.199999999999996</c:v>
                </c:pt>
                <c:pt idx="79">
                  <c:v>22.500000000000007</c:v>
                </c:pt>
                <c:pt idx="80">
                  <c:v>22.800000000000004</c:v>
                </c:pt>
                <c:pt idx="81">
                  <c:v>23.1</c:v>
                </c:pt>
                <c:pt idx="82">
                  <c:v>23.4</c:v>
                </c:pt>
                <c:pt idx="83">
                  <c:v>23.699999999999996</c:v>
                </c:pt>
                <c:pt idx="84">
                  <c:v>24.000000000000007</c:v>
                </c:pt>
                <c:pt idx="85">
                  <c:v>24.199999999999996</c:v>
                </c:pt>
                <c:pt idx="86">
                  <c:v>24.500000000000007</c:v>
                </c:pt>
                <c:pt idx="87">
                  <c:v>24.800000000000004</c:v>
                </c:pt>
                <c:pt idx="88">
                  <c:v>25.1</c:v>
                </c:pt>
                <c:pt idx="89">
                  <c:v>25.4</c:v>
                </c:pt>
                <c:pt idx="90">
                  <c:v>25.699999999999996</c:v>
                </c:pt>
                <c:pt idx="91">
                  <c:v>26.000000000000007</c:v>
                </c:pt>
                <c:pt idx="92">
                  <c:v>26.199999999999996</c:v>
                </c:pt>
                <c:pt idx="93">
                  <c:v>26.500000000000007</c:v>
                </c:pt>
                <c:pt idx="94">
                  <c:v>26.800000000000004</c:v>
                </c:pt>
                <c:pt idx="95">
                  <c:v>27.1</c:v>
                </c:pt>
                <c:pt idx="96">
                  <c:v>27.4</c:v>
                </c:pt>
                <c:pt idx="97">
                  <c:v>27.699999999999996</c:v>
                </c:pt>
                <c:pt idx="98">
                  <c:v>28.000000000000007</c:v>
                </c:pt>
                <c:pt idx="99">
                  <c:v>28.199999999999996</c:v>
                </c:pt>
                <c:pt idx="100">
                  <c:v>28.500000000000007</c:v>
                </c:pt>
                <c:pt idx="101">
                  <c:v>28.800000000000004</c:v>
                </c:pt>
                <c:pt idx="102">
                  <c:v>29.1</c:v>
                </c:pt>
                <c:pt idx="103">
                  <c:v>29.4</c:v>
                </c:pt>
                <c:pt idx="104">
                  <c:v>29.699999999999996</c:v>
                </c:pt>
                <c:pt idx="105">
                  <c:v>30.000000000000007</c:v>
                </c:pt>
                <c:pt idx="106">
                  <c:v>30.199999999999996</c:v>
                </c:pt>
                <c:pt idx="107">
                  <c:v>30.500000000000007</c:v>
                </c:pt>
                <c:pt idx="108">
                  <c:v>30.800000000000004</c:v>
                </c:pt>
                <c:pt idx="109">
                  <c:v>31.1</c:v>
                </c:pt>
                <c:pt idx="110">
                  <c:v>31.4</c:v>
                </c:pt>
                <c:pt idx="111">
                  <c:v>31.699999999999996</c:v>
                </c:pt>
                <c:pt idx="112">
                  <c:v>32.000000000000007</c:v>
                </c:pt>
                <c:pt idx="113">
                  <c:v>32.199999999999996</c:v>
                </c:pt>
                <c:pt idx="114">
                  <c:v>32.500000000000007</c:v>
                </c:pt>
                <c:pt idx="115">
                  <c:v>32.800000000000004</c:v>
                </c:pt>
                <c:pt idx="116">
                  <c:v>33.1</c:v>
                </c:pt>
                <c:pt idx="117">
                  <c:v>33.4</c:v>
                </c:pt>
                <c:pt idx="118">
                  <c:v>33.699999999999996</c:v>
                </c:pt>
                <c:pt idx="119">
                  <c:v>34.000000000000007</c:v>
                </c:pt>
                <c:pt idx="120">
                  <c:v>34.199999999999996</c:v>
                </c:pt>
                <c:pt idx="121">
                  <c:v>34.500000000000007</c:v>
                </c:pt>
                <c:pt idx="122">
                  <c:v>34.800000000000004</c:v>
                </c:pt>
                <c:pt idx="123">
                  <c:v>35.1</c:v>
                </c:pt>
                <c:pt idx="124">
                  <c:v>35.4</c:v>
                </c:pt>
                <c:pt idx="125">
                  <c:v>35.699999999999996</c:v>
                </c:pt>
                <c:pt idx="126">
                  <c:v>36.000000000000007</c:v>
                </c:pt>
                <c:pt idx="127">
                  <c:v>36.199999999999996</c:v>
                </c:pt>
                <c:pt idx="128">
                  <c:v>36.500000000000007</c:v>
                </c:pt>
                <c:pt idx="129">
                  <c:v>36.800000000000004</c:v>
                </c:pt>
                <c:pt idx="130">
                  <c:v>37.1</c:v>
                </c:pt>
                <c:pt idx="131">
                  <c:v>37.4</c:v>
                </c:pt>
                <c:pt idx="132">
                  <c:v>37.699999999999996</c:v>
                </c:pt>
                <c:pt idx="133">
                  <c:v>38.000000000000007</c:v>
                </c:pt>
                <c:pt idx="134">
                  <c:v>38.199999999999996</c:v>
                </c:pt>
                <c:pt idx="135">
                  <c:v>38.500000000000007</c:v>
                </c:pt>
                <c:pt idx="136">
                  <c:v>38.800000000000004</c:v>
                </c:pt>
                <c:pt idx="137">
                  <c:v>39.1</c:v>
                </c:pt>
                <c:pt idx="138">
                  <c:v>39.4</c:v>
                </c:pt>
                <c:pt idx="139">
                  <c:v>39.699999999999996</c:v>
                </c:pt>
                <c:pt idx="140">
                  <c:v>40.000000000000007</c:v>
                </c:pt>
                <c:pt idx="141">
                  <c:v>40.199999999999996</c:v>
                </c:pt>
                <c:pt idx="142">
                  <c:v>40.500000000000007</c:v>
                </c:pt>
                <c:pt idx="143">
                  <c:v>40.800000000000004</c:v>
                </c:pt>
                <c:pt idx="144">
                  <c:v>41.1</c:v>
                </c:pt>
                <c:pt idx="145">
                  <c:v>41.4</c:v>
                </c:pt>
                <c:pt idx="146">
                  <c:v>41.699999999999996</c:v>
                </c:pt>
                <c:pt idx="147">
                  <c:v>42.000000000000007</c:v>
                </c:pt>
                <c:pt idx="148">
                  <c:v>42.199999999999996</c:v>
                </c:pt>
                <c:pt idx="149">
                  <c:v>42.500000000000007</c:v>
                </c:pt>
                <c:pt idx="150">
                  <c:v>42.800000000000004</c:v>
                </c:pt>
                <c:pt idx="151">
                  <c:v>43.1</c:v>
                </c:pt>
                <c:pt idx="152">
                  <c:v>43.4</c:v>
                </c:pt>
                <c:pt idx="153">
                  <c:v>43.699999999999996</c:v>
                </c:pt>
                <c:pt idx="154">
                  <c:v>44.000000000000007</c:v>
                </c:pt>
                <c:pt idx="155">
                  <c:v>44.199999999999996</c:v>
                </c:pt>
                <c:pt idx="156">
                  <c:v>44.500000000000007</c:v>
                </c:pt>
                <c:pt idx="157">
                  <c:v>44.800000000000004</c:v>
                </c:pt>
                <c:pt idx="158">
                  <c:v>45.1</c:v>
                </c:pt>
                <c:pt idx="159">
                  <c:v>45.4</c:v>
                </c:pt>
                <c:pt idx="160">
                  <c:v>45.699999999999996</c:v>
                </c:pt>
                <c:pt idx="161">
                  <c:v>46.000000000000007</c:v>
                </c:pt>
                <c:pt idx="162">
                  <c:v>46.199999999999996</c:v>
                </c:pt>
                <c:pt idx="163">
                  <c:v>46.500000000000007</c:v>
                </c:pt>
                <c:pt idx="164">
                  <c:v>46.800000000000004</c:v>
                </c:pt>
                <c:pt idx="165">
                  <c:v>47.1</c:v>
                </c:pt>
                <c:pt idx="166">
                  <c:v>47.4</c:v>
                </c:pt>
                <c:pt idx="167">
                  <c:v>47.699999999999996</c:v>
                </c:pt>
                <c:pt idx="168">
                  <c:v>48.000000000000007</c:v>
                </c:pt>
                <c:pt idx="169">
                  <c:v>48.199999999999996</c:v>
                </c:pt>
                <c:pt idx="170">
                  <c:v>48.500000000000007</c:v>
                </c:pt>
                <c:pt idx="171">
                  <c:v>48.800000000000004</c:v>
                </c:pt>
                <c:pt idx="172">
                  <c:v>49.1</c:v>
                </c:pt>
                <c:pt idx="173">
                  <c:v>49.4</c:v>
                </c:pt>
                <c:pt idx="174">
                  <c:v>49.699999999999996</c:v>
                </c:pt>
                <c:pt idx="175">
                  <c:v>50.000000000000007</c:v>
                </c:pt>
                <c:pt idx="176">
                  <c:v>50.199999999999996</c:v>
                </c:pt>
                <c:pt idx="177">
                  <c:v>50.500000000000007</c:v>
                </c:pt>
                <c:pt idx="178">
                  <c:v>50.800000000000004</c:v>
                </c:pt>
                <c:pt idx="179">
                  <c:v>51.1</c:v>
                </c:pt>
                <c:pt idx="180">
                  <c:v>51.4</c:v>
                </c:pt>
                <c:pt idx="181">
                  <c:v>51.699999999999996</c:v>
                </c:pt>
                <c:pt idx="182">
                  <c:v>52.000000000000007</c:v>
                </c:pt>
                <c:pt idx="183">
                  <c:v>52.199999999999996</c:v>
                </c:pt>
                <c:pt idx="184">
                  <c:v>52.500000000000007</c:v>
                </c:pt>
                <c:pt idx="185">
                  <c:v>52.800000000000004</c:v>
                </c:pt>
                <c:pt idx="186">
                  <c:v>53.1</c:v>
                </c:pt>
                <c:pt idx="187">
                  <c:v>53.4</c:v>
                </c:pt>
                <c:pt idx="188">
                  <c:v>53.699999999999996</c:v>
                </c:pt>
                <c:pt idx="189">
                  <c:v>54.000000000000007</c:v>
                </c:pt>
                <c:pt idx="190">
                  <c:v>54.199999999999996</c:v>
                </c:pt>
                <c:pt idx="191">
                  <c:v>54.500000000000007</c:v>
                </c:pt>
                <c:pt idx="192">
                  <c:v>54.800000000000004</c:v>
                </c:pt>
                <c:pt idx="193">
                  <c:v>55.1</c:v>
                </c:pt>
                <c:pt idx="194">
                  <c:v>55.4</c:v>
                </c:pt>
                <c:pt idx="195">
                  <c:v>55.699999999999996</c:v>
                </c:pt>
                <c:pt idx="196">
                  <c:v>56.000000000000007</c:v>
                </c:pt>
                <c:pt idx="197">
                  <c:v>56.199999999999996</c:v>
                </c:pt>
                <c:pt idx="198">
                  <c:v>56.500000000000007</c:v>
                </c:pt>
                <c:pt idx="199">
                  <c:v>56.800000000000004</c:v>
                </c:pt>
                <c:pt idx="200">
                  <c:v>57.1</c:v>
                </c:pt>
                <c:pt idx="201">
                  <c:v>57.4</c:v>
                </c:pt>
                <c:pt idx="202">
                  <c:v>57.699999999999996</c:v>
                </c:pt>
                <c:pt idx="203">
                  <c:v>58.000000000000007</c:v>
                </c:pt>
                <c:pt idx="204">
                  <c:v>58.199999999999996</c:v>
                </c:pt>
                <c:pt idx="205">
                  <c:v>58.500000000000007</c:v>
                </c:pt>
                <c:pt idx="206">
                  <c:v>58.800000000000004</c:v>
                </c:pt>
                <c:pt idx="207">
                  <c:v>59.1</c:v>
                </c:pt>
                <c:pt idx="208">
                  <c:v>59.4</c:v>
                </c:pt>
                <c:pt idx="209">
                  <c:v>59.699999999999996</c:v>
                </c:pt>
                <c:pt idx="210">
                  <c:v>60.000000000000007</c:v>
                </c:pt>
                <c:pt idx="211">
                  <c:v>60.199999999999996</c:v>
                </c:pt>
                <c:pt idx="212">
                  <c:v>60.500000000000007</c:v>
                </c:pt>
                <c:pt idx="213">
                  <c:v>60.800000000000004</c:v>
                </c:pt>
                <c:pt idx="214">
                  <c:v>61.1</c:v>
                </c:pt>
                <c:pt idx="215">
                  <c:v>61.4</c:v>
                </c:pt>
                <c:pt idx="216">
                  <c:v>61.699999999999996</c:v>
                </c:pt>
                <c:pt idx="217">
                  <c:v>62.000000000000007</c:v>
                </c:pt>
                <c:pt idx="218">
                  <c:v>62.199999999999996</c:v>
                </c:pt>
                <c:pt idx="219">
                  <c:v>62.500000000000007</c:v>
                </c:pt>
                <c:pt idx="220">
                  <c:v>62.800000000000004</c:v>
                </c:pt>
                <c:pt idx="221">
                  <c:v>63.1</c:v>
                </c:pt>
                <c:pt idx="222">
                  <c:v>63.4</c:v>
                </c:pt>
                <c:pt idx="223">
                  <c:v>63.699999999999996</c:v>
                </c:pt>
                <c:pt idx="224">
                  <c:v>64</c:v>
                </c:pt>
                <c:pt idx="225">
                  <c:v>64.199999999999989</c:v>
                </c:pt>
                <c:pt idx="226">
                  <c:v>64.5</c:v>
                </c:pt>
                <c:pt idx="227">
                  <c:v>64.800000000000011</c:v>
                </c:pt>
                <c:pt idx="228">
                  <c:v>65.099999999999994</c:v>
                </c:pt>
                <c:pt idx="229">
                  <c:v>65.400000000000006</c:v>
                </c:pt>
                <c:pt idx="230">
                  <c:v>65.699999999999989</c:v>
                </c:pt>
                <c:pt idx="231">
                  <c:v>66</c:v>
                </c:pt>
                <c:pt idx="232">
                  <c:v>66.199999999999989</c:v>
                </c:pt>
                <c:pt idx="233">
                  <c:v>66.5</c:v>
                </c:pt>
                <c:pt idx="234">
                  <c:v>66.800000000000011</c:v>
                </c:pt>
                <c:pt idx="235">
                  <c:v>67.099999999999994</c:v>
                </c:pt>
                <c:pt idx="236">
                  <c:v>67.400000000000006</c:v>
                </c:pt>
                <c:pt idx="237">
                  <c:v>67.699999999999989</c:v>
                </c:pt>
                <c:pt idx="238">
                  <c:v>68</c:v>
                </c:pt>
                <c:pt idx="239">
                  <c:v>68.199999999999989</c:v>
                </c:pt>
                <c:pt idx="240">
                  <c:v>68.5</c:v>
                </c:pt>
                <c:pt idx="241">
                  <c:v>68.800000000000011</c:v>
                </c:pt>
                <c:pt idx="242">
                  <c:v>69.099999999999994</c:v>
                </c:pt>
                <c:pt idx="243">
                  <c:v>69.400000000000006</c:v>
                </c:pt>
                <c:pt idx="244">
                  <c:v>69.699999999999989</c:v>
                </c:pt>
                <c:pt idx="245">
                  <c:v>70</c:v>
                </c:pt>
                <c:pt idx="246">
                  <c:v>70.199999999999989</c:v>
                </c:pt>
                <c:pt idx="247">
                  <c:v>70.5</c:v>
                </c:pt>
                <c:pt idx="248">
                  <c:v>70.799999999999983</c:v>
                </c:pt>
                <c:pt idx="249">
                  <c:v>71.099999999999994</c:v>
                </c:pt>
                <c:pt idx="250">
                  <c:v>71.400000000000006</c:v>
                </c:pt>
                <c:pt idx="251">
                  <c:v>71.699999999999989</c:v>
                </c:pt>
                <c:pt idx="252">
                  <c:v>72</c:v>
                </c:pt>
                <c:pt idx="253">
                  <c:v>72.199999999999989</c:v>
                </c:pt>
                <c:pt idx="254">
                  <c:v>72.5</c:v>
                </c:pt>
                <c:pt idx="255">
                  <c:v>72.799999999999983</c:v>
                </c:pt>
                <c:pt idx="256">
                  <c:v>73.099999999999994</c:v>
                </c:pt>
                <c:pt idx="257">
                  <c:v>73.400000000000006</c:v>
                </c:pt>
                <c:pt idx="258">
                  <c:v>73.699999999999989</c:v>
                </c:pt>
                <c:pt idx="259">
                  <c:v>74</c:v>
                </c:pt>
                <c:pt idx="260">
                  <c:v>74.199999999999989</c:v>
                </c:pt>
                <c:pt idx="261">
                  <c:v>74.5</c:v>
                </c:pt>
                <c:pt idx="262">
                  <c:v>74.799999999999983</c:v>
                </c:pt>
                <c:pt idx="263">
                  <c:v>75.099999999999994</c:v>
                </c:pt>
                <c:pt idx="264">
                  <c:v>75.400000000000006</c:v>
                </c:pt>
                <c:pt idx="265">
                  <c:v>75.699999999999989</c:v>
                </c:pt>
                <c:pt idx="266">
                  <c:v>76</c:v>
                </c:pt>
                <c:pt idx="267">
                  <c:v>76.199999999999989</c:v>
                </c:pt>
                <c:pt idx="268">
                  <c:v>76.5</c:v>
                </c:pt>
                <c:pt idx="269">
                  <c:v>76.799999999999983</c:v>
                </c:pt>
                <c:pt idx="270">
                  <c:v>77.099999999999994</c:v>
                </c:pt>
                <c:pt idx="271">
                  <c:v>77.400000000000006</c:v>
                </c:pt>
                <c:pt idx="272">
                  <c:v>77.699999999999989</c:v>
                </c:pt>
                <c:pt idx="273">
                  <c:v>78</c:v>
                </c:pt>
                <c:pt idx="274">
                  <c:v>78.199999999999989</c:v>
                </c:pt>
                <c:pt idx="275">
                  <c:v>78.5</c:v>
                </c:pt>
                <c:pt idx="276">
                  <c:v>78.799999999999983</c:v>
                </c:pt>
                <c:pt idx="277">
                  <c:v>79.099999999999994</c:v>
                </c:pt>
                <c:pt idx="278">
                  <c:v>79.400000000000006</c:v>
                </c:pt>
                <c:pt idx="279">
                  <c:v>79.699999999999989</c:v>
                </c:pt>
                <c:pt idx="280">
                  <c:v>80</c:v>
                </c:pt>
                <c:pt idx="281">
                  <c:v>80.199999999999989</c:v>
                </c:pt>
                <c:pt idx="282">
                  <c:v>80.5</c:v>
                </c:pt>
                <c:pt idx="283">
                  <c:v>80.799999999999983</c:v>
                </c:pt>
                <c:pt idx="284">
                  <c:v>81.099999999999994</c:v>
                </c:pt>
                <c:pt idx="285">
                  <c:v>81.400000000000006</c:v>
                </c:pt>
                <c:pt idx="286">
                  <c:v>81.699999999999989</c:v>
                </c:pt>
                <c:pt idx="287">
                  <c:v>82</c:v>
                </c:pt>
                <c:pt idx="288">
                  <c:v>82.199999999999989</c:v>
                </c:pt>
                <c:pt idx="289">
                  <c:v>82.5</c:v>
                </c:pt>
                <c:pt idx="290">
                  <c:v>82.799999999999983</c:v>
                </c:pt>
                <c:pt idx="291">
                  <c:v>83.1</c:v>
                </c:pt>
                <c:pt idx="292">
                  <c:v>83.4</c:v>
                </c:pt>
                <c:pt idx="293">
                  <c:v>83.699999999999989</c:v>
                </c:pt>
                <c:pt idx="294">
                  <c:v>84</c:v>
                </c:pt>
                <c:pt idx="295">
                  <c:v>84.199999999999989</c:v>
                </c:pt>
                <c:pt idx="296">
                  <c:v>84.5</c:v>
                </c:pt>
                <c:pt idx="297">
                  <c:v>84.799999999999983</c:v>
                </c:pt>
                <c:pt idx="298">
                  <c:v>85.1</c:v>
                </c:pt>
                <c:pt idx="299">
                  <c:v>85.4</c:v>
                </c:pt>
                <c:pt idx="300">
                  <c:v>85.699999999999989</c:v>
                </c:pt>
                <c:pt idx="301">
                  <c:v>86</c:v>
                </c:pt>
                <c:pt idx="302">
                  <c:v>86.199999999999989</c:v>
                </c:pt>
                <c:pt idx="303">
                  <c:v>86.5</c:v>
                </c:pt>
                <c:pt idx="304">
                  <c:v>86.799999999999983</c:v>
                </c:pt>
                <c:pt idx="305">
                  <c:v>87.1</c:v>
                </c:pt>
                <c:pt idx="306">
                  <c:v>87.4</c:v>
                </c:pt>
                <c:pt idx="307">
                  <c:v>87.699999999999989</c:v>
                </c:pt>
                <c:pt idx="308">
                  <c:v>88</c:v>
                </c:pt>
                <c:pt idx="309">
                  <c:v>88.199999999999989</c:v>
                </c:pt>
                <c:pt idx="310">
                  <c:v>88.5</c:v>
                </c:pt>
                <c:pt idx="311">
                  <c:v>88.799999999999983</c:v>
                </c:pt>
                <c:pt idx="312">
                  <c:v>89.1</c:v>
                </c:pt>
                <c:pt idx="313">
                  <c:v>89.4</c:v>
                </c:pt>
                <c:pt idx="314">
                  <c:v>89.699999999999989</c:v>
                </c:pt>
                <c:pt idx="315">
                  <c:v>90</c:v>
                </c:pt>
                <c:pt idx="316">
                  <c:v>90.199999999999989</c:v>
                </c:pt>
                <c:pt idx="317">
                  <c:v>90.5</c:v>
                </c:pt>
                <c:pt idx="318">
                  <c:v>90.799999999999983</c:v>
                </c:pt>
                <c:pt idx="319">
                  <c:v>91.1</c:v>
                </c:pt>
                <c:pt idx="320">
                  <c:v>91.4</c:v>
                </c:pt>
                <c:pt idx="321">
                  <c:v>91.699999999999989</c:v>
                </c:pt>
                <c:pt idx="322">
                  <c:v>92</c:v>
                </c:pt>
                <c:pt idx="323">
                  <c:v>92.199999999999989</c:v>
                </c:pt>
                <c:pt idx="324">
                  <c:v>92.5</c:v>
                </c:pt>
                <c:pt idx="325">
                  <c:v>92.799999999999983</c:v>
                </c:pt>
                <c:pt idx="326">
                  <c:v>93.1</c:v>
                </c:pt>
                <c:pt idx="327">
                  <c:v>93.4</c:v>
                </c:pt>
                <c:pt idx="328">
                  <c:v>93.699999999999989</c:v>
                </c:pt>
                <c:pt idx="329">
                  <c:v>94</c:v>
                </c:pt>
                <c:pt idx="330">
                  <c:v>94.199999999999989</c:v>
                </c:pt>
                <c:pt idx="331">
                  <c:v>94.5</c:v>
                </c:pt>
                <c:pt idx="332">
                  <c:v>94.799999999999983</c:v>
                </c:pt>
                <c:pt idx="333">
                  <c:v>95.1</c:v>
                </c:pt>
                <c:pt idx="334">
                  <c:v>95.4</c:v>
                </c:pt>
                <c:pt idx="335">
                  <c:v>95.699999999999989</c:v>
                </c:pt>
                <c:pt idx="336">
                  <c:v>96</c:v>
                </c:pt>
                <c:pt idx="337">
                  <c:v>96.199999999999989</c:v>
                </c:pt>
                <c:pt idx="338">
                  <c:v>96.5</c:v>
                </c:pt>
                <c:pt idx="339">
                  <c:v>96.799999999999983</c:v>
                </c:pt>
                <c:pt idx="340">
                  <c:v>97.1</c:v>
                </c:pt>
                <c:pt idx="341">
                  <c:v>97.4</c:v>
                </c:pt>
                <c:pt idx="342">
                  <c:v>97.699999999999989</c:v>
                </c:pt>
                <c:pt idx="343">
                  <c:v>98</c:v>
                </c:pt>
                <c:pt idx="344">
                  <c:v>98.199999999999989</c:v>
                </c:pt>
                <c:pt idx="345">
                  <c:v>98.5</c:v>
                </c:pt>
                <c:pt idx="346">
                  <c:v>98.799999999999983</c:v>
                </c:pt>
                <c:pt idx="347">
                  <c:v>99.1</c:v>
                </c:pt>
                <c:pt idx="348">
                  <c:v>99.4</c:v>
                </c:pt>
                <c:pt idx="349">
                  <c:v>99.699999999999989</c:v>
                </c:pt>
                <c:pt idx="350">
                  <c:v>100</c:v>
                </c:pt>
                <c:pt idx="351">
                  <c:v>100.19999999999999</c:v>
                </c:pt>
                <c:pt idx="352">
                  <c:v>100.5</c:v>
                </c:pt>
                <c:pt idx="353">
                  <c:v>100.79999999999998</c:v>
                </c:pt>
                <c:pt idx="354">
                  <c:v>101.1</c:v>
                </c:pt>
                <c:pt idx="355">
                  <c:v>101.4</c:v>
                </c:pt>
                <c:pt idx="356">
                  <c:v>101.69999999999999</c:v>
                </c:pt>
                <c:pt idx="357">
                  <c:v>102</c:v>
                </c:pt>
                <c:pt idx="358">
                  <c:v>102.19999999999999</c:v>
                </c:pt>
                <c:pt idx="359">
                  <c:v>102.5</c:v>
                </c:pt>
                <c:pt idx="360">
                  <c:v>102.79999999999998</c:v>
                </c:pt>
                <c:pt idx="361">
                  <c:v>103.1</c:v>
                </c:pt>
                <c:pt idx="362">
                  <c:v>103.4</c:v>
                </c:pt>
                <c:pt idx="363">
                  <c:v>103.69999999999999</c:v>
                </c:pt>
                <c:pt idx="364">
                  <c:v>104</c:v>
                </c:pt>
                <c:pt idx="365">
                  <c:v>104.19999999999999</c:v>
                </c:pt>
                <c:pt idx="366">
                  <c:v>104.5</c:v>
                </c:pt>
                <c:pt idx="367">
                  <c:v>104.79999999999998</c:v>
                </c:pt>
                <c:pt idx="368">
                  <c:v>105.1</c:v>
                </c:pt>
                <c:pt idx="369">
                  <c:v>105.4</c:v>
                </c:pt>
                <c:pt idx="370">
                  <c:v>105.69999999999999</c:v>
                </c:pt>
                <c:pt idx="371">
                  <c:v>106</c:v>
                </c:pt>
                <c:pt idx="372">
                  <c:v>106.19999999999999</c:v>
                </c:pt>
                <c:pt idx="373">
                  <c:v>106.5</c:v>
                </c:pt>
                <c:pt idx="374">
                  <c:v>106.79999999999998</c:v>
                </c:pt>
                <c:pt idx="375">
                  <c:v>107.1</c:v>
                </c:pt>
                <c:pt idx="376">
                  <c:v>107.4</c:v>
                </c:pt>
                <c:pt idx="377">
                  <c:v>107.69999999999999</c:v>
                </c:pt>
                <c:pt idx="378">
                  <c:v>108</c:v>
                </c:pt>
                <c:pt idx="379">
                  <c:v>108.19999999999999</c:v>
                </c:pt>
                <c:pt idx="380">
                  <c:v>108.5</c:v>
                </c:pt>
                <c:pt idx="381">
                  <c:v>108.79999999999998</c:v>
                </c:pt>
                <c:pt idx="382">
                  <c:v>109.1</c:v>
                </c:pt>
                <c:pt idx="383">
                  <c:v>109.4</c:v>
                </c:pt>
                <c:pt idx="384">
                  <c:v>109.69999999999999</c:v>
                </c:pt>
                <c:pt idx="385">
                  <c:v>110</c:v>
                </c:pt>
                <c:pt idx="386">
                  <c:v>110.19999999999999</c:v>
                </c:pt>
                <c:pt idx="387">
                  <c:v>110.5</c:v>
                </c:pt>
                <c:pt idx="388">
                  <c:v>110.79999999999998</c:v>
                </c:pt>
                <c:pt idx="389">
                  <c:v>111.1</c:v>
                </c:pt>
                <c:pt idx="390">
                  <c:v>111.4</c:v>
                </c:pt>
                <c:pt idx="391">
                  <c:v>111.69999999999999</c:v>
                </c:pt>
                <c:pt idx="392">
                  <c:v>112</c:v>
                </c:pt>
                <c:pt idx="393">
                  <c:v>112.19999999999999</c:v>
                </c:pt>
                <c:pt idx="394">
                  <c:v>112.5</c:v>
                </c:pt>
                <c:pt idx="395">
                  <c:v>112.79999999999998</c:v>
                </c:pt>
                <c:pt idx="396">
                  <c:v>113.1</c:v>
                </c:pt>
                <c:pt idx="397">
                  <c:v>113.4</c:v>
                </c:pt>
                <c:pt idx="398">
                  <c:v>113.69999999999999</c:v>
                </c:pt>
                <c:pt idx="399">
                  <c:v>114</c:v>
                </c:pt>
                <c:pt idx="400">
                  <c:v>114.19999999999999</c:v>
                </c:pt>
                <c:pt idx="401">
                  <c:v>114.5</c:v>
                </c:pt>
                <c:pt idx="402">
                  <c:v>114.79999999999998</c:v>
                </c:pt>
                <c:pt idx="403">
                  <c:v>115.1</c:v>
                </c:pt>
                <c:pt idx="404">
                  <c:v>115.4</c:v>
                </c:pt>
                <c:pt idx="405">
                  <c:v>115.69999999999999</c:v>
                </c:pt>
                <c:pt idx="406">
                  <c:v>116</c:v>
                </c:pt>
                <c:pt idx="407">
                  <c:v>116.19999999999999</c:v>
                </c:pt>
                <c:pt idx="408">
                  <c:v>116.5</c:v>
                </c:pt>
                <c:pt idx="409">
                  <c:v>116.79999999999998</c:v>
                </c:pt>
                <c:pt idx="410">
                  <c:v>117.1</c:v>
                </c:pt>
                <c:pt idx="411">
                  <c:v>117.4</c:v>
                </c:pt>
                <c:pt idx="412">
                  <c:v>117.69999999999999</c:v>
                </c:pt>
                <c:pt idx="413">
                  <c:v>118</c:v>
                </c:pt>
                <c:pt idx="414">
                  <c:v>118.19999999999999</c:v>
                </c:pt>
                <c:pt idx="415">
                  <c:v>118.5</c:v>
                </c:pt>
                <c:pt idx="416">
                  <c:v>118.79999999999998</c:v>
                </c:pt>
                <c:pt idx="417">
                  <c:v>119.1</c:v>
                </c:pt>
                <c:pt idx="418">
                  <c:v>119.4</c:v>
                </c:pt>
                <c:pt idx="419">
                  <c:v>119.69999999999999</c:v>
                </c:pt>
                <c:pt idx="420">
                  <c:v>120</c:v>
                </c:pt>
                <c:pt idx="421">
                  <c:v>120.19999999999999</c:v>
                </c:pt>
                <c:pt idx="422">
                  <c:v>120.5</c:v>
                </c:pt>
                <c:pt idx="423">
                  <c:v>120.79999999999998</c:v>
                </c:pt>
                <c:pt idx="424">
                  <c:v>121.1</c:v>
                </c:pt>
                <c:pt idx="425">
                  <c:v>121.4</c:v>
                </c:pt>
                <c:pt idx="426">
                  <c:v>121.69999999999999</c:v>
                </c:pt>
                <c:pt idx="427">
                  <c:v>122</c:v>
                </c:pt>
                <c:pt idx="428">
                  <c:v>122.19999999999999</c:v>
                </c:pt>
                <c:pt idx="429">
                  <c:v>122.5</c:v>
                </c:pt>
                <c:pt idx="430">
                  <c:v>122.79999999999998</c:v>
                </c:pt>
                <c:pt idx="431">
                  <c:v>123.1</c:v>
                </c:pt>
                <c:pt idx="432">
                  <c:v>123.4</c:v>
                </c:pt>
                <c:pt idx="433">
                  <c:v>123.69999999999999</c:v>
                </c:pt>
                <c:pt idx="434">
                  <c:v>124</c:v>
                </c:pt>
                <c:pt idx="435">
                  <c:v>124.19999999999999</c:v>
                </c:pt>
                <c:pt idx="436">
                  <c:v>124.5</c:v>
                </c:pt>
                <c:pt idx="437">
                  <c:v>124.79999999999998</c:v>
                </c:pt>
                <c:pt idx="438">
                  <c:v>125.1</c:v>
                </c:pt>
                <c:pt idx="439">
                  <c:v>125.4</c:v>
                </c:pt>
                <c:pt idx="440">
                  <c:v>125.69999999999999</c:v>
                </c:pt>
                <c:pt idx="441">
                  <c:v>126</c:v>
                </c:pt>
                <c:pt idx="442">
                  <c:v>126.19999999999999</c:v>
                </c:pt>
                <c:pt idx="443">
                  <c:v>126.5</c:v>
                </c:pt>
                <c:pt idx="444">
                  <c:v>126.79999999999998</c:v>
                </c:pt>
                <c:pt idx="445">
                  <c:v>127.1</c:v>
                </c:pt>
                <c:pt idx="446">
                  <c:v>127.4</c:v>
                </c:pt>
                <c:pt idx="447">
                  <c:v>127.69999999999999</c:v>
                </c:pt>
                <c:pt idx="448">
                  <c:v>128</c:v>
                </c:pt>
                <c:pt idx="449">
                  <c:v>128.19999999999999</c:v>
                </c:pt>
                <c:pt idx="450">
                  <c:v>128.5</c:v>
                </c:pt>
                <c:pt idx="451">
                  <c:v>128.79999999999998</c:v>
                </c:pt>
                <c:pt idx="452">
                  <c:v>129.1</c:v>
                </c:pt>
                <c:pt idx="453">
                  <c:v>129.4</c:v>
                </c:pt>
                <c:pt idx="454">
                  <c:v>129.69999999999999</c:v>
                </c:pt>
                <c:pt idx="455">
                  <c:v>130</c:v>
                </c:pt>
                <c:pt idx="456">
                  <c:v>130.19999999999999</c:v>
                </c:pt>
                <c:pt idx="457">
                  <c:v>130.5</c:v>
                </c:pt>
                <c:pt idx="458">
                  <c:v>130.79999999999998</c:v>
                </c:pt>
                <c:pt idx="459">
                  <c:v>131.1</c:v>
                </c:pt>
                <c:pt idx="460">
                  <c:v>131.4</c:v>
                </c:pt>
                <c:pt idx="461">
                  <c:v>131.69999999999999</c:v>
                </c:pt>
                <c:pt idx="462">
                  <c:v>132</c:v>
                </c:pt>
                <c:pt idx="463">
                  <c:v>132.19999999999999</c:v>
                </c:pt>
                <c:pt idx="464">
                  <c:v>132.5</c:v>
                </c:pt>
                <c:pt idx="465">
                  <c:v>132.79999999999998</c:v>
                </c:pt>
                <c:pt idx="466">
                  <c:v>133.1</c:v>
                </c:pt>
                <c:pt idx="467">
                  <c:v>133.4</c:v>
                </c:pt>
                <c:pt idx="468">
                  <c:v>133.69999999999999</c:v>
                </c:pt>
                <c:pt idx="469">
                  <c:v>134</c:v>
                </c:pt>
                <c:pt idx="470">
                  <c:v>134.19999999999999</c:v>
                </c:pt>
                <c:pt idx="471">
                  <c:v>134.5</c:v>
                </c:pt>
                <c:pt idx="472">
                  <c:v>134.79999999999998</c:v>
                </c:pt>
                <c:pt idx="473">
                  <c:v>135.1</c:v>
                </c:pt>
                <c:pt idx="474">
                  <c:v>135.4</c:v>
                </c:pt>
                <c:pt idx="475">
                  <c:v>135.69999999999999</c:v>
                </c:pt>
                <c:pt idx="476">
                  <c:v>136</c:v>
                </c:pt>
                <c:pt idx="477">
                  <c:v>136.19999999999999</c:v>
                </c:pt>
                <c:pt idx="478">
                  <c:v>136.5</c:v>
                </c:pt>
                <c:pt idx="479">
                  <c:v>136.79999999999998</c:v>
                </c:pt>
                <c:pt idx="480">
                  <c:v>137.1</c:v>
                </c:pt>
                <c:pt idx="481">
                  <c:v>137.4</c:v>
                </c:pt>
                <c:pt idx="482">
                  <c:v>137.69999999999999</c:v>
                </c:pt>
                <c:pt idx="483">
                  <c:v>138</c:v>
                </c:pt>
                <c:pt idx="484">
                  <c:v>138.19999999999999</c:v>
                </c:pt>
                <c:pt idx="485">
                  <c:v>138.5</c:v>
                </c:pt>
                <c:pt idx="486">
                  <c:v>138.79999999999998</c:v>
                </c:pt>
                <c:pt idx="487">
                  <c:v>139.1</c:v>
                </c:pt>
                <c:pt idx="488">
                  <c:v>139.4</c:v>
                </c:pt>
                <c:pt idx="489">
                  <c:v>139.69999999999999</c:v>
                </c:pt>
                <c:pt idx="490">
                  <c:v>140</c:v>
                </c:pt>
                <c:pt idx="491">
                  <c:v>140.19999999999999</c:v>
                </c:pt>
                <c:pt idx="492">
                  <c:v>140.5</c:v>
                </c:pt>
                <c:pt idx="493">
                  <c:v>140.79999999999998</c:v>
                </c:pt>
              </c:numCache>
            </c:numRef>
          </c:xVal>
          <c:yVal>
            <c:numRef>
              <c:f>'sheet 1'!$R$39:$R$841</c:f>
              <c:numCache>
                <c:formatCode>General</c:formatCode>
                <c:ptCount val="8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21-4875-B88C-B488B95351CA}"/>
            </c:ext>
          </c:extLst>
        </c:ser>
        <c:ser>
          <c:idx val="5"/>
          <c:order val="5"/>
          <c:tx>
            <c:strRef>
              <c:f>'sheet 1'!$S$38</c:f>
              <c:strCache>
                <c:ptCount val="1"/>
                <c:pt idx="0">
                  <c:v>I4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</c:v>
                </c:pt>
                <c:pt idx="1">
                  <c:v>0.20000000000000284</c:v>
                </c:pt>
                <c:pt idx="2">
                  <c:v>0.5</c:v>
                </c:pt>
                <c:pt idx="3">
                  <c:v>0.80000000000000426</c:v>
                </c:pt>
                <c:pt idx="4">
                  <c:v>1.1000000000000014</c:v>
                </c:pt>
                <c:pt idx="5">
                  <c:v>1.3999999999999986</c:v>
                </c:pt>
                <c:pt idx="6">
                  <c:v>1.7000000000000028</c:v>
                </c:pt>
                <c:pt idx="7">
                  <c:v>2</c:v>
                </c:pt>
                <c:pt idx="8">
                  <c:v>2.2000000000000028</c:v>
                </c:pt>
                <c:pt idx="9">
                  <c:v>2.5</c:v>
                </c:pt>
                <c:pt idx="10">
                  <c:v>2.8000000000000043</c:v>
                </c:pt>
                <c:pt idx="11">
                  <c:v>3.1000000000000014</c:v>
                </c:pt>
                <c:pt idx="12">
                  <c:v>3.3999999999999986</c:v>
                </c:pt>
                <c:pt idx="13">
                  <c:v>3.7000000000000028</c:v>
                </c:pt>
                <c:pt idx="14">
                  <c:v>4</c:v>
                </c:pt>
                <c:pt idx="15">
                  <c:v>4.2000000000000028</c:v>
                </c:pt>
                <c:pt idx="16">
                  <c:v>4.5</c:v>
                </c:pt>
                <c:pt idx="17">
                  <c:v>4.8000000000000043</c:v>
                </c:pt>
                <c:pt idx="18">
                  <c:v>5.1000000000000014</c:v>
                </c:pt>
                <c:pt idx="19">
                  <c:v>5.3999999999999986</c:v>
                </c:pt>
                <c:pt idx="20">
                  <c:v>5.6999999999999957</c:v>
                </c:pt>
                <c:pt idx="21">
                  <c:v>6.0000000000000071</c:v>
                </c:pt>
                <c:pt idx="22">
                  <c:v>6.1999999999999957</c:v>
                </c:pt>
                <c:pt idx="23">
                  <c:v>6.5000000000000071</c:v>
                </c:pt>
                <c:pt idx="24">
                  <c:v>6.8000000000000043</c:v>
                </c:pt>
                <c:pt idx="25">
                  <c:v>7.1000000000000014</c:v>
                </c:pt>
                <c:pt idx="26">
                  <c:v>7.3999999999999986</c:v>
                </c:pt>
                <c:pt idx="27">
                  <c:v>7.6999999999999957</c:v>
                </c:pt>
                <c:pt idx="28">
                  <c:v>8.0000000000000071</c:v>
                </c:pt>
                <c:pt idx="29">
                  <c:v>8.1999999999999957</c:v>
                </c:pt>
                <c:pt idx="30">
                  <c:v>8.5000000000000071</c:v>
                </c:pt>
                <c:pt idx="31">
                  <c:v>8.8000000000000043</c:v>
                </c:pt>
                <c:pt idx="32">
                  <c:v>9.1000000000000014</c:v>
                </c:pt>
                <c:pt idx="33">
                  <c:v>9.3999999999999986</c:v>
                </c:pt>
                <c:pt idx="34">
                  <c:v>9.6999999999999957</c:v>
                </c:pt>
                <c:pt idx="35">
                  <c:v>10.000000000000007</c:v>
                </c:pt>
                <c:pt idx="36">
                  <c:v>10.199999999999996</c:v>
                </c:pt>
                <c:pt idx="37">
                  <c:v>10.500000000000007</c:v>
                </c:pt>
                <c:pt idx="38">
                  <c:v>10.800000000000004</c:v>
                </c:pt>
                <c:pt idx="39">
                  <c:v>11.100000000000001</c:v>
                </c:pt>
                <c:pt idx="40">
                  <c:v>11.399999999999999</c:v>
                </c:pt>
                <c:pt idx="41">
                  <c:v>11.699999999999996</c:v>
                </c:pt>
                <c:pt idx="42">
                  <c:v>12.000000000000007</c:v>
                </c:pt>
                <c:pt idx="43">
                  <c:v>12.199999999999996</c:v>
                </c:pt>
                <c:pt idx="44">
                  <c:v>12.500000000000007</c:v>
                </c:pt>
                <c:pt idx="45">
                  <c:v>12.800000000000004</c:v>
                </c:pt>
                <c:pt idx="46">
                  <c:v>13.100000000000001</c:v>
                </c:pt>
                <c:pt idx="47">
                  <c:v>13.399999999999999</c:v>
                </c:pt>
                <c:pt idx="48">
                  <c:v>13.699999999999996</c:v>
                </c:pt>
                <c:pt idx="49">
                  <c:v>14.000000000000007</c:v>
                </c:pt>
                <c:pt idx="50">
                  <c:v>14.199999999999996</c:v>
                </c:pt>
                <c:pt idx="51">
                  <c:v>14.500000000000007</c:v>
                </c:pt>
                <c:pt idx="52">
                  <c:v>14.800000000000004</c:v>
                </c:pt>
                <c:pt idx="53">
                  <c:v>15.100000000000001</c:v>
                </c:pt>
                <c:pt idx="54">
                  <c:v>15.399999999999999</c:v>
                </c:pt>
                <c:pt idx="55">
                  <c:v>15.699999999999996</c:v>
                </c:pt>
                <c:pt idx="56">
                  <c:v>16.000000000000007</c:v>
                </c:pt>
                <c:pt idx="57">
                  <c:v>16.199999999999996</c:v>
                </c:pt>
                <c:pt idx="58">
                  <c:v>16.500000000000007</c:v>
                </c:pt>
                <c:pt idx="59">
                  <c:v>16.800000000000004</c:v>
                </c:pt>
                <c:pt idx="60">
                  <c:v>17.100000000000001</c:v>
                </c:pt>
                <c:pt idx="61">
                  <c:v>17.399999999999999</c:v>
                </c:pt>
                <c:pt idx="62">
                  <c:v>17.699999999999996</c:v>
                </c:pt>
                <c:pt idx="63">
                  <c:v>18.000000000000007</c:v>
                </c:pt>
                <c:pt idx="64">
                  <c:v>18.199999999999996</c:v>
                </c:pt>
                <c:pt idx="65">
                  <c:v>18.500000000000007</c:v>
                </c:pt>
                <c:pt idx="66">
                  <c:v>18.800000000000004</c:v>
                </c:pt>
                <c:pt idx="67">
                  <c:v>19.100000000000001</c:v>
                </c:pt>
                <c:pt idx="68">
                  <c:v>19.399999999999999</c:v>
                </c:pt>
                <c:pt idx="69">
                  <c:v>19.699999999999996</c:v>
                </c:pt>
                <c:pt idx="70">
                  <c:v>20.000000000000007</c:v>
                </c:pt>
                <c:pt idx="71">
                  <c:v>20.199999999999996</c:v>
                </c:pt>
                <c:pt idx="72">
                  <c:v>20.500000000000007</c:v>
                </c:pt>
                <c:pt idx="73">
                  <c:v>20.800000000000004</c:v>
                </c:pt>
                <c:pt idx="74">
                  <c:v>21.1</c:v>
                </c:pt>
                <c:pt idx="75">
                  <c:v>21.4</c:v>
                </c:pt>
                <c:pt idx="76">
                  <c:v>21.699999999999996</c:v>
                </c:pt>
                <c:pt idx="77">
                  <c:v>22.000000000000007</c:v>
                </c:pt>
                <c:pt idx="78">
                  <c:v>22.199999999999996</c:v>
                </c:pt>
                <c:pt idx="79">
                  <c:v>22.500000000000007</c:v>
                </c:pt>
                <c:pt idx="80">
                  <c:v>22.800000000000004</c:v>
                </c:pt>
                <c:pt idx="81">
                  <c:v>23.1</c:v>
                </c:pt>
                <c:pt idx="82">
                  <c:v>23.4</c:v>
                </c:pt>
                <c:pt idx="83">
                  <c:v>23.699999999999996</c:v>
                </c:pt>
                <c:pt idx="84">
                  <c:v>24.000000000000007</c:v>
                </c:pt>
                <c:pt idx="85">
                  <c:v>24.199999999999996</c:v>
                </c:pt>
                <c:pt idx="86">
                  <c:v>24.500000000000007</c:v>
                </c:pt>
                <c:pt idx="87">
                  <c:v>24.800000000000004</c:v>
                </c:pt>
                <c:pt idx="88">
                  <c:v>25.1</c:v>
                </c:pt>
                <c:pt idx="89">
                  <c:v>25.4</c:v>
                </c:pt>
                <c:pt idx="90">
                  <c:v>25.699999999999996</c:v>
                </c:pt>
                <c:pt idx="91">
                  <c:v>26.000000000000007</c:v>
                </c:pt>
                <c:pt idx="92">
                  <c:v>26.199999999999996</c:v>
                </c:pt>
                <c:pt idx="93">
                  <c:v>26.500000000000007</c:v>
                </c:pt>
                <c:pt idx="94">
                  <c:v>26.800000000000004</c:v>
                </c:pt>
                <c:pt idx="95">
                  <c:v>27.1</c:v>
                </c:pt>
                <c:pt idx="96">
                  <c:v>27.4</c:v>
                </c:pt>
                <c:pt idx="97">
                  <c:v>27.699999999999996</c:v>
                </c:pt>
                <c:pt idx="98">
                  <c:v>28.000000000000007</c:v>
                </c:pt>
                <c:pt idx="99">
                  <c:v>28.199999999999996</c:v>
                </c:pt>
                <c:pt idx="100">
                  <c:v>28.500000000000007</c:v>
                </c:pt>
                <c:pt idx="101">
                  <c:v>28.800000000000004</c:v>
                </c:pt>
                <c:pt idx="102">
                  <c:v>29.1</c:v>
                </c:pt>
                <c:pt idx="103">
                  <c:v>29.4</c:v>
                </c:pt>
                <c:pt idx="104">
                  <c:v>29.699999999999996</c:v>
                </c:pt>
                <c:pt idx="105">
                  <c:v>30.000000000000007</c:v>
                </c:pt>
                <c:pt idx="106">
                  <c:v>30.199999999999996</c:v>
                </c:pt>
                <c:pt idx="107">
                  <c:v>30.500000000000007</c:v>
                </c:pt>
                <c:pt idx="108">
                  <c:v>30.800000000000004</c:v>
                </c:pt>
                <c:pt idx="109">
                  <c:v>31.1</c:v>
                </c:pt>
                <c:pt idx="110">
                  <c:v>31.4</c:v>
                </c:pt>
                <c:pt idx="111">
                  <c:v>31.699999999999996</c:v>
                </c:pt>
                <c:pt idx="112">
                  <c:v>32.000000000000007</c:v>
                </c:pt>
                <c:pt idx="113">
                  <c:v>32.199999999999996</c:v>
                </c:pt>
                <c:pt idx="114">
                  <c:v>32.500000000000007</c:v>
                </c:pt>
                <c:pt idx="115">
                  <c:v>32.800000000000004</c:v>
                </c:pt>
                <c:pt idx="116">
                  <c:v>33.1</c:v>
                </c:pt>
                <c:pt idx="117">
                  <c:v>33.4</c:v>
                </c:pt>
                <c:pt idx="118">
                  <c:v>33.699999999999996</c:v>
                </c:pt>
                <c:pt idx="119">
                  <c:v>34.000000000000007</c:v>
                </c:pt>
                <c:pt idx="120">
                  <c:v>34.199999999999996</c:v>
                </c:pt>
                <c:pt idx="121">
                  <c:v>34.500000000000007</c:v>
                </c:pt>
                <c:pt idx="122">
                  <c:v>34.800000000000004</c:v>
                </c:pt>
                <c:pt idx="123">
                  <c:v>35.1</c:v>
                </c:pt>
                <c:pt idx="124">
                  <c:v>35.4</c:v>
                </c:pt>
                <c:pt idx="125">
                  <c:v>35.699999999999996</c:v>
                </c:pt>
                <c:pt idx="126">
                  <c:v>36.000000000000007</c:v>
                </c:pt>
                <c:pt idx="127">
                  <c:v>36.199999999999996</c:v>
                </c:pt>
                <c:pt idx="128">
                  <c:v>36.500000000000007</c:v>
                </c:pt>
                <c:pt idx="129">
                  <c:v>36.800000000000004</c:v>
                </c:pt>
                <c:pt idx="130">
                  <c:v>37.1</c:v>
                </c:pt>
                <c:pt idx="131">
                  <c:v>37.4</c:v>
                </c:pt>
                <c:pt idx="132">
                  <c:v>37.699999999999996</c:v>
                </c:pt>
                <c:pt idx="133">
                  <c:v>38.000000000000007</c:v>
                </c:pt>
                <c:pt idx="134">
                  <c:v>38.199999999999996</c:v>
                </c:pt>
                <c:pt idx="135">
                  <c:v>38.500000000000007</c:v>
                </c:pt>
                <c:pt idx="136">
                  <c:v>38.800000000000004</c:v>
                </c:pt>
                <c:pt idx="137">
                  <c:v>39.1</c:v>
                </c:pt>
                <c:pt idx="138">
                  <c:v>39.4</c:v>
                </c:pt>
                <c:pt idx="139">
                  <c:v>39.699999999999996</c:v>
                </c:pt>
                <c:pt idx="140">
                  <c:v>40.000000000000007</c:v>
                </c:pt>
                <c:pt idx="141">
                  <c:v>40.199999999999996</c:v>
                </c:pt>
                <c:pt idx="142">
                  <c:v>40.500000000000007</c:v>
                </c:pt>
                <c:pt idx="143">
                  <c:v>40.800000000000004</c:v>
                </c:pt>
                <c:pt idx="144">
                  <c:v>41.1</c:v>
                </c:pt>
                <c:pt idx="145">
                  <c:v>41.4</c:v>
                </c:pt>
                <c:pt idx="146">
                  <c:v>41.699999999999996</c:v>
                </c:pt>
                <c:pt idx="147">
                  <c:v>42.000000000000007</c:v>
                </c:pt>
                <c:pt idx="148">
                  <c:v>42.199999999999996</c:v>
                </c:pt>
                <c:pt idx="149">
                  <c:v>42.500000000000007</c:v>
                </c:pt>
                <c:pt idx="150">
                  <c:v>42.800000000000004</c:v>
                </c:pt>
                <c:pt idx="151">
                  <c:v>43.1</c:v>
                </c:pt>
                <c:pt idx="152">
                  <c:v>43.4</c:v>
                </c:pt>
                <c:pt idx="153">
                  <c:v>43.699999999999996</c:v>
                </c:pt>
                <c:pt idx="154">
                  <c:v>44.000000000000007</c:v>
                </c:pt>
                <c:pt idx="155">
                  <c:v>44.199999999999996</c:v>
                </c:pt>
                <c:pt idx="156">
                  <c:v>44.500000000000007</c:v>
                </c:pt>
                <c:pt idx="157">
                  <c:v>44.800000000000004</c:v>
                </c:pt>
                <c:pt idx="158">
                  <c:v>45.1</c:v>
                </c:pt>
                <c:pt idx="159">
                  <c:v>45.4</c:v>
                </c:pt>
                <c:pt idx="160">
                  <c:v>45.699999999999996</c:v>
                </c:pt>
                <c:pt idx="161">
                  <c:v>46.000000000000007</c:v>
                </c:pt>
                <c:pt idx="162">
                  <c:v>46.199999999999996</c:v>
                </c:pt>
                <c:pt idx="163">
                  <c:v>46.500000000000007</c:v>
                </c:pt>
                <c:pt idx="164">
                  <c:v>46.800000000000004</c:v>
                </c:pt>
                <c:pt idx="165">
                  <c:v>47.1</c:v>
                </c:pt>
                <c:pt idx="166">
                  <c:v>47.4</c:v>
                </c:pt>
                <c:pt idx="167">
                  <c:v>47.699999999999996</c:v>
                </c:pt>
                <c:pt idx="168">
                  <c:v>48.000000000000007</c:v>
                </c:pt>
                <c:pt idx="169">
                  <c:v>48.199999999999996</c:v>
                </c:pt>
                <c:pt idx="170">
                  <c:v>48.500000000000007</c:v>
                </c:pt>
                <c:pt idx="171">
                  <c:v>48.800000000000004</c:v>
                </c:pt>
                <c:pt idx="172">
                  <c:v>49.1</c:v>
                </c:pt>
                <c:pt idx="173">
                  <c:v>49.4</c:v>
                </c:pt>
                <c:pt idx="174">
                  <c:v>49.699999999999996</c:v>
                </c:pt>
                <c:pt idx="175">
                  <c:v>50.000000000000007</c:v>
                </c:pt>
                <c:pt idx="176">
                  <c:v>50.199999999999996</c:v>
                </c:pt>
                <c:pt idx="177">
                  <c:v>50.500000000000007</c:v>
                </c:pt>
                <c:pt idx="178">
                  <c:v>50.800000000000004</c:v>
                </c:pt>
                <c:pt idx="179">
                  <c:v>51.1</c:v>
                </c:pt>
                <c:pt idx="180">
                  <c:v>51.4</c:v>
                </c:pt>
                <c:pt idx="181">
                  <c:v>51.699999999999996</c:v>
                </c:pt>
                <c:pt idx="182">
                  <c:v>52.000000000000007</c:v>
                </c:pt>
                <c:pt idx="183">
                  <c:v>52.199999999999996</c:v>
                </c:pt>
                <c:pt idx="184">
                  <c:v>52.500000000000007</c:v>
                </c:pt>
                <c:pt idx="185">
                  <c:v>52.800000000000004</c:v>
                </c:pt>
                <c:pt idx="186">
                  <c:v>53.1</c:v>
                </c:pt>
                <c:pt idx="187">
                  <c:v>53.4</c:v>
                </c:pt>
                <c:pt idx="188">
                  <c:v>53.699999999999996</c:v>
                </c:pt>
                <c:pt idx="189">
                  <c:v>54.000000000000007</c:v>
                </c:pt>
                <c:pt idx="190">
                  <c:v>54.199999999999996</c:v>
                </c:pt>
                <c:pt idx="191">
                  <c:v>54.500000000000007</c:v>
                </c:pt>
                <c:pt idx="192">
                  <c:v>54.800000000000004</c:v>
                </c:pt>
                <c:pt idx="193">
                  <c:v>55.1</c:v>
                </c:pt>
                <c:pt idx="194">
                  <c:v>55.4</c:v>
                </c:pt>
                <c:pt idx="195">
                  <c:v>55.699999999999996</c:v>
                </c:pt>
                <c:pt idx="196">
                  <c:v>56.000000000000007</c:v>
                </c:pt>
                <c:pt idx="197">
                  <c:v>56.199999999999996</c:v>
                </c:pt>
                <c:pt idx="198">
                  <c:v>56.500000000000007</c:v>
                </c:pt>
                <c:pt idx="199">
                  <c:v>56.800000000000004</c:v>
                </c:pt>
                <c:pt idx="200">
                  <c:v>57.1</c:v>
                </c:pt>
                <c:pt idx="201">
                  <c:v>57.4</c:v>
                </c:pt>
                <c:pt idx="202">
                  <c:v>57.699999999999996</c:v>
                </c:pt>
                <c:pt idx="203">
                  <c:v>58.000000000000007</c:v>
                </c:pt>
                <c:pt idx="204">
                  <c:v>58.199999999999996</c:v>
                </c:pt>
                <c:pt idx="205">
                  <c:v>58.500000000000007</c:v>
                </c:pt>
                <c:pt idx="206">
                  <c:v>58.800000000000004</c:v>
                </c:pt>
                <c:pt idx="207">
                  <c:v>59.1</c:v>
                </c:pt>
                <c:pt idx="208">
                  <c:v>59.4</c:v>
                </c:pt>
                <c:pt idx="209">
                  <c:v>59.699999999999996</c:v>
                </c:pt>
                <c:pt idx="210">
                  <c:v>60.000000000000007</c:v>
                </c:pt>
                <c:pt idx="211">
                  <c:v>60.199999999999996</c:v>
                </c:pt>
                <c:pt idx="212">
                  <c:v>60.500000000000007</c:v>
                </c:pt>
                <c:pt idx="213">
                  <c:v>60.800000000000004</c:v>
                </c:pt>
                <c:pt idx="214">
                  <c:v>61.1</c:v>
                </c:pt>
                <c:pt idx="215">
                  <c:v>61.4</c:v>
                </c:pt>
                <c:pt idx="216">
                  <c:v>61.699999999999996</c:v>
                </c:pt>
                <c:pt idx="217">
                  <c:v>62.000000000000007</c:v>
                </c:pt>
                <c:pt idx="218">
                  <c:v>62.199999999999996</c:v>
                </c:pt>
                <c:pt idx="219">
                  <c:v>62.500000000000007</c:v>
                </c:pt>
                <c:pt idx="220">
                  <c:v>62.800000000000004</c:v>
                </c:pt>
                <c:pt idx="221">
                  <c:v>63.1</c:v>
                </c:pt>
                <c:pt idx="222">
                  <c:v>63.4</c:v>
                </c:pt>
                <c:pt idx="223">
                  <c:v>63.699999999999996</c:v>
                </c:pt>
                <c:pt idx="224">
                  <c:v>64</c:v>
                </c:pt>
                <c:pt idx="225">
                  <c:v>64.199999999999989</c:v>
                </c:pt>
                <c:pt idx="226">
                  <c:v>64.5</c:v>
                </c:pt>
                <c:pt idx="227">
                  <c:v>64.800000000000011</c:v>
                </c:pt>
                <c:pt idx="228">
                  <c:v>65.099999999999994</c:v>
                </c:pt>
                <c:pt idx="229">
                  <c:v>65.400000000000006</c:v>
                </c:pt>
                <c:pt idx="230">
                  <c:v>65.699999999999989</c:v>
                </c:pt>
                <c:pt idx="231">
                  <c:v>66</c:v>
                </c:pt>
                <c:pt idx="232">
                  <c:v>66.199999999999989</c:v>
                </c:pt>
                <c:pt idx="233">
                  <c:v>66.5</c:v>
                </c:pt>
                <c:pt idx="234">
                  <c:v>66.800000000000011</c:v>
                </c:pt>
                <c:pt idx="235">
                  <c:v>67.099999999999994</c:v>
                </c:pt>
                <c:pt idx="236">
                  <c:v>67.400000000000006</c:v>
                </c:pt>
                <c:pt idx="237">
                  <c:v>67.699999999999989</c:v>
                </c:pt>
                <c:pt idx="238">
                  <c:v>68</c:v>
                </c:pt>
                <c:pt idx="239">
                  <c:v>68.199999999999989</c:v>
                </c:pt>
                <c:pt idx="240">
                  <c:v>68.5</c:v>
                </c:pt>
                <c:pt idx="241">
                  <c:v>68.800000000000011</c:v>
                </c:pt>
                <c:pt idx="242">
                  <c:v>69.099999999999994</c:v>
                </c:pt>
                <c:pt idx="243">
                  <c:v>69.400000000000006</c:v>
                </c:pt>
                <c:pt idx="244">
                  <c:v>69.699999999999989</c:v>
                </c:pt>
                <c:pt idx="245">
                  <c:v>70</c:v>
                </c:pt>
                <c:pt idx="246">
                  <c:v>70.199999999999989</c:v>
                </c:pt>
                <c:pt idx="247">
                  <c:v>70.5</c:v>
                </c:pt>
                <c:pt idx="248">
                  <c:v>70.799999999999983</c:v>
                </c:pt>
                <c:pt idx="249">
                  <c:v>71.099999999999994</c:v>
                </c:pt>
                <c:pt idx="250">
                  <c:v>71.400000000000006</c:v>
                </c:pt>
                <c:pt idx="251">
                  <c:v>71.699999999999989</c:v>
                </c:pt>
                <c:pt idx="252">
                  <c:v>72</c:v>
                </c:pt>
                <c:pt idx="253">
                  <c:v>72.199999999999989</c:v>
                </c:pt>
                <c:pt idx="254">
                  <c:v>72.5</c:v>
                </c:pt>
                <c:pt idx="255">
                  <c:v>72.799999999999983</c:v>
                </c:pt>
                <c:pt idx="256">
                  <c:v>73.099999999999994</c:v>
                </c:pt>
                <c:pt idx="257">
                  <c:v>73.400000000000006</c:v>
                </c:pt>
                <c:pt idx="258">
                  <c:v>73.699999999999989</c:v>
                </c:pt>
                <c:pt idx="259">
                  <c:v>74</c:v>
                </c:pt>
                <c:pt idx="260">
                  <c:v>74.199999999999989</c:v>
                </c:pt>
                <c:pt idx="261">
                  <c:v>74.5</c:v>
                </c:pt>
                <c:pt idx="262">
                  <c:v>74.799999999999983</c:v>
                </c:pt>
                <c:pt idx="263">
                  <c:v>75.099999999999994</c:v>
                </c:pt>
                <c:pt idx="264">
                  <c:v>75.400000000000006</c:v>
                </c:pt>
                <c:pt idx="265">
                  <c:v>75.699999999999989</c:v>
                </c:pt>
                <c:pt idx="266">
                  <c:v>76</c:v>
                </c:pt>
                <c:pt idx="267">
                  <c:v>76.199999999999989</c:v>
                </c:pt>
                <c:pt idx="268">
                  <c:v>76.5</c:v>
                </c:pt>
                <c:pt idx="269">
                  <c:v>76.799999999999983</c:v>
                </c:pt>
                <c:pt idx="270">
                  <c:v>77.099999999999994</c:v>
                </c:pt>
                <c:pt idx="271">
                  <c:v>77.400000000000006</c:v>
                </c:pt>
                <c:pt idx="272">
                  <c:v>77.699999999999989</c:v>
                </c:pt>
                <c:pt idx="273">
                  <c:v>78</c:v>
                </c:pt>
                <c:pt idx="274">
                  <c:v>78.199999999999989</c:v>
                </c:pt>
                <c:pt idx="275">
                  <c:v>78.5</c:v>
                </c:pt>
                <c:pt idx="276">
                  <c:v>78.799999999999983</c:v>
                </c:pt>
                <c:pt idx="277">
                  <c:v>79.099999999999994</c:v>
                </c:pt>
                <c:pt idx="278">
                  <c:v>79.400000000000006</c:v>
                </c:pt>
                <c:pt idx="279">
                  <c:v>79.699999999999989</c:v>
                </c:pt>
                <c:pt idx="280">
                  <c:v>80</c:v>
                </c:pt>
                <c:pt idx="281">
                  <c:v>80.199999999999989</c:v>
                </c:pt>
                <c:pt idx="282">
                  <c:v>80.5</c:v>
                </c:pt>
                <c:pt idx="283">
                  <c:v>80.799999999999983</c:v>
                </c:pt>
                <c:pt idx="284">
                  <c:v>81.099999999999994</c:v>
                </c:pt>
                <c:pt idx="285">
                  <c:v>81.400000000000006</c:v>
                </c:pt>
                <c:pt idx="286">
                  <c:v>81.699999999999989</c:v>
                </c:pt>
                <c:pt idx="287">
                  <c:v>82</c:v>
                </c:pt>
                <c:pt idx="288">
                  <c:v>82.199999999999989</c:v>
                </c:pt>
                <c:pt idx="289">
                  <c:v>82.5</c:v>
                </c:pt>
                <c:pt idx="290">
                  <c:v>82.799999999999983</c:v>
                </c:pt>
                <c:pt idx="291">
                  <c:v>83.1</c:v>
                </c:pt>
                <c:pt idx="292">
                  <c:v>83.4</c:v>
                </c:pt>
                <c:pt idx="293">
                  <c:v>83.699999999999989</c:v>
                </c:pt>
                <c:pt idx="294">
                  <c:v>84</c:v>
                </c:pt>
                <c:pt idx="295">
                  <c:v>84.199999999999989</c:v>
                </c:pt>
                <c:pt idx="296">
                  <c:v>84.5</c:v>
                </c:pt>
                <c:pt idx="297">
                  <c:v>84.799999999999983</c:v>
                </c:pt>
                <c:pt idx="298">
                  <c:v>85.1</c:v>
                </c:pt>
                <c:pt idx="299">
                  <c:v>85.4</c:v>
                </c:pt>
                <c:pt idx="300">
                  <c:v>85.699999999999989</c:v>
                </c:pt>
                <c:pt idx="301">
                  <c:v>86</c:v>
                </c:pt>
                <c:pt idx="302">
                  <c:v>86.199999999999989</c:v>
                </c:pt>
                <c:pt idx="303">
                  <c:v>86.5</c:v>
                </c:pt>
                <c:pt idx="304">
                  <c:v>86.799999999999983</c:v>
                </c:pt>
                <c:pt idx="305">
                  <c:v>87.1</c:v>
                </c:pt>
                <c:pt idx="306">
                  <c:v>87.4</c:v>
                </c:pt>
                <c:pt idx="307">
                  <c:v>87.699999999999989</c:v>
                </c:pt>
                <c:pt idx="308">
                  <c:v>88</c:v>
                </c:pt>
                <c:pt idx="309">
                  <c:v>88.199999999999989</c:v>
                </c:pt>
                <c:pt idx="310">
                  <c:v>88.5</c:v>
                </c:pt>
                <c:pt idx="311">
                  <c:v>88.799999999999983</c:v>
                </c:pt>
                <c:pt idx="312">
                  <c:v>89.1</c:v>
                </c:pt>
                <c:pt idx="313">
                  <c:v>89.4</c:v>
                </c:pt>
                <c:pt idx="314">
                  <c:v>89.699999999999989</c:v>
                </c:pt>
                <c:pt idx="315">
                  <c:v>90</c:v>
                </c:pt>
                <c:pt idx="316">
                  <c:v>90.199999999999989</c:v>
                </c:pt>
                <c:pt idx="317">
                  <c:v>90.5</c:v>
                </c:pt>
                <c:pt idx="318">
                  <c:v>90.799999999999983</c:v>
                </c:pt>
                <c:pt idx="319">
                  <c:v>91.1</c:v>
                </c:pt>
                <c:pt idx="320">
                  <c:v>91.4</c:v>
                </c:pt>
                <c:pt idx="321">
                  <c:v>91.699999999999989</c:v>
                </c:pt>
                <c:pt idx="322">
                  <c:v>92</c:v>
                </c:pt>
                <c:pt idx="323">
                  <c:v>92.199999999999989</c:v>
                </c:pt>
                <c:pt idx="324">
                  <c:v>92.5</c:v>
                </c:pt>
                <c:pt idx="325">
                  <c:v>92.799999999999983</c:v>
                </c:pt>
                <c:pt idx="326">
                  <c:v>93.1</c:v>
                </c:pt>
                <c:pt idx="327">
                  <c:v>93.4</c:v>
                </c:pt>
                <c:pt idx="328">
                  <c:v>93.699999999999989</c:v>
                </c:pt>
                <c:pt idx="329">
                  <c:v>94</c:v>
                </c:pt>
                <c:pt idx="330">
                  <c:v>94.199999999999989</c:v>
                </c:pt>
                <c:pt idx="331">
                  <c:v>94.5</c:v>
                </c:pt>
                <c:pt idx="332">
                  <c:v>94.799999999999983</c:v>
                </c:pt>
                <c:pt idx="333">
                  <c:v>95.1</c:v>
                </c:pt>
                <c:pt idx="334">
                  <c:v>95.4</c:v>
                </c:pt>
                <c:pt idx="335">
                  <c:v>95.699999999999989</c:v>
                </c:pt>
                <c:pt idx="336">
                  <c:v>96</c:v>
                </c:pt>
                <c:pt idx="337">
                  <c:v>96.199999999999989</c:v>
                </c:pt>
                <c:pt idx="338">
                  <c:v>96.5</c:v>
                </c:pt>
                <c:pt idx="339">
                  <c:v>96.799999999999983</c:v>
                </c:pt>
                <c:pt idx="340">
                  <c:v>97.1</c:v>
                </c:pt>
                <c:pt idx="341">
                  <c:v>97.4</c:v>
                </c:pt>
                <c:pt idx="342">
                  <c:v>97.699999999999989</c:v>
                </c:pt>
                <c:pt idx="343">
                  <c:v>98</c:v>
                </c:pt>
                <c:pt idx="344">
                  <c:v>98.199999999999989</c:v>
                </c:pt>
                <c:pt idx="345">
                  <c:v>98.5</c:v>
                </c:pt>
                <c:pt idx="346">
                  <c:v>98.799999999999983</c:v>
                </c:pt>
                <c:pt idx="347">
                  <c:v>99.1</c:v>
                </c:pt>
                <c:pt idx="348">
                  <c:v>99.4</c:v>
                </c:pt>
                <c:pt idx="349">
                  <c:v>99.699999999999989</c:v>
                </c:pt>
                <c:pt idx="350">
                  <c:v>100</c:v>
                </c:pt>
                <c:pt idx="351">
                  <c:v>100.19999999999999</c:v>
                </c:pt>
                <c:pt idx="352">
                  <c:v>100.5</c:v>
                </c:pt>
                <c:pt idx="353">
                  <c:v>100.79999999999998</c:v>
                </c:pt>
                <c:pt idx="354">
                  <c:v>101.1</c:v>
                </c:pt>
                <c:pt idx="355">
                  <c:v>101.4</c:v>
                </c:pt>
                <c:pt idx="356">
                  <c:v>101.69999999999999</c:v>
                </c:pt>
                <c:pt idx="357">
                  <c:v>102</c:v>
                </c:pt>
                <c:pt idx="358">
                  <c:v>102.19999999999999</c:v>
                </c:pt>
                <c:pt idx="359">
                  <c:v>102.5</c:v>
                </c:pt>
                <c:pt idx="360">
                  <c:v>102.79999999999998</c:v>
                </c:pt>
                <c:pt idx="361">
                  <c:v>103.1</c:v>
                </c:pt>
                <c:pt idx="362">
                  <c:v>103.4</c:v>
                </c:pt>
                <c:pt idx="363">
                  <c:v>103.69999999999999</c:v>
                </c:pt>
                <c:pt idx="364">
                  <c:v>104</c:v>
                </c:pt>
                <c:pt idx="365">
                  <c:v>104.19999999999999</c:v>
                </c:pt>
                <c:pt idx="366">
                  <c:v>104.5</c:v>
                </c:pt>
                <c:pt idx="367">
                  <c:v>104.79999999999998</c:v>
                </c:pt>
                <c:pt idx="368">
                  <c:v>105.1</c:v>
                </c:pt>
                <c:pt idx="369">
                  <c:v>105.4</c:v>
                </c:pt>
                <c:pt idx="370">
                  <c:v>105.69999999999999</c:v>
                </c:pt>
                <c:pt idx="371">
                  <c:v>106</c:v>
                </c:pt>
                <c:pt idx="372">
                  <c:v>106.19999999999999</c:v>
                </c:pt>
                <c:pt idx="373">
                  <c:v>106.5</c:v>
                </c:pt>
                <c:pt idx="374">
                  <c:v>106.79999999999998</c:v>
                </c:pt>
                <c:pt idx="375">
                  <c:v>107.1</c:v>
                </c:pt>
                <c:pt idx="376">
                  <c:v>107.4</c:v>
                </c:pt>
                <c:pt idx="377">
                  <c:v>107.69999999999999</c:v>
                </c:pt>
                <c:pt idx="378">
                  <c:v>108</c:v>
                </c:pt>
                <c:pt idx="379">
                  <c:v>108.19999999999999</c:v>
                </c:pt>
                <c:pt idx="380">
                  <c:v>108.5</c:v>
                </c:pt>
                <c:pt idx="381">
                  <c:v>108.79999999999998</c:v>
                </c:pt>
                <c:pt idx="382">
                  <c:v>109.1</c:v>
                </c:pt>
                <c:pt idx="383">
                  <c:v>109.4</c:v>
                </c:pt>
                <c:pt idx="384">
                  <c:v>109.69999999999999</c:v>
                </c:pt>
                <c:pt idx="385">
                  <c:v>110</c:v>
                </c:pt>
                <c:pt idx="386">
                  <c:v>110.19999999999999</c:v>
                </c:pt>
                <c:pt idx="387">
                  <c:v>110.5</c:v>
                </c:pt>
                <c:pt idx="388">
                  <c:v>110.79999999999998</c:v>
                </c:pt>
                <c:pt idx="389">
                  <c:v>111.1</c:v>
                </c:pt>
                <c:pt idx="390">
                  <c:v>111.4</c:v>
                </c:pt>
                <c:pt idx="391">
                  <c:v>111.69999999999999</c:v>
                </c:pt>
                <c:pt idx="392">
                  <c:v>112</c:v>
                </c:pt>
                <c:pt idx="393">
                  <c:v>112.19999999999999</c:v>
                </c:pt>
                <c:pt idx="394">
                  <c:v>112.5</c:v>
                </c:pt>
                <c:pt idx="395">
                  <c:v>112.79999999999998</c:v>
                </c:pt>
                <c:pt idx="396">
                  <c:v>113.1</c:v>
                </c:pt>
                <c:pt idx="397">
                  <c:v>113.4</c:v>
                </c:pt>
                <c:pt idx="398">
                  <c:v>113.69999999999999</c:v>
                </c:pt>
                <c:pt idx="399">
                  <c:v>114</c:v>
                </c:pt>
                <c:pt idx="400">
                  <c:v>114.19999999999999</c:v>
                </c:pt>
                <c:pt idx="401">
                  <c:v>114.5</c:v>
                </c:pt>
                <c:pt idx="402">
                  <c:v>114.79999999999998</c:v>
                </c:pt>
                <c:pt idx="403">
                  <c:v>115.1</c:v>
                </c:pt>
                <c:pt idx="404">
                  <c:v>115.4</c:v>
                </c:pt>
                <c:pt idx="405">
                  <c:v>115.69999999999999</c:v>
                </c:pt>
                <c:pt idx="406">
                  <c:v>116</c:v>
                </c:pt>
                <c:pt idx="407">
                  <c:v>116.19999999999999</c:v>
                </c:pt>
                <c:pt idx="408">
                  <c:v>116.5</c:v>
                </c:pt>
                <c:pt idx="409">
                  <c:v>116.79999999999998</c:v>
                </c:pt>
                <c:pt idx="410">
                  <c:v>117.1</c:v>
                </c:pt>
                <c:pt idx="411">
                  <c:v>117.4</c:v>
                </c:pt>
                <c:pt idx="412">
                  <c:v>117.69999999999999</c:v>
                </c:pt>
                <c:pt idx="413">
                  <c:v>118</c:v>
                </c:pt>
                <c:pt idx="414">
                  <c:v>118.19999999999999</c:v>
                </c:pt>
                <c:pt idx="415">
                  <c:v>118.5</c:v>
                </c:pt>
                <c:pt idx="416">
                  <c:v>118.79999999999998</c:v>
                </c:pt>
                <c:pt idx="417">
                  <c:v>119.1</c:v>
                </c:pt>
                <c:pt idx="418">
                  <c:v>119.4</c:v>
                </c:pt>
                <c:pt idx="419">
                  <c:v>119.69999999999999</c:v>
                </c:pt>
                <c:pt idx="420">
                  <c:v>120</c:v>
                </c:pt>
                <c:pt idx="421">
                  <c:v>120.19999999999999</c:v>
                </c:pt>
                <c:pt idx="422">
                  <c:v>120.5</c:v>
                </c:pt>
                <c:pt idx="423">
                  <c:v>120.79999999999998</c:v>
                </c:pt>
                <c:pt idx="424">
                  <c:v>121.1</c:v>
                </c:pt>
                <c:pt idx="425">
                  <c:v>121.4</c:v>
                </c:pt>
                <c:pt idx="426">
                  <c:v>121.69999999999999</c:v>
                </c:pt>
                <c:pt idx="427">
                  <c:v>122</c:v>
                </c:pt>
                <c:pt idx="428">
                  <c:v>122.19999999999999</c:v>
                </c:pt>
                <c:pt idx="429">
                  <c:v>122.5</c:v>
                </c:pt>
                <c:pt idx="430">
                  <c:v>122.79999999999998</c:v>
                </c:pt>
                <c:pt idx="431">
                  <c:v>123.1</c:v>
                </c:pt>
                <c:pt idx="432">
                  <c:v>123.4</c:v>
                </c:pt>
                <c:pt idx="433">
                  <c:v>123.69999999999999</c:v>
                </c:pt>
                <c:pt idx="434">
                  <c:v>124</c:v>
                </c:pt>
                <c:pt idx="435">
                  <c:v>124.19999999999999</c:v>
                </c:pt>
                <c:pt idx="436">
                  <c:v>124.5</c:v>
                </c:pt>
                <c:pt idx="437">
                  <c:v>124.79999999999998</c:v>
                </c:pt>
                <c:pt idx="438">
                  <c:v>125.1</c:v>
                </c:pt>
                <c:pt idx="439">
                  <c:v>125.4</c:v>
                </c:pt>
                <c:pt idx="440">
                  <c:v>125.69999999999999</c:v>
                </c:pt>
                <c:pt idx="441">
                  <c:v>126</c:v>
                </c:pt>
                <c:pt idx="442">
                  <c:v>126.19999999999999</c:v>
                </c:pt>
                <c:pt idx="443">
                  <c:v>126.5</c:v>
                </c:pt>
                <c:pt idx="444">
                  <c:v>126.79999999999998</c:v>
                </c:pt>
                <c:pt idx="445">
                  <c:v>127.1</c:v>
                </c:pt>
                <c:pt idx="446">
                  <c:v>127.4</c:v>
                </c:pt>
                <c:pt idx="447">
                  <c:v>127.69999999999999</c:v>
                </c:pt>
                <c:pt idx="448">
                  <c:v>128</c:v>
                </c:pt>
                <c:pt idx="449">
                  <c:v>128.19999999999999</c:v>
                </c:pt>
                <c:pt idx="450">
                  <c:v>128.5</c:v>
                </c:pt>
                <c:pt idx="451">
                  <c:v>128.79999999999998</c:v>
                </c:pt>
                <c:pt idx="452">
                  <c:v>129.1</c:v>
                </c:pt>
                <c:pt idx="453">
                  <c:v>129.4</c:v>
                </c:pt>
                <c:pt idx="454">
                  <c:v>129.69999999999999</c:v>
                </c:pt>
                <c:pt idx="455">
                  <c:v>130</c:v>
                </c:pt>
                <c:pt idx="456">
                  <c:v>130.19999999999999</c:v>
                </c:pt>
                <c:pt idx="457">
                  <c:v>130.5</c:v>
                </c:pt>
                <c:pt idx="458">
                  <c:v>130.79999999999998</c:v>
                </c:pt>
                <c:pt idx="459">
                  <c:v>131.1</c:v>
                </c:pt>
                <c:pt idx="460">
                  <c:v>131.4</c:v>
                </c:pt>
                <c:pt idx="461">
                  <c:v>131.69999999999999</c:v>
                </c:pt>
                <c:pt idx="462">
                  <c:v>132</c:v>
                </c:pt>
                <c:pt idx="463">
                  <c:v>132.19999999999999</c:v>
                </c:pt>
                <c:pt idx="464">
                  <c:v>132.5</c:v>
                </c:pt>
                <c:pt idx="465">
                  <c:v>132.79999999999998</c:v>
                </c:pt>
                <c:pt idx="466">
                  <c:v>133.1</c:v>
                </c:pt>
                <c:pt idx="467">
                  <c:v>133.4</c:v>
                </c:pt>
                <c:pt idx="468">
                  <c:v>133.69999999999999</c:v>
                </c:pt>
                <c:pt idx="469">
                  <c:v>134</c:v>
                </c:pt>
                <c:pt idx="470">
                  <c:v>134.19999999999999</c:v>
                </c:pt>
                <c:pt idx="471">
                  <c:v>134.5</c:v>
                </c:pt>
                <c:pt idx="472">
                  <c:v>134.79999999999998</c:v>
                </c:pt>
                <c:pt idx="473">
                  <c:v>135.1</c:v>
                </c:pt>
                <c:pt idx="474">
                  <c:v>135.4</c:v>
                </c:pt>
                <c:pt idx="475">
                  <c:v>135.69999999999999</c:v>
                </c:pt>
                <c:pt idx="476">
                  <c:v>136</c:v>
                </c:pt>
                <c:pt idx="477">
                  <c:v>136.19999999999999</c:v>
                </c:pt>
                <c:pt idx="478">
                  <c:v>136.5</c:v>
                </c:pt>
                <c:pt idx="479">
                  <c:v>136.79999999999998</c:v>
                </c:pt>
                <c:pt idx="480">
                  <c:v>137.1</c:v>
                </c:pt>
                <c:pt idx="481">
                  <c:v>137.4</c:v>
                </c:pt>
                <c:pt idx="482">
                  <c:v>137.69999999999999</c:v>
                </c:pt>
                <c:pt idx="483">
                  <c:v>138</c:v>
                </c:pt>
                <c:pt idx="484">
                  <c:v>138.19999999999999</c:v>
                </c:pt>
                <c:pt idx="485">
                  <c:v>138.5</c:v>
                </c:pt>
                <c:pt idx="486">
                  <c:v>138.79999999999998</c:v>
                </c:pt>
                <c:pt idx="487">
                  <c:v>139.1</c:v>
                </c:pt>
                <c:pt idx="488">
                  <c:v>139.4</c:v>
                </c:pt>
                <c:pt idx="489">
                  <c:v>139.69999999999999</c:v>
                </c:pt>
                <c:pt idx="490">
                  <c:v>140</c:v>
                </c:pt>
                <c:pt idx="491">
                  <c:v>140.19999999999999</c:v>
                </c:pt>
                <c:pt idx="492">
                  <c:v>140.5</c:v>
                </c:pt>
                <c:pt idx="493">
                  <c:v>140.79999999999998</c:v>
                </c:pt>
              </c:numCache>
            </c:numRef>
          </c:xVal>
          <c:yVal>
            <c:numRef>
              <c:f>'sheet 1'!$S$39:$S$841</c:f>
              <c:numCache>
                <c:formatCode>General</c:formatCode>
                <c:ptCount val="8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621-4875-B88C-B488B95351CA}"/>
            </c:ext>
          </c:extLst>
        </c:ser>
        <c:ser>
          <c:idx val="6"/>
          <c:order val="6"/>
          <c:tx>
            <c:strRef>
              <c:f>'sheet 1'!$T$38</c:f>
              <c:strCache>
                <c:ptCount val="1"/>
                <c:pt idx="0">
                  <c:v>I5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</c:v>
                </c:pt>
                <c:pt idx="1">
                  <c:v>0.20000000000000284</c:v>
                </c:pt>
                <c:pt idx="2">
                  <c:v>0.5</c:v>
                </c:pt>
                <c:pt idx="3">
                  <c:v>0.80000000000000426</c:v>
                </c:pt>
                <c:pt idx="4">
                  <c:v>1.1000000000000014</c:v>
                </c:pt>
                <c:pt idx="5">
                  <c:v>1.3999999999999986</c:v>
                </c:pt>
                <c:pt idx="6">
                  <c:v>1.7000000000000028</c:v>
                </c:pt>
                <c:pt idx="7">
                  <c:v>2</c:v>
                </c:pt>
                <c:pt idx="8">
                  <c:v>2.2000000000000028</c:v>
                </c:pt>
                <c:pt idx="9">
                  <c:v>2.5</c:v>
                </c:pt>
                <c:pt idx="10">
                  <c:v>2.8000000000000043</c:v>
                </c:pt>
                <c:pt idx="11">
                  <c:v>3.1000000000000014</c:v>
                </c:pt>
                <c:pt idx="12">
                  <c:v>3.3999999999999986</c:v>
                </c:pt>
                <c:pt idx="13">
                  <c:v>3.7000000000000028</c:v>
                </c:pt>
                <c:pt idx="14">
                  <c:v>4</c:v>
                </c:pt>
                <c:pt idx="15">
                  <c:v>4.2000000000000028</c:v>
                </c:pt>
                <c:pt idx="16">
                  <c:v>4.5</c:v>
                </c:pt>
                <c:pt idx="17">
                  <c:v>4.8000000000000043</c:v>
                </c:pt>
                <c:pt idx="18">
                  <c:v>5.1000000000000014</c:v>
                </c:pt>
                <c:pt idx="19">
                  <c:v>5.3999999999999986</c:v>
                </c:pt>
                <c:pt idx="20">
                  <c:v>5.6999999999999957</c:v>
                </c:pt>
                <c:pt idx="21">
                  <c:v>6.0000000000000071</c:v>
                </c:pt>
                <c:pt idx="22">
                  <c:v>6.1999999999999957</c:v>
                </c:pt>
                <c:pt idx="23">
                  <c:v>6.5000000000000071</c:v>
                </c:pt>
                <c:pt idx="24">
                  <c:v>6.8000000000000043</c:v>
                </c:pt>
                <c:pt idx="25">
                  <c:v>7.1000000000000014</c:v>
                </c:pt>
                <c:pt idx="26">
                  <c:v>7.3999999999999986</c:v>
                </c:pt>
                <c:pt idx="27">
                  <c:v>7.6999999999999957</c:v>
                </c:pt>
                <c:pt idx="28">
                  <c:v>8.0000000000000071</c:v>
                </c:pt>
                <c:pt idx="29">
                  <c:v>8.1999999999999957</c:v>
                </c:pt>
                <c:pt idx="30">
                  <c:v>8.5000000000000071</c:v>
                </c:pt>
                <c:pt idx="31">
                  <c:v>8.8000000000000043</c:v>
                </c:pt>
                <c:pt idx="32">
                  <c:v>9.1000000000000014</c:v>
                </c:pt>
                <c:pt idx="33">
                  <c:v>9.3999999999999986</c:v>
                </c:pt>
                <c:pt idx="34">
                  <c:v>9.6999999999999957</c:v>
                </c:pt>
                <c:pt idx="35">
                  <c:v>10.000000000000007</c:v>
                </c:pt>
                <c:pt idx="36">
                  <c:v>10.199999999999996</c:v>
                </c:pt>
                <c:pt idx="37">
                  <c:v>10.500000000000007</c:v>
                </c:pt>
                <c:pt idx="38">
                  <c:v>10.800000000000004</c:v>
                </c:pt>
                <c:pt idx="39">
                  <c:v>11.100000000000001</c:v>
                </c:pt>
                <c:pt idx="40">
                  <c:v>11.399999999999999</c:v>
                </c:pt>
                <c:pt idx="41">
                  <c:v>11.699999999999996</c:v>
                </c:pt>
                <c:pt idx="42">
                  <c:v>12.000000000000007</c:v>
                </c:pt>
                <c:pt idx="43">
                  <c:v>12.199999999999996</c:v>
                </c:pt>
                <c:pt idx="44">
                  <c:v>12.500000000000007</c:v>
                </c:pt>
                <c:pt idx="45">
                  <c:v>12.800000000000004</c:v>
                </c:pt>
                <c:pt idx="46">
                  <c:v>13.100000000000001</c:v>
                </c:pt>
                <c:pt idx="47">
                  <c:v>13.399999999999999</c:v>
                </c:pt>
                <c:pt idx="48">
                  <c:v>13.699999999999996</c:v>
                </c:pt>
                <c:pt idx="49">
                  <c:v>14.000000000000007</c:v>
                </c:pt>
                <c:pt idx="50">
                  <c:v>14.199999999999996</c:v>
                </c:pt>
                <c:pt idx="51">
                  <c:v>14.500000000000007</c:v>
                </c:pt>
                <c:pt idx="52">
                  <c:v>14.800000000000004</c:v>
                </c:pt>
                <c:pt idx="53">
                  <c:v>15.100000000000001</c:v>
                </c:pt>
                <c:pt idx="54">
                  <c:v>15.399999999999999</c:v>
                </c:pt>
                <c:pt idx="55">
                  <c:v>15.699999999999996</c:v>
                </c:pt>
                <c:pt idx="56">
                  <c:v>16.000000000000007</c:v>
                </c:pt>
                <c:pt idx="57">
                  <c:v>16.199999999999996</c:v>
                </c:pt>
                <c:pt idx="58">
                  <c:v>16.500000000000007</c:v>
                </c:pt>
                <c:pt idx="59">
                  <c:v>16.800000000000004</c:v>
                </c:pt>
                <c:pt idx="60">
                  <c:v>17.100000000000001</c:v>
                </c:pt>
                <c:pt idx="61">
                  <c:v>17.399999999999999</c:v>
                </c:pt>
                <c:pt idx="62">
                  <c:v>17.699999999999996</c:v>
                </c:pt>
                <c:pt idx="63">
                  <c:v>18.000000000000007</c:v>
                </c:pt>
                <c:pt idx="64">
                  <c:v>18.199999999999996</c:v>
                </c:pt>
                <c:pt idx="65">
                  <c:v>18.500000000000007</c:v>
                </c:pt>
                <c:pt idx="66">
                  <c:v>18.800000000000004</c:v>
                </c:pt>
                <c:pt idx="67">
                  <c:v>19.100000000000001</c:v>
                </c:pt>
                <c:pt idx="68">
                  <c:v>19.399999999999999</c:v>
                </c:pt>
                <c:pt idx="69">
                  <c:v>19.699999999999996</c:v>
                </c:pt>
                <c:pt idx="70">
                  <c:v>20.000000000000007</c:v>
                </c:pt>
                <c:pt idx="71">
                  <c:v>20.199999999999996</c:v>
                </c:pt>
                <c:pt idx="72">
                  <c:v>20.500000000000007</c:v>
                </c:pt>
                <c:pt idx="73">
                  <c:v>20.800000000000004</c:v>
                </c:pt>
                <c:pt idx="74">
                  <c:v>21.1</c:v>
                </c:pt>
                <c:pt idx="75">
                  <c:v>21.4</c:v>
                </c:pt>
                <c:pt idx="76">
                  <c:v>21.699999999999996</c:v>
                </c:pt>
                <c:pt idx="77">
                  <c:v>22.000000000000007</c:v>
                </c:pt>
                <c:pt idx="78">
                  <c:v>22.199999999999996</c:v>
                </c:pt>
                <c:pt idx="79">
                  <c:v>22.500000000000007</c:v>
                </c:pt>
                <c:pt idx="80">
                  <c:v>22.800000000000004</c:v>
                </c:pt>
                <c:pt idx="81">
                  <c:v>23.1</c:v>
                </c:pt>
                <c:pt idx="82">
                  <c:v>23.4</c:v>
                </c:pt>
                <c:pt idx="83">
                  <c:v>23.699999999999996</c:v>
                </c:pt>
                <c:pt idx="84">
                  <c:v>24.000000000000007</c:v>
                </c:pt>
                <c:pt idx="85">
                  <c:v>24.199999999999996</c:v>
                </c:pt>
                <c:pt idx="86">
                  <c:v>24.500000000000007</c:v>
                </c:pt>
                <c:pt idx="87">
                  <c:v>24.800000000000004</c:v>
                </c:pt>
                <c:pt idx="88">
                  <c:v>25.1</c:v>
                </c:pt>
                <c:pt idx="89">
                  <c:v>25.4</c:v>
                </c:pt>
                <c:pt idx="90">
                  <c:v>25.699999999999996</c:v>
                </c:pt>
                <c:pt idx="91">
                  <c:v>26.000000000000007</c:v>
                </c:pt>
                <c:pt idx="92">
                  <c:v>26.199999999999996</c:v>
                </c:pt>
                <c:pt idx="93">
                  <c:v>26.500000000000007</c:v>
                </c:pt>
                <c:pt idx="94">
                  <c:v>26.800000000000004</c:v>
                </c:pt>
                <c:pt idx="95">
                  <c:v>27.1</c:v>
                </c:pt>
                <c:pt idx="96">
                  <c:v>27.4</c:v>
                </c:pt>
                <c:pt idx="97">
                  <c:v>27.699999999999996</c:v>
                </c:pt>
                <c:pt idx="98">
                  <c:v>28.000000000000007</c:v>
                </c:pt>
                <c:pt idx="99">
                  <c:v>28.199999999999996</c:v>
                </c:pt>
                <c:pt idx="100">
                  <c:v>28.500000000000007</c:v>
                </c:pt>
                <c:pt idx="101">
                  <c:v>28.800000000000004</c:v>
                </c:pt>
                <c:pt idx="102">
                  <c:v>29.1</c:v>
                </c:pt>
                <c:pt idx="103">
                  <c:v>29.4</c:v>
                </c:pt>
                <c:pt idx="104">
                  <c:v>29.699999999999996</c:v>
                </c:pt>
                <c:pt idx="105">
                  <c:v>30.000000000000007</c:v>
                </c:pt>
                <c:pt idx="106">
                  <c:v>30.199999999999996</c:v>
                </c:pt>
                <c:pt idx="107">
                  <c:v>30.500000000000007</c:v>
                </c:pt>
                <c:pt idx="108">
                  <c:v>30.800000000000004</c:v>
                </c:pt>
                <c:pt idx="109">
                  <c:v>31.1</c:v>
                </c:pt>
                <c:pt idx="110">
                  <c:v>31.4</c:v>
                </c:pt>
                <c:pt idx="111">
                  <c:v>31.699999999999996</c:v>
                </c:pt>
                <c:pt idx="112">
                  <c:v>32.000000000000007</c:v>
                </c:pt>
                <c:pt idx="113">
                  <c:v>32.199999999999996</c:v>
                </c:pt>
                <c:pt idx="114">
                  <c:v>32.500000000000007</c:v>
                </c:pt>
                <c:pt idx="115">
                  <c:v>32.800000000000004</c:v>
                </c:pt>
                <c:pt idx="116">
                  <c:v>33.1</c:v>
                </c:pt>
                <c:pt idx="117">
                  <c:v>33.4</c:v>
                </c:pt>
                <c:pt idx="118">
                  <c:v>33.699999999999996</c:v>
                </c:pt>
                <c:pt idx="119">
                  <c:v>34.000000000000007</c:v>
                </c:pt>
                <c:pt idx="120">
                  <c:v>34.199999999999996</c:v>
                </c:pt>
                <c:pt idx="121">
                  <c:v>34.500000000000007</c:v>
                </c:pt>
                <c:pt idx="122">
                  <c:v>34.800000000000004</c:v>
                </c:pt>
                <c:pt idx="123">
                  <c:v>35.1</c:v>
                </c:pt>
                <c:pt idx="124">
                  <c:v>35.4</c:v>
                </c:pt>
                <c:pt idx="125">
                  <c:v>35.699999999999996</c:v>
                </c:pt>
                <c:pt idx="126">
                  <c:v>36.000000000000007</c:v>
                </c:pt>
                <c:pt idx="127">
                  <c:v>36.199999999999996</c:v>
                </c:pt>
                <c:pt idx="128">
                  <c:v>36.500000000000007</c:v>
                </c:pt>
                <c:pt idx="129">
                  <c:v>36.800000000000004</c:v>
                </c:pt>
                <c:pt idx="130">
                  <c:v>37.1</c:v>
                </c:pt>
                <c:pt idx="131">
                  <c:v>37.4</c:v>
                </c:pt>
                <c:pt idx="132">
                  <c:v>37.699999999999996</c:v>
                </c:pt>
                <c:pt idx="133">
                  <c:v>38.000000000000007</c:v>
                </c:pt>
                <c:pt idx="134">
                  <c:v>38.199999999999996</c:v>
                </c:pt>
                <c:pt idx="135">
                  <c:v>38.500000000000007</c:v>
                </c:pt>
                <c:pt idx="136">
                  <c:v>38.800000000000004</c:v>
                </c:pt>
                <c:pt idx="137">
                  <c:v>39.1</c:v>
                </c:pt>
                <c:pt idx="138">
                  <c:v>39.4</c:v>
                </c:pt>
                <c:pt idx="139">
                  <c:v>39.699999999999996</c:v>
                </c:pt>
                <c:pt idx="140">
                  <c:v>40.000000000000007</c:v>
                </c:pt>
                <c:pt idx="141">
                  <c:v>40.199999999999996</c:v>
                </c:pt>
                <c:pt idx="142">
                  <c:v>40.500000000000007</c:v>
                </c:pt>
                <c:pt idx="143">
                  <c:v>40.800000000000004</c:v>
                </c:pt>
                <c:pt idx="144">
                  <c:v>41.1</c:v>
                </c:pt>
                <c:pt idx="145">
                  <c:v>41.4</c:v>
                </c:pt>
                <c:pt idx="146">
                  <c:v>41.699999999999996</c:v>
                </c:pt>
                <c:pt idx="147">
                  <c:v>42.000000000000007</c:v>
                </c:pt>
                <c:pt idx="148">
                  <c:v>42.199999999999996</c:v>
                </c:pt>
                <c:pt idx="149">
                  <c:v>42.500000000000007</c:v>
                </c:pt>
                <c:pt idx="150">
                  <c:v>42.800000000000004</c:v>
                </c:pt>
                <c:pt idx="151">
                  <c:v>43.1</c:v>
                </c:pt>
                <c:pt idx="152">
                  <c:v>43.4</c:v>
                </c:pt>
                <c:pt idx="153">
                  <c:v>43.699999999999996</c:v>
                </c:pt>
                <c:pt idx="154">
                  <c:v>44.000000000000007</c:v>
                </c:pt>
                <c:pt idx="155">
                  <c:v>44.199999999999996</c:v>
                </c:pt>
                <c:pt idx="156">
                  <c:v>44.500000000000007</c:v>
                </c:pt>
                <c:pt idx="157">
                  <c:v>44.800000000000004</c:v>
                </c:pt>
                <c:pt idx="158">
                  <c:v>45.1</c:v>
                </c:pt>
                <c:pt idx="159">
                  <c:v>45.4</c:v>
                </c:pt>
                <c:pt idx="160">
                  <c:v>45.699999999999996</c:v>
                </c:pt>
                <c:pt idx="161">
                  <c:v>46.000000000000007</c:v>
                </c:pt>
                <c:pt idx="162">
                  <c:v>46.199999999999996</c:v>
                </c:pt>
                <c:pt idx="163">
                  <c:v>46.500000000000007</c:v>
                </c:pt>
                <c:pt idx="164">
                  <c:v>46.800000000000004</c:v>
                </c:pt>
                <c:pt idx="165">
                  <c:v>47.1</c:v>
                </c:pt>
                <c:pt idx="166">
                  <c:v>47.4</c:v>
                </c:pt>
                <c:pt idx="167">
                  <c:v>47.699999999999996</c:v>
                </c:pt>
                <c:pt idx="168">
                  <c:v>48.000000000000007</c:v>
                </c:pt>
                <c:pt idx="169">
                  <c:v>48.199999999999996</c:v>
                </c:pt>
                <c:pt idx="170">
                  <c:v>48.500000000000007</c:v>
                </c:pt>
                <c:pt idx="171">
                  <c:v>48.800000000000004</c:v>
                </c:pt>
                <c:pt idx="172">
                  <c:v>49.1</c:v>
                </c:pt>
                <c:pt idx="173">
                  <c:v>49.4</c:v>
                </c:pt>
                <c:pt idx="174">
                  <c:v>49.699999999999996</c:v>
                </c:pt>
                <c:pt idx="175">
                  <c:v>50.000000000000007</c:v>
                </c:pt>
                <c:pt idx="176">
                  <c:v>50.199999999999996</c:v>
                </c:pt>
                <c:pt idx="177">
                  <c:v>50.500000000000007</c:v>
                </c:pt>
                <c:pt idx="178">
                  <c:v>50.800000000000004</c:v>
                </c:pt>
                <c:pt idx="179">
                  <c:v>51.1</c:v>
                </c:pt>
                <c:pt idx="180">
                  <c:v>51.4</c:v>
                </c:pt>
                <c:pt idx="181">
                  <c:v>51.699999999999996</c:v>
                </c:pt>
                <c:pt idx="182">
                  <c:v>52.000000000000007</c:v>
                </c:pt>
                <c:pt idx="183">
                  <c:v>52.199999999999996</c:v>
                </c:pt>
                <c:pt idx="184">
                  <c:v>52.500000000000007</c:v>
                </c:pt>
                <c:pt idx="185">
                  <c:v>52.800000000000004</c:v>
                </c:pt>
                <c:pt idx="186">
                  <c:v>53.1</c:v>
                </c:pt>
                <c:pt idx="187">
                  <c:v>53.4</c:v>
                </c:pt>
                <c:pt idx="188">
                  <c:v>53.699999999999996</c:v>
                </c:pt>
                <c:pt idx="189">
                  <c:v>54.000000000000007</c:v>
                </c:pt>
                <c:pt idx="190">
                  <c:v>54.199999999999996</c:v>
                </c:pt>
                <c:pt idx="191">
                  <c:v>54.500000000000007</c:v>
                </c:pt>
                <c:pt idx="192">
                  <c:v>54.800000000000004</c:v>
                </c:pt>
                <c:pt idx="193">
                  <c:v>55.1</c:v>
                </c:pt>
                <c:pt idx="194">
                  <c:v>55.4</c:v>
                </c:pt>
                <c:pt idx="195">
                  <c:v>55.699999999999996</c:v>
                </c:pt>
                <c:pt idx="196">
                  <c:v>56.000000000000007</c:v>
                </c:pt>
                <c:pt idx="197">
                  <c:v>56.199999999999996</c:v>
                </c:pt>
                <c:pt idx="198">
                  <c:v>56.500000000000007</c:v>
                </c:pt>
                <c:pt idx="199">
                  <c:v>56.800000000000004</c:v>
                </c:pt>
                <c:pt idx="200">
                  <c:v>57.1</c:v>
                </c:pt>
                <c:pt idx="201">
                  <c:v>57.4</c:v>
                </c:pt>
                <c:pt idx="202">
                  <c:v>57.699999999999996</c:v>
                </c:pt>
                <c:pt idx="203">
                  <c:v>58.000000000000007</c:v>
                </c:pt>
                <c:pt idx="204">
                  <c:v>58.199999999999996</c:v>
                </c:pt>
                <c:pt idx="205">
                  <c:v>58.500000000000007</c:v>
                </c:pt>
                <c:pt idx="206">
                  <c:v>58.800000000000004</c:v>
                </c:pt>
                <c:pt idx="207">
                  <c:v>59.1</c:v>
                </c:pt>
                <c:pt idx="208">
                  <c:v>59.4</c:v>
                </c:pt>
                <c:pt idx="209">
                  <c:v>59.699999999999996</c:v>
                </c:pt>
                <c:pt idx="210">
                  <c:v>60.000000000000007</c:v>
                </c:pt>
                <c:pt idx="211">
                  <c:v>60.199999999999996</c:v>
                </c:pt>
                <c:pt idx="212">
                  <c:v>60.500000000000007</c:v>
                </c:pt>
                <c:pt idx="213">
                  <c:v>60.800000000000004</c:v>
                </c:pt>
                <c:pt idx="214">
                  <c:v>61.1</c:v>
                </c:pt>
                <c:pt idx="215">
                  <c:v>61.4</c:v>
                </c:pt>
                <c:pt idx="216">
                  <c:v>61.699999999999996</c:v>
                </c:pt>
                <c:pt idx="217">
                  <c:v>62.000000000000007</c:v>
                </c:pt>
                <c:pt idx="218">
                  <c:v>62.199999999999996</c:v>
                </c:pt>
                <c:pt idx="219">
                  <c:v>62.500000000000007</c:v>
                </c:pt>
                <c:pt idx="220">
                  <c:v>62.800000000000004</c:v>
                </c:pt>
                <c:pt idx="221">
                  <c:v>63.1</c:v>
                </c:pt>
                <c:pt idx="222">
                  <c:v>63.4</c:v>
                </c:pt>
                <c:pt idx="223">
                  <c:v>63.699999999999996</c:v>
                </c:pt>
                <c:pt idx="224">
                  <c:v>64</c:v>
                </c:pt>
                <c:pt idx="225">
                  <c:v>64.199999999999989</c:v>
                </c:pt>
                <c:pt idx="226">
                  <c:v>64.5</c:v>
                </c:pt>
                <c:pt idx="227">
                  <c:v>64.800000000000011</c:v>
                </c:pt>
                <c:pt idx="228">
                  <c:v>65.099999999999994</c:v>
                </c:pt>
                <c:pt idx="229">
                  <c:v>65.400000000000006</c:v>
                </c:pt>
                <c:pt idx="230">
                  <c:v>65.699999999999989</c:v>
                </c:pt>
                <c:pt idx="231">
                  <c:v>66</c:v>
                </c:pt>
                <c:pt idx="232">
                  <c:v>66.199999999999989</c:v>
                </c:pt>
                <c:pt idx="233">
                  <c:v>66.5</c:v>
                </c:pt>
                <c:pt idx="234">
                  <c:v>66.800000000000011</c:v>
                </c:pt>
                <c:pt idx="235">
                  <c:v>67.099999999999994</c:v>
                </c:pt>
                <c:pt idx="236">
                  <c:v>67.400000000000006</c:v>
                </c:pt>
                <c:pt idx="237">
                  <c:v>67.699999999999989</c:v>
                </c:pt>
                <c:pt idx="238">
                  <c:v>68</c:v>
                </c:pt>
                <c:pt idx="239">
                  <c:v>68.199999999999989</c:v>
                </c:pt>
                <c:pt idx="240">
                  <c:v>68.5</c:v>
                </c:pt>
                <c:pt idx="241">
                  <c:v>68.800000000000011</c:v>
                </c:pt>
                <c:pt idx="242">
                  <c:v>69.099999999999994</c:v>
                </c:pt>
                <c:pt idx="243">
                  <c:v>69.400000000000006</c:v>
                </c:pt>
                <c:pt idx="244">
                  <c:v>69.699999999999989</c:v>
                </c:pt>
                <c:pt idx="245">
                  <c:v>70</c:v>
                </c:pt>
                <c:pt idx="246">
                  <c:v>70.199999999999989</c:v>
                </c:pt>
                <c:pt idx="247">
                  <c:v>70.5</c:v>
                </c:pt>
                <c:pt idx="248">
                  <c:v>70.799999999999983</c:v>
                </c:pt>
                <c:pt idx="249">
                  <c:v>71.099999999999994</c:v>
                </c:pt>
                <c:pt idx="250">
                  <c:v>71.400000000000006</c:v>
                </c:pt>
                <c:pt idx="251">
                  <c:v>71.699999999999989</c:v>
                </c:pt>
                <c:pt idx="252">
                  <c:v>72</c:v>
                </c:pt>
                <c:pt idx="253">
                  <c:v>72.199999999999989</c:v>
                </c:pt>
                <c:pt idx="254">
                  <c:v>72.5</c:v>
                </c:pt>
                <c:pt idx="255">
                  <c:v>72.799999999999983</c:v>
                </c:pt>
                <c:pt idx="256">
                  <c:v>73.099999999999994</c:v>
                </c:pt>
                <c:pt idx="257">
                  <c:v>73.400000000000006</c:v>
                </c:pt>
                <c:pt idx="258">
                  <c:v>73.699999999999989</c:v>
                </c:pt>
                <c:pt idx="259">
                  <c:v>74</c:v>
                </c:pt>
                <c:pt idx="260">
                  <c:v>74.199999999999989</c:v>
                </c:pt>
                <c:pt idx="261">
                  <c:v>74.5</c:v>
                </c:pt>
                <c:pt idx="262">
                  <c:v>74.799999999999983</c:v>
                </c:pt>
                <c:pt idx="263">
                  <c:v>75.099999999999994</c:v>
                </c:pt>
                <c:pt idx="264">
                  <c:v>75.400000000000006</c:v>
                </c:pt>
                <c:pt idx="265">
                  <c:v>75.699999999999989</c:v>
                </c:pt>
                <c:pt idx="266">
                  <c:v>76</c:v>
                </c:pt>
                <c:pt idx="267">
                  <c:v>76.199999999999989</c:v>
                </c:pt>
                <c:pt idx="268">
                  <c:v>76.5</c:v>
                </c:pt>
                <c:pt idx="269">
                  <c:v>76.799999999999983</c:v>
                </c:pt>
                <c:pt idx="270">
                  <c:v>77.099999999999994</c:v>
                </c:pt>
                <c:pt idx="271">
                  <c:v>77.400000000000006</c:v>
                </c:pt>
                <c:pt idx="272">
                  <c:v>77.699999999999989</c:v>
                </c:pt>
                <c:pt idx="273">
                  <c:v>78</c:v>
                </c:pt>
                <c:pt idx="274">
                  <c:v>78.199999999999989</c:v>
                </c:pt>
                <c:pt idx="275">
                  <c:v>78.5</c:v>
                </c:pt>
                <c:pt idx="276">
                  <c:v>78.799999999999983</c:v>
                </c:pt>
                <c:pt idx="277">
                  <c:v>79.099999999999994</c:v>
                </c:pt>
                <c:pt idx="278">
                  <c:v>79.400000000000006</c:v>
                </c:pt>
                <c:pt idx="279">
                  <c:v>79.699999999999989</c:v>
                </c:pt>
                <c:pt idx="280">
                  <c:v>80</c:v>
                </c:pt>
                <c:pt idx="281">
                  <c:v>80.199999999999989</c:v>
                </c:pt>
                <c:pt idx="282">
                  <c:v>80.5</c:v>
                </c:pt>
                <c:pt idx="283">
                  <c:v>80.799999999999983</c:v>
                </c:pt>
                <c:pt idx="284">
                  <c:v>81.099999999999994</c:v>
                </c:pt>
                <c:pt idx="285">
                  <c:v>81.400000000000006</c:v>
                </c:pt>
                <c:pt idx="286">
                  <c:v>81.699999999999989</c:v>
                </c:pt>
                <c:pt idx="287">
                  <c:v>82</c:v>
                </c:pt>
                <c:pt idx="288">
                  <c:v>82.199999999999989</c:v>
                </c:pt>
                <c:pt idx="289">
                  <c:v>82.5</c:v>
                </c:pt>
                <c:pt idx="290">
                  <c:v>82.799999999999983</c:v>
                </c:pt>
                <c:pt idx="291">
                  <c:v>83.1</c:v>
                </c:pt>
                <c:pt idx="292">
                  <c:v>83.4</c:v>
                </c:pt>
                <c:pt idx="293">
                  <c:v>83.699999999999989</c:v>
                </c:pt>
                <c:pt idx="294">
                  <c:v>84</c:v>
                </c:pt>
                <c:pt idx="295">
                  <c:v>84.199999999999989</c:v>
                </c:pt>
                <c:pt idx="296">
                  <c:v>84.5</c:v>
                </c:pt>
                <c:pt idx="297">
                  <c:v>84.799999999999983</c:v>
                </c:pt>
                <c:pt idx="298">
                  <c:v>85.1</c:v>
                </c:pt>
                <c:pt idx="299">
                  <c:v>85.4</c:v>
                </c:pt>
                <c:pt idx="300">
                  <c:v>85.699999999999989</c:v>
                </c:pt>
                <c:pt idx="301">
                  <c:v>86</c:v>
                </c:pt>
                <c:pt idx="302">
                  <c:v>86.199999999999989</c:v>
                </c:pt>
                <c:pt idx="303">
                  <c:v>86.5</c:v>
                </c:pt>
                <c:pt idx="304">
                  <c:v>86.799999999999983</c:v>
                </c:pt>
                <c:pt idx="305">
                  <c:v>87.1</c:v>
                </c:pt>
                <c:pt idx="306">
                  <c:v>87.4</c:v>
                </c:pt>
                <c:pt idx="307">
                  <c:v>87.699999999999989</c:v>
                </c:pt>
                <c:pt idx="308">
                  <c:v>88</c:v>
                </c:pt>
                <c:pt idx="309">
                  <c:v>88.199999999999989</c:v>
                </c:pt>
                <c:pt idx="310">
                  <c:v>88.5</c:v>
                </c:pt>
                <c:pt idx="311">
                  <c:v>88.799999999999983</c:v>
                </c:pt>
                <c:pt idx="312">
                  <c:v>89.1</c:v>
                </c:pt>
                <c:pt idx="313">
                  <c:v>89.4</c:v>
                </c:pt>
                <c:pt idx="314">
                  <c:v>89.699999999999989</c:v>
                </c:pt>
                <c:pt idx="315">
                  <c:v>90</c:v>
                </c:pt>
                <c:pt idx="316">
                  <c:v>90.199999999999989</c:v>
                </c:pt>
                <c:pt idx="317">
                  <c:v>90.5</c:v>
                </c:pt>
                <c:pt idx="318">
                  <c:v>90.799999999999983</c:v>
                </c:pt>
                <c:pt idx="319">
                  <c:v>91.1</c:v>
                </c:pt>
                <c:pt idx="320">
                  <c:v>91.4</c:v>
                </c:pt>
                <c:pt idx="321">
                  <c:v>91.699999999999989</c:v>
                </c:pt>
                <c:pt idx="322">
                  <c:v>92</c:v>
                </c:pt>
                <c:pt idx="323">
                  <c:v>92.199999999999989</c:v>
                </c:pt>
                <c:pt idx="324">
                  <c:v>92.5</c:v>
                </c:pt>
                <c:pt idx="325">
                  <c:v>92.799999999999983</c:v>
                </c:pt>
                <c:pt idx="326">
                  <c:v>93.1</c:v>
                </c:pt>
                <c:pt idx="327">
                  <c:v>93.4</c:v>
                </c:pt>
                <c:pt idx="328">
                  <c:v>93.699999999999989</c:v>
                </c:pt>
                <c:pt idx="329">
                  <c:v>94</c:v>
                </c:pt>
                <c:pt idx="330">
                  <c:v>94.199999999999989</c:v>
                </c:pt>
                <c:pt idx="331">
                  <c:v>94.5</c:v>
                </c:pt>
                <c:pt idx="332">
                  <c:v>94.799999999999983</c:v>
                </c:pt>
                <c:pt idx="333">
                  <c:v>95.1</c:v>
                </c:pt>
                <c:pt idx="334">
                  <c:v>95.4</c:v>
                </c:pt>
                <c:pt idx="335">
                  <c:v>95.699999999999989</c:v>
                </c:pt>
                <c:pt idx="336">
                  <c:v>96</c:v>
                </c:pt>
                <c:pt idx="337">
                  <c:v>96.199999999999989</c:v>
                </c:pt>
                <c:pt idx="338">
                  <c:v>96.5</c:v>
                </c:pt>
                <c:pt idx="339">
                  <c:v>96.799999999999983</c:v>
                </c:pt>
                <c:pt idx="340">
                  <c:v>97.1</c:v>
                </c:pt>
                <c:pt idx="341">
                  <c:v>97.4</c:v>
                </c:pt>
                <c:pt idx="342">
                  <c:v>97.699999999999989</c:v>
                </c:pt>
                <c:pt idx="343">
                  <c:v>98</c:v>
                </c:pt>
                <c:pt idx="344">
                  <c:v>98.199999999999989</c:v>
                </c:pt>
                <c:pt idx="345">
                  <c:v>98.5</c:v>
                </c:pt>
                <c:pt idx="346">
                  <c:v>98.799999999999983</c:v>
                </c:pt>
                <c:pt idx="347">
                  <c:v>99.1</c:v>
                </c:pt>
                <c:pt idx="348">
                  <c:v>99.4</c:v>
                </c:pt>
                <c:pt idx="349">
                  <c:v>99.699999999999989</c:v>
                </c:pt>
                <c:pt idx="350">
                  <c:v>100</c:v>
                </c:pt>
                <c:pt idx="351">
                  <c:v>100.19999999999999</c:v>
                </c:pt>
                <c:pt idx="352">
                  <c:v>100.5</c:v>
                </c:pt>
                <c:pt idx="353">
                  <c:v>100.79999999999998</c:v>
                </c:pt>
                <c:pt idx="354">
                  <c:v>101.1</c:v>
                </c:pt>
                <c:pt idx="355">
                  <c:v>101.4</c:v>
                </c:pt>
                <c:pt idx="356">
                  <c:v>101.69999999999999</c:v>
                </c:pt>
                <c:pt idx="357">
                  <c:v>102</c:v>
                </c:pt>
                <c:pt idx="358">
                  <c:v>102.19999999999999</c:v>
                </c:pt>
                <c:pt idx="359">
                  <c:v>102.5</c:v>
                </c:pt>
                <c:pt idx="360">
                  <c:v>102.79999999999998</c:v>
                </c:pt>
                <c:pt idx="361">
                  <c:v>103.1</c:v>
                </c:pt>
                <c:pt idx="362">
                  <c:v>103.4</c:v>
                </c:pt>
                <c:pt idx="363">
                  <c:v>103.69999999999999</c:v>
                </c:pt>
                <c:pt idx="364">
                  <c:v>104</c:v>
                </c:pt>
                <c:pt idx="365">
                  <c:v>104.19999999999999</c:v>
                </c:pt>
                <c:pt idx="366">
                  <c:v>104.5</c:v>
                </c:pt>
                <c:pt idx="367">
                  <c:v>104.79999999999998</c:v>
                </c:pt>
                <c:pt idx="368">
                  <c:v>105.1</c:v>
                </c:pt>
                <c:pt idx="369">
                  <c:v>105.4</c:v>
                </c:pt>
                <c:pt idx="370">
                  <c:v>105.69999999999999</c:v>
                </c:pt>
                <c:pt idx="371">
                  <c:v>106</c:v>
                </c:pt>
                <c:pt idx="372">
                  <c:v>106.19999999999999</c:v>
                </c:pt>
                <c:pt idx="373">
                  <c:v>106.5</c:v>
                </c:pt>
                <c:pt idx="374">
                  <c:v>106.79999999999998</c:v>
                </c:pt>
                <c:pt idx="375">
                  <c:v>107.1</c:v>
                </c:pt>
                <c:pt idx="376">
                  <c:v>107.4</c:v>
                </c:pt>
                <c:pt idx="377">
                  <c:v>107.69999999999999</c:v>
                </c:pt>
                <c:pt idx="378">
                  <c:v>108</c:v>
                </c:pt>
                <c:pt idx="379">
                  <c:v>108.19999999999999</c:v>
                </c:pt>
                <c:pt idx="380">
                  <c:v>108.5</c:v>
                </c:pt>
                <c:pt idx="381">
                  <c:v>108.79999999999998</c:v>
                </c:pt>
                <c:pt idx="382">
                  <c:v>109.1</c:v>
                </c:pt>
                <c:pt idx="383">
                  <c:v>109.4</c:v>
                </c:pt>
                <c:pt idx="384">
                  <c:v>109.69999999999999</c:v>
                </c:pt>
                <c:pt idx="385">
                  <c:v>110</c:v>
                </c:pt>
                <c:pt idx="386">
                  <c:v>110.19999999999999</c:v>
                </c:pt>
                <c:pt idx="387">
                  <c:v>110.5</c:v>
                </c:pt>
                <c:pt idx="388">
                  <c:v>110.79999999999998</c:v>
                </c:pt>
                <c:pt idx="389">
                  <c:v>111.1</c:v>
                </c:pt>
                <c:pt idx="390">
                  <c:v>111.4</c:v>
                </c:pt>
                <c:pt idx="391">
                  <c:v>111.69999999999999</c:v>
                </c:pt>
                <c:pt idx="392">
                  <c:v>112</c:v>
                </c:pt>
                <c:pt idx="393">
                  <c:v>112.19999999999999</c:v>
                </c:pt>
                <c:pt idx="394">
                  <c:v>112.5</c:v>
                </c:pt>
                <c:pt idx="395">
                  <c:v>112.79999999999998</c:v>
                </c:pt>
                <c:pt idx="396">
                  <c:v>113.1</c:v>
                </c:pt>
                <c:pt idx="397">
                  <c:v>113.4</c:v>
                </c:pt>
                <c:pt idx="398">
                  <c:v>113.69999999999999</c:v>
                </c:pt>
                <c:pt idx="399">
                  <c:v>114</c:v>
                </c:pt>
                <c:pt idx="400">
                  <c:v>114.19999999999999</c:v>
                </c:pt>
                <c:pt idx="401">
                  <c:v>114.5</c:v>
                </c:pt>
                <c:pt idx="402">
                  <c:v>114.79999999999998</c:v>
                </c:pt>
                <c:pt idx="403">
                  <c:v>115.1</c:v>
                </c:pt>
                <c:pt idx="404">
                  <c:v>115.4</c:v>
                </c:pt>
                <c:pt idx="405">
                  <c:v>115.69999999999999</c:v>
                </c:pt>
                <c:pt idx="406">
                  <c:v>116</c:v>
                </c:pt>
                <c:pt idx="407">
                  <c:v>116.19999999999999</c:v>
                </c:pt>
                <c:pt idx="408">
                  <c:v>116.5</c:v>
                </c:pt>
                <c:pt idx="409">
                  <c:v>116.79999999999998</c:v>
                </c:pt>
                <c:pt idx="410">
                  <c:v>117.1</c:v>
                </c:pt>
                <c:pt idx="411">
                  <c:v>117.4</c:v>
                </c:pt>
                <c:pt idx="412">
                  <c:v>117.69999999999999</c:v>
                </c:pt>
                <c:pt idx="413">
                  <c:v>118</c:v>
                </c:pt>
                <c:pt idx="414">
                  <c:v>118.19999999999999</c:v>
                </c:pt>
                <c:pt idx="415">
                  <c:v>118.5</c:v>
                </c:pt>
                <c:pt idx="416">
                  <c:v>118.79999999999998</c:v>
                </c:pt>
                <c:pt idx="417">
                  <c:v>119.1</c:v>
                </c:pt>
                <c:pt idx="418">
                  <c:v>119.4</c:v>
                </c:pt>
                <c:pt idx="419">
                  <c:v>119.69999999999999</c:v>
                </c:pt>
                <c:pt idx="420">
                  <c:v>120</c:v>
                </c:pt>
                <c:pt idx="421">
                  <c:v>120.19999999999999</c:v>
                </c:pt>
                <c:pt idx="422">
                  <c:v>120.5</c:v>
                </c:pt>
                <c:pt idx="423">
                  <c:v>120.79999999999998</c:v>
                </c:pt>
                <c:pt idx="424">
                  <c:v>121.1</c:v>
                </c:pt>
                <c:pt idx="425">
                  <c:v>121.4</c:v>
                </c:pt>
                <c:pt idx="426">
                  <c:v>121.69999999999999</c:v>
                </c:pt>
                <c:pt idx="427">
                  <c:v>122</c:v>
                </c:pt>
                <c:pt idx="428">
                  <c:v>122.19999999999999</c:v>
                </c:pt>
                <c:pt idx="429">
                  <c:v>122.5</c:v>
                </c:pt>
                <c:pt idx="430">
                  <c:v>122.79999999999998</c:v>
                </c:pt>
                <c:pt idx="431">
                  <c:v>123.1</c:v>
                </c:pt>
                <c:pt idx="432">
                  <c:v>123.4</c:v>
                </c:pt>
                <c:pt idx="433">
                  <c:v>123.69999999999999</c:v>
                </c:pt>
                <c:pt idx="434">
                  <c:v>124</c:v>
                </c:pt>
                <c:pt idx="435">
                  <c:v>124.19999999999999</c:v>
                </c:pt>
                <c:pt idx="436">
                  <c:v>124.5</c:v>
                </c:pt>
                <c:pt idx="437">
                  <c:v>124.79999999999998</c:v>
                </c:pt>
                <c:pt idx="438">
                  <c:v>125.1</c:v>
                </c:pt>
                <c:pt idx="439">
                  <c:v>125.4</c:v>
                </c:pt>
                <c:pt idx="440">
                  <c:v>125.69999999999999</c:v>
                </c:pt>
                <c:pt idx="441">
                  <c:v>126</c:v>
                </c:pt>
                <c:pt idx="442">
                  <c:v>126.19999999999999</c:v>
                </c:pt>
                <c:pt idx="443">
                  <c:v>126.5</c:v>
                </c:pt>
                <c:pt idx="444">
                  <c:v>126.79999999999998</c:v>
                </c:pt>
                <c:pt idx="445">
                  <c:v>127.1</c:v>
                </c:pt>
                <c:pt idx="446">
                  <c:v>127.4</c:v>
                </c:pt>
                <c:pt idx="447">
                  <c:v>127.69999999999999</c:v>
                </c:pt>
                <c:pt idx="448">
                  <c:v>128</c:v>
                </c:pt>
                <c:pt idx="449">
                  <c:v>128.19999999999999</c:v>
                </c:pt>
                <c:pt idx="450">
                  <c:v>128.5</c:v>
                </c:pt>
                <c:pt idx="451">
                  <c:v>128.79999999999998</c:v>
                </c:pt>
                <c:pt idx="452">
                  <c:v>129.1</c:v>
                </c:pt>
                <c:pt idx="453">
                  <c:v>129.4</c:v>
                </c:pt>
                <c:pt idx="454">
                  <c:v>129.69999999999999</c:v>
                </c:pt>
                <c:pt idx="455">
                  <c:v>130</c:v>
                </c:pt>
                <c:pt idx="456">
                  <c:v>130.19999999999999</c:v>
                </c:pt>
                <c:pt idx="457">
                  <c:v>130.5</c:v>
                </c:pt>
                <c:pt idx="458">
                  <c:v>130.79999999999998</c:v>
                </c:pt>
                <c:pt idx="459">
                  <c:v>131.1</c:v>
                </c:pt>
                <c:pt idx="460">
                  <c:v>131.4</c:v>
                </c:pt>
                <c:pt idx="461">
                  <c:v>131.69999999999999</c:v>
                </c:pt>
                <c:pt idx="462">
                  <c:v>132</c:v>
                </c:pt>
                <c:pt idx="463">
                  <c:v>132.19999999999999</c:v>
                </c:pt>
                <c:pt idx="464">
                  <c:v>132.5</c:v>
                </c:pt>
                <c:pt idx="465">
                  <c:v>132.79999999999998</c:v>
                </c:pt>
                <c:pt idx="466">
                  <c:v>133.1</c:v>
                </c:pt>
                <c:pt idx="467">
                  <c:v>133.4</c:v>
                </c:pt>
                <c:pt idx="468">
                  <c:v>133.69999999999999</c:v>
                </c:pt>
                <c:pt idx="469">
                  <c:v>134</c:v>
                </c:pt>
                <c:pt idx="470">
                  <c:v>134.19999999999999</c:v>
                </c:pt>
                <c:pt idx="471">
                  <c:v>134.5</c:v>
                </c:pt>
                <c:pt idx="472">
                  <c:v>134.79999999999998</c:v>
                </c:pt>
                <c:pt idx="473">
                  <c:v>135.1</c:v>
                </c:pt>
                <c:pt idx="474">
                  <c:v>135.4</c:v>
                </c:pt>
                <c:pt idx="475">
                  <c:v>135.69999999999999</c:v>
                </c:pt>
                <c:pt idx="476">
                  <c:v>136</c:v>
                </c:pt>
                <c:pt idx="477">
                  <c:v>136.19999999999999</c:v>
                </c:pt>
                <c:pt idx="478">
                  <c:v>136.5</c:v>
                </c:pt>
                <c:pt idx="479">
                  <c:v>136.79999999999998</c:v>
                </c:pt>
                <c:pt idx="480">
                  <c:v>137.1</c:v>
                </c:pt>
                <c:pt idx="481">
                  <c:v>137.4</c:v>
                </c:pt>
                <c:pt idx="482">
                  <c:v>137.69999999999999</c:v>
                </c:pt>
                <c:pt idx="483">
                  <c:v>138</c:v>
                </c:pt>
                <c:pt idx="484">
                  <c:v>138.19999999999999</c:v>
                </c:pt>
                <c:pt idx="485">
                  <c:v>138.5</c:v>
                </c:pt>
                <c:pt idx="486">
                  <c:v>138.79999999999998</c:v>
                </c:pt>
                <c:pt idx="487">
                  <c:v>139.1</c:v>
                </c:pt>
                <c:pt idx="488">
                  <c:v>139.4</c:v>
                </c:pt>
                <c:pt idx="489">
                  <c:v>139.69999999999999</c:v>
                </c:pt>
                <c:pt idx="490">
                  <c:v>140</c:v>
                </c:pt>
                <c:pt idx="491">
                  <c:v>140.19999999999999</c:v>
                </c:pt>
                <c:pt idx="492">
                  <c:v>140.5</c:v>
                </c:pt>
                <c:pt idx="493">
                  <c:v>140.79999999999998</c:v>
                </c:pt>
              </c:numCache>
            </c:numRef>
          </c:xVal>
          <c:yVal>
            <c:numRef>
              <c:f>'sheet 1'!$T$39:$T$841</c:f>
              <c:numCache>
                <c:formatCode>General</c:formatCode>
                <c:ptCount val="8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621-4875-B88C-B488B9535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29312"/>
        <c:axId val="90530176"/>
      </c:scatterChart>
      <c:valAx>
        <c:axId val="8682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Τ(</a:t>
                </a:r>
                <a:r>
                  <a:rPr lang="en-US"/>
                  <a:t>s)</a:t>
                </a:r>
                <a:endParaRPr lang="el-G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90530176"/>
        <c:crosses val="autoZero"/>
        <c:crossBetween val="midCat"/>
      </c:valAx>
      <c:valAx>
        <c:axId val="90530176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CW OSL Intensity (au)</a:t>
                </a:r>
                <a:endParaRPr lang="el-G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868293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142874</xdr:colOff>
      <xdr:row>2</xdr:row>
      <xdr:rowOff>33868</xdr:rowOff>
    </xdr:from>
    <xdr:to>
      <xdr:col>8</xdr:col>
      <xdr:colOff>173355</xdr:colOff>
      <xdr:row>14</xdr:row>
      <xdr:rowOff>5293</xdr:rowOff>
    </xdr:to>
    <xdr:sp macro="" textlink="">
      <xdr:nvSpPr>
        <xdr:cNvPr id="2" name="1 - TextBox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2474" y="406401"/>
          <a:ext cx="5212081" cy="220662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 u="sng"/>
            <a:t>CW - OSL fitting</a:t>
          </a:r>
          <a:r>
            <a:rPr lang="en-US" sz="1100" b="1" u="sng" baseline="0"/>
            <a:t> with Lambert W0 function:</a:t>
          </a:r>
        </a:p>
        <a:p>
          <a:endParaRPr lang="en-US" sz="1100" b="1" baseline="0"/>
        </a:p>
        <a:p>
          <a:r>
            <a:rPr lang="en-US" sz="1100" b="1" baseline="0"/>
            <a:t>r=AD/am</a:t>
          </a:r>
        </a:p>
        <a:p>
          <a:endParaRPr lang="en-US" sz="1100" b="1"/>
        </a:p>
        <a:p>
          <a:r>
            <a:rPr lang="en-US" sz="1100" b="1"/>
            <a:t>C=(n0/r)&gt;0,</a:t>
          </a:r>
          <a:r>
            <a:rPr lang="en-US" sz="1100" b="1" baseline="0"/>
            <a:t> </a:t>
          </a:r>
          <a:r>
            <a:rPr lang="el-GR" sz="1100" b="1" baseline="0"/>
            <a:t>όπου  </a:t>
          </a:r>
          <a:r>
            <a:rPr lang="en-US" sz="1100" b="1" baseline="0"/>
            <a:t>n0=N=1</a:t>
          </a:r>
          <a:r>
            <a:rPr lang="el-GR" sz="1100" b="1" baseline="0"/>
            <a:t>, άρα </a:t>
          </a:r>
          <a:r>
            <a:rPr lang="en-US" sz="1100" b="1" baseline="0"/>
            <a:t>C=1/r</a:t>
          </a:r>
        </a:p>
        <a:p>
          <a:endParaRPr lang="en-US" sz="1100" b="1" baseline="0"/>
        </a:p>
        <a:p>
          <a:r>
            <a:rPr lang="en-US" sz="1100" b="1" baseline="0"/>
            <a:t>zi=r/n0-ln[n0/r]+</a:t>
          </a:r>
          <a:r>
            <a:rPr lang="el-GR" sz="1100" b="1" baseline="0"/>
            <a:t>λ</a:t>
          </a:r>
          <a:r>
            <a:rPr lang="en-US" sz="1100" b="1" baseline="0"/>
            <a:t>t </a:t>
          </a:r>
        </a:p>
        <a:p>
          <a:endParaRPr lang="en-US" sz="1100" b="1" baseline="0"/>
        </a:p>
        <a:p>
          <a:r>
            <a:rPr lang="en-US" sz="1100" b="1" baseline="0"/>
            <a:t>Ioi=tr</a:t>
          </a:r>
        </a:p>
        <a:p>
          <a:endParaRPr lang="en-US" sz="1100" b="1" baseline="0"/>
        </a:p>
        <a:p>
          <a:r>
            <a:rPr lang="en-US" sz="1100" b="1" baseline="0"/>
            <a:t>Itot= </a:t>
          </a:r>
          <a:r>
            <a:rPr lang="el-GR" sz="1100" b="1" baseline="0"/>
            <a:t>Σ</a:t>
          </a:r>
          <a:r>
            <a:rPr lang="en-US" sz="1100" b="1" baseline="0"/>
            <a:t>(Ii)=[Io1*</a:t>
          </a:r>
          <a:r>
            <a:rPr lang="el-GR" sz="1100" b="1" baseline="0"/>
            <a:t>λ1/</a:t>
          </a:r>
          <a:r>
            <a:rPr lang="en-US" sz="1100" b="1" baseline="0"/>
            <a:t>(W(e^z1)+W(e^z1)^2)+ I02*</a:t>
          </a:r>
          <a:r>
            <a:rPr lang="el-GR" sz="1100" b="1" baseline="0"/>
            <a:t>λ2/(</a:t>
          </a:r>
          <a:r>
            <a:rPr lang="en-US" sz="1100" b="1" baseline="0"/>
            <a:t>W(e^z2)+W(e^z2)+...</a:t>
          </a:r>
          <a:endParaRPr lang="el-GR" sz="1100" b="1"/>
        </a:p>
      </xdr:txBody>
    </xdr:sp>
    <xdr:clientData/>
  </xdr:twoCellAnchor>
  <xdr:twoCellAnchor>
    <xdr:from>
      <xdr:col>7</xdr:col>
      <xdr:colOff>470960</xdr:colOff>
      <xdr:row>16</xdr:row>
      <xdr:rowOff>23282</xdr:rowOff>
    </xdr:from>
    <xdr:to>
      <xdr:col>19</xdr:col>
      <xdr:colOff>16936</xdr:colOff>
      <xdr:row>43</xdr:row>
      <xdr:rowOff>67733</xdr:rowOff>
    </xdr:to>
    <xdr:graphicFrame macro="">
      <xdr:nvGraphicFramePr>
        <xdr:cNvPr id="4" name="3 - Γράφημα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____2"/>
  <dimension ref="A2:AB838"/>
  <sheetViews>
    <sheetView tabSelected="1" topLeftCell="A18" zoomScale="90" zoomScaleNormal="90" workbookViewId="0">
      <selection activeCell="C33" sqref="C33"/>
    </sheetView>
  </sheetViews>
  <sheetFormatPr defaultRowHeight="14.4" x14ac:dyDescent="0.3"/>
  <cols>
    <col min="2" max="3" width="14.44140625" customWidth="1"/>
    <col min="5" max="5" width="11.109375" customWidth="1"/>
    <col min="9" max="9" width="5.88671875" customWidth="1"/>
    <col min="10" max="10" width="12" customWidth="1"/>
    <col min="11" max="11" width="13" customWidth="1"/>
    <col min="12" max="12" width="14.109375" customWidth="1"/>
    <col min="13" max="13" width="15.5546875" customWidth="1"/>
    <col min="14" max="14" width="14" customWidth="1"/>
    <col min="15" max="15" width="5.88671875" customWidth="1"/>
    <col min="21" max="21" width="4.6640625" customWidth="1"/>
    <col min="22" max="22" width="15.44140625" customWidth="1"/>
    <col min="23" max="23" width="6.109375" customWidth="1"/>
    <col min="24" max="24" width="23.33203125" customWidth="1"/>
    <col min="25" max="25" width="19.5546875" customWidth="1"/>
    <col min="26" max="26" width="12.21875" bestFit="1" customWidth="1"/>
  </cols>
  <sheetData>
    <row r="2" spans="11:11" x14ac:dyDescent="0.3">
      <c r="K2" s="22" t="s">
        <v>29</v>
      </c>
    </row>
    <row r="3" spans="11:11" x14ac:dyDescent="0.3">
      <c r="K3" s="23" t="s">
        <v>30</v>
      </c>
    </row>
    <row r="4" spans="11:11" x14ac:dyDescent="0.3">
      <c r="K4" s="23" t="s">
        <v>31</v>
      </c>
    </row>
    <row r="5" spans="11:11" x14ac:dyDescent="0.3">
      <c r="K5" s="23" t="s">
        <v>32</v>
      </c>
    </row>
    <row r="6" spans="11:11" x14ac:dyDescent="0.3">
      <c r="K6" s="23" t="s">
        <v>33</v>
      </c>
    </row>
    <row r="19" spans="1:7" x14ac:dyDescent="0.3">
      <c r="E19" s="26" t="s">
        <v>35</v>
      </c>
    </row>
    <row r="20" spans="1:7" x14ac:dyDescent="0.3">
      <c r="A20" s="25" t="s">
        <v>34</v>
      </c>
      <c r="B20" s="8"/>
      <c r="C20" s="1">
        <v>1</v>
      </c>
      <c r="D20" s="1">
        <v>2</v>
      </c>
      <c r="E20" s="1">
        <v>3</v>
      </c>
      <c r="F20" s="1">
        <v>4</v>
      </c>
      <c r="G20" s="1">
        <v>5</v>
      </c>
    </row>
    <row r="21" spans="1:7" x14ac:dyDescent="0.3">
      <c r="A21">
        <v>100000</v>
      </c>
      <c r="B21" s="6" t="s">
        <v>1</v>
      </c>
      <c r="C21" s="19">
        <v>4.1953327013348494</v>
      </c>
      <c r="D21" s="19">
        <v>2.8144584810947713</v>
      </c>
      <c r="E21" s="19">
        <v>0</v>
      </c>
      <c r="F21" s="9">
        <v>0</v>
      </c>
      <c r="G21" s="9">
        <v>0</v>
      </c>
    </row>
    <row r="22" spans="1:7" x14ac:dyDescent="0.3">
      <c r="B22" s="6" t="s">
        <v>0</v>
      </c>
      <c r="C22" s="19">
        <v>0.34571583399388395</v>
      </c>
      <c r="D22" s="19">
        <v>9.2019736504772229E-3</v>
      </c>
      <c r="E22" s="19">
        <v>0.1</v>
      </c>
      <c r="F22" s="9">
        <v>0.1</v>
      </c>
      <c r="G22" s="9">
        <v>0.1</v>
      </c>
    </row>
    <row r="23" spans="1:7" x14ac:dyDescent="0.3">
      <c r="B23" s="6" t="s">
        <v>39</v>
      </c>
      <c r="C23" s="19">
        <v>6.7761445014531685E-2</v>
      </c>
      <c r="D23" s="19">
        <v>0.8366340151995425</v>
      </c>
      <c r="E23" s="19">
        <v>0.1</v>
      </c>
      <c r="F23" s="9">
        <v>0.1</v>
      </c>
      <c r="G23" s="9">
        <v>0.1</v>
      </c>
    </row>
    <row r="24" spans="1:7" x14ac:dyDescent="0.3">
      <c r="G24" s="24"/>
    </row>
    <row r="25" spans="1:7" x14ac:dyDescent="0.3">
      <c r="B25" s="6" t="s">
        <v>36</v>
      </c>
      <c r="C25">
        <f>1/C22</f>
        <v>2.8925490292055613</v>
      </c>
      <c r="D25" s="19">
        <f t="shared" ref="D25:G25" si="0">1/D22</f>
        <v>108.67233899850811</v>
      </c>
      <c r="E25" s="19">
        <f t="shared" si="0"/>
        <v>10</v>
      </c>
      <c r="F25" s="19">
        <f t="shared" si="0"/>
        <v>10</v>
      </c>
      <c r="G25" s="19">
        <f t="shared" si="0"/>
        <v>10</v>
      </c>
    </row>
    <row r="26" spans="1:7" s="19" customFormat="1" x14ac:dyDescent="0.3">
      <c r="B26" s="6" t="s">
        <v>38</v>
      </c>
      <c r="C26" s="19">
        <f>10^(-17)*C22/1.13</f>
        <v>3.0594321592379118E-18</v>
      </c>
      <c r="D26" s="19">
        <f t="shared" ref="D26:G26" si="1">10^(-17)*D22/1.13</f>
        <v>8.1433395136966591E-20</v>
      </c>
      <c r="E26" s="19">
        <f t="shared" si="1"/>
        <v>8.8495575221238944E-19</v>
      </c>
      <c r="F26" s="19">
        <f t="shared" si="1"/>
        <v>8.8495575221238944E-19</v>
      </c>
      <c r="G26" s="19">
        <f t="shared" si="1"/>
        <v>8.8495575221238944E-19</v>
      </c>
    </row>
    <row r="28" spans="1:7" x14ac:dyDescent="0.3">
      <c r="C28" s="1">
        <v>1</v>
      </c>
      <c r="D28" s="1">
        <v>2</v>
      </c>
      <c r="E28" s="1">
        <v>3</v>
      </c>
      <c r="F28" s="1">
        <v>4</v>
      </c>
      <c r="G28" s="1">
        <v>5</v>
      </c>
    </row>
    <row r="29" spans="1:7" x14ac:dyDescent="0.3">
      <c r="B29" s="13" t="s">
        <v>15</v>
      </c>
      <c r="C29">
        <f>SUM(P39:P838)</f>
        <v>76242.472198341158</v>
      </c>
      <c r="D29" s="19">
        <f t="shared" ref="D29:G29" si="2">SUM(Q39:Q838)</f>
        <v>328541.54082033236</v>
      </c>
      <c r="E29" s="19">
        <f t="shared" si="2"/>
        <v>0</v>
      </c>
      <c r="F29" s="19">
        <f t="shared" si="2"/>
        <v>0</v>
      </c>
      <c r="G29" s="19">
        <f t="shared" si="2"/>
        <v>0</v>
      </c>
    </row>
    <row r="30" spans="1:7" x14ac:dyDescent="0.3">
      <c r="B30" s="13" t="s">
        <v>37</v>
      </c>
      <c r="C30">
        <f>100*C29/SUM($C$29:$G$29)</f>
        <v>18.835346690143105</v>
      </c>
      <c r="D30" s="19">
        <f t="shared" ref="D30:G30" si="3">100*D29/SUM($C$29:$G$29)</f>
        <v>81.164653309856888</v>
      </c>
      <c r="E30" s="19">
        <f t="shared" si="3"/>
        <v>0</v>
      </c>
      <c r="F30" s="19">
        <f t="shared" si="3"/>
        <v>0</v>
      </c>
      <c r="G30" s="19">
        <f t="shared" si="3"/>
        <v>0</v>
      </c>
    </row>
    <row r="31" spans="1:7" s="19" customFormat="1" x14ac:dyDescent="0.3">
      <c r="B31" s="21"/>
    </row>
    <row r="32" spans="1:7" x14ac:dyDescent="0.3">
      <c r="B32" s="13" t="s">
        <v>16</v>
      </c>
      <c r="C32">
        <f>SUM(X39:X138)</f>
        <v>127548.79454403864</v>
      </c>
    </row>
    <row r="33" spans="2:28" x14ac:dyDescent="0.3">
      <c r="B33" s="13" t="s">
        <v>17</v>
      </c>
      <c r="C33">
        <f>SUM(AA39:AA850)*100</f>
        <v>2.7926052575310787</v>
      </c>
    </row>
    <row r="37" spans="2:28" x14ac:dyDescent="0.3">
      <c r="B37" s="5"/>
      <c r="C37" s="7" t="s">
        <v>2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2" t="s">
        <v>24</v>
      </c>
      <c r="W37" s="3"/>
      <c r="X37" s="16"/>
      <c r="Y37" s="16"/>
      <c r="Z37" s="16"/>
      <c r="AA37" s="16"/>
      <c r="AB37" s="16"/>
    </row>
    <row r="38" spans="2:28" x14ac:dyDescent="0.3">
      <c r="B38" s="11" t="s">
        <v>3</v>
      </c>
      <c r="C38" s="12" t="s">
        <v>4</v>
      </c>
      <c r="D38" s="10" t="s">
        <v>5</v>
      </c>
      <c r="E38" s="10" t="s">
        <v>6</v>
      </c>
      <c r="F38" s="10" t="s">
        <v>7</v>
      </c>
      <c r="G38" s="10" t="s">
        <v>8</v>
      </c>
      <c r="H38" s="10" t="s">
        <v>9</v>
      </c>
      <c r="I38" s="3"/>
      <c r="J38" s="15" t="s">
        <v>10</v>
      </c>
      <c r="K38" s="15" t="s">
        <v>11</v>
      </c>
      <c r="L38" s="15" t="s">
        <v>12</v>
      </c>
      <c r="M38" s="15" t="s">
        <v>13</v>
      </c>
      <c r="N38" s="15" t="s">
        <v>14</v>
      </c>
      <c r="O38" s="3"/>
      <c r="P38" s="4" t="s">
        <v>18</v>
      </c>
      <c r="Q38" s="4" t="s">
        <v>19</v>
      </c>
      <c r="R38" s="4" t="s">
        <v>20</v>
      </c>
      <c r="S38" s="4" t="s">
        <v>21</v>
      </c>
      <c r="T38" s="4" t="s">
        <v>22</v>
      </c>
      <c r="U38" s="3"/>
      <c r="V38" s="20" t="s">
        <v>23</v>
      </c>
      <c r="W38" s="3"/>
      <c r="X38" s="13" t="s">
        <v>27</v>
      </c>
      <c r="Y38" s="13" t="s">
        <v>28</v>
      </c>
      <c r="Z38" s="21" t="s">
        <v>25</v>
      </c>
      <c r="AA38" s="21" t="s">
        <v>26</v>
      </c>
      <c r="AB38" s="16"/>
    </row>
    <row r="39" spans="2:28" x14ac:dyDescent="0.3">
      <c r="B39" s="27">
        <v>0</v>
      </c>
      <c r="C39" s="27">
        <v>1671</v>
      </c>
      <c r="D39">
        <f>1/C$23-LN(C$23)+$B39*C$22</f>
        <v>17.449416492740177</v>
      </c>
      <c r="E39" s="19">
        <f t="shared" ref="E39:H39" si="4">1/D$23-LN(D$23)+$B39*D$22</f>
        <v>1.3736343314828736</v>
      </c>
      <c r="F39" s="19">
        <f t="shared" si="4"/>
        <v>12.302585092994045</v>
      </c>
      <c r="G39" s="19">
        <f t="shared" si="4"/>
        <v>12.302585092994045</v>
      </c>
      <c r="H39" s="19">
        <f t="shared" si="4"/>
        <v>12.302585092994045</v>
      </c>
      <c r="I39" s="3"/>
      <c r="J39">
        <f>lmb_2(D39)</f>
        <v>14.757654589354555</v>
      </c>
      <c r="K39" s="17">
        <f>lmb_2(E39)</f>
        <v>1.1952657695390183</v>
      </c>
      <c r="L39" s="17">
        <f t="shared" ref="L39:N39" si="5">lmb_2(F39)</f>
        <v>10</v>
      </c>
      <c r="M39" s="17">
        <f t="shared" si="5"/>
        <v>10</v>
      </c>
      <c r="N39" s="17">
        <f t="shared" si="5"/>
        <v>10</v>
      </c>
      <c r="O39" s="3"/>
      <c r="P39" s="19">
        <f>(C$21*$A$21*C$22)/(J39+J39^2)</f>
        <v>623.7014598098898</v>
      </c>
      <c r="Q39" s="18">
        <f>($D$21*$A$21*$D$22)/(K39+K39^2)</f>
        <v>987.01611606053268</v>
      </c>
      <c r="R39" s="18">
        <f>($E$21*$A$21*$E$22)/(L39+L39^2)</f>
        <v>0</v>
      </c>
      <c r="S39" s="18">
        <f>($F$21*$A$21*$F$22)/(M39+M39^2)</f>
        <v>0</v>
      </c>
      <c r="T39" s="18">
        <f>($G$21*$A$21*$G$22)/(N39+N39^2)</f>
        <v>0</v>
      </c>
      <c r="U39" s="3"/>
      <c r="V39">
        <f>SUM(P39:T39)</f>
        <v>1610.7175758704225</v>
      </c>
      <c r="W39" s="3"/>
      <c r="X39">
        <f>(V39-C39)^2</f>
        <v>3633.9706589382699</v>
      </c>
      <c r="Y39">
        <f>ABS(V39-C39)</f>
        <v>60.282424129577521</v>
      </c>
      <c r="Z39">
        <f>SUM(V39:V838)</f>
        <v>404784.01301867422</v>
      </c>
      <c r="AA39">
        <f>Y39/$Z$39</f>
        <v>1.489249135113359E-4</v>
      </c>
      <c r="AB39" s="16"/>
    </row>
    <row r="40" spans="2:28" x14ac:dyDescent="0.3">
      <c r="B40" s="27">
        <v>0.20000000000000284</v>
      </c>
      <c r="C40" s="27">
        <v>1584</v>
      </c>
      <c r="D40" s="19">
        <f t="shared" ref="D40:H103" si="6">1/C$23-LN(C$23)+$B40*C$22</f>
        <v>17.518559659538955</v>
      </c>
      <c r="E40" s="19">
        <f t="shared" si="6"/>
        <v>1.3754747262129692</v>
      </c>
      <c r="F40" s="19">
        <f t="shared" si="6"/>
        <v>12.322585092994045</v>
      </c>
      <c r="G40" s="19">
        <f t="shared" si="6"/>
        <v>12.322585092994045</v>
      </c>
      <c r="H40" s="19">
        <f t="shared" si="6"/>
        <v>12.322585092994045</v>
      </c>
      <c r="I40" s="3"/>
      <c r="J40" s="17">
        <f t="shared" ref="J40:J103" si="7">lmb_2(D40)</f>
        <v>14.822418838514391</v>
      </c>
      <c r="K40" s="17">
        <f t="shared" ref="K40:K103" si="8">lmb_2(E40)</f>
        <v>1.1962680084530335</v>
      </c>
      <c r="L40" s="17">
        <f t="shared" ref="L40:L103" si="9">lmb_2(F40)</f>
        <v>10.018183319240199</v>
      </c>
      <c r="M40" s="17">
        <f t="shared" ref="M40:M103" si="10">lmb_2(G40)</f>
        <v>10.018183319240199</v>
      </c>
      <c r="N40" s="17">
        <f t="shared" ref="N40:N103" si="11">lmb_2(H40)</f>
        <v>10.018183319240199</v>
      </c>
      <c r="O40" s="3"/>
      <c r="P40" s="19">
        <f t="shared" ref="P40:P103" si="12">(C$21*$A$21*C$22)/(J40+J40^2)</f>
        <v>618.43451628386606</v>
      </c>
      <c r="Q40" s="19">
        <f t="shared" ref="Q40:Q103" si="13">($D$21*$A$21*$D$22)/(K40+K40^2)</f>
        <v>985.73915448992511</v>
      </c>
      <c r="R40" s="19">
        <f t="shared" ref="R40:R103" si="14">($E$21*$A$21*$E$22)/(L40+L40^2)</f>
        <v>0</v>
      </c>
      <c r="S40" s="19">
        <f t="shared" ref="S40:S103" si="15">($F$21*$A$21*$F$22)/(M40+M40^2)</f>
        <v>0</v>
      </c>
      <c r="T40" s="19">
        <f t="shared" ref="T40:T103" si="16">($G$21*$A$21*$G$22)/(N40+N40^2)</f>
        <v>0</v>
      </c>
      <c r="U40" s="3"/>
      <c r="V40" s="19">
        <f t="shared" ref="V40:V103" si="17">SUM(P40:T40)</f>
        <v>1604.1736707737912</v>
      </c>
      <c r="W40" s="3"/>
      <c r="X40" s="14">
        <f t="shared" ref="X40:X103" si="18">(V40-C40)^2</f>
        <v>406.97699248931616</v>
      </c>
      <c r="Y40" s="14">
        <f t="shared" ref="Y40:Y103" si="19">ABS(V40-C40)</f>
        <v>20.173670773791173</v>
      </c>
      <c r="AA40" s="14">
        <f t="shared" ref="AA40:AA103" si="20">Y40/$Z$39</f>
        <v>4.9838111498885916E-5</v>
      </c>
      <c r="AB40" s="16"/>
    </row>
    <row r="41" spans="2:28" x14ac:dyDescent="0.3">
      <c r="B41" s="27">
        <v>0.5</v>
      </c>
      <c r="C41" s="27">
        <v>1608</v>
      </c>
      <c r="D41" s="19">
        <f t="shared" si="6"/>
        <v>17.62227440973712</v>
      </c>
      <c r="E41" s="19">
        <f t="shared" si="6"/>
        <v>1.3782353183081122</v>
      </c>
      <c r="F41" s="19">
        <f t="shared" si="6"/>
        <v>12.352585092994046</v>
      </c>
      <c r="G41" s="19">
        <f t="shared" si="6"/>
        <v>12.352585092994046</v>
      </c>
      <c r="H41" s="19">
        <f t="shared" si="6"/>
        <v>12.352585092994046</v>
      </c>
      <c r="I41" s="3"/>
      <c r="J41" s="17">
        <f t="shared" si="7"/>
        <v>14.919598711345621</v>
      </c>
      <c r="K41" s="17">
        <f t="shared" si="8"/>
        <v>1.1977720838869628</v>
      </c>
      <c r="L41" s="17">
        <f t="shared" si="9"/>
        <v>10.045463912380843</v>
      </c>
      <c r="M41" s="17">
        <f t="shared" si="10"/>
        <v>10.045463912380843</v>
      </c>
      <c r="N41" s="17">
        <f t="shared" si="11"/>
        <v>10.045463912380843</v>
      </c>
      <c r="O41" s="3"/>
      <c r="P41" s="19">
        <f t="shared" si="12"/>
        <v>610.65570644601689</v>
      </c>
      <c r="Q41" s="19">
        <f t="shared" si="13"/>
        <v>983.82757767666226</v>
      </c>
      <c r="R41" s="19">
        <f t="shared" si="14"/>
        <v>0</v>
      </c>
      <c r="S41" s="19">
        <f t="shared" si="15"/>
        <v>0</v>
      </c>
      <c r="T41" s="19">
        <f t="shared" si="16"/>
        <v>0</v>
      </c>
      <c r="U41" s="3"/>
      <c r="V41" s="19">
        <f t="shared" si="17"/>
        <v>1594.4832841226792</v>
      </c>
      <c r="W41" s="3"/>
      <c r="X41" s="14">
        <f t="shared" si="18"/>
        <v>182.70160810821753</v>
      </c>
      <c r="Y41" s="14">
        <f t="shared" si="19"/>
        <v>13.516715877320848</v>
      </c>
      <c r="AA41" s="14">
        <f t="shared" si="20"/>
        <v>3.3392415319271197E-5</v>
      </c>
      <c r="AB41" s="16"/>
    </row>
    <row r="42" spans="2:28" x14ac:dyDescent="0.3">
      <c r="B42" s="27">
        <v>0.80000000000000426</v>
      </c>
      <c r="C42" s="27">
        <v>1574</v>
      </c>
      <c r="D42" s="19">
        <f t="shared" si="6"/>
        <v>17.725989159935285</v>
      </c>
      <c r="E42" s="19">
        <f t="shared" si="6"/>
        <v>1.3809959104032554</v>
      </c>
      <c r="F42" s="19">
        <f t="shared" si="6"/>
        <v>12.382585092994045</v>
      </c>
      <c r="G42" s="19">
        <f t="shared" si="6"/>
        <v>12.382585092994045</v>
      </c>
      <c r="H42" s="19">
        <f t="shared" si="6"/>
        <v>12.382585092994045</v>
      </c>
      <c r="I42" s="3"/>
      <c r="J42" s="17">
        <f t="shared" si="7"/>
        <v>15.016818362751991</v>
      </c>
      <c r="K42" s="17">
        <f t="shared" si="8"/>
        <v>1.1992770191867583</v>
      </c>
      <c r="L42" s="17">
        <f t="shared" si="9"/>
        <v>10.07275121458302</v>
      </c>
      <c r="M42" s="17">
        <f t="shared" si="10"/>
        <v>10.07275121458302</v>
      </c>
      <c r="N42" s="17">
        <f t="shared" si="11"/>
        <v>10.07275121458302</v>
      </c>
      <c r="O42" s="3"/>
      <c r="P42" s="19">
        <f t="shared" si="12"/>
        <v>603.01969949252964</v>
      </c>
      <c r="Q42" s="19">
        <f t="shared" si="13"/>
        <v>981.92062815190502</v>
      </c>
      <c r="R42" s="19">
        <f t="shared" si="14"/>
        <v>0</v>
      </c>
      <c r="S42" s="19">
        <f t="shared" si="15"/>
        <v>0</v>
      </c>
      <c r="T42" s="19">
        <f t="shared" si="16"/>
        <v>0</v>
      </c>
      <c r="U42" s="3"/>
      <c r="V42" s="19">
        <f t="shared" si="17"/>
        <v>1584.9403276444345</v>
      </c>
      <c r="W42" s="3"/>
      <c r="X42" s="14">
        <f t="shared" si="18"/>
        <v>119.69076896757875</v>
      </c>
      <c r="Y42" s="14">
        <f t="shared" si="19"/>
        <v>10.940327644434547</v>
      </c>
      <c r="AA42" s="14">
        <f t="shared" si="20"/>
        <v>2.7027568512024777E-5</v>
      </c>
      <c r="AB42" s="16"/>
    </row>
    <row r="43" spans="2:28" x14ac:dyDescent="0.3">
      <c r="B43" s="27">
        <v>1.1000000000000014</v>
      </c>
      <c r="C43" s="27">
        <v>1632</v>
      </c>
      <c r="D43" s="19">
        <f t="shared" si="6"/>
        <v>17.82970391013345</v>
      </c>
      <c r="E43" s="19">
        <f t="shared" si="6"/>
        <v>1.3837565024983987</v>
      </c>
      <c r="F43" s="19">
        <f t="shared" si="6"/>
        <v>12.412585092994044</v>
      </c>
      <c r="G43" s="19">
        <f t="shared" si="6"/>
        <v>12.412585092994044</v>
      </c>
      <c r="H43" s="19">
        <f t="shared" si="6"/>
        <v>12.412585092994044</v>
      </c>
      <c r="I43" s="3"/>
      <c r="J43" s="17">
        <f t="shared" si="7"/>
        <v>15.114077327279672</v>
      </c>
      <c r="K43" s="17">
        <f t="shared" si="8"/>
        <v>1.2007828136666028</v>
      </c>
      <c r="L43" s="17">
        <f t="shared" si="9"/>
        <v>10.100045194458028</v>
      </c>
      <c r="M43" s="17">
        <f t="shared" si="10"/>
        <v>10.100045194458028</v>
      </c>
      <c r="N43" s="17">
        <f t="shared" si="11"/>
        <v>10.100045194458028</v>
      </c>
      <c r="O43" s="3"/>
      <c r="P43" s="19">
        <f t="shared" si="12"/>
        <v>595.52307643249821</v>
      </c>
      <c r="Q43" s="19">
        <f t="shared" si="13"/>
        <v>980.01829316724263</v>
      </c>
      <c r="R43" s="19">
        <f t="shared" si="14"/>
        <v>0</v>
      </c>
      <c r="S43" s="19">
        <f t="shared" si="15"/>
        <v>0</v>
      </c>
      <c r="T43" s="19">
        <f t="shared" si="16"/>
        <v>0</v>
      </c>
      <c r="U43" s="3"/>
      <c r="V43" s="19">
        <f t="shared" si="17"/>
        <v>1575.5413695997408</v>
      </c>
      <c r="W43" s="3"/>
      <c r="X43" s="14">
        <f t="shared" si="18"/>
        <v>3187.5769466730671</v>
      </c>
      <c r="Y43" s="14">
        <f t="shared" si="19"/>
        <v>56.458630400259153</v>
      </c>
      <c r="AA43" s="14">
        <f t="shared" si="20"/>
        <v>1.3947840968129961E-4</v>
      </c>
      <c r="AB43" s="16"/>
    </row>
    <row r="44" spans="2:28" x14ac:dyDescent="0.3">
      <c r="B44" s="27">
        <v>1.3999999999999986</v>
      </c>
      <c r="C44" s="27">
        <v>1542</v>
      </c>
      <c r="D44" s="19">
        <f t="shared" si="6"/>
        <v>17.933418660331615</v>
      </c>
      <c r="E44" s="19">
        <f t="shared" si="6"/>
        <v>1.3865170945935417</v>
      </c>
      <c r="F44" s="19">
        <f t="shared" si="6"/>
        <v>12.442585092994046</v>
      </c>
      <c r="G44" s="19">
        <f t="shared" si="6"/>
        <v>12.442585092994046</v>
      </c>
      <c r="H44" s="19">
        <f t="shared" si="6"/>
        <v>12.442585092994046</v>
      </c>
      <c r="I44" s="3"/>
      <c r="J44" s="17">
        <f t="shared" si="7"/>
        <v>15.211375147404022</v>
      </c>
      <c r="K44" s="17">
        <f t="shared" si="8"/>
        <v>1.2022894666406885</v>
      </c>
      <c r="L44" s="17">
        <f t="shared" si="9"/>
        <v>10.127345820828726</v>
      </c>
      <c r="M44" s="17">
        <f t="shared" si="10"/>
        <v>10.127345820828726</v>
      </c>
      <c r="N44" s="17">
        <f t="shared" si="11"/>
        <v>10.127345820828726</v>
      </c>
      <c r="O44" s="3"/>
      <c r="P44" s="19">
        <f t="shared" si="12"/>
        <v>588.16251867195444</v>
      </c>
      <c r="Q44" s="19">
        <f t="shared" si="13"/>
        <v>978.12056001189831</v>
      </c>
      <c r="R44" s="19">
        <f t="shared" si="14"/>
        <v>0</v>
      </c>
      <c r="S44" s="19">
        <f t="shared" si="15"/>
        <v>0</v>
      </c>
      <c r="T44" s="19">
        <f t="shared" si="16"/>
        <v>0</v>
      </c>
      <c r="U44" s="3"/>
      <c r="V44" s="19">
        <f t="shared" si="17"/>
        <v>1566.2830786838526</v>
      </c>
      <c r="W44" s="3"/>
      <c r="X44" s="14">
        <f t="shared" si="18"/>
        <v>589.66791036617826</v>
      </c>
      <c r="Y44" s="14">
        <f t="shared" si="19"/>
        <v>24.283078683852636</v>
      </c>
      <c r="AA44" s="14">
        <f t="shared" si="20"/>
        <v>5.9990211823737133E-5</v>
      </c>
      <c r="AB44" s="16"/>
    </row>
    <row r="45" spans="2:28" x14ac:dyDescent="0.3">
      <c r="B45" s="27">
        <v>1.7000000000000028</v>
      </c>
      <c r="C45" s="27">
        <v>1523</v>
      </c>
      <c r="D45" s="19">
        <f t="shared" si="6"/>
        <v>18.03713341052978</v>
      </c>
      <c r="E45" s="19">
        <f t="shared" si="6"/>
        <v>1.3892776866886849</v>
      </c>
      <c r="F45" s="19">
        <f t="shared" si="6"/>
        <v>12.472585092994045</v>
      </c>
      <c r="G45" s="19">
        <f t="shared" si="6"/>
        <v>12.472585092994045</v>
      </c>
      <c r="H45" s="19">
        <f t="shared" si="6"/>
        <v>12.472585092994045</v>
      </c>
      <c r="I45" s="3"/>
      <c r="J45" s="17">
        <f t="shared" si="7"/>
        <v>15.308711373353997</v>
      </c>
      <c r="K45" s="17">
        <f t="shared" si="8"/>
        <v>1.2037969774232207</v>
      </c>
      <c r="L45" s="17">
        <f t="shared" si="9"/>
        <v>10.154653062727707</v>
      </c>
      <c r="M45" s="17">
        <f t="shared" si="10"/>
        <v>10.154653062727707</v>
      </c>
      <c r="N45" s="17">
        <f t="shared" si="11"/>
        <v>10.154653062727707</v>
      </c>
      <c r="O45" s="3"/>
      <c r="P45" s="19">
        <f t="shared" si="12"/>
        <v>580.93480453555446</v>
      </c>
      <c r="Q45" s="19">
        <f t="shared" si="13"/>
        <v>976.2274160126168</v>
      </c>
      <c r="R45" s="19">
        <f t="shared" si="14"/>
        <v>0</v>
      </c>
      <c r="S45" s="19">
        <f t="shared" si="15"/>
        <v>0</v>
      </c>
      <c r="T45" s="19">
        <f t="shared" si="16"/>
        <v>0</v>
      </c>
      <c r="U45" s="3"/>
      <c r="V45" s="19">
        <f t="shared" si="17"/>
        <v>1557.1622205481713</v>
      </c>
      <c r="W45" s="3"/>
      <c r="X45" s="14">
        <f t="shared" si="18"/>
        <v>1167.0573127818948</v>
      </c>
      <c r="Y45" s="14">
        <f t="shared" si="19"/>
        <v>34.162220548171263</v>
      </c>
      <c r="AA45" s="14">
        <f t="shared" si="20"/>
        <v>8.4396170425325636E-5</v>
      </c>
      <c r="AB45" s="16"/>
    </row>
    <row r="46" spans="2:28" x14ac:dyDescent="0.3">
      <c r="B46" s="27">
        <v>2</v>
      </c>
      <c r="C46" s="27">
        <v>1607</v>
      </c>
      <c r="D46" s="19">
        <f t="shared" si="6"/>
        <v>18.140848160727945</v>
      </c>
      <c r="E46" s="19">
        <f t="shared" si="6"/>
        <v>1.3920382787838281</v>
      </c>
      <c r="F46" s="19">
        <f t="shared" si="6"/>
        <v>12.502585092994044</v>
      </c>
      <c r="G46" s="19">
        <f t="shared" si="6"/>
        <v>12.502585092994044</v>
      </c>
      <c r="H46" s="19">
        <f t="shared" si="6"/>
        <v>12.502585092994044</v>
      </c>
      <c r="I46" s="3"/>
      <c r="J46" s="17">
        <f t="shared" si="7"/>
        <v>15.406085562941291</v>
      </c>
      <c r="K46" s="17">
        <f t="shared" si="8"/>
        <v>1.2053053453284195</v>
      </c>
      <c r="L46" s="17">
        <f t="shared" si="9"/>
        <v>10.18196688939549</v>
      </c>
      <c r="M46" s="17">
        <f t="shared" si="10"/>
        <v>10.18196688939549</v>
      </c>
      <c r="N46" s="17">
        <f t="shared" si="11"/>
        <v>10.18196688939549</v>
      </c>
      <c r="O46" s="3"/>
      <c r="P46" s="19">
        <f t="shared" si="12"/>
        <v>573.83680592669975</v>
      </c>
      <c r="Q46" s="19">
        <f t="shared" si="13"/>
        <v>974.33884853355278</v>
      </c>
      <c r="R46" s="19">
        <f t="shared" si="14"/>
        <v>0</v>
      </c>
      <c r="S46" s="19">
        <f t="shared" si="15"/>
        <v>0</v>
      </c>
      <c r="T46" s="19">
        <f t="shared" si="16"/>
        <v>0</v>
      </c>
      <c r="U46" s="3"/>
      <c r="V46" s="19">
        <f t="shared" si="17"/>
        <v>1548.1756544602526</v>
      </c>
      <c r="W46" s="3"/>
      <c r="X46" s="14">
        <f t="shared" si="18"/>
        <v>3460.3036281795944</v>
      </c>
      <c r="Y46" s="14">
        <f t="shared" si="19"/>
        <v>58.824345539747355</v>
      </c>
      <c r="AA46" s="14">
        <f t="shared" si="20"/>
        <v>1.4532279845012942E-4</v>
      </c>
      <c r="AB46" s="16"/>
    </row>
    <row r="47" spans="2:28" x14ac:dyDescent="0.3">
      <c r="B47" s="27">
        <v>2.2000000000000028</v>
      </c>
      <c r="C47" s="27">
        <v>1526</v>
      </c>
      <c r="D47" s="19">
        <f t="shared" si="6"/>
        <v>18.209991327526723</v>
      </c>
      <c r="E47" s="19">
        <f t="shared" si="6"/>
        <v>1.3938786735139235</v>
      </c>
      <c r="F47" s="19">
        <f t="shared" si="6"/>
        <v>12.522585092994046</v>
      </c>
      <c r="G47" s="19">
        <f t="shared" si="6"/>
        <v>12.522585092994046</v>
      </c>
      <c r="H47" s="19">
        <f t="shared" si="6"/>
        <v>12.522585092994046</v>
      </c>
      <c r="I47" s="3"/>
      <c r="J47" s="17">
        <f t="shared" si="7"/>
        <v>15.471022565240016</v>
      </c>
      <c r="K47" s="17">
        <f t="shared" si="8"/>
        <v>1.2063113997724957</v>
      </c>
      <c r="L47" s="17">
        <f t="shared" si="9"/>
        <v>10.200179750282391</v>
      </c>
      <c r="M47" s="17">
        <f t="shared" si="10"/>
        <v>10.200179750282391</v>
      </c>
      <c r="N47" s="17">
        <f t="shared" si="11"/>
        <v>10.200179750282391</v>
      </c>
      <c r="O47" s="3"/>
      <c r="P47" s="19">
        <f t="shared" si="12"/>
        <v>569.17536729957465</v>
      </c>
      <c r="Q47" s="19">
        <f t="shared" si="13"/>
        <v>973.08233983570517</v>
      </c>
      <c r="R47" s="19">
        <f t="shared" si="14"/>
        <v>0</v>
      </c>
      <c r="S47" s="19">
        <f t="shared" si="15"/>
        <v>0</v>
      </c>
      <c r="T47" s="19">
        <f t="shared" si="16"/>
        <v>0</v>
      </c>
      <c r="U47" s="3"/>
      <c r="V47" s="19">
        <f t="shared" si="17"/>
        <v>1542.2577071352798</v>
      </c>
      <c r="W47" s="3"/>
      <c r="X47" s="14">
        <f t="shared" si="18"/>
        <v>264.31304129652824</v>
      </c>
      <c r="Y47" s="14">
        <f t="shared" si="19"/>
        <v>16.257707135279816</v>
      </c>
      <c r="AA47" s="14">
        <f t="shared" si="20"/>
        <v>4.01639062126937E-5</v>
      </c>
      <c r="AB47" s="16"/>
    </row>
    <row r="48" spans="2:28" x14ac:dyDescent="0.3">
      <c r="B48" s="27">
        <v>2.5</v>
      </c>
      <c r="C48" s="27">
        <v>1514</v>
      </c>
      <c r="D48" s="19">
        <f t="shared" si="6"/>
        <v>18.313706077724888</v>
      </c>
      <c r="E48" s="19">
        <f t="shared" si="6"/>
        <v>1.3966392656090667</v>
      </c>
      <c r="F48" s="19">
        <f t="shared" si="6"/>
        <v>12.552585092994045</v>
      </c>
      <c r="G48" s="19">
        <f t="shared" si="6"/>
        <v>12.552585092994045</v>
      </c>
      <c r="H48" s="19">
        <f t="shared" si="6"/>
        <v>12.552585092994045</v>
      </c>
      <c r="I48" s="3"/>
      <c r="J48" s="17">
        <f t="shared" si="7"/>
        <v>15.568459064985669</v>
      </c>
      <c r="K48" s="17">
        <f t="shared" si="8"/>
        <v>1.2078211946915667</v>
      </c>
      <c r="L48" s="17">
        <f t="shared" si="9"/>
        <v>10.227504483769454</v>
      </c>
      <c r="M48" s="17">
        <f t="shared" si="10"/>
        <v>10.227504483769454</v>
      </c>
      <c r="N48" s="17">
        <f t="shared" si="11"/>
        <v>10.227504483769454</v>
      </c>
      <c r="O48" s="3"/>
      <c r="P48" s="19">
        <f t="shared" si="12"/>
        <v>562.28685396468666</v>
      </c>
      <c r="Q48" s="19">
        <f t="shared" si="13"/>
        <v>971.20137191192862</v>
      </c>
      <c r="R48" s="19">
        <f t="shared" si="14"/>
        <v>0</v>
      </c>
      <c r="S48" s="19">
        <f t="shared" si="15"/>
        <v>0</v>
      </c>
      <c r="T48" s="19">
        <f t="shared" si="16"/>
        <v>0</v>
      </c>
      <c r="U48" s="3"/>
      <c r="V48" s="19">
        <f t="shared" si="17"/>
        <v>1533.4882258766152</v>
      </c>
      <c r="W48" s="3"/>
      <c r="X48" s="14">
        <f t="shared" si="18"/>
        <v>379.79094781797278</v>
      </c>
      <c r="Y48" s="14">
        <f t="shared" si="19"/>
        <v>19.488225876615161</v>
      </c>
      <c r="AA48" s="14">
        <f t="shared" si="20"/>
        <v>4.8144751891957982E-5</v>
      </c>
      <c r="AB48" s="16"/>
    </row>
    <row r="49" spans="2:28" x14ac:dyDescent="0.3">
      <c r="B49" s="27">
        <v>2.8000000000000043</v>
      </c>
      <c r="C49" s="27">
        <v>1543</v>
      </c>
      <c r="D49" s="19">
        <f t="shared" si="6"/>
        <v>18.417420827923053</v>
      </c>
      <c r="E49" s="19">
        <f t="shared" si="6"/>
        <v>1.3993998577042099</v>
      </c>
      <c r="F49" s="19">
        <f t="shared" si="6"/>
        <v>12.582585092994046</v>
      </c>
      <c r="G49" s="19">
        <f t="shared" si="6"/>
        <v>12.582585092994046</v>
      </c>
      <c r="H49" s="19">
        <f t="shared" si="6"/>
        <v>12.582585092994046</v>
      </c>
      <c r="I49" s="3"/>
      <c r="J49" s="17">
        <f t="shared" si="7"/>
        <v>15.665932385020723</v>
      </c>
      <c r="K49" s="17">
        <f t="shared" si="8"/>
        <v>1.2093318449046526</v>
      </c>
      <c r="L49" s="17">
        <f t="shared" si="9"/>
        <v>10.2548357210029</v>
      </c>
      <c r="M49" s="17">
        <f t="shared" si="10"/>
        <v>10.2548357210029</v>
      </c>
      <c r="N49" s="17">
        <f t="shared" si="11"/>
        <v>10.2548357210029</v>
      </c>
      <c r="O49" s="3"/>
      <c r="P49" s="19">
        <f t="shared" si="12"/>
        <v>555.52014806642615</v>
      </c>
      <c r="Q49" s="19">
        <f t="shared" si="13"/>
        <v>969.32494699481697</v>
      </c>
      <c r="R49" s="19">
        <f t="shared" si="14"/>
        <v>0</v>
      </c>
      <c r="S49" s="19">
        <f t="shared" si="15"/>
        <v>0</v>
      </c>
      <c r="T49" s="19">
        <f t="shared" si="16"/>
        <v>0</v>
      </c>
      <c r="U49" s="3"/>
      <c r="V49" s="19">
        <f t="shared" si="17"/>
        <v>1524.8450950612432</v>
      </c>
      <c r="W49" s="3"/>
      <c r="X49" s="14">
        <f t="shared" si="18"/>
        <v>329.60057333529505</v>
      </c>
      <c r="Y49" s="14">
        <f t="shared" si="19"/>
        <v>18.154904938756772</v>
      </c>
      <c r="AA49" s="14">
        <f t="shared" si="20"/>
        <v>4.4850844783534514E-5</v>
      </c>
      <c r="AB49" s="16"/>
    </row>
    <row r="50" spans="2:28" x14ac:dyDescent="0.3">
      <c r="B50" s="27">
        <v>3.1000000000000014</v>
      </c>
      <c r="C50" s="27">
        <v>1565</v>
      </c>
      <c r="D50" s="19">
        <f t="shared" si="6"/>
        <v>18.521135578121218</v>
      </c>
      <c r="E50" s="19">
        <f t="shared" si="6"/>
        <v>1.4021604497993529</v>
      </c>
      <c r="F50" s="19">
        <f t="shared" si="6"/>
        <v>12.612585092994046</v>
      </c>
      <c r="G50" s="19">
        <f t="shared" si="6"/>
        <v>12.612585092994046</v>
      </c>
      <c r="H50" s="19">
        <f t="shared" si="6"/>
        <v>12.612585092994046</v>
      </c>
      <c r="I50" s="3"/>
      <c r="J50" s="17">
        <f t="shared" si="7"/>
        <v>15.76344210957131</v>
      </c>
      <c r="K50" s="17">
        <f t="shared" si="8"/>
        <v>1.2108433497260516</v>
      </c>
      <c r="L50" s="17">
        <f t="shared" si="9"/>
        <v>10.282173431970371</v>
      </c>
      <c r="M50" s="17">
        <f t="shared" si="10"/>
        <v>10.282173431970371</v>
      </c>
      <c r="N50" s="17">
        <f t="shared" si="11"/>
        <v>10.282173431970371</v>
      </c>
      <c r="O50" s="3"/>
      <c r="P50" s="19">
        <f t="shared" si="12"/>
        <v>548.87243813008388</v>
      </c>
      <c r="Q50" s="19">
        <f t="shared" si="13"/>
        <v>967.45305258473309</v>
      </c>
      <c r="R50" s="19">
        <f t="shared" si="14"/>
        <v>0</v>
      </c>
      <c r="S50" s="19">
        <f t="shared" si="15"/>
        <v>0</v>
      </c>
      <c r="T50" s="19">
        <f t="shared" si="16"/>
        <v>0</v>
      </c>
      <c r="U50" s="3"/>
      <c r="V50" s="19">
        <f t="shared" si="17"/>
        <v>1516.3254907148171</v>
      </c>
      <c r="W50" s="3"/>
      <c r="X50" s="14">
        <f t="shared" si="18"/>
        <v>2369.2078541533583</v>
      </c>
      <c r="Y50" s="14">
        <f t="shared" si="19"/>
        <v>48.674509285182921</v>
      </c>
      <c r="AA50" s="14">
        <f t="shared" si="20"/>
        <v>1.202481019993677E-4</v>
      </c>
      <c r="AB50" s="16"/>
    </row>
    <row r="51" spans="2:28" x14ac:dyDescent="0.3">
      <c r="B51" s="27">
        <v>3.3999999999999986</v>
      </c>
      <c r="C51" s="27">
        <v>1577</v>
      </c>
      <c r="D51" s="19">
        <f t="shared" si="6"/>
        <v>18.624850328319383</v>
      </c>
      <c r="E51" s="19">
        <f t="shared" si="6"/>
        <v>1.4049210418944962</v>
      </c>
      <c r="F51" s="19">
        <f t="shared" si="6"/>
        <v>12.642585092994045</v>
      </c>
      <c r="G51" s="19">
        <f t="shared" si="6"/>
        <v>12.642585092994045</v>
      </c>
      <c r="H51" s="19">
        <f t="shared" si="6"/>
        <v>12.642585092994045</v>
      </c>
      <c r="I51" s="3"/>
      <c r="J51" s="17">
        <f t="shared" si="7"/>
        <v>15.860987829707533</v>
      </c>
      <c r="K51" s="17">
        <f t="shared" si="8"/>
        <v>1.2123557084700898</v>
      </c>
      <c r="L51" s="17">
        <f t="shared" si="9"/>
        <v>10.309517586859201</v>
      </c>
      <c r="M51" s="17">
        <f t="shared" si="10"/>
        <v>10.309517586859201</v>
      </c>
      <c r="N51" s="17">
        <f t="shared" si="11"/>
        <v>10.309517586859201</v>
      </c>
      <c r="O51" s="3"/>
      <c r="P51" s="19">
        <f t="shared" si="12"/>
        <v>542.34099232969834</v>
      </c>
      <c r="Q51" s="19">
        <f t="shared" si="13"/>
        <v>965.5856762189278</v>
      </c>
      <c r="R51" s="19">
        <f t="shared" si="14"/>
        <v>0</v>
      </c>
      <c r="S51" s="19">
        <f t="shared" si="15"/>
        <v>0</v>
      </c>
      <c r="T51" s="19">
        <f t="shared" si="16"/>
        <v>0</v>
      </c>
      <c r="U51" s="3"/>
      <c r="V51" s="19">
        <f t="shared" si="17"/>
        <v>1507.9266685486261</v>
      </c>
      <c r="W51" s="3"/>
      <c r="X51" s="14">
        <f t="shared" si="18"/>
        <v>4771.1251177913537</v>
      </c>
      <c r="Y51" s="14">
        <f t="shared" si="19"/>
        <v>69.073331451373861</v>
      </c>
      <c r="AA51" s="14">
        <f t="shared" si="20"/>
        <v>1.7064243949819048E-4</v>
      </c>
      <c r="AB51" s="16"/>
    </row>
    <row r="52" spans="2:28" x14ac:dyDescent="0.3">
      <c r="B52" s="27">
        <v>3.7000000000000028</v>
      </c>
      <c r="C52" s="27">
        <v>1455</v>
      </c>
      <c r="D52" s="19">
        <f t="shared" si="6"/>
        <v>18.728565078517548</v>
      </c>
      <c r="E52" s="19">
        <f t="shared" si="6"/>
        <v>1.4076816339896394</v>
      </c>
      <c r="F52" s="19">
        <f t="shared" si="6"/>
        <v>12.672585092994046</v>
      </c>
      <c r="G52" s="19">
        <f t="shared" si="6"/>
        <v>12.672585092994046</v>
      </c>
      <c r="H52" s="19">
        <f t="shared" si="6"/>
        <v>12.672585092994046</v>
      </c>
      <c r="I52" s="3"/>
      <c r="J52" s="17">
        <f t="shared" si="7"/>
        <v>15.958569143196829</v>
      </c>
      <c r="K52" s="17">
        <f t="shared" si="8"/>
        <v>1.2138689204511226</v>
      </c>
      <c r="L52" s="17">
        <f t="shared" si="9"/>
        <v>10.336868156054706</v>
      </c>
      <c r="M52" s="17">
        <f t="shared" si="10"/>
        <v>10.336868156054706</v>
      </c>
      <c r="N52" s="17">
        <f t="shared" si="11"/>
        <v>10.336868156054706</v>
      </c>
      <c r="O52" s="3"/>
      <c r="P52" s="19">
        <f t="shared" si="12"/>
        <v>535.92315582403023</v>
      </c>
      <c r="Q52" s="19">
        <f t="shared" si="13"/>
        <v>963.72280547142964</v>
      </c>
      <c r="R52" s="19">
        <f t="shared" si="14"/>
        <v>0</v>
      </c>
      <c r="S52" s="19">
        <f t="shared" si="15"/>
        <v>0</v>
      </c>
      <c r="T52" s="19">
        <f t="shared" si="16"/>
        <v>0</v>
      </c>
      <c r="U52" s="3"/>
      <c r="V52" s="19">
        <f t="shared" si="17"/>
        <v>1499.64596129546</v>
      </c>
      <c r="W52" s="3"/>
      <c r="X52" s="14">
        <f t="shared" si="18"/>
        <v>1993.2618599957109</v>
      </c>
      <c r="Y52" s="14">
        <f t="shared" si="19"/>
        <v>44.645961295459983</v>
      </c>
      <c r="AA52" s="14">
        <f t="shared" si="20"/>
        <v>1.1029576233140486E-4</v>
      </c>
      <c r="AB52" s="16"/>
    </row>
    <row r="53" spans="2:28" x14ac:dyDescent="0.3">
      <c r="B53" s="27">
        <v>4</v>
      </c>
      <c r="C53" s="27">
        <v>1511</v>
      </c>
      <c r="D53" s="19">
        <f t="shared" si="6"/>
        <v>18.832279828715713</v>
      </c>
      <c r="E53" s="19">
        <f t="shared" si="6"/>
        <v>1.4104422260847824</v>
      </c>
      <c r="F53" s="19">
        <f t="shared" si="6"/>
        <v>12.702585092994045</v>
      </c>
      <c r="G53" s="19">
        <f t="shared" si="6"/>
        <v>12.702585092994045</v>
      </c>
      <c r="H53" s="19">
        <f t="shared" si="6"/>
        <v>12.702585092994045</v>
      </c>
      <c r="I53" s="3"/>
      <c r="J53" s="17">
        <f t="shared" si="7"/>
        <v>16.056185654361197</v>
      </c>
      <c r="K53" s="17">
        <f t="shared" si="8"/>
        <v>1.2153829849835383</v>
      </c>
      <c r="L53" s="17">
        <f t="shared" si="9"/>
        <v>10.364225110138472</v>
      </c>
      <c r="M53" s="17">
        <f t="shared" si="10"/>
        <v>10.364225110138472</v>
      </c>
      <c r="N53" s="17">
        <f t="shared" si="11"/>
        <v>10.364225110138472</v>
      </c>
      <c r="O53" s="3"/>
      <c r="P53" s="19">
        <f t="shared" si="12"/>
        <v>529.61634819495703</v>
      </c>
      <c r="Q53" s="19">
        <f t="shared" si="13"/>
        <v>961.86442795293374</v>
      </c>
      <c r="R53" s="19">
        <f t="shared" si="14"/>
        <v>0</v>
      </c>
      <c r="S53" s="19">
        <f t="shared" si="15"/>
        <v>0</v>
      </c>
      <c r="T53" s="19">
        <f t="shared" si="16"/>
        <v>0</v>
      </c>
      <c r="U53" s="3"/>
      <c r="V53" s="19">
        <f t="shared" si="17"/>
        <v>1491.4807761478908</v>
      </c>
      <c r="W53" s="3"/>
      <c r="X53" s="14">
        <f t="shared" si="18"/>
        <v>381.00009978875011</v>
      </c>
      <c r="Y53" s="14">
        <f t="shared" si="19"/>
        <v>19.519223852109235</v>
      </c>
      <c r="AA53" s="14">
        <f t="shared" si="20"/>
        <v>4.8221330942753261E-5</v>
      </c>
      <c r="AB53" s="16"/>
    </row>
    <row r="54" spans="2:28" x14ac:dyDescent="0.3">
      <c r="B54" s="27">
        <v>4.2000000000000028</v>
      </c>
      <c r="C54" s="27">
        <v>1430</v>
      </c>
      <c r="D54" s="19">
        <f t="shared" si="6"/>
        <v>18.901422995514491</v>
      </c>
      <c r="E54" s="19">
        <f t="shared" si="6"/>
        <v>1.412282620814878</v>
      </c>
      <c r="F54" s="19">
        <f t="shared" si="6"/>
        <v>12.722585092994045</v>
      </c>
      <c r="G54" s="19">
        <f t="shared" si="6"/>
        <v>12.722585092994045</v>
      </c>
      <c r="H54" s="19">
        <f t="shared" si="6"/>
        <v>12.722585092994045</v>
      </c>
      <c r="I54" s="3"/>
      <c r="J54" s="17">
        <f t="shared" si="7"/>
        <v>16.121282690246403</v>
      </c>
      <c r="K54" s="17">
        <f t="shared" si="8"/>
        <v>1.216392834639582</v>
      </c>
      <c r="L54" s="17">
        <f t="shared" si="9"/>
        <v>10.382466612248336</v>
      </c>
      <c r="M54" s="17">
        <f t="shared" si="10"/>
        <v>10.382466612248336</v>
      </c>
      <c r="N54" s="17">
        <f t="shared" si="11"/>
        <v>10.382466612248336</v>
      </c>
      <c r="O54" s="3"/>
      <c r="P54" s="19">
        <f t="shared" si="12"/>
        <v>525.47225085062541</v>
      </c>
      <c r="Q54" s="19">
        <f t="shared" si="13"/>
        <v>960.62799974397967</v>
      </c>
      <c r="R54" s="19">
        <f t="shared" si="14"/>
        <v>0</v>
      </c>
      <c r="S54" s="19">
        <f t="shared" si="15"/>
        <v>0</v>
      </c>
      <c r="T54" s="19">
        <f t="shared" si="16"/>
        <v>0</v>
      </c>
      <c r="U54" s="3"/>
      <c r="V54" s="19">
        <f t="shared" si="17"/>
        <v>1486.1002505946051</v>
      </c>
      <c r="W54" s="3"/>
      <c r="X54" s="14">
        <f t="shared" si="18"/>
        <v>3147.2381167774884</v>
      </c>
      <c r="Y54" s="14">
        <f t="shared" si="19"/>
        <v>56.100250594605086</v>
      </c>
      <c r="AA54" s="14">
        <f t="shared" si="20"/>
        <v>1.3859304910843149E-4</v>
      </c>
      <c r="AB54" s="16"/>
    </row>
    <row r="55" spans="2:28" x14ac:dyDescent="0.3">
      <c r="B55" s="27">
        <v>4.5</v>
      </c>
      <c r="C55" s="27">
        <v>1427</v>
      </c>
      <c r="D55" s="19">
        <f t="shared" si="6"/>
        <v>19.005137745712656</v>
      </c>
      <c r="E55" s="19">
        <f t="shared" si="6"/>
        <v>1.4150432129100212</v>
      </c>
      <c r="F55" s="19">
        <f t="shared" si="6"/>
        <v>12.752585092994044</v>
      </c>
      <c r="G55" s="19">
        <f t="shared" si="6"/>
        <v>12.752585092994044</v>
      </c>
      <c r="H55" s="19">
        <f t="shared" si="6"/>
        <v>12.752585092994044</v>
      </c>
      <c r="I55" s="3"/>
      <c r="J55" s="17">
        <f t="shared" si="7"/>
        <v>16.218957002281492</v>
      </c>
      <c r="K55" s="17">
        <f t="shared" si="8"/>
        <v>1.2179083185674848</v>
      </c>
      <c r="L55" s="17">
        <f t="shared" si="9"/>
        <v>10.409834142966124</v>
      </c>
      <c r="M55" s="17">
        <f t="shared" si="10"/>
        <v>10.409834142966124</v>
      </c>
      <c r="N55" s="17">
        <f t="shared" si="11"/>
        <v>10.409834142966124</v>
      </c>
      <c r="O55" s="3"/>
      <c r="P55" s="19">
        <f t="shared" si="12"/>
        <v>519.34495145673952</v>
      </c>
      <c r="Q55" s="19">
        <f t="shared" si="13"/>
        <v>958.77708350793762</v>
      </c>
      <c r="R55" s="19">
        <f t="shared" si="14"/>
        <v>0</v>
      </c>
      <c r="S55" s="19">
        <f t="shared" si="15"/>
        <v>0</v>
      </c>
      <c r="T55" s="19">
        <f t="shared" si="16"/>
        <v>0</v>
      </c>
      <c r="U55" s="3"/>
      <c r="V55" s="19">
        <f t="shared" si="17"/>
        <v>1478.1220349646771</v>
      </c>
      <c r="W55" s="3"/>
      <c r="X55" s="14">
        <f t="shared" si="18"/>
        <v>2613.4624589296723</v>
      </c>
      <c r="Y55" s="14">
        <f t="shared" si="19"/>
        <v>51.122034964677141</v>
      </c>
      <c r="AA55" s="14">
        <f t="shared" si="20"/>
        <v>1.2629459988657875E-4</v>
      </c>
      <c r="AB55" s="16"/>
    </row>
    <row r="56" spans="2:28" x14ac:dyDescent="0.3">
      <c r="B56" s="27">
        <v>4.8000000000000043</v>
      </c>
      <c r="C56" s="27">
        <v>1475</v>
      </c>
      <c r="D56" s="19">
        <f t="shared" si="6"/>
        <v>19.108852495910821</v>
      </c>
      <c r="E56" s="19">
        <f t="shared" si="6"/>
        <v>1.4178038050051642</v>
      </c>
      <c r="F56" s="19">
        <f t="shared" si="6"/>
        <v>12.782585092994045</v>
      </c>
      <c r="G56" s="19">
        <f t="shared" si="6"/>
        <v>12.782585092994045</v>
      </c>
      <c r="H56" s="19">
        <f t="shared" si="6"/>
        <v>12.782585092994045</v>
      </c>
      <c r="I56" s="3"/>
      <c r="J56" s="17">
        <f t="shared" si="7"/>
        <v>16.316665487848663</v>
      </c>
      <c r="K56" s="17">
        <f t="shared" si="8"/>
        <v>1.2194246532186519</v>
      </c>
      <c r="L56" s="17">
        <f t="shared" si="9"/>
        <v>10.437207981070015</v>
      </c>
      <c r="M56" s="17">
        <f t="shared" si="10"/>
        <v>10.437207981070015</v>
      </c>
      <c r="N56" s="17">
        <f t="shared" si="11"/>
        <v>10.437207981070015</v>
      </c>
      <c r="O56" s="3"/>
      <c r="P56" s="19">
        <f t="shared" si="12"/>
        <v>513.32214523048629</v>
      </c>
      <c r="Q56" s="19">
        <f t="shared" si="13"/>
        <v>956.93062764117394</v>
      </c>
      <c r="R56" s="19">
        <f t="shared" si="14"/>
        <v>0</v>
      </c>
      <c r="S56" s="19">
        <f t="shared" si="15"/>
        <v>0</v>
      </c>
      <c r="T56" s="19">
        <f t="shared" si="16"/>
        <v>0</v>
      </c>
      <c r="U56" s="3"/>
      <c r="V56" s="19">
        <f t="shared" si="17"/>
        <v>1470.2527728716602</v>
      </c>
      <c r="W56" s="3"/>
      <c r="X56" s="14">
        <f t="shared" si="18"/>
        <v>22.53616540804509</v>
      </c>
      <c r="Y56" s="14">
        <f t="shared" si="19"/>
        <v>4.7472271283397731</v>
      </c>
      <c r="AA56" s="14">
        <f t="shared" si="20"/>
        <v>1.1727802916269734E-5</v>
      </c>
      <c r="AB56" s="16"/>
    </row>
    <row r="57" spans="2:28" x14ac:dyDescent="0.3">
      <c r="B57" s="27">
        <v>5.1000000000000014</v>
      </c>
      <c r="C57" s="27">
        <v>1445</v>
      </c>
      <c r="D57" s="19">
        <f t="shared" si="6"/>
        <v>19.212567246108986</v>
      </c>
      <c r="E57" s="19">
        <f t="shared" si="6"/>
        <v>1.4205643971003075</v>
      </c>
      <c r="F57" s="19">
        <f t="shared" si="6"/>
        <v>12.812585092994045</v>
      </c>
      <c r="G57" s="19">
        <f t="shared" si="6"/>
        <v>12.812585092994045</v>
      </c>
      <c r="H57" s="19">
        <f t="shared" si="6"/>
        <v>12.812585092994045</v>
      </c>
      <c r="I57" s="3"/>
      <c r="J57" s="17">
        <f t="shared" si="7"/>
        <v>16.414407774140678</v>
      </c>
      <c r="K57" s="17">
        <f t="shared" si="8"/>
        <v>1.2209418379076129</v>
      </c>
      <c r="L57" s="17">
        <f t="shared" si="9"/>
        <v>10.464588097847095</v>
      </c>
      <c r="M57" s="17">
        <f t="shared" si="10"/>
        <v>10.464588097847095</v>
      </c>
      <c r="N57" s="17">
        <f t="shared" si="11"/>
        <v>10.464588097847095</v>
      </c>
      <c r="O57" s="3"/>
      <c r="P57" s="19">
        <f t="shared" si="12"/>
        <v>507.40150426118925</v>
      </c>
      <c r="Q57" s="19">
        <f t="shared" si="13"/>
        <v>955.08861988788851</v>
      </c>
      <c r="R57" s="19">
        <f t="shared" si="14"/>
        <v>0</v>
      </c>
      <c r="S57" s="19">
        <f t="shared" si="15"/>
        <v>0</v>
      </c>
      <c r="T57" s="19">
        <f t="shared" si="16"/>
        <v>0</v>
      </c>
      <c r="U57" s="3"/>
      <c r="V57" s="19">
        <f t="shared" si="17"/>
        <v>1462.4901241490777</v>
      </c>
      <c r="W57" s="3"/>
      <c r="X57" s="14">
        <f t="shared" si="18"/>
        <v>305.90444275015096</v>
      </c>
      <c r="Y57" s="14">
        <f t="shared" si="19"/>
        <v>17.490124149077701</v>
      </c>
      <c r="AA57" s="14">
        <f t="shared" si="20"/>
        <v>4.3208534889125712E-5</v>
      </c>
      <c r="AB57" s="16"/>
    </row>
    <row r="58" spans="2:28" x14ac:dyDescent="0.3">
      <c r="B58" s="27">
        <v>5.3999999999999986</v>
      </c>
      <c r="C58" s="27">
        <v>1462</v>
      </c>
      <c r="D58" s="19">
        <f t="shared" si="6"/>
        <v>19.316281996307151</v>
      </c>
      <c r="E58" s="19">
        <f t="shared" si="6"/>
        <v>1.4233249891954507</v>
      </c>
      <c r="F58" s="19">
        <f t="shared" si="6"/>
        <v>12.842585092994044</v>
      </c>
      <c r="G58" s="19">
        <f t="shared" si="6"/>
        <v>12.842585092994044</v>
      </c>
      <c r="H58" s="19">
        <f t="shared" si="6"/>
        <v>12.842585092994044</v>
      </c>
      <c r="I58" s="3"/>
      <c r="J58" s="17">
        <f t="shared" si="7"/>
        <v>16.512183494285953</v>
      </c>
      <c r="K58" s="17">
        <f t="shared" si="8"/>
        <v>1.2224598719489419</v>
      </c>
      <c r="L58" s="17">
        <f t="shared" si="9"/>
        <v>10.491974464773062</v>
      </c>
      <c r="M58" s="17">
        <f t="shared" si="10"/>
        <v>10.491974464773062</v>
      </c>
      <c r="N58" s="17">
        <f t="shared" si="11"/>
        <v>10.491974464773062</v>
      </c>
      <c r="O58" s="3"/>
      <c r="P58" s="19">
        <f t="shared" si="12"/>
        <v>501.58076433653946</v>
      </c>
      <c r="Q58" s="19">
        <f t="shared" si="13"/>
        <v>953.25104802843714</v>
      </c>
      <c r="R58" s="19">
        <f t="shared" si="14"/>
        <v>0</v>
      </c>
      <c r="S58" s="19">
        <f t="shared" si="15"/>
        <v>0</v>
      </c>
      <c r="T58" s="19">
        <f t="shared" si="16"/>
        <v>0</v>
      </c>
      <c r="U58" s="3"/>
      <c r="V58" s="19">
        <f t="shared" si="17"/>
        <v>1454.8318123649765</v>
      </c>
      <c r="W58" s="3"/>
      <c r="X58" s="14">
        <f t="shared" si="18"/>
        <v>51.382913970904006</v>
      </c>
      <c r="Y58" s="14">
        <f t="shared" si="19"/>
        <v>7.1681876350235143</v>
      </c>
      <c r="AA58" s="14">
        <f t="shared" si="20"/>
        <v>1.7708672784695228E-5</v>
      </c>
      <c r="AB58" s="16"/>
    </row>
    <row r="59" spans="2:28" x14ac:dyDescent="0.3">
      <c r="B59" s="27">
        <v>5.6999999999999957</v>
      </c>
      <c r="C59" s="27">
        <v>1573</v>
      </c>
      <c r="D59" s="19">
        <f t="shared" si="6"/>
        <v>19.419996746505316</v>
      </c>
      <c r="E59" s="19">
        <f t="shared" si="6"/>
        <v>1.4260855812905937</v>
      </c>
      <c r="F59" s="19">
        <f t="shared" si="6"/>
        <v>12.872585092994045</v>
      </c>
      <c r="G59" s="19">
        <f t="shared" si="6"/>
        <v>12.872585092994045</v>
      </c>
      <c r="H59" s="19">
        <f t="shared" si="6"/>
        <v>12.872585092994045</v>
      </c>
      <c r="I59" s="3"/>
      <c r="J59" s="17">
        <f t="shared" si="7"/>
        <v>16.609992287225467</v>
      </c>
      <c r="K59" s="17">
        <f t="shared" si="8"/>
        <v>1.2239787546572596</v>
      </c>
      <c r="L59" s="17">
        <f t="shared" si="9"/>
        <v>10.51936705351063</v>
      </c>
      <c r="M59" s="17">
        <f t="shared" si="10"/>
        <v>10.51936705351063</v>
      </c>
      <c r="N59" s="17">
        <f t="shared" si="11"/>
        <v>10.51936705351063</v>
      </c>
      <c r="O59" s="3"/>
      <c r="P59" s="19">
        <f t="shared" si="12"/>
        <v>495.85772288351427</v>
      </c>
      <c r="Q59" s="19">
        <f t="shared" si="13"/>
        <v>951.41789987922255</v>
      </c>
      <c r="R59" s="19">
        <f t="shared" si="14"/>
        <v>0</v>
      </c>
      <c r="S59" s="19">
        <f t="shared" si="15"/>
        <v>0</v>
      </c>
      <c r="T59" s="19">
        <f t="shared" si="16"/>
        <v>0</v>
      </c>
      <c r="U59" s="3"/>
      <c r="V59" s="19">
        <f t="shared" si="17"/>
        <v>1447.2756227627369</v>
      </c>
      <c r="W59" s="3"/>
      <c r="X59" s="14">
        <f t="shared" si="18"/>
        <v>15806.619031697632</v>
      </c>
      <c r="Y59" s="14">
        <f t="shared" si="19"/>
        <v>125.72437723726307</v>
      </c>
      <c r="AA59" s="14">
        <f t="shared" si="20"/>
        <v>3.1059620240353448E-4</v>
      </c>
      <c r="AB59" s="16"/>
    </row>
    <row r="60" spans="2:28" x14ac:dyDescent="0.3">
      <c r="B60" s="27">
        <v>6.0000000000000071</v>
      </c>
      <c r="C60" s="27">
        <v>1489</v>
      </c>
      <c r="D60" s="19">
        <f t="shared" si="6"/>
        <v>19.523711496703484</v>
      </c>
      <c r="E60" s="19">
        <f t="shared" si="6"/>
        <v>1.4288461733857369</v>
      </c>
      <c r="F60" s="19">
        <f t="shared" si="6"/>
        <v>12.902585092994046</v>
      </c>
      <c r="G60" s="19">
        <f t="shared" si="6"/>
        <v>12.902585092994046</v>
      </c>
      <c r="H60" s="19">
        <f t="shared" si="6"/>
        <v>12.902585092994046</v>
      </c>
      <c r="I60" s="3"/>
      <c r="J60" s="17">
        <f t="shared" si="7"/>
        <v>16.70783379759273</v>
      </c>
      <c r="K60" s="17">
        <f t="shared" si="8"/>
        <v>1.2254984853472373</v>
      </c>
      <c r="L60" s="17">
        <f t="shared" si="9"/>
        <v>10.546765835907928</v>
      </c>
      <c r="M60" s="17">
        <f t="shared" si="10"/>
        <v>10.546765835907928</v>
      </c>
      <c r="N60" s="17">
        <f t="shared" si="11"/>
        <v>10.546765835907928</v>
      </c>
      <c r="O60" s="3"/>
      <c r="P60" s="19">
        <f t="shared" si="12"/>
        <v>490.23023698585257</v>
      </c>
      <c r="Q60" s="19">
        <f t="shared" si="13"/>
        <v>949.58916329258557</v>
      </c>
      <c r="R60" s="19">
        <f t="shared" si="14"/>
        <v>0</v>
      </c>
      <c r="S60" s="19">
        <f t="shared" si="15"/>
        <v>0</v>
      </c>
      <c r="T60" s="19">
        <f t="shared" si="16"/>
        <v>0</v>
      </c>
      <c r="U60" s="3"/>
      <c r="V60" s="19">
        <f t="shared" si="17"/>
        <v>1439.819400278438</v>
      </c>
      <c r="W60" s="3"/>
      <c r="X60" s="14">
        <f t="shared" si="18"/>
        <v>2418.7313889725019</v>
      </c>
      <c r="Y60" s="14">
        <f t="shared" si="19"/>
        <v>49.180599721561975</v>
      </c>
      <c r="AA60" s="14">
        <f t="shared" si="20"/>
        <v>1.2149837478708203E-4</v>
      </c>
      <c r="AB60" s="16"/>
    </row>
    <row r="61" spans="2:28" x14ac:dyDescent="0.3">
      <c r="B61" s="27">
        <v>6.1999999999999957</v>
      </c>
      <c r="C61" s="27">
        <v>1386</v>
      </c>
      <c r="D61" s="19">
        <f t="shared" si="6"/>
        <v>19.592854663502255</v>
      </c>
      <c r="E61" s="19">
        <f t="shared" si="6"/>
        <v>1.4306865681158323</v>
      </c>
      <c r="F61" s="19">
        <f t="shared" si="6"/>
        <v>12.922585092994044</v>
      </c>
      <c r="G61" s="19">
        <f t="shared" si="6"/>
        <v>12.922585092994044</v>
      </c>
      <c r="H61" s="19">
        <f t="shared" si="6"/>
        <v>12.922585092994044</v>
      </c>
      <c r="I61" s="3"/>
      <c r="J61" s="17">
        <f t="shared" si="7"/>
        <v>16.773079474557409</v>
      </c>
      <c r="K61" s="17">
        <f t="shared" si="8"/>
        <v>1.2265121099030669</v>
      </c>
      <c r="L61" s="17">
        <f t="shared" si="9"/>
        <v>10.565035117942655</v>
      </c>
      <c r="M61" s="17">
        <f t="shared" si="10"/>
        <v>10.565035117942655</v>
      </c>
      <c r="N61" s="17">
        <f t="shared" si="11"/>
        <v>10.565035117942655</v>
      </c>
      <c r="O61" s="3"/>
      <c r="P61" s="19">
        <f t="shared" si="12"/>
        <v>486.53063410697047</v>
      </c>
      <c r="Q61" s="19">
        <f t="shared" si="13"/>
        <v>948.37245045363863</v>
      </c>
      <c r="R61" s="19">
        <f t="shared" si="14"/>
        <v>0</v>
      </c>
      <c r="S61" s="19">
        <f t="shared" si="15"/>
        <v>0</v>
      </c>
      <c r="T61" s="19">
        <f t="shared" si="16"/>
        <v>0</v>
      </c>
      <c r="U61" s="3"/>
      <c r="V61" s="19">
        <f t="shared" si="17"/>
        <v>1434.9030845606092</v>
      </c>
      <c r="W61" s="3"/>
      <c r="X61" s="14">
        <f t="shared" si="18"/>
        <v>2391.51167954209</v>
      </c>
      <c r="Y61" s="14">
        <f t="shared" si="19"/>
        <v>48.903084560609159</v>
      </c>
      <c r="AA61" s="14">
        <f t="shared" si="20"/>
        <v>1.2081278654241979E-4</v>
      </c>
      <c r="AB61" s="16"/>
    </row>
    <row r="62" spans="2:28" x14ac:dyDescent="0.3">
      <c r="B62" s="27">
        <v>6.5000000000000071</v>
      </c>
      <c r="C62" s="27">
        <v>1471</v>
      </c>
      <c r="D62" s="19">
        <f t="shared" si="6"/>
        <v>19.696569413700423</v>
      </c>
      <c r="E62" s="19">
        <f t="shared" si="6"/>
        <v>1.4334471602109757</v>
      </c>
      <c r="F62" s="19">
        <f t="shared" si="6"/>
        <v>12.952585092994045</v>
      </c>
      <c r="G62" s="19">
        <f t="shared" si="6"/>
        <v>12.952585092994045</v>
      </c>
      <c r="H62" s="19">
        <f t="shared" si="6"/>
        <v>12.952585092994045</v>
      </c>
      <c r="I62" s="3"/>
      <c r="J62" s="17">
        <f t="shared" si="7"/>
        <v>16.870974739359465</v>
      </c>
      <c r="K62" s="17">
        <f t="shared" si="8"/>
        <v>1.2280332523729991</v>
      </c>
      <c r="L62" s="17">
        <f t="shared" si="9"/>
        <v>10.592444161045165</v>
      </c>
      <c r="M62" s="17">
        <f t="shared" si="10"/>
        <v>10.592444161045165</v>
      </c>
      <c r="N62" s="17">
        <f t="shared" si="11"/>
        <v>10.592444161045165</v>
      </c>
      <c r="O62" s="3"/>
      <c r="P62" s="19">
        <f t="shared" si="12"/>
        <v>481.05780144290316</v>
      </c>
      <c r="Q62" s="19">
        <f t="shared" si="13"/>
        <v>946.55103957376866</v>
      </c>
      <c r="R62" s="19">
        <f t="shared" si="14"/>
        <v>0</v>
      </c>
      <c r="S62" s="19">
        <f t="shared" si="15"/>
        <v>0</v>
      </c>
      <c r="T62" s="19">
        <f t="shared" si="16"/>
        <v>0</v>
      </c>
      <c r="U62" s="3"/>
      <c r="V62" s="19">
        <f t="shared" si="17"/>
        <v>1427.6088410166717</v>
      </c>
      <c r="W62" s="3"/>
      <c r="X62" s="14">
        <f t="shared" si="18"/>
        <v>1882.7926779164718</v>
      </c>
      <c r="Y62" s="14">
        <f t="shared" si="19"/>
        <v>43.391158983328296</v>
      </c>
      <c r="AA62" s="14">
        <f t="shared" si="20"/>
        <v>1.0719583182087406E-4</v>
      </c>
      <c r="AB62" s="16"/>
    </row>
    <row r="63" spans="2:28" x14ac:dyDescent="0.3">
      <c r="B63" s="27">
        <v>6.8000000000000043</v>
      </c>
      <c r="C63" s="27">
        <v>1419</v>
      </c>
      <c r="D63" s="19">
        <f t="shared" si="6"/>
        <v>19.800284163898588</v>
      </c>
      <c r="E63" s="19">
        <f t="shared" si="6"/>
        <v>1.4362077523061187</v>
      </c>
      <c r="F63" s="19">
        <f t="shared" si="6"/>
        <v>12.982585092994045</v>
      </c>
      <c r="G63" s="19">
        <f t="shared" si="6"/>
        <v>12.982585092994045</v>
      </c>
      <c r="H63" s="19">
        <f t="shared" si="6"/>
        <v>12.982585092994045</v>
      </c>
      <c r="I63" s="3"/>
      <c r="J63" s="17">
        <f t="shared" si="7"/>
        <v>16.968901800895281</v>
      </c>
      <c r="K63" s="17">
        <f t="shared" si="8"/>
        <v>1.2295552409973074</v>
      </c>
      <c r="L63" s="17">
        <f t="shared" si="9"/>
        <v>10.619859323630465</v>
      </c>
      <c r="M63" s="17">
        <f t="shared" si="10"/>
        <v>10.619859323630465</v>
      </c>
      <c r="N63" s="17">
        <f t="shared" si="11"/>
        <v>10.619859323630465</v>
      </c>
      <c r="O63" s="3"/>
      <c r="P63" s="19">
        <f t="shared" si="12"/>
        <v>475.67508724834533</v>
      </c>
      <c r="Q63" s="19">
        <f t="shared" si="13"/>
        <v>944.73400803759785</v>
      </c>
      <c r="R63" s="19">
        <f t="shared" si="14"/>
        <v>0</v>
      </c>
      <c r="S63" s="19">
        <f t="shared" si="15"/>
        <v>0</v>
      </c>
      <c r="T63" s="19">
        <f t="shared" si="16"/>
        <v>0</v>
      </c>
      <c r="U63" s="3"/>
      <c r="V63" s="19">
        <f t="shared" si="17"/>
        <v>1420.4090952859433</v>
      </c>
      <c r="W63" s="3"/>
      <c r="X63" s="14">
        <f t="shared" si="18"/>
        <v>1.9855495248676152</v>
      </c>
      <c r="Y63" s="14">
        <f t="shared" si="19"/>
        <v>1.4090952859432946</v>
      </c>
      <c r="AA63" s="14">
        <f t="shared" si="20"/>
        <v>3.4811040965649198E-6</v>
      </c>
      <c r="AB63" s="16"/>
    </row>
    <row r="64" spans="2:28" x14ac:dyDescent="0.3">
      <c r="B64" s="27">
        <v>7.1000000000000014</v>
      </c>
      <c r="C64" s="27">
        <v>1400</v>
      </c>
      <c r="D64" s="19">
        <f t="shared" si="6"/>
        <v>19.903998914096753</v>
      </c>
      <c r="E64" s="19">
        <f t="shared" si="6"/>
        <v>1.438968344401262</v>
      </c>
      <c r="F64" s="19">
        <f t="shared" si="6"/>
        <v>13.012585092994046</v>
      </c>
      <c r="G64" s="19">
        <f t="shared" si="6"/>
        <v>13.012585092994046</v>
      </c>
      <c r="H64" s="19">
        <f t="shared" si="6"/>
        <v>13.012585092994046</v>
      </c>
      <c r="I64" s="3"/>
      <c r="J64" s="17">
        <f t="shared" si="7"/>
        <v>17.066860323692424</v>
      </c>
      <c r="K64" s="17">
        <f t="shared" si="8"/>
        <v>1.2310780750908645</v>
      </c>
      <c r="L64" s="17">
        <f t="shared" si="9"/>
        <v>10.647280578213339</v>
      </c>
      <c r="M64" s="17">
        <f t="shared" si="10"/>
        <v>10.647280578213339</v>
      </c>
      <c r="N64" s="17">
        <f t="shared" si="11"/>
        <v>10.647280578213339</v>
      </c>
      <c r="O64" s="3"/>
      <c r="P64" s="19">
        <f t="shared" si="12"/>
        <v>470.38055153965104</v>
      </c>
      <c r="Q64" s="19">
        <f t="shared" si="13"/>
        <v>942.92134382832137</v>
      </c>
      <c r="R64" s="19">
        <f t="shared" si="14"/>
        <v>0</v>
      </c>
      <c r="S64" s="19">
        <f t="shared" si="15"/>
        <v>0</v>
      </c>
      <c r="T64" s="19">
        <f t="shared" si="16"/>
        <v>0</v>
      </c>
      <c r="U64" s="3"/>
      <c r="V64" s="19">
        <f t="shared" si="17"/>
        <v>1413.3018953679725</v>
      </c>
      <c r="W64" s="3"/>
      <c r="X64" s="14">
        <f t="shared" si="18"/>
        <v>176.94042038048877</v>
      </c>
      <c r="Y64" s="14">
        <f t="shared" si="19"/>
        <v>13.30189536797252</v>
      </c>
      <c r="AA64" s="14">
        <f t="shared" si="20"/>
        <v>3.2861711283441559E-5</v>
      </c>
      <c r="AB64" s="16"/>
    </row>
    <row r="65" spans="2:28" x14ac:dyDescent="0.3">
      <c r="B65" s="27">
        <v>7.3999999999999986</v>
      </c>
      <c r="C65" s="27">
        <v>1455</v>
      </c>
      <c r="D65" s="19">
        <f t="shared" si="6"/>
        <v>20.007713664294918</v>
      </c>
      <c r="E65" s="19">
        <f t="shared" si="6"/>
        <v>1.441728936496405</v>
      </c>
      <c r="F65" s="19">
        <f t="shared" si="6"/>
        <v>13.042585092994045</v>
      </c>
      <c r="G65" s="19">
        <f t="shared" si="6"/>
        <v>13.042585092994045</v>
      </c>
      <c r="H65" s="19">
        <f t="shared" si="6"/>
        <v>13.042585092994045</v>
      </c>
      <c r="I65" s="3"/>
      <c r="J65" s="17">
        <f t="shared" si="7"/>
        <v>17.164849977449691</v>
      </c>
      <c r="K65" s="17">
        <f t="shared" si="8"/>
        <v>1.2326017539686061</v>
      </c>
      <c r="L65" s="17">
        <f t="shared" si="9"/>
        <v>10.674707897486822</v>
      </c>
      <c r="M65" s="17">
        <f t="shared" si="10"/>
        <v>10.674707897486822</v>
      </c>
      <c r="N65" s="17">
        <f t="shared" si="11"/>
        <v>10.674707897486822</v>
      </c>
      <c r="O65" s="3"/>
      <c r="P65" s="19">
        <f t="shared" si="12"/>
        <v>465.17230565993344</v>
      </c>
      <c r="Q65" s="19">
        <f t="shared" si="13"/>
        <v>941.1130349645689</v>
      </c>
      <c r="R65" s="19">
        <f t="shared" si="14"/>
        <v>0</v>
      </c>
      <c r="S65" s="19">
        <f t="shared" si="15"/>
        <v>0</v>
      </c>
      <c r="T65" s="19">
        <f t="shared" si="16"/>
        <v>0</v>
      </c>
      <c r="U65" s="3"/>
      <c r="V65" s="19">
        <f t="shared" si="17"/>
        <v>1406.2853406245024</v>
      </c>
      <c r="W65" s="3"/>
      <c r="X65" s="14">
        <f t="shared" si="18"/>
        <v>2373.1180380707565</v>
      </c>
      <c r="Y65" s="14">
        <f t="shared" si="19"/>
        <v>48.714659375497604</v>
      </c>
      <c r="AA65" s="14">
        <f t="shared" si="20"/>
        <v>1.203472909224066E-4</v>
      </c>
      <c r="AB65" s="16"/>
    </row>
    <row r="66" spans="2:28" x14ac:dyDescent="0.3">
      <c r="B66" s="27">
        <v>7.6999999999999957</v>
      </c>
      <c r="C66" s="27">
        <v>1381</v>
      </c>
      <c r="D66" s="19">
        <f t="shared" si="6"/>
        <v>20.111428414493083</v>
      </c>
      <c r="E66" s="19">
        <f t="shared" si="6"/>
        <v>1.4444895285915482</v>
      </c>
      <c r="F66" s="19">
        <f t="shared" si="6"/>
        <v>13.072585092994045</v>
      </c>
      <c r="G66" s="19">
        <f t="shared" si="6"/>
        <v>13.072585092994045</v>
      </c>
      <c r="H66" s="19">
        <f t="shared" si="6"/>
        <v>13.072585092994045</v>
      </c>
      <c r="I66" s="3"/>
      <c r="J66" s="17">
        <f t="shared" si="7"/>
        <v>17.262870436933134</v>
      </c>
      <c r="K66" s="17">
        <f t="shared" si="8"/>
        <v>1.2341262769455301</v>
      </c>
      <c r="L66" s="17">
        <f t="shared" si="9"/>
        <v>10.702141254320729</v>
      </c>
      <c r="M66" s="17">
        <f t="shared" si="10"/>
        <v>10.702141254320729</v>
      </c>
      <c r="N66" s="17">
        <f t="shared" si="11"/>
        <v>10.702141254320729</v>
      </c>
      <c r="O66" s="3"/>
      <c r="P66" s="19">
        <f t="shared" si="12"/>
        <v>460.04851067389666</v>
      </c>
      <c r="Q66" s="19">
        <f t="shared" si="13"/>
        <v>939.3090695003018</v>
      </c>
      <c r="R66" s="19">
        <f t="shared" si="14"/>
        <v>0</v>
      </c>
      <c r="S66" s="19">
        <f t="shared" si="15"/>
        <v>0</v>
      </c>
      <c r="T66" s="19">
        <f t="shared" si="16"/>
        <v>0</v>
      </c>
      <c r="U66" s="3"/>
      <c r="V66" s="19">
        <f t="shared" si="17"/>
        <v>1399.3575801741986</v>
      </c>
      <c r="W66" s="3"/>
      <c r="X66" s="14">
        <f t="shared" si="18"/>
        <v>337.00074985212854</v>
      </c>
      <c r="Y66" s="14">
        <f t="shared" si="19"/>
        <v>18.357580174198574</v>
      </c>
      <c r="AA66" s="14">
        <f t="shared" si="20"/>
        <v>4.5351544487384853E-5</v>
      </c>
      <c r="AB66" s="16"/>
    </row>
    <row r="67" spans="2:28" x14ac:dyDescent="0.3">
      <c r="B67" s="27">
        <v>8.0000000000000071</v>
      </c>
      <c r="C67" s="27">
        <v>1341</v>
      </c>
      <c r="D67" s="19">
        <f t="shared" si="6"/>
        <v>20.215143164691252</v>
      </c>
      <c r="E67" s="19">
        <f t="shared" si="6"/>
        <v>1.4472501206866915</v>
      </c>
      <c r="F67" s="19">
        <f t="shared" si="6"/>
        <v>13.102585092994046</v>
      </c>
      <c r="G67" s="19">
        <f t="shared" si="6"/>
        <v>13.102585092994046</v>
      </c>
      <c r="H67" s="19">
        <f t="shared" si="6"/>
        <v>13.102585092994046</v>
      </c>
      <c r="I67" s="3"/>
      <c r="J67" s="17">
        <f t="shared" si="7"/>
        <v>17.360921381874693</v>
      </c>
      <c r="K67" s="17">
        <f t="shared" si="8"/>
        <v>1.2356516433367004</v>
      </c>
      <c r="L67" s="17">
        <f t="shared" si="9"/>
        <v>10.729580621760169</v>
      </c>
      <c r="M67" s="17">
        <f t="shared" si="10"/>
        <v>10.729580621760169</v>
      </c>
      <c r="N67" s="17">
        <f t="shared" si="11"/>
        <v>10.729580621760169</v>
      </c>
      <c r="O67" s="3"/>
      <c r="P67" s="19">
        <f t="shared" si="12"/>
        <v>455.00737582042973</v>
      </c>
      <c r="Q67" s="19">
        <f t="shared" si="13"/>
        <v>937.50943552470687</v>
      </c>
      <c r="R67" s="19">
        <f t="shared" si="14"/>
        <v>0</v>
      </c>
      <c r="S67" s="19">
        <f t="shared" si="15"/>
        <v>0</v>
      </c>
      <c r="T67" s="19">
        <f t="shared" si="16"/>
        <v>0</v>
      </c>
      <c r="U67" s="3"/>
      <c r="V67" s="19">
        <f t="shared" si="17"/>
        <v>1392.5168113451366</v>
      </c>
      <c r="W67" s="3"/>
      <c r="X67" s="14">
        <f t="shared" si="18"/>
        <v>2653.9818511703952</v>
      </c>
      <c r="Y67" s="14">
        <f t="shared" si="19"/>
        <v>51.516811345136603</v>
      </c>
      <c r="AA67" s="14">
        <f t="shared" si="20"/>
        <v>1.2726987649771618E-4</v>
      </c>
      <c r="AB67" s="16"/>
    </row>
    <row r="68" spans="2:28" x14ac:dyDescent="0.3">
      <c r="B68" s="27">
        <v>8.1999999999999957</v>
      </c>
      <c r="C68" s="27">
        <v>1388</v>
      </c>
      <c r="D68" s="19">
        <f t="shared" si="6"/>
        <v>20.284286331490023</v>
      </c>
      <c r="E68" s="19">
        <f t="shared" si="6"/>
        <v>1.4490905154167868</v>
      </c>
      <c r="F68" s="19">
        <f t="shared" si="6"/>
        <v>13.122585092994045</v>
      </c>
      <c r="G68" s="19">
        <f t="shared" si="6"/>
        <v>13.122585092994045</v>
      </c>
      <c r="H68" s="19">
        <f t="shared" si="6"/>
        <v>13.122585092994045</v>
      </c>
      <c r="I68" s="3"/>
      <c r="J68" s="17">
        <f t="shared" si="7"/>
        <v>17.426305458917021</v>
      </c>
      <c r="K68" s="17">
        <f t="shared" si="8"/>
        <v>1.2366690224894086</v>
      </c>
      <c r="L68" s="17">
        <f t="shared" si="9"/>
        <v>10.74787685937943</v>
      </c>
      <c r="M68" s="17">
        <f t="shared" si="10"/>
        <v>10.74787685937943</v>
      </c>
      <c r="N68" s="17">
        <f t="shared" si="11"/>
        <v>10.74787685937943</v>
      </c>
      <c r="O68" s="3"/>
      <c r="P68" s="19">
        <f t="shared" si="12"/>
        <v>451.6916783964777</v>
      </c>
      <c r="Q68" s="19">
        <f t="shared" si="13"/>
        <v>936.3120800575889</v>
      </c>
      <c r="R68" s="19">
        <f t="shared" si="14"/>
        <v>0</v>
      </c>
      <c r="S68" s="19">
        <f t="shared" si="15"/>
        <v>0</v>
      </c>
      <c r="T68" s="19">
        <f t="shared" si="16"/>
        <v>0</v>
      </c>
      <c r="U68" s="3"/>
      <c r="V68" s="19">
        <f t="shared" si="17"/>
        <v>1388.0037584540667</v>
      </c>
      <c r="W68" s="3"/>
      <c r="X68" s="14">
        <f t="shared" si="18"/>
        <v>1.412597697116121E-5</v>
      </c>
      <c r="Y68" s="14">
        <f t="shared" si="19"/>
        <v>3.7584540666557587E-3</v>
      </c>
      <c r="AA68" s="14">
        <f t="shared" si="20"/>
        <v>9.2850852449115058E-9</v>
      </c>
      <c r="AB68" s="16"/>
    </row>
    <row r="69" spans="2:28" x14ac:dyDescent="0.3">
      <c r="B69" s="27">
        <v>8.5000000000000071</v>
      </c>
      <c r="C69" s="27">
        <v>1330</v>
      </c>
      <c r="D69" s="19">
        <f t="shared" si="6"/>
        <v>20.388001081688195</v>
      </c>
      <c r="E69" s="19">
        <f t="shared" si="6"/>
        <v>1.45185110751193</v>
      </c>
      <c r="F69" s="19">
        <f t="shared" si="6"/>
        <v>13.152585092994046</v>
      </c>
      <c r="G69" s="19">
        <f t="shared" si="6"/>
        <v>13.152585092994046</v>
      </c>
      <c r="H69" s="19">
        <f t="shared" si="6"/>
        <v>13.152585092994046</v>
      </c>
      <c r="I69" s="3"/>
      <c r="J69" s="17">
        <f t="shared" si="7"/>
        <v>17.524406514423784</v>
      </c>
      <c r="K69" s="17">
        <f t="shared" si="8"/>
        <v>1.2381957930490977</v>
      </c>
      <c r="L69" s="17">
        <f t="shared" si="9"/>
        <v>10.775326185066474</v>
      </c>
      <c r="M69" s="17">
        <f t="shared" si="10"/>
        <v>10.775326185066474</v>
      </c>
      <c r="N69" s="17">
        <f t="shared" si="11"/>
        <v>10.775326185066474</v>
      </c>
      <c r="O69" s="3"/>
      <c r="P69" s="19">
        <f t="shared" si="12"/>
        <v>446.78445709978769</v>
      </c>
      <c r="Q69" s="19">
        <f t="shared" si="13"/>
        <v>934.51963885663838</v>
      </c>
      <c r="R69" s="19">
        <f t="shared" si="14"/>
        <v>0</v>
      </c>
      <c r="S69" s="19">
        <f t="shared" si="15"/>
        <v>0</v>
      </c>
      <c r="T69" s="19">
        <f t="shared" si="16"/>
        <v>0</v>
      </c>
      <c r="U69" s="3"/>
      <c r="V69" s="19">
        <f t="shared" si="17"/>
        <v>1381.304095956426</v>
      </c>
      <c r="W69" s="3"/>
      <c r="X69" s="14">
        <f t="shared" si="18"/>
        <v>2632.1102619061621</v>
      </c>
      <c r="Y69" s="14">
        <f t="shared" si="19"/>
        <v>51.304095956425954</v>
      </c>
      <c r="AA69" s="14">
        <f t="shared" si="20"/>
        <v>1.2674437306410888E-4</v>
      </c>
      <c r="AB69" s="16"/>
    </row>
    <row r="70" spans="2:28" x14ac:dyDescent="0.3">
      <c r="B70" s="27">
        <v>8.8000000000000043</v>
      </c>
      <c r="C70" s="27">
        <v>1355</v>
      </c>
      <c r="D70" s="19">
        <f t="shared" si="6"/>
        <v>20.491715831886356</v>
      </c>
      <c r="E70" s="19">
        <f t="shared" si="6"/>
        <v>1.4546116996070733</v>
      </c>
      <c r="F70" s="19">
        <f t="shared" si="6"/>
        <v>13.182585092994046</v>
      </c>
      <c r="G70" s="19">
        <f t="shared" si="6"/>
        <v>13.182585092994046</v>
      </c>
      <c r="H70" s="19">
        <f t="shared" si="6"/>
        <v>13.182585092994046</v>
      </c>
      <c r="I70" s="3"/>
      <c r="J70" s="17">
        <f t="shared" si="7"/>
        <v>17.622537224873508</v>
      </c>
      <c r="K70" s="17">
        <f t="shared" si="8"/>
        <v>1.2397234051968795</v>
      </c>
      <c r="L70" s="17">
        <f t="shared" si="9"/>
        <v>10.802781450325259</v>
      </c>
      <c r="M70" s="17">
        <f t="shared" si="10"/>
        <v>10.802781450325259</v>
      </c>
      <c r="N70" s="17">
        <f t="shared" si="11"/>
        <v>10.802781450325259</v>
      </c>
      <c r="O70" s="3"/>
      <c r="P70" s="19">
        <f t="shared" si="12"/>
        <v>441.95534491209378</v>
      </c>
      <c r="Q70" s="19">
        <f t="shared" si="13"/>
        <v>932.73149755358963</v>
      </c>
      <c r="R70" s="19">
        <f t="shared" si="14"/>
        <v>0</v>
      </c>
      <c r="S70" s="19">
        <f t="shared" si="15"/>
        <v>0</v>
      </c>
      <c r="T70" s="19">
        <f t="shared" si="16"/>
        <v>0</v>
      </c>
      <c r="U70" s="3"/>
      <c r="V70" s="19">
        <f t="shared" si="17"/>
        <v>1374.6868424656834</v>
      </c>
      <c r="W70" s="3"/>
      <c r="X70" s="14">
        <f t="shared" si="18"/>
        <v>387.57176626863571</v>
      </c>
      <c r="Y70" s="14">
        <f t="shared" si="19"/>
        <v>19.686842465683412</v>
      </c>
      <c r="AA70" s="14">
        <f t="shared" si="20"/>
        <v>4.8635424899488767E-5</v>
      </c>
      <c r="AB70" s="16"/>
    </row>
    <row r="71" spans="2:28" x14ac:dyDescent="0.3">
      <c r="B71" s="27">
        <v>9.1000000000000014</v>
      </c>
      <c r="C71" s="27">
        <v>1443</v>
      </c>
      <c r="D71" s="19">
        <f t="shared" si="6"/>
        <v>20.595430582084521</v>
      </c>
      <c r="E71" s="19">
        <f t="shared" si="6"/>
        <v>1.4573722917022163</v>
      </c>
      <c r="F71" s="19">
        <f t="shared" si="6"/>
        <v>13.212585092994045</v>
      </c>
      <c r="G71" s="19">
        <f t="shared" si="6"/>
        <v>13.212585092994045</v>
      </c>
      <c r="H71" s="19">
        <f t="shared" si="6"/>
        <v>13.212585092994045</v>
      </c>
      <c r="I71" s="3"/>
      <c r="J71" s="17">
        <f t="shared" si="7"/>
        <v>17.720697287378275</v>
      </c>
      <c r="K71" s="17">
        <f t="shared" si="8"/>
        <v>1.2412518582480807</v>
      </c>
      <c r="L71" s="17">
        <f t="shared" si="9"/>
        <v>10.830242628831245</v>
      </c>
      <c r="M71" s="17">
        <f t="shared" si="10"/>
        <v>10.830242628831245</v>
      </c>
      <c r="N71" s="17">
        <f t="shared" si="11"/>
        <v>10.830242628831245</v>
      </c>
      <c r="O71" s="3"/>
      <c r="P71" s="19">
        <f t="shared" si="12"/>
        <v>437.20271534388752</v>
      </c>
      <c r="Q71" s="19">
        <f t="shared" si="13"/>
        <v>930.94764436588071</v>
      </c>
      <c r="R71" s="19">
        <f t="shared" si="14"/>
        <v>0</v>
      </c>
      <c r="S71" s="19">
        <f t="shared" si="15"/>
        <v>0</v>
      </c>
      <c r="T71" s="19">
        <f t="shared" si="16"/>
        <v>0</v>
      </c>
      <c r="U71" s="3"/>
      <c r="V71" s="19">
        <f t="shared" si="17"/>
        <v>1368.1503597097683</v>
      </c>
      <c r="W71" s="3"/>
      <c r="X71" s="14">
        <f t="shared" si="18"/>
        <v>5602.4686515770791</v>
      </c>
      <c r="Y71" s="14">
        <f t="shared" si="19"/>
        <v>74.849640290231719</v>
      </c>
      <c r="AA71" s="14">
        <f t="shared" si="20"/>
        <v>1.8491254072027449E-4</v>
      </c>
      <c r="AB71" s="16"/>
    </row>
    <row r="72" spans="2:28" x14ac:dyDescent="0.3">
      <c r="B72" s="27">
        <v>9.3999999999999986</v>
      </c>
      <c r="C72" s="27">
        <v>1398</v>
      </c>
      <c r="D72" s="19">
        <f t="shared" si="6"/>
        <v>20.699145332282686</v>
      </c>
      <c r="E72" s="19">
        <f t="shared" si="6"/>
        <v>1.4601328837973595</v>
      </c>
      <c r="F72" s="19">
        <f t="shared" si="6"/>
        <v>13.242585092994045</v>
      </c>
      <c r="G72" s="19">
        <f t="shared" si="6"/>
        <v>13.242585092994045</v>
      </c>
      <c r="H72" s="19">
        <f t="shared" si="6"/>
        <v>13.242585092994045</v>
      </c>
      <c r="I72" s="3"/>
      <c r="J72" s="17">
        <f t="shared" si="7"/>
        <v>17.818886403574588</v>
      </c>
      <c r="K72" s="17">
        <f t="shared" si="8"/>
        <v>1.2427811515181066</v>
      </c>
      <c r="L72" s="17">
        <f t="shared" si="9"/>
        <v>10.857709694428491</v>
      </c>
      <c r="M72" s="17">
        <f t="shared" si="10"/>
        <v>10.857709694428491</v>
      </c>
      <c r="N72" s="17">
        <f t="shared" si="11"/>
        <v>10.857709694428491</v>
      </c>
      <c r="O72" s="3"/>
      <c r="P72" s="19">
        <f t="shared" si="12"/>
        <v>432.52498355626102</v>
      </c>
      <c r="Q72" s="19">
        <f t="shared" si="13"/>
        <v>929.16806754567949</v>
      </c>
      <c r="R72" s="19">
        <f t="shared" si="14"/>
        <v>0</v>
      </c>
      <c r="S72" s="19">
        <f t="shared" si="15"/>
        <v>0</v>
      </c>
      <c r="T72" s="19">
        <f t="shared" si="16"/>
        <v>0</v>
      </c>
      <c r="U72" s="3"/>
      <c r="V72" s="19">
        <f t="shared" si="17"/>
        <v>1361.6930511019405</v>
      </c>
      <c r="W72" s="3"/>
      <c r="X72" s="14">
        <f t="shared" si="18"/>
        <v>1318.1945382863073</v>
      </c>
      <c r="Y72" s="14">
        <f t="shared" si="19"/>
        <v>36.306948898059545</v>
      </c>
      <c r="AA72" s="14">
        <f t="shared" si="20"/>
        <v>8.9694621650940969E-5</v>
      </c>
      <c r="AB72" s="16"/>
    </row>
    <row r="73" spans="2:28" x14ac:dyDescent="0.3">
      <c r="B73" s="27">
        <v>9.6999999999999957</v>
      </c>
      <c r="C73" s="27">
        <v>1326</v>
      </c>
      <c r="D73" s="19">
        <f t="shared" si="6"/>
        <v>20.802860082480848</v>
      </c>
      <c r="E73" s="19">
        <f t="shared" si="6"/>
        <v>1.4628934758925027</v>
      </c>
      <c r="F73" s="19">
        <f t="shared" si="6"/>
        <v>13.272585092994044</v>
      </c>
      <c r="G73" s="19">
        <f t="shared" si="6"/>
        <v>13.272585092994044</v>
      </c>
      <c r="H73" s="19">
        <f t="shared" si="6"/>
        <v>13.272585092994044</v>
      </c>
      <c r="I73" s="3"/>
      <c r="J73" s="17">
        <f t="shared" si="7"/>
        <v>17.917104279535181</v>
      </c>
      <c r="K73" s="17">
        <f t="shared" si="8"/>
        <v>1.2443112843224411</v>
      </c>
      <c r="L73" s="17">
        <f t="shared" si="9"/>
        <v>10.885182621128266</v>
      </c>
      <c r="M73" s="17">
        <f t="shared" si="10"/>
        <v>10.885182621128266</v>
      </c>
      <c r="N73" s="17">
        <f t="shared" si="11"/>
        <v>10.885182621128266</v>
      </c>
      <c r="O73" s="3"/>
      <c r="P73" s="19">
        <f t="shared" si="12"/>
        <v>427.92060509950159</v>
      </c>
      <c r="Q73" s="19">
        <f t="shared" si="13"/>
        <v>927.39275537978335</v>
      </c>
      <c r="R73" s="19">
        <f t="shared" si="14"/>
        <v>0</v>
      </c>
      <c r="S73" s="19">
        <f t="shared" si="15"/>
        <v>0</v>
      </c>
      <c r="T73" s="19">
        <f t="shared" si="16"/>
        <v>0</v>
      </c>
      <c r="U73" s="3"/>
      <c r="V73" s="19">
        <f t="shared" si="17"/>
        <v>1355.3133604792849</v>
      </c>
      <c r="W73" s="3"/>
      <c r="X73" s="14">
        <f t="shared" si="18"/>
        <v>859.27310258850412</v>
      </c>
      <c r="Y73" s="14">
        <f t="shared" si="19"/>
        <v>29.313360479284938</v>
      </c>
      <c r="AA73" s="14">
        <f t="shared" si="20"/>
        <v>7.24172880758821E-5</v>
      </c>
      <c r="AB73" s="16"/>
    </row>
    <row r="74" spans="2:28" x14ac:dyDescent="0.3">
      <c r="B74" s="27">
        <v>10.000000000000007</v>
      </c>
      <c r="C74" s="27">
        <v>1355</v>
      </c>
      <c r="D74" s="19">
        <f t="shared" si="6"/>
        <v>20.90657483267902</v>
      </c>
      <c r="E74" s="19">
        <f t="shared" si="6"/>
        <v>1.465654067987646</v>
      </c>
      <c r="F74" s="19">
        <f t="shared" si="6"/>
        <v>13.302585092994045</v>
      </c>
      <c r="G74" s="19">
        <f t="shared" si="6"/>
        <v>13.302585092994045</v>
      </c>
      <c r="H74" s="19">
        <f t="shared" si="6"/>
        <v>13.302585092994045</v>
      </c>
      <c r="I74" s="3"/>
      <c r="J74" s="17">
        <f t="shared" si="7"/>
        <v>18.015350625682913</v>
      </c>
      <c r="K74" s="17">
        <f t="shared" si="8"/>
        <v>1.2458422559766507</v>
      </c>
      <c r="L74" s="17">
        <f t="shared" si="9"/>
        <v>10.912661383107652</v>
      </c>
      <c r="M74" s="17">
        <f t="shared" si="10"/>
        <v>10.912661383107652</v>
      </c>
      <c r="N74" s="17">
        <f t="shared" si="11"/>
        <v>10.912661383107652</v>
      </c>
      <c r="O74" s="3"/>
      <c r="P74" s="19">
        <f t="shared" si="12"/>
        <v>423.38807469566956</v>
      </c>
      <c r="Q74" s="19">
        <f t="shared" si="13"/>
        <v>925.62169618951202</v>
      </c>
      <c r="R74" s="19">
        <f t="shared" si="14"/>
        <v>0</v>
      </c>
      <c r="S74" s="19">
        <f t="shared" si="15"/>
        <v>0</v>
      </c>
      <c r="T74" s="19">
        <f t="shared" si="16"/>
        <v>0</v>
      </c>
      <c r="U74" s="3"/>
      <c r="V74" s="19">
        <f t="shared" si="17"/>
        <v>1349.0097708851815</v>
      </c>
      <c r="W74" s="3"/>
      <c r="X74" s="14">
        <f t="shared" si="18"/>
        <v>35.882844848018941</v>
      </c>
      <c r="Y74" s="14">
        <f t="shared" si="19"/>
        <v>5.9902291148184759</v>
      </c>
      <c r="AA74" s="14">
        <f t="shared" si="20"/>
        <v>1.479858127337189E-5</v>
      </c>
      <c r="AB74" s="16"/>
    </row>
    <row r="75" spans="2:28" x14ac:dyDescent="0.3">
      <c r="B75" s="27">
        <v>10.199999999999996</v>
      </c>
      <c r="C75" s="27">
        <v>1376</v>
      </c>
      <c r="D75" s="19">
        <f t="shared" si="6"/>
        <v>20.975717999477791</v>
      </c>
      <c r="E75" s="19">
        <f t="shared" si="6"/>
        <v>1.4674944627177413</v>
      </c>
      <c r="F75" s="19">
        <f t="shared" si="6"/>
        <v>13.322585092994045</v>
      </c>
      <c r="G75" s="19">
        <f t="shared" si="6"/>
        <v>13.322585092994045</v>
      </c>
      <c r="H75" s="19">
        <f t="shared" si="6"/>
        <v>13.322585092994045</v>
      </c>
      <c r="I75" s="3"/>
      <c r="J75" s="17">
        <f t="shared" si="7"/>
        <v>18.080863865484588</v>
      </c>
      <c r="K75" s="17">
        <f t="shared" si="8"/>
        <v>1.2468633694358782</v>
      </c>
      <c r="L75" s="17">
        <f t="shared" si="9"/>
        <v>10.930983786905017</v>
      </c>
      <c r="M75" s="17">
        <f t="shared" si="10"/>
        <v>10.930983786905017</v>
      </c>
      <c r="N75" s="17">
        <f t="shared" si="11"/>
        <v>10.930983786905017</v>
      </c>
      <c r="O75" s="3"/>
      <c r="P75" s="19">
        <f t="shared" si="12"/>
        <v>420.40557723222344</v>
      </c>
      <c r="Q75" s="19">
        <f t="shared" si="13"/>
        <v>924.44334707523581</v>
      </c>
      <c r="R75" s="19">
        <f t="shared" si="14"/>
        <v>0</v>
      </c>
      <c r="S75" s="19">
        <f t="shared" si="15"/>
        <v>0</v>
      </c>
      <c r="T75" s="19">
        <f t="shared" si="16"/>
        <v>0</v>
      </c>
      <c r="U75" s="3"/>
      <c r="V75" s="19">
        <f t="shared" si="17"/>
        <v>1344.8489243074591</v>
      </c>
      <c r="W75" s="3"/>
      <c r="X75" s="14">
        <f t="shared" si="18"/>
        <v>970.38951680241075</v>
      </c>
      <c r="Y75" s="14">
        <f t="shared" si="19"/>
        <v>31.151075692540871</v>
      </c>
      <c r="AA75" s="14">
        <f t="shared" si="20"/>
        <v>7.6957277685528938E-5</v>
      </c>
      <c r="AB75" s="16"/>
    </row>
    <row r="76" spans="2:28" x14ac:dyDescent="0.3">
      <c r="B76" s="27">
        <v>10.500000000000007</v>
      </c>
      <c r="C76" s="27">
        <v>1345</v>
      </c>
      <c r="D76" s="19">
        <f t="shared" si="6"/>
        <v>21.079432749675959</v>
      </c>
      <c r="E76" s="19">
        <f t="shared" si="6"/>
        <v>1.4702550548128845</v>
      </c>
      <c r="F76" s="19">
        <f t="shared" si="6"/>
        <v>13.352585092994046</v>
      </c>
      <c r="G76" s="19">
        <f t="shared" si="6"/>
        <v>13.352585092994046</v>
      </c>
      <c r="H76" s="19">
        <f t="shared" si="6"/>
        <v>13.352585092994046</v>
      </c>
      <c r="I76" s="3"/>
      <c r="J76" s="17">
        <f t="shared" si="7"/>
        <v>18.179157029989057</v>
      </c>
      <c r="K76" s="17">
        <f t="shared" si="8"/>
        <v>1.2483957376524797</v>
      </c>
      <c r="L76" s="17">
        <f t="shared" si="9"/>
        <v>10.958472217412243</v>
      </c>
      <c r="M76" s="17">
        <f t="shared" si="10"/>
        <v>10.958472217412243</v>
      </c>
      <c r="N76" s="17">
        <f t="shared" si="11"/>
        <v>10.958472217412243</v>
      </c>
      <c r="O76" s="3"/>
      <c r="P76" s="19">
        <f t="shared" si="12"/>
        <v>415.9895512070446</v>
      </c>
      <c r="Q76" s="19">
        <f t="shared" si="13"/>
        <v>922.67935031849038</v>
      </c>
      <c r="R76" s="19">
        <f t="shared" si="14"/>
        <v>0</v>
      </c>
      <c r="S76" s="19">
        <f t="shared" si="15"/>
        <v>0</v>
      </c>
      <c r="T76" s="19">
        <f t="shared" si="16"/>
        <v>0</v>
      </c>
      <c r="U76" s="3"/>
      <c r="V76" s="19">
        <f t="shared" si="17"/>
        <v>1338.6689015255349</v>
      </c>
      <c r="W76" s="3"/>
      <c r="X76" s="14">
        <f t="shared" si="18"/>
        <v>40.08280789337406</v>
      </c>
      <c r="Y76" s="14">
        <f t="shared" si="19"/>
        <v>6.3310984744650796</v>
      </c>
      <c r="AA76" s="14">
        <f t="shared" si="20"/>
        <v>1.5640683107148805E-5</v>
      </c>
      <c r="AB76" s="16"/>
    </row>
    <row r="77" spans="2:28" x14ac:dyDescent="0.3">
      <c r="B77" s="27">
        <v>10.800000000000004</v>
      </c>
      <c r="C77" s="27">
        <v>1263</v>
      </c>
      <c r="D77" s="19">
        <f t="shared" si="6"/>
        <v>21.183147499874124</v>
      </c>
      <c r="E77" s="19">
        <f t="shared" si="6"/>
        <v>1.4730156469080278</v>
      </c>
      <c r="F77" s="19">
        <f t="shared" si="6"/>
        <v>13.382585092994045</v>
      </c>
      <c r="G77" s="19">
        <f t="shared" si="6"/>
        <v>13.382585092994045</v>
      </c>
      <c r="H77" s="19">
        <f t="shared" si="6"/>
        <v>13.382585092994045</v>
      </c>
      <c r="I77" s="3"/>
      <c r="J77" s="17">
        <f t="shared" si="7"/>
        <v>18.277477913109205</v>
      </c>
      <c r="K77" s="17">
        <f t="shared" si="8"/>
        <v>1.2499289428942197</v>
      </c>
      <c r="L77" s="17">
        <f t="shared" si="9"/>
        <v>10.985966415138336</v>
      </c>
      <c r="M77" s="17">
        <f t="shared" si="10"/>
        <v>10.985966415138336</v>
      </c>
      <c r="N77" s="17">
        <f t="shared" si="11"/>
        <v>10.985966415138336</v>
      </c>
      <c r="O77" s="3"/>
      <c r="P77" s="19">
        <f t="shared" si="12"/>
        <v>411.64154185758258</v>
      </c>
      <c r="Q77" s="19">
        <f t="shared" si="13"/>
        <v>920.9195755622161</v>
      </c>
      <c r="R77" s="19">
        <f t="shared" si="14"/>
        <v>0</v>
      </c>
      <c r="S77" s="19">
        <f t="shared" si="15"/>
        <v>0</v>
      </c>
      <c r="T77" s="19">
        <f t="shared" si="16"/>
        <v>0</v>
      </c>
      <c r="U77" s="3"/>
      <c r="V77" s="19">
        <f t="shared" si="17"/>
        <v>1332.5611174197986</v>
      </c>
      <c r="W77" s="3"/>
      <c r="X77" s="14">
        <f t="shared" si="18"/>
        <v>4838.749056691011</v>
      </c>
      <c r="Y77" s="14">
        <f t="shared" si="19"/>
        <v>69.56111741979862</v>
      </c>
      <c r="AA77" s="14">
        <f t="shared" si="20"/>
        <v>1.7184749195267625E-4</v>
      </c>
      <c r="AB77" s="16"/>
    </row>
    <row r="78" spans="2:28" x14ac:dyDescent="0.3">
      <c r="B78" s="27">
        <v>11.100000000000001</v>
      </c>
      <c r="C78" s="27">
        <v>1308</v>
      </c>
      <c r="D78" s="19">
        <f t="shared" si="6"/>
        <v>21.286862250072289</v>
      </c>
      <c r="E78" s="19">
        <f t="shared" si="6"/>
        <v>1.4757762390031708</v>
      </c>
      <c r="F78" s="19">
        <f t="shared" si="6"/>
        <v>13.412585092994044</v>
      </c>
      <c r="G78" s="19">
        <f t="shared" si="6"/>
        <v>13.412585092994044</v>
      </c>
      <c r="H78" s="19">
        <f t="shared" si="6"/>
        <v>13.412585092994044</v>
      </c>
      <c r="I78" s="3"/>
      <c r="J78" s="17">
        <f t="shared" si="7"/>
        <v>18.375826240514147</v>
      </c>
      <c r="K78" s="17">
        <f t="shared" si="8"/>
        <v>1.2514629844769851</v>
      </c>
      <c r="L78" s="17">
        <f t="shared" si="9"/>
        <v>11.013466354856821</v>
      </c>
      <c r="M78" s="17">
        <f t="shared" si="10"/>
        <v>11.013466354856821</v>
      </c>
      <c r="N78" s="17">
        <f t="shared" si="11"/>
        <v>11.013466354856821</v>
      </c>
      <c r="O78" s="3"/>
      <c r="P78" s="19">
        <f t="shared" si="12"/>
        <v>407.3601777852079</v>
      </c>
      <c r="Q78" s="19">
        <f t="shared" si="13"/>
        <v>919.1640112534335</v>
      </c>
      <c r="R78" s="19">
        <f t="shared" si="14"/>
        <v>0</v>
      </c>
      <c r="S78" s="19">
        <f t="shared" si="15"/>
        <v>0</v>
      </c>
      <c r="T78" s="19">
        <f t="shared" si="16"/>
        <v>0</v>
      </c>
      <c r="U78" s="3"/>
      <c r="V78" s="19">
        <f t="shared" si="17"/>
        <v>1326.5241890386415</v>
      </c>
      <c r="W78" s="3"/>
      <c r="X78" s="14">
        <f t="shared" si="18"/>
        <v>343.14557953932416</v>
      </c>
      <c r="Y78" s="14">
        <f t="shared" si="19"/>
        <v>18.524189038641452</v>
      </c>
      <c r="AA78" s="14">
        <f t="shared" si="20"/>
        <v>4.5763143906048633E-5</v>
      </c>
      <c r="AB78" s="16"/>
    </row>
    <row r="79" spans="2:28" x14ac:dyDescent="0.3">
      <c r="B79" s="27">
        <v>11.399999999999999</v>
      </c>
      <c r="C79" s="27">
        <v>1360</v>
      </c>
      <c r="D79" s="19">
        <f t="shared" si="6"/>
        <v>21.390577000270454</v>
      </c>
      <c r="E79" s="19">
        <f t="shared" si="6"/>
        <v>1.478536831098314</v>
      </c>
      <c r="F79" s="19">
        <f t="shared" si="6"/>
        <v>13.442585092994046</v>
      </c>
      <c r="G79" s="19">
        <f t="shared" si="6"/>
        <v>13.442585092994046</v>
      </c>
      <c r="H79" s="19">
        <f t="shared" si="6"/>
        <v>13.442585092994046</v>
      </c>
      <c r="I79" s="3"/>
      <c r="J79" s="17">
        <f t="shared" si="7"/>
        <v>18.47420174184747</v>
      </c>
      <c r="K79" s="17">
        <f t="shared" si="8"/>
        <v>1.2529978617167583</v>
      </c>
      <c r="L79" s="17">
        <f t="shared" si="9"/>
        <v>11.040972011500788</v>
      </c>
      <c r="M79" s="17">
        <f t="shared" si="10"/>
        <v>11.040972011500788</v>
      </c>
      <c r="N79" s="17">
        <f t="shared" si="11"/>
        <v>11.040972011500788</v>
      </c>
      <c r="O79" s="3"/>
      <c r="P79" s="19">
        <f t="shared" si="12"/>
        <v>403.1441216144097</v>
      </c>
      <c r="Q79" s="19">
        <f t="shared" si="13"/>
        <v>917.41264587320109</v>
      </c>
      <c r="R79" s="19">
        <f t="shared" si="14"/>
        <v>0</v>
      </c>
      <c r="S79" s="19">
        <f t="shared" si="15"/>
        <v>0</v>
      </c>
      <c r="T79" s="19">
        <f t="shared" si="16"/>
        <v>0</v>
      </c>
      <c r="U79" s="3"/>
      <c r="V79" s="19">
        <f t="shared" si="17"/>
        <v>1320.5567674876108</v>
      </c>
      <c r="W79" s="3"/>
      <c r="X79" s="14">
        <f t="shared" si="18"/>
        <v>1555.7685910263931</v>
      </c>
      <c r="Y79" s="14">
        <f t="shared" si="19"/>
        <v>39.443232512389159</v>
      </c>
      <c r="AA79" s="14">
        <f t="shared" si="20"/>
        <v>9.7442663849892449E-5</v>
      </c>
      <c r="AB79" s="16"/>
    </row>
    <row r="80" spans="2:28" x14ac:dyDescent="0.3">
      <c r="B80" s="27">
        <v>11.699999999999996</v>
      </c>
      <c r="C80" s="27">
        <v>1314</v>
      </c>
      <c r="D80" s="19">
        <f t="shared" si="6"/>
        <v>21.494291750468619</v>
      </c>
      <c r="E80" s="19">
        <f t="shared" si="6"/>
        <v>1.481297423193457</v>
      </c>
      <c r="F80" s="19">
        <f t="shared" si="6"/>
        <v>13.472585092994045</v>
      </c>
      <c r="G80" s="19">
        <f t="shared" si="6"/>
        <v>13.472585092994045</v>
      </c>
      <c r="H80" s="19">
        <f t="shared" si="6"/>
        <v>13.472585092994045</v>
      </c>
      <c r="I80" s="3"/>
      <c r="J80" s="17">
        <f t="shared" si="7"/>
        <v>18.572604150652012</v>
      </c>
      <c r="K80" s="17">
        <f t="shared" si="8"/>
        <v>1.2545335739296144</v>
      </c>
      <c r="L80" s="17">
        <f t="shared" si="9"/>
        <v>11.068483360161588</v>
      </c>
      <c r="M80" s="17">
        <f t="shared" si="10"/>
        <v>11.068483360161588</v>
      </c>
      <c r="N80" s="17">
        <f t="shared" si="11"/>
        <v>11.068483360161588</v>
      </c>
      <c r="O80" s="3"/>
      <c r="P80" s="19">
        <f t="shared" si="12"/>
        <v>398.99206899403094</v>
      </c>
      <c r="Q80" s="19">
        <f t="shared" si="13"/>
        <v>915.6654679365198</v>
      </c>
      <c r="R80" s="19">
        <f t="shared" si="14"/>
        <v>0</v>
      </c>
      <c r="S80" s="19">
        <f t="shared" si="15"/>
        <v>0</v>
      </c>
      <c r="T80" s="19">
        <f t="shared" si="16"/>
        <v>0</v>
      </c>
      <c r="U80" s="3"/>
      <c r="V80" s="19">
        <f t="shared" si="17"/>
        <v>1314.6575369305508</v>
      </c>
      <c r="W80" s="3"/>
      <c r="X80" s="14">
        <f t="shared" si="18"/>
        <v>0.43235481503817386</v>
      </c>
      <c r="Y80" s="14">
        <f t="shared" si="19"/>
        <v>0.65753693055080475</v>
      </c>
      <c r="AA80" s="14">
        <f t="shared" si="20"/>
        <v>1.6244142787340519E-6</v>
      </c>
      <c r="AB80" s="16"/>
    </row>
    <row r="81" spans="2:28" x14ac:dyDescent="0.3">
      <c r="B81" s="27">
        <v>12.000000000000007</v>
      </c>
      <c r="C81" s="27">
        <v>1366</v>
      </c>
      <c r="D81" s="19">
        <f t="shared" si="6"/>
        <v>21.598006500666788</v>
      </c>
      <c r="E81" s="19">
        <f t="shared" si="6"/>
        <v>1.4840580152886003</v>
      </c>
      <c r="F81" s="19">
        <f t="shared" si="6"/>
        <v>13.502585092994046</v>
      </c>
      <c r="G81" s="19">
        <f t="shared" si="6"/>
        <v>13.502585092994046</v>
      </c>
      <c r="H81" s="19">
        <f t="shared" si="6"/>
        <v>13.502585092994046</v>
      </c>
      <c r="I81" s="3"/>
      <c r="J81" s="17">
        <f t="shared" si="7"/>
        <v>18.671033204296418</v>
      </c>
      <c r="K81" s="17">
        <f t="shared" si="8"/>
        <v>1.2560701204317282</v>
      </c>
      <c r="L81" s="17">
        <f t="shared" si="9"/>
        <v>11.096000376087542</v>
      </c>
      <c r="M81" s="17">
        <f t="shared" si="10"/>
        <v>11.096000376087542</v>
      </c>
      <c r="N81" s="17">
        <f t="shared" si="11"/>
        <v>11.096000376087542</v>
      </c>
      <c r="O81" s="3"/>
      <c r="P81" s="19">
        <f t="shared" si="12"/>
        <v>394.90274763227154</v>
      </c>
      <c r="Q81" s="19">
        <f t="shared" si="13"/>
        <v>913.92246599222358</v>
      </c>
      <c r="R81" s="19">
        <f t="shared" si="14"/>
        <v>0</v>
      </c>
      <c r="S81" s="19">
        <f t="shared" si="15"/>
        <v>0</v>
      </c>
      <c r="T81" s="19">
        <f t="shared" si="16"/>
        <v>0</v>
      </c>
      <c r="U81" s="3"/>
      <c r="V81" s="19">
        <f t="shared" si="17"/>
        <v>1308.8252136244951</v>
      </c>
      <c r="W81" s="3"/>
      <c r="X81" s="14">
        <f t="shared" si="18"/>
        <v>3268.9561970846248</v>
      </c>
      <c r="Y81" s="14">
        <f t="shared" si="19"/>
        <v>57.174786375504937</v>
      </c>
      <c r="AA81" s="14">
        <f t="shared" si="20"/>
        <v>1.4124763957233471E-4</v>
      </c>
      <c r="AB81" s="16"/>
    </row>
    <row r="82" spans="2:28" x14ac:dyDescent="0.3">
      <c r="B82" s="27">
        <v>12.199999999999996</v>
      </c>
      <c r="C82" s="27">
        <v>1268</v>
      </c>
      <c r="D82" s="19">
        <f t="shared" si="6"/>
        <v>21.667149667465559</v>
      </c>
      <c r="E82" s="19">
        <f t="shared" si="6"/>
        <v>1.4858984100186956</v>
      </c>
      <c r="F82" s="19">
        <f t="shared" si="6"/>
        <v>13.522585092994046</v>
      </c>
      <c r="G82" s="19">
        <f t="shared" si="6"/>
        <v>13.522585092994046</v>
      </c>
      <c r="H82" s="19">
        <f t="shared" si="6"/>
        <v>13.522585092994046</v>
      </c>
      <c r="I82" s="3"/>
      <c r="J82" s="17">
        <f t="shared" si="7"/>
        <v>18.736667248088455</v>
      </c>
      <c r="K82" s="17">
        <f t="shared" si="8"/>
        <v>1.2570949479228566</v>
      </c>
      <c r="L82" s="17">
        <f t="shared" si="9"/>
        <v>11.114348189699612</v>
      </c>
      <c r="M82" s="17">
        <f t="shared" si="10"/>
        <v>11.114348189699612</v>
      </c>
      <c r="N82" s="17">
        <f t="shared" si="11"/>
        <v>11.114348189699612</v>
      </c>
      <c r="O82" s="3"/>
      <c r="P82" s="19">
        <f t="shared" si="12"/>
        <v>392.21076991582902</v>
      </c>
      <c r="Q82" s="19">
        <f t="shared" si="13"/>
        <v>912.76277905217285</v>
      </c>
      <c r="R82" s="19">
        <f t="shared" si="14"/>
        <v>0</v>
      </c>
      <c r="S82" s="19">
        <f t="shared" si="15"/>
        <v>0</v>
      </c>
      <c r="T82" s="19">
        <f t="shared" si="16"/>
        <v>0</v>
      </c>
      <c r="U82" s="3"/>
      <c r="V82" s="19">
        <f t="shared" si="17"/>
        <v>1304.973548968002</v>
      </c>
      <c r="W82" s="3"/>
      <c r="X82" s="14">
        <f t="shared" si="18"/>
        <v>1367.0433232892401</v>
      </c>
      <c r="Y82" s="14">
        <f t="shared" si="19"/>
        <v>36.973548968001978</v>
      </c>
      <c r="AA82" s="14">
        <f t="shared" si="20"/>
        <v>9.1341425992276642E-5</v>
      </c>
      <c r="AB82" s="16"/>
    </row>
    <row r="83" spans="2:28" x14ac:dyDescent="0.3">
      <c r="B83" s="27">
        <v>12.500000000000007</v>
      </c>
      <c r="C83" s="27">
        <v>1260</v>
      </c>
      <c r="D83" s="19">
        <f t="shared" si="6"/>
        <v>21.770864417663731</v>
      </c>
      <c r="E83" s="19">
        <f t="shared" si="6"/>
        <v>1.4886590021138391</v>
      </c>
      <c r="F83" s="19">
        <f t="shared" si="6"/>
        <v>13.552585092994047</v>
      </c>
      <c r="G83" s="19">
        <f t="shared" si="6"/>
        <v>13.552585092994047</v>
      </c>
      <c r="H83" s="19">
        <f t="shared" si="6"/>
        <v>13.552585092994047</v>
      </c>
      <c r="I83" s="3"/>
      <c r="J83" s="17">
        <f t="shared" si="7"/>
        <v>18.83514013633831</v>
      </c>
      <c r="K83" s="17">
        <f t="shared" si="8"/>
        <v>1.2586328833877269</v>
      </c>
      <c r="L83" s="17">
        <f t="shared" si="9"/>
        <v>11.141874596486042</v>
      </c>
      <c r="M83" s="17">
        <f t="shared" si="10"/>
        <v>11.141874596486042</v>
      </c>
      <c r="N83" s="17">
        <f t="shared" si="11"/>
        <v>11.141874596486042</v>
      </c>
      <c r="O83" s="3"/>
      <c r="P83" s="19">
        <f t="shared" si="12"/>
        <v>388.22325746980482</v>
      </c>
      <c r="Q83" s="19">
        <f t="shared" si="13"/>
        <v>911.02671173972999</v>
      </c>
      <c r="R83" s="19">
        <f t="shared" si="14"/>
        <v>0</v>
      </c>
      <c r="S83" s="19">
        <f t="shared" si="15"/>
        <v>0</v>
      </c>
      <c r="T83" s="19">
        <f t="shared" si="16"/>
        <v>0</v>
      </c>
      <c r="U83" s="3"/>
      <c r="V83" s="19">
        <f t="shared" si="17"/>
        <v>1299.2499692095348</v>
      </c>
      <c r="W83" s="3"/>
      <c r="X83" s="14">
        <f t="shared" si="18"/>
        <v>1540.5600829494308</v>
      </c>
      <c r="Y83" s="14">
        <f t="shared" si="19"/>
        <v>39.249969209534811</v>
      </c>
      <c r="AA83" s="14">
        <f t="shared" si="20"/>
        <v>9.6965215885944732E-5</v>
      </c>
      <c r="AB83" s="16"/>
    </row>
    <row r="84" spans="2:28" x14ac:dyDescent="0.3">
      <c r="B84" s="27">
        <v>12.800000000000004</v>
      </c>
      <c r="C84" s="27">
        <v>1284</v>
      </c>
      <c r="D84" s="19">
        <f t="shared" si="6"/>
        <v>21.874579167861892</v>
      </c>
      <c r="E84" s="19">
        <f t="shared" si="6"/>
        <v>1.4914195942089821</v>
      </c>
      <c r="F84" s="19">
        <f t="shared" si="6"/>
        <v>13.582585092994046</v>
      </c>
      <c r="G84" s="19">
        <f t="shared" si="6"/>
        <v>13.582585092994046</v>
      </c>
      <c r="H84" s="19">
        <f t="shared" si="6"/>
        <v>13.582585092994046</v>
      </c>
      <c r="I84" s="3"/>
      <c r="J84" s="17">
        <f t="shared" si="7"/>
        <v>18.933638987240904</v>
      </c>
      <c r="K84" s="17">
        <f t="shared" si="8"/>
        <v>1.2601716513188146</v>
      </c>
      <c r="L84" s="17">
        <f t="shared" si="9"/>
        <v>11.169406605290863</v>
      </c>
      <c r="M84" s="17">
        <f t="shared" si="10"/>
        <v>11.169406605290863</v>
      </c>
      <c r="N84" s="17">
        <f t="shared" si="11"/>
        <v>11.169406605290863</v>
      </c>
      <c r="O84" s="3"/>
      <c r="P84" s="19">
        <f t="shared" si="12"/>
        <v>384.29523324569624</v>
      </c>
      <c r="Q84" s="19">
        <f t="shared" si="13"/>
        <v>909.29479004788038</v>
      </c>
      <c r="R84" s="19">
        <f t="shared" si="14"/>
        <v>0</v>
      </c>
      <c r="S84" s="19">
        <f t="shared" si="15"/>
        <v>0</v>
      </c>
      <c r="T84" s="19">
        <f t="shared" si="16"/>
        <v>0</v>
      </c>
      <c r="U84" s="3"/>
      <c r="V84" s="19">
        <f t="shared" si="17"/>
        <v>1293.5900232935767</v>
      </c>
      <c r="W84" s="3"/>
      <c r="X84" s="14">
        <f t="shared" si="18"/>
        <v>91.96854677134327</v>
      </c>
      <c r="Y84" s="14">
        <f t="shared" si="19"/>
        <v>9.590023293576678</v>
      </c>
      <c r="AA84" s="14">
        <f t="shared" si="20"/>
        <v>2.3691704674942917E-5</v>
      </c>
      <c r="AB84" s="16"/>
    </row>
    <row r="85" spans="2:28" x14ac:dyDescent="0.3">
      <c r="B85" s="27">
        <v>13.100000000000001</v>
      </c>
      <c r="C85" s="27">
        <v>1313</v>
      </c>
      <c r="D85" s="19">
        <f t="shared" si="6"/>
        <v>21.978293918060057</v>
      </c>
      <c r="E85" s="19">
        <f t="shared" si="6"/>
        <v>1.4941801863041253</v>
      </c>
      <c r="F85" s="19">
        <f t="shared" si="6"/>
        <v>13.612585092994046</v>
      </c>
      <c r="G85" s="19">
        <f t="shared" si="6"/>
        <v>13.612585092994046</v>
      </c>
      <c r="H85" s="19">
        <f t="shared" si="6"/>
        <v>13.612585092994046</v>
      </c>
      <c r="I85" s="3"/>
      <c r="J85" s="17">
        <f t="shared" si="7"/>
        <v>19.032163551591118</v>
      </c>
      <c r="K85" s="17">
        <f t="shared" si="8"/>
        <v>1.2617112510326736</v>
      </c>
      <c r="L85" s="17">
        <f t="shared" si="9"/>
        <v>11.196944191927111</v>
      </c>
      <c r="M85" s="17">
        <f t="shared" si="10"/>
        <v>11.196944191927111</v>
      </c>
      <c r="N85" s="17">
        <f t="shared" si="11"/>
        <v>11.196944191927111</v>
      </c>
      <c r="O85" s="3"/>
      <c r="P85" s="19">
        <f t="shared" si="12"/>
        <v>380.42553475839253</v>
      </c>
      <c r="Q85" s="19">
        <f t="shared" si="13"/>
        <v>907.56700264865356</v>
      </c>
      <c r="R85" s="19">
        <f t="shared" si="14"/>
        <v>0</v>
      </c>
      <c r="S85" s="19">
        <f t="shared" si="15"/>
        <v>0</v>
      </c>
      <c r="T85" s="19">
        <f t="shared" si="16"/>
        <v>0</v>
      </c>
      <c r="U85" s="3"/>
      <c r="V85" s="19">
        <f t="shared" si="17"/>
        <v>1287.992537407046</v>
      </c>
      <c r="W85" s="3"/>
      <c r="X85" s="14">
        <f t="shared" si="18"/>
        <v>625.37318533799214</v>
      </c>
      <c r="Y85" s="14">
        <f t="shared" si="19"/>
        <v>25.007462592953971</v>
      </c>
      <c r="AA85" s="14">
        <f t="shared" si="20"/>
        <v>6.177976844110264E-5</v>
      </c>
      <c r="AB85" s="16"/>
    </row>
    <row r="86" spans="2:28" x14ac:dyDescent="0.3">
      <c r="B86" s="27">
        <v>13.399999999999999</v>
      </c>
      <c r="C86" s="27">
        <v>1246</v>
      </c>
      <c r="D86" s="19">
        <f t="shared" si="6"/>
        <v>22.082008668258222</v>
      </c>
      <c r="E86" s="19">
        <f t="shared" si="6"/>
        <v>1.4969407783992683</v>
      </c>
      <c r="F86" s="19">
        <f t="shared" si="6"/>
        <v>13.642585092994045</v>
      </c>
      <c r="G86" s="19">
        <f t="shared" si="6"/>
        <v>13.642585092994045</v>
      </c>
      <c r="H86" s="19">
        <f t="shared" si="6"/>
        <v>13.642585092994045</v>
      </c>
      <c r="I86" s="3"/>
      <c r="J86" s="17">
        <f t="shared" si="7"/>
        <v>19.130713583688454</v>
      </c>
      <c r="K86" s="17">
        <f t="shared" si="8"/>
        <v>1.263251681845964</v>
      </c>
      <c r="L86" s="17">
        <f t="shared" si="9"/>
        <v>11.22448733235893</v>
      </c>
      <c r="M86" s="17">
        <f t="shared" si="10"/>
        <v>11.22448733235893</v>
      </c>
      <c r="N86" s="17">
        <f t="shared" si="11"/>
        <v>11.22448733235893</v>
      </c>
      <c r="O86" s="3"/>
      <c r="P86" s="19">
        <f t="shared" si="12"/>
        <v>376.6130274888913</v>
      </c>
      <c r="Q86" s="19">
        <f t="shared" si="13"/>
        <v>905.84333824744488</v>
      </c>
      <c r="R86" s="19">
        <f t="shared" si="14"/>
        <v>0</v>
      </c>
      <c r="S86" s="19">
        <f t="shared" si="15"/>
        <v>0</v>
      </c>
      <c r="T86" s="19">
        <f t="shared" si="16"/>
        <v>0</v>
      </c>
      <c r="U86" s="3"/>
      <c r="V86" s="19">
        <f t="shared" si="17"/>
        <v>1282.4563657363362</v>
      </c>
      <c r="W86" s="3"/>
      <c r="X86" s="14">
        <f t="shared" si="18"/>
        <v>1329.0666027015109</v>
      </c>
      <c r="Y86" s="14">
        <f t="shared" si="19"/>
        <v>36.456365736336238</v>
      </c>
      <c r="AA86" s="14">
        <f t="shared" si="20"/>
        <v>9.0063748971860627E-5</v>
      </c>
      <c r="AB86" s="16"/>
    </row>
    <row r="87" spans="2:28" x14ac:dyDescent="0.3">
      <c r="B87" s="27">
        <v>13.699999999999996</v>
      </c>
      <c r="C87" s="27">
        <v>1283</v>
      </c>
      <c r="D87" s="19">
        <f t="shared" si="6"/>
        <v>22.185723418456384</v>
      </c>
      <c r="E87" s="19">
        <f t="shared" si="6"/>
        <v>1.4997013704944115</v>
      </c>
      <c r="F87" s="19">
        <f t="shared" si="6"/>
        <v>13.672585092994044</v>
      </c>
      <c r="G87" s="19">
        <f t="shared" si="6"/>
        <v>13.672585092994044</v>
      </c>
      <c r="H87" s="19">
        <f t="shared" ref="E87:H102" si="21">1/G$23-LN(G$23)+$B87*G$22</f>
        <v>13.672585092994044</v>
      </c>
      <c r="I87" s="3"/>
      <c r="J87" s="17">
        <f t="shared" si="7"/>
        <v>19.229288841272631</v>
      </c>
      <c r="K87" s="17">
        <f t="shared" si="8"/>
        <v>1.2647929430754583</v>
      </c>
      <c r="L87" s="17">
        <f t="shared" si="9"/>
        <v>11.252036002700352</v>
      </c>
      <c r="M87" s="17">
        <f t="shared" si="10"/>
        <v>11.252036002700352</v>
      </c>
      <c r="N87" s="17">
        <f t="shared" si="11"/>
        <v>11.252036002700352</v>
      </c>
      <c r="O87" s="3"/>
      <c r="P87" s="19">
        <f t="shared" si="12"/>
        <v>372.85660408784975</v>
      </c>
      <c r="Q87" s="19">
        <f t="shared" si="13"/>
        <v>904.12378558291027</v>
      </c>
      <c r="R87" s="19">
        <f t="shared" si="14"/>
        <v>0</v>
      </c>
      <c r="S87" s="19">
        <f t="shared" si="15"/>
        <v>0</v>
      </c>
      <c r="T87" s="19">
        <f t="shared" si="16"/>
        <v>0</v>
      </c>
      <c r="U87" s="3"/>
      <c r="V87" s="19">
        <f t="shared" si="17"/>
        <v>1276.9803896707599</v>
      </c>
      <c r="W87" s="3"/>
      <c r="X87" s="14">
        <f t="shared" si="18"/>
        <v>36.235708515894046</v>
      </c>
      <c r="Y87" s="14">
        <f t="shared" si="19"/>
        <v>6.0196103292400949</v>
      </c>
      <c r="AA87" s="14">
        <f t="shared" si="20"/>
        <v>1.4871166191443405E-5</v>
      </c>
      <c r="AB87" s="16"/>
    </row>
    <row r="88" spans="2:28" x14ac:dyDescent="0.3">
      <c r="B88" s="27">
        <v>14.000000000000007</v>
      </c>
      <c r="C88" s="27">
        <v>1239</v>
      </c>
      <c r="D88" s="19">
        <f t="shared" si="6"/>
        <v>22.289438168654556</v>
      </c>
      <c r="E88" s="19">
        <f t="shared" si="21"/>
        <v>1.5024619625895548</v>
      </c>
      <c r="F88" s="19">
        <f t="shared" si="21"/>
        <v>13.702585092994045</v>
      </c>
      <c r="G88" s="19">
        <f t="shared" si="21"/>
        <v>13.702585092994045</v>
      </c>
      <c r="H88" s="19">
        <f t="shared" si="21"/>
        <v>13.702585092994045</v>
      </c>
      <c r="I88" s="3"/>
      <c r="J88" s="17">
        <f t="shared" si="7"/>
        <v>19.327889085460598</v>
      </c>
      <c r="K88" s="17">
        <f t="shared" si="8"/>
        <v>1.2663350340380413</v>
      </c>
      <c r="L88" s="17">
        <f t="shared" si="9"/>
        <v>11.279590179214098</v>
      </c>
      <c r="M88" s="17">
        <f t="shared" si="10"/>
        <v>11.279590179214098</v>
      </c>
      <c r="N88" s="17">
        <f t="shared" si="11"/>
        <v>11.279590179214098</v>
      </c>
      <c r="O88" s="3"/>
      <c r="P88" s="19">
        <f t="shared" si="12"/>
        <v>369.15518360527244</v>
      </c>
      <c r="Q88" s="19">
        <f t="shared" si="13"/>
        <v>902.40833342686824</v>
      </c>
      <c r="R88" s="19">
        <f t="shared" si="14"/>
        <v>0</v>
      </c>
      <c r="S88" s="19">
        <f t="shared" si="15"/>
        <v>0</v>
      </c>
      <c r="T88" s="19">
        <f t="shared" si="16"/>
        <v>0</v>
      </c>
      <c r="U88" s="3"/>
      <c r="V88" s="19">
        <f t="shared" si="17"/>
        <v>1271.5635170321407</v>
      </c>
      <c r="W88" s="3"/>
      <c r="X88" s="14">
        <f t="shared" si="18"/>
        <v>1060.3826415025162</v>
      </c>
      <c r="Y88" s="14">
        <f t="shared" si="19"/>
        <v>32.56351703214068</v>
      </c>
      <c r="AA88" s="14">
        <f t="shared" si="20"/>
        <v>8.0446648051385377E-5</v>
      </c>
      <c r="AB88" s="16"/>
    </row>
    <row r="89" spans="2:28" x14ac:dyDescent="0.3">
      <c r="B89" s="27">
        <v>14.199999999999996</v>
      </c>
      <c r="C89" s="27">
        <v>1263</v>
      </c>
      <c r="D89" s="19">
        <f t="shared" si="6"/>
        <v>22.358581335453326</v>
      </c>
      <c r="E89" s="19">
        <f t="shared" si="21"/>
        <v>1.5043023573196501</v>
      </c>
      <c r="F89" s="19">
        <f t="shared" si="21"/>
        <v>13.722585092994045</v>
      </c>
      <c r="G89" s="19">
        <f t="shared" si="21"/>
        <v>13.722585092994045</v>
      </c>
      <c r="H89" s="19">
        <f t="shared" si="21"/>
        <v>13.722585092994045</v>
      </c>
      <c r="I89" s="3"/>
      <c r="J89" s="17">
        <f t="shared" si="7"/>
        <v>19.39363634656825</v>
      </c>
      <c r="K89" s="17">
        <f t="shared" si="8"/>
        <v>1.2673635553053015</v>
      </c>
      <c r="L89" s="17">
        <f t="shared" si="9"/>
        <v>11.297962677552567</v>
      </c>
      <c r="M89" s="17">
        <f t="shared" si="10"/>
        <v>11.297962677552567</v>
      </c>
      <c r="N89" s="17">
        <f t="shared" si="11"/>
        <v>11.297962677552567</v>
      </c>
      <c r="O89" s="3"/>
      <c r="P89" s="19">
        <f t="shared" si="12"/>
        <v>366.71760495960723</v>
      </c>
      <c r="Q89" s="19">
        <f t="shared" si="13"/>
        <v>901.26697118663583</v>
      </c>
      <c r="R89" s="19">
        <f t="shared" si="14"/>
        <v>0</v>
      </c>
      <c r="S89" s="19">
        <f t="shared" si="15"/>
        <v>0</v>
      </c>
      <c r="T89" s="19">
        <f t="shared" si="16"/>
        <v>0</v>
      </c>
      <c r="U89" s="3"/>
      <c r="V89" s="19">
        <f t="shared" si="17"/>
        <v>1267.9845761462429</v>
      </c>
      <c r="W89" s="3"/>
      <c r="X89" s="14">
        <f t="shared" si="18"/>
        <v>24.845999357694154</v>
      </c>
      <c r="Y89" s="14">
        <f t="shared" si="19"/>
        <v>4.9845761462429437</v>
      </c>
      <c r="AA89" s="14">
        <f t="shared" si="20"/>
        <v>1.2314162580361064E-5</v>
      </c>
      <c r="AB89" s="16"/>
    </row>
    <row r="90" spans="2:28" x14ac:dyDescent="0.3">
      <c r="B90" s="27">
        <v>14.500000000000007</v>
      </c>
      <c r="C90" s="27">
        <v>1282</v>
      </c>
      <c r="D90" s="19">
        <f t="shared" si="6"/>
        <v>22.462296085651495</v>
      </c>
      <c r="E90" s="19">
        <f t="shared" si="21"/>
        <v>1.5070629494147934</v>
      </c>
      <c r="F90" s="19">
        <f t="shared" si="21"/>
        <v>13.752585092994046</v>
      </c>
      <c r="G90" s="19">
        <f t="shared" si="21"/>
        <v>13.752585092994046</v>
      </c>
      <c r="H90" s="19">
        <f t="shared" si="21"/>
        <v>13.752585092994046</v>
      </c>
      <c r="I90" s="3"/>
      <c r="J90" s="17">
        <f t="shared" si="7"/>
        <v>19.492277713222848</v>
      </c>
      <c r="K90" s="17">
        <f t="shared" si="8"/>
        <v>1.2689070276386467</v>
      </c>
      <c r="L90" s="17">
        <f t="shared" si="9"/>
        <v>11.325525978670706</v>
      </c>
      <c r="M90" s="17">
        <f t="shared" si="10"/>
        <v>11.325525978670706</v>
      </c>
      <c r="N90" s="17">
        <f t="shared" si="11"/>
        <v>11.325525978670706</v>
      </c>
      <c r="O90" s="3"/>
      <c r="P90" s="19">
        <f t="shared" si="12"/>
        <v>363.10552324773994</v>
      </c>
      <c r="Q90" s="19">
        <f t="shared" si="13"/>
        <v>899.55832834965395</v>
      </c>
      <c r="R90" s="19">
        <f t="shared" si="14"/>
        <v>0</v>
      </c>
      <c r="S90" s="19">
        <f t="shared" si="15"/>
        <v>0</v>
      </c>
      <c r="T90" s="19">
        <f t="shared" si="16"/>
        <v>0</v>
      </c>
      <c r="U90" s="3"/>
      <c r="V90" s="19">
        <f t="shared" si="17"/>
        <v>1262.6638515973939</v>
      </c>
      <c r="W90" s="3"/>
      <c r="X90" s="14">
        <f t="shared" si="18"/>
        <v>373.88663504760694</v>
      </c>
      <c r="Y90" s="14">
        <f t="shared" si="19"/>
        <v>19.336148402606113</v>
      </c>
      <c r="AA90" s="14">
        <f t="shared" si="20"/>
        <v>4.7769051594718152E-5</v>
      </c>
      <c r="AB90" s="16"/>
    </row>
    <row r="91" spans="2:28" x14ac:dyDescent="0.3">
      <c r="B91" s="27">
        <v>14.800000000000004</v>
      </c>
      <c r="C91" s="27">
        <v>1249</v>
      </c>
      <c r="D91" s="19">
        <f t="shared" si="6"/>
        <v>22.56601083584966</v>
      </c>
      <c r="E91" s="19">
        <f t="shared" si="21"/>
        <v>1.5098235415099366</v>
      </c>
      <c r="F91" s="19">
        <f t="shared" si="21"/>
        <v>13.782585092994045</v>
      </c>
      <c r="G91" s="19">
        <f t="shared" si="21"/>
        <v>13.782585092994045</v>
      </c>
      <c r="H91" s="19">
        <f t="shared" si="21"/>
        <v>13.782585092994045</v>
      </c>
      <c r="I91" s="3"/>
      <c r="J91" s="17">
        <f t="shared" si="7"/>
        <v>19.590943445506809</v>
      </c>
      <c r="K91" s="17">
        <f t="shared" si="8"/>
        <v>1.2704513278840104</v>
      </c>
      <c r="L91" s="17">
        <f t="shared" si="9"/>
        <v>11.353094723379568</v>
      </c>
      <c r="M91" s="17">
        <f t="shared" si="10"/>
        <v>11.353094723379568</v>
      </c>
      <c r="N91" s="17">
        <f t="shared" si="11"/>
        <v>11.353094723379568</v>
      </c>
      <c r="O91" s="3"/>
      <c r="P91" s="19">
        <f t="shared" si="12"/>
        <v>359.54568539414271</v>
      </c>
      <c r="Q91" s="19">
        <f t="shared" si="13"/>
        <v>897.85375624071355</v>
      </c>
      <c r="R91" s="19">
        <f t="shared" si="14"/>
        <v>0</v>
      </c>
      <c r="S91" s="19">
        <f t="shared" si="15"/>
        <v>0</v>
      </c>
      <c r="T91" s="19">
        <f t="shared" si="16"/>
        <v>0</v>
      </c>
      <c r="U91" s="3"/>
      <c r="V91" s="19">
        <f t="shared" si="17"/>
        <v>1257.3994416348562</v>
      </c>
      <c r="W91" s="3"/>
      <c r="X91" s="14">
        <f t="shared" si="18"/>
        <v>70.550619777355834</v>
      </c>
      <c r="Y91" s="14">
        <f t="shared" si="19"/>
        <v>8.3994416348562027</v>
      </c>
      <c r="AA91" s="14">
        <f t="shared" si="20"/>
        <v>2.0750428289441126E-5</v>
      </c>
      <c r="AB91" s="16"/>
    </row>
    <row r="92" spans="2:28" x14ac:dyDescent="0.3">
      <c r="B92" s="27">
        <v>15.100000000000001</v>
      </c>
      <c r="C92" s="27">
        <v>1269</v>
      </c>
      <c r="D92" s="19">
        <f t="shared" si="6"/>
        <v>22.669725586047825</v>
      </c>
      <c r="E92" s="19">
        <f t="shared" si="21"/>
        <v>1.5125841336050798</v>
      </c>
      <c r="F92" s="19">
        <f t="shared" si="21"/>
        <v>13.812585092994045</v>
      </c>
      <c r="G92" s="19">
        <f t="shared" si="21"/>
        <v>13.812585092994045</v>
      </c>
      <c r="H92" s="19">
        <f t="shared" si="21"/>
        <v>13.812585092994045</v>
      </c>
      <c r="I92" s="3"/>
      <c r="J92" s="17">
        <f t="shared" si="7"/>
        <v>19.689633316403924</v>
      </c>
      <c r="K92" s="17">
        <f t="shared" si="8"/>
        <v>1.2719964553587115</v>
      </c>
      <c r="L92" s="17">
        <f t="shared" si="9"/>
        <v>11.380668888476892</v>
      </c>
      <c r="M92" s="17">
        <f t="shared" si="10"/>
        <v>11.380668888476892</v>
      </c>
      <c r="N92" s="17">
        <f t="shared" si="11"/>
        <v>11.380668888476892</v>
      </c>
      <c r="O92" s="3"/>
      <c r="P92" s="19">
        <f t="shared" si="12"/>
        <v>356.03710105282448</v>
      </c>
      <c r="Q92" s="19">
        <f t="shared" si="13"/>
        <v>896.15324375237458</v>
      </c>
      <c r="R92" s="19">
        <f t="shared" si="14"/>
        <v>0</v>
      </c>
      <c r="S92" s="19">
        <f t="shared" si="15"/>
        <v>0</v>
      </c>
      <c r="T92" s="19">
        <f t="shared" si="16"/>
        <v>0</v>
      </c>
      <c r="U92" s="3"/>
      <c r="V92" s="19">
        <f t="shared" si="17"/>
        <v>1252.1903448051989</v>
      </c>
      <c r="W92" s="3"/>
      <c r="X92" s="14">
        <f t="shared" si="18"/>
        <v>282.56450776810203</v>
      </c>
      <c r="Y92" s="14">
        <f t="shared" si="19"/>
        <v>16.809655194801053</v>
      </c>
      <c r="AA92" s="14">
        <f t="shared" si="20"/>
        <v>4.1527468116744916E-5</v>
      </c>
      <c r="AB92" s="16"/>
    </row>
    <row r="93" spans="2:28" x14ac:dyDescent="0.3">
      <c r="B93" s="27">
        <v>15.399999999999999</v>
      </c>
      <c r="C93" s="27">
        <v>1269</v>
      </c>
      <c r="D93" s="19">
        <f t="shared" si="6"/>
        <v>22.77344033624599</v>
      </c>
      <c r="E93" s="19">
        <f t="shared" si="21"/>
        <v>1.5153447257002228</v>
      </c>
      <c r="F93" s="19">
        <f t="shared" si="21"/>
        <v>13.842585092994046</v>
      </c>
      <c r="G93" s="19">
        <f t="shared" si="21"/>
        <v>13.842585092994046</v>
      </c>
      <c r="H93" s="19">
        <f t="shared" si="21"/>
        <v>13.842585092994046</v>
      </c>
      <c r="I93" s="3"/>
      <c r="J93" s="17">
        <f t="shared" si="7"/>
        <v>19.788347101999427</v>
      </c>
      <c r="K93" s="17">
        <f t="shared" si="8"/>
        <v>1.2735424093801926</v>
      </c>
      <c r="L93" s="17">
        <f t="shared" si="9"/>
        <v>11.408248450903612</v>
      </c>
      <c r="M93" s="17">
        <f t="shared" si="10"/>
        <v>11.408248450903612</v>
      </c>
      <c r="N93" s="17">
        <f t="shared" si="11"/>
        <v>11.408248450903612</v>
      </c>
      <c r="O93" s="3"/>
      <c r="P93" s="19">
        <f t="shared" si="12"/>
        <v>352.57880300051124</v>
      </c>
      <c r="Q93" s="19">
        <f t="shared" si="13"/>
        <v>894.45677980989433</v>
      </c>
      <c r="R93" s="19">
        <f t="shared" si="14"/>
        <v>0</v>
      </c>
      <c r="S93" s="19">
        <f t="shared" si="15"/>
        <v>0</v>
      </c>
      <c r="T93" s="19">
        <f t="shared" si="16"/>
        <v>0</v>
      </c>
      <c r="U93" s="3"/>
      <c r="V93" s="19">
        <f t="shared" si="17"/>
        <v>1247.0355828104057</v>
      </c>
      <c r="W93" s="3"/>
      <c r="X93" s="14">
        <f t="shared" si="18"/>
        <v>482.43562247854618</v>
      </c>
      <c r="Y93" s="14">
        <f t="shared" si="19"/>
        <v>21.964417189594315</v>
      </c>
      <c r="AA93" s="14">
        <f t="shared" si="20"/>
        <v>5.426206688795541E-5</v>
      </c>
      <c r="AB93" s="16"/>
    </row>
    <row r="94" spans="2:28" x14ac:dyDescent="0.3">
      <c r="B94" s="27">
        <v>15.699999999999996</v>
      </c>
      <c r="C94" s="27">
        <v>1246</v>
      </c>
      <c r="D94" s="19">
        <f t="shared" si="6"/>
        <v>22.877155086444155</v>
      </c>
      <c r="E94" s="19">
        <f t="shared" si="21"/>
        <v>1.5181053177953661</v>
      </c>
      <c r="F94" s="19">
        <f t="shared" si="21"/>
        <v>13.872585092994045</v>
      </c>
      <c r="G94" s="19">
        <f t="shared" si="21"/>
        <v>13.872585092994045</v>
      </c>
      <c r="H94" s="19">
        <f t="shared" si="21"/>
        <v>13.872585092994045</v>
      </c>
      <c r="I94" s="3"/>
      <c r="J94" s="17">
        <f t="shared" si="7"/>
        <v>19.887084581424585</v>
      </c>
      <c r="K94" s="17">
        <f t="shared" si="8"/>
        <v>1.2750891892660219</v>
      </c>
      <c r="L94" s="17">
        <f t="shared" si="9"/>
        <v>11.435833387742706</v>
      </c>
      <c r="M94" s="17">
        <f t="shared" si="10"/>
        <v>11.435833387742706</v>
      </c>
      <c r="N94" s="17">
        <f t="shared" si="11"/>
        <v>11.435833387742706</v>
      </c>
      <c r="O94" s="3"/>
      <c r="P94" s="19">
        <f t="shared" si="12"/>
        <v>349.16984649726299</v>
      </c>
      <c r="Q94" s="19">
        <f t="shared" si="13"/>
        <v>892.764353371129</v>
      </c>
      <c r="R94" s="19">
        <f t="shared" si="14"/>
        <v>0</v>
      </c>
      <c r="S94" s="19">
        <f t="shared" si="15"/>
        <v>0</v>
      </c>
      <c r="T94" s="19">
        <f t="shared" si="16"/>
        <v>0</v>
      </c>
      <c r="U94" s="3"/>
      <c r="V94" s="19">
        <f t="shared" si="17"/>
        <v>1241.9341998683919</v>
      </c>
      <c r="W94" s="3"/>
      <c r="X94" s="14">
        <f t="shared" si="18"/>
        <v>16.530730710184095</v>
      </c>
      <c r="Y94" s="14">
        <f t="shared" si="19"/>
        <v>4.0658001316080572</v>
      </c>
      <c r="AA94" s="14">
        <f t="shared" si="20"/>
        <v>1.004436934474605E-5</v>
      </c>
      <c r="AB94" s="16"/>
    </row>
    <row r="95" spans="2:28" x14ac:dyDescent="0.3">
      <c r="B95" s="27">
        <v>16.000000000000007</v>
      </c>
      <c r="C95" s="27">
        <v>1214</v>
      </c>
      <c r="D95" s="19">
        <f t="shared" si="6"/>
        <v>22.980869836642324</v>
      </c>
      <c r="E95" s="19">
        <f t="shared" si="21"/>
        <v>1.5208659098905093</v>
      </c>
      <c r="F95" s="19">
        <f t="shared" si="21"/>
        <v>13.902585092994046</v>
      </c>
      <c r="G95" s="19">
        <f t="shared" si="21"/>
        <v>13.902585092994046</v>
      </c>
      <c r="H95" s="19">
        <f t="shared" si="21"/>
        <v>13.902585092994046</v>
      </c>
      <c r="I95" s="3"/>
      <c r="J95" s="17">
        <f t="shared" si="7"/>
        <v>19.985845536802469</v>
      </c>
      <c r="K95" s="17">
        <f t="shared" si="8"/>
        <v>1.276636794333895</v>
      </c>
      <c r="L95" s="17">
        <f t="shared" si="9"/>
        <v>11.46342367621809</v>
      </c>
      <c r="M95" s="17">
        <f t="shared" si="10"/>
        <v>11.46342367621809</v>
      </c>
      <c r="N95" s="17">
        <f t="shared" si="11"/>
        <v>11.46342367621809</v>
      </c>
      <c r="O95" s="3"/>
      <c r="P95" s="19">
        <f t="shared" si="12"/>
        <v>345.80930866747167</v>
      </c>
      <c r="Q95" s="19">
        <f t="shared" si="13"/>
        <v>891.0759534264372</v>
      </c>
      <c r="R95" s="19">
        <f t="shared" si="14"/>
        <v>0</v>
      </c>
      <c r="S95" s="19">
        <f t="shared" si="15"/>
        <v>0</v>
      </c>
      <c r="T95" s="19">
        <f t="shared" si="16"/>
        <v>0</v>
      </c>
      <c r="U95" s="3"/>
      <c r="V95" s="19">
        <f t="shared" si="17"/>
        <v>1236.8852620939088</v>
      </c>
      <c r="W95" s="3"/>
      <c r="X95" s="14">
        <f t="shared" si="18"/>
        <v>523.73522110689669</v>
      </c>
      <c r="Y95" s="14">
        <f t="shared" si="19"/>
        <v>22.88526209390875</v>
      </c>
      <c r="AA95" s="14">
        <f t="shared" si="20"/>
        <v>5.6536971218902775E-5</v>
      </c>
      <c r="AB95" s="16"/>
    </row>
    <row r="96" spans="2:28" x14ac:dyDescent="0.3">
      <c r="B96" s="27">
        <v>16.199999999999996</v>
      </c>
      <c r="C96" s="27">
        <v>1279</v>
      </c>
      <c r="D96" s="19">
        <f t="shared" si="6"/>
        <v>23.050013003441094</v>
      </c>
      <c r="E96" s="19">
        <f t="shared" si="21"/>
        <v>1.5227063046206046</v>
      </c>
      <c r="F96" s="19">
        <f t="shared" si="21"/>
        <v>13.922585092994044</v>
      </c>
      <c r="G96" s="19">
        <f t="shared" si="21"/>
        <v>13.922585092994044</v>
      </c>
      <c r="H96" s="19">
        <f t="shared" si="21"/>
        <v>13.922585092994044</v>
      </c>
      <c r="I96" s="3"/>
      <c r="J96" s="17">
        <f t="shared" si="7"/>
        <v>20.051699109655345</v>
      </c>
      <c r="K96" s="17">
        <f t="shared" si="8"/>
        <v>1.2776689891433981</v>
      </c>
      <c r="L96" s="17">
        <f t="shared" si="9"/>
        <v>11.481820163815476</v>
      </c>
      <c r="M96" s="17">
        <f t="shared" si="10"/>
        <v>11.481820163815476</v>
      </c>
      <c r="N96" s="17">
        <f t="shared" si="11"/>
        <v>11.481820163815476</v>
      </c>
      <c r="O96" s="3"/>
      <c r="P96" s="19">
        <f t="shared" si="12"/>
        <v>343.59540328002913</v>
      </c>
      <c r="Q96" s="19">
        <f t="shared" si="13"/>
        <v>889.95258498227133</v>
      </c>
      <c r="R96" s="19">
        <f t="shared" si="14"/>
        <v>0</v>
      </c>
      <c r="S96" s="19">
        <f t="shared" si="15"/>
        <v>0</v>
      </c>
      <c r="T96" s="19">
        <f t="shared" si="16"/>
        <v>0</v>
      </c>
      <c r="U96" s="3"/>
      <c r="V96" s="19">
        <f t="shared" si="17"/>
        <v>1233.5479882623004</v>
      </c>
      <c r="W96" s="3"/>
      <c r="X96" s="14">
        <f t="shared" si="18"/>
        <v>2065.8853710039866</v>
      </c>
      <c r="Y96" s="14">
        <f t="shared" si="19"/>
        <v>45.45201173769965</v>
      </c>
      <c r="AA96" s="14">
        <f t="shared" si="20"/>
        <v>1.1228707230491037E-4</v>
      </c>
      <c r="AB96" s="16"/>
    </row>
    <row r="97" spans="2:28" x14ac:dyDescent="0.3">
      <c r="B97" s="27">
        <v>16.500000000000007</v>
      </c>
      <c r="C97" s="27">
        <v>1261</v>
      </c>
      <c r="D97" s="19">
        <f t="shared" si="6"/>
        <v>23.153727753639266</v>
      </c>
      <c r="E97" s="19">
        <f t="shared" si="21"/>
        <v>1.5254668967157479</v>
      </c>
      <c r="F97" s="19">
        <f t="shared" si="21"/>
        <v>13.952585092994045</v>
      </c>
      <c r="G97" s="19">
        <f t="shared" si="21"/>
        <v>13.952585092994045</v>
      </c>
      <c r="H97" s="19">
        <f t="shared" si="21"/>
        <v>13.952585092994045</v>
      </c>
      <c r="I97" s="3"/>
      <c r="J97" s="17">
        <f t="shared" si="7"/>
        <v>20.15049871540851</v>
      </c>
      <c r="K97" s="17">
        <f t="shared" si="8"/>
        <v>1.2792179679988014</v>
      </c>
      <c r="L97" s="17">
        <f t="shared" si="9"/>
        <v>11.509419321450329</v>
      </c>
      <c r="M97" s="17">
        <f t="shared" si="10"/>
        <v>11.509419321450329</v>
      </c>
      <c r="N97" s="17">
        <f t="shared" si="11"/>
        <v>11.509419321450329</v>
      </c>
      <c r="O97" s="3"/>
      <c r="P97" s="19">
        <f t="shared" si="12"/>
        <v>340.31356989807807</v>
      </c>
      <c r="Q97" s="19">
        <f t="shared" si="13"/>
        <v>888.27087148312614</v>
      </c>
      <c r="R97" s="19">
        <f t="shared" si="14"/>
        <v>0</v>
      </c>
      <c r="S97" s="19">
        <f t="shared" si="15"/>
        <v>0</v>
      </c>
      <c r="T97" s="19">
        <f t="shared" si="16"/>
        <v>0</v>
      </c>
      <c r="U97" s="3"/>
      <c r="V97" s="19">
        <f t="shared" si="17"/>
        <v>1228.5844413812042</v>
      </c>
      <c r="W97" s="3"/>
      <c r="X97" s="14">
        <f t="shared" si="18"/>
        <v>1050.7684405685857</v>
      </c>
      <c r="Y97" s="14">
        <f t="shared" si="19"/>
        <v>32.415558618795785</v>
      </c>
      <c r="AA97" s="14">
        <f t="shared" si="20"/>
        <v>8.0081123701148576E-5</v>
      </c>
      <c r="AB97" s="16"/>
    </row>
    <row r="98" spans="2:28" x14ac:dyDescent="0.3">
      <c r="B98" s="27">
        <v>16.800000000000004</v>
      </c>
      <c r="C98" s="27">
        <v>1215</v>
      </c>
      <c r="D98" s="19">
        <f t="shared" si="6"/>
        <v>23.257442503837428</v>
      </c>
      <c r="E98" s="19">
        <f t="shared" si="21"/>
        <v>1.5282274888108911</v>
      </c>
      <c r="F98" s="19">
        <f t="shared" si="21"/>
        <v>13.982585092994047</v>
      </c>
      <c r="G98" s="19">
        <f t="shared" si="21"/>
        <v>13.982585092994047</v>
      </c>
      <c r="H98" s="19">
        <f t="shared" si="21"/>
        <v>13.982585092994047</v>
      </c>
      <c r="I98" s="3"/>
      <c r="J98" s="17">
        <f t="shared" si="7"/>
        <v>20.249321230336239</v>
      </c>
      <c r="K98" s="17">
        <f t="shared" si="8"/>
        <v>1.2807677702174136</v>
      </c>
      <c r="L98" s="17">
        <f t="shared" si="9"/>
        <v>11.537023770665675</v>
      </c>
      <c r="M98" s="17">
        <f t="shared" si="10"/>
        <v>11.537023770665675</v>
      </c>
      <c r="N98" s="17">
        <f t="shared" si="11"/>
        <v>11.537023770665675</v>
      </c>
      <c r="O98" s="3"/>
      <c r="P98" s="19">
        <f t="shared" si="12"/>
        <v>337.07779658192061</v>
      </c>
      <c r="Q98" s="19">
        <f t="shared" si="13"/>
        <v>886.5931552771566</v>
      </c>
      <c r="R98" s="19">
        <f t="shared" si="14"/>
        <v>0</v>
      </c>
      <c r="S98" s="19">
        <f t="shared" si="15"/>
        <v>0</v>
      </c>
      <c r="T98" s="19">
        <f t="shared" si="16"/>
        <v>0</v>
      </c>
      <c r="U98" s="3"/>
      <c r="V98" s="19">
        <f t="shared" si="17"/>
        <v>1223.6709518590771</v>
      </c>
      <c r="W98" s="3"/>
      <c r="X98" s="14">
        <f t="shared" si="18"/>
        <v>75.185406142433479</v>
      </c>
      <c r="Y98" s="14">
        <f t="shared" si="19"/>
        <v>8.6709518590771495</v>
      </c>
      <c r="AA98" s="14">
        <f t="shared" si="20"/>
        <v>2.1421181618348958E-5</v>
      </c>
      <c r="AB98" s="16"/>
    </row>
    <row r="99" spans="2:28" x14ac:dyDescent="0.3">
      <c r="B99" s="27">
        <v>17.100000000000001</v>
      </c>
      <c r="C99" s="27">
        <v>1214</v>
      </c>
      <c r="D99" s="19">
        <f t="shared" si="6"/>
        <v>23.361157254035593</v>
      </c>
      <c r="E99" s="19">
        <f t="shared" si="21"/>
        <v>1.5309880809060341</v>
      </c>
      <c r="F99" s="19">
        <f t="shared" si="21"/>
        <v>14.012585092994046</v>
      </c>
      <c r="G99" s="19">
        <f t="shared" si="21"/>
        <v>14.012585092994046</v>
      </c>
      <c r="H99" s="19">
        <f t="shared" si="21"/>
        <v>14.012585092994046</v>
      </c>
      <c r="I99" s="3"/>
      <c r="J99" s="17">
        <f t="shared" si="7"/>
        <v>20.348166447086584</v>
      </c>
      <c r="K99" s="17">
        <f t="shared" si="8"/>
        <v>1.2823183951174184</v>
      </c>
      <c r="L99" s="17">
        <f t="shared" si="9"/>
        <v>11.564633489192625</v>
      </c>
      <c r="M99" s="17">
        <f t="shared" si="10"/>
        <v>11.564633489192625</v>
      </c>
      <c r="N99" s="17">
        <f t="shared" si="11"/>
        <v>11.564633489192625</v>
      </c>
      <c r="O99" s="3"/>
      <c r="P99" s="19">
        <f t="shared" si="12"/>
        <v>333.88723563925856</v>
      </c>
      <c r="Q99" s="19">
        <f t="shared" si="13"/>
        <v>884.91942547305359</v>
      </c>
      <c r="R99" s="19">
        <f t="shared" si="14"/>
        <v>0</v>
      </c>
      <c r="S99" s="19">
        <f t="shared" si="15"/>
        <v>0</v>
      </c>
      <c r="T99" s="19">
        <f t="shared" si="16"/>
        <v>0</v>
      </c>
      <c r="U99" s="3"/>
      <c r="V99" s="19">
        <f t="shared" si="17"/>
        <v>1218.8066611123122</v>
      </c>
      <c r="W99" s="3"/>
      <c r="X99" s="14">
        <f t="shared" si="18"/>
        <v>23.103991048614478</v>
      </c>
      <c r="Y99" s="14">
        <f t="shared" si="19"/>
        <v>4.8066611123122129</v>
      </c>
      <c r="AA99" s="14">
        <f t="shared" si="20"/>
        <v>1.1874631797996587E-5</v>
      </c>
      <c r="AB99" s="16"/>
    </row>
    <row r="100" spans="2:28" x14ac:dyDescent="0.3">
      <c r="B100" s="27">
        <v>17.399999999999999</v>
      </c>
      <c r="C100" s="27">
        <v>1214</v>
      </c>
      <c r="D100" s="19">
        <f t="shared" si="6"/>
        <v>23.464872004233758</v>
      </c>
      <c r="E100" s="19">
        <f t="shared" si="21"/>
        <v>1.5337486730011773</v>
      </c>
      <c r="F100" s="19">
        <f t="shared" si="21"/>
        <v>14.042585092994045</v>
      </c>
      <c r="G100" s="19">
        <f t="shared" si="21"/>
        <v>14.042585092994045</v>
      </c>
      <c r="H100" s="19">
        <f t="shared" si="21"/>
        <v>14.042585092994045</v>
      </c>
      <c r="I100" s="3"/>
      <c r="J100" s="17">
        <f t="shared" si="7"/>
        <v>20.447034161061584</v>
      </c>
      <c r="K100" s="17">
        <f t="shared" si="8"/>
        <v>1.2838698420171382</v>
      </c>
      <c r="L100" s="17">
        <f t="shared" si="9"/>
        <v>11.592248454898067</v>
      </c>
      <c r="M100" s="17">
        <f t="shared" si="10"/>
        <v>11.592248454898067</v>
      </c>
      <c r="N100" s="17">
        <f t="shared" si="11"/>
        <v>11.592248454898067</v>
      </c>
      <c r="O100" s="3"/>
      <c r="P100" s="19">
        <f t="shared" si="12"/>
        <v>330.74105860212603</v>
      </c>
      <c r="Q100" s="19">
        <f t="shared" si="13"/>
        <v>883.2496712115535</v>
      </c>
      <c r="R100" s="19">
        <f t="shared" si="14"/>
        <v>0</v>
      </c>
      <c r="S100" s="19">
        <f t="shared" si="15"/>
        <v>0</v>
      </c>
      <c r="T100" s="19">
        <f t="shared" si="16"/>
        <v>0</v>
      </c>
      <c r="U100" s="3"/>
      <c r="V100" s="19">
        <f>SUM(P100:T100)</f>
        <v>1213.9907298136795</v>
      </c>
      <c r="W100" s="3"/>
      <c r="X100" s="14">
        <f t="shared" si="18"/>
        <v>8.5936354416114836E-5</v>
      </c>
      <c r="Y100" s="14">
        <f t="shared" si="19"/>
        <v>9.2701863204638357E-3</v>
      </c>
      <c r="AA100" s="14">
        <f t="shared" si="20"/>
        <v>2.2901562369846281E-8</v>
      </c>
      <c r="AB100" s="16"/>
    </row>
    <row r="101" spans="2:28" x14ac:dyDescent="0.3">
      <c r="B101" s="27">
        <v>17.699999999999996</v>
      </c>
      <c r="C101" s="27">
        <v>1228</v>
      </c>
      <c r="D101" s="19">
        <f t="shared" si="6"/>
        <v>23.568586754431919</v>
      </c>
      <c r="E101" s="19">
        <f t="shared" si="21"/>
        <v>1.5365092650963204</v>
      </c>
      <c r="F101" s="19">
        <f t="shared" si="21"/>
        <v>14.072585092994045</v>
      </c>
      <c r="G101" s="19">
        <f t="shared" si="21"/>
        <v>14.072585092994045</v>
      </c>
      <c r="H101" s="19">
        <f t="shared" si="21"/>
        <v>14.072585092994045</v>
      </c>
      <c r="I101" s="3"/>
      <c r="J101" s="17">
        <f t="shared" si="7"/>
        <v>20.545924170369403</v>
      </c>
      <c r="K101" s="17">
        <f t="shared" si="8"/>
        <v>1.2854221102350345</v>
      </c>
      <c r="L101" s="17">
        <f t="shared" si="9"/>
        <v>11.619868645783603</v>
      </c>
      <c r="M101" s="17">
        <f t="shared" si="10"/>
        <v>11.619868645783603</v>
      </c>
      <c r="N101" s="17">
        <f t="shared" si="11"/>
        <v>11.619868645783603</v>
      </c>
      <c r="O101" s="3"/>
      <c r="P101" s="19">
        <f t="shared" si="12"/>
        <v>327.63845571033914</v>
      </c>
      <c r="Q101" s="19">
        <f t="shared" si="13"/>
        <v>881.58388166534223</v>
      </c>
      <c r="R101" s="19">
        <f t="shared" si="14"/>
        <v>0</v>
      </c>
      <c r="S101" s="19">
        <f t="shared" si="15"/>
        <v>0</v>
      </c>
      <c r="T101" s="19">
        <f t="shared" si="16"/>
        <v>0</v>
      </c>
      <c r="U101" s="3"/>
      <c r="V101" s="19">
        <f t="shared" si="17"/>
        <v>1209.2223373756815</v>
      </c>
      <c r="W101" s="3"/>
      <c r="X101" s="14">
        <f t="shared" si="18"/>
        <v>352.60061363272825</v>
      </c>
      <c r="Y101" s="14">
        <f t="shared" si="19"/>
        <v>18.777662624318509</v>
      </c>
      <c r="AA101" s="14">
        <f t="shared" si="20"/>
        <v>4.6389338561778194E-5</v>
      </c>
      <c r="AB101" s="16"/>
    </row>
    <row r="102" spans="2:28" x14ac:dyDescent="0.3">
      <c r="B102" s="27">
        <v>18.000000000000007</v>
      </c>
      <c r="C102" s="27">
        <v>1203</v>
      </c>
      <c r="D102" s="19">
        <f t="shared" si="6"/>
        <v>23.672301504630092</v>
      </c>
      <c r="E102" s="19">
        <f t="shared" si="21"/>
        <v>1.5392698571914636</v>
      </c>
      <c r="F102" s="19">
        <f t="shared" si="21"/>
        <v>14.102585092994046</v>
      </c>
      <c r="G102" s="19">
        <f t="shared" si="21"/>
        <v>14.102585092994046</v>
      </c>
      <c r="H102" s="19">
        <f t="shared" si="21"/>
        <v>14.102585092994046</v>
      </c>
      <c r="I102" s="3"/>
      <c r="J102" s="17">
        <f t="shared" si="7"/>
        <v>20.644836275777468</v>
      </c>
      <c r="K102" s="17">
        <f t="shared" si="8"/>
        <v>1.2869751990897127</v>
      </c>
      <c r="L102" s="17">
        <f t="shared" si="9"/>
        <v>11.647494039984483</v>
      </c>
      <c r="M102" s="17">
        <f t="shared" si="10"/>
        <v>11.647494039984483</v>
      </c>
      <c r="N102" s="17">
        <f t="shared" si="11"/>
        <v>11.647494039984483</v>
      </c>
      <c r="O102" s="3"/>
      <c r="P102" s="19">
        <f t="shared" si="12"/>
        <v>324.57863541095122</v>
      </c>
      <c r="Q102" s="19">
        <f t="shared" si="13"/>
        <v>879.92204603895777</v>
      </c>
      <c r="R102" s="19">
        <f t="shared" si="14"/>
        <v>0</v>
      </c>
      <c r="S102" s="19">
        <f t="shared" si="15"/>
        <v>0</v>
      </c>
      <c r="T102" s="19">
        <f t="shared" si="16"/>
        <v>0</v>
      </c>
      <c r="U102" s="3"/>
      <c r="V102" s="19">
        <f t="shared" si="17"/>
        <v>1204.5006814499091</v>
      </c>
      <c r="W102" s="3"/>
      <c r="X102" s="14">
        <f t="shared" si="18"/>
        <v>2.2520448141011356</v>
      </c>
      <c r="Y102" s="14">
        <f t="shared" si="19"/>
        <v>1.5006814499090524</v>
      </c>
      <c r="AA102" s="14">
        <f t="shared" si="20"/>
        <v>3.7073634373989475E-6</v>
      </c>
      <c r="AB102" s="16"/>
    </row>
    <row r="103" spans="2:28" x14ac:dyDescent="0.3">
      <c r="B103" s="27">
        <v>18.199999999999996</v>
      </c>
      <c r="C103" s="27">
        <v>1243</v>
      </c>
      <c r="D103" s="19">
        <f t="shared" si="6"/>
        <v>23.741444671428862</v>
      </c>
      <c r="E103" s="19">
        <f t="shared" ref="E103:H103" si="22">1/D$23-LN(D$23)+$B103*D$22</f>
        <v>1.5411102519215589</v>
      </c>
      <c r="F103" s="19">
        <f t="shared" si="22"/>
        <v>14.122585092994045</v>
      </c>
      <c r="G103" s="19">
        <f t="shared" si="22"/>
        <v>14.122585092994045</v>
      </c>
      <c r="H103" s="19">
        <f t="shared" si="22"/>
        <v>14.122585092994045</v>
      </c>
      <c r="I103" s="3"/>
      <c r="J103" s="17">
        <f t="shared" si="7"/>
        <v>20.710789857792001</v>
      </c>
      <c r="K103" s="17">
        <f t="shared" si="8"/>
        <v>1.2880110472323949</v>
      </c>
      <c r="L103" s="17">
        <f t="shared" si="9"/>
        <v>11.665913849445127</v>
      </c>
      <c r="M103" s="17">
        <f t="shared" si="10"/>
        <v>11.665913849445127</v>
      </c>
      <c r="N103" s="17">
        <f t="shared" si="11"/>
        <v>11.665913849445127</v>
      </c>
      <c r="O103" s="3"/>
      <c r="P103" s="19">
        <f t="shared" si="12"/>
        <v>322.56214046455847</v>
      </c>
      <c r="Q103" s="19">
        <f t="shared" si="13"/>
        <v>878.81634692678006</v>
      </c>
      <c r="R103" s="19">
        <f t="shared" si="14"/>
        <v>0</v>
      </c>
      <c r="S103" s="19">
        <f t="shared" si="15"/>
        <v>0</v>
      </c>
      <c r="T103" s="19">
        <f t="shared" si="16"/>
        <v>0</v>
      </c>
      <c r="U103" s="3"/>
      <c r="V103" s="19">
        <f t="shared" si="17"/>
        <v>1201.3784873913385</v>
      </c>
      <c r="W103" s="3"/>
      <c r="X103" s="14">
        <f t="shared" si="18"/>
        <v>1732.3503118329709</v>
      </c>
      <c r="Y103" s="14">
        <f t="shared" si="19"/>
        <v>41.621512608661533</v>
      </c>
      <c r="AA103" s="14">
        <f t="shared" si="20"/>
        <v>1.02824003098021E-4</v>
      </c>
      <c r="AB103" s="16"/>
    </row>
    <row r="104" spans="2:28" x14ac:dyDescent="0.3">
      <c r="B104" s="27">
        <v>18.500000000000007</v>
      </c>
      <c r="C104" s="27">
        <v>1200</v>
      </c>
      <c r="D104" s="19">
        <f t="shared" ref="D104:H113" si="23">1/C$23-LN(C$23)+$B104*C$22</f>
        <v>23.845159421627031</v>
      </c>
      <c r="E104" s="19">
        <f t="shared" si="23"/>
        <v>1.5438708440167024</v>
      </c>
      <c r="F104" s="19">
        <f t="shared" si="23"/>
        <v>14.152585092994046</v>
      </c>
      <c r="G104" s="19">
        <f t="shared" si="23"/>
        <v>14.152585092994046</v>
      </c>
      <c r="H104" s="19">
        <f t="shared" si="23"/>
        <v>14.152585092994046</v>
      </c>
      <c r="I104" s="3"/>
      <c r="J104" s="17">
        <f t="shared" ref="J104:J113" si="24">lmb_2(D104)</f>
        <v>20.809738354372492</v>
      </c>
      <c r="K104" s="17">
        <f t="shared" ref="K104:K113" si="25">lmb_2(E104)</f>
        <v>1.2895655023012238</v>
      </c>
      <c r="L104" s="17">
        <f t="shared" ref="L104:L113" si="26">lmb_2(F104)</f>
        <v>11.693547867609576</v>
      </c>
      <c r="M104" s="17">
        <f t="shared" ref="M104:M113" si="27">lmb_2(G104)</f>
        <v>11.693547867609576</v>
      </c>
      <c r="N104" s="17">
        <f t="shared" ref="N104:N113" si="28">lmb_2(H104)</f>
        <v>11.693547867609576</v>
      </c>
      <c r="O104" s="3"/>
      <c r="P104" s="19">
        <f t="shared" ref="P104:P113" si="29">(C$21*$A$21*C$22)/(J104+J104^2)</f>
        <v>319.57191340020808</v>
      </c>
      <c r="Q104" s="19">
        <f t="shared" ref="Q104:Q113" si="30">($D$21*$A$21*$D$22)/(K104+K104^2)</f>
        <v>877.16107726306643</v>
      </c>
      <c r="R104" s="19">
        <f t="shared" ref="R104:R113" si="31">($E$21*$A$21*$E$22)/(L104+L104^2)</f>
        <v>0</v>
      </c>
      <c r="S104" s="19">
        <f t="shared" ref="S104:S113" si="32">($F$21*$A$21*$F$22)/(M104+M104^2)</f>
        <v>0</v>
      </c>
      <c r="T104" s="19">
        <f t="shared" ref="T104:T113" si="33">($G$21*$A$21*$G$22)/(N104+N104^2)</f>
        <v>0</v>
      </c>
      <c r="U104" s="3"/>
      <c r="V104" s="19">
        <f t="shared" ref="V104:V113" si="34">SUM(P104:T104)</f>
        <v>1196.7329906632744</v>
      </c>
      <c r="W104" s="3"/>
      <c r="X104" s="14">
        <f t="shared" ref="X104:X113" si="35">(V104-C104)^2</f>
        <v>10.673350006251921</v>
      </c>
      <c r="Y104" s="14">
        <f t="shared" ref="Y104:Y113" si="36">ABS(V104-C104)</f>
        <v>3.2670093367255504</v>
      </c>
      <c r="AA104" s="14">
        <f t="shared" ref="AA104:AA113" si="37">Y104/$Z$39</f>
        <v>8.0709939909974439E-6</v>
      </c>
      <c r="AB104" s="16"/>
    </row>
    <row r="105" spans="2:28" x14ac:dyDescent="0.3">
      <c r="B105" s="27">
        <v>18.800000000000004</v>
      </c>
      <c r="C105" s="27">
        <v>1170</v>
      </c>
      <c r="D105" s="19">
        <f t="shared" si="23"/>
        <v>23.948874171825196</v>
      </c>
      <c r="E105" s="19">
        <f t="shared" si="23"/>
        <v>1.5466314361118454</v>
      </c>
      <c r="F105" s="19">
        <f t="shared" si="23"/>
        <v>14.182585092994046</v>
      </c>
      <c r="G105" s="19">
        <f t="shared" si="23"/>
        <v>14.182585092994046</v>
      </c>
      <c r="H105" s="19">
        <f t="shared" si="23"/>
        <v>14.182585092994046</v>
      </c>
      <c r="I105" s="3"/>
      <c r="J105" s="17">
        <f t="shared" si="24"/>
        <v>20.908708428421438</v>
      </c>
      <c r="K105" s="17">
        <f t="shared" si="25"/>
        <v>1.2911207761904917</v>
      </c>
      <c r="L105" s="17">
        <f t="shared" si="26"/>
        <v>11.721187031428791</v>
      </c>
      <c r="M105" s="17">
        <f t="shared" si="27"/>
        <v>11.721187031428791</v>
      </c>
      <c r="N105" s="17">
        <f t="shared" si="28"/>
        <v>11.721187031428791</v>
      </c>
      <c r="O105" s="3"/>
      <c r="P105" s="19">
        <f t="shared" si="29"/>
        <v>316.62244349142253</v>
      </c>
      <c r="Q105" s="19">
        <f t="shared" si="30"/>
        <v>875.50973288627506</v>
      </c>
      <c r="R105" s="19">
        <f t="shared" si="31"/>
        <v>0</v>
      </c>
      <c r="S105" s="19">
        <f t="shared" si="32"/>
        <v>0</v>
      </c>
      <c r="T105" s="19">
        <f t="shared" si="33"/>
        <v>0</v>
      </c>
      <c r="U105" s="3"/>
      <c r="V105" s="19">
        <f t="shared" si="34"/>
        <v>1192.1321763776975</v>
      </c>
      <c r="W105" s="3"/>
      <c r="X105" s="14">
        <f t="shared" si="35"/>
        <v>489.8332312135127</v>
      </c>
      <c r="Y105" s="14">
        <f t="shared" si="36"/>
        <v>22.132176377697533</v>
      </c>
      <c r="AA105" s="14">
        <f t="shared" si="37"/>
        <v>5.4676508127499817E-5</v>
      </c>
      <c r="AB105" s="16"/>
    </row>
    <row r="106" spans="2:28" x14ac:dyDescent="0.3">
      <c r="B106" s="27">
        <v>19.100000000000001</v>
      </c>
      <c r="C106" s="27">
        <v>1219</v>
      </c>
      <c r="D106" s="19">
        <f t="shared" si="23"/>
        <v>24.052588922023361</v>
      </c>
      <c r="E106" s="19">
        <f t="shared" si="23"/>
        <v>1.5493920282069886</v>
      </c>
      <c r="F106" s="19">
        <f t="shared" si="23"/>
        <v>14.212585092994045</v>
      </c>
      <c r="G106" s="19">
        <f t="shared" si="23"/>
        <v>14.212585092994045</v>
      </c>
      <c r="H106" s="19">
        <f t="shared" si="23"/>
        <v>14.212585092994045</v>
      </c>
      <c r="I106" s="3"/>
      <c r="J106" s="17">
        <f t="shared" si="24"/>
        <v>21.007699890071823</v>
      </c>
      <c r="K106" s="17">
        <f t="shared" si="25"/>
        <v>1.2926768682193444</v>
      </c>
      <c r="L106" s="17">
        <f t="shared" si="26"/>
        <v>11.74883131951915</v>
      </c>
      <c r="M106" s="17">
        <f t="shared" si="27"/>
        <v>11.74883131951915</v>
      </c>
      <c r="N106" s="17">
        <f t="shared" si="28"/>
        <v>11.74883131951915</v>
      </c>
      <c r="O106" s="3"/>
      <c r="P106" s="19">
        <f t="shared" si="29"/>
        <v>313.71300190655563</v>
      </c>
      <c r="Q106" s="19">
        <f t="shared" si="30"/>
        <v>873.86230311691486</v>
      </c>
      <c r="R106" s="19">
        <f t="shared" si="31"/>
        <v>0</v>
      </c>
      <c r="S106" s="19">
        <f t="shared" si="32"/>
        <v>0</v>
      </c>
      <c r="T106" s="19">
        <f t="shared" si="33"/>
        <v>0</v>
      </c>
      <c r="U106" s="3"/>
      <c r="V106" s="19">
        <f t="shared" si="34"/>
        <v>1187.5753050234705</v>
      </c>
      <c r="W106" s="3"/>
      <c r="X106" s="14">
        <f t="shared" si="35"/>
        <v>987.51145436791887</v>
      </c>
      <c r="Y106" s="14">
        <f t="shared" si="36"/>
        <v>31.424694976529508</v>
      </c>
      <c r="AA106" s="14">
        <f t="shared" si="37"/>
        <v>7.7633241348095853E-5</v>
      </c>
      <c r="AB106" s="16"/>
    </row>
    <row r="107" spans="2:28" x14ac:dyDescent="0.3">
      <c r="B107" s="27">
        <v>19.399999999999999</v>
      </c>
      <c r="C107" s="27">
        <v>1169</v>
      </c>
      <c r="D107" s="19">
        <f t="shared" si="23"/>
        <v>24.156303672221526</v>
      </c>
      <c r="E107" s="19">
        <f t="shared" si="23"/>
        <v>1.5521526203021316</v>
      </c>
      <c r="F107" s="19">
        <f t="shared" si="23"/>
        <v>14.242585092994045</v>
      </c>
      <c r="G107" s="19">
        <f t="shared" si="23"/>
        <v>14.242585092994045</v>
      </c>
      <c r="H107" s="19">
        <f t="shared" si="23"/>
        <v>14.242585092994045</v>
      </c>
      <c r="I107" s="3"/>
      <c r="J107" s="17">
        <f t="shared" si="24"/>
        <v>21.106712551909983</v>
      </c>
      <c r="K107" s="17">
        <f t="shared" si="25"/>
        <v>1.2942337777070783</v>
      </c>
      <c r="L107" s="17">
        <f t="shared" si="26"/>
        <v>11.776480710625856</v>
      </c>
      <c r="M107" s="17">
        <f t="shared" si="27"/>
        <v>11.776480710625856</v>
      </c>
      <c r="N107" s="17">
        <f t="shared" si="28"/>
        <v>11.776480710625856</v>
      </c>
      <c r="O107" s="3"/>
      <c r="P107" s="19">
        <f t="shared" si="29"/>
        <v>310.84287588105428</v>
      </c>
      <c r="Q107" s="19">
        <f t="shared" si="30"/>
        <v>872.21877730690255</v>
      </c>
      <c r="R107" s="19">
        <f t="shared" si="31"/>
        <v>0</v>
      </c>
      <c r="S107" s="19">
        <f t="shared" si="32"/>
        <v>0</v>
      </c>
      <c r="T107" s="19">
        <f t="shared" si="33"/>
        <v>0</v>
      </c>
      <c r="U107" s="3"/>
      <c r="V107" s="19">
        <f t="shared" si="34"/>
        <v>1183.0616531879568</v>
      </c>
      <c r="W107" s="3"/>
      <c r="X107" s="14">
        <f t="shared" si="35"/>
        <v>197.73009037837664</v>
      </c>
      <c r="Y107" s="14">
        <f t="shared" si="36"/>
        <v>14.061653187956836</v>
      </c>
      <c r="AA107" s="14">
        <f t="shared" si="37"/>
        <v>3.4738657495616354E-5</v>
      </c>
      <c r="AB107" s="16"/>
    </row>
    <row r="108" spans="2:28" x14ac:dyDescent="0.3">
      <c r="B108" s="27">
        <v>19.699999999999996</v>
      </c>
      <c r="C108" s="27">
        <v>1205</v>
      </c>
      <c r="D108" s="19">
        <f t="shared" si="23"/>
        <v>24.260018422419691</v>
      </c>
      <c r="E108" s="19">
        <f t="shared" si="23"/>
        <v>1.5549132123972749</v>
      </c>
      <c r="F108" s="19">
        <f t="shared" si="23"/>
        <v>14.272585092994046</v>
      </c>
      <c r="G108" s="19">
        <f t="shared" si="23"/>
        <v>14.272585092994046</v>
      </c>
      <c r="H108" s="19">
        <f t="shared" si="23"/>
        <v>14.272585092994046</v>
      </c>
      <c r="I108" s="3"/>
      <c r="J108" s="17">
        <f t="shared" si="24"/>
        <v>21.205746228934114</v>
      </c>
      <c r="K108" s="17">
        <f t="shared" si="25"/>
        <v>1.2957915039731454</v>
      </c>
      <c r="L108" s="17">
        <f t="shared" si="26"/>
        <v>11.804135183621938</v>
      </c>
      <c r="M108" s="17">
        <f t="shared" si="27"/>
        <v>11.804135183621938</v>
      </c>
      <c r="N108" s="17">
        <f t="shared" si="28"/>
        <v>11.804135183621938</v>
      </c>
      <c r="O108" s="3"/>
      <c r="P108" s="19">
        <f t="shared" si="29"/>
        <v>308.01136829763794</v>
      </c>
      <c r="Q108" s="19">
        <f t="shared" si="30"/>
        <v>870.57914483946558</v>
      </c>
      <c r="R108" s="19">
        <f t="shared" si="31"/>
        <v>0</v>
      </c>
      <c r="S108" s="19">
        <f t="shared" si="32"/>
        <v>0</v>
      </c>
      <c r="T108" s="19">
        <f t="shared" si="33"/>
        <v>0</v>
      </c>
      <c r="U108" s="3"/>
      <c r="V108" s="19">
        <f t="shared" si="34"/>
        <v>1178.5905131371035</v>
      </c>
      <c r="W108" s="3"/>
      <c r="X108" s="14">
        <f t="shared" si="35"/>
        <v>697.46099636150439</v>
      </c>
      <c r="Y108" s="14">
        <f t="shared" si="36"/>
        <v>26.409486862896529</v>
      </c>
      <c r="AA108" s="14">
        <f t="shared" si="37"/>
        <v>6.524340392286728E-5</v>
      </c>
      <c r="AB108" s="16"/>
    </row>
    <row r="109" spans="2:28" x14ac:dyDescent="0.3">
      <c r="B109" s="27">
        <v>20.000000000000007</v>
      </c>
      <c r="C109" s="27">
        <v>1201</v>
      </c>
      <c r="D109" s="19">
        <f t="shared" si="23"/>
        <v>24.363733172617859</v>
      </c>
      <c r="E109" s="19">
        <f t="shared" si="23"/>
        <v>1.5576738044924181</v>
      </c>
      <c r="F109" s="19">
        <f t="shared" si="23"/>
        <v>14.302585092994047</v>
      </c>
      <c r="G109" s="19">
        <f t="shared" si="23"/>
        <v>14.302585092994047</v>
      </c>
      <c r="H109" s="19">
        <f t="shared" si="23"/>
        <v>14.302585092994047</v>
      </c>
      <c r="I109" s="3"/>
      <c r="J109" s="17">
        <f t="shared" si="24"/>
        <v>21.304800738513588</v>
      </c>
      <c r="K109" s="17">
        <f t="shared" si="25"/>
        <v>1.2973500463371537</v>
      </c>
      <c r="L109" s="17">
        <f t="shared" si="26"/>
        <v>11.83179471750725</v>
      </c>
      <c r="M109" s="17">
        <f t="shared" si="27"/>
        <v>11.83179471750725</v>
      </c>
      <c r="N109" s="17">
        <f t="shared" si="28"/>
        <v>11.83179471750725</v>
      </c>
      <c r="O109" s="3"/>
      <c r="P109" s="19">
        <f t="shared" si="29"/>
        <v>305.21779727913395</v>
      </c>
      <c r="Q109" s="19">
        <f t="shared" si="30"/>
        <v>868.94339512904776</v>
      </c>
      <c r="R109" s="19">
        <f t="shared" si="31"/>
        <v>0</v>
      </c>
      <c r="S109" s="19">
        <f t="shared" si="32"/>
        <v>0</v>
      </c>
      <c r="T109" s="19">
        <f t="shared" si="33"/>
        <v>0</v>
      </c>
      <c r="U109" s="3"/>
      <c r="V109" s="19">
        <f t="shared" si="34"/>
        <v>1174.1611924081817</v>
      </c>
      <c r="W109" s="3"/>
      <c r="X109" s="14">
        <f t="shared" si="35"/>
        <v>720.32159295064332</v>
      </c>
      <c r="Y109" s="14">
        <f t="shared" si="36"/>
        <v>26.838807591818295</v>
      </c>
      <c r="AA109" s="14">
        <f t="shared" si="37"/>
        <v>6.6304020733595824E-5</v>
      </c>
      <c r="AB109" s="16"/>
    </row>
    <row r="110" spans="2:28" x14ac:dyDescent="0.3">
      <c r="B110" s="27">
        <v>20.199999999999996</v>
      </c>
      <c r="C110" s="27">
        <v>1157</v>
      </c>
      <c r="D110" s="19">
        <f t="shared" si="23"/>
        <v>24.43287633941663</v>
      </c>
      <c r="E110" s="19">
        <f t="shared" si="23"/>
        <v>1.5595141992225134</v>
      </c>
      <c r="F110" s="19">
        <f t="shared" si="23"/>
        <v>14.322585092994045</v>
      </c>
      <c r="G110" s="19">
        <f t="shared" si="23"/>
        <v>14.322585092994045</v>
      </c>
      <c r="H110" s="19">
        <f t="shared" si="23"/>
        <v>14.322585092994045</v>
      </c>
      <c r="I110" s="3"/>
      <c r="J110" s="17">
        <f t="shared" si="24"/>
        <v>21.37084856274366</v>
      </c>
      <c r="K110" s="17">
        <f t="shared" si="25"/>
        <v>1.2983895276316464</v>
      </c>
      <c r="L110" s="17">
        <f t="shared" si="26"/>
        <v>11.850237208055802</v>
      </c>
      <c r="M110" s="17">
        <f t="shared" si="27"/>
        <v>11.850237208055802</v>
      </c>
      <c r="N110" s="17">
        <f t="shared" si="28"/>
        <v>11.850237208055802</v>
      </c>
      <c r="O110" s="3"/>
      <c r="P110" s="19">
        <f t="shared" si="29"/>
        <v>303.37616247173258</v>
      </c>
      <c r="Q110" s="19">
        <f t="shared" si="30"/>
        <v>867.85504719599157</v>
      </c>
      <c r="R110" s="19">
        <f t="shared" si="31"/>
        <v>0</v>
      </c>
      <c r="S110" s="19">
        <f t="shared" si="32"/>
        <v>0</v>
      </c>
      <c r="T110" s="19">
        <f t="shared" si="33"/>
        <v>0</v>
      </c>
      <c r="U110" s="3"/>
      <c r="V110" s="19">
        <f t="shared" si="34"/>
        <v>1171.2312096677242</v>
      </c>
      <c r="W110" s="3"/>
      <c r="X110" s="14">
        <f t="shared" si="35"/>
        <v>202.52732860672717</v>
      </c>
      <c r="Y110" s="14">
        <f t="shared" si="36"/>
        <v>14.231209667724215</v>
      </c>
      <c r="AA110" s="14">
        <f t="shared" si="37"/>
        <v>3.5157538860280225E-5</v>
      </c>
      <c r="AB110" s="16"/>
    </row>
    <row r="111" spans="2:28" x14ac:dyDescent="0.3">
      <c r="B111" s="27">
        <v>20.500000000000007</v>
      </c>
      <c r="C111" s="27">
        <v>1152</v>
      </c>
      <c r="D111" s="19">
        <f t="shared" si="23"/>
        <v>24.536591089614802</v>
      </c>
      <c r="E111" s="19">
        <f t="shared" si="23"/>
        <v>1.5622747913176567</v>
      </c>
      <c r="F111" s="19">
        <f t="shared" si="23"/>
        <v>14.352585092994046</v>
      </c>
      <c r="G111" s="19">
        <f t="shared" si="23"/>
        <v>14.352585092994046</v>
      </c>
      <c r="H111" s="19">
        <f t="shared" si="23"/>
        <v>14.352585092994046</v>
      </c>
      <c r="I111" s="3"/>
      <c r="J111" s="17">
        <f t="shared" si="24"/>
        <v>21.469937393717309</v>
      </c>
      <c r="K111" s="17">
        <f t="shared" si="25"/>
        <v>1.299949428647339</v>
      </c>
      <c r="L111" s="17">
        <f t="shared" si="26"/>
        <v>11.877905130430854</v>
      </c>
      <c r="M111" s="17">
        <f t="shared" si="27"/>
        <v>11.877905130430854</v>
      </c>
      <c r="N111" s="17">
        <f t="shared" si="28"/>
        <v>11.877905130430854</v>
      </c>
      <c r="O111" s="3"/>
      <c r="P111" s="19">
        <f t="shared" si="29"/>
        <v>300.64434392522912</v>
      </c>
      <c r="Q111" s="19">
        <f t="shared" si="30"/>
        <v>866.22574530830241</v>
      </c>
      <c r="R111" s="19">
        <f t="shared" si="31"/>
        <v>0</v>
      </c>
      <c r="S111" s="19">
        <f t="shared" si="32"/>
        <v>0</v>
      </c>
      <c r="T111" s="19">
        <f t="shared" si="33"/>
        <v>0</v>
      </c>
      <c r="U111" s="3"/>
      <c r="V111" s="19">
        <f t="shared" si="34"/>
        <v>1166.8700892335314</v>
      </c>
      <c r="W111" s="3"/>
      <c r="X111" s="14">
        <f t="shared" si="35"/>
        <v>221.11955381318694</v>
      </c>
      <c r="Y111" s="14">
        <f t="shared" si="36"/>
        <v>14.870089233531417</v>
      </c>
      <c r="AA111" s="14">
        <f t="shared" si="37"/>
        <v>3.6735860990748674E-5</v>
      </c>
      <c r="AB111" s="16"/>
    </row>
    <row r="112" spans="2:28" x14ac:dyDescent="0.3">
      <c r="B112" s="27">
        <v>20.800000000000004</v>
      </c>
      <c r="C112" s="27">
        <v>1116</v>
      </c>
      <c r="D112" s="19">
        <f t="shared" si="23"/>
        <v>24.640305839812964</v>
      </c>
      <c r="E112" s="19">
        <f t="shared" si="23"/>
        <v>1.5650353834127999</v>
      </c>
      <c r="F112" s="19">
        <f t="shared" si="23"/>
        <v>14.382585092994045</v>
      </c>
      <c r="G112" s="19">
        <f t="shared" si="23"/>
        <v>14.382585092994045</v>
      </c>
      <c r="H112" s="19">
        <f t="shared" si="23"/>
        <v>14.382585092994045</v>
      </c>
      <c r="I112" s="3"/>
      <c r="J112" s="17">
        <f t="shared" si="24"/>
        <v>21.569046581523544</v>
      </c>
      <c r="K112" s="17">
        <f t="shared" si="25"/>
        <v>1.3015101439473749</v>
      </c>
      <c r="L112" s="17">
        <f t="shared" si="26"/>
        <v>11.905578058307324</v>
      </c>
      <c r="M112" s="17">
        <f t="shared" si="27"/>
        <v>11.905578058307324</v>
      </c>
      <c r="N112" s="17">
        <f t="shared" si="28"/>
        <v>11.905578058307324</v>
      </c>
      <c r="O112" s="3"/>
      <c r="P112" s="19">
        <f t="shared" si="29"/>
        <v>297.94871514543763</v>
      </c>
      <c r="Q112" s="19">
        <f t="shared" si="30"/>
        <v>864.60029810138167</v>
      </c>
      <c r="R112" s="19">
        <f t="shared" si="31"/>
        <v>0</v>
      </c>
      <c r="S112" s="19">
        <f t="shared" si="32"/>
        <v>0</v>
      </c>
      <c r="T112" s="19">
        <f t="shared" si="33"/>
        <v>0</v>
      </c>
      <c r="U112" s="3"/>
      <c r="V112" s="19">
        <f t="shared" si="34"/>
        <v>1162.5490132468194</v>
      </c>
      <c r="W112" s="3"/>
      <c r="X112" s="14">
        <f t="shared" si="35"/>
        <v>2166.8106342525693</v>
      </c>
      <c r="Y112" s="14">
        <f t="shared" si="36"/>
        <v>46.549013246819413</v>
      </c>
      <c r="AA112" s="14">
        <f t="shared" si="37"/>
        <v>1.1499716330118979E-4</v>
      </c>
      <c r="AB112" s="16"/>
    </row>
    <row r="113" spans="2:28" x14ac:dyDescent="0.3">
      <c r="B113" s="27">
        <v>21.1</v>
      </c>
      <c r="C113" s="27">
        <v>1147</v>
      </c>
      <c r="D113" s="19">
        <f t="shared" si="23"/>
        <v>24.744020590011129</v>
      </c>
      <c r="E113" s="19">
        <f t="shared" si="23"/>
        <v>1.5677959755079431</v>
      </c>
      <c r="F113" s="19">
        <f t="shared" si="23"/>
        <v>14.412585092994046</v>
      </c>
      <c r="G113" s="19">
        <f t="shared" si="23"/>
        <v>14.412585092994046</v>
      </c>
      <c r="H113" s="19">
        <f t="shared" si="23"/>
        <v>14.412585092994046</v>
      </c>
      <c r="I113" s="3"/>
      <c r="J113" s="17">
        <f t="shared" si="24"/>
        <v>21.668175951891623</v>
      </c>
      <c r="K113" s="17">
        <f t="shared" si="25"/>
        <v>1.3030716728519534</v>
      </c>
      <c r="L113" s="17">
        <f t="shared" si="26"/>
        <v>11.933255971141733</v>
      </c>
      <c r="M113" s="17">
        <f t="shared" si="27"/>
        <v>11.933255971141733</v>
      </c>
      <c r="N113" s="17">
        <f t="shared" si="28"/>
        <v>11.933255971141733</v>
      </c>
      <c r="O113" s="3"/>
      <c r="P113" s="19">
        <f t="shared" si="29"/>
        <v>295.28864684516702</v>
      </c>
      <c r="Q113" s="19">
        <f t="shared" si="30"/>
        <v>862.97869510332953</v>
      </c>
      <c r="R113" s="19">
        <f t="shared" si="31"/>
        <v>0</v>
      </c>
      <c r="S113" s="19">
        <f t="shared" si="32"/>
        <v>0</v>
      </c>
      <c r="T113" s="19">
        <f t="shared" si="33"/>
        <v>0</v>
      </c>
      <c r="U113" s="3"/>
      <c r="V113" s="19">
        <f t="shared" si="34"/>
        <v>1158.2673419484966</v>
      </c>
      <c r="W113" s="3"/>
      <c r="X113" s="14">
        <f t="shared" si="35"/>
        <v>126.95299458435005</v>
      </c>
      <c r="Y113" s="14">
        <f t="shared" si="36"/>
        <v>11.267341948496551</v>
      </c>
      <c r="AA113" s="14">
        <f t="shared" si="37"/>
        <v>2.7835442078036677E-5</v>
      </c>
      <c r="AB113" s="16"/>
    </row>
    <row r="114" spans="2:28" x14ac:dyDescent="0.3">
      <c r="B114" s="27">
        <v>21.4</v>
      </c>
      <c r="C114" s="27">
        <v>1156</v>
      </c>
      <c r="D114" s="19">
        <f t="shared" ref="D114:H114" si="38">1/C$23-LN(C$23)+$B114*C$22</f>
        <v>24.847735340209294</v>
      </c>
      <c r="E114" s="19">
        <f t="shared" si="38"/>
        <v>1.5705565676030862</v>
      </c>
      <c r="F114" s="19">
        <f t="shared" si="38"/>
        <v>14.442585092994046</v>
      </c>
      <c r="G114" s="19">
        <f t="shared" si="38"/>
        <v>14.442585092994046</v>
      </c>
      <c r="H114" s="19">
        <f t="shared" si="38"/>
        <v>14.442585092994046</v>
      </c>
      <c r="I114" s="16"/>
      <c r="J114" s="19">
        <f t="shared" ref="J114:J177" si="39">lmb_2(D114)</f>
        <v>21.767325332743063</v>
      </c>
      <c r="K114" s="19">
        <f t="shared" ref="K114:K177" si="40">lmb_2(E114)</f>
        <v>1.3046340146814395</v>
      </c>
      <c r="L114" s="19">
        <f t="shared" ref="L114:L177" si="41">lmb_2(F114)</f>
        <v>11.960938848512907</v>
      </c>
      <c r="M114" s="19">
        <f t="shared" ref="M114:M177" si="42">lmb_2(G114)</f>
        <v>11.960938848512907</v>
      </c>
      <c r="N114" s="19">
        <f t="shared" ref="N114:N177" si="43">lmb_2(H114)</f>
        <v>11.960938848512907</v>
      </c>
      <c r="O114" s="16"/>
      <c r="P114" s="19">
        <f t="shared" ref="P114:P177" si="44">(C$21*$A$21*C$22)/(J114+J114^2)</f>
        <v>292.66352323230302</v>
      </c>
      <c r="Q114" s="19">
        <f t="shared" ref="Q114:Q177" si="45">($D$21*$A$21*$D$22)/(K114+K114^2)</f>
        <v>861.36092587302596</v>
      </c>
      <c r="R114" s="19">
        <f t="shared" ref="R114:R177" si="46">($E$21*$A$21*$E$22)/(L114+L114^2)</f>
        <v>0</v>
      </c>
      <c r="S114" s="19">
        <f t="shared" ref="S114:S177" si="47">($F$21*$A$21*$F$22)/(M114+M114^2)</f>
        <v>0</v>
      </c>
      <c r="T114" s="19">
        <f t="shared" ref="T114:T177" si="48">($G$21*$A$21*$G$22)/(N114+N114^2)</f>
        <v>0</v>
      </c>
      <c r="U114" s="16"/>
      <c r="V114" s="19">
        <f t="shared" ref="V114:V177" si="49">SUM(P114:T114)</f>
        <v>1154.024449105329</v>
      </c>
      <c r="W114" s="16"/>
      <c r="X114" s="19">
        <f t="shared" ref="X114:X177" si="50">(V114-C114)^2</f>
        <v>3.9028013374352293</v>
      </c>
      <c r="Y114" s="19">
        <f t="shared" ref="Y114:Y177" si="51">ABS(V114-C114)</f>
        <v>1.9755508946709597</v>
      </c>
      <c r="Z114" s="19"/>
      <c r="AA114" s="19">
        <f t="shared" ref="AA114:AA177" si="52">Y114/$Z$39</f>
        <v>4.8805062234012195E-6</v>
      </c>
      <c r="AB114" s="16"/>
    </row>
    <row r="115" spans="2:28" x14ac:dyDescent="0.3">
      <c r="B115" s="27">
        <v>21.699999999999996</v>
      </c>
      <c r="C115" s="27">
        <v>1203</v>
      </c>
      <c r="D115" s="19">
        <f t="shared" ref="D115:H115" si="53">1/C$23-LN(C$23)+$B115*C$22</f>
        <v>24.951450090407455</v>
      </c>
      <c r="E115" s="19">
        <f t="shared" si="53"/>
        <v>1.5733171596982294</v>
      </c>
      <c r="F115" s="19">
        <f t="shared" si="53"/>
        <v>14.472585092994045</v>
      </c>
      <c r="G115" s="19">
        <f t="shared" si="53"/>
        <v>14.472585092994045</v>
      </c>
      <c r="H115" s="19">
        <f t="shared" si="53"/>
        <v>14.472585092994045</v>
      </c>
      <c r="I115" s="16"/>
      <c r="J115" s="19">
        <f t="shared" si="39"/>
        <v>21.866494554155484</v>
      </c>
      <c r="K115" s="19">
        <f t="shared" si="40"/>
        <v>1.3061971687563674</v>
      </c>
      <c r="L115" s="19">
        <f t="shared" si="41"/>
        <v>11.988626670121036</v>
      </c>
      <c r="M115" s="19">
        <f t="shared" si="42"/>
        <v>11.988626670121036</v>
      </c>
      <c r="N115" s="19">
        <f t="shared" si="43"/>
        <v>11.988626670121036</v>
      </c>
      <c r="O115" s="16"/>
      <c r="P115" s="19">
        <f t="shared" si="44"/>
        <v>290.07274166666519</v>
      </c>
      <c r="Q115" s="19">
        <f t="shared" si="45"/>
        <v>859.74698000003525</v>
      </c>
      <c r="R115" s="19">
        <f t="shared" si="46"/>
        <v>0</v>
      </c>
      <c r="S115" s="19">
        <f t="shared" si="47"/>
        <v>0</v>
      </c>
      <c r="T115" s="19">
        <f t="shared" si="48"/>
        <v>0</v>
      </c>
      <c r="U115" s="16"/>
      <c r="V115" s="19">
        <f t="shared" si="49"/>
        <v>1149.8197216667004</v>
      </c>
      <c r="W115" s="16"/>
      <c r="X115" s="19">
        <f t="shared" si="50"/>
        <v>2828.1420036072159</v>
      </c>
      <c r="Y115" s="19">
        <f t="shared" si="51"/>
        <v>53.180278333299611</v>
      </c>
      <c r="Z115" s="19"/>
      <c r="AA115" s="19">
        <f t="shared" si="52"/>
        <v>1.3137939400498558E-4</v>
      </c>
      <c r="AB115" s="16"/>
    </row>
    <row r="116" spans="2:28" x14ac:dyDescent="0.3">
      <c r="B116" s="27">
        <v>22.000000000000007</v>
      </c>
      <c r="C116" s="27">
        <v>1105</v>
      </c>
      <c r="D116" s="19">
        <f t="shared" ref="D116:H116" si="54">1/C$23-LN(C$23)+$B116*C$22</f>
        <v>25.055164840605627</v>
      </c>
      <c r="E116" s="19">
        <f t="shared" si="54"/>
        <v>1.5760777517933726</v>
      </c>
      <c r="F116" s="19">
        <f t="shared" si="54"/>
        <v>14.502585092994046</v>
      </c>
      <c r="G116" s="19">
        <f t="shared" si="54"/>
        <v>14.502585092994046</v>
      </c>
      <c r="H116" s="19">
        <f t="shared" si="54"/>
        <v>14.502585092994046</v>
      </c>
      <c r="I116" s="16"/>
      <c r="J116" s="19">
        <f t="shared" si="39"/>
        <v>21.96568344832723</v>
      </c>
      <c r="K116" s="19">
        <f t="shared" si="40"/>
        <v>1.3077611343974402</v>
      </c>
      <c r="L116" s="19">
        <f t="shared" si="41"/>
        <v>12.016319415786734</v>
      </c>
      <c r="M116" s="19">
        <f t="shared" si="42"/>
        <v>12.016319415786734</v>
      </c>
      <c r="N116" s="19">
        <f t="shared" si="43"/>
        <v>12.016319415786734</v>
      </c>
      <c r="O116" s="16"/>
      <c r="P116" s="19">
        <f t="shared" si="44"/>
        <v>287.51571232693237</v>
      </c>
      <c r="Q116" s="19">
        <f t="shared" si="45"/>
        <v>858.13684710451571</v>
      </c>
      <c r="R116" s="19">
        <f t="shared" si="46"/>
        <v>0</v>
      </c>
      <c r="S116" s="19">
        <f t="shared" si="47"/>
        <v>0</v>
      </c>
      <c r="T116" s="19">
        <f t="shared" si="48"/>
        <v>0</v>
      </c>
      <c r="U116" s="16"/>
      <c r="V116" s="19">
        <f t="shared" si="49"/>
        <v>1145.652559431448</v>
      </c>
      <c r="W116" s="16"/>
      <c r="X116" s="19">
        <f t="shared" si="50"/>
        <v>1652.6305883274138</v>
      </c>
      <c r="Y116" s="19">
        <f t="shared" si="51"/>
        <v>40.652559431448026</v>
      </c>
      <c r="Z116" s="19"/>
      <c r="AA116" s="19">
        <f t="shared" si="52"/>
        <v>1.0043024952562187E-4</v>
      </c>
      <c r="AB116" s="16"/>
    </row>
    <row r="117" spans="2:28" x14ac:dyDescent="0.3">
      <c r="B117" s="27">
        <v>22.199999999999996</v>
      </c>
      <c r="C117" s="27">
        <v>1179</v>
      </c>
      <c r="D117" s="19">
        <f t="shared" ref="D117:H117" si="55">1/C$23-LN(C$23)+$B117*C$22</f>
        <v>25.124308007404398</v>
      </c>
      <c r="E117" s="19">
        <f t="shared" si="55"/>
        <v>1.577918146523468</v>
      </c>
      <c r="F117" s="19">
        <f t="shared" si="55"/>
        <v>14.522585092994046</v>
      </c>
      <c r="G117" s="19">
        <f t="shared" si="55"/>
        <v>14.522585092994046</v>
      </c>
      <c r="H117" s="19">
        <f t="shared" si="55"/>
        <v>14.522585092994046</v>
      </c>
      <c r="I117" s="16"/>
      <c r="J117" s="19">
        <f t="shared" si="39"/>
        <v>22.031820225166076</v>
      </c>
      <c r="K117" s="19">
        <f t="shared" si="40"/>
        <v>1.3088042286928592</v>
      </c>
      <c r="L117" s="19">
        <f t="shared" si="41"/>
        <v>12.034783971907062</v>
      </c>
      <c r="M117" s="19">
        <f t="shared" si="42"/>
        <v>12.034783971907062</v>
      </c>
      <c r="N117" s="19">
        <f t="shared" si="43"/>
        <v>12.034783971907062</v>
      </c>
      <c r="O117" s="16"/>
      <c r="P117" s="19">
        <f t="shared" si="44"/>
        <v>285.82949173321373</v>
      </c>
      <c r="Q117" s="19">
        <f t="shared" si="45"/>
        <v>857.06553838294849</v>
      </c>
      <c r="R117" s="19">
        <f t="shared" si="46"/>
        <v>0</v>
      </c>
      <c r="S117" s="19">
        <f t="shared" si="47"/>
        <v>0</v>
      </c>
      <c r="T117" s="19">
        <f t="shared" si="48"/>
        <v>0</v>
      </c>
      <c r="U117" s="16"/>
      <c r="V117" s="19">
        <f t="shared" si="49"/>
        <v>1142.8950301161622</v>
      </c>
      <c r="W117" s="16"/>
      <c r="X117" s="19">
        <f t="shared" si="50"/>
        <v>1303.5688503128374</v>
      </c>
      <c r="Y117" s="19">
        <f t="shared" si="51"/>
        <v>36.104969883837839</v>
      </c>
      <c r="Z117" s="19"/>
      <c r="AA117" s="19">
        <f t="shared" si="52"/>
        <v>8.9195641929100048E-5</v>
      </c>
      <c r="AB117" s="16"/>
    </row>
    <row r="118" spans="2:28" x14ac:dyDescent="0.3">
      <c r="B118" s="27">
        <v>22.500000000000007</v>
      </c>
      <c r="C118" s="27">
        <v>1168</v>
      </c>
      <c r="D118" s="19">
        <f t="shared" ref="D118:H118" si="56">1/C$23-LN(C$23)+$B118*C$22</f>
        <v>25.228022757602567</v>
      </c>
      <c r="E118" s="19">
        <f t="shared" si="56"/>
        <v>1.5806787386186112</v>
      </c>
      <c r="F118" s="19">
        <f t="shared" si="56"/>
        <v>14.552585092994047</v>
      </c>
      <c r="G118" s="19">
        <f t="shared" si="56"/>
        <v>14.552585092994047</v>
      </c>
      <c r="H118" s="19">
        <f t="shared" si="56"/>
        <v>14.552585092994047</v>
      </c>
      <c r="I118" s="16"/>
      <c r="J118" s="19">
        <f t="shared" si="39"/>
        <v>22.131041540027695</v>
      </c>
      <c r="K118" s="19">
        <f t="shared" si="40"/>
        <v>1.3103695454350952</v>
      </c>
      <c r="L118" s="19">
        <f t="shared" si="41"/>
        <v>12.062484879816447</v>
      </c>
      <c r="M118" s="19">
        <f t="shared" si="42"/>
        <v>12.062484879816447</v>
      </c>
      <c r="N118" s="19">
        <f t="shared" si="43"/>
        <v>12.062484879816447</v>
      </c>
      <c r="O118" s="16"/>
      <c r="P118" s="19">
        <f t="shared" si="44"/>
        <v>283.32743918534197</v>
      </c>
      <c r="Q118" s="19">
        <f t="shared" si="45"/>
        <v>855.46173746636532</v>
      </c>
      <c r="R118" s="19">
        <f t="shared" si="46"/>
        <v>0</v>
      </c>
      <c r="S118" s="19">
        <f t="shared" si="47"/>
        <v>0</v>
      </c>
      <c r="T118" s="19">
        <f t="shared" si="48"/>
        <v>0</v>
      </c>
      <c r="U118" s="16"/>
      <c r="V118" s="19">
        <f t="shared" si="49"/>
        <v>1138.7891766517073</v>
      </c>
      <c r="W118" s="16"/>
      <c r="X118" s="19">
        <f t="shared" si="50"/>
        <v>853.27220068516226</v>
      </c>
      <c r="Y118" s="19">
        <f t="shared" si="51"/>
        <v>29.210823348292706</v>
      </c>
      <c r="Z118" s="19"/>
      <c r="AA118" s="19">
        <f t="shared" si="52"/>
        <v>7.2163974882439593E-5</v>
      </c>
      <c r="AB118" s="16"/>
    </row>
    <row r="119" spans="2:28" x14ac:dyDescent="0.3">
      <c r="B119" s="27">
        <v>22.800000000000004</v>
      </c>
      <c r="C119" s="27">
        <v>1152</v>
      </c>
      <c r="D119" s="19">
        <f t="shared" ref="D119:H119" si="57">1/C$23-LN(C$23)+$B119*C$22</f>
        <v>25.331737507800732</v>
      </c>
      <c r="E119" s="19">
        <f t="shared" si="57"/>
        <v>1.5834393307137544</v>
      </c>
      <c r="F119" s="19">
        <f t="shared" si="57"/>
        <v>14.582585092994046</v>
      </c>
      <c r="G119" s="19">
        <f t="shared" si="57"/>
        <v>14.582585092994046</v>
      </c>
      <c r="H119" s="19">
        <f t="shared" si="57"/>
        <v>14.582585092994046</v>
      </c>
      <c r="I119" s="16"/>
      <c r="J119" s="19">
        <f t="shared" si="39"/>
        <v>22.230282090283737</v>
      </c>
      <c r="K119" s="19">
        <f t="shared" si="40"/>
        <v>1.3119356719328668</v>
      </c>
      <c r="L119" s="19">
        <f t="shared" si="41"/>
        <v>12.090190658553439</v>
      </c>
      <c r="M119" s="19">
        <f t="shared" si="42"/>
        <v>12.090190658553439</v>
      </c>
      <c r="N119" s="19">
        <f t="shared" si="43"/>
        <v>12.090190658553439</v>
      </c>
      <c r="O119" s="16"/>
      <c r="P119" s="19">
        <f t="shared" si="44"/>
        <v>280.85762624721502</v>
      </c>
      <c r="Q119" s="19">
        <f t="shared" si="45"/>
        <v>853.86172199653868</v>
      </c>
      <c r="R119" s="19">
        <f t="shared" si="46"/>
        <v>0</v>
      </c>
      <c r="S119" s="19">
        <f t="shared" si="47"/>
        <v>0</v>
      </c>
      <c r="T119" s="19">
        <f t="shared" si="48"/>
        <v>0</v>
      </c>
      <c r="U119" s="16"/>
      <c r="V119" s="19">
        <f t="shared" si="49"/>
        <v>1134.7193482437538</v>
      </c>
      <c r="W119" s="16"/>
      <c r="X119" s="19">
        <f t="shared" si="50"/>
        <v>298.62092512065635</v>
      </c>
      <c r="Y119" s="19">
        <f t="shared" si="51"/>
        <v>17.280651756246243</v>
      </c>
      <c r="Z119" s="19"/>
      <c r="AA119" s="19">
        <f t="shared" si="52"/>
        <v>4.2691043125384057E-5</v>
      </c>
      <c r="AB119" s="16"/>
    </row>
    <row r="120" spans="2:28" x14ac:dyDescent="0.3">
      <c r="B120" s="27">
        <v>23.1</v>
      </c>
      <c r="C120" s="27">
        <v>1115</v>
      </c>
      <c r="D120" s="19">
        <f t="shared" ref="D120:H120" si="58">1/C$23-LN(C$23)+$B120*C$22</f>
        <v>25.435452257998897</v>
      </c>
      <c r="E120" s="19">
        <f t="shared" si="58"/>
        <v>1.5861999228088974</v>
      </c>
      <c r="F120" s="19">
        <f t="shared" si="58"/>
        <v>14.612585092994046</v>
      </c>
      <c r="G120" s="19">
        <f t="shared" si="58"/>
        <v>14.612585092994046</v>
      </c>
      <c r="H120" s="19">
        <f t="shared" si="58"/>
        <v>14.612585092994046</v>
      </c>
      <c r="I120" s="16"/>
      <c r="J120" s="19">
        <f t="shared" si="39"/>
        <v>22.329541715616866</v>
      </c>
      <c r="K120" s="19">
        <f t="shared" si="40"/>
        <v>1.3135026075075182</v>
      </c>
      <c r="L120" s="19">
        <f t="shared" si="41"/>
        <v>12.11790128837236</v>
      </c>
      <c r="M120" s="19">
        <f t="shared" si="42"/>
        <v>12.11790128837236</v>
      </c>
      <c r="N120" s="19">
        <f t="shared" si="43"/>
        <v>12.11790128837236</v>
      </c>
      <c r="O120" s="16"/>
      <c r="P120" s="19">
        <f t="shared" si="44"/>
        <v>278.41950740424898</v>
      </c>
      <c r="Q120" s="19">
        <f t="shared" si="45"/>
        <v>852.26548170501235</v>
      </c>
      <c r="R120" s="19">
        <f t="shared" si="46"/>
        <v>0</v>
      </c>
      <c r="S120" s="19">
        <f t="shared" si="47"/>
        <v>0</v>
      </c>
      <c r="T120" s="19">
        <f t="shared" si="48"/>
        <v>0</v>
      </c>
      <c r="U120" s="16"/>
      <c r="V120" s="19">
        <f t="shared" si="49"/>
        <v>1130.6849891092613</v>
      </c>
      <c r="W120" s="16"/>
      <c r="X120" s="19">
        <f t="shared" si="50"/>
        <v>246.01888335764633</v>
      </c>
      <c r="Y120" s="19">
        <f t="shared" si="51"/>
        <v>15.684989109261323</v>
      </c>
      <c r="Z120" s="19"/>
      <c r="AA120" s="19">
        <f t="shared" si="52"/>
        <v>3.8749033076406886E-5</v>
      </c>
      <c r="AB120" s="16"/>
    </row>
    <row r="121" spans="2:28" x14ac:dyDescent="0.3">
      <c r="B121" s="27">
        <v>23.4</v>
      </c>
      <c r="C121" s="27">
        <v>1051</v>
      </c>
      <c r="D121" s="19">
        <f t="shared" ref="D121:H121" si="59">1/C$23-LN(C$23)+$B121*C$22</f>
        <v>25.539167008197062</v>
      </c>
      <c r="E121" s="19">
        <f t="shared" si="59"/>
        <v>1.5889605149040407</v>
      </c>
      <c r="F121" s="19">
        <f t="shared" si="59"/>
        <v>14.642585092994045</v>
      </c>
      <c r="G121" s="19">
        <f t="shared" si="59"/>
        <v>14.642585092994045</v>
      </c>
      <c r="H121" s="19">
        <f t="shared" si="59"/>
        <v>14.642585092994045</v>
      </c>
      <c r="I121" s="16"/>
      <c r="J121" s="19">
        <f t="shared" si="39"/>
        <v>22.428820257674392</v>
      </c>
      <c r="K121" s="19">
        <f t="shared" si="40"/>
        <v>1.3150703514805742</v>
      </c>
      <c r="L121" s="19">
        <f t="shared" si="41"/>
        <v>12.145616749643713</v>
      </c>
      <c r="M121" s="19">
        <f t="shared" si="42"/>
        <v>12.145616749643713</v>
      </c>
      <c r="N121" s="19">
        <f t="shared" si="43"/>
        <v>12.145616749643713</v>
      </c>
      <c r="O121" s="16"/>
      <c r="P121" s="19">
        <f t="shared" si="44"/>
        <v>276.01254853000717</v>
      </c>
      <c r="Q121" s="19">
        <f t="shared" si="45"/>
        <v>850.67300635349341</v>
      </c>
      <c r="R121" s="19">
        <f t="shared" si="46"/>
        <v>0</v>
      </c>
      <c r="S121" s="19">
        <f t="shared" si="47"/>
        <v>0</v>
      </c>
      <c r="T121" s="19">
        <f t="shared" si="48"/>
        <v>0</v>
      </c>
      <c r="U121" s="16"/>
      <c r="V121" s="19">
        <f t="shared" si="49"/>
        <v>1126.6855548835006</v>
      </c>
      <c r="W121" s="16"/>
      <c r="X121" s="19">
        <f t="shared" si="50"/>
        <v>5728.3032180233777</v>
      </c>
      <c r="Y121" s="19">
        <f t="shared" si="51"/>
        <v>75.685554883500572</v>
      </c>
      <c r="Z121" s="19"/>
      <c r="AA121" s="19">
        <f t="shared" si="52"/>
        <v>1.8697762868418648E-4</v>
      </c>
      <c r="AB121" s="16"/>
    </row>
    <row r="122" spans="2:28" x14ac:dyDescent="0.3">
      <c r="B122" s="27">
        <v>23.699999999999996</v>
      </c>
      <c r="C122" s="27">
        <v>1098</v>
      </c>
      <c r="D122" s="19">
        <f t="shared" ref="D122:H122" si="60">1/C$23-LN(C$23)+$B122*C$22</f>
        <v>25.642881758395227</v>
      </c>
      <c r="E122" s="19">
        <f t="shared" si="60"/>
        <v>1.5917211069991837</v>
      </c>
      <c r="F122" s="19">
        <f t="shared" si="60"/>
        <v>14.672585092994044</v>
      </c>
      <c r="G122" s="19">
        <f t="shared" si="60"/>
        <v>14.672585092994044</v>
      </c>
      <c r="H122" s="19">
        <f t="shared" si="60"/>
        <v>14.672585092994044</v>
      </c>
      <c r="I122" s="16"/>
      <c r="J122" s="19">
        <f t="shared" si="39"/>
        <v>22.528117560036694</v>
      </c>
      <c r="K122" s="19">
        <f t="shared" si="40"/>
        <v>1.3166389031737395</v>
      </c>
      <c r="L122" s="19">
        <f t="shared" si="41"/>
        <v>12.173337022853289</v>
      </c>
      <c r="M122" s="19">
        <f t="shared" si="42"/>
        <v>12.173337022853289</v>
      </c>
      <c r="N122" s="19">
        <f t="shared" si="43"/>
        <v>12.173337022853289</v>
      </c>
      <c r="O122" s="16"/>
      <c r="P122" s="19">
        <f t="shared" si="44"/>
        <v>273.63622660421839</v>
      </c>
      <c r="Q122" s="19">
        <f t="shared" si="45"/>
        <v>849.0842857337625</v>
      </c>
      <c r="R122" s="19">
        <f t="shared" si="46"/>
        <v>0</v>
      </c>
      <c r="S122" s="19">
        <f t="shared" si="47"/>
        <v>0</v>
      </c>
      <c r="T122" s="19">
        <f t="shared" si="48"/>
        <v>0</v>
      </c>
      <c r="U122" s="16"/>
      <c r="V122" s="19">
        <f t="shared" si="49"/>
        <v>1122.7205123379808</v>
      </c>
      <c r="W122" s="16"/>
      <c r="X122" s="19">
        <f t="shared" si="50"/>
        <v>611.10373025226272</v>
      </c>
      <c r="Y122" s="19">
        <f t="shared" si="51"/>
        <v>24.720512337980836</v>
      </c>
      <c r="Z122" s="19"/>
      <c r="AA122" s="19">
        <f t="shared" si="52"/>
        <v>6.1070871237299545E-5</v>
      </c>
      <c r="AB122" s="16"/>
    </row>
    <row r="123" spans="2:28" x14ac:dyDescent="0.3">
      <c r="B123" s="27">
        <v>24.000000000000007</v>
      </c>
      <c r="C123" s="27">
        <v>1144</v>
      </c>
      <c r="D123" s="19">
        <f t="shared" ref="D123:H123" si="61">1/C$23-LN(C$23)+$B123*C$22</f>
        <v>25.746596508593392</v>
      </c>
      <c r="E123" s="19">
        <f t="shared" si="61"/>
        <v>1.5944816990943269</v>
      </c>
      <c r="F123" s="19">
        <f t="shared" si="61"/>
        <v>14.702585092994045</v>
      </c>
      <c r="G123" s="19">
        <f t="shared" si="61"/>
        <v>14.702585092994045</v>
      </c>
      <c r="H123" s="19">
        <f t="shared" si="61"/>
        <v>14.702585092994045</v>
      </c>
      <c r="I123" s="16"/>
      <c r="J123" s="19">
        <f t="shared" si="39"/>
        <v>22.627433468186279</v>
      </c>
      <c r="K123" s="19">
        <f t="shared" si="40"/>
        <v>1.3182082619089042</v>
      </c>
      <c r="L123" s="19">
        <f t="shared" si="41"/>
        <v>12.201062088601297</v>
      </c>
      <c r="M123" s="19">
        <f t="shared" si="42"/>
        <v>12.201062088601297</v>
      </c>
      <c r="N123" s="19">
        <f t="shared" si="43"/>
        <v>12.201062088601297</v>
      </c>
      <c r="O123" s="16"/>
      <c r="P123" s="19">
        <f t="shared" si="44"/>
        <v>271.29002943885422</v>
      </c>
      <c r="Q123" s="19">
        <f t="shared" si="45"/>
        <v>847.49930966758029</v>
      </c>
      <c r="R123" s="19">
        <f t="shared" si="46"/>
        <v>0</v>
      </c>
      <c r="S123" s="19">
        <f t="shared" si="47"/>
        <v>0</v>
      </c>
      <c r="T123" s="19">
        <f t="shared" si="48"/>
        <v>0</v>
      </c>
      <c r="U123" s="16"/>
      <c r="V123" s="19">
        <f t="shared" si="49"/>
        <v>1118.7893391064345</v>
      </c>
      <c r="W123" s="16"/>
      <c r="X123" s="19">
        <f t="shared" si="50"/>
        <v>635.57742269035509</v>
      </c>
      <c r="Y123" s="19">
        <f t="shared" si="51"/>
        <v>25.210660893565546</v>
      </c>
      <c r="Z123" s="19"/>
      <c r="AA123" s="19">
        <f t="shared" si="52"/>
        <v>6.2281760353026793E-5</v>
      </c>
      <c r="AB123" s="16"/>
    </row>
    <row r="124" spans="2:28" x14ac:dyDescent="0.3">
      <c r="B124" s="27">
        <v>24.199999999999996</v>
      </c>
      <c r="C124" s="27">
        <v>1122</v>
      </c>
      <c r="D124" s="19">
        <f t="shared" ref="D124:H124" si="62">1/C$23-LN(C$23)+$B124*C$22</f>
        <v>25.815739675392166</v>
      </c>
      <c r="E124" s="19">
        <f t="shared" si="62"/>
        <v>1.5963220938244223</v>
      </c>
      <c r="F124" s="19">
        <f t="shared" si="62"/>
        <v>14.722585092994045</v>
      </c>
      <c r="G124" s="19">
        <f t="shared" si="62"/>
        <v>14.722585092994045</v>
      </c>
      <c r="H124" s="19">
        <f t="shared" si="62"/>
        <v>14.722585092994045</v>
      </c>
      <c r="I124" s="16"/>
      <c r="J124" s="19">
        <f t="shared" si="39"/>
        <v>22.693654334711102</v>
      </c>
      <c r="K124" s="19">
        <f t="shared" si="40"/>
        <v>1.3192549490875607</v>
      </c>
      <c r="L124" s="19">
        <f t="shared" si="41"/>
        <v>12.219548118759267</v>
      </c>
      <c r="M124" s="19">
        <f t="shared" si="42"/>
        <v>12.219548118759267</v>
      </c>
      <c r="N124" s="19">
        <f t="shared" si="43"/>
        <v>12.219548118759267</v>
      </c>
      <c r="O124" s="16"/>
      <c r="P124" s="19">
        <f t="shared" si="44"/>
        <v>269.74238583180198</v>
      </c>
      <c r="Q124" s="19">
        <f t="shared" si="45"/>
        <v>846.44473425156286</v>
      </c>
      <c r="R124" s="19">
        <f t="shared" si="46"/>
        <v>0</v>
      </c>
      <c r="S124" s="19">
        <f t="shared" si="47"/>
        <v>0</v>
      </c>
      <c r="T124" s="19">
        <f t="shared" si="48"/>
        <v>0</v>
      </c>
      <c r="U124" s="16"/>
      <c r="V124" s="19">
        <f t="shared" si="49"/>
        <v>1116.1871200833648</v>
      </c>
      <c r="W124" s="16"/>
      <c r="X124" s="19">
        <f t="shared" si="50"/>
        <v>33.78957292522098</v>
      </c>
      <c r="Y124" s="19">
        <f t="shared" si="51"/>
        <v>5.812879916635211</v>
      </c>
      <c r="Z124" s="19"/>
      <c r="AA124" s="19">
        <f t="shared" si="52"/>
        <v>1.4360448361795951E-5</v>
      </c>
      <c r="AB124" s="16"/>
    </row>
    <row r="125" spans="2:28" x14ac:dyDescent="0.3">
      <c r="B125" s="27">
        <v>24.500000000000007</v>
      </c>
      <c r="C125" s="27">
        <v>1104</v>
      </c>
      <c r="D125" s="19">
        <f t="shared" ref="D125:H125" si="63">1/C$23-LN(C$23)+$B125*C$22</f>
        <v>25.919454425590338</v>
      </c>
      <c r="E125" s="19">
        <f t="shared" si="63"/>
        <v>1.5990826859195657</v>
      </c>
      <c r="F125" s="19">
        <f t="shared" si="63"/>
        <v>14.752585092994046</v>
      </c>
      <c r="G125" s="19">
        <f t="shared" si="63"/>
        <v>14.752585092994046</v>
      </c>
      <c r="H125" s="19">
        <f t="shared" si="63"/>
        <v>14.752585092994046</v>
      </c>
      <c r="I125" s="16"/>
      <c r="J125" s="19">
        <f t="shared" si="39"/>
        <v>22.793000914204342</v>
      </c>
      <c r="K125" s="19">
        <f t="shared" si="40"/>
        <v>1.3208256513863141</v>
      </c>
      <c r="L125" s="19">
        <f t="shared" si="41"/>
        <v>12.24728112926868</v>
      </c>
      <c r="M125" s="19">
        <f t="shared" si="42"/>
        <v>12.24728112926868</v>
      </c>
      <c r="N125" s="19">
        <f t="shared" si="43"/>
        <v>12.24728112926868</v>
      </c>
      <c r="O125" s="16"/>
      <c r="P125" s="19">
        <f t="shared" si="44"/>
        <v>267.44528698568894</v>
      </c>
      <c r="Q125" s="19">
        <f t="shared" si="45"/>
        <v>844.86597657079972</v>
      </c>
      <c r="R125" s="19">
        <f t="shared" si="46"/>
        <v>0</v>
      </c>
      <c r="S125" s="19">
        <f t="shared" si="47"/>
        <v>0</v>
      </c>
      <c r="T125" s="19">
        <f t="shared" si="48"/>
        <v>0</v>
      </c>
      <c r="U125" s="16"/>
      <c r="V125" s="19">
        <f t="shared" si="49"/>
        <v>1112.3112635564887</v>
      </c>
      <c r="W125" s="16"/>
      <c r="X125" s="19">
        <f t="shared" si="50"/>
        <v>69.077101905417379</v>
      </c>
      <c r="Y125" s="19">
        <f t="shared" si="51"/>
        <v>8.3112635564887114</v>
      </c>
      <c r="Z125" s="19"/>
      <c r="AA125" s="19">
        <f t="shared" si="52"/>
        <v>2.0532588464913709E-5</v>
      </c>
      <c r="AB125" s="16"/>
    </row>
    <row r="126" spans="2:28" x14ac:dyDescent="0.3">
      <c r="B126" s="27">
        <v>24.800000000000004</v>
      </c>
      <c r="C126" s="27">
        <v>1106</v>
      </c>
      <c r="D126" s="19">
        <f t="shared" ref="D126:H126" si="64">1/C$23-LN(C$23)+$B126*C$22</f>
        <v>26.0231691757885</v>
      </c>
      <c r="E126" s="19">
        <f t="shared" si="64"/>
        <v>1.6018432780147087</v>
      </c>
      <c r="F126" s="19">
        <f t="shared" si="64"/>
        <v>14.782585092994045</v>
      </c>
      <c r="G126" s="19">
        <f t="shared" si="64"/>
        <v>14.782585092994045</v>
      </c>
      <c r="H126" s="19">
        <f t="shared" si="64"/>
        <v>14.782585092994045</v>
      </c>
      <c r="I126" s="16"/>
      <c r="J126" s="19">
        <f t="shared" si="39"/>
        <v>22.892365696508648</v>
      </c>
      <c r="K126" s="19">
        <f t="shared" si="40"/>
        <v>1.3223971589196819</v>
      </c>
      <c r="L126" s="19">
        <f t="shared" si="41"/>
        <v>12.275018881136516</v>
      </c>
      <c r="M126" s="19">
        <f t="shared" si="42"/>
        <v>12.275018881136516</v>
      </c>
      <c r="N126" s="19">
        <f t="shared" si="43"/>
        <v>12.275018881136516</v>
      </c>
      <c r="O126" s="16"/>
      <c r="P126" s="19">
        <f t="shared" si="44"/>
        <v>265.17699802285119</v>
      </c>
      <c r="Q126" s="19">
        <f t="shared" si="45"/>
        <v>843.29093644750481</v>
      </c>
      <c r="R126" s="19">
        <f t="shared" si="46"/>
        <v>0</v>
      </c>
      <c r="S126" s="19">
        <f t="shared" si="47"/>
        <v>0</v>
      </c>
      <c r="T126" s="19">
        <f t="shared" si="48"/>
        <v>0</v>
      </c>
      <c r="U126" s="16"/>
      <c r="V126" s="19">
        <f t="shared" si="49"/>
        <v>1108.4679344703559</v>
      </c>
      <c r="W126" s="16"/>
      <c r="X126" s="19">
        <f t="shared" si="50"/>
        <v>6.0907005499707845</v>
      </c>
      <c r="Y126" s="19">
        <f t="shared" si="51"/>
        <v>2.4679344703558854</v>
      </c>
      <c r="Z126" s="19"/>
      <c r="AA126" s="19">
        <f t="shared" si="52"/>
        <v>6.0969168519064763E-6</v>
      </c>
      <c r="AB126" s="16"/>
    </row>
    <row r="127" spans="2:28" x14ac:dyDescent="0.3">
      <c r="B127" s="27">
        <v>25.1</v>
      </c>
      <c r="C127" s="27">
        <v>1133</v>
      </c>
      <c r="D127" s="19">
        <f t="shared" ref="D127:H127" si="65">1/C$23-LN(C$23)+$B127*C$22</f>
        <v>26.126883925986665</v>
      </c>
      <c r="E127" s="19">
        <f t="shared" si="65"/>
        <v>1.6046038701098519</v>
      </c>
      <c r="F127" s="19">
        <f t="shared" si="65"/>
        <v>14.812585092994045</v>
      </c>
      <c r="G127" s="19">
        <f t="shared" si="65"/>
        <v>14.812585092994045</v>
      </c>
      <c r="H127" s="19">
        <f t="shared" si="65"/>
        <v>14.812585092994045</v>
      </c>
      <c r="I127" s="16"/>
      <c r="J127" s="19">
        <f t="shared" si="39"/>
        <v>22.991748533825938</v>
      </c>
      <c r="K127" s="19">
        <f t="shared" si="40"/>
        <v>1.3239694710102425</v>
      </c>
      <c r="L127" s="19">
        <f t="shared" si="41"/>
        <v>12.302761355375123</v>
      </c>
      <c r="M127" s="19">
        <f t="shared" si="42"/>
        <v>12.302761355375123</v>
      </c>
      <c r="N127" s="19">
        <f t="shared" si="43"/>
        <v>12.302761355375123</v>
      </c>
      <c r="O127" s="16"/>
      <c r="P127" s="19">
        <f t="shared" si="44"/>
        <v>262.93704425328548</v>
      </c>
      <c r="Q127" s="19">
        <f t="shared" si="45"/>
        <v>841.71960381259817</v>
      </c>
      <c r="R127" s="19">
        <f t="shared" si="46"/>
        <v>0</v>
      </c>
      <c r="S127" s="19">
        <f t="shared" si="47"/>
        <v>0</v>
      </c>
      <c r="T127" s="19">
        <f t="shared" si="48"/>
        <v>0</v>
      </c>
      <c r="U127" s="16"/>
      <c r="V127" s="19">
        <f t="shared" si="49"/>
        <v>1104.6566480658837</v>
      </c>
      <c r="W127" s="16"/>
      <c r="X127" s="19">
        <f t="shared" si="50"/>
        <v>803.34559886117415</v>
      </c>
      <c r="Y127" s="19">
        <f t="shared" si="51"/>
        <v>28.343351934116299</v>
      </c>
      <c r="Z127" s="19"/>
      <c r="AA127" s="19">
        <f t="shared" si="52"/>
        <v>7.0020927266237451E-5</v>
      </c>
      <c r="AB127" s="16"/>
    </row>
    <row r="128" spans="2:28" x14ac:dyDescent="0.3">
      <c r="B128" s="27">
        <v>25.4</v>
      </c>
      <c r="C128" s="27">
        <v>1096</v>
      </c>
      <c r="D128" s="19">
        <f t="shared" ref="D128:H128" si="66">1/C$23-LN(C$23)+$B128*C$22</f>
        <v>26.23059867618483</v>
      </c>
      <c r="E128" s="19">
        <f t="shared" si="66"/>
        <v>1.6073644622049952</v>
      </c>
      <c r="F128" s="19">
        <f t="shared" si="66"/>
        <v>14.842585092994046</v>
      </c>
      <c r="G128" s="19">
        <f t="shared" si="66"/>
        <v>14.842585092994046</v>
      </c>
      <c r="H128" s="19">
        <f t="shared" si="66"/>
        <v>14.842585092994046</v>
      </c>
      <c r="I128" s="16"/>
      <c r="J128" s="19">
        <f t="shared" si="39"/>
        <v>23.091149280123645</v>
      </c>
      <c r="K128" s="19">
        <f t="shared" si="40"/>
        <v>1.3255425869807662</v>
      </c>
      <c r="L128" s="19">
        <f t="shared" si="41"/>
        <v>12.330508533107274</v>
      </c>
      <c r="M128" s="19">
        <f t="shared" si="42"/>
        <v>12.330508533107274</v>
      </c>
      <c r="N128" s="19">
        <f t="shared" si="43"/>
        <v>12.330508533107274</v>
      </c>
      <c r="O128" s="16"/>
      <c r="P128" s="19">
        <f t="shared" si="44"/>
        <v>260.72496064008226</v>
      </c>
      <c r="Q128" s="19">
        <f t="shared" si="45"/>
        <v>840.15196862656126</v>
      </c>
      <c r="R128" s="19">
        <f t="shared" si="46"/>
        <v>0</v>
      </c>
      <c r="S128" s="19">
        <f t="shared" si="47"/>
        <v>0</v>
      </c>
      <c r="T128" s="19">
        <f t="shared" si="48"/>
        <v>0</v>
      </c>
      <c r="U128" s="16"/>
      <c r="V128" s="19">
        <f t="shared" si="49"/>
        <v>1100.8769292666434</v>
      </c>
      <c r="W128" s="16"/>
      <c r="X128" s="19">
        <f t="shared" si="50"/>
        <v>23.784439071842943</v>
      </c>
      <c r="Y128" s="19">
        <f t="shared" si="51"/>
        <v>4.8769292666434012</v>
      </c>
      <c r="Z128" s="19"/>
      <c r="AA128" s="19">
        <f t="shared" si="52"/>
        <v>1.2048225991618918E-5</v>
      </c>
      <c r="AB128" s="16"/>
    </row>
    <row r="129" spans="2:28" x14ac:dyDescent="0.3">
      <c r="B129" s="27">
        <v>25.699999999999996</v>
      </c>
      <c r="C129" s="27">
        <v>1057</v>
      </c>
      <c r="D129" s="19">
        <f t="shared" ref="D129:H129" si="67">1/C$23-LN(C$23)+$B129*C$22</f>
        <v>26.334313426382991</v>
      </c>
      <c r="E129" s="19">
        <f t="shared" si="67"/>
        <v>1.6101250543001382</v>
      </c>
      <c r="F129" s="19">
        <f t="shared" si="67"/>
        <v>14.872585092994045</v>
      </c>
      <c r="G129" s="19">
        <f t="shared" si="67"/>
        <v>14.872585092994045</v>
      </c>
      <c r="H129" s="19">
        <f t="shared" si="67"/>
        <v>14.872585092994045</v>
      </c>
      <c r="I129" s="16"/>
      <c r="J129" s="19">
        <f t="shared" si="39"/>
        <v>23.190567791107089</v>
      </c>
      <c r="K129" s="19">
        <f t="shared" si="40"/>
        <v>1.3271165061542181</v>
      </c>
      <c r="L129" s="19">
        <f t="shared" si="41"/>
        <v>12.358260395565326</v>
      </c>
      <c r="M129" s="19">
        <f t="shared" si="42"/>
        <v>12.358260395565326</v>
      </c>
      <c r="N129" s="19">
        <f t="shared" si="43"/>
        <v>12.358260395565326</v>
      </c>
      <c r="O129" s="16"/>
      <c r="P129" s="19">
        <f t="shared" si="44"/>
        <v>258.54029156651666</v>
      </c>
      <c r="Q129" s="19">
        <f t="shared" si="45"/>
        <v>838.58802087934657</v>
      </c>
      <c r="R129" s="19">
        <f t="shared" si="46"/>
        <v>0</v>
      </c>
      <c r="S129" s="19">
        <f t="shared" si="47"/>
        <v>0</v>
      </c>
      <c r="T129" s="19">
        <f t="shared" si="48"/>
        <v>0</v>
      </c>
      <c r="U129" s="16"/>
      <c r="V129" s="19">
        <f t="shared" si="49"/>
        <v>1097.1283124458632</v>
      </c>
      <c r="W129" s="16"/>
      <c r="X129" s="19">
        <f t="shared" si="50"/>
        <v>1610.2814597528218</v>
      </c>
      <c r="Y129" s="19">
        <f t="shared" si="51"/>
        <v>40.12831244586323</v>
      </c>
      <c r="Z129" s="19"/>
      <c r="AA129" s="19">
        <f t="shared" si="52"/>
        <v>9.9135121831039213E-5</v>
      </c>
      <c r="AB129" s="16"/>
    </row>
    <row r="130" spans="2:28" x14ac:dyDescent="0.3">
      <c r="B130" s="27">
        <v>26.000000000000007</v>
      </c>
      <c r="C130" s="27">
        <v>1095</v>
      </c>
      <c r="D130" s="19">
        <f t="shared" ref="D130:H130" si="68">1/C$23-LN(C$23)+$B130*C$22</f>
        <v>26.438028176581163</v>
      </c>
      <c r="E130" s="19">
        <f t="shared" si="68"/>
        <v>1.6128856463952814</v>
      </c>
      <c r="F130" s="19">
        <f t="shared" si="68"/>
        <v>14.902585092994046</v>
      </c>
      <c r="G130" s="19">
        <f t="shared" si="68"/>
        <v>14.902585092994046</v>
      </c>
      <c r="H130" s="19">
        <f t="shared" si="68"/>
        <v>14.902585092994046</v>
      </c>
      <c r="I130" s="16"/>
      <c r="J130" s="19">
        <f t="shared" si="39"/>
        <v>23.290003924192341</v>
      </c>
      <c r="K130" s="19">
        <f t="shared" si="40"/>
        <v>1.3286912278537599</v>
      </c>
      <c r="L130" s="19">
        <f t="shared" si="41"/>
        <v>12.386016924090413</v>
      </c>
      <c r="M130" s="19">
        <f t="shared" si="42"/>
        <v>12.386016924090413</v>
      </c>
      <c r="N130" s="19">
        <f t="shared" si="43"/>
        <v>12.386016924090413</v>
      </c>
      <c r="O130" s="16"/>
      <c r="P130" s="19">
        <f t="shared" si="44"/>
        <v>256.3825906096281</v>
      </c>
      <c r="Q130" s="19">
        <f t="shared" si="45"/>
        <v>837.02775059028772</v>
      </c>
      <c r="R130" s="19">
        <f t="shared" si="46"/>
        <v>0</v>
      </c>
      <c r="S130" s="19">
        <f t="shared" si="47"/>
        <v>0</v>
      </c>
      <c r="T130" s="19">
        <f t="shared" si="48"/>
        <v>0</v>
      </c>
      <c r="U130" s="16"/>
      <c r="V130" s="19">
        <f t="shared" si="49"/>
        <v>1093.4103411999158</v>
      </c>
      <c r="W130" s="16"/>
      <c r="X130" s="19">
        <f t="shared" si="50"/>
        <v>2.5270151006850758</v>
      </c>
      <c r="Y130" s="19">
        <f t="shared" si="51"/>
        <v>1.5896588000841803</v>
      </c>
      <c r="Z130" s="19"/>
      <c r="AA130" s="19">
        <f t="shared" si="52"/>
        <v>3.9271778255996568E-6</v>
      </c>
      <c r="AB130" s="16"/>
    </row>
    <row r="131" spans="2:28" x14ac:dyDescent="0.3">
      <c r="B131" s="27">
        <v>26.199999999999996</v>
      </c>
      <c r="C131" s="27">
        <v>1098</v>
      </c>
      <c r="D131" s="19">
        <f t="shared" ref="D131:H131" si="69">1/C$23-LN(C$23)+$B131*C$22</f>
        <v>26.507171343379937</v>
      </c>
      <c r="E131" s="19">
        <f t="shared" si="69"/>
        <v>1.6147260411253768</v>
      </c>
      <c r="F131" s="19">
        <f t="shared" si="69"/>
        <v>14.922585092994044</v>
      </c>
      <c r="G131" s="19">
        <f t="shared" si="69"/>
        <v>14.922585092994044</v>
      </c>
      <c r="H131" s="19">
        <f t="shared" si="69"/>
        <v>14.922585092994044</v>
      </c>
      <c r="I131" s="16"/>
      <c r="J131" s="19">
        <f t="shared" si="39"/>
        <v>23.356304399990382</v>
      </c>
      <c r="K131" s="19">
        <f t="shared" si="40"/>
        <v>1.3297414878337972</v>
      </c>
      <c r="L131" s="19">
        <f t="shared" si="41"/>
        <v>12.404523859534562</v>
      </c>
      <c r="M131" s="19">
        <f t="shared" si="42"/>
        <v>12.404523859534562</v>
      </c>
      <c r="N131" s="19">
        <f t="shared" si="43"/>
        <v>12.404523859534562</v>
      </c>
      <c r="O131" s="16"/>
      <c r="P131" s="19">
        <f t="shared" si="44"/>
        <v>254.95888920493226</v>
      </c>
      <c r="Q131" s="19">
        <f t="shared" si="45"/>
        <v>835.9896085144303</v>
      </c>
      <c r="R131" s="19">
        <f t="shared" si="46"/>
        <v>0</v>
      </c>
      <c r="S131" s="19">
        <f t="shared" si="47"/>
        <v>0</v>
      </c>
      <c r="T131" s="19">
        <f t="shared" si="48"/>
        <v>0</v>
      </c>
      <c r="U131" s="16"/>
      <c r="V131" s="19">
        <f t="shared" si="49"/>
        <v>1090.9484977193626</v>
      </c>
      <c r="W131" s="16"/>
      <c r="X131" s="19">
        <f t="shared" si="50"/>
        <v>49.723684413833759</v>
      </c>
      <c r="Y131" s="19">
        <f t="shared" si="51"/>
        <v>7.0515022806373509</v>
      </c>
      <c r="Z131" s="19"/>
      <c r="AA131" s="19">
        <f t="shared" si="52"/>
        <v>1.7420407066106235E-5</v>
      </c>
      <c r="AB131" s="16"/>
    </row>
    <row r="132" spans="2:28" x14ac:dyDescent="0.3">
      <c r="B132" s="27">
        <v>26.500000000000007</v>
      </c>
      <c r="C132" s="27">
        <v>1056</v>
      </c>
      <c r="D132" s="19">
        <f t="shared" ref="D132:H132" si="70">1/C$23-LN(C$23)+$B132*C$22</f>
        <v>26.610886093578102</v>
      </c>
      <c r="E132" s="19">
        <f t="shared" si="70"/>
        <v>1.61748663322052</v>
      </c>
      <c r="F132" s="19">
        <f t="shared" si="70"/>
        <v>14.952585092994045</v>
      </c>
      <c r="G132" s="19">
        <f t="shared" si="70"/>
        <v>14.952585092994045</v>
      </c>
      <c r="H132" s="19">
        <f t="shared" si="70"/>
        <v>14.952585092994045</v>
      </c>
      <c r="I132" s="16"/>
      <c r="J132" s="19">
        <f t="shared" si="39"/>
        <v>23.455769590954407</v>
      </c>
      <c r="K132" s="19">
        <f t="shared" si="40"/>
        <v>1.3313175455732755</v>
      </c>
      <c r="L132" s="19">
        <f t="shared" si="41"/>
        <v>12.432288123666696</v>
      </c>
      <c r="M132" s="19">
        <f t="shared" si="42"/>
        <v>12.432288123666696</v>
      </c>
      <c r="N132" s="19">
        <f t="shared" si="43"/>
        <v>12.432288123666696</v>
      </c>
      <c r="O132" s="16"/>
      <c r="P132" s="19">
        <f t="shared" si="44"/>
        <v>252.84516733389606</v>
      </c>
      <c r="Q132" s="19">
        <f t="shared" si="45"/>
        <v>834.43544522256309</v>
      </c>
      <c r="R132" s="19">
        <f t="shared" si="46"/>
        <v>0</v>
      </c>
      <c r="S132" s="19">
        <f t="shared" si="47"/>
        <v>0</v>
      </c>
      <c r="T132" s="19">
        <f t="shared" si="48"/>
        <v>0</v>
      </c>
      <c r="U132" s="16"/>
      <c r="V132" s="19">
        <f t="shared" si="49"/>
        <v>1087.2806125564591</v>
      </c>
      <c r="W132" s="16"/>
      <c r="X132" s="19">
        <f t="shared" si="50"/>
        <v>978.47672190730782</v>
      </c>
      <c r="Y132" s="19">
        <f t="shared" si="51"/>
        <v>31.280612556459118</v>
      </c>
      <c r="Z132" s="19"/>
      <c r="AA132" s="19">
        <f t="shared" si="52"/>
        <v>7.7277292458227651E-5</v>
      </c>
      <c r="AB132" s="16"/>
    </row>
    <row r="133" spans="2:28" x14ac:dyDescent="0.3">
      <c r="B133" s="27">
        <v>26.800000000000004</v>
      </c>
      <c r="C133" s="27">
        <v>1097</v>
      </c>
      <c r="D133" s="19">
        <f t="shared" ref="D133:H133" si="71">1/C$23-LN(C$23)+$B133*C$22</f>
        <v>26.714600843776267</v>
      </c>
      <c r="E133" s="19">
        <f t="shared" si="71"/>
        <v>1.6202472253156632</v>
      </c>
      <c r="F133" s="19">
        <f t="shared" si="71"/>
        <v>14.982585092994047</v>
      </c>
      <c r="G133" s="19">
        <f t="shared" si="71"/>
        <v>14.982585092994047</v>
      </c>
      <c r="H133" s="19">
        <f t="shared" si="71"/>
        <v>14.982585092994047</v>
      </c>
      <c r="I133" s="16"/>
      <c r="J133" s="19">
        <f t="shared" si="39"/>
        <v>23.555252031959188</v>
      </c>
      <c r="K133" s="19">
        <f t="shared" si="40"/>
        <v>1.3328944040349147</v>
      </c>
      <c r="L133" s="19">
        <f t="shared" si="41"/>
        <v>12.460057004634416</v>
      </c>
      <c r="M133" s="19">
        <f t="shared" si="42"/>
        <v>12.460057004634416</v>
      </c>
      <c r="N133" s="19">
        <f t="shared" si="43"/>
        <v>12.460057004634416</v>
      </c>
      <c r="O133" s="16"/>
      <c r="P133" s="19">
        <f t="shared" si="44"/>
        <v>250.75726641069298</v>
      </c>
      <c r="Q133" s="19">
        <f t="shared" si="45"/>
        <v>832.88493291671443</v>
      </c>
      <c r="R133" s="19">
        <f t="shared" si="46"/>
        <v>0</v>
      </c>
      <c r="S133" s="19">
        <f t="shared" si="47"/>
        <v>0</v>
      </c>
      <c r="T133" s="19">
        <f t="shared" si="48"/>
        <v>0</v>
      </c>
      <c r="U133" s="16"/>
      <c r="V133" s="19">
        <f t="shared" si="49"/>
        <v>1083.6421993274075</v>
      </c>
      <c r="W133" s="16"/>
      <c r="X133" s="19">
        <f t="shared" si="50"/>
        <v>178.43083880871197</v>
      </c>
      <c r="Y133" s="19">
        <f t="shared" si="51"/>
        <v>13.357800672592475</v>
      </c>
      <c r="Z133" s="19"/>
      <c r="AA133" s="19">
        <f t="shared" si="52"/>
        <v>3.299982272762395E-5</v>
      </c>
      <c r="AB133" s="16"/>
    </row>
    <row r="134" spans="2:28" x14ac:dyDescent="0.3">
      <c r="B134" s="27">
        <v>27.1</v>
      </c>
      <c r="C134" s="27">
        <v>1083</v>
      </c>
      <c r="D134" s="19">
        <f t="shared" ref="D134:H134" si="72">1/C$23-LN(C$23)+$B134*C$22</f>
        <v>26.818315593974432</v>
      </c>
      <c r="E134" s="19">
        <f t="shared" si="72"/>
        <v>1.6230078174108065</v>
      </c>
      <c r="F134" s="19">
        <f t="shared" si="72"/>
        <v>15.012585092994046</v>
      </c>
      <c r="G134" s="19">
        <f t="shared" si="72"/>
        <v>15.012585092994046</v>
      </c>
      <c r="H134" s="19">
        <f t="shared" si="72"/>
        <v>15.012585092994046</v>
      </c>
      <c r="I134" s="16"/>
      <c r="J134" s="19">
        <f t="shared" si="39"/>
        <v>23.654751586469622</v>
      </c>
      <c r="K134" s="19">
        <f t="shared" si="40"/>
        <v>1.3344720625426125</v>
      </c>
      <c r="L134" s="19">
        <f t="shared" si="41"/>
        <v>12.487830484170715</v>
      </c>
      <c r="M134" s="19">
        <f t="shared" si="42"/>
        <v>12.487830484170715</v>
      </c>
      <c r="N134" s="19">
        <f t="shared" si="43"/>
        <v>12.487830484170715</v>
      </c>
      <c r="O134" s="16"/>
      <c r="P134" s="19">
        <f t="shared" si="44"/>
        <v>248.69477188513886</v>
      </c>
      <c r="Q134" s="19">
        <f t="shared" si="45"/>
        <v>831.33806172319328</v>
      </c>
      <c r="R134" s="19">
        <f t="shared" si="46"/>
        <v>0</v>
      </c>
      <c r="S134" s="19">
        <f t="shared" si="47"/>
        <v>0</v>
      </c>
      <c r="T134" s="19">
        <f t="shared" si="48"/>
        <v>0</v>
      </c>
      <c r="U134" s="16"/>
      <c r="V134" s="19">
        <f t="shared" si="49"/>
        <v>1080.0328336083321</v>
      </c>
      <c r="W134" s="16"/>
      <c r="X134" s="19">
        <f t="shared" si="50"/>
        <v>8.8040763958434347</v>
      </c>
      <c r="Y134" s="19">
        <f t="shared" si="51"/>
        <v>2.9671663916678881</v>
      </c>
      <c r="Z134" s="19"/>
      <c r="AA134" s="19">
        <f t="shared" si="52"/>
        <v>7.3302459984530109E-6</v>
      </c>
      <c r="AB134" s="16"/>
    </row>
    <row r="135" spans="2:28" x14ac:dyDescent="0.3">
      <c r="B135" s="27">
        <v>27.4</v>
      </c>
      <c r="C135" s="27">
        <v>983</v>
      </c>
      <c r="D135" s="19">
        <f t="shared" ref="D135:H135" si="73">1/C$23-LN(C$23)+$B135*C$22</f>
        <v>26.922030344172597</v>
      </c>
      <c r="E135" s="19">
        <f t="shared" si="73"/>
        <v>1.6257684095059495</v>
      </c>
      <c r="F135" s="19">
        <f t="shared" si="73"/>
        <v>15.042585092994045</v>
      </c>
      <c r="G135" s="19">
        <f t="shared" si="73"/>
        <v>15.042585092994045</v>
      </c>
      <c r="H135" s="19">
        <f t="shared" si="73"/>
        <v>15.042585092994045</v>
      </c>
      <c r="I135" s="16"/>
      <c r="J135" s="19">
        <f t="shared" si="39"/>
        <v>23.754268119541429</v>
      </c>
      <c r="K135" s="19">
        <f t="shared" si="40"/>
        <v>1.3360505204204711</v>
      </c>
      <c r="L135" s="19">
        <f t="shared" si="41"/>
        <v>12.515608544113601</v>
      </c>
      <c r="M135" s="19">
        <f t="shared" si="42"/>
        <v>12.515608544113601</v>
      </c>
      <c r="N135" s="19">
        <f t="shared" si="43"/>
        <v>12.515608544113601</v>
      </c>
      <c r="O135" s="16"/>
      <c r="P135" s="19">
        <f t="shared" si="44"/>
        <v>246.65727742416183</v>
      </c>
      <c r="Q135" s="19">
        <f t="shared" si="45"/>
        <v>829.7948217972795</v>
      </c>
      <c r="R135" s="19">
        <f t="shared" si="46"/>
        <v>0</v>
      </c>
      <c r="S135" s="19">
        <f t="shared" si="47"/>
        <v>0</v>
      </c>
      <c r="T135" s="19">
        <f t="shared" si="48"/>
        <v>0</v>
      </c>
      <c r="U135" s="16"/>
      <c r="V135" s="19">
        <f t="shared" si="49"/>
        <v>1076.4520992214414</v>
      </c>
      <c r="W135" s="16"/>
      <c r="X135" s="19">
        <f t="shared" si="50"/>
        <v>8733.2948488941202</v>
      </c>
      <c r="Y135" s="19">
        <f t="shared" si="51"/>
        <v>93.452099221441358</v>
      </c>
      <c r="Z135" s="19"/>
      <c r="AA135" s="19">
        <f t="shared" si="52"/>
        <v>2.3086904674056398E-4</v>
      </c>
      <c r="AB135" s="16"/>
    </row>
    <row r="136" spans="2:28" x14ac:dyDescent="0.3">
      <c r="B136" s="27">
        <v>27.699999999999996</v>
      </c>
      <c r="C136" s="27">
        <v>1059</v>
      </c>
      <c r="D136" s="19">
        <f t="shared" ref="D136:H136" si="74">1/C$23-LN(C$23)+$B136*C$22</f>
        <v>27.025745094370762</v>
      </c>
      <c r="E136" s="19">
        <f t="shared" si="74"/>
        <v>1.6285290016010927</v>
      </c>
      <c r="F136" s="19">
        <f t="shared" si="74"/>
        <v>15.072585092994045</v>
      </c>
      <c r="G136" s="19">
        <f t="shared" si="74"/>
        <v>15.072585092994045</v>
      </c>
      <c r="H136" s="19">
        <f t="shared" si="74"/>
        <v>15.072585092994045</v>
      </c>
      <c r="I136" s="16"/>
      <c r="J136" s="19">
        <f t="shared" si="39"/>
        <v>23.853801497796791</v>
      </c>
      <c r="K136" s="19">
        <f t="shared" si="40"/>
        <v>1.3376297769928005</v>
      </c>
      <c r="L136" s="19">
        <f t="shared" si="41"/>
        <v>12.543391166405309</v>
      </c>
      <c r="M136" s="19">
        <f t="shared" si="42"/>
        <v>12.543391166405309</v>
      </c>
      <c r="N136" s="19">
        <f t="shared" si="43"/>
        <v>12.543391166405309</v>
      </c>
      <c r="O136" s="16"/>
      <c r="P136" s="19">
        <f t="shared" si="44"/>
        <v>244.64438471849115</v>
      </c>
      <c r="Q136" s="19">
        <f t="shared" si="45"/>
        <v>828.2552033231334</v>
      </c>
      <c r="R136" s="19">
        <f t="shared" si="46"/>
        <v>0</v>
      </c>
      <c r="S136" s="19">
        <f t="shared" si="47"/>
        <v>0</v>
      </c>
      <c r="T136" s="19">
        <f t="shared" si="48"/>
        <v>0</v>
      </c>
      <c r="U136" s="16"/>
      <c r="V136" s="19">
        <f t="shared" si="49"/>
        <v>1072.8995880416246</v>
      </c>
      <c r="W136" s="16"/>
      <c r="X136" s="19">
        <f t="shared" si="50"/>
        <v>193.1985477268739</v>
      </c>
      <c r="Y136" s="19">
        <f t="shared" si="51"/>
        <v>13.899588041624611</v>
      </c>
      <c r="Z136" s="19"/>
      <c r="AA136" s="19">
        <f t="shared" si="52"/>
        <v>3.4338283120344899E-5</v>
      </c>
      <c r="AB136" s="16"/>
    </row>
    <row r="137" spans="2:28" x14ac:dyDescent="0.3">
      <c r="B137" s="27">
        <v>28.000000000000007</v>
      </c>
      <c r="C137" s="27">
        <v>1023</v>
      </c>
      <c r="D137" s="19">
        <f t="shared" ref="D137:H137" si="75">1/C$23-LN(C$23)+$B137*C$22</f>
        <v>27.129459844568927</v>
      </c>
      <c r="E137" s="19">
        <f t="shared" si="75"/>
        <v>1.6312895936962359</v>
      </c>
      <c r="F137" s="19">
        <f t="shared" si="75"/>
        <v>15.102585092994046</v>
      </c>
      <c r="G137" s="19">
        <f t="shared" si="75"/>
        <v>15.102585092994046</v>
      </c>
      <c r="H137" s="19">
        <f t="shared" si="75"/>
        <v>15.102585092994046</v>
      </c>
      <c r="I137" s="16"/>
      <c r="J137" s="19">
        <f t="shared" si="39"/>
        <v>23.953351589400526</v>
      </c>
      <c r="K137" s="19">
        <f t="shared" si="40"/>
        <v>1.339209831584119</v>
      </c>
      <c r="L137" s="19">
        <f t="shared" si="41"/>
        <v>12.571178333091531</v>
      </c>
      <c r="M137" s="19">
        <f t="shared" si="42"/>
        <v>12.571178333091531</v>
      </c>
      <c r="N137" s="19">
        <f t="shared" si="43"/>
        <v>12.571178333091531</v>
      </c>
      <c r="O137" s="16"/>
      <c r="P137" s="19">
        <f t="shared" si="44"/>
        <v>242.65570329459811</v>
      </c>
      <c r="Q137" s="19">
        <f t="shared" si="45"/>
        <v>826.71919651370979</v>
      </c>
      <c r="R137" s="19">
        <f t="shared" si="46"/>
        <v>0</v>
      </c>
      <c r="S137" s="19">
        <f t="shared" si="47"/>
        <v>0</v>
      </c>
      <c r="T137" s="19">
        <f t="shared" si="48"/>
        <v>0</v>
      </c>
      <c r="U137" s="16"/>
      <c r="V137" s="19">
        <f t="shared" si="49"/>
        <v>1069.3748998083079</v>
      </c>
      <c r="W137" s="16"/>
      <c r="X137" s="19">
        <f t="shared" si="50"/>
        <v>2150.6313322305937</v>
      </c>
      <c r="Y137" s="19">
        <f t="shared" si="51"/>
        <v>46.374899808307873</v>
      </c>
      <c r="Z137" s="19"/>
      <c r="AA137" s="19">
        <f t="shared" si="52"/>
        <v>1.1456702418276688E-4</v>
      </c>
      <c r="AB137" s="16"/>
    </row>
    <row r="138" spans="2:28" x14ac:dyDescent="0.3">
      <c r="B138" s="27">
        <v>28.199999999999996</v>
      </c>
      <c r="C138" s="27">
        <v>1049</v>
      </c>
      <c r="D138" s="19">
        <f t="shared" ref="D138:H138" si="76">1/C$23-LN(C$23)+$B138*C$22</f>
        <v>27.198603011367702</v>
      </c>
      <c r="E138" s="19">
        <f t="shared" si="76"/>
        <v>1.6331299884263313</v>
      </c>
      <c r="F138" s="19">
        <f t="shared" si="76"/>
        <v>15.122585092994045</v>
      </c>
      <c r="G138" s="19">
        <f t="shared" si="76"/>
        <v>15.122585092994045</v>
      </c>
      <c r="H138" s="19">
        <f t="shared" si="76"/>
        <v>15.122585092994045</v>
      </c>
      <c r="I138" s="16"/>
      <c r="J138" s="19">
        <f t="shared" si="39"/>
        <v>24.019727537914484</v>
      </c>
      <c r="K138" s="19">
        <f t="shared" si="40"/>
        <v>1.3402636443220715</v>
      </c>
      <c r="L138" s="19">
        <f t="shared" si="41"/>
        <v>12.589705626726142</v>
      </c>
      <c r="M138" s="19">
        <f t="shared" si="42"/>
        <v>12.589705626726142</v>
      </c>
      <c r="N138" s="19">
        <f t="shared" si="43"/>
        <v>12.589705626726142</v>
      </c>
      <c r="O138" s="16"/>
      <c r="P138" s="19">
        <f t="shared" si="44"/>
        <v>241.34317703395843</v>
      </c>
      <c r="Q138" s="19">
        <f t="shared" si="45"/>
        <v>825.69719363438446</v>
      </c>
      <c r="R138" s="19">
        <f t="shared" si="46"/>
        <v>0</v>
      </c>
      <c r="S138" s="19">
        <f t="shared" si="47"/>
        <v>0</v>
      </c>
      <c r="T138" s="19">
        <f t="shared" si="48"/>
        <v>0</v>
      </c>
      <c r="U138" s="16"/>
      <c r="V138" s="19">
        <f t="shared" si="49"/>
        <v>1067.0403706683428</v>
      </c>
      <c r="W138" s="16"/>
      <c r="X138" s="19">
        <f t="shared" si="50"/>
        <v>325.45497385120336</v>
      </c>
      <c r="Y138" s="19">
        <f t="shared" si="51"/>
        <v>18.040370668342803</v>
      </c>
      <c r="Z138" s="19"/>
      <c r="AA138" s="19">
        <f t="shared" si="52"/>
        <v>4.4567893217439231E-5</v>
      </c>
      <c r="AB138" s="16"/>
    </row>
    <row r="139" spans="2:28" x14ac:dyDescent="0.3">
      <c r="B139" s="27">
        <v>28.500000000000007</v>
      </c>
      <c r="C139" s="27">
        <v>1082</v>
      </c>
      <c r="D139" s="19">
        <f t="shared" ref="D139:H139" si="77">1/C$23-LN(C$23)+$B139*C$22</f>
        <v>27.302317761565874</v>
      </c>
      <c r="E139" s="19">
        <f t="shared" si="77"/>
        <v>1.6358905805214745</v>
      </c>
      <c r="F139" s="19">
        <f t="shared" si="77"/>
        <v>15.152585092994046</v>
      </c>
      <c r="G139" s="19">
        <f t="shared" si="77"/>
        <v>15.152585092994046</v>
      </c>
      <c r="H139" s="19">
        <f t="shared" si="77"/>
        <v>15.152585092994046</v>
      </c>
      <c r="I139" s="16"/>
      <c r="J139" s="19">
        <f t="shared" si="39"/>
        <v>24.11930519624752</v>
      </c>
      <c r="K139" s="19">
        <f t="shared" si="40"/>
        <v>1.3418450274445408</v>
      </c>
      <c r="L139" s="19">
        <f t="shared" si="41"/>
        <v>12.617500327783301</v>
      </c>
      <c r="M139" s="19">
        <f t="shared" si="42"/>
        <v>12.617500327783301</v>
      </c>
      <c r="N139" s="19">
        <f t="shared" si="43"/>
        <v>12.617500327783301</v>
      </c>
      <c r="O139" s="16"/>
      <c r="P139" s="19">
        <f t="shared" si="44"/>
        <v>239.39400073198664</v>
      </c>
      <c r="Q139" s="19">
        <f t="shared" si="45"/>
        <v>824.16718459510673</v>
      </c>
      <c r="R139" s="19">
        <f t="shared" si="46"/>
        <v>0</v>
      </c>
      <c r="S139" s="19">
        <f t="shared" si="47"/>
        <v>0</v>
      </c>
      <c r="T139" s="19">
        <f t="shared" si="48"/>
        <v>0</v>
      </c>
      <c r="U139" s="16"/>
      <c r="V139" s="19">
        <f t="shared" si="49"/>
        <v>1063.5611853270934</v>
      </c>
      <c r="W139" s="16"/>
      <c r="X139" s="19">
        <f t="shared" si="50"/>
        <v>339.98988654179476</v>
      </c>
      <c r="Y139" s="19">
        <f t="shared" si="51"/>
        <v>18.438814672906574</v>
      </c>
      <c r="Z139" s="19"/>
      <c r="AA139" s="19">
        <f t="shared" si="52"/>
        <v>4.5552230522641517E-5</v>
      </c>
    </row>
    <row r="140" spans="2:28" x14ac:dyDescent="0.3">
      <c r="B140" s="27">
        <v>28.800000000000004</v>
      </c>
      <c r="C140" s="27">
        <v>1060</v>
      </c>
      <c r="D140" s="19">
        <f t="shared" ref="D140:H140" si="78">1/C$23-LN(C$23)+$B140*C$22</f>
        <v>27.406032511764035</v>
      </c>
      <c r="E140" s="19">
        <f t="shared" si="78"/>
        <v>1.6386511726166177</v>
      </c>
      <c r="F140" s="19">
        <f t="shared" si="78"/>
        <v>15.182585092994046</v>
      </c>
      <c r="G140" s="19">
        <f t="shared" si="78"/>
        <v>15.182585092994046</v>
      </c>
      <c r="H140" s="19">
        <f t="shared" si="78"/>
        <v>15.182585092994046</v>
      </c>
      <c r="I140" s="16"/>
      <c r="J140" s="19">
        <f t="shared" si="39"/>
        <v>24.218899223733313</v>
      </c>
      <c r="K140" s="19">
        <f t="shared" si="40"/>
        <v>1.34342720678575</v>
      </c>
      <c r="L140" s="19">
        <f t="shared" si="41"/>
        <v>12.64529952585675</v>
      </c>
      <c r="M140" s="19">
        <f t="shared" si="42"/>
        <v>12.64529952585675</v>
      </c>
      <c r="N140" s="19">
        <f t="shared" si="43"/>
        <v>12.64529952585675</v>
      </c>
      <c r="O140" s="16"/>
      <c r="P140" s="19">
        <f t="shared" si="44"/>
        <v>237.46803138123948</v>
      </c>
      <c r="Q140" s="19">
        <f t="shared" si="45"/>
        <v>822.64076126187388</v>
      </c>
      <c r="R140" s="19">
        <f t="shared" si="46"/>
        <v>0</v>
      </c>
      <c r="S140" s="19">
        <f t="shared" si="47"/>
        <v>0</v>
      </c>
      <c r="T140" s="19">
        <f t="shared" si="48"/>
        <v>0</v>
      </c>
      <c r="U140" s="16"/>
      <c r="V140" s="19">
        <f t="shared" si="49"/>
        <v>1060.1087926431132</v>
      </c>
      <c r="W140" s="16"/>
      <c r="X140" s="19">
        <f t="shared" si="50"/>
        <v>1.1835839195566401E-2</v>
      </c>
      <c r="Y140" s="19">
        <f t="shared" si="51"/>
        <v>0.10879264311324732</v>
      </c>
      <c r="Z140" s="19"/>
      <c r="AA140" s="19">
        <f t="shared" si="52"/>
        <v>2.6876714399347658E-7</v>
      </c>
    </row>
    <row r="141" spans="2:28" x14ac:dyDescent="0.3">
      <c r="B141" s="27">
        <v>29.1</v>
      </c>
      <c r="C141" s="27">
        <v>1068</v>
      </c>
      <c r="D141" s="19">
        <f t="shared" ref="D141:H141" si="79">1/C$23-LN(C$23)+$B141*C$22</f>
        <v>27.5097472619622</v>
      </c>
      <c r="E141" s="19">
        <f t="shared" si="79"/>
        <v>1.6414117647117608</v>
      </c>
      <c r="F141" s="19">
        <f t="shared" si="79"/>
        <v>15.212585092994045</v>
      </c>
      <c r="G141" s="19">
        <f t="shared" si="79"/>
        <v>15.212585092994045</v>
      </c>
      <c r="H141" s="19">
        <f t="shared" si="79"/>
        <v>15.212585092994045</v>
      </c>
      <c r="I141" s="16"/>
      <c r="J141" s="19">
        <f t="shared" si="39"/>
        <v>24.318509493995837</v>
      </c>
      <c r="K141" s="19">
        <f t="shared" si="40"/>
        <v>1.3450101816709985</v>
      </c>
      <c r="L141" s="19">
        <f t="shared" si="41"/>
        <v>12.673103203364981</v>
      </c>
      <c r="M141" s="19">
        <f t="shared" si="42"/>
        <v>12.673103203364981</v>
      </c>
      <c r="N141" s="19">
        <f t="shared" si="43"/>
        <v>12.673103203364981</v>
      </c>
      <c r="O141" s="16"/>
      <c r="P141" s="19">
        <f t="shared" si="44"/>
        <v>235.56490571090788</v>
      </c>
      <c r="Q141" s="19">
        <f t="shared" si="45"/>
        <v>821.11791395247587</v>
      </c>
      <c r="R141" s="19">
        <f t="shared" si="46"/>
        <v>0</v>
      </c>
      <c r="S141" s="19">
        <f t="shared" si="47"/>
        <v>0</v>
      </c>
      <c r="T141" s="19">
        <f t="shared" si="48"/>
        <v>0</v>
      </c>
      <c r="U141" s="16"/>
      <c r="V141" s="19">
        <f t="shared" si="49"/>
        <v>1056.6828196633837</v>
      </c>
      <c r="W141" s="16"/>
      <c r="X141" s="19">
        <f t="shared" si="50"/>
        <v>128.07857077149407</v>
      </c>
      <c r="Y141" s="19">
        <f t="shared" si="51"/>
        <v>11.317180336616275</v>
      </c>
      <c r="Z141" s="19"/>
      <c r="AA141" s="19">
        <f t="shared" si="52"/>
        <v>2.7958565488341485E-5</v>
      </c>
    </row>
    <row r="142" spans="2:28" x14ac:dyDescent="0.3">
      <c r="B142" s="27">
        <v>29.4</v>
      </c>
      <c r="C142" s="27">
        <v>1037</v>
      </c>
      <c r="D142" s="19">
        <f t="shared" ref="D142:H142" si="80">1/C$23-LN(C$23)+$B142*C$22</f>
        <v>27.613462012160365</v>
      </c>
      <c r="E142" s="19">
        <f t="shared" si="80"/>
        <v>1.644172356806904</v>
      </c>
      <c r="F142" s="19">
        <f t="shared" si="80"/>
        <v>15.242585092994045</v>
      </c>
      <c r="G142" s="19">
        <f t="shared" si="80"/>
        <v>15.242585092994045</v>
      </c>
      <c r="H142" s="19">
        <f t="shared" si="80"/>
        <v>15.242585092994045</v>
      </c>
      <c r="I142" s="16"/>
      <c r="J142" s="19">
        <f t="shared" si="39"/>
        <v>24.418135882096028</v>
      </c>
      <c r="K142" s="19">
        <f t="shared" si="40"/>
        <v>1.3465939514258038</v>
      </c>
      <c r="L142" s="19">
        <f t="shared" si="41"/>
        <v>12.700911342826403</v>
      </c>
      <c r="M142" s="19">
        <f t="shared" si="42"/>
        <v>12.700911342826403</v>
      </c>
      <c r="N142" s="19">
        <f t="shared" si="43"/>
        <v>12.700911342826403</v>
      </c>
      <c r="O142" s="16"/>
      <c r="P142" s="19">
        <f t="shared" si="44"/>
        <v>233.68426747316778</v>
      </c>
      <c r="Q142" s="19">
        <f t="shared" si="45"/>
        <v>819.59863301309144</v>
      </c>
      <c r="R142" s="19">
        <f t="shared" si="46"/>
        <v>0</v>
      </c>
      <c r="S142" s="19">
        <f t="shared" si="47"/>
        <v>0</v>
      </c>
      <c r="T142" s="19">
        <f t="shared" si="48"/>
        <v>0</v>
      </c>
      <c r="U142" s="16"/>
      <c r="V142" s="19">
        <f t="shared" si="49"/>
        <v>1053.2829004862592</v>
      </c>
      <c r="W142" s="16"/>
      <c r="X142" s="19">
        <f t="shared" si="50"/>
        <v>265.13284824542086</v>
      </c>
      <c r="Y142" s="19">
        <f t="shared" si="51"/>
        <v>16.282900486259223</v>
      </c>
      <c r="Z142" s="19"/>
      <c r="AA142" s="19">
        <f t="shared" si="52"/>
        <v>4.0226145209712199E-5</v>
      </c>
    </row>
    <row r="143" spans="2:28" x14ac:dyDescent="0.3">
      <c r="B143" s="27">
        <v>29.699999999999996</v>
      </c>
      <c r="C143" s="27">
        <v>1018</v>
      </c>
      <c r="D143" s="19">
        <f t="shared" ref="D143:H143" si="81">1/C$23-LN(C$23)+$B143*C$22</f>
        <v>27.717176762358527</v>
      </c>
      <c r="E143" s="19">
        <f t="shared" si="81"/>
        <v>1.6469329489020472</v>
      </c>
      <c r="F143" s="19">
        <f t="shared" si="81"/>
        <v>15.272585092994046</v>
      </c>
      <c r="G143" s="19">
        <f t="shared" si="81"/>
        <v>15.272585092994046</v>
      </c>
      <c r="H143" s="19">
        <f t="shared" si="81"/>
        <v>15.272585092994046</v>
      </c>
      <c r="I143" s="16"/>
      <c r="J143" s="19">
        <f t="shared" si="39"/>
        <v>24.517778264510355</v>
      </c>
      <c r="K143" s="19">
        <f t="shared" si="40"/>
        <v>1.3481785153759025</v>
      </c>
      <c r="L143" s="19">
        <f t="shared" si="41"/>
        <v>12.728723926858615</v>
      </c>
      <c r="M143" s="19">
        <f t="shared" si="42"/>
        <v>12.728723926858615</v>
      </c>
      <c r="N143" s="19">
        <f t="shared" si="43"/>
        <v>12.728723926858615</v>
      </c>
      <c r="O143" s="16"/>
      <c r="P143" s="19">
        <f t="shared" si="44"/>
        <v>231.82576728199072</v>
      </c>
      <c r="Q143" s="19">
        <f t="shared" si="45"/>
        <v>818.08290881820312</v>
      </c>
      <c r="R143" s="19">
        <f t="shared" si="46"/>
        <v>0</v>
      </c>
      <c r="S143" s="19">
        <f t="shared" si="47"/>
        <v>0</v>
      </c>
      <c r="T143" s="19">
        <f t="shared" si="48"/>
        <v>0</v>
      </c>
      <c r="U143" s="16"/>
      <c r="V143" s="19">
        <f t="shared" si="49"/>
        <v>1049.9086761001938</v>
      </c>
      <c r="W143" s="16"/>
      <c r="X143" s="19">
        <f t="shared" si="50"/>
        <v>1018.16361046708</v>
      </c>
      <c r="Y143" s="19">
        <f t="shared" si="51"/>
        <v>31.908676100193816</v>
      </c>
      <c r="Z143" s="19"/>
      <c r="AA143" s="19">
        <f t="shared" si="52"/>
        <v>7.8828894111294238E-5</v>
      </c>
    </row>
    <row r="144" spans="2:28" x14ac:dyDescent="0.3">
      <c r="B144" s="27">
        <v>30.000000000000007</v>
      </c>
      <c r="C144" s="27">
        <v>1113</v>
      </c>
      <c r="D144" s="19">
        <f t="shared" ref="D144:H144" si="82">1/C$23-LN(C$23)+$B144*C$22</f>
        <v>27.820891512556699</v>
      </c>
      <c r="E144" s="19">
        <f t="shared" si="82"/>
        <v>1.6496935409971902</v>
      </c>
      <c r="F144" s="19">
        <f t="shared" si="82"/>
        <v>15.302585092994047</v>
      </c>
      <c r="G144" s="19">
        <f t="shared" si="82"/>
        <v>15.302585092994047</v>
      </c>
      <c r="H144" s="19">
        <f t="shared" si="82"/>
        <v>15.302585092994047</v>
      </c>
      <c r="I144" s="16"/>
      <c r="J144" s="19">
        <f t="shared" si="39"/>
        <v>24.617436519109763</v>
      </c>
      <c r="K144" s="19">
        <f t="shared" si="40"/>
        <v>1.3497638728472514</v>
      </c>
      <c r="L144" s="19">
        <f t="shared" si="41"/>
        <v>12.756540938177663</v>
      </c>
      <c r="M144" s="19">
        <f t="shared" si="42"/>
        <v>12.756540938177663</v>
      </c>
      <c r="N144" s="19">
        <f t="shared" si="43"/>
        <v>12.756540938177663</v>
      </c>
      <c r="O144" s="16"/>
      <c r="P144" s="19">
        <f t="shared" si="44"/>
        <v>229.98906245622868</v>
      </c>
      <c r="Q144" s="19">
        <f t="shared" si="45"/>
        <v>816.57073177051211</v>
      </c>
      <c r="R144" s="19">
        <f t="shared" si="46"/>
        <v>0</v>
      </c>
      <c r="S144" s="19">
        <f t="shared" si="47"/>
        <v>0</v>
      </c>
      <c r="T144" s="19">
        <f t="shared" si="48"/>
        <v>0</v>
      </c>
      <c r="U144" s="16"/>
      <c r="V144" s="19">
        <f t="shared" si="49"/>
        <v>1046.5597942267409</v>
      </c>
      <c r="W144" s="16"/>
      <c r="X144" s="19">
        <f t="shared" si="50"/>
        <v>4414.3009431930113</v>
      </c>
      <c r="Y144" s="19">
        <f t="shared" si="51"/>
        <v>66.440205773259095</v>
      </c>
      <c r="Z144" s="19"/>
      <c r="AA144" s="19">
        <f t="shared" si="52"/>
        <v>1.6413742548225085E-4</v>
      </c>
    </row>
    <row r="145" spans="2:27" x14ac:dyDescent="0.3">
      <c r="B145" s="27">
        <v>30.199999999999996</v>
      </c>
      <c r="C145" s="27">
        <v>1030</v>
      </c>
      <c r="D145" s="19">
        <f t="shared" ref="D145:H145" si="83">1/C$23-LN(C$23)+$B145*C$22</f>
        <v>27.890034679355473</v>
      </c>
      <c r="E145" s="19">
        <f t="shared" si="83"/>
        <v>1.6515339357272856</v>
      </c>
      <c r="F145" s="19">
        <f t="shared" si="83"/>
        <v>15.322585092994045</v>
      </c>
      <c r="G145" s="19">
        <f t="shared" si="83"/>
        <v>15.322585092994045</v>
      </c>
      <c r="H145" s="19">
        <f t="shared" si="83"/>
        <v>15.322585092994045</v>
      </c>
      <c r="I145" s="16"/>
      <c r="J145" s="19">
        <f t="shared" si="39"/>
        <v>24.683884113701801</v>
      </c>
      <c r="K145" s="19">
        <f t="shared" si="40"/>
        <v>1.3508212183405304</v>
      </c>
      <c r="L145" s="19">
        <f t="shared" si="41"/>
        <v>12.775088063503134</v>
      </c>
      <c r="M145" s="19">
        <f t="shared" si="42"/>
        <v>12.775088063503134</v>
      </c>
      <c r="N145" s="19">
        <f t="shared" si="43"/>
        <v>12.775088063503134</v>
      </c>
      <c r="O145" s="16"/>
      <c r="P145" s="19">
        <f t="shared" si="44"/>
        <v>228.77653485396308</v>
      </c>
      <c r="Q145" s="19">
        <f t="shared" si="45"/>
        <v>815.56457964937931</v>
      </c>
      <c r="R145" s="19">
        <f t="shared" si="46"/>
        <v>0</v>
      </c>
      <c r="S145" s="19">
        <f t="shared" si="47"/>
        <v>0</v>
      </c>
      <c r="T145" s="19">
        <f t="shared" si="48"/>
        <v>0</v>
      </c>
      <c r="U145" s="16"/>
      <c r="V145" s="19">
        <f t="shared" si="49"/>
        <v>1044.3411145033424</v>
      </c>
      <c r="W145" s="16"/>
      <c r="X145" s="19">
        <f t="shared" si="50"/>
        <v>205.66756519797764</v>
      </c>
      <c r="Y145" s="19">
        <f t="shared" si="51"/>
        <v>14.341114503342396</v>
      </c>
      <c r="Z145" s="19"/>
      <c r="AA145" s="19">
        <f t="shared" si="52"/>
        <v>3.5429053623915694E-5</v>
      </c>
    </row>
    <row r="146" spans="2:27" x14ac:dyDescent="0.3">
      <c r="B146" s="27">
        <v>30.500000000000007</v>
      </c>
      <c r="C146" s="27">
        <v>1065</v>
      </c>
      <c r="D146" s="19">
        <f t="shared" ref="D146:H146" si="84">1/C$23-LN(C$23)+$B146*C$22</f>
        <v>27.993749429553638</v>
      </c>
      <c r="E146" s="19">
        <f t="shared" si="84"/>
        <v>1.654294527822429</v>
      </c>
      <c r="F146" s="19">
        <f t="shared" si="84"/>
        <v>15.352585092994046</v>
      </c>
      <c r="G146" s="19">
        <f t="shared" si="84"/>
        <v>15.352585092994046</v>
      </c>
      <c r="H146" s="19">
        <f t="shared" si="84"/>
        <v>15.352585092994046</v>
      </c>
      <c r="I146" s="16"/>
      <c r="J146" s="19">
        <f t="shared" si="39"/>
        <v>24.783568554267127</v>
      </c>
      <c r="K146" s="19">
        <f t="shared" si="40"/>
        <v>1.352407896850031</v>
      </c>
      <c r="L146" s="19">
        <f t="shared" si="41"/>
        <v>12.80291241548991</v>
      </c>
      <c r="M146" s="19">
        <f t="shared" si="42"/>
        <v>12.80291241548991</v>
      </c>
      <c r="N146" s="19">
        <f t="shared" si="43"/>
        <v>12.80291241548991</v>
      </c>
      <c r="O146" s="16"/>
      <c r="P146" s="19">
        <f t="shared" si="44"/>
        <v>226.97541185197167</v>
      </c>
      <c r="Q146" s="19">
        <f t="shared" si="45"/>
        <v>814.05829326271964</v>
      </c>
      <c r="R146" s="19">
        <f t="shared" si="46"/>
        <v>0</v>
      </c>
      <c r="S146" s="19">
        <f t="shared" si="47"/>
        <v>0</v>
      </c>
      <c r="T146" s="19">
        <f t="shared" si="48"/>
        <v>0</v>
      </c>
      <c r="U146" s="16"/>
      <c r="V146" s="19">
        <f t="shared" si="49"/>
        <v>1041.0337051146912</v>
      </c>
      <c r="W146" s="16"/>
      <c r="X146" s="19">
        <f t="shared" si="50"/>
        <v>574.38329052957863</v>
      </c>
      <c r="Y146" s="19">
        <f t="shared" si="51"/>
        <v>23.966294885308798</v>
      </c>
      <c r="Z146" s="19"/>
      <c r="AA146" s="19">
        <f t="shared" si="52"/>
        <v>5.9207612243824321E-5</v>
      </c>
    </row>
    <row r="147" spans="2:27" x14ac:dyDescent="0.3">
      <c r="B147" s="27">
        <v>30.800000000000004</v>
      </c>
      <c r="C147" s="27">
        <v>1052</v>
      </c>
      <c r="D147" s="19">
        <f t="shared" ref="D147:H147" si="85">1/C$23-LN(C$23)+$B147*C$22</f>
        <v>28.097464179751803</v>
      </c>
      <c r="E147" s="19">
        <f t="shared" si="85"/>
        <v>1.657055119917572</v>
      </c>
      <c r="F147" s="19">
        <f t="shared" si="85"/>
        <v>15.382585092994045</v>
      </c>
      <c r="G147" s="19">
        <f t="shared" si="85"/>
        <v>15.382585092994045</v>
      </c>
      <c r="H147" s="19">
        <f t="shared" si="85"/>
        <v>15.382585092994045</v>
      </c>
      <c r="I147" s="16"/>
      <c r="J147" s="19">
        <f t="shared" si="39"/>
        <v>24.883268548001343</v>
      </c>
      <c r="K147" s="19">
        <f t="shared" si="40"/>
        <v>1.3539953670844291</v>
      </c>
      <c r="L147" s="19">
        <f t="shared" si="41"/>
        <v>12.83074114914883</v>
      </c>
      <c r="M147" s="19">
        <f t="shared" si="42"/>
        <v>12.83074114914883</v>
      </c>
      <c r="N147" s="19">
        <f t="shared" si="43"/>
        <v>12.83074114914883</v>
      </c>
      <c r="O147" s="16"/>
      <c r="P147" s="19">
        <f t="shared" si="44"/>
        <v>225.19520202931292</v>
      </c>
      <c r="Q147" s="19">
        <f t="shared" si="45"/>
        <v>812.55552856776228</v>
      </c>
      <c r="R147" s="19">
        <f t="shared" si="46"/>
        <v>0</v>
      </c>
      <c r="S147" s="19">
        <f t="shared" si="47"/>
        <v>0</v>
      </c>
      <c r="T147" s="19">
        <f t="shared" si="48"/>
        <v>0</v>
      </c>
      <c r="U147" s="16"/>
      <c r="V147" s="19">
        <f t="shared" si="49"/>
        <v>1037.7507305970753</v>
      </c>
      <c r="W147" s="16"/>
      <c r="X147" s="19">
        <f t="shared" si="50"/>
        <v>203.04167851712634</v>
      </c>
      <c r="Y147" s="19">
        <f t="shared" si="51"/>
        <v>14.24926940292471</v>
      </c>
      <c r="Z147" s="19"/>
      <c r="AA147" s="19">
        <f t="shared" si="52"/>
        <v>3.5202154592669984E-5</v>
      </c>
    </row>
    <row r="148" spans="2:27" x14ac:dyDescent="0.3">
      <c r="B148" s="27">
        <v>31.1</v>
      </c>
      <c r="C148" s="27">
        <v>1074</v>
      </c>
      <c r="D148" s="19">
        <f t="shared" ref="D148:H148" si="86">1/C$23-LN(C$23)+$B148*C$22</f>
        <v>28.201178929949968</v>
      </c>
      <c r="E148" s="19">
        <f t="shared" si="86"/>
        <v>1.6598157120127153</v>
      </c>
      <c r="F148" s="19">
        <f t="shared" si="86"/>
        <v>15.412585092994046</v>
      </c>
      <c r="G148" s="19">
        <f t="shared" si="86"/>
        <v>15.412585092994046</v>
      </c>
      <c r="H148" s="19">
        <f t="shared" si="86"/>
        <v>15.412585092994046</v>
      </c>
      <c r="I148" s="16"/>
      <c r="J148" s="19">
        <f t="shared" si="39"/>
        <v>24.982983977714365</v>
      </c>
      <c r="K148" s="19">
        <f t="shared" si="40"/>
        <v>1.3555836283705081</v>
      </c>
      <c r="L148" s="19">
        <f t="shared" si="41"/>
        <v>12.858574247550797</v>
      </c>
      <c r="M148" s="19">
        <f t="shared" si="42"/>
        <v>12.858574247550797</v>
      </c>
      <c r="N148" s="19">
        <f t="shared" si="43"/>
        <v>12.858574247550797</v>
      </c>
      <c r="O148" s="16"/>
      <c r="P148" s="19">
        <f t="shared" si="44"/>
        <v>223.43558601258437</v>
      </c>
      <c r="Q148" s="19">
        <f t="shared" si="45"/>
        <v>811.0562760699429</v>
      </c>
      <c r="R148" s="19">
        <f t="shared" si="46"/>
        <v>0</v>
      </c>
      <c r="S148" s="19">
        <f t="shared" si="47"/>
        <v>0</v>
      </c>
      <c r="T148" s="19">
        <f t="shared" si="48"/>
        <v>0</v>
      </c>
      <c r="U148" s="16"/>
      <c r="V148" s="19">
        <f t="shared" si="49"/>
        <v>1034.4918620825272</v>
      </c>
      <c r="W148" s="16"/>
      <c r="X148" s="19">
        <f t="shared" si="50"/>
        <v>1560.8929617060537</v>
      </c>
      <c r="Y148" s="19">
        <f t="shared" si="51"/>
        <v>39.508137917472823</v>
      </c>
      <c r="Z148" s="19"/>
      <c r="AA148" s="19">
        <f t="shared" si="52"/>
        <v>9.7603009621949078E-5</v>
      </c>
    </row>
    <row r="149" spans="2:27" x14ac:dyDescent="0.3">
      <c r="B149" s="27">
        <v>31.4</v>
      </c>
      <c r="C149" s="27">
        <v>1040</v>
      </c>
      <c r="D149" s="19">
        <f t="shared" ref="D149:H149" si="87">1/C$23-LN(C$23)+$B149*C$22</f>
        <v>28.304893680148133</v>
      </c>
      <c r="E149" s="19">
        <f t="shared" si="87"/>
        <v>1.6625763041078585</v>
      </c>
      <c r="F149" s="19">
        <f t="shared" si="87"/>
        <v>15.442585092994046</v>
      </c>
      <c r="G149" s="19">
        <f t="shared" si="87"/>
        <v>15.442585092994046</v>
      </c>
      <c r="H149" s="19">
        <f t="shared" si="87"/>
        <v>15.442585092994046</v>
      </c>
      <c r="I149" s="16"/>
      <c r="J149" s="19">
        <f t="shared" si="39"/>
        <v>25.08271472751726</v>
      </c>
      <c r="K149" s="19">
        <f t="shared" si="40"/>
        <v>1.3571726800352801</v>
      </c>
      <c r="L149" s="19">
        <f t="shared" si="41"/>
        <v>12.886411693861842</v>
      </c>
      <c r="M149" s="19">
        <f t="shared" si="42"/>
        <v>12.886411693861842</v>
      </c>
      <c r="N149" s="19">
        <f t="shared" si="43"/>
        <v>12.886411693861842</v>
      </c>
      <c r="O149" s="16"/>
      <c r="P149" s="19">
        <f t="shared" si="44"/>
        <v>221.69625045385098</v>
      </c>
      <c r="Q149" s="19">
        <f t="shared" si="45"/>
        <v>809.56052630251861</v>
      </c>
      <c r="R149" s="19">
        <f t="shared" si="46"/>
        <v>0</v>
      </c>
      <c r="S149" s="19">
        <f t="shared" si="47"/>
        <v>0</v>
      </c>
      <c r="T149" s="19">
        <f t="shared" si="48"/>
        <v>0</v>
      </c>
      <c r="U149" s="16"/>
      <c r="V149" s="19">
        <f t="shared" si="49"/>
        <v>1031.2567767563696</v>
      </c>
      <c r="W149" s="16"/>
      <c r="X149" s="19">
        <f t="shared" si="50"/>
        <v>76.443952687958586</v>
      </c>
      <c r="Y149" s="19">
        <f t="shared" si="51"/>
        <v>8.7432232436303821</v>
      </c>
      <c r="Z149" s="19"/>
      <c r="AA149" s="19">
        <f t="shared" si="52"/>
        <v>2.1599724698680292E-5</v>
      </c>
    </row>
    <row r="150" spans="2:27" x14ac:dyDescent="0.3">
      <c r="B150" s="27">
        <v>31.699999999999996</v>
      </c>
      <c r="C150" s="27">
        <v>989</v>
      </c>
      <c r="D150" s="19">
        <f t="shared" ref="D150:H150" si="88">1/C$23-LN(C$23)+$B150*C$22</f>
        <v>28.408608430346298</v>
      </c>
      <c r="E150" s="19">
        <f t="shared" si="88"/>
        <v>1.6653368962030015</v>
      </c>
      <c r="F150" s="19">
        <f t="shared" si="88"/>
        <v>15.472585092994045</v>
      </c>
      <c r="G150" s="19">
        <f t="shared" si="88"/>
        <v>15.472585092994045</v>
      </c>
      <c r="H150" s="19">
        <f t="shared" si="88"/>
        <v>15.472585092994045</v>
      </c>
      <c r="I150" s="16"/>
      <c r="J150" s="19">
        <f t="shared" si="39"/>
        <v>25.182460682803267</v>
      </c>
      <c r="K150" s="19">
        <f t="shared" si="40"/>
        <v>1.3587625214059886</v>
      </c>
      <c r="L150" s="19">
        <f t="shared" si="41"/>
        <v>12.91425347134243</v>
      </c>
      <c r="M150" s="19">
        <f t="shared" si="42"/>
        <v>12.91425347134243</v>
      </c>
      <c r="N150" s="19">
        <f t="shared" si="43"/>
        <v>12.91425347134243</v>
      </c>
      <c r="O150" s="16"/>
      <c r="P150" s="19">
        <f t="shared" si="44"/>
        <v>219.97688789564705</v>
      </c>
      <c r="Q150" s="19">
        <f t="shared" si="45"/>
        <v>808.0682698264834</v>
      </c>
      <c r="R150" s="19">
        <f t="shared" si="46"/>
        <v>0</v>
      </c>
      <c r="S150" s="19">
        <f t="shared" si="47"/>
        <v>0</v>
      </c>
      <c r="T150" s="19">
        <f t="shared" si="48"/>
        <v>0</v>
      </c>
      <c r="U150" s="16"/>
      <c r="V150" s="19">
        <f t="shared" si="49"/>
        <v>1028.0451577221304</v>
      </c>
      <c r="W150" s="16"/>
      <c r="X150" s="19">
        <f t="shared" si="50"/>
        <v>1524.5243415460391</v>
      </c>
      <c r="Y150" s="19">
        <f t="shared" si="51"/>
        <v>39.045157722130398</v>
      </c>
      <c r="Z150" s="19"/>
      <c r="AA150" s="19">
        <f t="shared" si="52"/>
        <v>9.6459238671387686E-5</v>
      </c>
    </row>
    <row r="151" spans="2:27" x14ac:dyDescent="0.3">
      <c r="B151" s="27">
        <v>32.000000000000007</v>
      </c>
      <c r="C151" s="27">
        <v>974</v>
      </c>
      <c r="D151" s="19">
        <f t="shared" ref="D151:H151" si="89">1/C$23-LN(C$23)+$B151*C$22</f>
        <v>28.512323180544463</v>
      </c>
      <c r="E151" s="19">
        <f t="shared" si="89"/>
        <v>1.6680974882981447</v>
      </c>
      <c r="F151" s="19">
        <f t="shared" si="89"/>
        <v>15.502585092994046</v>
      </c>
      <c r="G151" s="19">
        <f t="shared" si="89"/>
        <v>15.502585092994046</v>
      </c>
      <c r="H151" s="19">
        <f t="shared" si="89"/>
        <v>15.502585092994046</v>
      </c>
      <c r="I151" s="16"/>
      <c r="J151" s="19">
        <f t="shared" si="39"/>
        <v>25.282221730229153</v>
      </c>
      <c r="K151" s="19">
        <f t="shared" si="40"/>
        <v>1.3603531518101097</v>
      </c>
      <c r="L151" s="19">
        <f t="shared" si="41"/>
        <v>12.942099563346778</v>
      </c>
      <c r="M151" s="19">
        <f t="shared" si="42"/>
        <v>12.942099563346778</v>
      </c>
      <c r="N151" s="19">
        <f t="shared" si="43"/>
        <v>12.942099563346778</v>
      </c>
      <c r="O151" s="16"/>
      <c r="P151" s="19">
        <f t="shared" si="44"/>
        <v>218.27719663947491</v>
      </c>
      <c r="Q151" s="19">
        <f t="shared" si="45"/>
        <v>806.57949723048341</v>
      </c>
      <c r="R151" s="19">
        <f t="shared" si="46"/>
        <v>0</v>
      </c>
      <c r="S151" s="19">
        <f t="shared" si="47"/>
        <v>0</v>
      </c>
      <c r="T151" s="19">
        <f t="shared" si="48"/>
        <v>0</v>
      </c>
      <c r="U151" s="16"/>
      <c r="V151" s="19">
        <f t="shared" si="49"/>
        <v>1024.8566938699582</v>
      </c>
      <c r="W151" s="16"/>
      <c r="X151" s="19">
        <f t="shared" si="50"/>
        <v>2586.4033113826476</v>
      </c>
      <c r="Y151" s="19">
        <f t="shared" si="51"/>
        <v>50.856693869958235</v>
      </c>
      <c r="Z151" s="19"/>
      <c r="AA151" s="19">
        <f t="shared" si="52"/>
        <v>1.2563908710399593E-4</v>
      </c>
    </row>
    <row r="152" spans="2:27" x14ac:dyDescent="0.3">
      <c r="B152" s="27">
        <v>32.199999999999996</v>
      </c>
      <c r="C152" s="27">
        <v>990</v>
      </c>
      <c r="D152" s="19">
        <f t="shared" ref="D152:H152" si="90">1/C$23-LN(C$23)+$B152*C$22</f>
        <v>28.581466347343238</v>
      </c>
      <c r="E152" s="19">
        <f t="shared" si="90"/>
        <v>1.6699378830282401</v>
      </c>
      <c r="F152" s="19">
        <f t="shared" si="90"/>
        <v>15.522585092994046</v>
      </c>
      <c r="G152" s="19">
        <f t="shared" si="90"/>
        <v>15.522585092994046</v>
      </c>
      <c r="H152" s="19">
        <f t="shared" si="90"/>
        <v>15.522585092994046</v>
      </c>
      <c r="I152" s="16"/>
      <c r="J152" s="19">
        <f t="shared" si="39"/>
        <v>25.348737424294157</v>
      </c>
      <c r="K152" s="19">
        <f t="shared" si="40"/>
        <v>1.361414010099415</v>
      </c>
      <c r="L152" s="19">
        <f t="shared" si="41"/>
        <v>12.96066601346266</v>
      </c>
      <c r="M152" s="19">
        <f t="shared" si="42"/>
        <v>12.96066601346266</v>
      </c>
      <c r="N152" s="19">
        <f t="shared" si="43"/>
        <v>12.96066601346266</v>
      </c>
      <c r="O152" s="16"/>
      <c r="P152" s="19">
        <f t="shared" si="44"/>
        <v>217.15485120231304</v>
      </c>
      <c r="Q152" s="19">
        <f t="shared" si="45"/>
        <v>805.58891302029269</v>
      </c>
      <c r="R152" s="19">
        <f t="shared" si="46"/>
        <v>0</v>
      </c>
      <c r="S152" s="19">
        <f t="shared" si="47"/>
        <v>0</v>
      </c>
      <c r="T152" s="19">
        <f t="shared" si="48"/>
        <v>0</v>
      </c>
      <c r="U152" s="16"/>
      <c r="V152" s="19">
        <f t="shared" si="49"/>
        <v>1022.7437642226057</v>
      </c>
      <c r="W152" s="16"/>
      <c r="X152" s="19">
        <f t="shared" si="50"/>
        <v>1072.1540954655934</v>
      </c>
      <c r="Y152" s="19">
        <f t="shared" si="51"/>
        <v>32.743764222605705</v>
      </c>
      <c r="Z152" s="19"/>
      <c r="AA152" s="19">
        <f t="shared" si="52"/>
        <v>8.0891940317551805E-5</v>
      </c>
    </row>
    <row r="153" spans="2:27" x14ac:dyDescent="0.3">
      <c r="B153" s="27">
        <v>32.500000000000007</v>
      </c>
      <c r="C153" s="27">
        <v>974</v>
      </c>
      <c r="D153" s="19">
        <f t="shared" ref="D153:H153" si="91">1/C$23-LN(C$23)+$B153*C$22</f>
        <v>28.68518109754141</v>
      </c>
      <c r="E153" s="19">
        <f t="shared" si="91"/>
        <v>1.6726984751233833</v>
      </c>
      <c r="F153" s="19">
        <f t="shared" si="91"/>
        <v>15.552585092994047</v>
      </c>
      <c r="G153" s="19">
        <f t="shared" si="91"/>
        <v>15.552585092994047</v>
      </c>
      <c r="H153" s="19">
        <f t="shared" si="91"/>
        <v>15.552585092994047</v>
      </c>
      <c r="I153" s="16"/>
      <c r="J153" s="19">
        <f t="shared" si="39"/>
        <v>25.448523376786618</v>
      </c>
      <c r="K153" s="19">
        <f t="shared" si="40"/>
        <v>1.3630059540653638</v>
      </c>
      <c r="L153" s="19">
        <f t="shared" si="41"/>
        <v>12.988519259601764</v>
      </c>
      <c r="M153" s="19">
        <f t="shared" si="42"/>
        <v>12.988519259601764</v>
      </c>
      <c r="N153" s="19">
        <f t="shared" si="43"/>
        <v>12.988519259601764</v>
      </c>
      <c r="O153" s="16"/>
      <c r="P153" s="19">
        <f t="shared" si="44"/>
        <v>215.48729024551179</v>
      </c>
      <c r="Q153" s="19">
        <f t="shared" si="45"/>
        <v>804.1059260517402</v>
      </c>
      <c r="R153" s="19">
        <f t="shared" si="46"/>
        <v>0</v>
      </c>
      <c r="S153" s="19">
        <f t="shared" si="47"/>
        <v>0</v>
      </c>
      <c r="T153" s="19">
        <f t="shared" si="48"/>
        <v>0</v>
      </c>
      <c r="U153" s="16"/>
      <c r="V153" s="19">
        <f t="shared" si="49"/>
        <v>1019.593216297252</v>
      </c>
      <c r="W153" s="16"/>
      <c r="X153" s="19">
        <f t="shared" si="50"/>
        <v>2078.7413723280015</v>
      </c>
      <c r="Y153" s="19">
        <f t="shared" si="51"/>
        <v>45.593216297251956</v>
      </c>
      <c r="Z153" s="19"/>
      <c r="AA153" s="19">
        <f t="shared" si="52"/>
        <v>1.1263591157477005E-4</v>
      </c>
    </row>
    <row r="154" spans="2:27" x14ac:dyDescent="0.3">
      <c r="B154" s="27">
        <v>32.800000000000004</v>
      </c>
      <c r="C154" s="27">
        <v>991</v>
      </c>
      <c r="D154" s="19">
        <f t="shared" ref="D154:H154" si="92">1/C$23-LN(C$23)+$B154*C$22</f>
        <v>28.788895847739571</v>
      </c>
      <c r="E154" s="19">
        <f t="shared" si="92"/>
        <v>1.6754590672185266</v>
      </c>
      <c r="F154" s="19">
        <f t="shared" si="92"/>
        <v>15.582585092994046</v>
      </c>
      <c r="G154" s="19">
        <f t="shared" si="92"/>
        <v>15.582585092994046</v>
      </c>
      <c r="H154" s="19">
        <f t="shared" si="92"/>
        <v>15.582585092994046</v>
      </c>
      <c r="I154" s="16"/>
      <c r="J154" s="19">
        <f t="shared" si="39"/>
        <v>25.548324125209426</v>
      </c>
      <c r="K154" s="19">
        <f t="shared" si="40"/>
        <v>1.3645986852724796</v>
      </c>
      <c r="L154" s="19">
        <f t="shared" si="41"/>
        <v>13.016376776329015</v>
      </c>
      <c r="M154" s="19">
        <f t="shared" si="42"/>
        <v>13.016376776329015</v>
      </c>
      <c r="N154" s="19">
        <f t="shared" si="43"/>
        <v>13.016376776329015</v>
      </c>
      <c r="O154" s="16"/>
      <c r="P154" s="19">
        <f t="shared" si="44"/>
        <v>213.8386232524993</v>
      </c>
      <c r="Q154" s="19">
        <f t="shared" si="45"/>
        <v>802.62639800083457</v>
      </c>
      <c r="R154" s="19">
        <f t="shared" si="46"/>
        <v>0</v>
      </c>
      <c r="S154" s="19">
        <f t="shared" si="47"/>
        <v>0</v>
      </c>
      <c r="T154" s="19">
        <f t="shared" si="48"/>
        <v>0</v>
      </c>
      <c r="U154" s="16"/>
      <c r="V154" s="19">
        <f t="shared" si="49"/>
        <v>1016.4650212533338</v>
      </c>
      <c r="W154" s="16"/>
      <c r="X154" s="19">
        <f t="shared" si="50"/>
        <v>648.46730743274293</v>
      </c>
      <c r="Y154" s="19">
        <f t="shared" si="51"/>
        <v>25.465021253333816</v>
      </c>
      <c r="Z154" s="19"/>
      <c r="AA154" s="19">
        <f t="shared" si="52"/>
        <v>6.29101457427347E-5</v>
      </c>
    </row>
    <row r="155" spans="2:27" x14ac:dyDescent="0.3">
      <c r="B155" s="27">
        <v>33.1</v>
      </c>
      <c r="C155" s="27">
        <v>989</v>
      </c>
      <c r="D155" s="19">
        <f t="shared" ref="D155:H155" si="93">1/C$23-LN(C$23)+$B155*C$22</f>
        <v>28.892610597937736</v>
      </c>
      <c r="E155" s="19">
        <f t="shared" si="93"/>
        <v>1.6782196593136698</v>
      </c>
      <c r="F155" s="19">
        <f t="shared" si="93"/>
        <v>15.612585092994046</v>
      </c>
      <c r="G155" s="19">
        <f t="shared" si="93"/>
        <v>15.612585092994046</v>
      </c>
      <c r="H155" s="19">
        <f t="shared" si="93"/>
        <v>15.612585092994046</v>
      </c>
      <c r="I155" s="16"/>
      <c r="J155" s="19">
        <f t="shared" si="39"/>
        <v>25.648139560698173</v>
      </c>
      <c r="K155" s="19">
        <f t="shared" si="40"/>
        <v>1.3661922030491063</v>
      </c>
      <c r="L155" s="19">
        <f t="shared" si="41"/>
        <v>13.044238547336573</v>
      </c>
      <c r="M155" s="19">
        <f t="shared" si="42"/>
        <v>13.044238547336573</v>
      </c>
      <c r="N155" s="19">
        <f t="shared" si="43"/>
        <v>13.044238547336573</v>
      </c>
      <c r="O155" s="16"/>
      <c r="P155" s="19">
        <f t="shared" si="44"/>
        <v>212.20856856968905</v>
      </c>
      <c r="Q155" s="19">
        <f t="shared" si="45"/>
        <v>801.15031955690051</v>
      </c>
      <c r="R155" s="19">
        <f t="shared" si="46"/>
        <v>0</v>
      </c>
      <c r="S155" s="19">
        <f t="shared" si="47"/>
        <v>0</v>
      </c>
      <c r="T155" s="19">
        <f t="shared" si="48"/>
        <v>0</v>
      </c>
      <c r="U155" s="16"/>
      <c r="V155" s="19">
        <f t="shared" si="49"/>
        <v>1013.3588881265896</v>
      </c>
      <c r="W155" s="16"/>
      <c r="X155" s="19">
        <f t="shared" si="50"/>
        <v>593.35543076370732</v>
      </c>
      <c r="Y155" s="19">
        <f t="shared" si="51"/>
        <v>24.358888126589591</v>
      </c>
      <c r="Z155" s="19"/>
      <c r="AA155" s="19">
        <f t="shared" si="52"/>
        <v>6.0177495511577486E-5</v>
      </c>
    </row>
    <row r="156" spans="2:27" x14ac:dyDescent="0.3">
      <c r="B156" s="27">
        <v>33.4</v>
      </c>
      <c r="C156" s="27">
        <v>1013</v>
      </c>
      <c r="D156" s="19">
        <f t="shared" ref="D156:H156" si="94">1/C$23-LN(C$23)+$B156*C$22</f>
        <v>28.996325348135901</v>
      </c>
      <c r="E156" s="19">
        <f t="shared" si="94"/>
        <v>1.6809802514088128</v>
      </c>
      <c r="F156" s="19">
        <f t="shared" si="94"/>
        <v>15.642585092994045</v>
      </c>
      <c r="G156" s="19">
        <f t="shared" si="94"/>
        <v>15.642585092994045</v>
      </c>
      <c r="H156" s="19">
        <f t="shared" si="94"/>
        <v>15.642585092994045</v>
      </c>
      <c r="I156" s="16"/>
      <c r="J156" s="19">
        <f t="shared" si="39"/>
        <v>25.747969575569297</v>
      </c>
      <c r="K156" s="19">
        <f t="shared" si="40"/>
        <v>1.3677865067238295</v>
      </c>
      <c r="L156" s="19">
        <f t="shared" si="41"/>
        <v>13.072104556407222</v>
      </c>
      <c r="M156" s="19">
        <f t="shared" si="42"/>
        <v>13.072104556407222</v>
      </c>
      <c r="N156" s="19">
        <f t="shared" si="43"/>
        <v>13.072104556407222</v>
      </c>
      <c r="O156" s="16"/>
      <c r="P156" s="19">
        <f t="shared" si="44"/>
        <v>210.59684973207615</v>
      </c>
      <c r="Q156" s="19">
        <f t="shared" si="45"/>
        <v>799.67768143652597</v>
      </c>
      <c r="R156" s="19">
        <f t="shared" si="46"/>
        <v>0</v>
      </c>
      <c r="S156" s="19">
        <f t="shared" si="47"/>
        <v>0</v>
      </c>
      <c r="T156" s="19">
        <f t="shared" si="48"/>
        <v>0</v>
      </c>
      <c r="U156" s="16"/>
      <c r="V156" s="19">
        <f t="shared" si="49"/>
        <v>1010.2745311686022</v>
      </c>
      <c r="W156" s="16"/>
      <c r="X156" s="19">
        <f t="shared" si="50"/>
        <v>7.4281803509211493</v>
      </c>
      <c r="Y156" s="19">
        <f t="shared" si="51"/>
        <v>2.7254688313978477</v>
      </c>
      <c r="Z156" s="19"/>
      <c r="AA156" s="19">
        <f t="shared" si="52"/>
        <v>6.7331434635293056E-6</v>
      </c>
    </row>
    <row r="157" spans="2:27" x14ac:dyDescent="0.3">
      <c r="B157" s="27">
        <v>33.699999999999996</v>
      </c>
      <c r="C157" s="27">
        <v>1010</v>
      </c>
      <c r="D157" s="19">
        <f t="shared" ref="D157:H157" si="95">1/C$23-LN(C$23)+$B157*C$22</f>
        <v>29.100040098334063</v>
      </c>
      <c r="E157" s="19">
        <f t="shared" si="95"/>
        <v>1.683740843503956</v>
      </c>
      <c r="F157" s="19">
        <f t="shared" si="95"/>
        <v>15.672585092994044</v>
      </c>
      <c r="G157" s="19">
        <f t="shared" si="95"/>
        <v>15.672585092994044</v>
      </c>
      <c r="H157" s="19">
        <f t="shared" si="95"/>
        <v>15.672585092994044</v>
      </c>
      <c r="I157" s="16"/>
      <c r="J157" s="19">
        <f t="shared" si="39"/>
        <v>25.847814063303257</v>
      </c>
      <c r="K157" s="19">
        <f t="shared" si="40"/>
        <v>1.3693815956254771</v>
      </c>
      <c r="L157" s="19">
        <f t="shared" si="41"/>
        <v>13.099974787413698</v>
      </c>
      <c r="M157" s="19">
        <f t="shared" si="42"/>
        <v>13.099974787413698</v>
      </c>
      <c r="N157" s="19">
        <f t="shared" si="43"/>
        <v>13.099974787413698</v>
      </c>
      <c r="O157" s="16"/>
      <c r="P157" s="19">
        <f t="shared" si="44"/>
        <v>209.00319534970009</v>
      </c>
      <c r="Q157" s="19">
        <f t="shared" si="45"/>
        <v>798.20847438347994</v>
      </c>
      <c r="R157" s="19">
        <f t="shared" si="46"/>
        <v>0</v>
      </c>
      <c r="S157" s="19">
        <f t="shared" si="47"/>
        <v>0</v>
      </c>
      <c r="T157" s="19">
        <f t="shared" si="48"/>
        <v>0</v>
      </c>
      <c r="U157" s="16"/>
      <c r="V157" s="19">
        <f t="shared" si="49"/>
        <v>1007.2116697331801</v>
      </c>
      <c r="W157" s="16"/>
      <c r="X157" s="19">
        <f t="shared" si="50"/>
        <v>7.7747856768640027</v>
      </c>
      <c r="Y157" s="19">
        <f t="shared" si="51"/>
        <v>2.7883302668199121</v>
      </c>
      <c r="Z157" s="19"/>
      <c r="AA157" s="19">
        <f t="shared" si="52"/>
        <v>6.8884397039941292E-6</v>
      </c>
    </row>
    <row r="158" spans="2:27" x14ac:dyDescent="0.3">
      <c r="B158" s="27">
        <v>34.000000000000007</v>
      </c>
      <c r="C158" s="27">
        <v>1024</v>
      </c>
      <c r="D158" s="19">
        <f t="shared" ref="D158:H158" si="96">1/C$23-LN(C$23)+$B158*C$22</f>
        <v>29.203754848532235</v>
      </c>
      <c r="E158" s="19">
        <f t="shared" si="96"/>
        <v>1.6865014355990993</v>
      </c>
      <c r="F158" s="19">
        <f t="shared" si="96"/>
        <v>15.702585092994045</v>
      </c>
      <c r="G158" s="19">
        <f t="shared" si="96"/>
        <v>15.702585092994045</v>
      </c>
      <c r="H158" s="19">
        <f t="shared" si="96"/>
        <v>15.702585092994045</v>
      </c>
      <c r="I158" s="16"/>
      <c r="J158" s="19">
        <f t="shared" si="39"/>
        <v>25.947672918528021</v>
      </c>
      <c r="K158" s="19">
        <f t="shared" si="40"/>
        <v>1.3709774690831209</v>
      </c>
      <c r="L158" s="19">
        <f t="shared" si="41"/>
        <v>13.12784922431806</v>
      </c>
      <c r="M158" s="19">
        <f t="shared" si="42"/>
        <v>13.12784922431806</v>
      </c>
      <c r="N158" s="19">
        <f t="shared" si="43"/>
        <v>13.12784922431806</v>
      </c>
      <c r="O158" s="16"/>
      <c r="P158" s="19">
        <f t="shared" si="44"/>
        <v>207.42733899697879</v>
      </c>
      <c r="Q158" s="19">
        <f t="shared" si="45"/>
        <v>796.74268916863036</v>
      </c>
      <c r="R158" s="19">
        <f t="shared" si="46"/>
        <v>0</v>
      </c>
      <c r="S158" s="19">
        <f t="shared" si="47"/>
        <v>0</v>
      </c>
      <c r="T158" s="19">
        <f t="shared" si="48"/>
        <v>0</v>
      </c>
      <c r="U158" s="16"/>
      <c r="V158" s="19">
        <f t="shared" si="49"/>
        <v>1004.1700281656092</v>
      </c>
      <c r="W158" s="16"/>
      <c r="X158" s="19">
        <f t="shared" si="50"/>
        <v>393.22778295273201</v>
      </c>
      <c r="Y158" s="19">
        <f t="shared" si="51"/>
        <v>19.82997183439079</v>
      </c>
      <c r="Z158" s="19"/>
      <c r="AA158" s="19">
        <f t="shared" si="52"/>
        <v>4.8989019320473899E-5</v>
      </c>
    </row>
    <row r="159" spans="2:27" x14ac:dyDescent="0.3">
      <c r="B159" s="27">
        <v>34.199999999999996</v>
      </c>
      <c r="C159" s="27">
        <v>1046</v>
      </c>
      <c r="D159" s="19">
        <f t="shared" ref="D159:H159" si="97">1/C$23-LN(C$23)+$B159*C$22</f>
        <v>29.272898015331009</v>
      </c>
      <c r="E159" s="19">
        <f t="shared" si="97"/>
        <v>1.6883418303291946</v>
      </c>
      <c r="F159" s="19">
        <f t="shared" si="97"/>
        <v>15.722585092994045</v>
      </c>
      <c r="G159" s="19">
        <f t="shared" si="97"/>
        <v>15.722585092994045</v>
      </c>
      <c r="H159" s="19">
        <f t="shared" si="97"/>
        <v>15.722585092994045</v>
      </c>
      <c r="I159" s="16"/>
      <c r="J159" s="19">
        <f t="shared" si="39"/>
        <v>26.014253419094171</v>
      </c>
      <c r="K159" s="19">
        <f t="shared" si="40"/>
        <v>1.3720418202547813</v>
      </c>
      <c r="L159" s="19">
        <f t="shared" si="41"/>
        <v>13.14643451098442</v>
      </c>
      <c r="M159" s="19">
        <f t="shared" si="42"/>
        <v>13.14643451098442</v>
      </c>
      <c r="N159" s="19">
        <f t="shared" si="43"/>
        <v>13.14643451098442</v>
      </c>
      <c r="O159" s="16"/>
      <c r="P159" s="19">
        <f t="shared" si="44"/>
        <v>206.38652652283724</v>
      </c>
      <c r="Q159" s="19">
        <f t="shared" si="45"/>
        <v>795.76739550125342</v>
      </c>
      <c r="R159" s="19">
        <f t="shared" si="46"/>
        <v>0</v>
      </c>
      <c r="S159" s="19">
        <f t="shared" si="47"/>
        <v>0</v>
      </c>
      <c r="T159" s="19">
        <f t="shared" si="48"/>
        <v>0</v>
      </c>
      <c r="U159" s="16"/>
      <c r="V159" s="19">
        <f t="shared" si="49"/>
        <v>1002.1539220240907</v>
      </c>
      <c r="W159" s="16"/>
      <c r="X159" s="19">
        <f t="shared" si="50"/>
        <v>1922.4785538695219</v>
      </c>
      <c r="Y159" s="19">
        <f t="shared" si="51"/>
        <v>43.846077975909338</v>
      </c>
      <c r="Z159" s="19"/>
      <c r="AA159" s="19">
        <f t="shared" si="52"/>
        <v>1.0831968794648655E-4</v>
      </c>
    </row>
    <row r="160" spans="2:27" x14ac:dyDescent="0.3">
      <c r="B160" s="27">
        <v>34.500000000000007</v>
      </c>
      <c r="C160" s="27">
        <v>956</v>
      </c>
      <c r="D160" s="19">
        <f t="shared" ref="D160:H160" si="98">1/C$23-LN(C$23)+$B160*C$22</f>
        <v>29.376612765529174</v>
      </c>
      <c r="E160" s="19">
        <f t="shared" si="98"/>
        <v>1.6911024224243378</v>
      </c>
      <c r="F160" s="19">
        <f t="shared" si="98"/>
        <v>15.752585092994046</v>
      </c>
      <c r="G160" s="19">
        <f t="shared" si="98"/>
        <v>15.752585092994046</v>
      </c>
      <c r="H160" s="19">
        <f t="shared" si="98"/>
        <v>15.752585092994046</v>
      </c>
      <c r="I160" s="16"/>
      <c r="J160" s="19">
        <f t="shared" si="39"/>
        <v>26.114135989042065</v>
      </c>
      <c r="K160" s="19">
        <f t="shared" si="40"/>
        <v>1.3736389998154699</v>
      </c>
      <c r="L160" s="19">
        <f t="shared" si="41"/>
        <v>13.174315922319247</v>
      </c>
      <c r="M160" s="19">
        <f t="shared" si="42"/>
        <v>13.174315922319247</v>
      </c>
      <c r="N160" s="19">
        <f t="shared" si="43"/>
        <v>13.174315922319247</v>
      </c>
      <c r="O160" s="16"/>
      <c r="P160" s="19">
        <f t="shared" si="44"/>
        <v>204.83975463884042</v>
      </c>
      <c r="Q160" s="19">
        <f t="shared" si="45"/>
        <v>794.30729291422233</v>
      </c>
      <c r="R160" s="19">
        <f t="shared" si="46"/>
        <v>0</v>
      </c>
      <c r="S160" s="19">
        <f t="shared" si="47"/>
        <v>0</v>
      </c>
      <c r="T160" s="19">
        <f t="shared" si="48"/>
        <v>0</v>
      </c>
      <c r="U160" s="16"/>
      <c r="V160" s="19">
        <f t="shared" si="49"/>
        <v>999.14704755306275</v>
      </c>
      <c r="W160" s="16"/>
      <c r="X160" s="19">
        <f t="shared" si="50"/>
        <v>1861.6677125462581</v>
      </c>
      <c r="Y160" s="19">
        <f t="shared" si="51"/>
        <v>43.147047553062748</v>
      </c>
      <c r="Z160" s="19"/>
      <c r="AA160" s="19">
        <f t="shared" si="52"/>
        <v>1.0659276593285865E-4</v>
      </c>
    </row>
    <row r="161" spans="2:27" x14ac:dyDescent="0.3">
      <c r="B161" s="27">
        <v>34.800000000000004</v>
      </c>
      <c r="C161" s="27">
        <v>934</v>
      </c>
      <c r="D161" s="19">
        <f t="shared" ref="D161:H161" si="99">1/C$23-LN(C$23)+$B161*C$22</f>
        <v>29.480327515727339</v>
      </c>
      <c r="E161" s="19">
        <f t="shared" si="99"/>
        <v>1.6938630145194811</v>
      </c>
      <c r="F161" s="19">
        <f t="shared" si="99"/>
        <v>15.782585092994045</v>
      </c>
      <c r="G161" s="19">
        <f t="shared" si="99"/>
        <v>15.782585092994045</v>
      </c>
      <c r="H161" s="19">
        <f t="shared" si="99"/>
        <v>15.782585092994045</v>
      </c>
      <c r="I161" s="16"/>
      <c r="J161" s="19">
        <f t="shared" si="39"/>
        <v>26.21403265097587</v>
      </c>
      <c r="K161" s="19">
        <f t="shared" si="40"/>
        <v>1.37523696214422</v>
      </c>
      <c r="L161" s="19">
        <f t="shared" si="41"/>
        <v>13.202201497215864</v>
      </c>
      <c r="M161" s="19">
        <f t="shared" si="42"/>
        <v>13.202201497215864</v>
      </c>
      <c r="N161" s="19">
        <f t="shared" si="43"/>
        <v>13.202201497215864</v>
      </c>
      <c r="O161" s="16"/>
      <c r="P161" s="19">
        <f t="shared" si="44"/>
        <v>203.31009377473899</v>
      </c>
      <c r="Q161" s="19">
        <f t="shared" si="45"/>
        <v>792.85058768622662</v>
      </c>
      <c r="R161" s="19">
        <f t="shared" si="46"/>
        <v>0</v>
      </c>
      <c r="S161" s="19">
        <f t="shared" si="47"/>
        <v>0</v>
      </c>
      <c r="T161" s="19">
        <f t="shared" si="48"/>
        <v>0</v>
      </c>
      <c r="U161" s="16"/>
      <c r="V161" s="19">
        <f t="shared" si="49"/>
        <v>996.16068146096563</v>
      </c>
      <c r="W161" s="16"/>
      <c r="X161" s="19">
        <f t="shared" si="50"/>
        <v>3863.9503196916367</v>
      </c>
      <c r="Y161" s="19">
        <f t="shared" si="51"/>
        <v>62.160681460965634</v>
      </c>
      <c r="Z161" s="19"/>
      <c r="AA161" s="19">
        <f t="shared" si="52"/>
        <v>1.5356506053043633E-4</v>
      </c>
    </row>
    <row r="162" spans="2:27" x14ac:dyDescent="0.3">
      <c r="B162" s="27">
        <v>35.1</v>
      </c>
      <c r="C162" s="27">
        <v>986</v>
      </c>
      <c r="D162" s="19">
        <f t="shared" ref="D162:H162" si="100">1/C$23-LN(C$23)+$B162*C$22</f>
        <v>29.584042265925504</v>
      </c>
      <c r="E162" s="19">
        <f t="shared" si="100"/>
        <v>1.6966236066146241</v>
      </c>
      <c r="F162" s="19">
        <f t="shared" si="100"/>
        <v>15.812585092994045</v>
      </c>
      <c r="G162" s="19">
        <f t="shared" si="100"/>
        <v>15.812585092994045</v>
      </c>
      <c r="H162" s="19">
        <f t="shared" si="100"/>
        <v>15.812585092994045</v>
      </c>
      <c r="I162" s="16"/>
      <c r="J162" s="19">
        <f t="shared" si="39"/>
        <v>26.313943303594115</v>
      </c>
      <c r="K162" s="19">
        <f t="shared" si="40"/>
        <v>1.3768357065710135</v>
      </c>
      <c r="L162" s="19">
        <f t="shared" si="41"/>
        <v>13.230091219958346</v>
      </c>
      <c r="M162" s="19">
        <f t="shared" si="42"/>
        <v>13.230091219958346</v>
      </c>
      <c r="N162" s="19">
        <f t="shared" si="43"/>
        <v>13.230091219958346</v>
      </c>
      <c r="O162" s="16"/>
      <c r="P162" s="19">
        <f t="shared" si="44"/>
        <v>201.79729480509678</v>
      </c>
      <c r="Q162" s="19">
        <f t="shared" si="45"/>
        <v>791.39727068679406</v>
      </c>
      <c r="R162" s="19">
        <f t="shared" si="46"/>
        <v>0</v>
      </c>
      <c r="S162" s="19">
        <f t="shared" si="47"/>
        <v>0</v>
      </c>
      <c r="T162" s="19">
        <f t="shared" si="48"/>
        <v>0</v>
      </c>
      <c r="U162" s="16"/>
      <c r="V162" s="19">
        <f t="shared" si="49"/>
        <v>993.1945654918909</v>
      </c>
      <c r="W162" s="16"/>
      <c r="X162" s="19">
        <f t="shared" si="50"/>
        <v>51.761772617107326</v>
      </c>
      <c r="Y162" s="19">
        <f t="shared" si="51"/>
        <v>7.1945654918908986</v>
      </c>
      <c r="Z162" s="19"/>
      <c r="AA162" s="19">
        <f t="shared" si="52"/>
        <v>1.777383804819136E-5</v>
      </c>
    </row>
    <row r="163" spans="2:27" x14ac:dyDescent="0.3">
      <c r="B163" s="27">
        <v>35.4</v>
      </c>
      <c r="C163" s="27">
        <v>921</v>
      </c>
      <c r="D163" s="19">
        <f t="shared" ref="D163:H163" si="101">1/C$23-LN(C$23)+$B163*C$22</f>
        <v>29.687757016123669</v>
      </c>
      <c r="E163" s="19">
        <f t="shared" si="101"/>
        <v>1.6993841987097673</v>
      </c>
      <c r="F163" s="19">
        <f t="shared" si="101"/>
        <v>15.842585092994046</v>
      </c>
      <c r="G163" s="19">
        <f t="shared" si="101"/>
        <v>15.842585092994046</v>
      </c>
      <c r="H163" s="19">
        <f t="shared" si="101"/>
        <v>15.842585092994046</v>
      </c>
      <c r="I163" s="16"/>
      <c r="J163" s="19">
        <f t="shared" si="39"/>
        <v>26.413867846669362</v>
      </c>
      <c r="K163" s="19">
        <f t="shared" si="40"/>
        <v>1.3784352324260842</v>
      </c>
      <c r="L163" s="19">
        <f t="shared" si="41"/>
        <v>13.257985074917135</v>
      </c>
      <c r="M163" s="19">
        <f t="shared" si="42"/>
        <v>13.257985074917135</v>
      </c>
      <c r="N163" s="19">
        <f t="shared" si="43"/>
        <v>13.257985074917135</v>
      </c>
      <c r="O163" s="16"/>
      <c r="P163" s="19">
        <f t="shared" si="44"/>
        <v>200.30111308803924</v>
      </c>
      <c r="Q163" s="19">
        <f t="shared" si="45"/>
        <v>789.94733281217043</v>
      </c>
      <c r="R163" s="19">
        <f t="shared" si="46"/>
        <v>0</v>
      </c>
      <c r="S163" s="19">
        <f t="shared" si="47"/>
        <v>0</v>
      </c>
      <c r="T163" s="19">
        <f t="shared" si="48"/>
        <v>0</v>
      </c>
      <c r="U163" s="16"/>
      <c r="V163" s="19">
        <f t="shared" si="49"/>
        <v>990.24844590020962</v>
      </c>
      <c r="W163" s="16"/>
      <c r="X163" s="19">
        <f t="shared" si="50"/>
        <v>4795.3472595942585</v>
      </c>
      <c r="Y163" s="19">
        <f t="shared" si="51"/>
        <v>69.248445900209617</v>
      </c>
      <c r="Z163" s="19"/>
      <c r="AA163" s="19">
        <f t="shared" si="52"/>
        <v>1.7107505156587033E-4</v>
      </c>
    </row>
    <row r="164" spans="2:27" x14ac:dyDescent="0.3">
      <c r="B164" s="27">
        <v>35.699999999999996</v>
      </c>
      <c r="C164" s="27">
        <v>1039</v>
      </c>
      <c r="D164" s="19">
        <f t="shared" ref="D164:H164" si="102">1/C$23-LN(C$23)+$B164*C$22</f>
        <v>29.791471766321834</v>
      </c>
      <c r="E164" s="19">
        <f t="shared" si="102"/>
        <v>1.7021447908049105</v>
      </c>
      <c r="F164" s="19">
        <f t="shared" si="102"/>
        <v>15.872585092994045</v>
      </c>
      <c r="G164" s="19">
        <f t="shared" si="102"/>
        <v>15.872585092994045</v>
      </c>
      <c r="H164" s="19">
        <f t="shared" si="102"/>
        <v>15.872585092994045</v>
      </c>
      <c r="I164" s="16"/>
      <c r="J164" s="19">
        <f t="shared" si="39"/>
        <v>26.513806181033249</v>
      </c>
      <c r="K164" s="19">
        <f t="shared" si="40"/>
        <v>1.3800355390399199</v>
      </c>
      <c r="L164" s="19">
        <f t="shared" si="41"/>
        <v>13.285883046548403</v>
      </c>
      <c r="M164" s="19">
        <f t="shared" si="42"/>
        <v>13.285883046548403</v>
      </c>
      <c r="N164" s="19">
        <f t="shared" si="43"/>
        <v>13.285883046548403</v>
      </c>
      <c r="O164" s="16"/>
      <c r="P164" s="19">
        <f t="shared" si="44"/>
        <v>198.82130836938063</v>
      </c>
      <c r="Q164" s="19">
        <f t="shared" si="45"/>
        <v>788.5007649852372</v>
      </c>
      <c r="R164" s="19">
        <f t="shared" si="46"/>
        <v>0</v>
      </c>
      <c r="S164" s="19">
        <f t="shared" si="47"/>
        <v>0</v>
      </c>
      <c r="T164" s="19">
        <f t="shared" si="48"/>
        <v>0</v>
      </c>
      <c r="U164" s="16"/>
      <c r="V164" s="19">
        <f t="shared" si="49"/>
        <v>987.32207335461783</v>
      </c>
      <c r="W164" s="16"/>
      <c r="X164" s="19">
        <f t="shared" si="50"/>
        <v>2670.6081023655006</v>
      </c>
      <c r="Y164" s="19">
        <f t="shared" si="51"/>
        <v>51.677926645382172</v>
      </c>
      <c r="Z164" s="19"/>
      <c r="AA164" s="19">
        <f t="shared" si="52"/>
        <v>1.2766790432259013E-4</v>
      </c>
    </row>
    <row r="165" spans="2:27" x14ac:dyDescent="0.3">
      <c r="B165" s="27">
        <v>36.000000000000007</v>
      </c>
      <c r="C165" s="27">
        <v>978</v>
      </c>
      <c r="D165" s="19">
        <f t="shared" ref="D165:H165" si="103">1/C$23-LN(C$23)+$B165*C$22</f>
        <v>29.895186516519999</v>
      </c>
      <c r="E165" s="19">
        <f t="shared" si="103"/>
        <v>1.7049053829000538</v>
      </c>
      <c r="F165" s="19">
        <f t="shared" si="103"/>
        <v>15.902585092994046</v>
      </c>
      <c r="G165" s="19">
        <f t="shared" si="103"/>
        <v>15.902585092994046</v>
      </c>
      <c r="H165" s="19">
        <f t="shared" si="103"/>
        <v>15.902585092994046</v>
      </c>
      <c r="I165" s="16"/>
      <c r="J165" s="19">
        <f t="shared" si="39"/>
        <v>26.613758208561769</v>
      </c>
      <c r="K165" s="19">
        <f t="shared" si="40"/>
        <v>1.3816366257432631</v>
      </c>
      <c r="L165" s="19">
        <f t="shared" si="41"/>
        <v>13.313785119393465</v>
      </c>
      <c r="M165" s="19">
        <f t="shared" si="42"/>
        <v>13.313785119393465</v>
      </c>
      <c r="N165" s="19">
        <f t="shared" si="43"/>
        <v>13.313785119393465</v>
      </c>
      <c r="O165" s="16"/>
      <c r="P165" s="19">
        <f t="shared" si="44"/>
        <v>197.3576446891222</v>
      </c>
      <c r="Q165" s="19">
        <f t="shared" si="45"/>
        <v>787.05755815543182</v>
      </c>
      <c r="R165" s="19">
        <f t="shared" si="46"/>
        <v>0</v>
      </c>
      <c r="S165" s="19">
        <f t="shared" si="47"/>
        <v>0</v>
      </c>
      <c r="T165" s="19">
        <f t="shared" si="48"/>
        <v>0</v>
      </c>
      <c r="U165" s="16"/>
      <c r="V165" s="19">
        <f t="shared" si="49"/>
        <v>984.41520284455396</v>
      </c>
      <c r="W165" s="16"/>
      <c r="X165" s="19">
        <f t="shared" si="50"/>
        <v>41.154827536773219</v>
      </c>
      <c r="Y165" s="19">
        <f t="shared" si="51"/>
        <v>6.4152028445539599</v>
      </c>
      <c r="Z165" s="19"/>
      <c r="AA165" s="19">
        <f t="shared" si="52"/>
        <v>1.5848459025623628E-5</v>
      </c>
    </row>
    <row r="166" spans="2:27" x14ac:dyDescent="0.3">
      <c r="B166" s="27">
        <v>36.199999999999996</v>
      </c>
      <c r="C166" s="27">
        <v>947</v>
      </c>
      <c r="D166" s="19">
        <f t="shared" ref="D166:H166" si="104">1/C$23-LN(C$23)+$B166*C$22</f>
        <v>29.964329683318773</v>
      </c>
      <c r="E166" s="19">
        <f t="shared" si="104"/>
        <v>1.7067457776301491</v>
      </c>
      <c r="F166" s="19">
        <f t="shared" si="104"/>
        <v>15.922585092994044</v>
      </c>
      <c r="G166" s="19">
        <f t="shared" si="104"/>
        <v>15.922585092994044</v>
      </c>
      <c r="H166" s="19">
        <f t="shared" si="104"/>
        <v>15.922585092994044</v>
      </c>
      <c r="I166" s="16"/>
      <c r="J166" s="19">
        <f t="shared" si="39"/>
        <v>26.680400452904802</v>
      </c>
      <c r="K166" s="19">
        <f t="shared" si="40"/>
        <v>1.3827044499315035</v>
      </c>
      <c r="L166" s="19">
        <f t="shared" si="41"/>
        <v>13.332388772146638</v>
      </c>
      <c r="M166" s="19">
        <f t="shared" si="42"/>
        <v>13.332388772146638</v>
      </c>
      <c r="N166" s="19">
        <f t="shared" si="43"/>
        <v>13.332388772146638</v>
      </c>
      <c r="O166" s="16"/>
      <c r="P166" s="19">
        <f t="shared" si="44"/>
        <v>196.39072152766951</v>
      </c>
      <c r="Q166" s="19">
        <f t="shared" si="45"/>
        <v>786.09728303209488</v>
      </c>
      <c r="R166" s="19">
        <f t="shared" si="46"/>
        <v>0</v>
      </c>
      <c r="S166" s="19">
        <f t="shared" si="47"/>
        <v>0</v>
      </c>
      <c r="T166" s="19">
        <f t="shared" si="48"/>
        <v>0</v>
      </c>
      <c r="U166" s="16"/>
      <c r="V166" s="19">
        <f t="shared" si="49"/>
        <v>982.48800455976436</v>
      </c>
      <c r="W166" s="16"/>
      <c r="X166" s="19">
        <f t="shared" si="50"/>
        <v>1259.3984676338562</v>
      </c>
      <c r="Y166" s="19">
        <f t="shared" si="51"/>
        <v>35.488004559764363</v>
      </c>
      <c r="Z166" s="19"/>
      <c r="AA166" s="19">
        <f t="shared" si="52"/>
        <v>8.7671457909399127E-5</v>
      </c>
    </row>
    <row r="167" spans="2:27" x14ac:dyDescent="0.3">
      <c r="B167" s="27">
        <v>36.500000000000007</v>
      </c>
      <c r="C167" s="27">
        <v>1035</v>
      </c>
      <c r="D167" s="19">
        <f t="shared" ref="D167:H167" si="105">1/C$23-LN(C$23)+$B167*C$22</f>
        <v>30.068044433516945</v>
      </c>
      <c r="E167" s="19">
        <f t="shared" si="105"/>
        <v>1.7095063697252924</v>
      </c>
      <c r="F167" s="19">
        <f t="shared" si="105"/>
        <v>15.952585092994045</v>
      </c>
      <c r="G167" s="19">
        <f t="shared" si="105"/>
        <v>15.952585092994045</v>
      </c>
      <c r="H167" s="19">
        <f t="shared" si="105"/>
        <v>15.952585092994045</v>
      </c>
      <c r="I167" s="16"/>
      <c r="J167" s="19">
        <f t="shared" si="39"/>
        <v>26.780375087111832</v>
      </c>
      <c r="K167" s="19">
        <f t="shared" si="40"/>
        <v>1.3843068352974859</v>
      </c>
      <c r="L167" s="19">
        <f t="shared" si="41"/>
        <v>13.360297646224684</v>
      </c>
      <c r="M167" s="19">
        <f t="shared" si="42"/>
        <v>13.360297646224684</v>
      </c>
      <c r="N167" s="19">
        <f t="shared" si="43"/>
        <v>13.360297646224684</v>
      </c>
      <c r="O167" s="16"/>
      <c r="P167" s="19">
        <f t="shared" si="44"/>
        <v>194.95344659771396</v>
      </c>
      <c r="Q167" s="19">
        <f t="shared" si="45"/>
        <v>784.65965782367834</v>
      </c>
      <c r="R167" s="19">
        <f t="shared" si="46"/>
        <v>0</v>
      </c>
      <c r="S167" s="19">
        <f t="shared" si="47"/>
        <v>0</v>
      </c>
      <c r="T167" s="19">
        <f t="shared" si="48"/>
        <v>0</v>
      </c>
      <c r="U167" s="16"/>
      <c r="V167" s="19">
        <f t="shared" si="49"/>
        <v>979.61310442139234</v>
      </c>
      <c r="W167" s="16"/>
      <c r="X167" s="19">
        <f t="shared" si="50"/>
        <v>3067.7082018355891</v>
      </c>
      <c r="Y167" s="19">
        <f t="shared" si="51"/>
        <v>55.386895578607664</v>
      </c>
      <c r="Z167" s="19"/>
      <c r="AA167" s="19">
        <f t="shared" si="52"/>
        <v>1.3683073885640946E-4</v>
      </c>
    </row>
    <row r="168" spans="2:27" x14ac:dyDescent="0.3">
      <c r="B168" s="27">
        <v>36.800000000000004</v>
      </c>
      <c r="C168" s="27">
        <v>1007</v>
      </c>
      <c r="D168" s="19">
        <f t="shared" ref="D168:H168" si="106">1/C$23-LN(C$23)+$B168*C$22</f>
        <v>30.171759183715107</v>
      </c>
      <c r="E168" s="19">
        <f t="shared" si="106"/>
        <v>1.7122669618204354</v>
      </c>
      <c r="F168" s="19">
        <f t="shared" si="106"/>
        <v>15.982585092994047</v>
      </c>
      <c r="G168" s="19">
        <f t="shared" si="106"/>
        <v>15.982585092994047</v>
      </c>
      <c r="H168" s="19">
        <f t="shared" si="106"/>
        <v>15.982585092994047</v>
      </c>
      <c r="I168" s="16"/>
      <c r="J168" s="19">
        <f t="shared" si="39"/>
        <v>26.880363157816006</v>
      </c>
      <c r="K168" s="19">
        <f t="shared" si="40"/>
        <v>1.3859099989695502</v>
      </c>
      <c r="L168" s="19">
        <f t="shared" si="41"/>
        <v>13.388210580704957</v>
      </c>
      <c r="M168" s="19">
        <f t="shared" si="42"/>
        <v>13.388210580704957</v>
      </c>
      <c r="N168" s="19">
        <f t="shared" si="43"/>
        <v>13.388210580704957</v>
      </c>
      <c r="O168" s="16"/>
      <c r="P168" s="19">
        <f t="shared" si="44"/>
        <v>193.53170378680949</v>
      </c>
      <c r="Q168" s="19">
        <f t="shared" si="45"/>
        <v>783.22536960677041</v>
      </c>
      <c r="R168" s="19">
        <f t="shared" si="46"/>
        <v>0</v>
      </c>
      <c r="S168" s="19">
        <f t="shared" si="47"/>
        <v>0</v>
      </c>
      <c r="T168" s="19">
        <f t="shared" si="48"/>
        <v>0</v>
      </c>
      <c r="U168" s="16"/>
      <c r="V168" s="19">
        <f t="shared" si="49"/>
        <v>976.75707339357996</v>
      </c>
      <c r="W168" s="16"/>
      <c r="X168" s="19">
        <f t="shared" si="50"/>
        <v>914.63460972130929</v>
      </c>
      <c r="Y168" s="19">
        <f t="shared" si="51"/>
        <v>30.242926606420042</v>
      </c>
      <c r="Z168" s="19"/>
      <c r="AA168" s="19">
        <f t="shared" si="52"/>
        <v>7.4713737780510663E-5</v>
      </c>
    </row>
    <row r="169" spans="2:27" x14ac:dyDescent="0.3">
      <c r="B169" s="27">
        <v>37.1</v>
      </c>
      <c r="C169" s="27">
        <v>951</v>
      </c>
      <c r="D169" s="19">
        <f t="shared" ref="D169:H169" si="107">1/C$23-LN(C$23)+$B169*C$22</f>
        <v>30.275473933913272</v>
      </c>
      <c r="E169" s="19">
        <f t="shared" si="107"/>
        <v>1.7150275539155786</v>
      </c>
      <c r="F169" s="19">
        <f t="shared" si="107"/>
        <v>16.012585092994044</v>
      </c>
      <c r="G169" s="19">
        <f t="shared" si="107"/>
        <v>16.012585092994044</v>
      </c>
      <c r="H169" s="19">
        <f t="shared" si="107"/>
        <v>16.012585092994044</v>
      </c>
      <c r="I169" s="16"/>
      <c r="J169" s="19">
        <f t="shared" si="39"/>
        <v>26.980364570600763</v>
      </c>
      <c r="K169" s="19">
        <f t="shared" si="40"/>
        <v>1.387513940279389</v>
      </c>
      <c r="L169" s="19">
        <f t="shared" si="41"/>
        <v>13.416127560435767</v>
      </c>
      <c r="M169" s="19">
        <f t="shared" si="42"/>
        <v>13.416127560435767</v>
      </c>
      <c r="N169" s="19">
        <f t="shared" si="43"/>
        <v>13.416127560435767</v>
      </c>
      <c r="O169" s="16"/>
      <c r="P169" s="19">
        <f t="shared" si="44"/>
        <v>192.12527211689016</v>
      </c>
      <c r="Q169" s="19">
        <f t="shared" si="45"/>
        <v>781.79440942749136</v>
      </c>
      <c r="R169" s="19">
        <f t="shared" si="46"/>
        <v>0</v>
      </c>
      <c r="S169" s="19">
        <f t="shared" si="47"/>
        <v>0</v>
      </c>
      <c r="T169" s="19">
        <f t="shared" si="48"/>
        <v>0</v>
      </c>
      <c r="U169" s="16"/>
      <c r="V169" s="19">
        <f t="shared" si="49"/>
        <v>973.91968154438155</v>
      </c>
      <c r="W169" s="16"/>
      <c r="X169" s="19">
        <f t="shared" si="50"/>
        <v>525.3118020958641</v>
      </c>
      <c r="Y169" s="19">
        <f t="shared" si="51"/>
        <v>22.919681544381547</v>
      </c>
      <c r="Z169" s="19"/>
      <c r="AA169" s="19">
        <f t="shared" si="52"/>
        <v>5.6622002863843773E-5</v>
      </c>
    </row>
    <row r="170" spans="2:27" x14ac:dyDescent="0.3">
      <c r="B170" s="27">
        <v>37.4</v>
      </c>
      <c r="C170" s="27">
        <v>1039</v>
      </c>
      <c r="D170" s="19">
        <f t="shared" ref="D170:H170" si="108">1/C$23-LN(C$23)+$B170*C$22</f>
        <v>30.379188684111437</v>
      </c>
      <c r="E170" s="19">
        <f t="shared" si="108"/>
        <v>1.7177881460107218</v>
      </c>
      <c r="F170" s="19">
        <f t="shared" si="108"/>
        <v>16.042585092994045</v>
      </c>
      <c r="G170" s="19">
        <f t="shared" si="108"/>
        <v>16.042585092994045</v>
      </c>
      <c r="H170" s="19">
        <f t="shared" si="108"/>
        <v>16.042585092994045</v>
      </c>
      <c r="I170" s="16"/>
      <c r="J170" s="19">
        <f t="shared" si="39"/>
        <v>27.080379232028474</v>
      </c>
      <c r="K170" s="19">
        <f t="shared" si="40"/>
        <v>1.3891186585589581</v>
      </c>
      <c r="L170" s="19">
        <f t="shared" si="41"/>
        <v>13.444048570347785</v>
      </c>
      <c r="M170" s="19">
        <f t="shared" si="42"/>
        <v>13.444048570347785</v>
      </c>
      <c r="N170" s="19">
        <f t="shared" si="43"/>
        <v>13.444048570347785</v>
      </c>
      <c r="O170" s="16"/>
      <c r="P170" s="19">
        <f t="shared" si="44"/>
        <v>190.73393449717597</v>
      </c>
      <c r="Q170" s="19">
        <f t="shared" si="45"/>
        <v>780.36676835814239</v>
      </c>
      <c r="R170" s="19">
        <f t="shared" si="46"/>
        <v>0</v>
      </c>
      <c r="S170" s="19">
        <f t="shared" si="47"/>
        <v>0</v>
      </c>
      <c r="T170" s="19">
        <f t="shared" si="48"/>
        <v>0</v>
      </c>
      <c r="U170" s="16"/>
      <c r="V170" s="19">
        <f t="shared" si="49"/>
        <v>971.10070285531833</v>
      </c>
      <c r="W170" s="16"/>
      <c r="X170" s="19">
        <f t="shared" si="50"/>
        <v>4610.3145527417764</v>
      </c>
      <c r="Y170" s="19">
        <f t="shared" si="51"/>
        <v>67.899297144681668</v>
      </c>
      <c r="Z170" s="19"/>
      <c r="AA170" s="19">
        <f t="shared" si="52"/>
        <v>1.6774204257308259E-4</v>
      </c>
    </row>
    <row r="171" spans="2:27" x14ac:dyDescent="0.3">
      <c r="B171" s="27">
        <v>37.699999999999996</v>
      </c>
      <c r="C171" s="27">
        <v>990</v>
      </c>
      <c r="D171" s="19">
        <f t="shared" ref="D171:H171" si="109">1/C$23-LN(C$23)+$B171*C$22</f>
        <v>30.482903434309598</v>
      </c>
      <c r="E171" s="19">
        <f t="shared" si="109"/>
        <v>1.7205487381058648</v>
      </c>
      <c r="F171" s="19">
        <f t="shared" si="109"/>
        <v>16.072585092994046</v>
      </c>
      <c r="G171" s="19">
        <f t="shared" si="109"/>
        <v>16.072585092994046</v>
      </c>
      <c r="H171" s="19">
        <f t="shared" si="109"/>
        <v>16.072585092994046</v>
      </c>
      <c r="I171" s="16"/>
      <c r="J171" s="19">
        <f t="shared" si="39"/>
        <v>27.180407049627103</v>
      </c>
      <c r="K171" s="19">
        <f t="shared" si="40"/>
        <v>1.390724153140477</v>
      </c>
      <c r="L171" s="19">
        <f t="shared" si="41"/>
        <v>13.471973595453431</v>
      </c>
      <c r="M171" s="19">
        <f t="shared" si="42"/>
        <v>13.471973595453431</v>
      </c>
      <c r="N171" s="19">
        <f t="shared" si="43"/>
        <v>13.471973595453431</v>
      </c>
      <c r="O171" s="16"/>
      <c r="P171" s="19">
        <f t="shared" si="44"/>
        <v>189.35747764290619</v>
      </c>
      <c r="Q171" s="19">
        <f t="shared" si="45"/>
        <v>778.9424374971278</v>
      </c>
      <c r="R171" s="19">
        <f t="shared" si="46"/>
        <v>0</v>
      </c>
      <c r="S171" s="19">
        <f t="shared" si="47"/>
        <v>0</v>
      </c>
      <c r="T171" s="19">
        <f t="shared" si="48"/>
        <v>0</v>
      </c>
      <c r="U171" s="16"/>
      <c r="V171" s="19">
        <f t="shared" si="49"/>
        <v>968.29991514003405</v>
      </c>
      <c r="W171" s="16"/>
      <c r="X171" s="19">
        <f t="shared" si="50"/>
        <v>470.89368292972364</v>
      </c>
      <c r="Y171" s="19">
        <f t="shared" si="51"/>
        <v>21.700084859965955</v>
      </c>
      <c r="Z171" s="19"/>
      <c r="AA171" s="19">
        <f t="shared" si="52"/>
        <v>5.3609046212417602E-5</v>
      </c>
    </row>
    <row r="172" spans="2:27" x14ac:dyDescent="0.3">
      <c r="B172" s="27">
        <v>38.000000000000007</v>
      </c>
      <c r="C172" s="27">
        <v>938</v>
      </c>
      <c r="D172" s="19">
        <f t="shared" ref="D172:H172" si="110">1/C$23-LN(C$23)+$B172*C$22</f>
        <v>30.58661818450777</v>
      </c>
      <c r="E172" s="19">
        <f t="shared" si="110"/>
        <v>1.7233093302010081</v>
      </c>
      <c r="F172" s="19">
        <f t="shared" si="110"/>
        <v>16.102585092994047</v>
      </c>
      <c r="G172" s="19">
        <f t="shared" si="110"/>
        <v>16.102585092994047</v>
      </c>
      <c r="H172" s="19">
        <f t="shared" si="110"/>
        <v>16.102585092994047</v>
      </c>
      <c r="I172" s="16"/>
      <c r="J172" s="19">
        <f t="shared" si="39"/>
        <v>27.280447931877095</v>
      </c>
      <c r="K172" s="19">
        <f t="shared" si="40"/>
        <v>1.392330423356432</v>
      </c>
      <c r="L172" s="19">
        <f t="shared" si="41"/>
        <v>13.499902620846322</v>
      </c>
      <c r="M172" s="19">
        <f t="shared" si="42"/>
        <v>13.499902620846322</v>
      </c>
      <c r="N172" s="19">
        <f t="shared" si="43"/>
        <v>13.499902620846322</v>
      </c>
      <c r="O172" s="16"/>
      <c r="P172" s="19">
        <f t="shared" si="44"/>
        <v>187.99569199603727</v>
      </c>
      <c r="Q172" s="19">
        <f t="shared" si="45"/>
        <v>777.52140796887409</v>
      </c>
      <c r="R172" s="19">
        <f t="shared" si="46"/>
        <v>0</v>
      </c>
      <c r="S172" s="19">
        <f t="shared" si="47"/>
        <v>0</v>
      </c>
      <c r="T172" s="19">
        <f t="shared" si="48"/>
        <v>0</v>
      </c>
      <c r="U172" s="16"/>
      <c r="V172" s="19">
        <f t="shared" si="49"/>
        <v>965.51709996491138</v>
      </c>
      <c r="W172" s="16"/>
      <c r="X172" s="19">
        <f t="shared" si="50"/>
        <v>757.19079047892592</v>
      </c>
      <c r="Y172" s="19">
        <f t="shared" si="51"/>
        <v>27.517099964911381</v>
      </c>
      <c r="Z172" s="19"/>
      <c r="AA172" s="19">
        <f t="shared" si="52"/>
        <v>6.7979710363812987E-5</v>
      </c>
    </row>
    <row r="173" spans="2:27" x14ac:dyDescent="0.3">
      <c r="B173" s="27">
        <v>38.199999999999996</v>
      </c>
      <c r="C173" s="27">
        <v>1018</v>
      </c>
      <c r="D173" s="19">
        <f t="shared" ref="D173:H173" si="111">1/C$23-LN(C$23)+$B173*C$22</f>
        <v>30.655761351306545</v>
      </c>
      <c r="E173" s="19">
        <f t="shared" si="111"/>
        <v>1.7251497249311034</v>
      </c>
      <c r="F173" s="19">
        <f t="shared" si="111"/>
        <v>16.122585092994044</v>
      </c>
      <c r="G173" s="19">
        <f t="shared" si="111"/>
        <v>16.122585092994044</v>
      </c>
      <c r="H173" s="19">
        <f t="shared" si="111"/>
        <v>16.122585092994044</v>
      </c>
      <c r="I173" s="16"/>
      <c r="J173" s="19">
        <f t="shared" si="39"/>
        <v>27.347149066747576</v>
      </c>
      <c r="K173" s="19">
        <f t="shared" si="40"/>
        <v>1.3934017007455732</v>
      </c>
      <c r="L173" s="19">
        <f t="shared" si="41"/>
        <v>13.518524186165379</v>
      </c>
      <c r="M173" s="19">
        <f t="shared" si="42"/>
        <v>13.518524186165379</v>
      </c>
      <c r="N173" s="19">
        <f t="shared" si="43"/>
        <v>13.518524186165379</v>
      </c>
      <c r="O173" s="16"/>
      <c r="P173" s="19">
        <f t="shared" si="44"/>
        <v>187.09588373769964</v>
      </c>
      <c r="Q173" s="19">
        <f t="shared" si="45"/>
        <v>776.57588465254184</v>
      </c>
      <c r="R173" s="19">
        <f t="shared" si="46"/>
        <v>0</v>
      </c>
      <c r="S173" s="19">
        <f t="shared" si="47"/>
        <v>0</v>
      </c>
      <c r="T173" s="19">
        <f t="shared" si="48"/>
        <v>0</v>
      </c>
      <c r="U173" s="16"/>
      <c r="V173" s="19">
        <f t="shared" si="49"/>
        <v>963.67176839024148</v>
      </c>
      <c r="W173" s="16"/>
      <c r="X173" s="19">
        <f t="shared" si="50"/>
        <v>2951.5567498435648</v>
      </c>
      <c r="Y173" s="19">
        <f t="shared" si="51"/>
        <v>54.328231609758518</v>
      </c>
      <c r="Z173" s="19"/>
      <c r="AA173" s="19">
        <f t="shared" si="52"/>
        <v>1.3421535896293452E-4</v>
      </c>
    </row>
    <row r="174" spans="2:27" x14ac:dyDescent="0.3">
      <c r="B174" s="27">
        <v>38.500000000000007</v>
      </c>
      <c r="C174" s="27">
        <v>954</v>
      </c>
      <c r="D174" s="19">
        <f t="shared" ref="D174:H174" si="112">1/C$23-LN(C$23)+$B174*C$22</f>
        <v>30.75947610150471</v>
      </c>
      <c r="E174" s="19">
        <f t="shared" si="112"/>
        <v>1.7279103170262466</v>
      </c>
      <c r="F174" s="19">
        <f t="shared" si="112"/>
        <v>16.152585092994045</v>
      </c>
      <c r="G174" s="19">
        <f t="shared" si="112"/>
        <v>16.152585092994045</v>
      </c>
      <c r="H174" s="19">
        <f t="shared" si="112"/>
        <v>16.152585092994045</v>
      </c>
      <c r="I174" s="16"/>
      <c r="J174" s="19">
        <f t="shared" si="39"/>
        <v>27.447211522585818</v>
      </c>
      <c r="K174" s="19">
        <f t="shared" si="40"/>
        <v>1.3950092622029513</v>
      </c>
      <c r="L174" s="19">
        <f t="shared" si="41"/>
        <v>13.546459845797076</v>
      </c>
      <c r="M174" s="19">
        <f t="shared" si="42"/>
        <v>13.546459845797076</v>
      </c>
      <c r="N174" s="19">
        <f t="shared" si="43"/>
        <v>13.546459845797076</v>
      </c>
      <c r="O174" s="16"/>
      <c r="P174" s="19">
        <f t="shared" si="44"/>
        <v>185.75809429612849</v>
      </c>
      <c r="Q174" s="19">
        <f t="shared" si="45"/>
        <v>775.16033769248975</v>
      </c>
      <c r="R174" s="19">
        <f t="shared" si="46"/>
        <v>0</v>
      </c>
      <c r="S174" s="19">
        <f t="shared" si="47"/>
        <v>0</v>
      </c>
      <c r="T174" s="19">
        <f t="shared" si="48"/>
        <v>0</v>
      </c>
      <c r="U174" s="16"/>
      <c r="V174" s="19">
        <f t="shared" si="49"/>
        <v>960.91843198861829</v>
      </c>
      <c r="W174" s="16"/>
      <c r="X174" s="19">
        <f t="shared" si="50"/>
        <v>47.864701181136894</v>
      </c>
      <c r="Y174" s="19">
        <f t="shared" si="51"/>
        <v>6.9184319886182948</v>
      </c>
      <c r="Z174" s="19"/>
      <c r="AA174" s="19">
        <f t="shared" si="52"/>
        <v>1.7091663124302098E-5</v>
      </c>
    </row>
    <row r="175" spans="2:27" x14ac:dyDescent="0.3">
      <c r="B175" s="27">
        <v>38.800000000000004</v>
      </c>
      <c r="C175" s="27">
        <v>983</v>
      </c>
      <c r="D175" s="19">
        <f t="shared" ref="D175:H175" si="113">1/C$23-LN(C$23)+$B175*C$22</f>
        <v>30.863190851702875</v>
      </c>
      <c r="E175" s="19">
        <f t="shared" si="113"/>
        <v>1.7306709091213899</v>
      </c>
      <c r="F175" s="19">
        <f t="shared" si="113"/>
        <v>16.182585092994046</v>
      </c>
      <c r="G175" s="19">
        <f t="shared" si="113"/>
        <v>16.182585092994046</v>
      </c>
      <c r="H175" s="19">
        <f t="shared" si="113"/>
        <v>16.182585092994046</v>
      </c>
      <c r="I175" s="16"/>
      <c r="J175" s="19">
        <f t="shared" si="39"/>
        <v>27.547286803582278</v>
      </c>
      <c r="K175" s="19">
        <f t="shared" si="40"/>
        <v>1.3966175975160406</v>
      </c>
      <c r="L175" s="19">
        <f t="shared" si="41"/>
        <v>13.574399466358239</v>
      </c>
      <c r="M175" s="19">
        <f t="shared" si="42"/>
        <v>13.574399466358239</v>
      </c>
      <c r="N175" s="19">
        <f t="shared" si="43"/>
        <v>13.574399466358239</v>
      </c>
      <c r="O175" s="16"/>
      <c r="P175" s="19">
        <f t="shared" si="44"/>
        <v>184.43443487732941</v>
      </c>
      <c r="Q175" s="19">
        <f t="shared" si="45"/>
        <v>773.74806852362735</v>
      </c>
      <c r="R175" s="19">
        <f t="shared" si="46"/>
        <v>0</v>
      </c>
      <c r="S175" s="19">
        <f t="shared" si="47"/>
        <v>0</v>
      </c>
      <c r="T175" s="19">
        <f t="shared" si="48"/>
        <v>0</v>
      </c>
      <c r="U175" s="16"/>
      <c r="V175" s="19">
        <f t="shared" si="49"/>
        <v>958.18250340095676</v>
      </c>
      <c r="W175" s="16"/>
      <c r="X175" s="19">
        <f t="shared" si="50"/>
        <v>615.90813744352272</v>
      </c>
      <c r="Y175" s="19">
        <f t="shared" si="51"/>
        <v>24.817496599043238</v>
      </c>
      <c r="Z175" s="19"/>
      <c r="AA175" s="19">
        <f t="shared" si="52"/>
        <v>6.1310466324909711E-5</v>
      </c>
    </row>
    <row r="176" spans="2:27" x14ac:dyDescent="0.3">
      <c r="B176" s="27">
        <v>39.1</v>
      </c>
      <c r="C176" s="27">
        <v>921</v>
      </c>
      <c r="D176" s="19">
        <f t="shared" ref="D176:H176" si="114">1/C$23-LN(C$23)+$B176*C$22</f>
        <v>30.96690560190104</v>
      </c>
      <c r="E176" s="19">
        <f t="shared" si="114"/>
        <v>1.7334315012165331</v>
      </c>
      <c r="F176" s="19">
        <f t="shared" si="114"/>
        <v>16.212585092994047</v>
      </c>
      <c r="G176" s="19">
        <f t="shared" si="114"/>
        <v>16.212585092994047</v>
      </c>
      <c r="H176" s="19">
        <f t="shared" si="114"/>
        <v>16.212585092994047</v>
      </c>
      <c r="I176" s="16"/>
      <c r="J176" s="19">
        <f t="shared" si="39"/>
        <v>27.647374821600987</v>
      </c>
      <c r="K176" s="19">
        <f t="shared" si="40"/>
        <v>1.3982267060183158</v>
      </c>
      <c r="L176" s="19">
        <f t="shared" si="41"/>
        <v>13.602343033235318</v>
      </c>
      <c r="M176" s="19">
        <f t="shared" si="42"/>
        <v>13.602343033235318</v>
      </c>
      <c r="N176" s="19">
        <f t="shared" si="43"/>
        <v>13.602343033235318</v>
      </c>
      <c r="O176" s="16"/>
      <c r="P176" s="19">
        <f t="shared" si="44"/>
        <v>183.12470893973989</v>
      </c>
      <c r="Q176" s="19">
        <f t="shared" si="45"/>
        <v>772.3390683651254</v>
      </c>
      <c r="R176" s="19">
        <f t="shared" si="46"/>
        <v>0</v>
      </c>
      <c r="S176" s="19">
        <f t="shared" si="47"/>
        <v>0</v>
      </c>
      <c r="T176" s="19">
        <f t="shared" si="48"/>
        <v>0</v>
      </c>
      <c r="U176" s="16"/>
      <c r="V176" s="19">
        <f t="shared" si="49"/>
        <v>955.46377730486529</v>
      </c>
      <c r="W176" s="16"/>
      <c r="X176" s="19">
        <f t="shared" si="50"/>
        <v>1187.7519461193478</v>
      </c>
      <c r="Y176" s="19">
        <f t="shared" si="51"/>
        <v>34.463777304865289</v>
      </c>
      <c r="Z176" s="19"/>
      <c r="AA176" s="19">
        <f t="shared" si="52"/>
        <v>8.514115230947954E-5</v>
      </c>
    </row>
    <row r="177" spans="2:27" x14ac:dyDescent="0.3">
      <c r="B177" s="27">
        <v>39.4</v>
      </c>
      <c r="C177" s="27">
        <v>923</v>
      </c>
      <c r="D177" s="19">
        <f t="shared" ref="D177:H177" si="115">1/C$23-LN(C$23)+$B177*C$22</f>
        <v>31.070620352099205</v>
      </c>
      <c r="E177" s="19">
        <f t="shared" si="115"/>
        <v>1.7361920933116761</v>
      </c>
      <c r="F177" s="19">
        <f t="shared" si="115"/>
        <v>16.242585092994045</v>
      </c>
      <c r="G177" s="19">
        <f t="shared" si="115"/>
        <v>16.242585092994045</v>
      </c>
      <c r="H177" s="19">
        <f t="shared" si="115"/>
        <v>16.242585092994045</v>
      </c>
      <c r="I177" s="16"/>
      <c r="J177" s="19">
        <f t="shared" si="39"/>
        <v>27.747475489400042</v>
      </c>
      <c r="K177" s="19">
        <f t="shared" si="40"/>
        <v>1.399836587043525</v>
      </c>
      <c r="L177" s="19">
        <f t="shared" si="41"/>
        <v>13.630290531893312</v>
      </c>
      <c r="M177" s="19">
        <f t="shared" si="42"/>
        <v>13.630290531893312</v>
      </c>
      <c r="N177" s="19">
        <f t="shared" si="43"/>
        <v>13.630290531893312</v>
      </c>
      <c r="O177" s="16"/>
      <c r="P177" s="19">
        <f t="shared" si="44"/>
        <v>181.82872332287741</v>
      </c>
      <c r="Q177" s="19">
        <f t="shared" si="45"/>
        <v>770.93332846181102</v>
      </c>
      <c r="R177" s="19">
        <f t="shared" si="46"/>
        <v>0</v>
      </c>
      <c r="S177" s="19">
        <f t="shared" si="47"/>
        <v>0</v>
      </c>
      <c r="T177" s="19">
        <f t="shared" si="48"/>
        <v>0</v>
      </c>
      <c r="U177" s="16"/>
      <c r="V177" s="19">
        <f t="shared" si="49"/>
        <v>952.76205178468842</v>
      </c>
      <c r="W177" s="16"/>
      <c r="X177" s="19">
        <f t="shared" si="50"/>
        <v>885.77972643447538</v>
      </c>
      <c r="Y177" s="19">
        <f t="shared" si="51"/>
        <v>29.762051784688424</v>
      </c>
      <c r="Z177" s="19"/>
      <c r="AA177" s="19">
        <f t="shared" si="52"/>
        <v>7.3525758991166952E-5</v>
      </c>
    </row>
    <row r="178" spans="2:27" x14ac:dyDescent="0.3">
      <c r="B178" s="27">
        <v>39.699999999999996</v>
      </c>
      <c r="C178" s="27">
        <v>974</v>
      </c>
      <c r="D178" s="19">
        <f t="shared" ref="D178:H178" si="116">1/C$23-LN(C$23)+$B178*C$22</f>
        <v>31.17433510229737</v>
      </c>
      <c r="E178" s="19">
        <f t="shared" si="116"/>
        <v>1.7389526854068194</v>
      </c>
      <c r="F178" s="19">
        <f t="shared" si="116"/>
        <v>16.272585092994046</v>
      </c>
      <c r="G178" s="19">
        <f t="shared" si="116"/>
        <v>16.272585092994046</v>
      </c>
      <c r="H178" s="19">
        <f t="shared" si="116"/>
        <v>16.272585092994046</v>
      </c>
      <c r="I178" s="16"/>
      <c r="J178" s="19">
        <f t="shared" ref="J178:J241" si="117">lmb_2(D178)</f>
        <v>27.847588720619655</v>
      </c>
      <c r="K178" s="19">
        <f t="shared" ref="K178:K241" si="118">lmb_2(E178)</f>
        <v>1.4014472399256914</v>
      </c>
      <c r="L178" s="19">
        <f t="shared" ref="L178:L241" si="119">lmb_2(F178)</f>
        <v>13.658241947875249</v>
      </c>
      <c r="M178" s="19">
        <f t="shared" ref="M178:M241" si="120">lmb_2(G178)</f>
        <v>13.658241947875249</v>
      </c>
      <c r="N178" s="19">
        <f t="shared" ref="N178:N241" si="121">lmb_2(H178)</f>
        <v>13.658241947875249</v>
      </c>
      <c r="O178" s="16"/>
      <c r="P178" s="19">
        <f t="shared" ref="P178:P241" si="122">(C$21*$A$21*C$22)/(J178+J178^2)</f>
        <v>180.5462881782006</v>
      </c>
      <c r="Q178" s="19">
        <f t="shared" ref="Q178:Q241" si="123">($D$21*$A$21*$D$22)/(K178+K178^2)</f>
        <v>769.53084008409007</v>
      </c>
      <c r="R178" s="19">
        <f t="shared" ref="R178:R241" si="124">($E$21*$A$21*$E$22)/(L178+L178^2)</f>
        <v>0</v>
      </c>
      <c r="S178" s="19">
        <f t="shared" ref="S178:S241" si="125">($F$21*$A$21*$F$22)/(M178+M178^2)</f>
        <v>0</v>
      </c>
      <c r="T178" s="19">
        <f t="shared" ref="T178:T241" si="126">($G$21*$A$21*$G$22)/(N178+N178^2)</f>
        <v>0</v>
      </c>
      <c r="U178" s="16"/>
      <c r="V178" s="19">
        <f t="shared" ref="V178:V241" si="127">SUM(P178:T178)</f>
        <v>950.07712826229067</v>
      </c>
      <c r="W178" s="16"/>
      <c r="X178" s="19">
        <f t="shared" ref="X178:X241" si="128">(V178-C178)^2</f>
        <v>572.30379217889174</v>
      </c>
      <c r="Y178" s="19">
        <f t="shared" ref="Y178:Y241" si="129">ABS(V178-C178)</f>
        <v>23.922871737709329</v>
      </c>
      <c r="Z178" s="19"/>
      <c r="AA178" s="19">
        <f t="shared" ref="AA178:AA241" si="130">Y178/$Z$39</f>
        <v>5.9100337385621197E-5</v>
      </c>
    </row>
    <row r="179" spans="2:27" x14ac:dyDescent="0.3">
      <c r="B179" s="27">
        <v>40.000000000000007</v>
      </c>
      <c r="C179" s="27">
        <v>926</v>
      </c>
      <c r="D179" s="19">
        <f t="shared" ref="D179:H179" si="131">1/C$23-LN(C$23)+$B179*C$22</f>
        <v>31.278049852495535</v>
      </c>
      <c r="E179" s="19">
        <f t="shared" si="131"/>
        <v>1.7417132775019626</v>
      </c>
      <c r="F179" s="19">
        <f t="shared" si="131"/>
        <v>16.302585092994047</v>
      </c>
      <c r="G179" s="19">
        <f t="shared" si="131"/>
        <v>16.302585092994047</v>
      </c>
      <c r="H179" s="19">
        <f t="shared" si="131"/>
        <v>16.302585092994047</v>
      </c>
      <c r="I179" s="16"/>
      <c r="J179" s="19">
        <f t="shared" si="117"/>
        <v>27.947714429770429</v>
      </c>
      <c r="K179" s="19">
        <f t="shared" si="118"/>
        <v>1.4030586639991141</v>
      </c>
      <c r="L179" s="19">
        <f t="shared" si="119"/>
        <v>13.686197266801608</v>
      </c>
      <c r="M179" s="19">
        <f t="shared" si="120"/>
        <v>13.686197266801608</v>
      </c>
      <c r="N179" s="19">
        <f t="shared" si="121"/>
        <v>13.686197266801608</v>
      </c>
      <c r="O179" s="16"/>
      <c r="P179" s="19">
        <f t="shared" si="122"/>
        <v>179.27721690160544</v>
      </c>
      <c r="Q179" s="19">
        <f t="shared" si="123"/>
        <v>768.13159452786988</v>
      </c>
      <c r="R179" s="19">
        <f t="shared" si="124"/>
        <v>0</v>
      </c>
      <c r="S179" s="19">
        <f t="shared" si="125"/>
        <v>0</v>
      </c>
      <c r="T179" s="19">
        <f t="shared" si="126"/>
        <v>0</v>
      </c>
      <c r="U179" s="16"/>
      <c r="V179" s="19">
        <f t="shared" si="127"/>
        <v>947.40881142947535</v>
      </c>
      <c r="W179" s="16"/>
      <c r="X179" s="19">
        <f t="shared" si="128"/>
        <v>458.33720682283433</v>
      </c>
      <c r="Y179" s="19">
        <f t="shared" si="129"/>
        <v>21.40881142947535</v>
      </c>
      <c r="Z179" s="19"/>
      <c r="AA179" s="19">
        <f t="shared" si="130"/>
        <v>5.2889468805398894E-5</v>
      </c>
    </row>
    <row r="180" spans="2:27" x14ac:dyDescent="0.3">
      <c r="B180" s="27">
        <v>40.199999999999996</v>
      </c>
      <c r="C180" s="27">
        <v>933</v>
      </c>
      <c r="D180" s="19">
        <f t="shared" ref="D180:H180" si="132">1/C$23-LN(C$23)+$B180*C$22</f>
        <v>31.347193019294309</v>
      </c>
      <c r="E180" s="19">
        <f t="shared" si="132"/>
        <v>1.7435536722320579</v>
      </c>
      <c r="F180" s="19">
        <f t="shared" si="132"/>
        <v>16.322585092994046</v>
      </c>
      <c r="G180" s="19">
        <f t="shared" si="132"/>
        <v>16.322585092994046</v>
      </c>
      <c r="H180" s="19">
        <f t="shared" si="132"/>
        <v>16.322585092994046</v>
      </c>
      <c r="I180" s="16"/>
      <c r="J180" s="19">
        <f t="shared" si="117"/>
        <v>28.014471792893726</v>
      </c>
      <c r="K180" s="19">
        <f t="shared" si="118"/>
        <v>1.404133374825701</v>
      </c>
      <c r="L180" s="19">
        <f t="shared" si="119"/>
        <v>13.704836307322145</v>
      </c>
      <c r="M180" s="19">
        <f t="shared" si="120"/>
        <v>13.704836307322145</v>
      </c>
      <c r="N180" s="19">
        <f t="shared" si="121"/>
        <v>13.704836307322145</v>
      </c>
      <c r="O180" s="16"/>
      <c r="P180" s="19">
        <f t="shared" si="122"/>
        <v>178.43850304564793</v>
      </c>
      <c r="Q180" s="19">
        <f t="shared" si="123"/>
        <v>767.20056143775003</v>
      </c>
      <c r="R180" s="19">
        <f t="shared" si="124"/>
        <v>0</v>
      </c>
      <c r="S180" s="19">
        <f t="shared" si="125"/>
        <v>0</v>
      </c>
      <c r="T180" s="19">
        <f t="shared" si="126"/>
        <v>0</v>
      </c>
      <c r="U180" s="16"/>
      <c r="V180" s="19">
        <f t="shared" si="127"/>
        <v>945.63906448339799</v>
      </c>
      <c r="W180" s="16"/>
      <c r="X180" s="19">
        <f t="shared" si="128"/>
        <v>159.74595101549244</v>
      </c>
      <c r="Y180" s="19">
        <f t="shared" si="129"/>
        <v>12.639064483397988</v>
      </c>
      <c r="Z180" s="19"/>
      <c r="AA180" s="19">
        <f t="shared" si="130"/>
        <v>3.1224218538529339E-5</v>
      </c>
    </row>
    <row r="181" spans="2:27" x14ac:dyDescent="0.3">
      <c r="B181" s="27">
        <v>40.500000000000007</v>
      </c>
      <c r="C181" s="27">
        <v>943</v>
      </c>
      <c r="D181" s="19">
        <f t="shared" ref="D181:H181" si="133">1/C$23-LN(C$23)+$B181*C$22</f>
        <v>31.450907769492481</v>
      </c>
      <c r="E181" s="19">
        <f t="shared" si="133"/>
        <v>1.7463142643272012</v>
      </c>
      <c r="F181" s="19">
        <f t="shared" si="133"/>
        <v>16.352585092994047</v>
      </c>
      <c r="G181" s="19">
        <f t="shared" si="133"/>
        <v>16.352585092994047</v>
      </c>
      <c r="H181" s="19">
        <f t="shared" si="133"/>
        <v>16.352585092994047</v>
      </c>
      <c r="I181" s="16"/>
      <c r="J181" s="19">
        <f t="shared" si="117"/>
        <v>28.114618110947539</v>
      </c>
      <c r="K181" s="19">
        <f t="shared" si="118"/>
        <v>1.4057460827393051</v>
      </c>
      <c r="L181" s="19">
        <f t="shared" si="119"/>
        <v>13.732798099410083</v>
      </c>
      <c r="M181" s="19">
        <f t="shared" si="120"/>
        <v>13.732798099410083</v>
      </c>
      <c r="N181" s="19">
        <f t="shared" si="121"/>
        <v>13.732798099410083</v>
      </c>
      <c r="O181" s="16"/>
      <c r="P181" s="19">
        <f t="shared" si="122"/>
        <v>177.19129881058413</v>
      </c>
      <c r="Q181" s="19">
        <f t="shared" si="123"/>
        <v>765.80670131061902</v>
      </c>
      <c r="R181" s="19">
        <f t="shared" si="124"/>
        <v>0</v>
      </c>
      <c r="S181" s="19">
        <f t="shared" si="125"/>
        <v>0</v>
      </c>
      <c r="T181" s="19">
        <f t="shared" si="126"/>
        <v>0</v>
      </c>
      <c r="U181" s="16"/>
      <c r="V181" s="19">
        <f t="shared" si="127"/>
        <v>942.99800012120318</v>
      </c>
      <c r="W181" s="16"/>
      <c r="X181" s="19">
        <f t="shared" si="128"/>
        <v>3.9995152019837923E-6</v>
      </c>
      <c r="Y181" s="19">
        <f t="shared" si="129"/>
        <v>1.9998787968233955E-3</v>
      </c>
      <c r="Z181" s="19"/>
      <c r="AA181" s="19">
        <f t="shared" si="130"/>
        <v>4.940607169510752E-9</v>
      </c>
    </row>
    <row r="182" spans="2:27" x14ac:dyDescent="0.3">
      <c r="B182" s="27">
        <v>40.800000000000004</v>
      </c>
      <c r="C182" s="27">
        <v>978</v>
      </c>
      <c r="D182" s="19">
        <f t="shared" ref="D182:H182" si="134">1/C$23-LN(C$23)+$B182*C$22</f>
        <v>31.554622519690643</v>
      </c>
      <c r="E182" s="19">
        <f t="shared" si="134"/>
        <v>1.7490748564223444</v>
      </c>
      <c r="F182" s="19">
        <f t="shared" si="134"/>
        <v>16.382585092994045</v>
      </c>
      <c r="G182" s="19">
        <f t="shared" si="134"/>
        <v>16.382585092994045</v>
      </c>
      <c r="H182" s="19">
        <f t="shared" si="134"/>
        <v>16.382585092994045</v>
      </c>
      <c r="I182" s="16"/>
      <c r="J182" s="19">
        <f t="shared" si="117"/>
        <v>28.214776683128832</v>
      </c>
      <c r="K182" s="19">
        <f t="shared" si="118"/>
        <v>1.4073595600703275</v>
      </c>
      <c r="L182" s="19">
        <f t="shared" si="119"/>
        <v>13.760763756471688</v>
      </c>
      <c r="M182" s="19">
        <f t="shared" si="120"/>
        <v>13.760763756471688</v>
      </c>
      <c r="N182" s="19">
        <f t="shared" si="121"/>
        <v>13.760763756471688</v>
      </c>
      <c r="O182" s="16"/>
      <c r="P182" s="19">
        <f t="shared" si="122"/>
        <v>175.95697619798204</v>
      </c>
      <c r="Q182" s="19">
        <f t="shared" si="123"/>
        <v>764.41606091815754</v>
      </c>
      <c r="R182" s="19">
        <f t="shared" si="124"/>
        <v>0</v>
      </c>
      <c r="S182" s="19">
        <f t="shared" si="125"/>
        <v>0</v>
      </c>
      <c r="T182" s="19">
        <f t="shared" si="126"/>
        <v>0</v>
      </c>
      <c r="U182" s="16"/>
      <c r="V182" s="19">
        <f t="shared" si="127"/>
        <v>940.37303711613959</v>
      </c>
      <c r="W182" s="16"/>
      <c r="X182" s="19">
        <f t="shared" si="128"/>
        <v>1415.7883358634092</v>
      </c>
      <c r="Y182" s="19">
        <f t="shared" si="129"/>
        <v>37.626962883860415</v>
      </c>
      <c r="Z182" s="19"/>
      <c r="AA182" s="19">
        <f t="shared" si="130"/>
        <v>9.2955654555765621E-5</v>
      </c>
    </row>
    <row r="183" spans="2:27" x14ac:dyDescent="0.3">
      <c r="B183" s="27">
        <v>41.1</v>
      </c>
      <c r="C183" s="27">
        <v>923</v>
      </c>
      <c r="D183" s="19">
        <f t="shared" ref="D183:H183" si="135">1/C$23-LN(C$23)+$B183*C$22</f>
        <v>31.658337269888808</v>
      </c>
      <c r="E183" s="19">
        <f t="shared" si="135"/>
        <v>1.7518354485174874</v>
      </c>
      <c r="F183" s="19">
        <f t="shared" si="135"/>
        <v>16.412585092994046</v>
      </c>
      <c r="G183" s="19">
        <f t="shared" si="135"/>
        <v>16.412585092994046</v>
      </c>
      <c r="H183" s="19">
        <f t="shared" si="135"/>
        <v>16.412585092994046</v>
      </c>
      <c r="I183" s="16"/>
      <c r="J183" s="19">
        <f t="shared" si="117"/>
        <v>28.314947427042323</v>
      </c>
      <c r="K183" s="19">
        <f t="shared" si="118"/>
        <v>1.4089738061540931</v>
      </c>
      <c r="L183" s="19">
        <f t="shared" si="119"/>
        <v>13.788733264406906</v>
      </c>
      <c r="M183" s="19">
        <f t="shared" si="120"/>
        <v>13.788733264406906</v>
      </c>
      <c r="N183" s="19">
        <f t="shared" si="121"/>
        <v>13.788733264406906</v>
      </c>
      <c r="O183" s="16"/>
      <c r="P183" s="19">
        <f t="shared" si="122"/>
        <v>174.73535994773906</v>
      </c>
      <c r="Q183" s="19">
        <f t="shared" si="123"/>
        <v>763.02863164911662</v>
      </c>
      <c r="R183" s="19">
        <f t="shared" si="124"/>
        <v>0</v>
      </c>
      <c r="S183" s="19">
        <f t="shared" si="125"/>
        <v>0</v>
      </c>
      <c r="T183" s="19">
        <f t="shared" si="126"/>
        <v>0</v>
      </c>
      <c r="U183" s="16"/>
      <c r="V183" s="19">
        <f t="shared" si="127"/>
        <v>937.7639915968557</v>
      </c>
      <c r="W183" s="16"/>
      <c r="X183" s="19">
        <f t="shared" si="128"/>
        <v>217.97544787202582</v>
      </c>
      <c r="Y183" s="19">
        <f t="shared" si="129"/>
        <v>14.763991596855703</v>
      </c>
      <c r="Z183" s="19"/>
      <c r="AA183" s="19">
        <f t="shared" si="130"/>
        <v>3.6473751734297337E-5</v>
      </c>
    </row>
    <row r="184" spans="2:27" x14ac:dyDescent="0.3">
      <c r="B184" s="27">
        <v>41.4</v>
      </c>
      <c r="C184" s="27">
        <v>922</v>
      </c>
      <c r="D184" s="19">
        <f t="shared" ref="D184:H184" si="136">1/C$23-LN(C$23)+$B184*C$22</f>
        <v>31.762052020086973</v>
      </c>
      <c r="E184" s="19">
        <f t="shared" si="136"/>
        <v>1.7545960406126306</v>
      </c>
      <c r="F184" s="19">
        <f t="shared" si="136"/>
        <v>16.442585092994044</v>
      </c>
      <c r="G184" s="19">
        <f t="shared" si="136"/>
        <v>16.442585092994044</v>
      </c>
      <c r="H184" s="19">
        <f t="shared" si="136"/>
        <v>16.442585092994044</v>
      </c>
      <c r="I184" s="16"/>
      <c r="J184" s="19">
        <f t="shared" si="117"/>
        <v>28.415130261110818</v>
      </c>
      <c r="K184" s="19">
        <f t="shared" si="118"/>
        <v>1.4105888203262116</v>
      </c>
      <c r="L184" s="19">
        <f t="shared" si="119"/>
        <v>13.81670660919065</v>
      </c>
      <c r="M184" s="19">
        <f t="shared" si="120"/>
        <v>13.81670660919065</v>
      </c>
      <c r="N184" s="19">
        <f t="shared" si="121"/>
        <v>13.81670660919065</v>
      </c>
      <c r="O184" s="16"/>
      <c r="P184" s="19">
        <f t="shared" si="122"/>
        <v>173.52627774954061</v>
      </c>
      <c r="Q184" s="19">
        <f t="shared" si="123"/>
        <v>761.64440491738821</v>
      </c>
      <c r="R184" s="19">
        <f t="shared" si="124"/>
        <v>0</v>
      </c>
      <c r="S184" s="19">
        <f t="shared" si="125"/>
        <v>0</v>
      </c>
      <c r="T184" s="19">
        <f t="shared" si="126"/>
        <v>0</v>
      </c>
      <c r="U184" s="16"/>
      <c r="V184" s="19">
        <f t="shared" si="127"/>
        <v>935.17068266692877</v>
      </c>
      <c r="W184" s="16"/>
      <c r="X184" s="19">
        <f t="shared" si="128"/>
        <v>173.46688191293791</v>
      </c>
      <c r="Y184" s="19">
        <f t="shared" si="129"/>
        <v>13.170682666928769</v>
      </c>
      <c r="Z184" s="19"/>
      <c r="AA184" s="19">
        <f t="shared" si="130"/>
        <v>3.2537556433388973E-5</v>
      </c>
    </row>
    <row r="185" spans="2:27" x14ac:dyDescent="0.3">
      <c r="B185" s="27">
        <v>41.699999999999996</v>
      </c>
      <c r="C185" s="27">
        <v>930</v>
      </c>
      <c r="D185" s="19">
        <f t="shared" ref="D185:H185" si="137">1/C$23-LN(C$23)+$B185*C$22</f>
        <v>31.865766770285134</v>
      </c>
      <c r="E185" s="19">
        <f t="shared" si="137"/>
        <v>1.7573566327077739</v>
      </c>
      <c r="F185" s="19">
        <f t="shared" si="137"/>
        <v>16.472585092994045</v>
      </c>
      <c r="G185" s="19">
        <f t="shared" si="137"/>
        <v>16.472585092994045</v>
      </c>
      <c r="H185" s="19">
        <f t="shared" si="137"/>
        <v>16.472585092994045</v>
      </c>
      <c r="I185" s="16"/>
      <c r="J185" s="19">
        <f t="shared" si="117"/>
        <v>28.515325104564543</v>
      </c>
      <c r="K185" s="19">
        <f t="shared" si="118"/>
        <v>1.4122046019225776</v>
      </c>
      <c r="L185" s="19">
        <f t="shared" si="119"/>
        <v>13.844683776872316</v>
      </c>
      <c r="M185" s="19">
        <f t="shared" si="120"/>
        <v>13.844683776872316</v>
      </c>
      <c r="N185" s="19">
        <f t="shared" si="121"/>
        <v>13.844683776872316</v>
      </c>
      <c r="O185" s="16"/>
      <c r="P185" s="19">
        <f t="shared" si="122"/>
        <v>172.32956018383143</v>
      </c>
      <c r="Q185" s="19">
        <f t="shared" si="123"/>
        <v>760.26337216192974</v>
      </c>
      <c r="R185" s="19">
        <f t="shared" si="124"/>
        <v>0</v>
      </c>
      <c r="S185" s="19">
        <f t="shared" si="125"/>
        <v>0</v>
      </c>
      <c r="T185" s="19">
        <f t="shared" si="126"/>
        <v>0</v>
      </c>
      <c r="U185" s="16"/>
      <c r="V185" s="19">
        <f t="shared" si="127"/>
        <v>932.59293234576114</v>
      </c>
      <c r="W185" s="16"/>
      <c r="X185" s="19">
        <f t="shared" si="128"/>
        <v>6.7232981496943767</v>
      </c>
      <c r="Y185" s="19">
        <f t="shared" si="129"/>
        <v>2.5929323457611417</v>
      </c>
      <c r="Z185" s="19"/>
      <c r="AA185" s="19">
        <f t="shared" si="130"/>
        <v>6.4057182654630187E-6</v>
      </c>
    </row>
    <row r="186" spans="2:27" x14ac:dyDescent="0.3">
      <c r="B186" s="27">
        <v>42.000000000000007</v>
      </c>
      <c r="C186" s="27">
        <v>955</v>
      </c>
      <c r="D186" s="19">
        <f t="shared" ref="D186:H186" si="138">1/C$23-LN(C$23)+$B186*C$22</f>
        <v>31.969481520483306</v>
      </c>
      <c r="E186" s="19">
        <f t="shared" si="138"/>
        <v>1.7601172248029171</v>
      </c>
      <c r="F186" s="19">
        <f t="shared" si="138"/>
        <v>16.502585092994046</v>
      </c>
      <c r="G186" s="19">
        <f t="shared" si="138"/>
        <v>16.502585092994046</v>
      </c>
      <c r="H186" s="19">
        <f t="shared" si="138"/>
        <v>16.502585092994046</v>
      </c>
      <c r="I186" s="16"/>
      <c r="J186" s="19">
        <f t="shared" si="117"/>
        <v>28.615531877430641</v>
      </c>
      <c r="K186" s="19">
        <f t="shared" si="118"/>
        <v>1.4138211502793716</v>
      </c>
      <c r="L186" s="19">
        <f t="shared" si="119"/>
        <v>13.872664753575233</v>
      </c>
      <c r="M186" s="19">
        <f t="shared" si="120"/>
        <v>13.872664753575233</v>
      </c>
      <c r="N186" s="19">
        <f t="shared" si="121"/>
        <v>13.872664753575233</v>
      </c>
      <c r="O186" s="16"/>
      <c r="P186" s="19">
        <f t="shared" si="122"/>
        <v>171.14504066415398</v>
      </c>
      <c r="Q186" s="19">
        <f t="shared" si="123"/>
        <v>758.88552484668867</v>
      </c>
      <c r="R186" s="19">
        <f t="shared" si="124"/>
        <v>0</v>
      </c>
      <c r="S186" s="19">
        <f t="shared" si="125"/>
        <v>0</v>
      </c>
      <c r="T186" s="19">
        <f t="shared" si="126"/>
        <v>0</v>
      </c>
      <c r="U186" s="16"/>
      <c r="V186" s="19">
        <f t="shared" si="127"/>
        <v>930.03056551084262</v>
      </c>
      <c r="W186" s="16"/>
      <c r="X186" s="19">
        <f t="shared" si="128"/>
        <v>623.472658708322</v>
      </c>
      <c r="Y186" s="19">
        <f t="shared" si="129"/>
        <v>24.969434489157379</v>
      </c>
      <c r="Z186" s="19"/>
      <c r="AA186" s="19">
        <f t="shared" si="130"/>
        <v>6.1685821786655994E-5</v>
      </c>
    </row>
    <row r="187" spans="2:27" x14ac:dyDescent="0.3">
      <c r="B187" s="27">
        <v>42.199999999999996</v>
      </c>
      <c r="C187" s="27">
        <v>932</v>
      </c>
      <c r="D187" s="19">
        <f t="shared" ref="D187:H187" si="139">1/C$23-LN(C$23)+$B187*C$22</f>
        <v>32.038624687282081</v>
      </c>
      <c r="E187" s="19">
        <f t="shared" si="139"/>
        <v>1.7619576195330124</v>
      </c>
      <c r="F187" s="19">
        <f t="shared" si="139"/>
        <v>16.522585092994046</v>
      </c>
      <c r="G187" s="19">
        <f t="shared" si="139"/>
        <v>16.522585092994046</v>
      </c>
      <c r="H187" s="19">
        <f t="shared" si="139"/>
        <v>16.522585092994046</v>
      </c>
      <c r="I187" s="16"/>
      <c r="J187" s="19">
        <f t="shared" si="117"/>
        <v>28.682342980989603</v>
      </c>
      <c r="K187" s="19">
        <f t="shared" si="118"/>
        <v>1.4148992748342346</v>
      </c>
      <c r="L187" s="19">
        <f t="shared" si="119"/>
        <v>13.891320847347348</v>
      </c>
      <c r="M187" s="19">
        <f t="shared" si="120"/>
        <v>13.891320847347348</v>
      </c>
      <c r="N187" s="19">
        <f t="shared" si="121"/>
        <v>13.891320847347348</v>
      </c>
      <c r="O187" s="16"/>
      <c r="P187" s="19">
        <f t="shared" si="122"/>
        <v>170.36205667033354</v>
      </c>
      <c r="Q187" s="19">
        <f t="shared" si="123"/>
        <v>757.96872545481642</v>
      </c>
      <c r="R187" s="19">
        <f t="shared" si="124"/>
        <v>0</v>
      </c>
      <c r="S187" s="19">
        <f t="shared" si="125"/>
        <v>0</v>
      </c>
      <c r="T187" s="19">
        <f t="shared" si="126"/>
        <v>0</v>
      </c>
      <c r="U187" s="16"/>
      <c r="V187" s="19">
        <f t="shared" si="127"/>
        <v>928.33078212514999</v>
      </c>
      <c r="W187" s="16"/>
      <c r="X187" s="19">
        <f t="shared" si="128"/>
        <v>13.463159813118791</v>
      </c>
      <c r="Y187" s="19">
        <f t="shared" si="129"/>
        <v>3.6692178748500055</v>
      </c>
      <c r="Z187" s="19"/>
      <c r="AA187" s="19">
        <f t="shared" si="130"/>
        <v>9.0646314005507196E-6</v>
      </c>
    </row>
    <row r="188" spans="2:27" x14ac:dyDescent="0.3">
      <c r="B188" s="27">
        <v>42.500000000000007</v>
      </c>
      <c r="C188" s="27">
        <v>938</v>
      </c>
      <c r="D188" s="19">
        <f t="shared" ref="D188:H188" si="140">1/C$23-LN(C$23)+$B188*C$22</f>
        <v>32.142339437480246</v>
      </c>
      <c r="E188" s="19">
        <f t="shared" si="140"/>
        <v>1.7647182116281557</v>
      </c>
      <c r="F188" s="19">
        <f t="shared" si="140"/>
        <v>16.552585092994047</v>
      </c>
      <c r="G188" s="19">
        <f t="shared" si="140"/>
        <v>16.552585092994047</v>
      </c>
      <c r="H188" s="19">
        <f t="shared" si="140"/>
        <v>16.552585092994047</v>
      </c>
      <c r="I188" s="16"/>
      <c r="J188" s="19">
        <f t="shared" si="117"/>
        <v>28.782569460623847</v>
      </c>
      <c r="K188" s="19">
        <f t="shared" si="118"/>
        <v>1.4165170996507039</v>
      </c>
      <c r="L188" s="19">
        <f t="shared" si="119"/>
        <v>13.919308141781226</v>
      </c>
      <c r="M188" s="19">
        <f t="shared" si="120"/>
        <v>13.919308141781226</v>
      </c>
      <c r="N188" s="19">
        <f t="shared" si="121"/>
        <v>13.919308141781226</v>
      </c>
      <c r="O188" s="16"/>
      <c r="P188" s="19">
        <f t="shared" si="122"/>
        <v>169.19750455213193</v>
      </c>
      <c r="Q188" s="19">
        <f t="shared" si="123"/>
        <v>756.59616830523009</v>
      </c>
      <c r="R188" s="19">
        <f t="shared" si="124"/>
        <v>0</v>
      </c>
      <c r="S188" s="19">
        <f t="shared" si="125"/>
        <v>0</v>
      </c>
      <c r="T188" s="19">
        <f t="shared" si="126"/>
        <v>0</v>
      </c>
      <c r="U188" s="16"/>
      <c r="V188" s="19">
        <f t="shared" si="127"/>
        <v>925.79367285736203</v>
      </c>
      <c r="W188" s="16"/>
      <c r="X188" s="19">
        <f t="shared" si="128"/>
        <v>148.99442231310053</v>
      </c>
      <c r="Y188" s="19">
        <f t="shared" si="129"/>
        <v>12.206327142637974</v>
      </c>
      <c r="Z188" s="19"/>
      <c r="AA188" s="19">
        <f t="shared" si="130"/>
        <v>3.0155161147816505E-5</v>
      </c>
    </row>
    <row r="189" spans="2:27" x14ac:dyDescent="0.3">
      <c r="B189" s="27">
        <v>42.800000000000004</v>
      </c>
      <c r="C189" s="27">
        <v>915</v>
      </c>
      <c r="D189" s="19">
        <f t="shared" ref="D189:H189" si="141">1/C$23-LN(C$23)+$B189*C$22</f>
        <v>32.246054187678411</v>
      </c>
      <c r="E189" s="19">
        <f t="shared" si="141"/>
        <v>1.7674788037232987</v>
      </c>
      <c r="F189" s="19">
        <f t="shared" si="141"/>
        <v>16.582585092994044</v>
      </c>
      <c r="G189" s="19">
        <f t="shared" si="141"/>
        <v>16.582585092994044</v>
      </c>
      <c r="H189" s="19">
        <f t="shared" si="141"/>
        <v>16.582585092994044</v>
      </c>
      <c r="I189" s="16"/>
      <c r="J189" s="19">
        <f t="shared" si="117"/>
        <v>28.88280766022725</v>
      </c>
      <c r="K189" s="19">
        <f t="shared" si="118"/>
        <v>1.4181356894588282</v>
      </c>
      <c r="L189" s="19">
        <f t="shared" si="119"/>
        <v>13.947299208589586</v>
      </c>
      <c r="M189" s="19">
        <f t="shared" si="120"/>
        <v>13.947299208589586</v>
      </c>
      <c r="N189" s="19">
        <f t="shared" si="121"/>
        <v>13.947299208589586</v>
      </c>
      <c r="O189" s="16"/>
      <c r="P189" s="19">
        <f t="shared" si="122"/>
        <v>168.04471967580625</v>
      </c>
      <c r="Q189" s="19">
        <f t="shared" si="123"/>
        <v>755.22677395464768</v>
      </c>
      <c r="R189" s="19">
        <f t="shared" si="124"/>
        <v>0</v>
      </c>
      <c r="S189" s="19">
        <f t="shared" si="125"/>
        <v>0</v>
      </c>
      <c r="T189" s="19">
        <f t="shared" si="126"/>
        <v>0</v>
      </c>
      <c r="U189" s="16"/>
      <c r="V189" s="19">
        <f t="shared" si="127"/>
        <v>923.27149363045396</v>
      </c>
      <c r="W189" s="16"/>
      <c r="X189" s="19">
        <f t="shared" si="128"/>
        <v>68.417606878640441</v>
      </c>
      <c r="Y189" s="19">
        <f t="shared" si="129"/>
        <v>8.2714936304539606</v>
      </c>
      <c r="Z189" s="19"/>
      <c r="AA189" s="19">
        <f t="shared" si="130"/>
        <v>2.0434338719974016E-5</v>
      </c>
    </row>
    <row r="190" spans="2:27" x14ac:dyDescent="0.3">
      <c r="B190" s="27">
        <v>43.1</v>
      </c>
      <c r="C190" s="27">
        <v>939</v>
      </c>
      <c r="D190" s="19">
        <f t="shared" ref="D190:H190" si="142">1/C$23-LN(C$23)+$B190*C$22</f>
        <v>32.349768937876576</v>
      </c>
      <c r="E190" s="19">
        <f t="shared" si="142"/>
        <v>1.7702393958184419</v>
      </c>
      <c r="F190" s="19">
        <f t="shared" si="142"/>
        <v>16.612585092994046</v>
      </c>
      <c r="G190" s="19">
        <f t="shared" si="142"/>
        <v>16.612585092994046</v>
      </c>
      <c r="H190" s="19">
        <f t="shared" si="142"/>
        <v>16.612585092994046</v>
      </c>
      <c r="I190" s="16"/>
      <c r="J190" s="19">
        <f t="shared" si="117"/>
        <v>28.98305750266162</v>
      </c>
      <c r="K190" s="19">
        <f t="shared" si="118"/>
        <v>1.4197550435958508</v>
      </c>
      <c r="L190" s="19">
        <f t="shared" si="119"/>
        <v>13.975294034162587</v>
      </c>
      <c r="M190" s="19">
        <f t="shared" si="120"/>
        <v>13.975294034162587</v>
      </c>
      <c r="N190" s="19">
        <f t="shared" si="121"/>
        <v>13.975294034162587</v>
      </c>
      <c r="O190" s="16"/>
      <c r="P190" s="19">
        <f t="shared" si="122"/>
        <v>166.90354537072824</v>
      </c>
      <c r="Q190" s="19">
        <f t="shared" si="123"/>
        <v>753.86053395799684</v>
      </c>
      <c r="R190" s="19">
        <f t="shared" si="124"/>
        <v>0</v>
      </c>
      <c r="S190" s="19">
        <f t="shared" si="125"/>
        <v>0</v>
      </c>
      <c r="T190" s="19">
        <f t="shared" si="126"/>
        <v>0</v>
      </c>
      <c r="U190" s="16"/>
      <c r="V190" s="19">
        <f t="shared" si="127"/>
        <v>920.76407932872507</v>
      </c>
      <c r="W190" s="16"/>
      <c r="X190" s="19">
        <f t="shared" si="128"/>
        <v>332.5488027290321</v>
      </c>
      <c r="Y190" s="19">
        <f t="shared" si="129"/>
        <v>18.235920671274926</v>
      </c>
      <c r="Z190" s="19"/>
      <c r="AA190" s="19">
        <f t="shared" si="130"/>
        <v>4.5050990367135954E-5</v>
      </c>
    </row>
    <row r="191" spans="2:27" x14ac:dyDescent="0.3">
      <c r="B191" s="27">
        <v>43.4</v>
      </c>
      <c r="C191" s="27">
        <v>924</v>
      </c>
      <c r="D191" s="19">
        <f t="shared" ref="D191:H191" si="143">1/C$23-LN(C$23)+$B191*C$22</f>
        <v>32.453483688074741</v>
      </c>
      <c r="E191" s="19">
        <f t="shared" si="143"/>
        <v>1.7729999879135852</v>
      </c>
      <c r="F191" s="19">
        <f t="shared" si="143"/>
        <v>16.642585092994047</v>
      </c>
      <c r="G191" s="19">
        <f t="shared" si="143"/>
        <v>16.642585092994047</v>
      </c>
      <c r="H191" s="19">
        <f t="shared" si="143"/>
        <v>16.642585092994047</v>
      </c>
      <c r="I191" s="16"/>
      <c r="J191" s="19">
        <f t="shared" si="117"/>
        <v>29.083318911538761</v>
      </c>
      <c r="K191" s="19">
        <f t="shared" si="118"/>
        <v>1.4213751613993093</v>
      </c>
      <c r="L191" s="19">
        <f t="shared" si="119"/>
        <v>14.003292604961983</v>
      </c>
      <c r="M191" s="19">
        <f t="shared" si="120"/>
        <v>14.003292604961983</v>
      </c>
      <c r="N191" s="19">
        <f t="shared" si="121"/>
        <v>14.003292604961983</v>
      </c>
      <c r="O191" s="16"/>
      <c r="P191" s="19">
        <f t="shared" si="122"/>
        <v>165.77382754732147</v>
      </c>
      <c r="Q191" s="19">
        <f t="shared" si="123"/>
        <v>752.49743989484193</v>
      </c>
      <c r="R191" s="19">
        <f t="shared" si="124"/>
        <v>0</v>
      </c>
      <c r="S191" s="19">
        <f t="shared" si="125"/>
        <v>0</v>
      </c>
      <c r="T191" s="19">
        <f t="shared" si="126"/>
        <v>0</v>
      </c>
      <c r="U191" s="16"/>
      <c r="V191" s="19">
        <f t="shared" si="127"/>
        <v>918.27126744216343</v>
      </c>
      <c r="W191" s="16"/>
      <c r="X191" s="19">
        <f t="shared" si="128"/>
        <v>32.81837671921668</v>
      </c>
      <c r="Y191" s="19">
        <f t="shared" si="129"/>
        <v>5.7287325578365653</v>
      </c>
      <c r="Z191" s="19"/>
      <c r="AA191" s="19">
        <f t="shared" si="130"/>
        <v>1.4152566241721303E-5</v>
      </c>
    </row>
    <row r="192" spans="2:27" x14ac:dyDescent="0.3">
      <c r="B192" s="27">
        <v>43.699999999999996</v>
      </c>
      <c r="C192" s="27">
        <v>903</v>
      </c>
      <c r="D192" s="19">
        <f t="shared" ref="D192:H192" si="144">1/C$23-LN(C$23)+$B192*C$22</f>
        <v>32.557198438272906</v>
      </c>
      <c r="E192" s="19">
        <f t="shared" si="144"/>
        <v>1.7757605800087282</v>
      </c>
      <c r="F192" s="19">
        <f t="shared" si="144"/>
        <v>16.672585092994044</v>
      </c>
      <c r="G192" s="19">
        <f t="shared" si="144"/>
        <v>16.672585092994044</v>
      </c>
      <c r="H192" s="19">
        <f t="shared" si="144"/>
        <v>16.672585092994044</v>
      </c>
      <c r="I192" s="16"/>
      <c r="J192" s="19">
        <f t="shared" si="117"/>
        <v>29.183591811210881</v>
      </c>
      <c r="K192" s="19">
        <f t="shared" si="118"/>
        <v>1.4229960422070347</v>
      </c>
      <c r="L192" s="19">
        <f t="shared" si="119"/>
        <v>14.031294907520646</v>
      </c>
      <c r="M192" s="19">
        <f t="shared" si="120"/>
        <v>14.031294907520646</v>
      </c>
      <c r="N192" s="19">
        <f t="shared" si="121"/>
        <v>14.031294907520646</v>
      </c>
      <c r="O192" s="16"/>
      <c r="P192" s="19">
        <f t="shared" si="122"/>
        <v>164.6554146464955</v>
      </c>
      <c r="Q192" s="19">
        <f t="shared" si="123"/>
        <v>751.13748336931087</v>
      </c>
      <c r="R192" s="19">
        <f t="shared" si="124"/>
        <v>0</v>
      </c>
      <c r="S192" s="19">
        <f t="shared" si="125"/>
        <v>0</v>
      </c>
      <c r="T192" s="19">
        <f t="shared" si="126"/>
        <v>0</v>
      </c>
      <c r="U192" s="16"/>
      <c r="V192" s="19">
        <f t="shared" si="127"/>
        <v>915.79289801580637</v>
      </c>
      <c r="W192" s="16"/>
      <c r="X192" s="19">
        <f t="shared" si="128"/>
        <v>163.65823964282262</v>
      </c>
      <c r="Y192" s="19">
        <f t="shared" si="129"/>
        <v>12.792898015806372</v>
      </c>
      <c r="Z192" s="19"/>
      <c r="AA192" s="19">
        <f t="shared" si="130"/>
        <v>3.1604257096033554E-5</v>
      </c>
    </row>
    <row r="193" spans="2:27" x14ac:dyDescent="0.3">
      <c r="B193" s="27">
        <v>44.000000000000007</v>
      </c>
      <c r="C193" s="27">
        <v>942</v>
      </c>
      <c r="D193" s="19">
        <f t="shared" ref="D193:H193" si="145">1/C$23-LN(C$23)+$B193*C$22</f>
        <v>32.660913188471071</v>
      </c>
      <c r="E193" s="19">
        <f t="shared" si="145"/>
        <v>1.7785211721038716</v>
      </c>
      <c r="F193" s="19">
        <f t="shared" si="145"/>
        <v>16.702585092994045</v>
      </c>
      <c r="G193" s="19">
        <f t="shared" si="145"/>
        <v>16.702585092994045</v>
      </c>
      <c r="H193" s="19">
        <f t="shared" si="145"/>
        <v>16.702585092994045</v>
      </c>
      <c r="I193" s="16"/>
      <c r="J193" s="19">
        <f t="shared" si="117"/>
        <v>29.283876126761147</v>
      </c>
      <c r="K193" s="19">
        <f t="shared" si="118"/>
        <v>1.4246176853571555</v>
      </c>
      <c r="L193" s="19">
        <f t="shared" si="119"/>
        <v>14.059300928442083</v>
      </c>
      <c r="M193" s="19">
        <f t="shared" si="120"/>
        <v>14.059300928442083</v>
      </c>
      <c r="N193" s="19">
        <f t="shared" si="121"/>
        <v>14.059300928442083</v>
      </c>
      <c r="O193" s="16"/>
      <c r="P193" s="19">
        <f t="shared" si="122"/>
        <v>163.54815759022623</v>
      </c>
      <c r="Q193" s="19">
        <f t="shared" si="123"/>
        <v>749.78065601001811</v>
      </c>
      <c r="R193" s="19">
        <f t="shared" si="124"/>
        <v>0</v>
      </c>
      <c r="S193" s="19">
        <f t="shared" si="125"/>
        <v>0</v>
      </c>
      <c r="T193" s="19">
        <f t="shared" si="126"/>
        <v>0</v>
      </c>
      <c r="U193" s="16"/>
      <c r="V193" s="19">
        <f t="shared" si="127"/>
        <v>913.3288136002443</v>
      </c>
      <c r="W193" s="16"/>
      <c r="X193" s="19">
        <f t="shared" si="128"/>
        <v>822.03692956953603</v>
      </c>
      <c r="Y193" s="19">
        <f t="shared" si="129"/>
        <v>28.671186399755697</v>
      </c>
      <c r="Z193" s="19"/>
      <c r="AA193" s="19">
        <f t="shared" si="130"/>
        <v>7.0830827003123234E-5</v>
      </c>
    </row>
    <row r="194" spans="2:27" x14ac:dyDescent="0.3">
      <c r="B194" s="27">
        <v>44.199999999999996</v>
      </c>
      <c r="C194" s="27">
        <v>905</v>
      </c>
      <c r="D194" s="19">
        <f t="shared" ref="D194:H194" si="146">1/C$23-LN(C$23)+$B194*C$22</f>
        <v>32.730056355269845</v>
      </c>
      <c r="E194" s="19">
        <f t="shared" si="146"/>
        <v>1.780361566833967</v>
      </c>
      <c r="F194" s="19">
        <f t="shared" si="146"/>
        <v>16.722585092994045</v>
      </c>
      <c r="G194" s="19">
        <f t="shared" si="146"/>
        <v>16.722585092994045</v>
      </c>
      <c r="H194" s="19">
        <f t="shared" si="146"/>
        <v>16.722585092994045</v>
      </c>
      <c r="I194" s="16"/>
      <c r="J194" s="19">
        <f t="shared" si="117"/>
        <v>29.350738642613489</v>
      </c>
      <c r="K194" s="19">
        <f t="shared" si="118"/>
        <v>1.4256992039874059</v>
      </c>
      <c r="L194" s="19">
        <f t="shared" si="119"/>
        <v>14.077973668229681</v>
      </c>
      <c r="M194" s="19">
        <f t="shared" si="120"/>
        <v>14.077973668229681</v>
      </c>
      <c r="N194" s="19">
        <f t="shared" si="121"/>
        <v>14.077973668229681</v>
      </c>
      <c r="O194" s="16"/>
      <c r="P194" s="19">
        <f t="shared" si="122"/>
        <v>162.81611139470618</v>
      </c>
      <c r="Q194" s="19">
        <f t="shared" si="123"/>
        <v>748.87783873988133</v>
      </c>
      <c r="R194" s="19">
        <f t="shared" si="124"/>
        <v>0</v>
      </c>
      <c r="S194" s="19">
        <f t="shared" si="125"/>
        <v>0</v>
      </c>
      <c r="T194" s="19">
        <f t="shared" si="126"/>
        <v>0</v>
      </c>
      <c r="U194" s="16"/>
      <c r="V194" s="19">
        <f t="shared" si="127"/>
        <v>911.69395013458757</v>
      </c>
      <c r="W194" s="16"/>
      <c r="X194" s="19">
        <f t="shared" si="128"/>
        <v>44.808968404344903</v>
      </c>
      <c r="Y194" s="19">
        <f t="shared" si="129"/>
        <v>6.6939501345875669</v>
      </c>
      <c r="Z194" s="19"/>
      <c r="AA194" s="19">
        <f t="shared" si="130"/>
        <v>1.6537091187637269E-5</v>
      </c>
    </row>
    <row r="195" spans="2:27" x14ac:dyDescent="0.3">
      <c r="B195" s="27">
        <v>44.500000000000007</v>
      </c>
      <c r="C195" s="27">
        <v>940</v>
      </c>
      <c r="D195" s="19">
        <f t="shared" ref="D195:H195" si="147">1/C$23-LN(C$23)+$B195*C$22</f>
        <v>32.833771105468017</v>
      </c>
      <c r="E195" s="19">
        <f t="shared" si="147"/>
        <v>1.78312215892911</v>
      </c>
      <c r="F195" s="19">
        <f t="shared" si="147"/>
        <v>16.752585092994046</v>
      </c>
      <c r="G195" s="19">
        <f t="shared" si="147"/>
        <v>16.752585092994046</v>
      </c>
      <c r="H195" s="19">
        <f t="shared" si="147"/>
        <v>16.752585092994046</v>
      </c>
      <c r="I195" s="16"/>
      <c r="J195" s="19">
        <f t="shared" si="117"/>
        <v>29.451041820101352</v>
      </c>
      <c r="K195" s="19">
        <f t="shared" si="118"/>
        <v>1.4273221162381664</v>
      </c>
      <c r="L195" s="19">
        <f t="shared" si="119"/>
        <v>14.105985856842709</v>
      </c>
      <c r="M195" s="19">
        <f t="shared" si="120"/>
        <v>14.105985856842709</v>
      </c>
      <c r="N195" s="19">
        <f t="shared" si="121"/>
        <v>14.105985856842709</v>
      </c>
      <c r="O195" s="16"/>
      <c r="P195" s="19">
        <f t="shared" si="122"/>
        <v>161.72712271430117</v>
      </c>
      <c r="Q195" s="19">
        <f t="shared" si="123"/>
        <v>747.52620812085092</v>
      </c>
      <c r="R195" s="19">
        <f t="shared" si="124"/>
        <v>0</v>
      </c>
      <c r="S195" s="19">
        <f t="shared" si="125"/>
        <v>0</v>
      </c>
      <c r="T195" s="19">
        <f t="shared" si="126"/>
        <v>0</v>
      </c>
      <c r="U195" s="16"/>
      <c r="V195" s="19">
        <f t="shared" si="127"/>
        <v>909.25333083515216</v>
      </c>
      <c r="W195" s="16"/>
      <c r="X195" s="19">
        <f t="shared" si="128"/>
        <v>945.35766473260526</v>
      </c>
      <c r="Y195" s="19">
        <f t="shared" si="129"/>
        <v>30.746669164847845</v>
      </c>
      <c r="Z195" s="19"/>
      <c r="AA195" s="19">
        <f t="shared" si="130"/>
        <v>7.5958210245396688E-5</v>
      </c>
    </row>
    <row r="196" spans="2:27" x14ac:dyDescent="0.3">
      <c r="B196" s="27">
        <v>44.800000000000004</v>
      </c>
      <c r="C196" s="27">
        <v>895</v>
      </c>
      <c r="D196" s="19">
        <f t="shared" ref="D196:H196" si="148">1/C$23-LN(C$23)+$B196*C$22</f>
        <v>32.937485855666182</v>
      </c>
      <c r="E196" s="19">
        <f t="shared" si="148"/>
        <v>1.7858827510242532</v>
      </c>
      <c r="F196" s="19">
        <f t="shared" si="148"/>
        <v>16.782585092994047</v>
      </c>
      <c r="G196" s="19">
        <f t="shared" si="148"/>
        <v>16.782585092994047</v>
      </c>
      <c r="H196" s="19">
        <f t="shared" si="148"/>
        <v>16.782585092994047</v>
      </c>
      <c r="I196" s="16"/>
      <c r="J196" s="19">
        <f t="shared" si="117"/>
        <v>29.551356217192382</v>
      </c>
      <c r="K196" s="19">
        <f t="shared" si="118"/>
        <v>1.4289457890677881</v>
      </c>
      <c r="L196" s="19">
        <f t="shared" si="119"/>
        <v>14.13400172843615</v>
      </c>
      <c r="M196" s="19">
        <f t="shared" si="120"/>
        <v>14.13400172843615</v>
      </c>
      <c r="N196" s="19">
        <f t="shared" si="121"/>
        <v>14.13400172843615</v>
      </c>
      <c r="O196" s="16"/>
      <c r="P196" s="19">
        <f t="shared" si="122"/>
        <v>160.64890410281015</v>
      </c>
      <c r="Q196" s="19">
        <f t="shared" si="123"/>
        <v>746.17768446352034</v>
      </c>
      <c r="R196" s="19">
        <f t="shared" si="124"/>
        <v>0</v>
      </c>
      <c r="S196" s="19">
        <f t="shared" si="125"/>
        <v>0</v>
      </c>
      <c r="T196" s="19">
        <f t="shared" si="126"/>
        <v>0</v>
      </c>
      <c r="U196" s="16"/>
      <c r="V196" s="19">
        <f t="shared" si="127"/>
        <v>906.82658856633043</v>
      </c>
      <c r="W196" s="16"/>
      <c r="X196" s="19">
        <f t="shared" si="128"/>
        <v>139.86819711725764</v>
      </c>
      <c r="Y196" s="19">
        <f t="shared" si="129"/>
        <v>11.826588566330429</v>
      </c>
      <c r="Z196" s="19"/>
      <c r="AA196" s="19">
        <f t="shared" si="130"/>
        <v>2.9217034729543096E-5</v>
      </c>
    </row>
    <row r="197" spans="2:27" x14ac:dyDescent="0.3">
      <c r="B197" s="27">
        <v>45.1</v>
      </c>
      <c r="C197" s="27">
        <v>912</v>
      </c>
      <c r="D197" s="19">
        <f t="shared" ref="D197:H197" si="149">1/C$23-LN(C$23)+$B197*C$22</f>
        <v>33.041200605864347</v>
      </c>
      <c r="E197" s="19">
        <f t="shared" si="149"/>
        <v>1.7886433431193964</v>
      </c>
      <c r="F197" s="19">
        <f t="shared" si="149"/>
        <v>16.812585092994045</v>
      </c>
      <c r="G197" s="19">
        <f t="shared" si="149"/>
        <v>16.812585092994045</v>
      </c>
      <c r="H197" s="19">
        <f t="shared" si="149"/>
        <v>16.812585092994045</v>
      </c>
      <c r="I197" s="16"/>
      <c r="J197" s="19">
        <f t="shared" si="117"/>
        <v>29.651681761571435</v>
      </c>
      <c r="K197" s="19">
        <f t="shared" si="118"/>
        <v>1.4305702218154972</v>
      </c>
      <c r="L197" s="19">
        <f t="shared" si="119"/>
        <v>14.162021269868374</v>
      </c>
      <c r="M197" s="19">
        <f t="shared" si="120"/>
        <v>14.162021269868374</v>
      </c>
      <c r="N197" s="19">
        <f t="shared" si="121"/>
        <v>14.162021269868374</v>
      </c>
      <c r="O197" s="16"/>
      <c r="P197" s="19">
        <f t="shared" si="122"/>
        <v>159.58131517438306</v>
      </c>
      <c r="Q197" s="19">
        <f t="shared" si="123"/>
        <v>744.83225948565871</v>
      </c>
      <c r="R197" s="19">
        <f t="shared" si="124"/>
        <v>0</v>
      </c>
      <c r="S197" s="19">
        <f t="shared" si="125"/>
        <v>0</v>
      </c>
      <c r="T197" s="19">
        <f t="shared" si="126"/>
        <v>0</v>
      </c>
      <c r="U197" s="16"/>
      <c r="V197" s="19">
        <f t="shared" si="127"/>
        <v>904.41357466004183</v>
      </c>
      <c r="W197" s="16"/>
      <c r="X197" s="19">
        <f t="shared" si="128"/>
        <v>57.553849438759414</v>
      </c>
      <c r="Y197" s="19">
        <f t="shared" si="129"/>
        <v>7.5864253399581685</v>
      </c>
      <c r="Z197" s="19"/>
      <c r="AA197" s="19">
        <f t="shared" si="130"/>
        <v>1.8741909502261341E-5</v>
      </c>
    </row>
    <row r="198" spans="2:27" x14ac:dyDescent="0.3">
      <c r="B198" s="27">
        <v>45.4</v>
      </c>
      <c r="C198" s="27">
        <v>908</v>
      </c>
      <c r="D198" s="19">
        <f t="shared" ref="D198:H198" si="150">1/C$23-LN(C$23)+$B198*C$22</f>
        <v>33.144915356062512</v>
      </c>
      <c r="E198" s="19">
        <f t="shared" si="150"/>
        <v>1.7914039352145394</v>
      </c>
      <c r="F198" s="19">
        <f t="shared" si="150"/>
        <v>16.842585092994046</v>
      </c>
      <c r="G198" s="19">
        <f t="shared" si="150"/>
        <v>16.842585092994046</v>
      </c>
      <c r="H198" s="19">
        <f t="shared" si="150"/>
        <v>16.842585092994046</v>
      </c>
      <c r="I198" s="16"/>
      <c r="J198" s="19">
        <f t="shared" si="117"/>
        <v>29.752018381612153</v>
      </c>
      <c r="K198" s="19">
        <f t="shared" si="118"/>
        <v>1.4321954138208217</v>
      </c>
      <c r="L198" s="19">
        <f t="shared" si="119"/>
        <v>14.190044468066175</v>
      </c>
      <c r="M198" s="19">
        <f t="shared" si="120"/>
        <v>14.190044468066175</v>
      </c>
      <c r="N198" s="19">
        <f t="shared" si="121"/>
        <v>14.190044468066175</v>
      </c>
      <c r="O198" s="16"/>
      <c r="P198" s="19">
        <f t="shared" si="122"/>
        <v>158.52421780792409</v>
      </c>
      <c r="Q198" s="19">
        <f t="shared" si="123"/>
        <v>743.48992492917887</v>
      </c>
      <c r="R198" s="19">
        <f t="shared" si="124"/>
        <v>0</v>
      </c>
      <c r="S198" s="19">
        <f t="shared" si="125"/>
        <v>0</v>
      </c>
      <c r="T198" s="19">
        <f t="shared" si="126"/>
        <v>0</v>
      </c>
      <c r="U198" s="16"/>
      <c r="V198" s="19">
        <f t="shared" si="127"/>
        <v>902.01414273710293</v>
      </c>
      <c r="W198" s="16"/>
      <c r="X198" s="19">
        <f t="shared" si="128"/>
        <v>35.830487171777612</v>
      </c>
      <c r="Y198" s="19">
        <f t="shared" si="129"/>
        <v>5.9858572628970705</v>
      </c>
      <c r="Z198" s="19"/>
      <c r="AA198" s="19">
        <f t="shared" si="130"/>
        <v>1.4787780817373636E-5</v>
      </c>
    </row>
    <row r="199" spans="2:27" x14ac:dyDescent="0.3">
      <c r="B199" s="27">
        <v>45.699999999999996</v>
      </c>
      <c r="C199" s="27">
        <v>845</v>
      </c>
      <c r="D199" s="19">
        <f t="shared" ref="D199:H199" si="151">1/C$23-LN(C$23)+$B199*C$22</f>
        <v>33.24863010626067</v>
      </c>
      <c r="E199" s="19">
        <f t="shared" si="151"/>
        <v>1.7941645273096827</v>
      </c>
      <c r="F199" s="19">
        <f t="shared" si="151"/>
        <v>16.872585092994044</v>
      </c>
      <c r="G199" s="19">
        <f t="shared" si="151"/>
        <v>16.872585092994044</v>
      </c>
      <c r="H199" s="19">
        <f t="shared" si="151"/>
        <v>16.872585092994044</v>
      </c>
      <c r="I199" s="16"/>
      <c r="J199" s="19">
        <f t="shared" si="117"/>
        <v>29.852366006368303</v>
      </c>
      <c r="K199" s="19">
        <f t="shared" si="118"/>
        <v>1.4338213644235949</v>
      </c>
      <c r="L199" s="19">
        <f t="shared" si="119"/>
        <v>14.218071310024278</v>
      </c>
      <c r="M199" s="19">
        <f t="shared" si="120"/>
        <v>14.218071310024278</v>
      </c>
      <c r="N199" s="19">
        <f t="shared" si="121"/>
        <v>14.218071310024278</v>
      </c>
      <c r="O199" s="16"/>
      <c r="P199" s="19">
        <f t="shared" si="122"/>
        <v>157.47747610363535</v>
      </c>
      <c r="Q199" s="19">
        <f t="shared" si="123"/>
        <v>742.15067256006239</v>
      </c>
      <c r="R199" s="19">
        <f t="shared" si="124"/>
        <v>0</v>
      </c>
      <c r="S199" s="19">
        <f t="shared" si="125"/>
        <v>0</v>
      </c>
      <c r="T199" s="19">
        <f t="shared" si="126"/>
        <v>0</v>
      </c>
      <c r="U199" s="16"/>
      <c r="V199" s="19">
        <f t="shared" si="127"/>
        <v>899.62814866369774</v>
      </c>
      <c r="W199" s="16"/>
      <c r="X199" s="19">
        <f t="shared" si="128"/>
        <v>2984.2346264230614</v>
      </c>
      <c r="Y199" s="19">
        <f t="shared" si="129"/>
        <v>54.628148663697743</v>
      </c>
      <c r="Z199" s="19"/>
      <c r="AA199" s="19">
        <f t="shared" si="130"/>
        <v>1.3495629003800982E-4</v>
      </c>
    </row>
    <row r="200" spans="2:27" x14ac:dyDescent="0.3">
      <c r="B200" s="27">
        <v>46.000000000000007</v>
      </c>
      <c r="C200" s="27">
        <v>933</v>
      </c>
      <c r="D200" s="19">
        <f t="shared" ref="D200:H200" si="152">1/C$23-LN(C$23)+$B200*C$22</f>
        <v>33.352344856458842</v>
      </c>
      <c r="E200" s="19">
        <f t="shared" si="152"/>
        <v>1.7969251194048259</v>
      </c>
      <c r="F200" s="19">
        <f t="shared" si="152"/>
        <v>16.902585092994045</v>
      </c>
      <c r="G200" s="19">
        <f t="shared" si="152"/>
        <v>16.902585092994045</v>
      </c>
      <c r="H200" s="19">
        <f t="shared" si="152"/>
        <v>16.902585092994045</v>
      </c>
      <c r="I200" s="16"/>
      <c r="J200" s="19">
        <f t="shared" si="117"/>
        <v>29.952724565565319</v>
      </c>
      <c r="K200" s="19">
        <f t="shared" si="118"/>
        <v>1.4354480729639552</v>
      </c>
      <c r="L200" s="19">
        <f t="shared" si="119"/>
        <v>14.246101782804912</v>
      </c>
      <c r="M200" s="19">
        <f t="shared" si="120"/>
        <v>14.246101782804912</v>
      </c>
      <c r="N200" s="19">
        <f t="shared" si="121"/>
        <v>14.246101782804912</v>
      </c>
      <c r="O200" s="16"/>
      <c r="P200" s="19">
        <f t="shared" si="122"/>
        <v>156.44095634052468</v>
      </c>
      <c r="Q200" s="19">
        <f t="shared" si="123"/>
        <v>740.81449416828696</v>
      </c>
      <c r="R200" s="19">
        <f t="shared" si="124"/>
        <v>0</v>
      </c>
      <c r="S200" s="19">
        <f t="shared" si="125"/>
        <v>0</v>
      </c>
      <c r="T200" s="19">
        <f t="shared" si="126"/>
        <v>0</v>
      </c>
      <c r="U200" s="16"/>
      <c r="V200" s="19">
        <f t="shared" si="127"/>
        <v>897.25545050881169</v>
      </c>
      <c r="W200" s="16"/>
      <c r="X200" s="19">
        <f t="shared" si="128"/>
        <v>1277.6728183280104</v>
      </c>
      <c r="Y200" s="19">
        <f t="shared" si="129"/>
        <v>35.744549491188309</v>
      </c>
      <c r="Z200" s="19"/>
      <c r="AA200" s="19">
        <f t="shared" si="130"/>
        <v>8.830524018135884E-5</v>
      </c>
    </row>
    <row r="201" spans="2:27" x14ac:dyDescent="0.3">
      <c r="B201" s="27">
        <v>46.199999999999996</v>
      </c>
      <c r="C201" s="27">
        <v>955</v>
      </c>
      <c r="D201" s="19">
        <f t="shared" ref="D201:H201" si="153">1/C$23-LN(C$23)+$B201*C$22</f>
        <v>33.421488023257616</v>
      </c>
      <c r="E201" s="19">
        <f t="shared" si="153"/>
        <v>1.7987655141349213</v>
      </c>
      <c r="F201" s="19">
        <f t="shared" si="153"/>
        <v>16.922585092994044</v>
      </c>
      <c r="G201" s="19">
        <f t="shared" si="153"/>
        <v>16.922585092994044</v>
      </c>
      <c r="H201" s="19">
        <f t="shared" si="153"/>
        <v>16.922585092994044</v>
      </c>
      <c r="I201" s="16"/>
      <c r="J201" s="19">
        <f t="shared" si="117"/>
        <v>30.019636311983014</v>
      </c>
      <c r="K201" s="19">
        <f t="shared" si="118"/>
        <v>1.436532966074914</v>
      </c>
      <c r="L201" s="19">
        <f t="shared" si="119"/>
        <v>14.26479077542362</v>
      </c>
      <c r="M201" s="19">
        <f t="shared" si="120"/>
        <v>14.26479077542362</v>
      </c>
      <c r="N201" s="19">
        <f t="shared" si="121"/>
        <v>14.26479077542362</v>
      </c>
      <c r="O201" s="16"/>
      <c r="P201" s="19">
        <f t="shared" si="122"/>
        <v>155.75555695498397</v>
      </c>
      <c r="Q201" s="19">
        <f t="shared" si="123"/>
        <v>739.92541229545964</v>
      </c>
      <c r="R201" s="19">
        <f t="shared" si="124"/>
        <v>0</v>
      </c>
      <c r="S201" s="19">
        <f t="shared" si="125"/>
        <v>0</v>
      </c>
      <c r="T201" s="19">
        <f t="shared" si="126"/>
        <v>0</v>
      </c>
      <c r="U201" s="16"/>
      <c r="V201" s="19">
        <f t="shared" si="127"/>
        <v>895.68096925044358</v>
      </c>
      <c r="W201" s="16"/>
      <c r="X201" s="19">
        <f t="shared" si="128"/>
        <v>3518.7474090668197</v>
      </c>
      <c r="Y201" s="19">
        <f t="shared" si="129"/>
        <v>59.319030749556418</v>
      </c>
      <c r="Z201" s="19"/>
      <c r="AA201" s="19">
        <f t="shared" si="130"/>
        <v>1.4654489515824779E-4</v>
      </c>
    </row>
    <row r="202" spans="2:27" x14ac:dyDescent="0.3">
      <c r="B202" s="27">
        <v>46.500000000000007</v>
      </c>
      <c r="C202" s="27">
        <v>834</v>
      </c>
      <c r="D202" s="19">
        <f t="shared" ref="D202:H202" si="154">1/C$23-LN(C$23)+$B202*C$22</f>
        <v>33.525202773455781</v>
      </c>
      <c r="E202" s="19">
        <f t="shared" si="154"/>
        <v>1.8015261062300645</v>
      </c>
      <c r="F202" s="19">
        <f t="shared" si="154"/>
        <v>16.952585092994045</v>
      </c>
      <c r="G202" s="19">
        <f t="shared" si="154"/>
        <v>16.952585092994045</v>
      </c>
      <c r="H202" s="19">
        <f t="shared" si="154"/>
        <v>16.952585092994045</v>
      </c>
      <c r="I202" s="16"/>
      <c r="J202" s="19">
        <f t="shared" si="117"/>
        <v>30.120012940880088</v>
      </c>
      <c r="K202" s="19">
        <f t="shared" si="118"/>
        <v>1.4381609363790611</v>
      </c>
      <c r="L202" s="19">
        <f t="shared" si="119"/>
        <v>14.292827271006363</v>
      </c>
      <c r="M202" s="19">
        <f t="shared" si="120"/>
        <v>14.292827271006363</v>
      </c>
      <c r="N202" s="19">
        <f t="shared" si="121"/>
        <v>14.292827271006363</v>
      </c>
      <c r="O202" s="16"/>
      <c r="P202" s="19">
        <f t="shared" si="122"/>
        <v>154.73578238921306</v>
      </c>
      <c r="Q202" s="19">
        <f t="shared" si="123"/>
        <v>738.59433901970431</v>
      </c>
      <c r="R202" s="19">
        <f t="shared" si="124"/>
        <v>0</v>
      </c>
      <c r="S202" s="19">
        <f t="shared" si="125"/>
        <v>0</v>
      </c>
      <c r="T202" s="19">
        <f t="shared" si="126"/>
        <v>0</v>
      </c>
      <c r="U202" s="16"/>
      <c r="V202" s="19">
        <f t="shared" si="127"/>
        <v>893.33012140891742</v>
      </c>
      <c r="W202" s="16"/>
      <c r="X202" s="19">
        <f t="shared" si="128"/>
        <v>3520.0633063968812</v>
      </c>
      <c r="Y202" s="19">
        <f t="shared" si="129"/>
        <v>59.330121408917421</v>
      </c>
      <c r="Z202" s="19"/>
      <c r="AA202" s="19">
        <f t="shared" si="130"/>
        <v>1.4657229411424482E-4</v>
      </c>
    </row>
    <row r="203" spans="2:27" x14ac:dyDescent="0.3">
      <c r="B203" s="27">
        <v>46.800000000000004</v>
      </c>
      <c r="C203" s="27">
        <v>908</v>
      </c>
      <c r="D203" s="19">
        <f t="shared" ref="D203:H203" si="155">1/C$23-LN(C$23)+$B203*C$22</f>
        <v>33.628917523653946</v>
      </c>
      <c r="E203" s="19">
        <f t="shared" si="155"/>
        <v>1.8042866983252077</v>
      </c>
      <c r="F203" s="19">
        <f t="shared" si="155"/>
        <v>16.982585092994047</v>
      </c>
      <c r="G203" s="19">
        <f t="shared" si="155"/>
        <v>16.982585092994047</v>
      </c>
      <c r="H203" s="19">
        <f t="shared" si="155"/>
        <v>16.982585092994047</v>
      </c>
      <c r="I203" s="16"/>
      <c r="J203" s="19">
        <f t="shared" si="117"/>
        <v>30.220400320039403</v>
      </c>
      <c r="K203" s="19">
        <f t="shared" si="118"/>
        <v>1.4397896628626685</v>
      </c>
      <c r="L203" s="19">
        <f t="shared" si="119"/>
        <v>14.320867363237364</v>
      </c>
      <c r="M203" s="19">
        <f t="shared" si="120"/>
        <v>14.320867363237364</v>
      </c>
      <c r="N203" s="19">
        <f t="shared" si="121"/>
        <v>14.320867363237364</v>
      </c>
      <c r="O203" s="16"/>
      <c r="P203" s="19">
        <f t="shared" si="122"/>
        <v>153.72588351415308</v>
      </c>
      <c r="Q203" s="19">
        <f t="shared" si="123"/>
        <v>737.26631794465993</v>
      </c>
      <c r="R203" s="19">
        <f t="shared" si="124"/>
        <v>0</v>
      </c>
      <c r="S203" s="19">
        <f t="shared" si="125"/>
        <v>0</v>
      </c>
      <c r="T203" s="19">
        <f t="shared" si="126"/>
        <v>0</v>
      </c>
      <c r="U203" s="16"/>
      <c r="V203" s="19">
        <f t="shared" si="127"/>
        <v>890.99220145881304</v>
      </c>
      <c r="W203" s="16"/>
      <c r="X203" s="19">
        <f t="shared" si="128"/>
        <v>289.26521121760118</v>
      </c>
      <c r="Y203" s="19">
        <f t="shared" si="129"/>
        <v>17.007798541186958</v>
      </c>
      <c r="Z203" s="19"/>
      <c r="AA203" s="19">
        <f t="shared" si="130"/>
        <v>4.2016972000330266E-5</v>
      </c>
    </row>
    <row r="204" spans="2:27" x14ac:dyDescent="0.3">
      <c r="B204" s="27">
        <v>47.1</v>
      </c>
      <c r="C204" s="27">
        <v>941</v>
      </c>
      <c r="D204" s="19">
        <f t="shared" ref="D204:H204" si="156">1/C$23-LN(C$23)+$B204*C$22</f>
        <v>33.732632273852111</v>
      </c>
      <c r="E204" s="19">
        <f t="shared" si="156"/>
        <v>1.8070472904203507</v>
      </c>
      <c r="F204" s="19">
        <f t="shared" si="156"/>
        <v>17.012585092994044</v>
      </c>
      <c r="G204" s="19">
        <f t="shared" si="156"/>
        <v>17.012585092994044</v>
      </c>
      <c r="H204" s="19">
        <f t="shared" si="156"/>
        <v>17.012585092994044</v>
      </c>
      <c r="I204" s="16"/>
      <c r="J204" s="19">
        <f t="shared" si="117"/>
        <v>30.320798381578367</v>
      </c>
      <c r="K204" s="19">
        <f t="shared" si="118"/>
        <v>1.4414191448670066</v>
      </c>
      <c r="L204" s="19">
        <f t="shared" si="119"/>
        <v>14.348911039422418</v>
      </c>
      <c r="M204" s="19">
        <f t="shared" si="120"/>
        <v>14.348911039422418</v>
      </c>
      <c r="N204" s="19">
        <f t="shared" si="121"/>
        <v>14.348911039422418</v>
      </c>
      <c r="O204" s="16"/>
      <c r="P204" s="19">
        <f t="shared" si="122"/>
        <v>152.72573424917817</v>
      </c>
      <c r="Q204" s="19">
        <f t="shared" si="123"/>
        <v>735.94134094766946</v>
      </c>
      <c r="R204" s="19">
        <f t="shared" si="124"/>
        <v>0</v>
      </c>
      <c r="S204" s="19">
        <f t="shared" si="125"/>
        <v>0</v>
      </c>
      <c r="T204" s="19">
        <f t="shared" si="126"/>
        <v>0</v>
      </c>
      <c r="U204" s="16"/>
      <c r="V204" s="19">
        <f t="shared" si="127"/>
        <v>888.66707519684769</v>
      </c>
      <c r="W204" s="16"/>
      <c r="X204" s="19">
        <f t="shared" si="128"/>
        <v>2738.7350184523943</v>
      </c>
      <c r="Y204" s="19">
        <f t="shared" si="129"/>
        <v>52.332924803152309</v>
      </c>
      <c r="Z204" s="19"/>
      <c r="AA204" s="19">
        <f t="shared" si="130"/>
        <v>1.2928604668173492E-4</v>
      </c>
    </row>
    <row r="205" spans="2:27" x14ac:dyDescent="0.3">
      <c r="B205" s="27">
        <v>47.4</v>
      </c>
      <c r="C205" s="27">
        <v>928</v>
      </c>
      <c r="D205" s="19">
        <f t="shared" ref="D205:H205" si="157">1/C$23-LN(C$23)+$B205*C$22</f>
        <v>33.836347024050276</v>
      </c>
      <c r="E205" s="19">
        <f t="shared" si="157"/>
        <v>1.809807882515494</v>
      </c>
      <c r="F205" s="19">
        <f t="shared" si="157"/>
        <v>17.042585092994045</v>
      </c>
      <c r="G205" s="19">
        <f t="shared" si="157"/>
        <v>17.042585092994045</v>
      </c>
      <c r="H205" s="19">
        <f t="shared" si="157"/>
        <v>17.042585092994045</v>
      </c>
      <c r="I205" s="16"/>
      <c r="J205" s="19">
        <f t="shared" si="117"/>
        <v>30.421207058248033</v>
      </c>
      <c r="K205" s="19">
        <f t="shared" si="118"/>
        <v>1.4430493817336583</v>
      </c>
      <c r="L205" s="19">
        <f t="shared" si="119"/>
        <v>14.376958286932723</v>
      </c>
      <c r="M205" s="19">
        <f t="shared" si="120"/>
        <v>14.376958286932723</v>
      </c>
      <c r="N205" s="19">
        <f t="shared" si="121"/>
        <v>14.376958286932723</v>
      </c>
      <c r="O205" s="16"/>
      <c r="P205" s="19">
        <f t="shared" si="122"/>
        <v>151.73521050623779</v>
      </c>
      <c r="Q205" s="19">
        <f t="shared" si="123"/>
        <v>734.61939992973305</v>
      </c>
      <c r="R205" s="19">
        <f t="shared" si="124"/>
        <v>0</v>
      </c>
      <c r="S205" s="19">
        <f t="shared" si="125"/>
        <v>0</v>
      </c>
      <c r="T205" s="19">
        <f t="shared" si="126"/>
        <v>0</v>
      </c>
      <c r="U205" s="16"/>
      <c r="V205" s="19">
        <f t="shared" si="127"/>
        <v>886.35461043597081</v>
      </c>
      <c r="W205" s="16"/>
      <c r="X205" s="19">
        <f t="shared" si="128"/>
        <v>1734.3384719397511</v>
      </c>
      <c r="Y205" s="19">
        <f t="shared" si="129"/>
        <v>41.645389564029188</v>
      </c>
      <c r="Z205" s="19"/>
      <c r="AA205" s="19">
        <f t="shared" si="130"/>
        <v>1.0288299000115879E-4</v>
      </c>
    </row>
    <row r="206" spans="2:27" x14ac:dyDescent="0.3">
      <c r="B206" s="27">
        <v>47.699999999999996</v>
      </c>
      <c r="C206" s="27">
        <v>832</v>
      </c>
      <c r="D206" s="19">
        <f t="shared" ref="D206:H206" si="158">1/C$23-LN(C$23)+$B206*C$22</f>
        <v>33.940061774248441</v>
      </c>
      <c r="E206" s="19">
        <f t="shared" si="158"/>
        <v>1.8125684746106372</v>
      </c>
      <c r="F206" s="19">
        <f t="shared" si="158"/>
        <v>17.072585092994046</v>
      </c>
      <c r="G206" s="19">
        <f t="shared" si="158"/>
        <v>17.072585092994046</v>
      </c>
      <c r="H206" s="19">
        <f t="shared" si="158"/>
        <v>17.072585092994046</v>
      </c>
      <c r="I206" s="16"/>
      <c r="J206" s="19">
        <f t="shared" si="117"/>
        <v>30.521626283425306</v>
      </c>
      <c r="K206" s="19">
        <f t="shared" si="118"/>
        <v>1.4446803728045188</v>
      </c>
      <c r="L206" s="19">
        <f t="shared" si="119"/>
        <v>14.405009093204411</v>
      </c>
      <c r="M206" s="19">
        <f t="shared" si="120"/>
        <v>14.405009093204411</v>
      </c>
      <c r="N206" s="19">
        <f t="shared" si="121"/>
        <v>14.405009093204411</v>
      </c>
      <c r="O206" s="16"/>
      <c r="P206" s="19">
        <f t="shared" si="122"/>
        <v>150.75419015239368</v>
      </c>
      <c r="Q206" s="19">
        <f t="shared" si="123"/>
        <v>733.30048681543769</v>
      </c>
      <c r="R206" s="19">
        <f t="shared" si="124"/>
        <v>0</v>
      </c>
      <c r="S206" s="19">
        <f t="shared" si="125"/>
        <v>0</v>
      </c>
      <c r="T206" s="19">
        <f t="shared" si="126"/>
        <v>0</v>
      </c>
      <c r="U206" s="16"/>
      <c r="V206" s="19">
        <f t="shared" si="127"/>
        <v>884.05467696783137</v>
      </c>
      <c r="W206" s="16"/>
      <c r="X206" s="19">
        <f t="shared" si="128"/>
        <v>2709.6893942252736</v>
      </c>
      <c r="Y206" s="19">
        <f t="shared" si="129"/>
        <v>52.054676967831369</v>
      </c>
      <c r="Z206" s="19"/>
      <c r="AA206" s="19">
        <f t="shared" si="130"/>
        <v>1.2859864839926346E-4</v>
      </c>
    </row>
    <row r="207" spans="2:27" x14ac:dyDescent="0.3">
      <c r="B207" s="27">
        <v>48.000000000000007</v>
      </c>
      <c r="C207" s="27">
        <v>897</v>
      </c>
      <c r="D207" s="19">
        <f t="shared" ref="D207:H207" si="159">1/C$23-LN(C$23)+$B207*C$22</f>
        <v>34.043776524446614</v>
      </c>
      <c r="E207" s="19">
        <f t="shared" si="159"/>
        <v>1.8153290667057804</v>
      </c>
      <c r="F207" s="19">
        <f t="shared" si="159"/>
        <v>17.102585092994047</v>
      </c>
      <c r="G207" s="19">
        <f t="shared" si="159"/>
        <v>17.102585092994047</v>
      </c>
      <c r="H207" s="19">
        <f t="shared" si="159"/>
        <v>17.102585092994047</v>
      </c>
      <c r="I207" s="16"/>
      <c r="J207" s="19">
        <f t="shared" si="117"/>
        <v>30.622055991105277</v>
      </c>
      <c r="K207" s="19">
        <f t="shared" si="118"/>
        <v>1.4463121174217985</v>
      </c>
      <c r="L207" s="19">
        <f t="shared" si="119"/>
        <v>14.433063445738137</v>
      </c>
      <c r="M207" s="19">
        <f t="shared" si="120"/>
        <v>14.433063445738137</v>
      </c>
      <c r="N207" s="19">
        <f t="shared" si="121"/>
        <v>14.433063445738137</v>
      </c>
      <c r="O207" s="16"/>
      <c r="P207" s="19">
        <f t="shared" si="122"/>
        <v>149.78255297317241</v>
      </c>
      <c r="Q207" s="19">
        <f t="shared" si="123"/>
        <v>731.98459355288469</v>
      </c>
      <c r="R207" s="19">
        <f t="shared" si="124"/>
        <v>0</v>
      </c>
      <c r="S207" s="19">
        <f t="shared" si="125"/>
        <v>0</v>
      </c>
      <c r="T207" s="19">
        <f t="shared" si="126"/>
        <v>0</v>
      </c>
      <c r="U207" s="16"/>
      <c r="V207" s="19">
        <f t="shared" si="127"/>
        <v>881.7671465260571</v>
      </c>
      <c r="W207" s="16"/>
      <c r="X207" s="19">
        <f t="shared" si="128"/>
        <v>232.03982495861416</v>
      </c>
      <c r="Y207" s="19">
        <f t="shared" si="129"/>
        <v>15.232853473942896</v>
      </c>
      <c r="Z207" s="19"/>
      <c r="AA207" s="19">
        <f t="shared" si="130"/>
        <v>3.7632053104923753E-5</v>
      </c>
    </row>
    <row r="208" spans="2:27" x14ac:dyDescent="0.3">
      <c r="B208" s="27">
        <v>48.199999999999996</v>
      </c>
      <c r="C208" s="27">
        <v>841</v>
      </c>
      <c r="D208" s="19">
        <f t="shared" ref="D208:H208" si="160">1/C$23-LN(C$23)+$B208*C$22</f>
        <v>34.112919691245381</v>
      </c>
      <c r="E208" s="19">
        <f t="shared" si="160"/>
        <v>1.8171694614358758</v>
      </c>
      <c r="F208" s="19">
        <f t="shared" si="160"/>
        <v>17.122585092994044</v>
      </c>
      <c r="G208" s="19">
        <f t="shared" si="160"/>
        <v>17.122585092994044</v>
      </c>
      <c r="H208" s="19">
        <f t="shared" si="160"/>
        <v>17.122585092994044</v>
      </c>
      <c r="I208" s="16"/>
      <c r="J208" s="19">
        <f t="shared" si="117"/>
        <v>30.689014920852802</v>
      </c>
      <c r="K208" s="19">
        <f t="shared" si="118"/>
        <v>1.4474003654788599</v>
      </c>
      <c r="L208" s="19">
        <f t="shared" si="119"/>
        <v>14.451768311429367</v>
      </c>
      <c r="M208" s="19">
        <f t="shared" si="120"/>
        <v>14.451768311429367</v>
      </c>
      <c r="N208" s="19">
        <f t="shared" si="121"/>
        <v>14.451768311429367</v>
      </c>
      <c r="O208" s="16"/>
      <c r="P208" s="19">
        <f t="shared" si="122"/>
        <v>149.13994921658519</v>
      </c>
      <c r="Q208" s="19">
        <f t="shared" si="123"/>
        <v>731.10900510762963</v>
      </c>
      <c r="R208" s="19">
        <f t="shared" si="124"/>
        <v>0</v>
      </c>
      <c r="S208" s="19">
        <f t="shared" si="125"/>
        <v>0</v>
      </c>
      <c r="T208" s="19">
        <f t="shared" si="126"/>
        <v>0</v>
      </c>
      <c r="U208" s="16"/>
      <c r="V208" s="19">
        <f t="shared" si="127"/>
        <v>880.24895432421476</v>
      </c>
      <c r="W208" s="16"/>
      <c r="X208" s="19">
        <f t="shared" si="128"/>
        <v>1540.4804155442969</v>
      </c>
      <c r="Y208" s="19">
        <f t="shared" si="129"/>
        <v>39.248954324214765</v>
      </c>
      <c r="Z208" s="19"/>
      <c r="AA208" s="19">
        <f t="shared" si="130"/>
        <v>9.6962708659158588E-5</v>
      </c>
    </row>
    <row r="209" spans="2:27" x14ac:dyDescent="0.3">
      <c r="B209" s="27">
        <v>48.500000000000007</v>
      </c>
      <c r="C209" s="27">
        <v>928</v>
      </c>
      <c r="D209" s="19">
        <f t="shared" ref="D209:H209" si="161">1/C$23-LN(C$23)+$B209*C$22</f>
        <v>34.216634441443546</v>
      </c>
      <c r="E209" s="19">
        <f t="shared" si="161"/>
        <v>1.819930053531019</v>
      </c>
      <c r="F209" s="19">
        <f t="shared" si="161"/>
        <v>17.152585092994045</v>
      </c>
      <c r="G209" s="19">
        <f t="shared" si="161"/>
        <v>17.152585092994045</v>
      </c>
      <c r="H209" s="19">
        <f t="shared" si="161"/>
        <v>17.152585092994045</v>
      </c>
      <c r="I209" s="16"/>
      <c r="J209" s="19">
        <f t="shared" si="117"/>
        <v>30.789461954348091</v>
      </c>
      <c r="K209" s="19">
        <f t="shared" si="118"/>
        <v>1.4490333645459423</v>
      </c>
      <c r="L209" s="19">
        <f t="shared" si="119"/>
        <v>14.479828546797366</v>
      </c>
      <c r="M209" s="19">
        <f t="shared" si="120"/>
        <v>14.479828546797366</v>
      </c>
      <c r="N209" s="19">
        <f t="shared" si="121"/>
        <v>14.479828546797366</v>
      </c>
      <c r="O209" s="16"/>
      <c r="P209" s="19">
        <f t="shared" si="122"/>
        <v>148.18368861582817</v>
      </c>
      <c r="Q209" s="19">
        <f t="shared" si="123"/>
        <v>729.79812710184558</v>
      </c>
      <c r="R209" s="19">
        <f t="shared" si="124"/>
        <v>0</v>
      </c>
      <c r="S209" s="19">
        <f t="shared" si="125"/>
        <v>0</v>
      </c>
      <c r="T209" s="19">
        <f t="shared" si="126"/>
        <v>0</v>
      </c>
      <c r="U209" s="16"/>
      <c r="V209" s="19">
        <f t="shared" si="127"/>
        <v>877.98181571767373</v>
      </c>
      <c r="W209" s="16"/>
      <c r="X209" s="19">
        <f t="shared" si="128"/>
        <v>2501.8187589007512</v>
      </c>
      <c r="Y209" s="19">
        <f t="shared" si="129"/>
        <v>50.018184282326274</v>
      </c>
      <c r="Z209" s="19"/>
      <c r="AA209" s="19">
        <f t="shared" si="130"/>
        <v>1.2356758832770095E-4</v>
      </c>
    </row>
    <row r="210" spans="2:27" x14ac:dyDescent="0.3">
      <c r="B210" s="27">
        <v>48.800000000000004</v>
      </c>
      <c r="C210" s="27">
        <v>834</v>
      </c>
      <c r="D210" s="19">
        <f t="shared" ref="D210:H210" si="162">1/C$23-LN(C$23)+$B210*C$22</f>
        <v>34.320349191641711</v>
      </c>
      <c r="E210" s="19">
        <f t="shared" si="162"/>
        <v>1.822690645626162</v>
      </c>
      <c r="F210" s="19">
        <f t="shared" si="162"/>
        <v>17.182585092994046</v>
      </c>
      <c r="G210" s="19">
        <f t="shared" si="162"/>
        <v>17.182585092994046</v>
      </c>
      <c r="H210" s="19">
        <f t="shared" si="162"/>
        <v>17.182585092994046</v>
      </c>
      <c r="I210" s="16"/>
      <c r="J210" s="19">
        <f t="shared" si="117"/>
        <v>30.889919297298057</v>
      </c>
      <c r="K210" s="19">
        <f t="shared" si="118"/>
        <v>1.4506671154068866</v>
      </c>
      <c r="L210" s="19">
        <f t="shared" si="119"/>
        <v>14.507892295407952</v>
      </c>
      <c r="M210" s="19">
        <f t="shared" si="120"/>
        <v>14.507892295407952</v>
      </c>
      <c r="N210" s="19">
        <f t="shared" si="121"/>
        <v>14.507892295407952</v>
      </c>
      <c r="O210" s="16"/>
      <c r="P210" s="19">
        <f t="shared" si="122"/>
        <v>147.2364997267203</v>
      </c>
      <c r="Q210" s="19">
        <f t="shared" si="123"/>
        <v>728.49024759049098</v>
      </c>
      <c r="R210" s="19">
        <f t="shared" si="124"/>
        <v>0</v>
      </c>
      <c r="S210" s="19">
        <f t="shared" si="125"/>
        <v>0</v>
      </c>
      <c r="T210" s="19">
        <f t="shared" si="126"/>
        <v>0</v>
      </c>
      <c r="U210" s="16"/>
      <c r="V210" s="19">
        <f t="shared" si="127"/>
        <v>875.72674731721122</v>
      </c>
      <c r="W210" s="16"/>
      <c r="X210" s="19">
        <f t="shared" si="128"/>
        <v>1741.1214416743937</v>
      </c>
      <c r="Y210" s="19">
        <f t="shared" si="129"/>
        <v>41.72674731721122</v>
      </c>
      <c r="Z210" s="19"/>
      <c r="AA210" s="19">
        <f t="shared" si="130"/>
        <v>1.0308398053083734E-4</v>
      </c>
    </row>
    <row r="211" spans="2:27" x14ac:dyDescent="0.3">
      <c r="B211" s="27">
        <v>49.1</v>
      </c>
      <c r="C211" s="27">
        <v>863</v>
      </c>
      <c r="D211" s="19">
        <f t="shared" ref="D211:H211" si="163">1/C$23-LN(C$23)+$B211*C$22</f>
        <v>34.424063941839876</v>
      </c>
      <c r="E211" s="19">
        <f t="shared" si="163"/>
        <v>1.8254512377213052</v>
      </c>
      <c r="F211" s="19">
        <f t="shared" si="163"/>
        <v>17.212585092994047</v>
      </c>
      <c r="G211" s="19">
        <f t="shared" si="163"/>
        <v>17.212585092994047</v>
      </c>
      <c r="H211" s="19">
        <f t="shared" si="163"/>
        <v>17.212585092994047</v>
      </c>
      <c r="I211" s="16"/>
      <c r="J211" s="19">
        <f t="shared" si="117"/>
        <v>30.990386885900637</v>
      </c>
      <c r="K211" s="19">
        <f t="shared" si="118"/>
        <v>1.4523016174050682</v>
      </c>
      <c r="L211" s="19">
        <f t="shared" si="119"/>
        <v>14.535959544994675</v>
      </c>
      <c r="M211" s="19">
        <f t="shared" si="120"/>
        <v>14.535959544994675</v>
      </c>
      <c r="N211" s="19">
        <f t="shared" si="121"/>
        <v>14.535959544994675</v>
      </c>
      <c r="O211" s="16"/>
      <c r="P211" s="19">
        <f t="shared" si="122"/>
        <v>146.29826906825986</v>
      </c>
      <c r="Q211" s="19">
        <f t="shared" si="123"/>
        <v>727.18535860727707</v>
      </c>
      <c r="R211" s="19">
        <f t="shared" si="124"/>
        <v>0</v>
      </c>
      <c r="S211" s="19">
        <f t="shared" si="125"/>
        <v>0</v>
      </c>
      <c r="T211" s="19">
        <f t="shared" si="126"/>
        <v>0</v>
      </c>
      <c r="U211" s="16"/>
      <c r="V211" s="19">
        <f t="shared" si="127"/>
        <v>873.48362767553692</v>
      </c>
      <c r="W211" s="16"/>
      <c r="X211" s="19">
        <f t="shared" si="128"/>
        <v>109.9064492392837</v>
      </c>
      <c r="Y211" s="19">
        <f t="shared" si="129"/>
        <v>10.483627675536923</v>
      </c>
      <c r="Z211" s="19"/>
      <c r="AA211" s="19">
        <f t="shared" si="130"/>
        <v>2.5899312567597063E-5</v>
      </c>
    </row>
    <row r="212" spans="2:27" x14ac:dyDescent="0.3">
      <c r="B212" s="27">
        <v>49.4</v>
      </c>
      <c r="C212" s="27">
        <v>860</v>
      </c>
      <c r="D212" s="19">
        <f t="shared" ref="D212:H212" si="164">1/C$23-LN(C$23)+$B212*C$22</f>
        <v>34.527778692038041</v>
      </c>
      <c r="E212" s="19">
        <f t="shared" si="164"/>
        <v>1.8282118298164485</v>
      </c>
      <c r="F212" s="19">
        <f t="shared" si="164"/>
        <v>17.242585092994045</v>
      </c>
      <c r="G212" s="19">
        <f t="shared" si="164"/>
        <v>17.242585092994045</v>
      </c>
      <c r="H212" s="19">
        <f t="shared" si="164"/>
        <v>17.242585092994045</v>
      </c>
      <c r="I212" s="16"/>
      <c r="J212" s="19">
        <f t="shared" si="117"/>
        <v>31.090864656937651</v>
      </c>
      <c r="K212" s="19">
        <f t="shared" si="118"/>
        <v>1.4539368698841828</v>
      </c>
      <c r="L212" s="19">
        <f t="shared" si="119"/>
        <v>14.564030283353604</v>
      </c>
      <c r="M212" s="19">
        <f t="shared" si="120"/>
        <v>14.564030283353604</v>
      </c>
      <c r="N212" s="19">
        <f t="shared" si="121"/>
        <v>14.564030283353604</v>
      </c>
      <c r="O212" s="16"/>
      <c r="P212" s="19">
        <f t="shared" si="122"/>
        <v>145.36888491709075</v>
      </c>
      <c r="Q212" s="19">
        <f t="shared" si="123"/>
        <v>725.88345220909878</v>
      </c>
      <c r="R212" s="19">
        <f t="shared" si="124"/>
        <v>0</v>
      </c>
      <c r="S212" s="19">
        <f t="shared" si="125"/>
        <v>0</v>
      </c>
      <c r="T212" s="19">
        <f t="shared" si="126"/>
        <v>0</v>
      </c>
      <c r="U212" s="16"/>
      <c r="V212" s="19">
        <f t="shared" si="127"/>
        <v>871.25233712618956</v>
      </c>
      <c r="W212" s="16"/>
      <c r="X212" s="19">
        <f t="shared" si="128"/>
        <v>126.6150908014239</v>
      </c>
      <c r="Y212" s="19">
        <f t="shared" si="129"/>
        <v>11.252337126189559</v>
      </c>
      <c r="Z212" s="19"/>
      <c r="AA212" s="19">
        <f t="shared" si="130"/>
        <v>2.7798373365280229E-5</v>
      </c>
    </row>
    <row r="213" spans="2:27" x14ac:dyDescent="0.3">
      <c r="B213" s="27">
        <v>49.699999999999996</v>
      </c>
      <c r="C213" s="27">
        <v>879</v>
      </c>
      <c r="D213" s="19">
        <f t="shared" ref="D213:H213" si="165">1/C$23-LN(C$23)+$B213*C$22</f>
        <v>34.631493442236206</v>
      </c>
      <c r="E213" s="19">
        <f t="shared" si="165"/>
        <v>1.8309724219115915</v>
      </c>
      <c r="F213" s="19">
        <f t="shared" si="165"/>
        <v>17.272585092994046</v>
      </c>
      <c r="G213" s="19">
        <f t="shared" si="165"/>
        <v>17.272585092994046</v>
      </c>
      <c r="H213" s="19">
        <f t="shared" si="165"/>
        <v>17.272585092994046</v>
      </c>
      <c r="I213" s="16"/>
      <c r="J213" s="19">
        <f t="shared" si="117"/>
        <v>31.191352547767757</v>
      </c>
      <c r="K213" s="19">
        <f t="shared" si="118"/>
        <v>1.4555728721882486</v>
      </c>
      <c r="L213" s="19">
        <f t="shared" si="119"/>
        <v>14.592104498342939</v>
      </c>
      <c r="M213" s="19">
        <f t="shared" si="120"/>
        <v>14.592104498342939</v>
      </c>
      <c r="N213" s="19">
        <f t="shared" si="121"/>
        <v>14.592104498342939</v>
      </c>
      <c r="O213" s="16"/>
      <c r="P213" s="19">
        <f t="shared" si="122"/>
        <v>144.44823727511067</v>
      </c>
      <c r="Q213" s="19">
        <f t="shared" si="123"/>
        <v>724.58452047596279</v>
      </c>
      <c r="R213" s="19">
        <f t="shared" si="124"/>
        <v>0</v>
      </c>
      <c r="S213" s="19">
        <f t="shared" si="125"/>
        <v>0</v>
      </c>
      <c r="T213" s="19">
        <f t="shared" si="126"/>
        <v>0</v>
      </c>
      <c r="U213" s="16"/>
      <c r="V213" s="19">
        <f t="shared" si="127"/>
        <v>869.0327577510734</v>
      </c>
      <c r="W213" s="16"/>
      <c r="X213" s="19">
        <f t="shared" si="128"/>
        <v>99.345918048787297</v>
      </c>
      <c r="Y213" s="19">
        <f t="shared" si="129"/>
        <v>9.9672422489265955</v>
      </c>
      <c r="Z213" s="19"/>
      <c r="AA213" s="19">
        <f t="shared" si="130"/>
        <v>2.4623606487311467E-5</v>
      </c>
    </row>
    <row r="214" spans="2:27" x14ac:dyDescent="0.3">
      <c r="B214" s="27">
        <v>50.000000000000007</v>
      </c>
      <c r="C214" s="27">
        <v>897</v>
      </c>
      <c r="D214" s="19">
        <f t="shared" ref="D214:H214" si="166">1/C$23-LN(C$23)+$B214*C$22</f>
        <v>34.735208192434378</v>
      </c>
      <c r="E214" s="19">
        <f t="shared" si="166"/>
        <v>1.8337330140067349</v>
      </c>
      <c r="F214" s="19">
        <f t="shared" si="166"/>
        <v>17.302585092994047</v>
      </c>
      <c r="G214" s="19">
        <f t="shared" si="166"/>
        <v>17.302585092994047</v>
      </c>
      <c r="H214" s="19">
        <f t="shared" si="166"/>
        <v>17.302585092994047</v>
      </c>
      <c r="I214" s="16"/>
      <c r="J214" s="19">
        <f t="shared" si="117"/>
        <v>31.291850496319508</v>
      </c>
      <c r="K214" s="19">
        <f t="shared" si="118"/>
        <v>1.4572096236616074</v>
      </c>
      <c r="L214" s="19">
        <f t="shared" si="119"/>
        <v>14.620182177882569</v>
      </c>
      <c r="M214" s="19">
        <f t="shared" si="120"/>
        <v>14.620182177882569</v>
      </c>
      <c r="N214" s="19">
        <f t="shared" si="121"/>
        <v>14.620182177882569</v>
      </c>
      <c r="O214" s="16"/>
      <c r="P214" s="19">
        <f t="shared" si="122"/>
        <v>143.53621783776995</v>
      </c>
      <c r="Q214" s="19">
        <f t="shared" si="123"/>
        <v>723.28855551091829</v>
      </c>
      <c r="R214" s="19">
        <f t="shared" si="124"/>
        <v>0</v>
      </c>
      <c r="S214" s="19">
        <f t="shared" si="125"/>
        <v>0</v>
      </c>
      <c r="T214" s="19">
        <f t="shared" si="126"/>
        <v>0</v>
      </c>
      <c r="U214" s="16"/>
      <c r="V214" s="19">
        <f t="shared" si="127"/>
        <v>866.82477334868827</v>
      </c>
      <c r="W214" s="16"/>
      <c r="X214" s="19">
        <f t="shared" si="128"/>
        <v>910.54430345803382</v>
      </c>
      <c r="Y214" s="19">
        <f t="shared" si="129"/>
        <v>30.175226651311732</v>
      </c>
      <c r="Z214" s="19"/>
      <c r="AA214" s="19">
        <f t="shared" si="130"/>
        <v>7.4546488203128803E-5</v>
      </c>
    </row>
    <row r="215" spans="2:27" x14ac:dyDescent="0.3">
      <c r="B215" s="27">
        <v>50.199999999999996</v>
      </c>
      <c r="C215" s="27">
        <v>844</v>
      </c>
      <c r="D215" s="19">
        <f t="shared" ref="D215:H215" si="167">1/C$23-LN(C$23)+$B215*C$22</f>
        <v>34.804351359233152</v>
      </c>
      <c r="E215" s="19">
        <f t="shared" si="167"/>
        <v>1.8355734087368303</v>
      </c>
      <c r="F215" s="19">
        <f t="shared" si="167"/>
        <v>17.322585092994046</v>
      </c>
      <c r="G215" s="19">
        <f t="shared" si="167"/>
        <v>17.322585092994046</v>
      </c>
      <c r="H215" s="19">
        <f t="shared" si="167"/>
        <v>17.322585092994046</v>
      </c>
      <c r="I215" s="16"/>
      <c r="J215" s="19">
        <f t="shared" si="117"/>
        <v>31.358854685912991</v>
      </c>
      <c r="K215" s="19">
        <f t="shared" si="118"/>
        <v>1.4583012071920409</v>
      </c>
      <c r="L215" s="19">
        <f t="shared" si="119"/>
        <v>14.638902549721427</v>
      </c>
      <c r="M215" s="19">
        <f t="shared" si="120"/>
        <v>14.638902549721427</v>
      </c>
      <c r="N215" s="19">
        <f t="shared" si="121"/>
        <v>14.638902549721427</v>
      </c>
      <c r="O215" s="16"/>
      <c r="P215" s="19">
        <f t="shared" si="122"/>
        <v>142.93294559634128</v>
      </c>
      <c r="Q215" s="19">
        <f t="shared" si="123"/>
        <v>722.42622318272288</v>
      </c>
      <c r="R215" s="19">
        <f t="shared" si="124"/>
        <v>0</v>
      </c>
      <c r="S215" s="19">
        <f t="shared" si="125"/>
        <v>0</v>
      </c>
      <c r="T215" s="19">
        <f t="shared" si="126"/>
        <v>0</v>
      </c>
      <c r="U215" s="16"/>
      <c r="V215" s="19">
        <f t="shared" si="127"/>
        <v>865.35916877906413</v>
      </c>
      <c r="W215" s="16"/>
      <c r="X215" s="19">
        <f t="shared" si="128"/>
        <v>456.21409093254806</v>
      </c>
      <c r="Y215" s="19">
        <f t="shared" si="129"/>
        <v>21.359168779064134</v>
      </c>
      <c r="Z215" s="19"/>
      <c r="AA215" s="19">
        <f t="shared" si="130"/>
        <v>5.2766828955961643E-5</v>
      </c>
    </row>
    <row r="216" spans="2:27" x14ac:dyDescent="0.3">
      <c r="B216" s="27">
        <v>50.500000000000007</v>
      </c>
      <c r="C216" s="27">
        <v>838</v>
      </c>
      <c r="D216" s="19">
        <f t="shared" ref="D216:H216" si="168">1/C$23-LN(C$23)+$B216*C$22</f>
        <v>34.908066109431317</v>
      </c>
      <c r="E216" s="19">
        <f t="shared" si="168"/>
        <v>1.8383340008319735</v>
      </c>
      <c r="F216" s="19">
        <f t="shared" si="168"/>
        <v>17.352585092994047</v>
      </c>
      <c r="G216" s="19">
        <f t="shared" si="168"/>
        <v>17.352585092994047</v>
      </c>
      <c r="H216" s="19">
        <f t="shared" si="168"/>
        <v>17.352585092994047</v>
      </c>
      <c r="I216" s="16"/>
      <c r="J216" s="19">
        <f t="shared" si="117"/>
        <v>31.45936926092385</v>
      </c>
      <c r="K216" s="19">
        <f t="shared" si="118"/>
        <v>1.4599392058247516</v>
      </c>
      <c r="L216" s="19">
        <f t="shared" si="119"/>
        <v>14.666985976833168</v>
      </c>
      <c r="M216" s="19">
        <f t="shared" si="120"/>
        <v>14.666985976833168</v>
      </c>
      <c r="N216" s="19">
        <f t="shared" si="121"/>
        <v>14.666985976833168</v>
      </c>
      <c r="O216" s="16"/>
      <c r="P216" s="19">
        <f t="shared" si="122"/>
        <v>142.03507032502614</v>
      </c>
      <c r="Q216" s="19">
        <f t="shared" si="123"/>
        <v>721.1351853447469</v>
      </c>
      <c r="R216" s="19">
        <f t="shared" si="124"/>
        <v>0</v>
      </c>
      <c r="S216" s="19">
        <f t="shared" si="125"/>
        <v>0</v>
      </c>
      <c r="T216" s="19">
        <f t="shared" si="126"/>
        <v>0</v>
      </c>
      <c r="U216" s="16"/>
      <c r="V216" s="19">
        <f t="shared" si="127"/>
        <v>863.17025566977304</v>
      </c>
      <c r="W216" s="16"/>
      <c r="X216" s="19">
        <f t="shared" si="128"/>
        <v>633.54177048174199</v>
      </c>
      <c r="Y216" s="19">
        <f t="shared" si="129"/>
        <v>25.170255669773042</v>
      </c>
      <c r="Z216" s="19"/>
      <c r="AA216" s="19">
        <f t="shared" si="130"/>
        <v>6.2181941134646147E-5</v>
      </c>
    </row>
    <row r="217" spans="2:27" x14ac:dyDescent="0.3">
      <c r="B217" s="27">
        <v>50.800000000000004</v>
      </c>
      <c r="C217" s="27">
        <v>904</v>
      </c>
      <c r="D217" s="19">
        <f t="shared" ref="D217:H217" si="169">1/C$23-LN(C$23)+$B217*C$22</f>
        <v>35.011780859629482</v>
      </c>
      <c r="E217" s="19">
        <f t="shared" si="169"/>
        <v>1.8410945929271165</v>
      </c>
      <c r="F217" s="19">
        <f t="shared" si="169"/>
        <v>17.382585092994045</v>
      </c>
      <c r="G217" s="19">
        <f t="shared" si="169"/>
        <v>17.382585092994045</v>
      </c>
      <c r="H217" s="19">
        <f t="shared" si="169"/>
        <v>17.382585092994045</v>
      </c>
      <c r="I217" s="16"/>
      <c r="J217" s="19">
        <f t="shared" si="117"/>
        <v>31.559893730867014</v>
      </c>
      <c r="K217" s="19">
        <f t="shared" si="118"/>
        <v>1.461577951879923</v>
      </c>
      <c r="L217" s="19">
        <f t="shared" si="119"/>
        <v>14.695072836580147</v>
      </c>
      <c r="M217" s="19">
        <f t="shared" si="120"/>
        <v>14.695072836580147</v>
      </c>
      <c r="N217" s="19">
        <f t="shared" si="121"/>
        <v>14.695072836580147</v>
      </c>
      <c r="O217" s="16"/>
      <c r="P217" s="19">
        <f t="shared" si="122"/>
        <v>141.14554249193273</v>
      </c>
      <c r="Q217" s="19">
        <f t="shared" si="123"/>
        <v>719.84709332844648</v>
      </c>
      <c r="R217" s="19">
        <f t="shared" si="124"/>
        <v>0</v>
      </c>
      <c r="S217" s="19">
        <f t="shared" si="125"/>
        <v>0</v>
      </c>
      <c r="T217" s="19">
        <f t="shared" si="126"/>
        <v>0</v>
      </c>
      <c r="U217" s="16"/>
      <c r="V217" s="19">
        <f t="shared" si="127"/>
        <v>860.99263582037918</v>
      </c>
      <c r="W217" s="16"/>
      <c r="X217" s="19">
        <f t="shared" si="128"/>
        <v>1849.6333736785323</v>
      </c>
      <c r="Y217" s="19">
        <f t="shared" si="129"/>
        <v>43.007364179620822</v>
      </c>
      <c r="Z217" s="19"/>
      <c r="AA217" s="19">
        <f t="shared" si="130"/>
        <v>1.0624768468224245E-4</v>
      </c>
    </row>
    <row r="218" spans="2:27" x14ac:dyDescent="0.3">
      <c r="B218" s="27">
        <v>51.1</v>
      </c>
      <c r="C218" s="27">
        <v>844</v>
      </c>
      <c r="D218" s="19">
        <f t="shared" ref="D218:H218" si="170">1/C$23-LN(C$23)+$B218*C$22</f>
        <v>35.115495609827647</v>
      </c>
      <c r="E218" s="19">
        <f t="shared" si="170"/>
        <v>1.8438551850222598</v>
      </c>
      <c r="F218" s="19">
        <f t="shared" si="170"/>
        <v>17.412585092994046</v>
      </c>
      <c r="G218" s="19">
        <f t="shared" si="170"/>
        <v>17.412585092994046</v>
      </c>
      <c r="H218" s="19">
        <f t="shared" si="170"/>
        <v>17.412585092994046</v>
      </c>
      <c r="I218" s="16"/>
      <c r="J218" s="19">
        <f t="shared" si="117"/>
        <v>31.660428035702971</v>
      </c>
      <c r="K218" s="19">
        <f t="shared" si="118"/>
        <v>1.4632174447030935</v>
      </c>
      <c r="L218" s="19">
        <f t="shared" si="119"/>
        <v>14.723163117105038</v>
      </c>
      <c r="M218" s="19">
        <f t="shared" si="120"/>
        <v>14.723163117105038</v>
      </c>
      <c r="N218" s="19">
        <f t="shared" si="121"/>
        <v>14.723163117105038</v>
      </c>
      <c r="O218" s="16"/>
      <c r="P218" s="19">
        <f t="shared" si="122"/>
        <v>140.26425974170976</v>
      </c>
      <c r="Q218" s="19">
        <f t="shared" si="123"/>
        <v>718.56193932076189</v>
      </c>
      <c r="R218" s="19">
        <f t="shared" si="124"/>
        <v>0</v>
      </c>
      <c r="S218" s="19">
        <f t="shared" si="125"/>
        <v>0</v>
      </c>
      <c r="T218" s="19">
        <f t="shared" si="126"/>
        <v>0</v>
      </c>
      <c r="U218" s="16"/>
      <c r="V218" s="19">
        <f t="shared" si="127"/>
        <v>858.82619906247169</v>
      </c>
      <c r="W218" s="16"/>
      <c r="X218" s="19">
        <f t="shared" si="128"/>
        <v>219.81617864003633</v>
      </c>
      <c r="Y218" s="19">
        <f t="shared" si="129"/>
        <v>14.826199062471687</v>
      </c>
      <c r="Z218" s="19"/>
      <c r="AA218" s="19">
        <f t="shared" si="130"/>
        <v>3.6627432372897834E-5</v>
      </c>
    </row>
    <row r="219" spans="2:27" x14ac:dyDescent="0.3">
      <c r="B219" s="27">
        <v>51.4</v>
      </c>
      <c r="C219" s="27">
        <v>880</v>
      </c>
      <c r="D219" s="19">
        <f t="shared" ref="D219:H219" si="171">1/C$23-LN(C$23)+$B219*C$22</f>
        <v>35.219210360025812</v>
      </c>
      <c r="E219" s="19">
        <f t="shared" si="171"/>
        <v>1.8466157771174028</v>
      </c>
      <c r="F219" s="19">
        <f t="shared" si="171"/>
        <v>17.442585092994044</v>
      </c>
      <c r="G219" s="19">
        <f t="shared" si="171"/>
        <v>17.442585092994044</v>
      </c>
      <c r="H219" s="19">
        <f t="shared" si="171"/>
        <v>17.442585092994044</v>
      </c>
      <c r="I219" s="16"/>
      <c r="J219" s="19">
        <f t="shared" si="117"/>
        <v>31.760972115931072</v>
      </c>
      <c r="K219" s="19">
        <f t="shared" si="118"/>
        <v>1.4648576836401308</v>
      </c>
      <c r="L219" s="19">
        <f t="shared" si="119"/>
        <v>14.751256806610327</v>
      </c>
      <c r="M219" s="19">
        <f t="shared" si="120"/>
        <v>14.751256806610327</v>
      </c>
      <c r="N219" s="19">
        <f t="shared" si="121"/>
        <v>14.751256806610327</v>
      </c>
      <c r="O219" s="16"/>
      <c r="P219" s="19">
        <f t="shared" si="122"/>
        <v>139.39112127327905</v>
      </c>
      <c r="Q219" s="19">
        <f t="shared" si="123"/>
        <v>717.27971553135012</v>
      </c>
      <c r="R219" s="19">
        <f t="shared" si="124"/>
        <v>0</v>
      </c>
      <c r="S219" s="19">
        <f t="shared" si="125"/>
        <v>0</v>
      </c>
      <c r="T219" s="19">
        <f t="shared" si="126"/>
        <v>0</v>
      </c>
      <c r="U219" s="16"/>
      <c r="V219" s="19">
        <f t="shared" si="127"/>
        <v>856.67083680462918</v>
      </c>
      <c r="W219" s="16"/>
      <c r="X219" s="19">
        <f t="shared" si="128"/>
        <v>544.2498553962447</v>
      </c>
      <c r="Y219" s="19">
        <f t="shared" si="129"/>
        <v>23.329163195370825</v>
      </c>
      <c r="Z219" s="19"/>
      <c r="AA219" s="19">
        <f t="shared" si="130"/>
        <v>5.7633608159061761E-5</v>
      </c>
    </row>
    <row r="220" spans="2:27" x14ac:dyDescent="0.3">
      <c r="B220" s="27">
        <v>51.699999999999996</v>
      </c>
      <c r="C220" s="27">
        <v>866</v>
      </c>
      <c r="D220" s="19">
        <f t="shared" ref="D220:H220" si="172">1/C$23-LN(C$23)+$B220*C$22</f>
        <v>35.322925110223977</v>
      </c>
      <c r="E220" s="19">
        <f t="shared" si="172"/>
        <v>1.849376369212546</v>
      </c>
      <c r="F220" s="19">
        <f t="shared" si="172"/>
        <v>17.472585092994045</v>
      </c>
      <c r="G220" s="19">
        <f t="shared" si="172"/>
        <v>17.472585092994045</v>
      </c>
      <c r="H220" s="19">
        <f t="shared" si="172"/>
        <v>17.472585092994045</v>
      </c>
      <c r="I220" s="16"/>
      <c r="J220" s="19">
        <f t="shared" si="117"/>
        <v>31.861525912583158</v>
      </c>
      <c r="K220" s="19">
        <f t="shared" si="118"/>
        <v>1.4664986680372332</v>
      </c>
      <c r="L220" s="19">
        <f t="shared" si="119"/>
        <v>14.779353893357936</v>
      </c>
      <c r="M220" s="19">
        <f t="shared" si="120"/>
        <v>14.779353893357936</v>
      </c>
      <c r="N220" s="19">
        <f t="shared" si="121"/>
        <v>14.779353893357936</v>
      </c>
      <c r="O220" s="16"/>
      <c r="P220" s="19">
        <f t="shared" si="122"/>
        <v>138.52602781174767</v>
      </c>
      <c r="Q220" s="19">
        <f t="shared" si="123"/>
        <v>716.00041419251716</v>
      </c>
      <c r="R220" s="19">
        <f t="shared" si="124"/>
        <v>0</v>
      </c>
      <c r="S220" s="19">
        <f t="shared" si="125"/>
        <v>0</v>
      </c>
      <c r="T220" s="19">
        <f t="shared" si="126"/>
        <v>0</v>
      </c>
      <c r="U220" s="16"/>
      <c r="V220" s="19">
        <f t="shared" si="127"/>
        <v>854.52644200426482</v>
      </c>
      <c r="W220" s="16"/>
      <c r="X220" s="19">
        <f t="shared" si="128"/>
        <v>131.64253308149861</v>
      </c>
      <c r="Y220" s="19">
        <f t="shared" si="129"/>
        <v>11.473557995735177</v>
      </c>
      <c r="Z220" s="19"/>
      <c r="AA220" s="19">
        <f t="shared" si="130"/>
        <v>2.8344889192068607E-5</v>
      </c>
    </row>
    <row r="221" spans="2:27" x14ac:dyDescent="0.3">
      <c r="B221" s="27">
        <v>52.000000000000007</v>
      </c>
      <c r="C221" s="27">
        <v>858</v>
      </c>
      <c r="D221" s="19">
        <f t="shared" ref="D221:H221" si="173">1/C$23-LN(C$23)+$B221*C$22</f>
        <v>35.426639860422142</v>
      </c>
      <c r="E221" s="19">
        <f t="shared" si="173"/>
        <v>1.8521369613076892</v>
      </c>
      <c r="F221" s="19">
        <f t="shared" si="173"/>
        <v>17.502585092994046</v>
      </c>
      <c r="G221" s="19">
        <f t="shared" si="173"/>
        <v>17.502585092994046</v>
      </c>
      <c r="H221" s="19">
        <f t="shared" si="173"/>
        <v>17.502585092994046</v>
      </c>
      <c r="I221" s="16"/>
      <c r="J221" s="19">
        <f t="shared" si="117"/>
        <v>31.962089367217288</v>
      </c>
      <c r="K221" s="19">
        <f t="shared" si="118"/>
        <v>1.4681403972409299</v>
      </c>
      <c r="L221" s="19">
        <f t="shared" si="119"/>
        <v>14.807454365668825</v>
      </c>
      <c r="M221" s="19">
        <f t="shared" si="120"/>
        <v>14.807454365668825</v>
      </c>
      <c r="N221" s="19">
        <f t="shared" si="121"/>
        <v>14.807454365668825</v>
      </c>
      <c r="O221" s="16"/>
      <c r="P221" s="19">
        <f t="shared" si="122"/>
        <v>137.66888158090759</v>
      </c>
      <c r="Q221" s="19">
        <f t="shared" si="123"/>
        <v>714.72402755914845</v>
      </c>
      <c r="R221" s="19">
        <f t="shared" si="124"/>
        <v>0</v>
      </c>
      <c r="S221" s="19">
        <f t="shared" si="125"/>
        <v>0</v>
      </c>
      <c r="T221" s="19">
        <f t="shared" si="126"/>
        <v>0</v>
      </c>
      <c r="U221" s="16"/>
      <c r="V221" s="19">
        <f t="shared" si="127"/>
        <v>852.39290914005608</v>
      </c>
      <c r="W221" s="16"/>
      <c r="X221" s="19">
        <f t="shared" si="128"/>
        <v>31.439467911666689</v>
      </c>
      <c r="Y221" s="19">
        <f t="shared" si="129"/>
        <v>5.6070908599439235</v>
      </c>
      <c r="Z221" s="19"/>
      <c r="AA221" s="19">
        <f t="shared" si="130"/>
        <v>1.3852056107969974E-5</v>
      </c>
    </row>
    <row r="222" spans="2:27" x14ac:dyDescent="0.3">
      <c r="B222" s="27">
        <v>52.199999999999996</v>
      </c>
      <c r="C222" s="27">
        <v>798</v>
      </c>
      <c r="D222" s="19">
        <f t="shared" ref="D222:H222" si="174">1/C$23-LN(C$23)+$B222*C$22</f>
        <v>35.495783027220916</v>
      </c>
      <c r="E222" s="19">
        <f t="shared" si="174"/>
        <v>1.8539773560377846</v>
      </c>
      <c r="F222" s="19">
        <f t="shared" si="174"/>
        <v>17.522585092994046</v>
      </c>
      <c r="G222" s="19">
        <f t="shared" si="174"/>
        <v>17.522585092994046</v>
      </c>
      <c r="H222" s="19">
        <f t="shared" si="174"/>
        <v>17.522585092994046</v>
      </c>
      <c r="I222" s="16"/>
      <c r="J222" s="19">
        <f t="shared" si="117"/>
        <v>32.029137007227654</v>
      </c>
      <c r="K222" s="19">
        <f t="shared" si="118"/>
        <v>1.469235296835619</v>
      </c>
      <c r="L222" s="19">
        <f t="shared" si="119"/>
        <v>14.826189889003706</v>
      </c>
      <c r="M222" s="19">
        <f t="shared" si="120"/>
        <v>14.826189889003706</v>
      </c>
      <c r="N222" s="19">
        <f t="shared" si="121"/>
        <v>14.826189889003706</v>
      </c>
      <c r="O222" s="16"/>
      <c r="P222" s="19">
        <f t="shared" si="122"/>
        <v>137.10181827098987</v>
      </c>
      <c r="Q222" s="19">
        <f t="shared" si="123"/>
        <v>713.87471860315975</v>
      </c>
      <c r="R222" s="19">
        <f t="shared" si="124"/>
        <v>0</v>
      </c>
      <c r="S222" s="19">
        <f t="shared" si="125"/>
        <v>0</v>
      </c>
      <c r="T222" s="19">
        <f t="shared" si="126"/>
        <v>0</v>
      </c>
      <c r="U222" s="16"/>
      <c r="V222" s="19">
        <f t="shared" si="127"/>
        <v>850.97653687414959</v>
      </c>
      <c r="W222" s="16"/>
      <c r="X222" s="19">
        <f t="shared" si="128"/>
        <v>2806.5134591781311</v>
      </c>
      <c r="Y222" s="19">
        <f t="shared" si="129"/>
        <v>52.976536874149588</v>
      </c>
      <c r="Z222" s="19"/>
      <c r="AA222" s="19">
        <f t="shared" si="130"/>
        <v>1.3087606024525869E-4</v>
      </c>
    </row>
    <row r="223" spans="2:27" x14ac:dyDescent="0.3">
      <c r="B223" s="27">
        <v>52.500000000000007</v>
      </c>
      <c r="C223" s="27">
        <v>899</v>
      </c>
      <c r="D223" s="19">
        <f t="shared" ref="D223:H223" si="175">1/C$23-LN(C$23)+$B223*C$22</f>
        <v>35.599497777419089</v>
      </c>
      <c r="E223" s="19">
        <f t="shared" si="175"/>
        <v>1.8567379481329278</v>
      </c>
      <c r="F223" s="19">
        <f t="shared" si="175"/>
        <v>17.552585092994047</v>
      </c>
      <c r="G223" s="19">
        <f t="shared" si="175"/>
        <v>17.552585092994047</v>
      </c>
      <c r="H223" s="19">
        <f t="shared" si="175"/>
        <v>17.552585092994047</v>
      </c>
      <c r="I223" s="16"/>
      <c r="J223" s="19">
        <f t="shared" si="117"/>
        <v>32.12971643003717</v>
      </c>
      <c r="K223" s="19">
        <f t="shared" si="118"/>
        <v>1.47087826593239</v>
      </c>
      <c r="L223" s="19">
        <f t="shared" si="119"/>
        <v>14.854295978125762</v>
      </c>
      <c r="M223" s="19">
        <f t="shared" si="120"/>
        <v>14.854295978125762</v>
      </c>
      <c r="N223" s="19">
        <f t="shared" si="121"/>
        <v>14.854295978125762</v>
      </c>
      <c r="O223" s="16"/>
      <c r="P223" s="19">
        <f t="shared" si="122"/>
        <v>136.25770412959062</v>
      </c>
      <c r="Q223" s="19">
        <f t="shared" si="123"/>
        <v>712.60317266197444</v>
      </c>
      <c r="R223" s="19">
        <f t="shared" si="124"/>
        <v>0</v>
      </c>
      <c r="S223" s="19">
        <f t="shared" si="125"/>
        <v>0</v>
      </c>
      <c r="T223" s="19">
        <f t="shared" si="126"/>
        <v>0</v>
      </c>
      <c r="U223" s="16"/>
      <c r="V223" s="19">
        <f t="shared" si="127"/>
        <v>848.86087679156503</v>
      </c>
      <c r="W223" s="16"/>
      <c r="X223" s="19">
        <f t="shared" si="128"/>
        <v>2513.931676110622</v>
      </c>
      <c r="Y223" s="19">
        <f t="shared" si="129"/>
        <v>50.139123208434967</v>
      </c>
      <c r="Z223" s="19"/>
      <c r="AA223" s="19">
        <f t="shared" si="130"/>
        <v>1.2386636229658077E-4</v>
      </c>
    </row>
    <row r="224" spans="2:27" x14ac:dyDescent="0.3">
      <c r="B224" s="27">
        <v>52.800000000000004</v>
      </c>
      <c r="C224" s="27">
        <v>861</v>
      </c>
      <c r="D224" s="19">
        <f t="shared" ref="D224:H224" si="176">1/C$23-LN(C$23)+$B224*C$22</f>
        <v>35.703212527617254</v>
      </c>
      <c r="E224" s="19">
        <f t="shared" si="176"/>
        <v>1.859498540228071</v>
      </c>
      <c r="F224" s="19">
        <f t="shared" si="176"/>
        <v>17.582585092994044</v>
      </c>
      <c r="G224" s="19">
        <f t="shared" si="176"/>
        <v>17.582585092994044</v>
      </c>
      <c r="H224" s="19">
        <f t="shared" si="176"/>
        <v>17.582585092994044</v>
      </c>
      <c r="I224" s="16"/>
      <c r="J224" s="19">
        <f t="shared" si="117"/>
        <v>32.230305357509337</v>
      </c>
      <c r="K224" s="19">
        <f t="shared" si="118"/>
        <v>1.4725219780948007</v>
      </c>
      <c r="L224" s="19">
        <f t="shared" si="119"/>
        <v>14.88240542195269</v>
      </c>
      <c r="M224" s="19">
        <f t="shared" si="120"/>
        <v>14.88240542195269</v>
      </c>
      <c r="N224" s="19">
        <f t="shared" si="121"/>
        <v>14.88240542195269</v>
      </c>
      <c r="O224" s="16"/>
      <c r="P224" s="19">
        <f t="shared" si="122"/>
        <v>135.42128360622883</v>
      </c>
      <c r="Q224" s="19">
        <f t="shared" si="123"/>
        <v>711.33452088248077</v>
      </c>
      <c r="R224" s="19">
        <f t="shared" si="124"/>
        <v>0</v>
      </c>
      <c r="S224" s="19">
        <f t="shared" si="125"/>
        <v>0</v>
      </c>
      <c r="T224" s="19">
        <f t="shared" si="126"/>
        <v>0</v>
      </c>
      <c r="U224" s="16"/>
      <c r="V224" s="19">
        <f t="shared" si="127"/>
        <v>846.7558044887096</v>
      </c>
      <c r="W224" s="16"/>
      <c r="X224" s="19">
        <f t="shared" si="128"/>
        <v>202.89710576386557</v>
      </c>
      <c r="Y224" s="19">
        <f t="shared" si="129"/>
        <v>14.2441955112904</v>
      </c>
      <c r="Z224" s="19"/>
      <c r="AA224" s="19">
        <f t="shared" si="130"/>
        <v>3.5189619780347552E-5</v>
      </c>
    </row>
    <row r="225" spans="2:27" x14ac:dyDescent="0.3">
      <c r="B225" s="27">
        <v>53.1</v>
      </c>
      <c r="C225" s="27">
        <v>849</v>
      </c>
      <c r="D225" s="19">
        <f t="shared" ref="D225:H225" si="177">1/C$23-LN(C$23)+$B225*C$22</f>
        <v>35.806927277815419</v>
      </c>
      <c r="E225" s="19">
        <f t="shared" si="177"/>
        <v>1.8622591323232141</v>
      </c>
      <c r="F225" s="19">
        <f t="shared" si="177"/>
        <v>17.612585092994046</v>
      </c>
      <c r="G225" s="19">
        <f t="shared" si="177"/>
        <v>17.612585092994046</v>
      </c>
      <c r="H225" s="19">
        <f t="shared" si="177"/>
        <v>17.612585092994046</v>
      </c>
      <c r="I225" s="16"/>
      <c r="J225" s="19">
        <f t="shared" si="117"/>
        <v>32.330903733079367</v>
      </c>
      <c r="K225" s="19">
        <f t="shared" si="118"/>
        <v>1.4741664326706077</v>
      </c>
      <c r="L225" s="19">
        <f t="shared" si="119"/>
        <v>14.910518209018642</v>
      </c>
      <c r="M225" s="19">
        <f t="shared" si="120"/>
        <v>14.910518209018642</v>
      </c>
      <c r="N225" s="19">
        <f t="shared" si="121"/>
        <v>14.910518209018642</v>
      </c>
      <c r="O225" s="16"/>
      <c r="P225" s="19">
        <f t="shared" si="122"/>
        <v>134.59246419372326</v>
      </c>
      <c r="Q225" s="19">
        <f t="shared" si="123"/>
        <v>710.06875560177036</v>
      </c>
      <c r="R225" s="19">
        <f t="shared" si="124"/>
        <v>0</v>
      </c>
      <c r="S225" s="19">
        <f t="shared" si="125"/>
        <v>0</v>
      </c>
      <c r="T225" s="19">
        <f t="shared" si="126"/>
        <v>0</v>
      </c>
      <c r="U225" s="16"/>
      <c r="V225" s="19">
        <f t="shared" si="127"/>
        <v>844.66121979549359</v>
      </c>
      <c r="W225" s="16"/>
      <c r="X225" s="19">
        <f t="shared" si="128"/>
        <v>18.825013663016652</v>
      </c>
      <c r="Y225" s="19">
        <f t="shared" si="129"/>
        <v>4.3387802045064063</v>
      </c>
      <c r="Z225" s="19"/>
      <c r="AA225" s="19">
        <f t="shared" si="130"/>
        <v>1.071875386616675E-5</v>
      </c>
    </row>
    <row r="226" spans="2:27" x14ac:dyDescent="0.3">
      <c r="B226" s="27">
        <v>53.4</v>
      </c>
      <c r="C226" s="27">
        <v>872</v>
      </c>
      <c r="D226" s="19">
        <f t="shared" ref="D226:H226" si="178">1/C$23-LN(C$23)+$B226*C$22</f>
        <v>35.910642028013584</v>
      </c>
      <c r="E226" s="19">
        <f t="shared" si="178"/>
        <v>1.8650197244183573</v>
      </c>
      <c r="F226" s="19">
        <f t="shared" si="178"/>
        <v>17.642585092994047</v>
      </c>
      <c r="G226" s="19">
        <f t="shared" si="178"/>
        <v>17.642585092994047</v>
      </c>
      <c r="H226" s="19">
        <f t="shared" si="178"/>
        <v>17.642585092994047</v>
      </c>
      <c r="I226" s="16"/>
      <c r="J226" s="19">
        <f t="shared" si="117"/>
        <v>32.431511500680557</v>
      </c>
      <c r="K226" s="19">
        <f t="shared" si="118"/>
        <v>1.4758116290079062</v>
      </c>
      <c r="L226" s="19">
        <f t="shared" si="119"/>
        <v>14.93863432791502</v>
      </c>
      <c r="M226" s="19">
        <f t="shared" si="120"/>
        <v>14.93863432791502</v>
      </c>
      <c r="N226" s="19">
        <f t="shared" si="121"/>
        <v>14.93863432791502</v>
      </c>
      <c r="O226" s="16"/>
      <c r="P226" s="19">
        <f t="shared" si="122"/>
        <v>133.7711547626142</v>
      </c>
      <c r="Q226" s="19">
        <f t="shared" si="123"/>
        <v>708.80586917919493</v>
      </c>
      <c r="R226" s="19">
        <f t="shared" si="124"/>
        <v>0</v>
      </c>
      <c r="S226" s="19">
        <f t="shared" si="125"/>
        <v>0</v>
      </c>
      <c r="T226" s="19">
        <f t="shared" si="126"/>
        <v>0</v>
      </c>
      <c r="U226" s="16"/>
      <c r="V226" s="19">
        <f t="shared" si="127"/>
        <v>842.5770239418091</v>
      </c>
      <c r="W226" s="16"/>
      <c r="X226" s="19">
        <f t="shared" si="128"/>
        <v>865.71152012087475</v>
      </c>
      <c r="Y226" s="19">
        <f t="shared" si="129"/>
        <v>29.422976058190898</v>
      </c>
      <c r="Z226" s="19"/>
      <c r="AA226" s="19">
        <f t="shared" si="130"/>
        <v>7.2688088244318841E-5</v>
      </c>
    </row>
    <row r="227" spans="2:27" x14ac:dyDescent="0.3">
      <c r="B227" s="27">
        <v>53.699999999999996</v>
      </c>
      <c r="C227" s="27">
        <v>799</v>
      </c>
      <c r="D227" s="19">
        <f t="shared" ref="D227:H227" si="179">1/C$23-LN(C$23)+$B227*C$22</f>
        <v>36.014356778211749</v>
      </c>
      <c r="E227" s="19">
        <f t="shared" si="179"/>
        <v>1.8677803165135005</v>
      </c>
      <c r="F227" s="19">
        <f t="shared" si="179"/>
        <v>17.672585092994044</v>
      </c>
      <c r="G227" s="19">
        <f t="shared" si="179"/>
        <v>17.672585092994044</v>
      </c>
      <c r="H227" s="19">
        <f t="shared" si="179"/>
        <v>17.672585092994044</v>
      </c>
      <c r="I227" s="16"/>
      <c r="J227" s="19">
        <f t="shared" si="117"/>
        <v>32.532128604738517</v>
      </c>
      <c r="K227" s="19">
        <f t="shared" si="118"/>
        <v>1.4774575664551297</v>
      </c>
      <c r="L227" s="19">
        <f t="shared" si="119"/>
        <v>14.966753767290115</v>
      </c>
      <c r="M227" s="19">
        <f t="shared" si="120"/>
        <v>14.966753767290115</v>
      </c>
      <c r="N227" s="19">
        <f t="shared" si="121"/>
        <v>14.966753767290115</v>
      </c>
      <c r="O227" s="16"/>
      <c r="P227" s="19">
        <f t="shared" si="122"/>
        <v>132.95726553674078</v>
      </c>
      <c r="Q227" s="19">
        <f t="shared" si="123"/>
        <v>707.54585399629968</v>
      </c>
      <c r="R227" s="19">
        <f t="shared" si="124"/>
        <v>0</v>
      </c>
      <c r="S227" s="19">
        <f t="shared" si="125"/>
        <v>0</v>
      </c>
      <c r="T227" s="19">
        <f t="shared" si="126"/>
        <v>0</v>
      </c>
      <c r="U227" s="16"/>
      <c r="V227" s="19">
        <f t="shared" si="127"/>
        <v>840.50311953304049</v>
      </c>
      <c r="W227" s="16"/>
      <c r="X227" s="19">
        <f t="shared" si="128"/>
        <v>1722.5089309738471</v>
      </c>
      <c r="Y227" s="19">
        <f t="shared" si="129"/>
        <v>41.50311953304049</v>
      </c>
      <c r="Z227" s="19"/>
      <c r="AA227" s="19">
        <f t="shared" si="130"/>
        <v>1.0253151853387499E-4</v>
      </c>
    </row>
    <row r="228" spans="2:27" x14ac:dyDescent="0.3">
      <c r="B228" s="27">
        <v>54.000000000000007</v>
      </c>
      <c r="C228" s="27">
        <v>811</v>
      </c>
      <c r="D228" s="19">
        <f t="shared" ref="D228:H228" si="180">1/C$23-LN(C$23)+$B228*C$22</f>
        <v>36.118071528409914</v>
      </c>
      <c r="E228" s="19">
        <f t="shared" si="180"/>
        <v>1.8705409086086437</v>
      </c>
      <c r="F228" s="19">
        <f t="shared" si="180"/>
        <v>17.702585092994045</v>
      </c>
      <c r="G228" s="19">
        <f t="shared" si="180"/>
        <v>17.702585092994045</v>
      </c>
      <c r="H228" s="19">
        <f t="shared" si="180"/>
        <v>17.702585092994045</v>
      </c>
      <c r="I228" s="16"/>
      <c r="J228" s="19">
        <f t="shared" si="117"/>
        <v>32.632754990165445</v>
      </c>
      <c r="K228" s="19">
        <f t="shared" si="118"/>
        <v>1.4791042443610516</v>
      </c>
      <c r="L228" s="19">
        <f t="shared" si="119"/>
        <v>14.994876515848739</v>
      </c>
      <c r="M228" s="19">
        <f t="shared" si="120"/>
        <v>14.994876515848739</v>
      </c>
      <c r="N228" s="19">
        <f t="shared" si="121"/>
        <v>14.994876515848739</v>
      </c>
      <c r="O228" s="16"/>
      <c r="P228" s="19">
        <f t="shared" si="122"/>
        <v>132.15070806931979</v>
      </c>
      <c r="Q228" s="19">
        <f t="shared" si="123"/>
        <v>706.28870245675603</v>
      </c>
      <c r="R228" s="19">
        <f t="shared" si="124"/>
        <v>0</v>
      </c>
      <c r="S228" s="19">
        <f t="shared" si="125"/>
        <v>0</v>
      </c>
      <c r="T228" s="19">
        <f t="shared" si="126"/>
        <v>0</v>
      </c>
      <c r="U228" s="16"/>
      <c r="V228" s="19">
        <f t="shared" si="127"/>
        <v>838.43941052607579</v>
      </c>
      <c r="W228" s="16"/>
      <c r="X228" s="19">
        <f t="shared" si="128"/>
        <v>752.92125001851889</v>
      </c>
      <c r="Y228" s="19">
        <f t="shared" si="129"/>
        <v>27.43941052607579</v>
      </c>
      <c r="Z228" s="19"/>
      <c r="AA228" s="19">
        <f t="shared" si="130"/>
        <v>6.7787782233410255E-5</v>
      </c>
    </row>
    <row r="229" spans="2:27" x14ac:dyDescent="0.3">
      <c r="B229" s="27">
        <v>54.199999999999996</v>
      </c>
      <c r="C229" s="27">
        <v>843</v>
      </c>
      <c r="D229" s="19">
        <f t="shared" ref="D229:H229" si="181">1/C$23-LN(C$23)+$B229*C$22</f>
        <v>36.187214695208681</v>
      </c>
      <c r="E229" s="19">
        <f t="shared" si="181"/>
        <v>1.8723813033387391</v>
      </c>
      <c r="F229" s="19">
        <f t="shared" si="181"/>
        <v>17.722585092994045</v>
      </c>
      <c r="G229" s="19">
        <f t="shared" si="181"/>
        <v>17.722585092994045</v>
      </c>
      <c r="H229" s="19">
        <f t="shared" si="181"/>
        <v>17.722585092994045</v>
      </c>
      <c r="I229" s="16"/>
      <c r="J229" s="19">
        <f t="shared" si="117"/>
        <v>32.699844376446862</v>
      </c>
      <c r="K229" s="19">
        <f t="shared" si="118"/>
        <v>1.4802024406761707</v>
      </c>
      <c r="L229" s="19">
        <f t="shared" si="119"/>
        <v>15.013626847770668</v>
      </c>
      <c r="M229" s="19">
        <f t="shared" si="120"/>
        <v>15.013626847770668</v>
      </c>
      <c r="N229" s="19">
        <f t="shared" si="121"/>
        <v>15.013626847770668</v>
      </c>
      <c r="O229" s="16"/>
      <c r="P229" s="19">
        <f t="shared" si="122"/>
        <v>131.61703320462027</v>
      </c>
      <c r="Q229" s="19">
        <f t="shared" si="123"/>
        <v>705.45218860208081</v>
      </c>
      <c r="R229" s="19">
        <f t="shared" si="124"/>
        <v>0</v>
      </c>
      <c r="S229" s="19">
        <f t="shared" si="125"/>
        <v>0</v>
      </c>
      <c r="T229" s="19">
        <f t="shared" si="126"/>
        <v>0</v>
      </c>
      <c r="U229" s="16"/>
      <c r="V229" s="19">
        <f t="shared" si="127"/>
        <v>837.06922180670108</v>
      </c>
      <c r="W229" s="16"/>
      <c r="X229" s="19">
        <f t="shared" si="128"/>
        <v>35.174129978110003</v>
      </c>
      <c r="Y229" s="19">
        <f t="shared" si="129"/>
        <v>5.9307781932989201</v>
      </c>
      <c r="Z229" s="19"/>
      <c r="AA229" s="19">
        <f t="shared" si="130"/>
        <v>1.4651710548225903E-5</v>
      </c>
    </row>
    <row r="230" spans="2:27" x14ac:dyDescent="0.3">
      <c r="B230" s="27">
        <v>54.500000000000007</v>
      </c>
      <c r="C230" s="27">
        <v>779</v>
      </c>
      <c r="D230" s="19">
        <f t="shared" ref="D230:H230" si="182">1/C$23-LN(C$23)+$B230*C$22</f>
        <v>36.290929445406853</v>
      </c>
      <c r="E230" s="19">
        <f t="shared" si="182"/>
        <v>1.8751418954338823</v>
      </c>
      <c r="F230" s="19">
        <f t="shared" si="182"/>
        <v>17.752585092994046</v>
      </c>
      <c r="G230" s="19">
        <f t="shared" si="182"/>
        <v>17.752585092994046</v>
      </c>
      <c r="H230" s="19">
        <f t="shared" si="182"/>
        <v>17.752585092994046</v>
      </c>
      <c r="I230" s="16"/>
      <c r="J230" s="19">
        <f t="shared" si="117"/>
        <v>32.800486109708629</v>
      </c>
      <c r="K230" s="19">
        <f t="shared" si="118"/>
        <v>1.4818503512336803</v>
      </c>
      <c r="L230" s="19">
        <f t="shared" si="119"/>
        <v>15.041755086687081</v>
      </c>
      <c r="M230" s="19">
        <f t="shared" si="120"/>
        <v>15.041755086687081</v>
      </c>
      <c r="N230" s="19">
        <f t="shared" si="121"/>
        <v>15.041755086687081</v>
      </c>
      <c r="O230" s="16"/>
      <c r="P230" s="19">
        <f t="shared" si="122"/>
        <v>130.82250232282101</v>
      </c>
      <c r="Q230" s="19">
        <f t="shared" si="123"/>
        <v>704.19979298060798</v>
      </c>
      <c r="R230" s="19">
        <f t="shared" si="124"/>
        <v>0</v>
      </c>
      <c r="S230" s="19">
        <f t="shared" si="125"/>
        <v>0</v>
      </c>
      <c r="T230" s="19">
        <f t="shared" si="126"/>
        <v>0</v>
      </c>
      <c r="U230" s="16"/>
      <c r="V230" s="19">
        <f t="shared" si="127"/>
        <v>835.02229530342902</v>
      </c>
      <c r="W230" s="16"/>
      <c r="X230" s="19">
        <f t="shared" si="128"/>
        <v>3138.4975710646049</v>
      </c>
      <c r="Y230" s="19">
        <f t="shared" si="129"/>
        <v>56.022295303429019</v>
      </c>
      <c r="Z230" s="19"/>
      <c r="AA230" s="19">
        <f t="shared" si="130"/>
        <v>1.3840046420223739E-4</v>
      </c>
    </row>
    <row r="231" spans="2:27" x14ac:dyDescent="0.3">
      <c r="B231" s="27">
        <v>54.800000000000004</v>
      </c>
      <c r="C231" s="27">
        <v>861</v>
      </c>
      <c r="D231" s="19">
        <f t="shared" ref="D231:H231" si="183">1/C$23-LN(C$23)+$B231*C$22</f>
        <v>36.394644195605018</v>
      </c>
      <c r="E231" s="19">
        <f t="shared" si="183"/>
        <v>1.8779024875290253</v>
      </c>
      <c r="F231" s="19">
        <f t="shared" si="183"/>
        <v>17.782585092994047</v>
      </c>
      <c r="G231" s="19">
        <f t="shared" si="183"/>
        <v>17.782585092994047</v>
      </c>
      <c r="H231" s="19">
        <f t="shared" si="183"/>
        <v>17.782585092994047</v>
      </c>
      <c r="I231" s="16"/>
      <c r="J231" s="19">
        <f t="shared" si="117"/>
        <v>32.901136979775053</v>
      </c>
      <c r="K231" s="19">
        <f t="shared" si="118"/>
        <v>1.4834990005149551</v>
      </c>
      <c r="L231" s="19">
        <f t="shared" si="119"/>
        <v>15.069886604940024</v>
      </c>
      <c r="M231" s="19">
        <f t="shared" si="120"/>
        <v>15.069886604940024</v>
      </c>
      <c r="N231" s="19">
        <f t="shared" si="121"/>
        <v>15.069886604940024</v>
      </c>
      <c r="O231" s="16"/>
      <c r="P231" s="19">
        <f t="shared" si="122"/>
        <v>130.03507366387799</v>
      </c>
      <c r="Q231" s="19">
        <f t="shared" si="123"/>
        <v>702.95024085327054</v>
      </c>
      <c r="R231" s="19">
        <f t="shared" si="124"/>
        <v>0</v>
      </c>
      <c r="S231" s="19">
        <f t="shared" si="125"/>
        <v>0</v>
      </c>
      <c r="T231" s="19">
        <f t="shared" si="126"/>
        <v>0</v>
      </c>
      <c r="U231" s="16"/>
      <c r="V231" s="19">
        <f t="shared" si="127"/>
        <v>832.98531451714848</v>
      </c>
      <c r="W231" s="16"/>
      <c r="X231" s="19">
        <f t="shared" si="128"/>
        <v>784.82260270309166</v>
      </c>
      <c r="Y231" s="19">
        <f t="shared" si="129"/>
        <v>28.014685482851519</v>
      </c>
      <c r="Z231" s="19"/>
      <c r="AA231" s="19">
        <f t="shared" si="130"/>
        <v>6.9208972147719413E-5</v>
      </c>
    </row>
    <row r="232" spans="2:27" x14ac:dyDescent="0.3">
      <c r="B232" s="27">
        <v>55.1</v>
      </c>
      <c r="C232" s="27">
        <v>838</v>
      </c>
      <c r="D232" s="19">
        <f t="shared" ref="D232:H232" si="184">1/C$23-LN(C$23)+$B232*C$22</f>
        <v>36.498358945803183</v>
      </c>
      <c r="E232" s="19">
        <f t="shared" si="184"/>
        <v>1.8806630796241686</v>
      </c>
      <c r="F232" s="19">
        <f t="shared" si="184"/>
        <v>17.812585092994045</v>
      </c>
      <c r="G232" s="19">
        <f t="shared" si="184"/>
        <v>17.812585092994045</v>
      </c>
      <c r="H232" s="19">
        <f t="shared" si="184"/>
        <v>17.812585092994045</v>
      </c>
      <c r="I232" s="16"/>
      <c r="J232" s="19">
        <f t="shared" si="117"/>
        <v>33.001796933295097</v>
      </c>
      <c r="K232" s="19">
        <f t="shared" si="118"/>
        <v>1.4851483878700253</v>
      </c>
      <c r="L232" s="19">
        <f t="shared" si="119"/>
        <v>15.098021391438404</v>
      </c>
      <c r="M232" s="19">
        <f t="shared" si="120"/>
        <v>15.098021391438404</v>
      </c>
      <c r="N232" s="19">
        <f t="shared" si="121"/>
        <v>15.098021391438404</v>
      </c>
      <c r="O232" s="16"/>
      <c r="P232" s="19">
        <f t="shared" si="122"/>
        <v>129.25466345852291</v>
      </c>
      <c r="Q232" s="19">
        <f t="shared" si="123"/>
        <v>701.70352470429418</v>
      </c>
      <c r="R232" s="19">
        <f t="shared" si="124"/>
        <v>0</v>
      </c>
      <c r="S232" s="19">
        <f t="shared" si="125"/>
        <v>0</v>
      </c>
      <c r="T232" s="19">
        <f t="shared" si="126"/>
        <v>0</v>
      </c>
      <c r="U232" s="16"/>
      <c r="V232" s="19">
        <f t="shared" si="127"/>
        <v>830.95818816281712</v>
      </c>
      <c r="W232" s="16"/>
      <c r="X232" s="19">
        <f t="shared" si="128"/>
        <v>49.587113950288881</v>
      </c>
      <c r="Y232" s="19">
        <f t="shared" si="129"/>
        <v>7.0418118371828768</v>
      </c>
      <c r="Z232" s="19"/>
      <c r="AA232" s="19">
        <f t="shared" si="130"/>
        <v>1.7396467278113604E-5</v>
      </c>
    </row>
    <row r="233" spans="2:27" x14ac:dyDescent="0.3">
      <c r="B233" s="27">
        <v>55.4</v>
      </c>
      <c r="C233" s="27">
        <v>840</v>
      </c>
      <c r="D233" s="19">
        <f t="shared" ref="D233:H233" si="185">1/C$23-LN(C$23)+$B233*C$22</f>
        <v>36.602073696001348</v>
      </c>
      <c r="E233" s="19">
        <f t="shared" si="185"/>
        <v>1.8834236717193118</v>
      </c>
      <c r="F233" s="19">
        <f t="shared" si="185"/>
        <v>17.842585092994046</v>
      </c>
      <c r="G233" s="19">
        <f t="shared" si="185"/>
        <v>17.842585092994046</v>
      </c>
      <c r="H233" s="19">
        <f t="shared" si="185"/>
        <v>17.842585092994046</v>
      </c>
      <c r="I233" s="16"/>
      <c r="J233" s="19">
        <f t="shared" si="117"/>
        <v>33.10246591737878</v>
      </c>
      <c r="K233" s="19">
        <f t="shared" si="118"/>
        <v>1.4867985126492671</v>
      </c>
      <c r="L233" s="19">
        <f t="shared" si="119"/>
        <v>15.126159435145974</v>
      </c>
      <c r="M233" s="19">
        <f t="shared" si="120"/>
        <v>15.126159435145974</v>
      </c>
      <c r="N233" s="19">
        <f t="shared" si="121"/>
        <v>15.126159435145974</v>
      </c>
      <c r="O233" s="16"/>
      <c r="P233" s="19">
        <f t="shared" si="122"/>
        <v>128.48118916152558</v>
      </c>
      <c r="Q233" s="19">
        <f t="shared" si="123"/>
        <v>700.45963703971768</v>
      </c>
      <c r="R233" s="19">
        <f t="shared" si="124"/>
        <v>0</v>
      </c>
      <c r="S233" s="19">
        <f t="shared" si="125"/>
        <v>0</v>
      </c>
      <c r="T233" s="19">
        <f t="shared" si="126"/>
        <v>0</v>
      </c>
      <c r="U233" s="16"/>
      <c r="V233" s="19">
        <f t="shared" si="127"/>
        <v>828.94082620124323</v>
      </c>
      <c r="W233" s="16"/>
      <c r="X233" s="19">
        <f t="shared" si="128"/>
        <v>122.30532511110833</v>
      </c>
      <c r="Y233" s="19">
        <f t="shared" si="129"/>
        <v>11.059173798756774</v>
      </c>
      <c r="Z233" s="19"/>
      <c r="AA233" s="19">
        <f t="shared" si="130"/>
        <v>2.7321172385942457E-5</v>
      </c>
    </row>
    <row r="234" spans="2:27" x14ac:dyDescent="0.3">
      <c r="B234" s="27">
        <v>55.699999999999996</v>
      </c>
      <c r="C234" s="27">
        <v>816</v>
      </c>
      <c r="D234" s="19">
        <f t="shared" ref="D234:H234" si="186">1/C$23-LN(C$23)+$B234*C$22</f>
        <v>36.705788446199513</v>
      </c>
      <c r="E234" s="19">
        <f t="shared" si="186"/>
        <v>1.8861842638144548</v>
      </c>
      <c r="F234" s="19">
        <f t="shared" si="186"/>
        <v>17.872585092994044</v>
      </c>
      <c r="G234" s="19">
        <f t="shared" si="186"/>
        <v>17.872585092994044</v>
      </c>
      <c r="H234" s="19">
        <f t="shared" si="186"/>
        <v>17.872585092994044</v>
      </c>
      <c r="I234" s="16"/>
      <c r="J234" s="19">
        <f t="shared" si="117"/>
        <v>33.203143879591941</v>
      </c>
      <c r="K234" s="19">
        <f t="shared" si="118"/>
        <v>1.488449374203402</v>
      </c>
      <c r="L234" s="19">
        <f t="shared" si="119"/>
        <v>15.154300725080937</v>
      </c>
      <c r="M234" s="19">
        <f t="shared" si="120"/>
        <v>15.154300725080937</v>
      </c>
      <c r="N234" s="19">
        <f t="shared" si="121"/>
        <v>15.154300725080937</v>
      </c>
      <c r="O234" s="16"/>
      <c r="P234" s="19">
        <f t="shared" si="122"/>
        <v>127.71456943040157</v>
      </c>
      <c r="Q234" s="19">
        <f t="shared" si="123"/>
        <v>699.21857038732901</v>
      </c>
      <c r="R234" s="19">
        <f t="shared" si="124"/>
        <v>0</v>
      </c>
      <c r="S234" s="19">
        <f t="shared" si="125"/>
        <v>0</v>
      </c>
      <c r="T234" s="19">
        <f t="shared" si="126"/>
        <v>0</v>
      </c>
      <c r="U234" s="16"/>
      <c r="V234" s="19">
        <f t="shared" si="127"/>
        <v>826.93313981773053</v>
      </c>
      <c r="W234" s="16"/>
      <c r="X234" s="19">
        <f t="shared" si="128"/>
        <v>119.53354627404487</v>
      </c>
      <c r="Y234" s="19">
        <f t="shared" si="129"/>
        <v>10.933139817730535</v>
      </c>
      <c r="Z234" s="19"/>
      <c r="AA234" s="19">
        <f t="shared" si="130"/>
        <v>2.7009811321837328E-5</v>
      </c>
    </row>
    <row r="235" spans="2:27" x14ac:dyDescent="0.3">
      <c r="B235" s="27">
        <v>56.000000000000007</v>
      </c>
      <c r="C235" s="27">
        <v>805</v>
      </c>
      <c r="D235" s="19">
        <f t="shared" ref="D235:H235" si="187">1/C$23-LN(C$23)+$B235*C$22</f>
        <v>36.809503196397685</v>
      </c>
      <c r="E235" s="19">
        <f t="shared" si="187"/>
        <v>1.8889448559095983</v>
      </c>
      <c r="F235" s="19">
        <f t="shared" si="187"/>
        <v>17.902585092994045</v>
      </c>
      <c r="G235" s="19">
        <f t="shared" si="187"/>
        <v>17.902585092994045</v>
      </c>
      <c r="H235" s="19">
        <f t="shared" si="187"/>
        <v>17.902585092994045</v>
      </c>
      <c r="I235" s="16"/>
      <c r="J235" s="19">
        <f t="shared" si="117"/>
        <v>33.303830767951048</v>
      </c>
      <c r="K235" s="19">
        <f t="shared" si="118"/>
        <v>1.490100971883501</v>
      </c>
      <c r="L235" s="19">
        <f t="shared" si="119"/>
        <v>15.182445250315638</v>
      </c>
      <c r="M235" s="19">
        <f t="shared" si="120"/>
        <v>15.182445250315638</v>
      </c>
      <c r="N235" s="19">
        <f t="shared" si="121"/>
        <v>15.182445250315638</v>
      </c>
      <c r="O235" s="16"/>
      <c r="P235" s="19">
        <f t="shared" si="122"/>
        <v>126.95472410454893</v>
      </c>
      <c r="Q235" s="19">
        <f t="shared" si="123"/>
        <v>697.98031729659556</v>
      </c>
      <c r="R235" s="19">
        <f t="shared" si="124"/>
        <v>0</v>
      </c>
      <c r="S235" s="19">
        <f t="shared" si="125"/>
        <v>0</v>
      </c>
      <c r="T235" s="19">
        <f t="shared" si="126"/>
        <v>0</v>
      </c>
      <c r="U235" s="16"/>
      <c r="V235" s="19">
        <f t="shared" si="127"/>
        <v>824.93504140114453</v>
      </c>
      <c r="W235" s="16"/>
      <c r="X235" s="19">
        <f t="shared" si="128"/>
        <v>397.40587566534651</v>
      </c>
      <c r="Y235" s="19">
        <f t="shared" si="129"/>
        <v>19.935041401144531</v>
      </c>
      <c r="Z235" s="19"/>
      <c r="AA235" s="19">
        <f t="shared" si="130"/>
        <v>4.9248588778195774E-5</v>
      </c>
    </row>
    <row r="236" spans="2:27" x14ac:dyDescent="0.3">
      <c r="B236" s="27">
        <v>56.199999999999996</v>
      </c>
      <c r="C236" s="27">
        <v>843</v>
      </c>
      <c r="D236" s="19">
        <f t="shared" ref="D236:H236" si="188">1/C$23-LN(C$23)+$B236*C$22</f>
        <v>36.878646363196452</v>
      </c>
      <c r="E236" s="19">
        <f t="shared" si="188"/>
        <v>1.8907852506396936</v>
      </c>
      <c r="F236" s="19">
        <f t="shared" si="188"/>
        <v>17.922585092994044</v>
      </c>
      <c r="G236" s="19">
        <f t="shared" si="188"/>
        <v>17.922585092994044</v>
      </c>
      <c r="H236" s="19">
        <f t="shared" si="188"/>
        <v>17.922585092994044</v>
      </c>
      <c r="I236" s="16"/>
      <c r="J236" s="19">
        <f t="shared" si="117"/>
        <v>33.370960293691354</v>
      </c>
      <c r="K236" s="19">
        <f t="shared" si="118"/>
        <v>1.4912024456421342</v>
      </c>
      <c r="L236" s="19">
        <f t="shared" si="119"/>
        <v>15.201210059155487</v>
      </c>
      <c r="M236" s="19">
        <f t="shared" si="120"/>
        <v>15.201210059155487</v>
      </c>
      <c r="N236" s="19">
        <f t="shared" si="121"/>
        <v>15.201210059155487</v>
      </c>
      <c r="O236" s="16"/>
      <c r="P236" s="19">
        <f t="shared" si="122"/>
        <v>126.4518850533436</v>
      </c>
      <c r="Q236" s="19">
        <f t="shared" si="123"/>
        <v>697.15637465642737</v>
      </c>
      <c r="R236" s="19">
        <f t="shared" si="124"/>
        <v>0</v>
      </c>
      <c r="S236" s="19">
        <f t="shared" si="125"/>
        <v>0</v>
      </c>
      <c r="T236" s="19">
        <f t="shared" si="126"/>
        <v>0</v>
      </c>
      <c r="U236" s="16"/>
      <c r="V236" s="19">
        <f t="shared" si="127"/>
        <v>823.608259709771</v>
      </c>
      <c r="W236" s="16"/>
      <c r="X236" s="19">
        <f t="shared" si="128"/>
        <v>376.03959148369051</v>
      </c>
      <c r="Y236" s="19">
        <f t="shared" si="129"/>
        <v>19.391740290228995</v>
      </c>
      <c r="Z236" s="19"/>
      <c r="AA236" s="19">
        <f t="shared" si="130"/>
        <v>4.7906388756846435E-5</v>
      </c>
    </row>
    <row r="237" spans="2:27" x14ac:dyDescent="0.3">
      <c r="B237" s="27">
        <v>56.500000000000007</v>
      </c>
      <c r="C237" s="27">
        <v>806</v>
      </c>
      <c r="D237" s="19">
        <f t="shared" ref="D237:H237" si="189">1/C$23-LN(C$23)+$B237*C$22</f>
        <v>36.982361113394617</v>
      </c>
      <c r="E237" s="19">
        <f t="shared" si="189"/>
        <v>1.8935458427348366</v>
      </c>
      <c r="F237" s="19">
        <f t="shared" si="189"/>
        <v>17.952585092994045</v>
      </c>
      <c r="G237" s="19">
        <f t="shared" si="189"/>
        <v>17.952585092994045</v>
      </c>
      <c r="H237" s="19">
        <f t="shared" si="189"/>
        <v>17.952585092994045</v>
      </c>
      <c r="I237" s="16"/>
      <c r="J237" s="19">
        <f t="shared" si="117"/>
        <v>33.471661944649156</v>
      </c>
      <c r="K237" s="19">
        <f t="shared" si="118"/>
        <v>1.492855268757721</v>
      </c>
      <c r="L237" s="19">
        <f t="shared" si="119"/>
        <v>15.229359952418617</v>
      </c>
      <c r="M237" s="19">
        <f t="shared" si="120"/>
        <v>15.229359952418617</v>
      </c>
      <c r="N237" s="19">
        <f t="shared" si="121"/>
        <v>15.229359952418617</v>
      </c>
      <c r="O237" s="16"/>
      <c r="P237" s="19">
        <f t="shared" si="122"/>
        <v>125.70315541371514</v>
      </c>
      <c r="Q237" s="19">
        <f t="shared" si="123"/>
        <v>695.9227943370621</v>
      </c>
      <c r="R237" s="19">
        <f t="shared" si="124"/>
        <v>0</v>
      </c>
      <c r="S237" s="19">
        <f t="shared" si="125"/>
        <v>0</v>
      </c>
      <c r="T237" s="19">
        <f t="shared" si="126"/>
        <v>0</v>
      </c>
      <c r="U237" s="16"/>
      <c r="V237" s="19">
        <f t="shared" si="127"/>
        <v>821.62594975077718</v>
      </c>
      <c r="W237" s="16"/>
      <c r="X237" s="19">
        <f t="shared" si="128"/>
        <v>244.17030561381344</v>
      </c>
      <c r="Y237" s="19">
        <f t="shared" si="129"/>
        <v>15.625949750777181</v>
      </c>
      <c r="Z237" s="19"/>
      <c r="AA237" s="19">
        <f t="shared" si="130"/>
        <v>3.8603179098519133E-5</v>
      </c>
    </row>
    <row r="238" spans="2:27" x14ac:dyDescent="0.3">
      <c r="B238" s="27">
        <v>56.800000000000004</v>
      </c>
      <c r="C238" s="27">
        <v>794</v>
      </c>
      <c r="D238" s="19">
        <f t="shared" ref="D238:H238" si="190">1/C$23-LN(C$23)+$B238*C$22</f>
        <v>37.086075863592782</v>
      </c>
      <c r="E238" s="19">
        <f t="shared" si="190"/>
        <v>1.8963064348299801</v>
      </c>
      <c r="F238" s="19">
        <f t="shared" si="190"/>
        <v>17.982585092994047</v>
      </c>
      <c r="G238" s="19">
        <f t="shared" si="190"/>
        <v>17.982585092994047</v>
      </c>
      <c r="H238" s="19">
        <f t="shared" si="190"/>
        <v>17.982585092994047</v>
      </c>
      <c r="I238" s="16"/>
      <c r="J238" s="19">
        <f t="shared" si="117"/>
        <v>33.572372385294599</v>
      </c>
      <c r="K238" s="19">
        <f t="shared" si="118"/>
        <v>1.4945088262705013</v>
      </c>
      <c r="L238" s="19">
        <f t="shared" si="119"/>
        <v>15.257513052103008</v>
      </c>
      <c r="M238" s="19">
        <f t="shared" si="120"/>
        <v>15.257513052103008</v>
      </c>
      <c r="N238" s="19">
        <f t="shared" si="121"/>
        <v>15.257513052103008</v>
      </c>
      <c r="O238" s="16"/>
      <c r="P238" s="19">
        <f t="shared" si="122"/>
        <v>124.96099204166268</v>
      </c>
      <c r="Q238" s="19">
        <f t="shared" si="123"/>
        <v>694.69200781676477</v>
      </c>
      <c r="R238" s="19">
        <f t="shared" si="124"/>
        <v>0</v>
      </c>
      <c r="S238" s="19">
        <f t="shared" si="125"/>
        <v>0</v>
      </c>
      <c r="T238" s="19">
        <f t="shared" si="126"/>
        <v>0</v>
      </c>
      <c r="U238" s="16"/>
      <c r="V238" s="19">
        <f t="shared" si="127"/>
        <v>819.65299985842739</v>
      </c>
      <c r="W238" s="16"/>
      <c r="X238" s="19">
        <f t="shared" si="128"/>
        <v>658.07640173647587</v>
      </c>
      <c r="Y238" s="19">
        <f t="shared" si="129"/>
        <v>25.652999858427393</v>
      </c>
      <c r="Z238" s="19"/>
      <c r="AA238" s="19">
        <f t="shared" si="130"/>
        <v>6.3374538107669595E-5</v>
      </c>
    </row>
    <row r="239" spans="2:27" x14ac:dyDescent="0.3">
      <c r="B239" s="27">
        <v>57.1</v>
      </c>
      <c r="C239" s="27">
        <v>799</v>
      </c>
      <c r="D239" s="19">
        <f t="shared" ref="D239:H239" si="191">1/C$23-LN(C$23)+$B239*C$22</f>
        <v>37.189790613790947</v>
      </c>
      <c r="E239" s="19">
        <f t="shared" si="191"/>
        <v>1.8990670269251231</v>
      </c>
      <c r="F239" s="19">
        <f t="shared" si="191"/>
        <v>18.012585092994044</v>
      </c>
      <c r="G239" s="19">
        <f t="shared" si="191"/>
        <v>18.012585092994044</v>
      </c>
      <c r="H239" s="19">
        <f t="shared" si="191"/>
        <v>18.012585092994044</v>
      </c>
      <c r="I239" s="16"/>
      <c r="J239" s="19">
        <f t="shared" si="117"/>
        <v>33.67309156525328</v>
      </c>
      <c r="K239" s="19">
        <f t="shared" si="118"/>
        <v>1.4961631175328296</v>
      </c>
      <c r="L239" s="19">
        <f t="shared" si="119"/>
        <v>15.285669347476489</v>
      </c>
      <c r="M239" s="19">
        <f t="shared" si="120"/>
        <v>15.285669347476489</v>
      </c>
      <c r="N239" s="19">
        <f t="shared" si="121"/>
        <v>15.285669347476489</v>
      </c>
      <c r="O239" s="16"/>
      <c r="P239" s="19">
        <f t="shared" si="122"/>
        <v>124.22531893832804</v>
      </c>
      <c r="Q239" s="19">
        <f t="shared" si="123"/>
        <v>693.46400772394077</v>
      </c>
      <c r="R239" s="19">
        <f t="shared" si="124"/>
        <v>0</v>
      </c>
      <c r="S239" s="19">
        <f t="shared" si="125"/>
        <v>0</v>
      </c>
      <c r="T239" s="19">
        <f t="shared" si="126"/>
        <v>0</v>
      </c>
      <c r="U239" s="16"/>
      <c r="V239" s="19">
        <f t="shared" si="127"/>
        <v>817.68932666226885</v>
      </c>
      <c r="W239" s="16"/>
      <c r="X239" s="19">
        <f t="shared" si="128"/>
        <v>349.29093108899349</v>
      </c>
      <c r="Y239" s="19">
        <f t="shared" si="129"/>
        <v>18.689326662268854</v>
      </c>
      <c r="Z239" s="19"/>
      <c r="AA239" s="19">
        <f t="shared" si="130"/>
        <v>4.6171108692987447E-5</v>
      </c>
    </row>
    <row r="240" spans="2:27" x14ac:dyDescent="0.3">
      <c r="B240" s="27">
        <v>57.4</v>
      </c>
      <c r="C240" s="27">
        <v>824</v>
      </c>
      <c r="D240" s="19">
        <f t="shared" ref="D240:H240" si="192">1/C$23-LN(C$23)+$B240*C$22</f>
        <v>37.293505363989112</v>
      </c>
      <c r="E240" s="19">
        <f t="shared" si="192"/>
        <v>1.9018276190202661</v>
      </c>
      <c r="F240" s="19">
        <f t="shared" si="192"/>
        <v>18.042585092994045</v>
      </c>
      <c r="G240" s="19">
        <f t="shared" si="192"/>
        <v>18.042585092994045</v>
      </c>
      <c r="H240" s="19">
        <f t="shared" si="192"/>
        <v>18.042585092994045</v>
      </c>
      <c r="I240" s="16"/>
      <c r="J240" s="19">
        <f t="shared" si="117"/>
        <v>33.773819434578229</v>
      </c>
      <c r="K240" s="19">
        <f t="shared" si="118"/>
        <v>1.4978181418974148</v>
      </c>
      <c r="L240" s="19">
        <f t="shared" si="119"/>
        <v>15.313828827859417</v>
      </c>
      <c r="M240" s="19">
        <f t="shared" si="120"/>
        <v>15.313828827859417</v>
      </c>
      <c r="N240" s="19">
        <f t="shared" si="121"/>
        <v>15.313828827859417</v>
      </c>
      <c r="O240" s="16"/>
      <c r="P240" s="19">
        <f t="shared" si="122"/>
        <v>123.49606119476366</v>
      </c>
      <c r="Q240" s="19">
        <f t="shared" si="123"/>
        <v>692.23878670836916</v>
      </c>
      <c r="R240" s="19">
        <f t="shared" si="124"/>
        <v>0</v>
      </c>
      <c r="S240" s="19">
        <f t="shared" si="125"/>
        <v>0</v>
      </c>
      <c r="T240" s="19">
        <f t="shared" si="126"/>
        <v>0</v>
      </c>
      <c r="U240" s="16"/>
      <c r="V240" s="19">
        <f t="shared" si="127"/>
        <v>815.73484790313285</v>
      </c>
      <c r="W240" s="16"/>
      <c r="X240" s="19">
        <f t="shared" si="128"/>
        <v>68.312739184347521</v>
      </c>
      <c r="Y240" s="19">
        <f t="shared" si="129"/>
        <v>8.2651520968671548</v>
      </c>
      <c r="Z240" s="19"/>
      <c r="AA240" s="19">
        <f t="shared" si="130"/>
        <v>2.0418672257409167E-5</v>
      </c>
    </row>
    <row r="241" spans="2:27" x14ac:dyDescent="0.3">
      <c r="B241" s="27">
        <v>57.699999999999996</v>
      </c>
      <c r="C241" s="27">
        <v>784</v>
      </c>
      <c r="D241" s="19">
        <f t="shared" ref="D241:H241" si="193">1/C$23-LN(C$23)+$B241*C$22</f>
        <v>37.397220114187277</v>
      </c>
      <c r="E241" s="19">
        <f t="shared" si="193"/>
        <v>1.9045882111154093</v>
      </c>
      <c r="F241" s="19">
        <f t="shared" si="193"/>
        <v>18.072585092994046</v>
      </c>
      <c r="G241" s="19">
        <f t="shared" si="193"/>
        <v>18.072585092994046</v>
      </c>
      <c r="H241" s="19">
        <f t="shared" si="193"/>
        <v>18.072585092994046</v>
      </c>
      <c r="I241" s="16"/>
      <c r="J241" s="19">
        <f t="shared" si="117"/>
        <v>33.874555943745065</v>
      </c>
      <c r="K241" s="19">
        <f t="shared" si="118"/>
        <v>1.4994738987173195</v>
      </c>
      <c r="L241" s="19">
        <f t="shared" si="119"/>
        <v>15.341991482624328</v>
      </c>
      <c r="M241" s="19">
        <f t="shared" si="120"/>
        <v>15.341991482624328</v>
      </c>
      <c r="N241" s="19">
        <f t="shared" si="121"/>
        <v>15.341991482624328</v>
      </c>
      <c r="O241" s="16"/>
      <c r="P241" s="19">
        <f t="shared" si="122"/>
        <v>122.7731449733222</v>
      </c>
      <c r="Q241" s="19">
        <f t="shared" si="123"/>
        <v>691.01633744114042</v>
      </c>
      <c r="R241" s="19">
        <f t="shared" si="124"/>
        <v>0</v>
      </c>
      <c r="S241" s="19">
        <f t="shared" si="125"/>
        <v>0</v>
      </c>
      <c r="T241" s="19">
        <f t="shared" si="126"/>
        <v>0</v>
      </c>
      <c r="U241" s="16"/>
      <c r="V241" s="19">
        <f t="shared" si="127"/>
        <v>813.78948241446267</v>
      </c>
      <c r="W241" s="16"/>
      <c r="X241" s="19">
        <f t="shared" si="128"/>
        <v>887.41326252158058</v>
      </c>
      <c r="Y241" s="19">
        <f t="shared" si="129"/>
        <v>29.789482414462668</v>
      </c>
      <c r="Z241" s="19"/>
      <c r="AA241" s="19">
        <f t="shared" si="130"/>
        <v>7.3593525080963029E-5</v>
      </c>
    </row>
    <row r="242" spans="2:27" x14ac:dyDescent="0.3">
      <c r="B242" s="27">
        <v>58.000000000000007</v>
      </c>
      <c r="C242" s="27">
        <v>748</v>
      </c>
      <c r="D242" s="19">
        <f t="shared" ref="D242:H242" si="194">1/C$23-LN(C$23)+$B242*C$22</f>
        <v>37.500934864385449</v>
      </c>
      <c r="E242" s="19">
        <f t="shared" si="194"/>
        <v>1.9073488032105526</v>
      </c>
      <c r="F242" s="19">
        <f t="shared" si="194"/>
        <v>18.102585092994047</v>
      </c>
      <c r="G242" s="19">
        <f t="shared" si="194"/>
        <v>18.102585092994047</v>
      </c>
      <c r="H242" s="19">
        <f t="shared" si="194"/>
        <v>18.102585092994047</v>
      </c>
      <c r="I242" s="16"/>
      <c r="J242" s="19">
        <f t="shared" ref="J242:J305" si="195">lmb_2(D242)</f>
        <v>33.975301043647328</v>
      </c>
      <c r="K242" s="19">
        <f t="shared" ref="K242:K305" si="196">lmb_2(E242)</f>
        <v>1.5011303873459618</v>
      </c>
      <c r="L242" s="19">
        <f t="shared" ref="L242:L305" si="197">lmb_2(F242)</f>
        <v>15.370157301195613</v>
      </c>
      <c r="M242" s="19">
        <f t="shared" ref="M242:M305" si="198">lmb_2(G242)</f>
        <v>15.370157301195613</v>
      </c>
      <c r="N242" s="19">
        <f t="shared" ref="N242:N305" si="199">lmb_2(H242)</f>
        <v>15.370157301195613</v>
      </c>
      <c r="O242" s="16"/>
      <c r="P242" s="19">
        <f t="shared" ref="P242:P305" si="200">(C$21*$A$21*C$22)/(J242+J242^2)</f>
        <v>122.05649748941408</v>
      </c>
      <c r="Q242" s="19">
        <f t="shared" ref="Q242:Q305" si="201">($D$21*$A$21*$D$22)/(K242+K242^2)</f>
        <v>689.79665261459081</v>
      </c>
      <c r="R242" s="19">
        <f t="shared" ref="R242:R305" si="202">($E$21*$A$21*$E$22)/(L242+L242^2)</f>
        <v>0</v>
      </c>
      <c r="S242" s="19">
        <f t="shared" ref="S242:S305" si="203">($F$21*$A$21*$F$22)/(M242+M242^2)</f>
        <v>0</v>
      </c>
      <c r="T242" s="19">
        <f t="shared" ref="T242:T305" si="204">($G$21*$A$21*$G$22)/(N242+N242^2)</f>
        <v>0</v>
      </c>
      <c r="U242" s="16"/>
      <c r="V242" s="19">
        <f t="shared" ref="V242:V305" si="205">SUM(P242:T242)</f>
        <v>811.85315010400495</v>
      </c>
      <c r="W242" s="16"/>
      <c r="X242" s="19">
        <f t="shared" ref="X242:X305" si="206">(V242-C242)^2</f>
        <v>4077.2247782045879</v>
      </c>
      <c r="Y242" s="19">
        <f t="shared" ref="Y242:Y305" si="207">ABS(V242-C242)</f>
        <v>63.853150104004953</v>
      </c>
      <c r="Z242" s="19"/>
      <c r="AA242" s="19">
        <f t="shared" ref="AA242:AA305" si="208">Y242/$Z$39</f>
        <v>1.5774622527164669E-4</v>
      </c>
    </row>
    <row r="243" spans="2:27" x14ac:dyDescent="0.3">
      <c r="B243" s="27">
        <v>58.199999999999996</v>
      </c>
      <c r="C243" s="27">
        <v>809</v>
      </c>
      <c r="D243" s="19">
        <f t="shared" ref="D243:H243" si="209">1/C$23-LN(C$23)+$B243*C$22</f>
        <v>37.570078031184224</v>
      </c>
      <c r="E243" s="19">
        <f t="shared" si="209"/>
        <v>1.9091891979406479</v>
      </c>
      <c r="F243" s="19">
        <f t="shared" si="209"/>
        <v>18.122585092994044</v>
      </c>
      <c r="G243" s="19">
        <f t="shared" si="209"/>
        <v>18.122585092994044</v>
      </c>
      <c r="H243" s="19">
        <f t="shared" si="209"/>
        <v>18.122585092994044</v>
      </c>
      <c r="I243" s="16"/>
      <c r="J243" s="19">
        <f t="shared" si="195"/>
        <v>34.042469192150044</v>
      </c>
      <c r="K243" s="19">
        <f t="shared" si="196"/>
        <v>1.5022351193396613</v>
      </c>
      <c r="L243" s="19">
        <f t="shared" si="197"/>
        <v>15.388936266047484</v>
      </c>
      <c r="M243" s="19">
        <f t="shared" si="198"/>
        <v>15.388936266047484</v>
      </c>
      <c r="N243" s="19">
        <f t="shared" si="199"/>
        <v>15.388936266047484</v>
      </c>
      <c r="O243" s="16"/>
      <c r="P243" s="19">
        <f t="shared" si="200"/>
        <v>121.58217965822696</v>
      </c>
      <c r="Q243" s="19">
        <f t="shared" si="201"/>
        <v>688.98506159813553</v>
      </c>
      <c r="R243" s="19">
        <f t="shared" si="202"/>
        <v>0</v>
      </c>
      <c r="S243" s="19">
        <f t="shared" si="203"/>
        <v>0</v>
      </c>
      <c r="T243" s="19">
        <f t="shared" si="204"/>
        <v>0</v>
      </c>
      <c r="U243" s="16"/>
      <c r="V243" s="19">
        <f t="shared" si="205"/>
        <v>810.56724125636254</v>
      </c>
      <c r="W243" s="16"/>
      <c r="X243" s="19">
        <f t="shared" si="206"/>
        <v>2.4562451556448197</v>
      </c>
      <c r="Y243" s="19">
        <f t="shared" si="207"/>
        <v>1.5672412563625358</v>
      </c>
      <c r="Z243" s="19"/>
      <c r="AA243" s="19">
        <f t="shared" si="208"/>
        <v>3.8717963307761193E-6</v>
      </c>
    </row>
    <row r="244" spans="2:27" x14ac:dyDescent="0.3">
      <c r="B244" s="27">
        <v>58.500000000000007</v>
      </c>
      <c r="C244" s="27">
        <v>840</v>
      </c>
      <c r="D244" s="19">
        <f t="shared" ref="D244:H244" si="210">1/C$23-LN(C$23)+$B244*C$22</f>
        <v>37.673792781382389</v>
      </c>
      <c r="E244" s="19">
        <f t="shared" si="210"/>
        <v>1.9119497900357914</v>
      </c>
      <c r="F244" s="19">
        <f t="shared" si="210"/>
        <v>18.152585092994045</v>
      </c>
      <c r="G244" s="19">
        <f t="shared" si="210"/>
        <v>18.152585092994045</v>
      </c>
      <c r="H244" s="19">
        <f t="shared" si="210"/>
        <v>18.152585092994045</v>
      </c>
      <c r="I244" s="16"/>
      <c r="J244" s="19">
        <f t="shared" si="195"/>
        <v>34.143228501939497</v>
      </c>
      <c r="K244" s="19">
        <f t="shared" si="196"/>
        <v>1.5038928262136526</v>
      </c>
      <c r="L244" s="19">
        <f t="shared" si="197"/>
        <v>15.417107334267831</v>
      </c>
      <c r="M244" s="19">
        <f t="shared" si="198"/>
        <v>15.417107334267831</v>
      </c>
      <c r="N244" s="19">
        <f t="shared" si="199"/>
        <v>15.417107334267831</v>
      </c>
      <c r="O244" s="16"/>
      <c r="P244" s="19">
        <f t="shared" si="200"/>
        <v>120.87582113031579</v>
      </c>
      <c r="Q244" s="19">
        <f t="shared" si="201"/>
        <v>687.7699679909648</v>
      </c>
      <c r="R244" s="19">
        <f t="shared" si="202"/>
        <v>0</v>
      </c>
      <c r="S244" s="19">
        <f t="shared" si="203"/>
        <v>0</v>
      </c>
      <c r="T244" s="19">
        <f t="shared" si="204"/>
        <v>0</v>
      </c>
      <c r="U244" s="16"/>
      <c r="V244" s="19">
        <f t="shared" si="205"/>
        <v>808.64578912128059</v>
      </c>
      <c r="W244" s="16"/>
      <c r="X244" s="19">
        <f t="shared" si="206"/>
        <v>983.08653982720682</v>
      </c>
      <c r="Y244" s="19">
        <f t="shared" si="207"/>
        <v>31.354210878719414</v>
      </c>
      <c r="Z244" s="19"/>
      <c r="AA244" s="19">
        <f t="shared" si="208"/>
        <v>7.7459113676193843E-5</v>
      </c>
    </row>
    <row r="245" spans="2:27" x14ac:dyDescent="0.3">
      <c r="B245" s="27">
        <v>58.800000000000004</v>
      </c>
      <c r="C245" s="27">
        <v>824</v>
      </c>
      <c r="D245" s="19">
        <f t="shared" ref="D245:H245" si="211">1/C$23-LN(C$23)+$B245*C$22</f>
        <v>37.777507531580554</v>
      </c>
      <c r="E245" s="19">
        <f t="shared" si="211"/>
        <v>1.9147103821309344</v>
      </c>
      <c r="F245" s="19">
        <f t="shared" si="211"/>
        <v>18.182585092994046</v>
      </c>
      <c r="G245" s="19">
        <f t="shared" si="211"/>
        <v>18.182585092994046</v>
      </c>
      <c r="H245" s="19">
        <f t="shared" si="211"/>
        <v>18.182585092994046</v>
      </c>
      <c r="I245" s="16"/>
      <c r="J245" s="19">
        <f t="shared" si="195"/>
        <v>34.243996273521674</v>
      </c>
      <c r="K245" s="19">
        <f t="shared" si="196"/>
        <v>1.5055512631739083</v>
      </c>
      <c r="L245" s="19">
        <f t="shared" si="197"/>
        <v>15.445281538343931</v>
      </c>
      <c r="M245" s="19">
        <f t="shared" si="198"/>
        <v>15.445281538343931</v>
      </c>
      <c r="N245" s="19">
        <f t="shared" si="199"/>
        <v>15.445281538343931</v>
      </c>
      <c r="O245" s="16"/>
      <c r="P245" s="19">
        <f t="shared" si="200"/>
        <v>120.1755422610963</v>
      </c>
      <c r="Q245" s="19">
        <f t="shared" si="201"/>
        <v>686.55761944074732</v>
      </c>
      <c r="R245" s="19">
        <f t="shared" si="202"/>
        <v>0</v>
      </c>
      <c r="S245" s="19">
        <f t="shared" si="203"/>
        <v>0</v>
      </c>
      <c r="T245" s="19">
        <f t="shared" si="204"/>
        <v>0</v>
      </c>
      <c r="U245" s="16"/>
      <c r="V245" s="19">
        <f t="shared" si="205"/>
        <v>806.73316170184364</v>
      </c>
      <c r="W245" s="16"/>
      <c r="X245" s="19">
        <f t="shared" si="206"/>
        <v>298.14370481467915</v>
      </c>
      <c r="Y245" s="19">
        <f t="shared" si="207"/>
        <v>17.266838298156358</v>
      </c>
      <c r="Z245" s="19"/>
      <c r="AA245" s="19">
        <f t="shared" si="208"/>
        <v>4.2656917622287061E-5</v>
      </c>
    </row>
    <row r="246" spans="2:27" x14ac:dyDescent="0.3">
      <c r="B246" s="27">
        <v>59.1</v>
      </c>
      <c r="C246" s="27">
        <v>767</v>
      </c>
      <c r="D246" s="19">
        <f t="shared" ref="D246:H246" si="212">1/C$23-LN(C$23)+$B246*C$22</f>
        <v>37.881222281778719</v>
      </c>
      <c r="E246" s="19">
        <f t="shared" si="212"/>
        <v>1.9174709742260774</v>
      </c>
      <c r="F246" s="19">
        <f t="shared" si="212"/>
        <v>18.212585092994047</v>
      </c>
      <c r="G246" s="19">
        <f t="shared" si="212"/>
        <v>18.212585092994047</v>
      </c>
      <c r="H246" s="19">
        <f t="shared" si="212"/>
        <v>18.212585092994047</v>
      </c>
      <c r="I246" s="16"/>
      <c r="J246" s="19">
        <f t="shared" si="195"/>
        <v>34.344772459283078</v>
      </c>
      <c r="K246" s="19">
        <f t="shared" si="196"/>
        <v>1.5072104295751592</v>
      </c>
      <c r="L246" s="19">
        <f t="shared" si="197"/>
        <v>15.473458867887498</v>
      </c>
      <c r="M246" s="19">
        <f t="shared" si="198"/>
        <v>15.473458867887498</v>
      </c>
      <c r="N246" s="19">
        <f t="shared" si="199"/>
        <v>15.473458867887498</v>
      </c>
      <c r="O246" s="16"/>
      <c r="P246" s="19">
        <f t="shared" si="200"/>
        <v>119.4812739768453</v>
      </c>
      <c r="Q246" s="19">
        <f t="shared" si="201"/>
        <v>685.34800871716902</v>
      </c>
      <c r="R246" s="19">
        <f t="shared" si="202"/>
        <v>0</v>
      </c>
      <c r="S246" s="19">
        <f t="shared" si="203"/>
        <v>0</v>
      </c>
      <c r="T246" s="19">
        <f t="shared" si="204"/>
        <v>0</v>
      </c>
      <c r="U246" s="16"/>
      <c r="V246" s="19">
        <f t="shared" si="205"/>
        <v>804.8292826940143</v>
      </c>
      <c r="W246" s="16"/>
      <c r="X246" s="19">
        <f t="shared" si="206"/>
        <v>1431.0546291436494</v>
      </c>
      <c r="Y246" s="19">
        <f t="shared" si="207"/>
        <v>37.829282694014296</v>
      </c>
      <c r="Z246" s="19"/>
      <c r="AA246" s="19">
        <f t="shared" si="208"/>
        <v>9.3455476198041169E-5</v>
      </c>
    </row>
    <row r="247" spans="2:27" x14ac:dyDescent="0.3">
      <c r="B247" s="27">
        <v>59.4</v>
      </c>
      <c r="C247" s="27">
        <v>788</v>
      </c>
      <c r="D247" s="19">
        <f t="shared" ref="D247:H247" si="213">1/C$23-LN(C$23)+$B247*C$22</f>
        <v>37.984937031976884</v>
      </c>
      <c r="E247" s="19">
        <f t="shared" si="213"/>
        <v>1.9202315663212206</v>
      </c>
      <c r="F247" s="19">
        <f t="shared" si="213"/>
        <v>18.242585092994045</v>
      </c>
      <c r="G247" s="19">
        <f t="shared" si="213"/>
        <v>18.242585092994045</v>
      </c>
      <c r="H247" s="19">
        <f t="shared" si="213"/>
        <v>18.242585092994045</v>
      </c>
      <c r="I247" s="16"/>
      <c r="J247" s="19">
        <f t="shared" si="195"/>
        <v>34.445557012006965</v>
      </c>
      <c r="K247" s="19">
        <f t="shared" si="196"/>
        <v>1.5088703247724962</v>
      </c>
      <c r="L247" s="19">
        <f t="shared" si="197"/>
        <v>15.501639312560577</v>
      </c>
      <c r="M247" s="19">
        <f t="shared" si="198"/>
        <v>15.501639312560577</v>
      </c>
      <c r="N247" s="19">
        <f t="shared" si="199"/>
        <v>15.501639312560577</v>
      </c>
      <c r="O247" s="16"/>
      <c r="P247" s="19">
        <f t="shared" si="200"/>
        <v>118.79294817639557</v>
      </c>
      <c r="Q247" s="19">
        <f t="shared" si="201"/>
        <v>684.14112861086232</v>
      </c>
      <c r="R247" s="19">
        <f t="shared" si="202"/>
        <v>0</v>
      </c>
      <c r="S247" s="19">
        <f t="shared" si="203"/>
        <v>0</v>
      </c>
      <c r="T247" s="19">
        <f t="shared" si="204"/>
        <v>0</v>
      </c>
      <c r="U247" s="16"/>
      <c r="V247" s="19">
        <f t="shared" si="205"/>
        <v>802.93407678725794</v>
      </c>
      <c r="W247" s="16"/>
      <c r="X247" s="19">
        <f t="shared" si="206"/>
        <v>223.02664948771633</v>
      </c>
      <c r="Y247" s="19">
        <f t="shared" si="207"/>
        <v>14.934076787257936</v>
      </c>
      <c r="Z247" s="19"/>
      <c r="AA247" s="19">
        <f t="shared" si="208"/>
        <v>3.6893939253892843E-5</v>
      </c>
    </row>
    <row r="248" spans="2:27" x14ac:dyDescent="0.3">
      <c r="B248" s="27">
        <v>59.699999999999996</v>
      </c>
      <c r="C248" s="27">
        <v>786</v>
      </c>
      <c r="D248" s="19">
        <f t="shared" ref="D248:H248" si="214">1/C$23-LN(C$23)+$B248*C$22</f>
        <v>38.088651782175049</v>
      </c>
      <c r="E248" s="19">
        <f t="shared" si="214"/>
        <v>1.9229921584163638</v>
      </c>
      <c r="F248" s="19">
        <f t="shared" si="214"/>
        <v>18.272585092994046</v>
      </c>
      <c r="G248" s="19">
        <f t="shared" si="214"/>
        <v>18.272585092994046</v>
      </c>
      <c r="H248" s="19">
        <f t="shared" si="214"/>
        <v>18.272585092994046</v>
      </c>
      <c r="I248" s="16"/>
      <c r="J248" s="19">
        <f t="shared" si="195"/>
        <v>34.546349884868953</v>
      </c>
      <c r="K248" s="19">
        <f t="shared" si="196"/>
        <v>1.5105309481213716</v>
      </c>
      <c r="L248" s="19">
        <f t="shared" si="197"/>
        <v>15.529822862075241</v>
      </c>
      <c r="M248" s="19">
        <f t="shared" si="198"/>
        <v>15.529822862075241</v>
      </c>
      <c r="N248" s="19">
        <f t="shared" si="199"/>
        <v>15.529822862075241</v>
      </c>
      <c r="O248" s="16"/>
      <c r="P248" s="19">
        <f t="shared" si="200"/>
        <v>118.11049771482929</v>
      </c>
      <c r="Q248" s="19">
        <f t="shared" si="201"/>
        <v>682.93697193334174</v>
      </c>
      <c r="R248" s="19">
        <f t="shared" si="202"/>
        <v>0</v>
      </c>
      <c r="S248" s="19">
        <f t="shared" si="203"/>
        <v>0</v>
      </c>
      <c r="T248" s="19">
        <f t="shared" si="204"/>
        <v>0</v>
      </c>
      <c r="U248" s="16"/>
      <c r="V248" s="19">
        <f t="shared" si="205"/>
        <v>801.04746964817105</v>
      </c>
      <c r="W248" s="16"/>
      <c r="X248" s="19">
        <f t="shared" si="206"/>
        <v>226.42634281262883</v>
      </c>
      <c r="Y248" s="19">
        <f t="shared" si="207"/>
        <v>15.047469648171045</v>
      </c>
      <c r="Z248" s="19"/>
      <c r="AA248" s="19">
        <f t="shared" si="208"/>
        <v>3.7174071021122191E-5</v>
      </c>
    </row>
    <row r="249" spans="2:27" x14ac:dyDescent="0.3">
      <c r="B249" s="27">
        <v>60.000000000000007</v>
      </c>
      <c r="C249" s="27">
        <v>805</v>
      </c>
      <c r="D249" s="19">
        <f t="shared" ref="D249:H249" si="215">1/C$23-LN(C$23)+$B249*C$22</f>
        <v>38.192366532373214</v>
      </c>
      <c r="E249" s="19">
        <f t="shared" si="215"/>
        <v>1.9257527505115071</v>
      </c>
      <c r="F249" s="19">
        <f t="shared" si="215"/>
        <v>18.302585092994047</v>
      </c>
      <c r="G249" s="19">
        <f t="shared" si="215"/>
        <v>18.302585092994047</v>
      </c>
      <c r="H249" s="19">
        <f t="shared" si="215"/>
        <v>18.302585092994047</v>
      </c>
      <c r="I249" s="16"/>
      <c r="J249" s="19">
        <f t="shared" si="195"/>
        <v>34.647151031432735</v>
      </c>
      <c r="K249" s="19">
        <f t="shared" si="196"/>
        <v>1.5121922989776009</v>
      </c>
      <c r="L249" s="19">
        <f t="shared" si="197"/>
        <v>15.558009506193246</v>
      </c>
      <c r="M249" s="19">
        <f t="shared" si="198"/>
        <v>15.558009506193246</v>
      </c>
      <c r="N249" s="19">
        <f t="shared" si="199"/>
        <v>15.558009506193246</v>
      </c>
      <c r="O249" s="16"/>
      <c r="P249" s="19">
        <f t="shared" si="200"/>
        <v>117.43385638748798</v>
      </c>
      <c r="Q249" s="19">
        <f t="shared" si="201"/>
        <v>681.73553151694068</v>
      </c>
      <c r="R249" s="19">
        <f t="shared" si="202"/>
        <v>0</v>
      </c>
      <c r="S249" s="19">
        <f t="shared" si="203"/>
        <v>0</v>
      </c>
      <c r="T249" s="19">
        <f t="shared" si="204"/>
        <v>0</v>
      </c>
      <c r="U249" s="16"/>
      <c r="V249" s="19">
        <f t="shared" si="205"/>
        <v>799.16938790442862</v>
      </c>
      <c r="W249" s="16"/>
      <c r="X249" s="19">
        <f t="shared" si="206"/>
        <v>33.996037409023309</v>
      </c>
      <c r="Y249" s="19">
        <f t="shared" si="207"/>
        <v>5.8306120955713823</v>
      </c>
      <c r="Z249" s="19"/>
      <c r="AA249" s="19">
        <f t="shared" si="208"/>
        <v>1.4404254881732185E-5</v>
      </c>
    </row>
    <row r="250" spans="2:27" x14ac:dyDescent="0.3">
      <c r="B250" s="27">
        <v>60.199999999999996</v>
      </c>
      <c r="C250" s="27">
        <v>752</v>
      </c>
      <c r="D250" s="19">
        <f t="shared" ref="D250:H250" si="216">1/C$23-LN(C$23)+$B250*C$22</f>
        <v>38.261509699171988</v>
      </c>
      <c r="E250" s="19">
        <f t="shared" si="216"/>
        <v>1.9275931452416024</v>
      </c>
      <c r="F250" s="19">
        <f t="shared" si="216"/>
        <v>18.322585092994046</v>
      </c>
      <c r="G250" s="19">
        <f t="shared" si="216"/>
        <v>18.322585092994046</v>
      </c>
      <c r="H250" s="19">
        <f t="shared" si="216"/>
        <v>18.322585092994046</v>
      </c>
      <c r="I250" s="16"/>
      <c r="J250" s="19">
        <f t="shared" si="195"/>
        <v>34.714356369551936</v>
      </c>
      <c r="K250" s="19">
        <f t="shared" si="196"/>
        <v>1.5133002700678875</v>
      </c>
      <c r="L250" s="19">
        <f t="shared" si="197"/>
        <v>15.576802316462439</v>
      </c>
      <c r="M250" s="19">
        <f t="shared" si="198"/>
        <v>15.576802316462439</v>
      </c>
      <c r="N250" s="19">
        <f t="shared" si="199"/>
        <v>15.576802316462439</v>
      </c>
      <c r="O250" s="16"/>
      <c r="P250" s="19">
        <f t="shared" si="200"/>
        <v>116.9859571913936</v>
      </c>
      <c r="Q250" s="19">
        <f t="shared" si="201"/>
        <v>680.93607674310454</v>
      </c>
      <c r="R250" s="19">
        <f t="shared" si="202"/>
        <v>0</v>
      </c>
      <c r="S250" s="19">
        <f t="shared" si="203"/>
        <v>0</v>
      </c>
      <c r="T250" s="19">
        <f t="shared" si="204"/>
        <v>0</v>
      </c>
      <c r="U250" s="16"/>
      <c r="V250" s="19">
        <f t="shared" si="205"/>
        <v>797.92203393449813</v>
      </c>
      <c r="W250" s="16"/>
      <c r="X250" s="19">
        <f t="shared" si="206"/>
        <v>2108.8332006811979</v>
      </c>
      <c r="Y250" s="19">
        <f t="shared" si="207"/>
        <v>45.922033934498131</v>
      </c>
      <c r="Z250" s="19"/>
      <c r="AA250" s="19">
        <f t="shared" si="208"/>
        <v>1.1344824019119444E-4</v>
      </c>
    </row>
    <row r="251" spans="2:27" x14ac:dyDescent="0.3">
      <c r="B251" s="27">
        <v>60.500000000000007</v>
      </c>
      <c r="C251" s="27">
        <v>800</v>
      </c>
      <c r="D251" s="19">
        <f t="shared" ref="D251:H251" si="217">1/C$23-LN(C$23)+$B251*C$22</f>
        <v>38.36522444937016</v>
      </c>
      <c r="E251" s="19">
        <f t="shared" si="217"/>
        <v>1.9303537373367456</v>
      </c>
      <c r="F251" s="19">
        <f t="shared" si="217"/>
        <v>18.352585092994047</v>
      </c>
      <c r="G251" s="19">
        <f t="shared" si="217"/>
        <v>18.352585092994047</v>
      </c>
      <c r="H251" s="19">
        <f t="shared" si="217"/>
        <v>18.352585092994047</v>
      </c>
      <c r="I251" s="16"/>
      <c r="J251" s="19">
        <f t="shared" si="195"/>
        <v>34.815171203467493</v>
      </c>
      <c r="K251" s="19">
        <f t="shared" si="196"/>
        <v>1.5149628320058393</v>
      </c>
      <c r="L251" s="19">
        <f t="shared" si="197"/>
        <v>15.604994095635039</v>
      </c>
      <c r="M251" s="19">
        <f t="shared" si="198"/>
        <v>15.604994095635039</v>
      </c>
      <c r="N251" s="19">
        <f t="shared" si="199"/>
        <v>15.604994095635039</v>
      </c>
      <c r="O251" s="16"/>
      <c r="P251" s="19">
        <f t="shared" si="200"/>
        <v>116.31885313719719</v>
      </c>
      <c r="Q251" s="19">
        <f t="shared" si="201"/>
        <v>679.7391475567664</v>
      </c>
      <c r="R251" s="19">
        <f t="shared" si="202"/>
        <v>0</v>
      </c>
      <c r="S251" s="19">
        <f t="shared" si="203"/>
        <v>0</v>
      </c>
      <c r="T251" s="19">
        <f t="shared" si="204"/>
        <v>0</v>
      </c>
      <c r="U251" s="16"/>
      <c r="V251" s="19">
        <f t="shared" si="205"/>
        <v>796.05800069396355</v>
      </c>
      <c r="W251" s="16"/>
      <c r="X251" s="19">
        <f t="shared" si="206"/>
        <v>15.539358528791857</v>
      </c>
      <c r="Y251" s="19">
        <f t="shared" si="207"/>
        <v>3.9419993060364504</v>
      </c>
      <c r="Z251" s="19"/>
      <c r="AA251" s="19">
        <f t="shared" si="208"/>
        <v>9.7385251868990955E-6</v>
      </c>
    </row>
    <row r="252" spans="2:27" x14ac:dyDescent="0.3">
      <c r="B252" s="27">
        <v>60.800000000000004</v>
      </c>
      <c r="C252" s="27">
        <v>823</v>
      </c>
      <c r="D252" s="19">
        <f t="shared" ref="D252:H252" si="218">1/C$23-LN(C$23)+$B252*C$22</f>
        <v>38.468939199568325</v>
      </c>
      <c r="E252" s="19">
        <f t="shared" si="218"/>
        <v>1.9331143294318887</v>
      </c>
      <c r="F252" s="19">
        <f t="shared" si="218"/>
        <v>18.382585092994045</v>
      </c>
      <c r="G252" s="19">
        <f t="shared" si="218"/>
        <v>18.382585092994045</v>
      </c>
      <c r="H252" s="19">
        <f t="shared" si="218"/>
        <v>18.382585092994045</v>
      </c>
      <c r="I252" s="16"/>
      <c r="J252" s="19">
        <f t="shared" si="195"/>
        <v>34.9159941891198</v>
      </c>
      <c r="K252" s="19">
        <f t="shared" si="196"/>
        <v>1.5166261197350992</v>
      </c>
      <c r="L252" s="19">
        <f t="shared" si="197"/>
        <v>15.633188942349614</v>
      </c>
      <c r="M252" s="19">
        <f t="shared" si="198"/>
        <v>15.633188942349614</v>
      </c>
      <c r="N252" s="19">
        <f t="shared" si="199"/>
        <v>15.633188942349614</v>
      </c>
      <c r="O252" s="16"/>
      <c r="P252" s="19">
        <f t="shared" si="200"/>
        <v>115.65738615000436</v>
      </c>
      <c r="Q252" s="19">
        <f t="shared" si="201"/>
        <v>678.54491561907105</v>
      </c>
      <c r="R252" s="19">
        <f t="shared" si="202"/>
        <v>0</v>
      </c>
      <c r="S252" s="19">
        <f t="shared" si="203"/>
        <v>0</v>
      </c>
      <c r="T252" s="19">
        <f t="shared" si="204"/>
        <v>0</v>
      </c>
      <c r="U252" s="16"/>
      <c r="V252" s="19">
        <f t="shared" si="205"/>
        <v>794.20230176907535</v>
      </c>
      <c r="W252" s="16"/>
      <c r="X252" s="19">
        <f t="shared" si="206"/>
        <v>829.30742339940082</v>
      </c>
      <c r="Y252" s="19">
        <f t="shared" si="207"/>
        <v>28.797698230924652</v>
      </c>
      <c r="Z252" s="19"/>
      <c r="AA252" s="19">
        <f t="shared" si="208"/>
        <v>7.1143368573689465E-5</v>
      </c>
    </row>
    <row r="253" spans="2:27" x14ac:dyDescent="0.3">
      <c r="B253" s="27">
        <v>61.1</v>
      </c>
      <c r="C253" s="27">
        <v>806</v>
      </c>
      <c r="D253" s="19">
        <f t="shared" ref="D253:H253" si="219">1/C$23-LN(C$23)+$B253*C$22</f>
        <v>38.57265394976649</v>
      </c>
      <c r="E253" s="19">
        <f t="shared" si="219"/>
        <v>1.9358749215270321</v>
      </c>
      <c r="F253" s="19">
        <f t="shared" si="219"/>
        <v>18.412585092994046</v>
      </c>
      <c r="G253" s="19">
        <f t="shared" si="219"/>
        <v>18.412585092994046</v>
      </c>
      <c r="H253" s="19">
        <f t="shared" si="219"/>
        <v>18.412585092994046</v>
      </c>
      <c r="I253" s="16"/>
      <c r="J253" s="19">
        <f t="shared" si="195"/>
        <v>35.016825281459617</v>
      </c>
      <c r="K253" s="19">
        <f t="shared" si="196"/>
        <v>1.518290132612822</v>
      </c>
      <c r="L253" s="19">
        <f t="shared" si="197"/>
        <v>15.661386846547501</v>
      </c>
      <c r="M253" s="19">
        <f t="shared" si="198"/>
        <v>15.661386846547501</v>
      </c>
      <c r="N253" s="19">
        <f t="shared" si="199"/>
        <v>15.661386846547501</v>
      </c>
      <c r="O253" s="16"/>
      <c r="P253" s="19">
        <f t="shared" si="200"/>
        <v>115.00149334090476</v>
      </c>
      <c r="Q253" s="19">
        <f t="shared" si="201"/>
        <v>677.35337383814726</v>
      </c>
      <c r="R253" s="19">
        <f t="shared" si="202"/>
        <v>0</v>
      </c>
      <c r="S253" s="19">
        <f t="shared" si="203"/>
        <v>0</v>
      </c>
      <c r="T253" s="19">
        <f t="shared" si="204"/>
        <v>0</v>
      </c>
      <c r="U253" s="16"/>
      <c r="V253" s="19">
        <f t="shared" si="205"/>
        <v>792.35486717905201</v>
      </c>
      <c r="W253" s="16"/>
      <c r="X253" s="19">
        <f t="shared" si="206"/>
        <v>186.18964970131211</v>
      </c>
      <c r="Y253" s="19">
        <f t="shared" si="207"/>
        <v>13.645132820947993</v>
      </c>
      <c r="Z253" s="19"/>
      <c r="AA253" s="19">
        <f t="shared" si="208"/>
        <v>3.3709663381193096E-5</v>
      </c>
    </row>
    <row r="254" spans="2:27" x14ac:dyDescent="0.3">
      <c r="B254" s="27">
        <v>61.4</v>
      </c>
      <c r="C254" s="27">
        <v>776</v>
      </c>
      <c r="D254" s="19">
        <f t="shared" ref="D254:H254" si="220">1/C$23-LN(C$23)+$B254*C$22</f>
        <v>38.676368699964655</v>
      </c>
      <c r="E254" s="19">
        <f t="shared" si="220"/>
        <v>1.9386355136221751</v>
      </c>
      <c r="F254" s="19">
        <f t="shared" si="220"/>
        <v>18.442585092994044</v>
      </c>
      <c r="G254" s="19">
        <f t="shared" si="220"/>
        <v>18.442585092994044</v>
      </c>
      <c r="H254" s="19">
        <f t="shared" si="220"/>
        <v>18.442585092994044</v>
      </c>
      <c r="I254" s="16"/>
      <c r="J254" s="19">
        <f t="shared" si="195"/>
        <v>35.117664435806432</v>
      </c>
      <c r="K254" s="19">
        <f t="shared" si="196"/>
        <v>1.5199548699965282</v>
      </c>
      <c r="L254" s="19">
        <f t="shared" si="197"/>
        <v>15.689587798218282</v>
      </c>
      <c r="M254" s="19">
        <f t="shared" si="198"/>
        <v>15.689587798218282</v>
      </c>
      <c r="N254" s="19">
        <f t="shared" si="199"/>
        <v>15.689587798218282</v>
      </c>
      <c r="O254" s="16"/>
      <c r="P254" s="19">
        <f t="shared" si="200"/>
        <v>114.35111269061539</v>
      </c>
      <c r="Q254" s="19">
        <f t="shared" si="201"/>
        <v>676.16451514265032</v>
      </c>
      <c r="R254" s="19">
        <f t="shared" si="202"/>
        <v>0</v>
      </c>
      <c r="S254" s="19">
        <f t="shared" si="203"/>
        <v>0</v>
      </c>
      <c r="T254" s="19">
        <f t="shared" si="204"/>
        <v>0</v>
      </c>
      <c r="U254" s="16"/>
      <c r="V254" s="19">
        <f t="shared" si="205"/>
        <v>790.51562783326574</v>
      </c>
      <c r="W254" s="16"/>
      <c r="X254" s="19">
        <f t="shared" si="206"/>
        <v>210.70345139387902</v>
      </c>
      <c r="Y254" s="19">
        <f t="shared" si="207"/>
        <v>14.515627833265739</v>
      </c>
      <c r="Z254" s="19"/>
      <c r="AA254" s="19">
        <f t="shared" si="208"/>
        <v>3.5860180655395793E-5</v>
      </c>
    </row>
    <row r="255" spans="2:27" x14ac:dyDescent="0.3">
      <c r="B255" s="27">
        <v>61.699999999999996</v>
      </c>
      <c r="C255" s="27">
        <v>797</v>
      </c>
      <c r="D255" s="19">
        <f t="shared" ref="D255:H255" si="221">1/C$23-LN(C$23)+$B255*C$22</f>
        <v>38.78008345016282</v>
      </c>
      <c r="E255" s="19">
        <f t="shared" si="221"/>
        <v>1.9413961057173181</v>
      </c>
      <c r="F255" s="19">
        <f t="shared" si="221"/>
        <v>18.472585092994045</v>
      </c>
      <c r="G255" s="19">
        <f t="shared" si="221"/>
        <v>18.472585092994045</v>
      </c>
      <c r="H255" s="19">
        <f t="shared" si="221"/>
        <v>18.472585092994045</v>
      </c>
      <c r="I255" s="16"/>
      <c r="J255" s="19">
        <f t="shared" si="195"/>
        <v>35.218511607844505</v>
      </c>
      <c r="K255" s="19">
        <f t="shared" si="196"/>
        <v>1.5216203312441081</v>
      </c>
      <c r="L255" s="19">
        <f t="shared" si="197"/>
        <v>15.717791787399507</v>
      </c>
      <c r="M255" s="19">
        <f t="shared" si="198"/>
        <v>15.717791787399507</v>
      </c>
      <c r="N255" s="19">
        <f t="shared" si="199"/>
        <v>15.717791787399507</v>
      </c>
      <c r="O255" s="16"/>
      <c r="P255" s="19">
        <f t="shared" si="200"/>
        <v>113.7061830351584</v>
      </c>
      <c r="Q255" s="19">
        <f t="shared" si="201"/>
        <v>674.97833248169718</v>
      </c>
      <c r="R255" s="19">
        <f t="shared" si="202"/>
        <v>0</v>
      </c>
      <c r="S255" s="19">
        <f t="shared" si="203"/>
        <v>0</v>
      </c>
      <c r="T255" s="19">
        <f t="shared" si="204"/>
        <v>0</v>
      </c>
      <c r="U255" s="16"/>
      <c r="V255" s="19">
        <f t="shared" si="205"/>
        <v>788.68451551685553</v>
      </c>
      <c r="W255" s="16"/>
      <c r="X255" s="19">
        <f t="shared" si="206"/>
        <v>69.147282189416515</v>
      </c>
      <c r="Y255" s="19">
        <f t="shared" si="207"/>
        <v>8.3154844831444734</v>
      </c>
      <c r="Z255" s="19"/>
      <c r="AA255" s="19">
        <f t="shared" si="208"/>
        <v>2.0543016067091684E-5</v>
      </c>
    </row>
    <row r="256" spans="2:27" x14ac:dyDescent="0.3">
      <c r="B256" s="27">
        <v>62.000000000000007</v>
      </c>
      <c r="C256" s="27">
        <v>798</v>
      </c>
      <c r="D256" s="19">
        <f t="shared" ref="D256:H256" si="222">1/C$23-LN(C$23)+$B256*C$22</f>
        <v>38.883798200360985</v>
      </c>
      <c r="E256" s="19">
        <f t="shared" si="222"/>
        <v>1.9441566978124616</v>
      </c>
      <c r="F256" s="19">
        <f t="shared" si="222"/>
        <v>18.502585092994046</v>
      </c>
      <c r="G256" s="19">
        <f t="shared" si="222"/>
        <v>18.502585092994046</v>
      </c>
      <c r="H256" s="19">
        <f t="shared" si="222"/>
        <v>18.502585092994046</v>
      </c>
      <c r="I256" s="16"/>
      <c r="J256" s="19">
        <f t="shared" si="195"/>
        <v>35.319366753618937</v>
      </c>
      <c r="K256" s="19">
        <f t="shared" si="196"/>
        <v>1.523286515713822</v>
      </c>
      <c r="L256" s="19">
        <f t="shared" si="197"/>
        <v>15.74599880417637</v>
      </c>
      <c r="M256" s="19">
        <f t="shared" si="198"/>
        <v>15.74599880417637</v>
      </c>
      <c r="N256" s="19">
        <f t="shared" si="199"/>
        <v>15.74599880417637</v>
      </c>
      <c r="O256" s="16"/>
      <c r="P256" s="19">
        <f t="shared" si="200"/>
        <v>113.06664405181235</v>
      </c>
      <c r="Q256" s="19">
        <f t="shared" si="201"/>
        <v>673.79481882480536</v>
      </c>
      <c r="R256" s="19">
        <f t="shared" si="202"/>
        <v>0</v>
      </c>
      <c r="S256" s="19">
        <f t="shared" si="203"/>
        <v>0</v>
      </c>
      <c r="T256" s="19">
        <f t="shared" si="204"/>
        <v>0</v>
      </c>
      <c r="U256" s="16"/>
      <c r="V256" s="19">
        <f t="shared" si="205"/>
        <v>786.86146287661768</v>
      </c>
      <c r="W256" s="16"/>
      <c r="X256" s="19">
        <f t="shared" si="206"/>
        <v>124.0670092489661</v>
      </c>
      <c r="Y256" s="19">
        <f t="shared" si="207"/>
        <v>11.138537123382321</v>
      </c>
      <c r="Z256" s="19"/>
      <c r="AA256" s="19">
        <f t="shared" si="208"/>
        <v>2.7517235773015716E-5</v>
      </c>
    </row>
    <row r="257" spans="2:27" x14ac:dyDescent="0.3">
      <c r="B257" s="27">
        <v>62.199999999999996</v>
      </c>
      <c r="C257" s="27">
        <v>798</v>
      </c>
      <c r="D257" s="19">
        <f t="shared" ref="D257:H257" si="223">1/C$23-LN(C$23)+$B257*C$22</f>
        <v>38.952941367159752</v>
      </c>
      <c r="E257" s="19">
        <f t="shared" si="223"/>
        <v>1.9459970925425569</v>
      </c>
      <c r="F257" s="19">
        <f t="shared" si="223"/>
        <v>18.522585092994046</v>
      </c>
      <c r="G257" s="19">
        <f t="shared" si="223"/>
        <v>18.522585092994046</v>
      </c>
      <c r="H257" s="19">
        <f t="shared" si="223"/>
        <v>18.522585092994046</v>
      </c>
      <c r="I257" s="16"/>
      <c r="J257" s="19">
        <f t="shared" si="195"/>
        <v>35.38660792577766</v>
      </c>
      <c r="K257" s="19">
        <f t="shared" si="196"/>
        <v>1.524397706833631</v>
      </c>
      <c r="L257" s="19">
        <f t="shared" si="197"/>
        <v>15.764805159150438</v>
      </c>
      <c r="M257" s="19">
        <f t="shared" si="198"/>
        <v>15.764805159150438</v>
      </c>
      <c r="N257" s="19">
        <f t="shared" si="199"/>
        <v>15.764805159150438</v>
      </c>
      <c r="O257" s="16"/>
      <c r="P257" s="19">
        <f t="shared" si="200"/>
        <v>112.64325013340981</v>
      </c>
      <c r="Q257" s="19">
        <f t="shared" si="201"/>
        <v>673.0072890376108</v>
      </c>
      <c r="R257" s="19">
        <f t="shared" si="202"/>
        <v>0</v>
      </c>
      <c r="S257" s="19">
        <f t="shared" si="203"/>
        <v>0</v>
      </c>
      <c r="T257" s="19">
        <f t="shared" si="204"/>
        <v>0</v>
      </c>
      <c r="U257" s="16"/>
      <c r="V257" s="19">
        <f t="shared" si="205"/>
        <v>785.65053917102057</v>
      </c>
      <c r="W257" s="16"/>
      <c r="X257" s="19">
        <f t="shared" si="206"/>
        <v>152.50918276649733</v>
      </c>
      <c r="Y257" s="19">
        <f t="shared" si="207"/>
        <v>12.349460828979431</v>
      </c>
      <c r="Z257" s="19"/>
      <c r="AA257" s="19">
        <f t="shared" si="208"/>
        <v>3.0508766235314991E-5</v>
      </c>
    </row>
    <row r="258" spans="2:27" x14ac:dyDescent="0.3">
      <c r="B258" s="27">
        <v>62.500000000000007</v>
      </c>
      <c r="C258" s="27">
        <v>794</v>
      </c>
      <c r="D258" s="19">
        <f t="shared" ref="D258:H258" si="224">1/C$23-LN(C$23)+$B258*C$22</f>
        <v>39.056656117357925</v>
      </c>
      <c r="E258" s="19">
        <f t="shared" si="224"/>
        <v>1.9487576846377002</v>
      </c>
      <c r="F258" s="19">
        <f t="shared" si="224"/>
        <v>18.552585092994047</v>
      </c>
      <c r="G258" s="19">
        <f t="shared" si="224"/>
        <v>18.552585092994047</v>
      </c>
      <c r="H258" s="19">
        <f t="shared" si="224"/>
        <v>18.552585092994047</v>
      </c>
      <c r="I258" s="16"/>
      <c r="J258" s="19">
        <f t="shared" si="195"/>
        <v>35.487476264402936</v>
      </c>
      <c r="K258" s="19">
        <f t="shared" si="196"/>
        <v>1.5260650952484847</v>
      </c>
      <c r="L258" s="19">
        <f t="shared" si="197"/>
        <v>15.79301720001563</v>
      </c>
      <c r="M258" s="19">
        <f t="shared" si="198"/>
        <v>15.79301720001563</v>
      </c>
      <c r="N258" s="19">
        <f t="shared" si="199"/>
        <v>15.79301720001563</v>
      </c>
      <c r="O258" s="16"/>
      <c r="P258" s="19">
        <f t="shared" si="200"/>
        <v>112.0125637944253</v>
      </c>
      <c r="Q258" s="19">
        <f t="shared" si="201"/>
        <v>671.82820815274067</v>
      </c>
      <c r="R258" s="19">
        <f t="shared" si="202"/>
        <v>0</v>
      </c>
      <c r="S258" s="19">
        <f t="shared" si="203"/>
        <v>0</v>
      </c>
      <c r="T258" s="19">
        <f t="shared" si="204"/>
        <v>0</v>
      </c>
      <c r="U258" s="16"/>
      <c r="V258" s="19">
        <f t="shared" si="205"/>
        <v>783.84077194716599</v>
      </c>
      <c r="W258" s="16"/>
      <c r="X258" s="19">
        <f t="shared" si="206"/>
        <v>103.2099146294895</v>
      </c>
      <c r="Y258" s="19">
        <f t="shared" si="207"/>
        <v>10.15922805283401</v>
      </c>
      <c r="Z258" s="19"/>
      <c r="AA258" s="19">
        <f t="shared" si="208"/>
        <v>2.5097898449772337E-5</v>
      </c>
    </row>
    <row r="259" spans="2:27" x14ac:dyDescent="0.3">
      <c r="B259" s="27">
        <v>62.800000000000004</v>
      </c>
      <c r="C259" s="27">
        <v>802</v>
      </c>
      <c r="D259" s="19">
        <f t="shared" ref="D259:H259" si="225">1/C$23-LN(C$23)+$B259*C$22</f>
        <v>39.16037086755609</v>
      </c>
      <c r="E259" s="19">
        <f t="shared" si="225"/>
        <v>1.9515182767328434</v>
      </c>
      <c r="F259" s="19">
        <f t="shared" si="225"/>
        <v>18.582585092994044</v>
      </c>
      <c r="G259" s="19">
        <f t="shared" si="225"/>
        <v>18.582585092994044</v>
      </c>
      <c r="H259" s="19">
        <f t="shared" si="225"/>
        <v>18.582585092994044</v>
      </c>
      <c r="I259" s="16"/>
      <c r="J259" s="19">
        <f t="shared" si="195"/>
        <v>35.588352461286277</v>
      </c>
      <c r="K259" s="19">
        <f t="shared" si="196"/>
        <v>1.5277332051759793</v>
      </c>
      <c r="L259" s="19">
        <f t="shared" si="197"/>
        <v>15.821232242267707</v>
      </c>
      <c r="M259" s="19">
        <f t="shared" si="198"/>
        <v>15.821232242267707</v>
      </c>
      <c r="N259" s="19">
        <f t="shared" si="199"/>
        <v>15.821232242267707</v>
      </c>
      <c r="O259" s="16"/>
      <c r="P259" s="19">
        <f t="shared" si="200"/>
        <v>111.38711127579083</v>
      </c>
      <c r="Q259" s="19">
        <f t="shared" si="201"/>
        <v>670.6517776232447</v>
      </c>
      <c r="R259" s="19">
        <f t="shared" si="202"/>
        <v>0</v>
      </c>
      <c r="S259" s="19">
        <f t="shared" si="203"/>
        <v>0</v>
      </c>
      <c r="T259" s="19">
        <f t="shared" si="204"/>
        <v>0</v>
      </c>
      <c r="U259" s="16"/>
      <c r="V259" s="19">
        <f t="shared" si="205"/>
        <v>782.03888889903556</v>
      </c>
      <c r="W259" s="16"/>
      <c r="X259" s="19">
        <f t="shared" si="206"/>
        <v>398.44595638504597</v>
      </c>
      <c r="Y259" s="19">
        <f t="shared" si="207"/>
        <v>19.961111100964445</v>
      </c>
      <c r="Z259" s="19"/>
      <c r="AA259" s="19">
        <f t="shared" si="208"/>
        <v>4.9312992754097636E-5</v>
      </c>
    </row>
    <row r="260" spans="2:27" x14ac:dyDescent="0.3">
      <c r="B260" s="27">
        <v>63.1</v>
      </c>
      <c r="C260" s="27">
        <v>800</v>
      </c>
      <c r="D260" s="19">
        <f t="shared" ref="D260:H260" si="226">1/C$23-LN(C$23)+$B260*C$22</f>
        <v>39.264085617754255</v>
      </c>
      <c r="E260" s="19">
        <f t="shared" si="226"/>
        <v>1.9542788688279864</v>
      </c>
      <c r="F260" s="19">
        <f t="shared" si="226"/>
        <v>18.612585092994046</v>
      </c>
      <c r="G260" s="19">
        <f t="shared" si="226"/>
        <v>18.612585092994046</v>
      </c>
      <c r="H260" s="19">
        <f t="shared" si="226"/>
        <v>18.612585092994046</v>
      </c>
      <c r="I260" s="16"/>
      <c r="J260" s="19">
        <f t="shared" si="195"/>
        <v>35.689236473763088</v>
      </c>
      <c r="K260" s="19">
        <f t="shared" si="196"/>
        <v>1.5294020359757385</v>
      </c>
      <c r="L260" s="19">
        <f t="shared" si="197"/>
        <v>15.849450276164077</v>
      </c>
      <c r="M260" s="19">
        <f t="shared" si="198"/>
        <v>15.849450276164077</v>
      </c>
      <c r="N260" s="19">
        <f t="shared" si="199"/>
        <v>15.849450276164077</v>
      </c>
      <c r="O260" s="16"/>
      <c r="P260" s="19">
        <f t="shared" si="200"/>
        <v>110.76683522345652</v>
      </c>
      <c r="Q260" s="19">
        <f t="shared" si="201"/>
        <v>669.47799049291382</v>
      </c>
      <c r="R260" s="19">
        <f t="shared" si="202"/>
        <v>0</v>
      </c>
      <c r="S260" s="19">
        <f t="shared" si="203"/>
        <v>0</v>
      </c>
      <c r="T260" s="19">
        <f t="shared" si="204"/>
        <v>0</v>
      </c>
      <c r="U260" s="16"/>
      <c r="V260" s="19">
        <f t="shared" si="205"/>
        <v>780.24482571637031</v>
      </c>
      <c r="W260" s="16"/>
      <c r="X260" s="19">
        <f t="shared" si="206"/>
        <v>390.26691097658363</v>
      </c>
      <c r="Y260" s="19">
        <f t="shared" si="207"/>
        <v>19.755174283629685</v>
      </c>
      <c r="Z260" s="19"/>
      <c r="AA260" s="19">
        <f t="shared" si="208"/>
        <v>4.8804235464502655E-5</v>
      </c>
    </row>
    <row r="261" spans="2:27" x14ac:dyDescent="0.3">
      <c r="B261" s="27">
        <v>63.4</v>
      </c>
      <c r="C261" s="27">
        <v>758</v>
      </c>
      <c r="D261" s="19">
        <f t="shared" ref="D261:H261" si="227">1/C$23-LN(C$23)+$B261*C$22</f>
        <v>39.36780036795242</v>
      </c>
      <c r="E261" s="19">
        <f t="shared" si="227"/>
        <v>1.9570394609231294</v>
      </c>
      <c r="F261" s="19">
        <f t="shared" si="227"/>
        <v>18.642585092994047</v>
      </c>
      <c r="G261" s="19">
        <f t="shared" si="227"/>
        <v>18.642585092994047</v>
      </c>
      <c r="H261" s="19">
        <f t="shared" si="227"/>
        <v>18.642585092994047</v>
      </c>
      <c r="I261" s="16"/>
      <c r="J261" s="19">
        <f t="shared" si="195"/>
        <v>35.790128259511953</v>
      </c>
      <c r="K261" s="19">
        <f t="shared" si="196"/>
        <v>1.5310715870077605</v>
      </c>
      <c r="L261" s="19">
        <f t="shared" si="197"/>
        <v>15.877671292008426</v>
      </c>
      <c r="M261" s="19">
        <f t="shared" si="198"/>
        <v>15.877671292008426</v>
      </c>
      <c r="N261" s="19">
        <f t="shared" si="199"/>
        <v>15.877671292008426</v>
      </c>
      <c r="O261" s="16"/>
      <c r="P261" s="19">
        <f t="shared" si="200"/>
        <v>110.15167906251155</v>
      </c>
      <c r="Q261" s="19">
        <f t="shared" si="201"/>
        <v>668.30683982565142</v>
      </c>
      <c r="R261" s="19">
        <f t="shared" si="202"/>
        <v>0</v>
      </c>
      <c r="S261" s="19">
        <f t="shared" si="203"/>
        <v>0</v>
      </c>
      <c r="T261" s="19">
        <f t="shared" si="204"/>
        <v>0</v>
      </c>
      <c r="U261" s="16"/>
      <c r="V261" s="19">
        <f t="shared" si="205"/>
        <v>778.45851888816298</v>
      </c>
      <c r="W261" s="16"/>
      <c r="X261" s="19">
        <f t="shared" si="206"/>
        <v>418.55099509732162</v>
      </c>
      <c r="Y261" s="19">
        <f t="shared" si="207"/>
        <v>20.458518888162985</v>
      </c>
      <c r="Z261" s="19"/>
      <c r="AA261" s="19">
        <f t="shared" si="208"/>
        <v>5.0541815462507303E-5</v>
      </c>
    </row>
    <row r="262" spans="2:27" x14ac:dyDescent="0.3">
      <c r="B262" s="27">
        <v>63.699999999999996</v>
      </c>
      <c r="C262" s="27">
        <v>751</v>
      </c>
      <c r="D262" s="19">
        <f t="shared" ref="D262:H262" si="228">1/C$23-LN(C$23)+$B262*C$22</f>
        <v>39.471515118150585</v>
      </c>
      <c r="E262" s="19">
        <f t="shared" si="228"/>
        <v>1.9598000530182726</v>
      </c>
      <c r="F262" s="19">
        <f t="shared" si="228"/>
        <v>18.672585092994044</v>
      </c>
      <c r="G262" s="19">
        <f t="shared" si="228"/>
        <v>18.672585092994044</v>
      </c>
      <c r="H262" s="19">
        <f t="shared" si="228"/>
        <v>18.672585092994044</v>
      </c>
      <c r="I262" s="16"/>
      <c r="J262" s="19">
        <f t="shared" si="195"/>
        <v>35.89102777655097</v>
      </c>
      <c r="K262" s="19">
        <f t="shared" si="196"/>
        <v>1.5327418576324183</v>
      </c>
      <c r="L262" s="19">
        <f t="shared" si="197"/>
        <v>15.90589528015043</v>
      </c>
      <c r="M262" s="19">
        <f t="shared" si="198"/>
        <v>15.90589528015043</v>
      </c>
      <c r="N262" s="19">
        <f t="shared" si="199"/>
        <v>15.90589528015043</v>
      </c>
      <c r="O262" s="16"/>
      <c r="P262" s="19">
        <f t="shared" si="200"/>
        <v>109.54158698457671</v>
      </c>
      <c r="Q262" s="19">
        <f t="shared" si="201"/>
        <v>667.13831870541276</v>
      </c>
      <c r="R262" s="19">
        <f t="shared" si="202"/>
        <v>0</v>
      </c>
      <c r="S262" s="19">
        <f t="shared" si="203"/>
        <v>0</v>
      </c>
      <c r="T262" s="19">
        <f t="shared" si="204"/>
        <v>0</v>
      </c>
      <c r="U262" s="16"/>
      <c r="V262" s="19">
        <f t="shared" si="205"/>
        <v>776.67990568998948</v>
      </c>
      <c r="W262" s="16"/>
      <c r="X262" s="19">
        <f t="shared" si="206"/>
        <v>659.45755624675417</v>
      </c>
      <c r="Y262" s="19">
        <f t="shared" si="207"/>
        <v>25.679905689989482</v>
      </c>
      <c r="Z262" s="19"/>
      <c r="AA262" s="19">
        <f t="shared" si="208"/>
        <v>6.3441007707991598E-5</v>
      </c>
    </row>
    <row r="263" spans="2:27" x14ac:dyDescent="0.3">
      <c r="B263" s="27">
        <v>64</v>
      </c>
      <c r="C263" s="27">
        <v>804</v>
      </c>
      <c r="D263" s="19">
        <f t="shared" ref="D263:H263" si="229">1/C$23-LN(C$23)+$B263*C$22</f>
        <v>39.57522986834875</v>
      </c>
      <c r="E263" s="19">
        <f t="shared" si="229"/>
        <v>1.9625606451134159</v>
      </c>
      <c r="F263" s="19">
        <f t="shared" si="229"/>
        <v>18.702585092994045</v>
      </c>
      <c r="G263" s="19">
        <f t="shared" si="229"/>
        <v>18.702585092994045</v>
      </c>
      <c r="H263" s="19">
        <f t="shared" si="229"/>
        <v>18.702585092994045</v>
      </c>
      <c r="I263" s="16"/>
      <c r="J263" s="19">
        <f t="shared" si="195"/>
        <v>35.991934983234209</v>
      </c>
      <c r="K263" s="19">
        <f t="shared" si="196"/>
        <v>1.5344128472104621</v>
      </c>
      <c r="L263" s="19">
        <f t="shared" si="197"/>
        <v>15.934122230985496</v>
      </c>
      <c r="M263" s="19">
        <f t="shared" si="198"/>
        <v>15.934122230985496</v>
      </c>
      <c r="N263" s="19">
        <f t="shared" si="199"/>
        <v>15.934122230985496</v>
      </c>
      <c r="O263" s="16"/>
      <c r="P263" s="19">
        <f t="shared" si="200"/>
        <v>108.9365039354327</v>
      </c>
      <c r="Q263" s="19">
        <f t="shared" si="201"/>
        <v>665.97242023614331</v>
      </c>
      <c r="R263" s="19">
        <f t="shared" si="202"/>
        <v>0</v>
      </c>
      <c r="S263" s="19">
        <f t="shared" si="203"/>
        <v>0</v>
      </c>
      <c r="T263" s="19">
        <f t="shared" si="204"/>
        <v>0</v>
      </c>
      <c r="U263" s="16"/>
      <c r="V263" s="19">
        <f t="shared" si="205"/>
        <v>774.90892417157602</v>
      </c>
      <c r="W263" s="16"/>
      <c r="X263" s="19">
        <f t="shared" si="206"/>
        <v>846.29069285511412</v>
      </c>
      <c r="Y263" s="19">
        <f t="shared" si="207"/>
        <v>29.091075828423982</v>
      </c>
      <c r="Z263" s="19"/>
      <c r="AA263" s="19">
        <f t="shared" si="208"/>
        <v>7.1868144227034731E-5</v>
      </c>
    </row>
    <row r="264" spans="2:27" x14ac:dyDescent="0.3">
      <c r="B264" s="27">
        <v>64.199999999999989</v>
      </c>
      <c r="C264" s="27">
        <v>759</v>
      </c>
      <c r="D264" s="19">
        <f t="shared" ref="D264:H264" si="230">1/C$23-LN(C$23)+$B264*C$22</f>
        <v>39.644373035147524</v>
      </c>
      <c r="E264" s="19">
        <f t="shared" si="230"/>
        <v>1.9644010398435112</v>
      </c>
      <c r="F264" s="19">
        <f t="shared" si="230"/>
        <v>18.722585092994045</v>
      </c>
      <c r="G264" s="19">
        <f t="shared" si="230"/>
        <v>18.722585092994045</v>
      </c>
      <c r="H264" s="19">
        <f t="shared" si="230"/>
        <v>18.722585092994045</v>
      </c>
      <c r="I264" s="16"/>
      <c r="J264" s="19">
        <f t="shared" si="195"/>
        <v>36.059210705965604</v>
      </c>
      <c r="K264" s="19">
        <f t="shared" si="196"/>
        <v>1.5355272393655306</v>
      </c>
      <c r="L264" s="19">
        <f t="shared" si="197"/>
        <v>15.952941839427018</v>
      </c>
      <c r="M264" s="19">
        <f t="shared" si="198"/>
        <v>15.952941839427018</v>
      </c>
      <c r="N264" s="19">
        <f t="shared" si="199"/>
        <v>15.952941839427018</v>
      </c>
      <c r="O264" s="16"/>
      <c r="P264" s="19">
        <f t="shared" si="200"/>
        <v>108.53587117876218</v>
      </c>
      <c r="Q264" s="19">
        <f t="shared" si="201"/>
        <v>665.19660822184483</v>
      </c>
      <c r="R264" s="19">
        <f t="shared" si="202"/>
        <v>0</v>
      </c>
      <c r="S264" s="19">
        <f t="shared" si="203"/>
        <v>0</v>
      </c>
      <c r="T264" s="19">
        <f t="shared" si="204"/>
        <v>0</v>
      </c>
      <c r="U264" s="16"/>
      <c r="V264" s="19">
        <f t="shared" si="205"/>
        <v>773.73247940060696</v>
      </c>
      <c r="W264" s="16"/>
      <c r="X264" s="19">
        <f t="shared" si="206"/>
        <v>217.04594928930848</v>
      </c>
      <c r="Y264" s="19">
        <f t="shared" si="207"/>
        <v>14.732479400606962</v>
      </c>
      <c r="Z264" s="19"/>
      <c r="AA264" s="19">
        <f t="shared" si="208"/>
        <v>3.6395902325142711E-5</v>
      </c>
    </row>
    <row r="265" spans="2:27" x14ac:dyDescent="0.3">
      <c r="B265" s="27">
        <v>64.5</v>
      </c>
      <c r="C265" s="27">
        <v>781</v>
      </c>
      <c r="D265" s="19">
        <f t="shared" ref="D265:H265" si="231">1/C$23-LN(C$23)+$B265*C$22</f>
        <v>39.748087785345689</v>
      </c>
      <c r="E265" s="19">
        <f t="shared" si="231"/>
        <v>1.9671616319386545</v>
      </c>
      <c r="F265" s="19">
        <f t="shared" si="231"/>
        <v>18.752585092994046</v>
      </c>
      <c r="G265" s="19">
        <f t="shared" si="231"/>
        <v>18.752585092994046</v>
      </c>
      <c r="H265" s="19">
        <f t="shared" si="231"/>
        <v>18.752585092994046</v>
      </c>
      <c r="I265" s="16"/>
      <c r="J265" s="19">
        <f t="shared" si="195"/>
        <v>36.160130637077209</v>
      </c>
      <c r="K265" s="19">
        <f t="shared" si="196"/>
        <v>1.5371994257796866</v>
      </c>
      <c r="L265" s="19">
        <f t="shared" si="197"/>
        <v>15.981173706863542</v>
      </c>
      <c r="M265" s="19">
        <f t="shared" si="198"/>
        <v>15.981173706863542</v>
      </c>
      <c r="N265" s="19">
        <f t="shared" si="199"/>
        <v>15.981173706863542</v>
      </c>
      <c r="O265" s="16"/>
      <c r="P265" s="19">
        <f t="shared" si="200"/>
        <v>107.93901617819031</v>
      </c>
      <c r="Q265" s="19">
        <f t="shared" si="201"/>
        <v>664.03506556706282</v>
      </c>
      <c r="R265" s="19">
        <f t="shared" si="202"/>
        <v>0</v>
      </c>
      <c r="S265" s="19">
        <f t="shared" si="203"/>
        <v>0</v>
      </c>
      <c r="T265" s="19">
        <f t="shared" si="204"/>
        <v>0</v>
      </c>
      <c r="U265" s="16"/>
      <c r="V265" s="19">
        <f t="shared" si="205"/>
        <v>771.9740817452531</v>
      </c>
      <c r="W265" s="16"/>
      <c r="X265" s="19">
        <f t="shared" si="206"/>
        <v>81.467200341373285</v>
      </c>
      <c r="Y265" s="19">
        <f t="shared" si="207"/>
        <v>9.0259182547468981</v>
      </c>
      <c r="Z265" s="19"/>
      <c r="AA265" s="19">
        <f t="shared" si="208"/>
        <v>2.2298109521263375E-5</v>
      </c>
    </row>
    <row r="266" spans="2:27" x14ac:dyDescent="0.3">
      <c r="B266" s="27">
        <v>64.800000000000011</v>
      </c>
      <c r="C266" s="27">
        <v>737</v>
      </c>
      <c r="D266" s="19">
        <f t="shared" ref="D266:H266" si="232">1/C$23-LN(C$23)+$B266*C$22</f>
        <v>39.851802535543861</v>
      </c>
      <c r="E266" s="19">
        <f t="shared" si="232"/>
        <v>1.9699222240337977</v>
      </c>
      <c r="F266" s="19">
        <f t="shared" si="232"/>
        <v>18.782585092994047</v>
      </c>
      <c r="G266" s="19">
        <f t="shared" si="232"/>
        <v>18.782585092994047</v>
      </c>
      <c r="H266" s="19">
        <f t="shared" si="232"/>
        <v>18.782585092994047</v>
      </c>
      <c r="I266" s="16"/>
      <c r="J266" s="19">
        <f t="shared" si="195"/>
        <v>36.261058148392735</v>
      </c>
      <c r="K266" s="19">
        <f t="shared" si="196"/>
        <v>1.5388723294444087</v>
      </c>
      <c r="L266" s="19">
        <f t="shared" si="197"/>
        <v>16.009408511602185</v>
      </c>
      <c r="M266" s="19">
        <f t="shared" si="198"/>
        <v>16.009408511602185</v>
      </c>
      <c r="N266" s="19">
        <f t="shared" si="199"/>
        <v>16.009408511602185</v>
      </c>
      <c r="O266" s="16"/>
      <c r="P266" s="19">
        <f t="shared" si="200"/>
        <v>107.34702699055447</v>
      </c>
      <c r="Q266" s="19">
        <f t="shared" si="201"/>
        <v>662.87612727104272</v>
      </c>
      <c r="R266" s="19">
        <f t="shared" si="202"/>
        <v>0</v>
      </c>
      <c r="S266" s="19">
        <f t="shared" si="203"/>
        <v>0</v>
      </c>
      <c r="T266" s="19">
        <f t="shared" si="204"/>
        <v>0</v>
      </c>
      <c r="U266" s="16"/>
      <c r="V266" s="19">
        <f t="shared" si="205"/>
        <v>770.22315426159719</v>
      </c>
      <c r="W266" s="16"/>
      <c r="X266" s="19">
        <f t="shared" si="206"/>
        <v>1103.7779790898833</v>
      </c>
      <c r="Y266" s="19">
        <f t="shared" si="207"/>
        <v>33.223154261597188</v>
      </c>
      <c r="Z266" s="19"/>
      <c r="AA266" s="19">
        <f t="shared" si="208"/>
        <v>8.2076251020478117E-5</v>
      </c>
    </row>
    <row r="267" spans="2:27" x14ac:dyDescent="0.3">
      <c r="B267" s="27">
        <v>65.099999999999994</v>
      </c>
      <c r="C267" s="27">
        <v>754</v>
      </c>
      <c r="D267" s="19">
        <f t="shared" ref="D267:H267" si="233">1/C$23-LN(C$23)+$B267*C$22</f>
        <v>39.955517285742019</v>
      </c>
      <c r="E267" s="19">
        <f t="shared" si="233"/>
        <v>1.9726828161289407</v>
      </c>
      <c r="F267" s="19">
        <f t="shared" si="233"/>
        <v>18.812585092994045</v>
      </c>
      <c r="G267" s="19">
        <f t="shared" si="233"/>
        <v>18.812585092994045</v>
      </c>
      <c r="H267" s="19">
        <f t="shared" si="233"/>
        <v>18.812585092994045</v>
      </c>
      <c r="I267" s="16"/>
      <c r="J267" s="19">
        <f t="shared" si="195"/>
        <v>36.361993199468003</v>
      </c>
      <c r="K267" s="19">
        <f t="shared" si="196"/>
        <v>1.5405459497218343</v>
      </c>
      <c r="L267" s="19">
        <f t="shared" si="197"/>
        <v>16.037646244203543</v>
      </c>
      <c r="M267" s="19">
        <f t="shared" si="198"/>
        <v>16.037646244203543</v>
      </c>
      <c r="N267" s="19">
        <f t="shared" si="199"/>
        <v>16.037646244203543</v>
      </c>
      <c r="O267" s="16"/>
      <c r="P267" s="19">
        <f t="shared" si="200"/>
        <v>106.75985122473199</v>
      </c>
      <c r="Q267" s="19">
        <f t="shared" si="201"/>
        <v>661.7197865105112</v>
      </c>
      <c r="R267" s="19">
        <f t="shared" si="202"/>
        <v>0</v>
      </c>
      <c r="S267" s="19">
        <f t="shared" si="203"/>
        <v>0</v>
      </c>
      <c r="T267" s="19">
        <f t="shared" si="204"/>
        <v>0</v>
      </c>
      <c r="U267" s="16"/>
      <c r="V267" s="19">
        <f t="shared" si="205"/>
        <v>768.47963773524316</v>
      </c>
      <c r="W267" s="16"/>
      <c r="X267" s="19">
        <f t="shared" si="206"/>
        <v>209.65990894387764</v>
      </c>
      <c r="Y267" s="19">
        <f t="shared" si="207"/>
        <v>14.479637735243159</v>
      </c>
      <c r="Z267" s="19"/>
      <c r="AA267" s="19">
        <f t="shared" si="208"/>
        <v>3.5771268799035202E-5</v>
      </c>
    </row>
    <row r="268" spans="2:27" x14ac:dyDescent="0.3">
      <c r="B268" s="27">
        <v>65.400000000000006</v>
      </c>
      <c r="C268" s="27">
        <v>754</v>
      </c>
      <c r="D268" s="19">
        <f t="shared" ref="D268:H268" si="234">1/C$23-LN(C$23)+$B268*C$22</f>
        <v>40.059232035940184</v>
      </c>
      <c r="E268" s="19">
        <f t="shared" si="234"/>
        <v>1.9754434082240842</v>
      </c>
      <c r="F268" s="19">
        <f t="shared" si="234"/>
        <v>18.842585092994046</v>
      </c>
      <c r="G268" s="19">
        <f t="shared" si="234"/>
        <v>18.842585092994046</v>
      </c>
      <c r="H268" s="19">
        <f t="shared" si="234"/>
        <v>18.842585092994046</v>
      </c>
      <c r="I268" s="16"/>
      <c r="J268" s="19">
        <f t="shared" si="195"/>
        <v>36.462935750178637</v>
      </c>
      <c r="K268" s="19">
        <f t="shared" si="196"/>
        <v>1.5422202859744831</v>
      </c>
      <c r="L268" s="19">
        <f t="shared" si="197"/>
        <v>16.065886895272644</v>
      </c>
      <c r="M268" s="19">
        <f t="shared" si="198"/>
        <v>16.065886895272644</v>
      </c>
      <c r="N268" s="19">
        <f t="shared" si="199"/>
        <v>16.065886895272644</v>
      </c>
      <c r="O268" s="16"/>
      <c r="P268" s="19">
        <f t="shared" si="200"/>
        <v>106.17743718900834</v>
      </c>
      <c r="Q268" s="19">
        <f t="shared" si="201"/>
        <v>660.56603648190321</v>
      </c>
      <c r="R268" s="19">
        <f t="shared" si="202"/>
        <v>0</v>
      </c>
      <c r="S268" s="19">
        <f t="shared" si="203"/>
        <v>0</v>
      </c>
      <c r="T268" s="19">
        <f t="shared" si="204"/>
        <v>0</v>
      </c>
      <c r="U268" s="16"/>
      <c r="V268" s="19">
        <f t="shared" si="205"/>
        <v>766.7434736709115</v>
      </c>
      <c r="W268" s="16"/>
      <c r="X268" s="19">
        <f t="shared" si="206"/>
        <v>162.39612120121458</v>
      </c>
      <c r="Y268" s="19">
        <f t="shared" si="207"/>
        <v>12.743473670911499</v>
      </c>
      <c r="Z268" s="19"/>
      <c r="AA268" s="19">
        <f t="shared" si="208"/>
        <v>3.1482156560179156E-5</v>
      </c>
    </row>
    <row r="269" spans="2:27" x14ac:dyDescent="0.3">
      <c r="B269" s="27">
        <v>65.699999999999989</v>
      </c>
      <c r="C269" s="27">
        <v>818</v>
      </c>
      <c r="D269" s="19">
        <f t="shared" ref="D269:H269" si="235">1/C$23-LN(C$23)+$B269*C$22</f>
        <v>40.162946786138349</v>
      </c>
      <c r="E269" s="19">
        <f t="shared" si="235"/>
        <v>1.9782040003192272</v>
      </c>
      <c r="F269" s="19">
        <f t="shared" si="235"/>
        <v>18.872585092994044</v>
      </c>
      <c r="G269" s="19">
        <f t="shared" si="235"/>
        <v>18.872585092994044</v>
      </c>
      <c r="H269" s="19">
        <f t="shared" si="235"/>
        <v>18.872585092994044</v>
      </c>
      <c r="I269" s="16"/>
      <c r="J269" s="19">
        <f t="shared" si="195"/>
        <v>36.563885760716694</v>
      </c>
      <c r="K269" s="19">
        <f t="shared" si="196"/>
        <v>1.5438953375652553</v>
      </c>
      <c r="L269" s="19">
        <f t="shared" si="197"/>
        <v>16.094130455458625</v>
      </c>
      <c r="M269" s="19">
        <f t="shared" si="198"/>
        <v>16.094130455458625</v>
      </c>
      <c r="N269" s="19">
        <f t="shared" si="199"/>
        <v>16.094130455458625</v>
      </c>
      <c r="O269" s="16"/>
      <c r="P269" s="19">
        <f t="shared" si="200"/>
        <v>105.59973387995396</v>
      </c>
      <c r="Q269" s="19">
        <f t="shared" si="201"/>
        <v>659.41487040130255</v>
      </c>
      <c r="R269" s="19">
        <f t="shared" si="202"/>
        <v>0</v>
      </c>
      <c r="S269" s="19">
        <f t="shared" si="203"/>
        <v>0</v>
      </c>
      <c r="T269" s="19">
        <f t="shared" si="204"/>
        <v>0</v>
      </c>
      <c r="U269" s="16"/>
      <c r="V269" s="19">
        <f t="shared" si="205"/>
        <v>765.01460428125654</v>
      </c>
      <c r="W269" s="16"/>
      <c r="X269" s="19">
        <f t="shared" si="206"/>
        <v>2807.4521594718381</v>
      </c>
      <c r="Y269" s="19">
        <f t="shared" si="207"/>
        <v>52.985395718743462</v>
      </c>
      <c r="Z269" s="19"/>
      <c r="AA269" s="19">
        <f t="shared" si="208"/>
        <v>1.3089794560710343E-4</v>
      </c>
    </row>
    <row r="270" spans="2:27" x14ac:dyDescent="0.3">
      <c r="B270" s="27">
        <v>66</v>
      </c>
      <c r="C270" s="27">
        <v>770</v>
      </c>
      <c r="D270" s="19">
        <f t="shared" ref="D270:H270" si="236">1/C$23-LN(C$23)+$B270*C$22</f>
        <v>40.266661536336514</v>
      </c>
      <c r="E270" s="19">
        <f t="shared" si="236"/>
        <v>1.9809645924143702</v>
      </c>
      <c r="F270" s="19">
        <f t="shared" si="236"/>
        <v>18.902585092994045</v>
      </c>
      <c r="G270" s="19">
        <f t="shared" si="236"/>
        <v>18.902585092994045</v>
      </c>
      <c r="H270" s="19">
        <f t="shared" si="236"/>
        <v>18.902585092994045</v>
      </c>
      <c r="I270" s="16"/>
      <c r="J270" s="19">
        <f t="shared" si="195"/>
        <v>36.664843191587366</v>
      </c>
      <c r="K270" s="19">
        <f t="shared" si="196"/>
        <v>1.5455711038574347</v>
      </c>
      <c r="L270" s="19">
        <f t="shared" si="197"/>
        <v>16.122376915454517</v>
      </c>
      <c r="M270" s="19">
        <f t="shared" si="198"/>
        <v>16.122376915454517</v>
      </c>
      <c r="N270" s="19">
        <f t="shared" si="199"/>
        <v>16.122376915454517</v>
      </c>
      <c r="O270" s="16"/>
      <c r="P270" s="19">
        <f t="shared" si="200"/>
        <v>105.02669097150611</v>
      </c>
      <c r="Q270" s="19">
        <f t="shared" si="201"/>
        <v>658.26628150438205</v>
      </c>
      <c r="R270" s="19">
        <f t="shared" si="202"/>
        <v>0</v>
      </c>
      <c r="S270" s="19">
        <f t="shared" si="203"/>
        <v>0</v>
      </c>
      <c r="T270" s="19">
        <f t="shared" si="204"/>
        <v>0</v>
      </c>
      <c r="U270" s="16"/>
      <c r="V270" s="19">
        <f t="shared" si="205"/>
        <v>763.29297247588818</v>
      </c>
      <c r="W270" s="16"/>
      <c r="X270" s="19">
        <f t="shared" si="206"/>
        <v>44.984218209193564</v>
      </c>
      <c r="Y270" s="19">
        <f t="shared" si="207"/>
        <v>6.7070275241118225</v>
      </c>
      <c r="Z270" s="19"/>
      <c r="AA270" s="19">
        <f t="shared" si="208"/>
        <v>1.6569398267718646E-5</v>
      </c>
    </row>
    <row r="271" spans="2:27" x14ac:dyDescent="0.3">
      <c r="B271" s="27">
        <v>66.199999999999989</v>
      </c>
      <c r="C271" s="27">
        <v>762</v>
      </c>
      <c r="D271" s="19">
        <f t="shared" ref="D271:H271" si="237">1/C$23-LN(C$23)+$B271*C$22</f>
        <v>40.335804703135295</v>
      </c>
      <c r="E271" s="19">
        <f t="shared" si="237"/>
        <v>1.9828049871444655</v>
      </c>
      <c r="F271" s="19">
        <f t="shared" si="237"/>
        <v>18.922585092994044</v>
      </c>
      <c r="G271" s="19">
        <f t="shared" si="237"/>
        <v>18.922585092994044</v>
      </c>
      <c r="H271" s="19">
        <f t="shared" si="237"/>
        <v>18.922585092994044</v>
      </c>
      <c r="I271" s="16"/>
      <c r="J271" s="19">
        <f t="shared" si="195"/>
        <v>36.732152248544928</v>
      </c>
      <c r="K271" s="19">
        <f t="shared" si="196"/>
        <v>1.5466886781276374</v>
      </c>
      <c r="L271" s="19">
        <f t="shared" si="197"/>
        <v>16.141209495214312</v>
      </c>
      <c r="M271" s="19">
        <f t="shared" si="198"/>
        <v>16.141209495214312</v>
      </c>
      <c r="N271" s="19">
        <f t="shared" si="199"/>
        <v>16.141209495214312</v>
      </c>
      <c r="O271" s="16"/>
      <c r="P271" s="19">
        <f t="shared" si="200"/>
        <v>104.64722692703972</v>
      </c>
      <c r="Q271" s="19">
        <f t="shared" si="201"/>
        <v>657.50198401024647</v>
      </c>
      <c r="R271" s="19">
        <f t="shared" si="202"/>
        <v>0</v>
      </c>
      <c r="S271" s="19">
        <f t="shared" si="203"/>
        <v>0</v>
      </c>
      <c r="T271" s="19">
        <f t="shared" si="204"/>
        <v>0</v>
      </c>
      <c r="U271" s="16"/>
      <c r="V271" s="19">
        <f t="shared" si="205"/>
        <v>762.14921093728617</v>
      </c>
      <c r="W271" s="16"/>
      <c r="X271" s="19">
        <f t="shared" si="206"/>
        <v>2.2263903805817511E-2</v>
      </c>
      <c r="Y271" s="19">
        <f t="shared" si="207"/>
        <v>0.14921093728617052</v>
      </c>
      <c r="Z271" s="19"/>
      <c r="AA271" s="19">
        <f t="shared" si="208"/>
        <v>3.686186521385341E-7</v>
      </c>
    </row>
    <row r="272" spans="2:27" x14ac:dyDescent="0.3">
      <c r="B272" s="27">
        <v>66.5</v>
      </c>
      <c r="C272" s="27">
        <v>803</v>
      </c>
      <c r="D272" s="19">
        <f t="shared" ref="D272:H272" si="238">1/C$23-LN(C$23)+$B272*C$22</f>
        <v>40.43951945333346</v>
      </c>
      <c r="E272" s="19">
        <f t="shared" si="238"/>
        <v>1.985565579239609</v>
      </c>
      <c r="F272" s="19">
        <f t="shared" si="238"/>
        <v>18.952585092994045</v>
      </c>
      <c r="G272" s="19">
        <f t="shared" si="238"/>
        <v>18.952585092994045</v>
      </c>
      <c r="H272" s="19">
        <f t="shared" si="238"/>
        <v>18.952585092994045</v>
      </c>
      <c r="I272" s="16"/>
      <c r="J272" s="19">
        <f t="shared" si="195"/>
        <v>36.833121959710617</v>
      </c>
      <c r="K272" s="19">
        <f t="shared" si="196"/>
        <v>1.5483656341749463</v>
      </c>
      <c r="L272" s="19">
        <f t="shared" si="197"/>
        <v>16.169460767662819</v>
      </c>
      <c r="M272" s="19">
        <f t="shared" si="198"/>
        <v>16.169460767662819</v>
      </c>
      <c r="N272" s="19">
        <f t="shared" si="199"/>
        <v>16.169460767662819</v>
      </c>
      <c r="O272" s="16"/>
      <c r="P272" s="19">
        <f t="shared" si="200"/>
        <v>104.08184132312458</v>
      </c>
      <c r="Q272" s="19">
        <f t="shared" si="201"/>
        <v>656.35767544063719</v>
      </c>
      <c r="R272" s="19">
        <f t="shared" si="202"/>
        <v>0</v>
      </c>
      <c r="S272" s="19">
        <f t="shared" si="203"/>
        <v>0</v>
      </c>
      <c r="T272" s="19">
        <f t="shared" si="204"/>
        <v>0</v>
      </c>
      <c r="U272" s="16"/>
      <c r="V272" s="19">
        <f t="shared" si="205"/>
        <v>760.43951676376173</v>
      </c>
      <c r="W272" s="16"/>
      <c r="X272" s="19">
        <f t="shared" si="206"/>
        <v>1811.3947333021188</v>
      </c>
      <c r="Y272" s="19">
        <f t="shared" si="207"/>
        <v>42.560483236238269</v>
      </c>
      <c r="Z272" s="19"/>
      <c r="AA272" s="19">
        <f t="shared" si="208"/>
        <v>1.0514368618178306E-4</v>
      </c>
    </row>
    <row r="273" spans="2:27" x14ac:dyDescent="0.3">
      <c r="B273" s="27">
        <v>66.800000000000011</v>
      </c>
      <c r="C273" s="27">
        <v>817</v>
      </c>
      <c r="D273" s="19">
        <f t="shared" ref="D273:H273" si="239">1/C$23-LN(C$23)+$B273*C$22</f>
        <v>40.543234203531625</v>
      </c>
      <c r="E273" s="19">
        <f t="shared" si="239"/>
        <v>1.9883261713347522</v>
      </c>
      <c r="F273" s="19">
        <f t="shared" si="239"/>
        <v>18.982585092994047</v>
      </c>
      <c r="G273" s="19">
        <f t="shared" si="239"/>
        <v>18.982585092994047</v>
      </c>
      <c r="H273" s="19">
        <f t="shared" si="239"/>
        <v>18.982585092994047</v>
      </c>
      <c r="I273" s="16"/>
      <c r="J273" s="19">
        <f t="shared" si="195"/>
        <v>36.934098987395771</v>
      </c>
      <c r="K273" s="19">
        <f t="shared" si="196"/>
        <v>1.5500433032276302</v>
      </c>
      <c r="L273" s="19">
        <f t="shared" si="197"/>
        <v>16.197714915315029</v>
      </c>
      <c r="M273" s="19">
        <f t="shared" si="198"/>
        <v>16.197714915315029</v>
      </c>
      <c r="N273" s="19">
        <f t="shared" si="199"/>
        <v>16.197714915315029</v>
      </c>
      <c r="O273" s="16"/>
      <c r="P273" s="19">
        <f t="shared" si="200"/>
        <v>103.52098514766705</v>
      </c>
      <c r="Q273" s="19">
        <f t="shared" si="201"/>
        <v>655.21592611181825</v>
      </c>
      <c r="R273" s="19">
        <f t="shared" si="202"/>
        <v>0</v>
      </c>
      <c r="S273" s="19">
        <f t="shared" si="203"/>
        <v>0</v>
      </c>
      <c r="T273" s="19">
        <f t="shared" si="204"/>
        <v>0</v>
      </c>
      <c r="U273" s="16"/>
      <c r="V273" s="19">
        <f t="shared" si="205"/>
        <v>758.73691125948528</v>
      </c>
      <c r="W273" s="16"/>
      <c r="X273" s="19">
        <f t="shared" si="206"/>
        <v>3394.5875095850929</v>
      </c>
      <c r="Y273" s="19">
        <f t="shared" si="207"/>
        <v>58.263088740514718</v>
      </c>
      <c r="Z273" s="19"/>
      <c r="AA273" s="19">
        <f t="shared" si="208"/>
        <v>1.4393623973935657E-4</v>
      </c>
    </row>
    <row r="274" spans="2:27" x14ac:dyDescent="0.3">
      <c r="B274" s="27">
        <v>67.099999999999994</v>
      </c>
      <c r="C274" s="27">
        <v>792</v>
      </c>
      <c r="D274" s="19">
        <f t="shared" ref="D274:H274" si="240">1/C$23-LN(C$23)+$B274*C$22</f>
        <v>40.64694895372979</v>
      </c>
      <c r="E274" s="19">
        <f t="shared" si="240"/>
        <v>1.9910867634298952</v>
      </c>
      <c r="F274" s="19">
        <f t="shared" si="240"/>
        <v>19.012585092994044</v>
      </c>
      <c r="G274" s="19">
        <f t="shared" si="240"/>
        <v>19.012585092994044</v>
      </c>
      <c r="H274" s="19">
        <f t="shared" si="240"/>
        <v>19.012585092994044</v>
      </c>
      <c r="I274" s="16"/>
      <c r="J274" s="19">
        <f t="shared" si="195"/>
        <v>37.035083293226258</v>
      </c>
      <c r="K274" s="19">
        <f t="shared" si="196"/>
        <v>1.5517216846503847</v>
      </c>
      <c r="L274" s="19">
        <f t="shared" si="197"/>
        <v>16.225971929022514</v>
      </c>
      <c r="M274" s="19">
        <f t="shared" si="198"/>
        <v>16.225971929022514</v>
      </c>
      <c r="N274" s="19">
        <f t="shared" si="199"/>
        <v>16.225971929022514</v>
      </c>
      <c r="O274" s="16"/>
      <c r="P274" s="19">
        <f t="shared" si="200"/>
        <v>102.96461046806952</v>
      </c>
      <c r="Q274" s="19">
        <f t="shared" si="201"/>
        <v>654.07672933078061</v>
      </c>
      <c r="R274" s="19">
        <f t="shared" si="202"/>
        <v>0</v>
      </c>
      <c r="S274" s="19">
        <f t="shared" si="203"/>
        <v>0</v>
      </c>
      <c r="T274" s="19">
        <f t="shared" si="204"/>
        <v>0</v>
      </c>
      <c r="U274" s="16"/>
      <c r="V274" s="19">
        <f t="shared" si="205"/>
        <v>757.04133979885012</v>
      </c>
      <c r="W274" s="16"/>
      <c r="X274" s="19">
        <f t="shared" si="206"/>
        <v>1222.1079230594607</v>
      </c>
      <c r="Y274" s="19">
        <f t="shared" si="207"/>
        <v>34.958660201149883</v>
      </c>
      <c r="Z274" s="19"/>
      <c r="AA274" s="19">
        <f t="shared" si="208"/>
        <v>8.636373739280338E-5</v>
      </c>
    </row>
    <row r="275" spans="2:27" x14ac:dyDescent="0.3">
      <c r="B275" s="27">
        <v>67.400000000000006</v>
      </c>
      <c r="C275" s="27">
        <v>744</v>
      </c>
      <c r="D275" s="19">
        <f t="shared" ref="D275:H275" si="241">1/C$23-LN(C$23)+$B275*C$22</f>
        <v>40.750663703927955</v>
      </c>
      <c r="E275" s="19">
        <f t="shared" si="241"/>
        <v>1.9938473555250384</v>
      </c>
      <c r="F275" s="19">
        <f t="shared" si="241"/>
        <v>19.042585092994045</v>
      </c>
      <c r="G275" s="19">
        <f t="shared" si="241"/>
        <v>19.042585092994045</v>
      </c>
      <c r="H275" s="19">
        <f t="shared" si="241"/>
        <v>19.042585092994045</v>
      </c>
      <c r="I275" s="16"/>
      <c r="J275" s="19">
        <f t="shared" si="195"/>
        <v>37.136074839126302</v>
      </c>
      <c r="K275" s="19">
        <f t="shared" si="196"/>
        <v>1.5534007778082919</v>
      </c>
      <c r="L275" s="19">
        <f t="shared" si="197"/>
        <v>16.254231799679481</v>
      </c>
      <c r="M275" s="19">
        <f t="shared" si="198"/>
        <v>16.254231799679481</v>
      </c>
      <c r="N275" s="19">
        <f t="shared" si="199"/>
        <v>16.254231799679481</v>
      </c>
      <c r="O275" s="16"/>
      <c r="P275" s="19">
        <f t="shared" si="200"/>
        <v>102.41266998073625</v>
      </c>
      <c r="Q275" s="19">
        <f t="shared" si="201"/>
        <v>652.94007842382837</v>
      </c>
      <c r="R275" s="19">
        <f t="shared" si="202"/>
        <v>0</v>
      </c>
      <c r="S275" s="19">
        <f t="shared" si="203"/>
        <v>0</v>
      </c>
      <c r="T275" s="19">
        <f t="shared" si="204"/>
        <v>0</v>
      </c>
      <c r="U275" s="16"/>
      <c r="V275" s="19">
        <f t="shared" si="205"/>
        <v>755.35274840456464</v>
      </c>
      <c r="W275" s="16"/>
      <c r="X275" s="19">
        <f t="shared" si="206"/>
        <v>128.88489633734488</v>
      </c>
      <c r="Y275" s="19">
        <f t="shared" si="207"/>
        <v>11.352748404564636</v>
      </c>
      <c r="Z275" s="19"/>
      <c r="AA275" s="19">
        <f t="shared" si="208"/>
        <v>2.8046434739113302E-5</v>
      </c>
    </row>
    <row r="276" spans="2:27" x14ac:dyDescent="0.3">
      <c r="B276" s="27">
        <v>67.699999999999989</v>
      </c>
      <c r="C276" s="27">
        <v>791</v>
      </c>
      <c r="D276" s="19">
        <f t="shared" ref="D276:H276" si="242">1/C$23-LN(C$23)+$B276*C$22</f>
        <v>40.85437845412612</v>
      </c>
      <c r="E276" s="19">
        <f t="shared" si="242"/>
        <v>1.9966079476201815</v>
      </c>
      <c r="F276" s="19">
        <f t="shared" si="242"/>
        <v>19.072585092994046</v>
      </c>
      <c r="G276" s="19">
        <f t="shared" si="242"/>
        <v>19.072585092994046</v>
      </c>
      <c r="H276" s="19">
        <f t="shared" si="242"/>
        <v>19.072585092994046</v>
      </c>
      <c r="I276" s="16"/>
      <c r="J276" s="19">
        <f t="shared" si="195"/>
        <v>37.237073587315351</v>
      </c>
      <c r="K276" s="19">
        <f t="shared" si="196"/>
        <v>1.5550805820668221</v>
      </c>
      <c r="L276" s="19">
        <f t="shared" si="197"/>
        <v>16.282494518222503</v>
      </c>
      <c r="M276" s="19">
        <f t="shared" si="198"/>
        <v>16.282494518222503</v>
      </c>
      <c r="N276" s="19">
        <f t="shared" si="199"/>
        <v>16.282494518222503</v>
      </c>
      <c r="O276" s="16"/>
      <c r="P276" s="19">
        <f t="shared" si="200"/>
        <v>101.8651170012392</v>
      </c>
      <c r="Q276" s="19">
        <f t="shared" si="201"/>
        <v>651.80596673651905</v>
      </c>
      <c r="R276" s="19">
        <f t="shared" si="202"/>
        <v>0</v>
      </c>
      <c r="S276" s="19">
        <f t="shared" si="203"/>
        <v>0</v>
      </c>
      <c r="T276" s="19">
        <f t="shared" si="204"/>
        <v>0</v>
      </c>
      <c r="U276" s="16"/>
      <c r="V276" s="19">
        <f t="shared" si="205"/>
        <v>753.67108373775829</v>
      </c>
      <c r="W276" s="16"/>
      <c r="X276" s="19">
        <f t="shared" si="206"/>
        <v>1393.4479893134533</v>
      </c>
      <c r="Y276" s="19">
        <f t="shared" si="207"/>
        <v>37.328916262241705</v>
      </c>
      <c r="Z276" s="19"/>
      <c r="AA276" s="19">
        <f t="shared" si="208"/>
        <v>9.2219344296385488E-5</v>
      </c>
    </row>
    <row r="277" spans="2:27" x14ac:dyDescent="0.3">
      <c r="B277" s="27">
        <v>68</v>
      </c>
      <c r="C277" s="27">
        <v>801</v>
      </c>
      <c r="D277" s="19">
        <f t="shared" ref="D277:H277" si="243">1/C$23-LN(C$23)+$B277*C$22</f>
        <v>40.958093204324285</v>
      </c>
      <c r="E277" s="19">
        <f t="shared" si="243"/>
        <v>1.9993685397153249</v>
      </c>
      <c r="F277" s="19">
        <f t="shared" si="243"/>
        <v>19.102585092994047</v>
      </c>
      <c r="G277" s="19">
        <f t="shared" si="243"/>
        <v>19.102585092994047</v>
      </c>
      <c r="H277" s="19">
        <f t="shared" si="243"/>
        <v>19.102585092994047</v>
      </c>
      <c r="I277" s="16"/>
      <c r="J277" s="19">
        <f t="shared" si="195"/>
        <v>37.338079500305106</v>
      </c>
      <c r="K277" s="19">
        <f t="shared" si="196"/>
        <v>1.5567610967918348</v>
      </c>
      <c r="L277" s="19">
        <f t="shared" si="197"/>
        <v>16.310760075630263</v>
      </c>
      <c r="M277" s="19">
        <f t="shared" si="198"/>
        <v>16.310760075630263</v>
      </c>
      <c r="N277" s="19">
        <f t="shared" si="199"/>
        <v>16.310760075630263</v>
      </c>
      <c r="O277" s="16"/>
      <c r="P277" s="19">
        <f t="shared" si="200"/>
        <v>101.32190545466128</v>
      </c>
      <c r="Q277" s="19">
        <f t="shared" si="201"/>
        <v>650.67438763360587</v>
      </c>
      <c r="R277" s="19">
        <f t="shared" si="202"/>
        <v>0</v>
      </c>
      <c r="S277" s="19">
        <f t="shared" si="203"/>
        <v>0</v>
      </c>
      <c r="T277" s="19">
        <f t="shared" si="204"/>
        <v>0</v>
      </c>
      <c r="U277" s="16"/>
      <c r="V277" s="19">
        <f t="shared" si="205"/>
        <v>751.99629308826718</v>
      </c>
      <c r="W277" s="16"/>
      <c r="X277" s="19">
        <f t="shared" si="206"/>
        <v>2401.363291091011</v>
      </c>
      <c r="Y277" s="19">
        <f t="shared" si="207"/>
        <v>49.00370691173282</v>
      </c>
      <c r="Z277" s="19"/>
      <c r="AA277" s="19">
        <f t="shared" si="208"/>
        <v>1.2106136936162074E-4</v>
      </c>
    </row>
    <row r="278" spans="2:27" x14ac:dyDescent="0.3">
      <c r="B278" s="27">
        <v>68.199999999999989</v>
      </c>
      <c r="C278" s="27">
        <v>730</v>
      </c>
      <c r="D278" s="19">
        <f t="shared" ref="D278:H278" si="244">1/C$23-LN(C$23)+$B278*C$22</f>
        <v>41.02723637112306</v>
      </c>
      <c r="E278" s="19">
        <f t="shared" si="244"/>
        <v>2.0012089344454203</v>
      </c>
      <c r="F278" s="19">
        <f t="shared" si="244"/>
        <v>19.122585092994044</v>
      </c>
      <c r="G278" s="19">
        <f t="shared" si="244"/>
        <v>19.122585092994044</v>
      </c>
      <c r="H278" s="19">
        <f t="shared" si="244"/>
        <v>19.122585092994044</v>
      </c>
      <c r="I278" s="16"/>
      <c r="J278" s="19">
        <f t="shared" si="195"/>
        <v>37.405420737694733</v>
      </c>
      <c r="K278" s="19">
        <f t="shared" si="196"/>
        <v>1.5578818343324652</v>
      </c>
      <c r="L278" s="19">
        <f t="shared" si="197"/>
        <v>16.329605353279824</v>
      </c>
      <c r="M278" s="19">
        <f t="shared" si="198"/>
        <v>16.329605353279824</v>
      </c>
      <c r="N278" s="19">
        <f t="shared" si="199"/>
        <v>16.329605353279824</v>
      </c>
      <c r="O278" s="16"/>
      <c r="P278" s="19">
        <f t="shared" si="200"/>
        <v>100.96215384964144</v>
      </c>
      <c r="Q278" s="19">
        <f t="shared" si="201"/>
        <v>649.92140528832772</v>
      </c>
      <c r="R278" s="19">
        <f t="shared" si="202"/>
        <v>0</v>
      </c>
      <c r="S278" s="19">
        <f t="shared" si="203"/>
        <v>0</v>
      </c>
      <c r="T278" s="19">
        <f t="shared" si="204"/>
        <v>0</v>
      </c>
      <c r="U278" s="16"/>
      <c r="V278" s="19">
        <f t="shared" si="205"/>
        <v>750.8835591379692</v>
      </c>
      <c r="W278" s="16"/>
      <c r="X278" s="19">
        <f t="shared" si="206"/>
        <v>436.1230422690569</v>
      </c>
      <c r="Y278" s="19">
        <f t="shared" si="207"/>
        <v>20.8835591379692</v>
      </c>
      <c r="Z278" s="19"/>
      <c r="AA278" s="19">
        <f t="shared" si="208"/>
        <v>5.1591857549487172E-5</v>
      </c>
    </row>
    <row r="279" spans="2:27" x14ac:dyDescent="0.3">
      <c r="B279" s="27">
        <v>68.5</v>
      </c>
      <c r="C279" s="27">
        <v>720</v>
      </c>
      <c r="D279" s="19">
        <f t="shared" ref="D279:H279" si="245">1/C$23-LN(C$23)+$B279*C$22</f>
        <v>41.130951121321232</v>
      </c>
      <c r="E279" s="19">
        <f t="shared" si="245"/>
        <v>2.0039695265405633</v>
      </c>
      <c r="F279" s="19">
        <f t="shared" si="245"/>
        <v>19.152585092994045</v>
      </c>
      <c r="G279" s="19">
        <f t="shared" si="245"/>
        <v>19.152585092994045</v>
      </c>
      <c r="H279" s="19">
        <f t="shared" si="245"/>
        <v>19.152585092994045</v>
      </c>
      <c r="I279" s="16"/>
      <c r="J279" s="19">
        <f t="shared" si="195"/>
        <v>37.506438509495965</v>
      </c>
      <c r="K279" s="19">
        <f t="shared" si="196"/>
        <v>1.5595635317601395</v>
      </c>
      <c r="L279" s="19">
        <f t="shared" si="197"/>
        <v>16.357875622195007</v>
      </c>
      <c r="M279" s="19">
        <f t="shared" si="198"/>
        <v>16.357875622195007</v>
      </c>
      <c r="N279" s="19">
        <f t="shared" si="199"/>
        <v>16.357875622195007</v>
      </c>
      <c r="O279" s="16"/>
      <c r="P279" s="19">
        <f t="shared" si="200"/>
        <v>100.4260772613798</v>
      </c>
      <c r="Q279" s="19">
        <f t="shared" si="201"/>
        <v>648.7940324663665</v>
      </c>
      <c r="R279" s="19">
        <f t="shared" si="202"/>
        <v>0</v>
      </c>
      <c r="S279" s="19">
        <f t="shared" si="203"/>
        <v>0</v>
      </c>
      <c r="T279" s="19">
        <f t="shared" si="204"/>
        <v>0</v>
      </c>
      <c r="U279" s="16"/>
      <c r="V279" s="19">
        <f t="shared" si="205"/>
        <v>749.22010972774626</v>
      </c>
      <c r="W279" s="16"/>
      <c r="X279" s="19">
        <f t="shared" si="206"/>
        <v>853.81481250153172</v>
      </c>
      <c r="Y279" s="19">
        <f t="shared" si="207"/>
        <v>29.220109727746262</v>
      </c>
      <c r="Z279" s="19"/>
      <c r="AA279" s="19">
        <f t="shared" si="208"/>
        <v>7.2186916449188486E-5</v>
      </c>
    </row>
    <row r="280" spans="2:27" x14ac:dyDescent="0.3">
      <c r="B280" s="27">
        <v>68.800000000000011</v>
      </c>
      <c r="C280" s="27">
        <v>708</v>
      </c>
      <c r="D280" s="19">
        <f t="shared" ref="D280:H280" si="246">1/C$23-LN(C$23)+$B280*C$22</f>
        <v>41.234665871519397</v>
      </c>
      <c r="E280" s="19">
        <f t="shared" si="246"/>
        <v>2.0067301186357067</v>
      </c>
      <c r="F280" s="19">
        <f t="shared" si="246"/>
        <v>19.182585092994046</v>
      </c>
      <c r="G280" s="19">
        <f t="shared" si="246"/>
        <v>19.182585092994046</v>
      </c>
      <c r="H280" s="19">
        <f t="shared" si="246"/>
        <v>19.182585092994046</v>
      </c>
      <c r="I280" s="16"/>
      <c r="J280" s="19">
        <f t="shared" si="195"/>
        <v>37.607463347535223</v>
      </c>
      <c r="K280" s="19">
        <f t="shared" si="196"/>
        <v>1.5612459379651633</v>
      </c>
      <c r="L280" s="19">
        <f t="shared" si="197"/>
        <v>16.386148706122022</v>
      </c>
      <c r="M280" s="19">
        <f t="shared" si="198"/>
        <v>16.386148706122022</v>
      </c>
      <c r="N280" s="19">
        <f t="shared" si="199"/>
        <v>16.386148706122022</v>
      </c>
      <c r="O280" s="16"/>
      <c r="P280" s="19">
        <f t="shared" si="200"/>
        <v>99.894222147854933</v>
      </c>
      <c r="Q280" s="19">
        <f t="shared" si="201"/>
        <v>647.66917462821084</v>
      </c>
      <c r="R280" s="19">
        <f t="shared" si="202"/>
        <v>0</v>
      </c>
      <c r="S280" s="19">
        <f t="shared" si="203"/>
        <v>0</v>
      </c>
      <c r="T280" s="19">
        <f t="shared" si="204"/>
        <v>0</v>
      </c>
      <c r="U280" s="16"/>
      <c r="V280" s="19">
        <f t="shared" si="205"/>
        <v>747.56339677606582</v>
      </c>
      <c r="W280" s="16"/>
      <c r="X280" s="19">
        <f t="shared" si="206"/>
        <v>1565.262364460415</v>
      </c>
      <c r="Y280" s="19">
        <f t="shared" si="207"/>
        <v>39.563396776065815</v>
      </c>
      <c r="Z280" s="19"/>
      <c r="AA280" s="19">
        <f t="shared" si="208"/>
        <v>9.7739524051412095E-5</v>
      </c>
    </row>
    <row r="281" spans="2:27" x14ac:dyDescent="0.3">
      <c r="B281" s="27">
        <v>69.099999999999994</v>
      </c>
      <c r="C281" s="27">
        <v>757</v>
      </c>
      <c r="D281" s="19">
        <f t="shared" ref="D281:H281" si="247">1/C$23-LN(C$23)+$B281*C$22</f>
        <v>41.338380621717555</v>
      </c>
      <c r="E281" s="19">
        <f t="shared" si="247"/>
        <v>2.0094907107308497</v>
      </c>
      <c r="F281" s="19">
        <f t="shared" si="247"/>
        <v>19.212585092994047</v>
      </c>
      <c r="G281" s="19">
        <f t="shared" si="247"/>
        <v>19.212585092994047</v>
      </c>
      <c r="H281" s="19">
        <f t="shared" si="247"/>
        <v>19.212585092994047</v>
      </c>
      <c r="I281" s="16"/>
      <c r="J281" s="19">
        <f t="shared" si="195"/>
        <v>37.70849521537049</v>
      </c>
      <c r="K281" s="19">
        <f t="shared" si="196"/>
        <v>1.5629290523148294</v>
      </c>
      <c r="L281" s="19">
        <f t="shared" si="197"/>
        <v>16.414424596191783</v>
      </c>
      <c r="M281" s="19">
        <f t="shared" si="198"/>
        <v>16.414424596191783</v>
      </c>
      <c r="N281" s="19">
        <f t="shared" si="199"/>
        <v>16.414424596191783</v>
      </c>
      <c r="O281" s="16"/>
      <c r="P281" s="19">
        <f t="shared" si="200"/>
        <v>99.366544589190269</v>
      </c>
      <c r="Q281" s="19">
        <f t="shared" si="201"/>
        <v>646.5468252085002</v>
      </c>
      <c r="R281" s="19">
        <f t="shared" si="202"/>
        <v>0</v>
      </c>
      <c r="S281" s="19">
        <f t="shared" si="203"/>
        <v>0</v>
      </c>
      <c r="T281" s="19">
        <f t="shared" si="204"/>
        <v>0</v>
      </c>
      <c r="U281" s="16"/>
      <c r="V281" s="19">
        <f t="shared" si="205"/>
        <v>745.91336979769051</v>
      </c>
      <c r="W281" s="16"/>
      <c r="X281" s="19">
        <f t="shared" si="206"/>
        <v>122.91336924276104</v>
      </c>
      <c r="Y281" s="19">
        <f t="shared" si="207"/>
        <v>11.086630202309493</v>
      </c>
      <c r="Z281" s="19"/>
      <c r="AA281" s="19">
        <f t="shared" si="208"/>
        <v>2.7389002148654584E-5</v>
      </c>
    </row>
    <row r="282" spans="2:27" x14ac:dyDescent="0.3">
      <c r="B282" s="27">
        <v>69.400000000000006</v>
      </c>
      <c r="C282" s="27">
        <v>741</v>
      </c>
      <c r="D282" s="19">
        <f t="shared" ref="D282:H282" si="248">1/C$23-LN(C$23)+$B282*C$22</f>
        <v>41.442095371915727</v>
      </c>
      <c r="E282" s="19">
        <f t="shared" si="248"/>
        <v>2.0122513028259927</v>
      </c>
      <c r="F282" s="19">
        <f t="shared" si="248"/>
        <v>19.242585092994048</v>
      </c>
      <c r="G282" s="19">
        <f t="shared" si="248"/>
        <v>19.242585092994048</v>
      </c>
      <c r="H282" s="19">
        <f t="shared" si="248"/>
        <v>19.242585092994048</v>
      </c>
      <c r="I282" s="16"/>
      <c r="J282" s="19">
        <f t="shared" si="195"/>
        <v>37.809534076838389</v>
      </c>
      <c r="K282" s="19">
        <f t="shared" si="196"/>
        <v>1.5646128741768239</v>
      </c>
      <c r="L282" s="19">
        <f t="shared" si="197"/>
        <v>16.442703283576137</v>
      </c>
      <c r="M282" s="19">
        <f t="shared" si="198"/>
        <v>16.442703283576137</v>
      </c>
      <c r="N282" s="19">
        <f t="shared" si="199"/>
        <v>16.442703283576137</v>
      </c>
      <c r="O282" s="16"/>
      <c r="P282" s="19">
        <f t="shared" si="200"/>
        <v>98.843001232207868</v>
      </c>
      <c r="Q282" s="19">
        <f t="shared" si="201"/>
        <v>645.42697766079755</v>
      </c>
      <c r="R282" s="19">
        <f t="shared" si="202"/>
        <v>0</v>
      </c>
      <c r="S282" s="19">
        <f t="shared" si="203"/>
        <v>0</v>
      </c>
      <c r="T282" s="19">
        <f t="shared" si="204"/>
        <v>0</v>
      </c>
      <c r="U282" s="16"/>
      <c r="V282" s="19">
        <f t="shared" si="205"/>
        <v>744.26997889300537</v>
      </c>
      <c r="W282" s="16"/>
      <c r="X282" s="19">
        <f t="shared" si="206"/>
        <v>10.692761960700643</v>
      </c>
      <c r="Y282" s="19">
        <f t="shared" si="207"/>
        <v>3.2699788930053728</v>
      </c>
      <c r="Z282" s="19"/>
      <c r="AA282" s="19">
        <f t="shared" si="208"/>
        <v>8.0783301411029689E-6</v>
      </c>
    </row>
    <row r="283" spans="2:27" x14ac:dyDescent="0.3">
      <c r="B283" s="27">
        <v>69.699999999999989</v>
      </c>
      <c r="C283" s="27">
        <v>761</v>
      </c>
      <c r="D283" s="19">
        <f t="shared" ref="D283:H283" si="249">1/C$23-LN(C$23)+$B283*C$22</f>
        <v>41.545810122113885</v>
      </c>
      <c r="E283" s="19">
        <f t="shared" si="249"/>
        <v>2.0150118949211357</v>
      </c>
      <c r="F283" s="19">
        <f t="shared" si="249"/>
        <v>19.272585092994042</v>
      </c>
      <c r="G283" s="19">
        <f t="shared" si="249"/>
        <v>19.272585092994042</v>
      </c>
      <c r="H283" s="19">
        <f t="shared" si="249"/>
        <v>19.272585092994042</v>
      </c>
      <c r="I283" s="16"/>
      <c r="J283" s="19">
        <f t="shared" si="195"/>
        <v>37.910579896051317</v>
      </c>
      <c r="K283" s="19">
        <f t="shared" si="196"/>
        <v>1.566297402919228</v>
      </c>
      <c r="L283" s="19">
        <f t="shared" si="197"/>
        <v>16.470984759487621</v>
      </c>
      <c r="M283" s="19">
        <f t="shared" si="198"/>
        <v>16.470984759487621</v>
      </c>
      <c r="N283" s="19">
        <f t="shared" si="199"/>
        <v>16.470984759487621</v>
      </c>
      <c r="O283" s="16"/>
      <c r="P283" s="19">
        <f t="shared" si="200"/>
        <v>98.323549281715543</v>
      </c>
      <c r="Q283" s="19">
        <f t="shared" si="201"/>
        <v>644.30962545753368</v>
      </c>
      <c r="R283" s="19">
        <f t="shared" si="202"/>
        <v>0</v>
      </c>
      <c r="S283" s="19">
        <f t="shared" si="203"/>
        <v>0</v>
      </c>
      <c r="T283" s="19">
        <f t="shared" si="204"/>
        <v>0</v>
      </c>
      <c r="U283" s="16"/>
      <c r="V283" s="19">
        <f t="shared" si="205"/>
        <v>742.63317473924917</v>
      </c>
      <c r="W283" s="16"/>
      <c r="X283" s="19">
        <f t="shared" si="206"/>
        <v>337.34027015895475</v>
      </c>
      <c r="Y283" s="19">
        <f t="shared" si="207"/>
        <v>18.366825260750829</v>
      </c>
      <c r="Z283" s="19"/>
      <c r="AA283" s="19">
        <f t="shared" si="208"/>
        <v>4.5374384041949551E-5</v>
      </c>
    </row>
    <row r="284" spans="2:27" x14ac:dyDescent="0.3">
      <c r="B284" s="27">
        <v>70</v>
      </c>
      <c r="C284" s="27">
        <v>699</v>
      </c>
      <c r="D284" s="19">
        <f t="shared" ref="D284:H284" si="250">1/C$23-LN(C$23)+$B284*C$22</f>
        <v>41.649524872312057</v>
      </c>
      <c r="E284" s="19">
        <f t="shared" si="250"/>
        <v>2.0177724870162792</v>
      </c>
      <c r="F284" s="19">
        <f t="shared" si="250"/>
        <v>19.302585092994043</v>
      </c>
      <c r="G284" s="19">
        <f t="shared" si="250"/>
        <v>19.302585092994043</v>
      </c>
      <c r="H284" s="19">
        <f t="shared" si="250"/>
        <v>19.302585092994043</v>
      </c>
      <c r="I284" s="16"/>
      <c r="J284" s="19">
        <f t="shared" si="195"/>
        <v>38.011632637394754</v>
      </c>
      <c r="K284" s="19">
        <f t="shared" si="196"/>
        <v>1.5679826379105166</v>
      </c>
      <c r="L284" s="19">
        <f t="shared" si="197"/>
        <v>16.499269015179227</v>
      </c>
      <c r="M284" s="19">
        <f t="shared" si="198"/>
        <v>16.499269015179227</v>
      </c>
      <c r="N284" s="19">
        <f t="shared" si="199"/>
        <v>16.499269015179227</v>
      </c>
      <c r="O284" s="16"/>
      <c r="P284" s="19">
        <f t="shared" si="200"/>
        <v>97.80814649194825</v>
      </c>
      <c r="Q284" s="19">
        <f t="shared" si="201"/>
        <v>643.19476208994888</v>
      </c>
      <c r="R284" s="19">
        <f t="shared" si="202"/>
        <v>0</v>
      </c>
      <c r="S284" s="19">
        <f t="shared" si="203"/>
        <v>0</v>
      </c>
      <c r="T284" s="19">
        <f t="shared" si="204"/>
        <v>0</v>
      </c>
      <c r="U284" s="16"/>
      <c r="V284" s="19">
        <f t="shared" si="205"/>
        <v>741.00290858189715</v>
      </c>
      <c r="W284" s="16"/>
      <c r="X284" s="19">
        <f t="shared" si="206"/>
        <v>1764.2443293392089</v>
      </c>
      <c r="Y284" s="19">
        <f t="shared" si="207"/>
        <v>42.002908581897145</v>
      </c>
      <c r="Z284" s="19"/>
      <c r="AA284" s="19">
        <f t="shared" si="208"/>
        <v>1.037662240380017E-4</v>
      </c>
    </row>
    <row r="285" spans="2:27" x14ac:dyDescent="0.3">
      <c r="B285" s="27">
        <v>70.199999999999989</v>
      </c>
      <c r="C285" s="27">
        <v>740</v>
      </c>
      <c r="D285" s="19">
        <f t="shared" ref="D285:H285" si="251">1/C$23-LN(C$23)+$B285*C$22</f>
        <v>41.718668039110824</v>
      </c>
      <c r="E285" s="19">
        <f t="shared" si="251"/>
        <v>2.0196128817463745</v>
      </c>
      <c r="F285" s="19">
        <f t="shared" si="251"/>
        <v>19.322585092994046</v>
      </c>
      <c r="G285" s="19">
        <f t="shared" si="251"/>
        <v>19.322585092994046</v>
      </c>
      <c r="H285" s="19">
        <f t="shared" si="251"/>
        <v>19.322585092994046</v>
      </c>
      <c r="I285" s="16"/>
      <c r="J285" s="19">
        <f t="shared" si="195"/>
        <v>38.079004959786758</v>
      </c>
      <c r="K285" s="19">
        <f t="shared" si="196"/>
        <v>1.5691065199535155</v>
      </c>
      <c r="L285" s="19">
        <f t="shared" si="197"/>
        <v>16.518126725661268</v>
      </c>
      <c r="M285" s="19">
        <f t="shared" si="198"/>
        <v>16.518126725661268</v>
      </c>
      <c r="N285" s="19">
        <f t="shared" si="199"/>
        <v>16.518126725661268</v>
      </c>
      <c r="O285" s="16"/>
      <c r="P285" s="19">
        <f t="shared" si="200"/>
        <v>97.466773548890586</v>
      </c>
      <c r="Q285" s="19">
        <f t="shared" si="201"/>
        <v>642.45289932566902</v>
      </c>
      <c r="R285" s="19">
        <f t="shared" si="202"/>
        <v>0</v>
      </c>
      <c r="S285" s="19">
        <f t="shared" si="203"/>
        <v>0</v>
      </c>
      <c r="T285" s="19">
        <f t="shared" si="204"/>
        <v>0</v>
      </c>
      <c r="U285" s="16"/>
      <c r="V285" s="19">
        <f t="shared" si="205"/>
        <v>739.91967287455964</v>
      </c>
      <c r="W285" s="16"/>
      <c r="X285" s="19">
        <f t="shared" si="206"/>
        <v>6.4524470815117453E-3</v>
      </c>
      <c r="Y285" s="19">
        <f t="shared" si="207"/>
        <v>8.0327125440362579E-2</v>
      </c>
      <c r="Z285" s="19"/>
      <c r="AA285" s="19">
        <f t="shared" si="208"/>
        <v>1.9844441197497784E-7</v>
      </c>
    </row>
    <row r="286" spans="2:27" x14ac:dyDescent="0.3">
      <c r="B286" s="27">
        <v>70.5</v>
      </c>
      <c r="C286" s="27">
        <v>728</v>
      </c>
      <c r="D286" s="19">
        <f t="shared" ref="D286:H286" si="252">1/C$23-LN(C$23)+$B286*C$22</f>
        <v>41.822382789308996</v>
      </c>
      <c r="E286" s="19">
        <f t="shared" si="252"/>
        <v>2.022373473841518</v>
      </c>
      <c r="F286" s="19">
        <f t="shared" si="252"/>
        <v>19.352585092994047</v>
      </c>
      <c r="G286" s="19">
        <f t="shared" si="252"/>
        <v>19.352585092994047</v>
      </c>
      <c r="H286" s="19">
        <f t="shared" si="252"/>
        <v>19.352585092994047</v>
      </c>
      <c r="I286" s="16"/>
      <c r="J286" s="19">
        <f t="shared" si="195"/>
        <v>38.180069159603818</v>
      </c>
      <c r="K286" s="19">
        <f t="shared" si="196"/>
        <v>1.5707929306239654</v>
      </c>
      <c r="L286" s="19">
        <f t="shared" si="197"/>
        <v>16.546415594990972</v>
      </c>
      <c r="M286" s="19">
        <f t="shared" si="198"/>
        <v>16.546415594990972</v>
      </c>
      <c r="N286" s="19">
        <f t="shared" si="199"/>
        <v>16.546415594990972</v>
      </c>
      <c r="O286" s="16"/>
      <c r="P286" s="19">
        <f t="shared" si="200"/>
        <v>96.958026946553645</v>
      </c>
      <c r="Q286" s="19">
        <f t="shared" si="201"/>
        <v>641.3421696045466</v>
      </c>
      <c r="R286" s="19">
        <f t="shared" si="202"/>
        <v>0</v>
      </c>
      <c r="S286" s="19">
        <f t="shared" si="203"/>
        <v>0</v>
      </c>
      <c r="T286" s="19">
        <f t="shared" si="204"/>
        <v>0</v>
      </c>
      <c r="U286" s="16"/>
      <c r="V286" s="19">
        <f t="shared" si="205"/>
        <v>738.30019655110027</v>
      </c>
      <c r="W286" s="16"/>
      <c r="X286" s="19">
        <f t="shared" si="206"/>
        <v>106.09404899129791</v>
      </c>
      <c r="Y286" s="19">
        <f t="shared" si="207"/>
        <v>10.300196551100271</v>
      </c>
      <c r="Z286" s="19"/>
      <c r="AA286" s="19">
        <f t="shared" si="208"/>
        <v>2.5446154541249345E-5</v>
      </c>
    </row>
    <row r="287" spans="2:27" x14ac:dyDescent="0.3">
      <c r="B287" s="27">
        <v>70.799999999999983</v>
      </c>
      <c r="C287" s="27">
        <v>711</v>
      </c>
      <c r="D287" s="19">
        <f t="shared" ref="D287:H287" si="253">1/C$23-LN(C$23)+$B287*C$22</f>
        <v>41.926097539507154</v>
      </c>
      <c r="E287" s="19">
        <f t="shared" si="253"/>
        <v>2.025134065936661</v>
      </c>
      <c r="F287" s="19">
        <f t="shared" si="253"/>
        <v>19.382585092994042</v>
      </c>
      <c r="G287" s="19">
        <f t="shared" si="253"/>
        <v>19.382585092994042</v>
      </c>
      <c r="H287" s="19">
        <f t="shared" si="253"/>
        <v>19.382585092994042</v>
      </c>
      <c r="I287" s="16"/>
      <c r="J287" s="19">
        <f t="shared" si="195"/>
        <v>38.281140187893321</v>
      </c>
      <c r="K287" s="19">
        <f t="shared" si="196"/>
        <v>1.5724800458611712</v>
      </c>
      <c r="L287" s="19">
        <f t="shared" si="197"/>
        <v>16.574707220971259</v>
      </c>
      <c r="M287" s="19">
        <f t="shared" si="198"/>
        <v>16.574707220971259</v>
      </c>
      <c r="N287" s="19">
        <f t="shared" si="199"/>
        <v>16.574707220971259</v>
      </c>
      <c r="O287" s="16"/>
      <c r="P287" s="19">
        <f t="shared" si="200"/>
        <v>96.453219472203756</v>
      </c>
      <c r="Q287" s="19">
        <f t="shared" si="201"/>
        <v>640.23391145393634</v>
      </c>
      <c r="R287" s="19">
        <f t="shared" si="202"/>
        <v>0</v>
      </c>
      <c r="S287" s="19">
        <f t="shared" si="203"/>
        <v>0</v>
      </c>
      <c r="T287" s="19">
        <f t="shared" si="204"/>
        <v>0</v>
      </c>
      <c r="U287" s="16"/>
      <c r="V287" s="19">
        <f t="shared" si="205"/>
        <v>736.68713092614007</v>
      </c>
      <c r="W287" s="16"/>
      <c r="X287" s="19">
        <f t="shared" si="206"/>
        <v>659.82869521666169</v>
      </c>
      <c r="Y287" s="19">
        <f t="shared" si="207"/>
        <v>25.687130926140071</v>
      </c>
      <c r="Z287" s="19"/>
      <c r="AA287" s="19">
        <f t="shared" si="208"/>
        <v>6.3458857316469729E-5</v>
      </c>
    </row>
    <row r="288" spans="2:27" x14ac:dyDescent="0.3">
      <c r="B288" s="27">
        <v>71.099999999999994</v>
      </c>
      <c r="C288" s="27">
        <v>710</v>
      </c>
      <c r="D288" s="19">
        <f t="shared" ref="D288:H288" si="254">1/C$23-LN(C$23)+$B288*C$22</f>
        <v>42.029812289705319</v>
      </c>
      <c r="E288" s="19">
        <f t="shared" si="254"/>
        <v>2.027894658031804</v>
      </c>
      <c r="F288" s="19">
        <f t="shared" si="254"/>
        <v>19.412585092994043</v>
      </c>
      <c r="G288" s="19">
        <f t="shared" si="254"/>
        <v>19.412585092994043</v>
      </c>
      <c r="H288" s="19">
        <f t="shared" si="254"/>
        <v>19.412585092994043</v>
      </c>
      <c r="I288" s="16"/>
      <c r="J288" s="19">
        <f t="shared" si="195"/>
        <v>38.382218010018654</v>
      </c>
      <c r="K288" s="19">
        <f t="shared" si="196"/>
        <v>1.5741678650350635</v>
      </c>
      <c r="L288" s="19">
        <f t="shared" si="197"/>
        <v>16.603001595001341</v>
      </c>
      <c r="M288" s="19">
        <f t="shared" si="198"/>
        <v>16.603001595001341</v>
      </c>
      <c r="N288" s="19">
        <f t="shared" si="199"/>
        <v>16.603001595001341</v>
      </c>
      <c r="O288" s="16"/>
      <c r="P288" s="19">
        <f t="shared" si="200"/>
        <v>95.952310823850851</v>
      </c>
      <c r="Q288" s="19">
        <f t="shared" si="201"/>
        <v>639.12811843356008</v>
      </c>
      <c r="R288" s="19">
        <f t="shared" si="202"/>
        <v>0</v>
      </c>
      <c r="S288" s="19">
        <f t="shared" si="203"/>
        <v>0</v>
      </c>
      <c r="T288" s="19">
        <f t="shared" si="204"/>
        <v>0</v>
      </c>
      <c r="U288" s="16"/>
      <c r="V288" s="19">
        <f t="shared" si="205"/>
        <v>735.08042925741097</v>
      </c>
      <c r="W288" s="16"/>
      <c r="X288" s="19">
        <f t="shared" si="206"/>
        <v>629.02793173599616</v>
      </c>
      <c r="Y288" s="19">
        <f t="shared" si="207"/>
        <v>25.08042925741097</v>
      </c>
      <c r="Z288" s="19"/>
      <c r="AA288" s="19">
        <f t="shared" si="208"/>
        <v>6.1960029177965379E-5</v>
      </c>
    </row>
    <row r="289" spans="2:27" x14ac:dyDescent="0.3">
      <c r="B289" s="27">
        <v>71.400000000000006</v>
      </c>
      <c r="C289" s="27">
        <v>739</v>
      </c>
      <c r="D289" s="19">
        <f t="shared" ref="D289:H289" si="255">1/C$23-LN(C$23)+$B289*C$22</f>
        <v>42.133527039903491</v>
      </c>
      <c r="E289" s="19">
        <f t="shared" si="255"/>
        <v>2.0306552501269475</v>
      </c>
      <c r="F289" s="19">
        <f t="shared" si="255"/>
        <v>19.442585092994044</v>
      </c>
      <c r="G289" s="19">
        <f t="shared" si="255"/>
        <v>19.442585092994044</v>
      </c>
      <c r="H289" s="19">
        <f t="shared" si="255"/>
        <v>19.442585092994044</v>
      </c>
      <c r="I289" s="16"/>
      <c r="J289" s="19">
        <f t="shared" si="195"/>
        <v>38.483302591603717</v>
      </c>
      <c r="K289" s="19">
        <f t="shared" si="196"/>
        <v>1.5758563875159719</v>
      </c>
      <c r="L289" s="19">
        <f t="shared" si="197"/>
        <v>16.631298708519726</v>
      </c>
      <c r="M289" s="19">
        <f t="shared" si="198"/>
        <v>16.631298708519726</v>
      </c>
      <c r="N289" s="19">
        <f t="shared" si="199"/>
        <v>16.631298708519726</v>
      </c>
      <c r="O289" s="16"/>
      <c r="P289" s="19">
        <f t="shared" si="200"/>
        <v>95.455261210957957</v>
      </c>
      <c r="Q289" s="19">
        <f t="shared" si="201"/>
        <v>638.02478412168432</v>
      </c>
      <c r="R289" s="19">
        <f t="shared" si="202"/>
        <v>0</v>
      </c>
      <c r="S289" s="19">
        <f t="shared" si="203"/>
        <v>0</v>
      </c>
      <c r="T289" s="19">
        <f t="shared" si="204"/>
        <v>0</v>
      </c>
      <c r="U289" s="16"/>
      <c r="V289" s="19">
        <f t="shared" si="205"/>
        <v>733.48004533264225</v>
      </c>
      <c r="W289" s="16"/>
      <c r="X289" s="19">
        <f t="shared" si="206"/>
        <v>30.469899529684625</v>
      </c>
      <c r="Y289" s="19">
        <f t="shared" si="207"/>
        <v>5.5199546673577515</v>
      </c>
      <c r="Z289" s="19"/>
      <c r="AA289" s="19">
        <f t="shared" si="208"/>
        <v>1.3636790213607312E-5</v>
      </c>
    </row>
    <row r="290" spans="2:27" x14ac:dyDescent="0.3">
      <c r="B290" s="27">
        <v>71.699999999999989</v>
      </c>
      <c r="C290" s="27">
        <v>693</v>
      </c>
      <c r="D290" s="19">
        <f t="shared" ref="D290:H290" si="256">1/C$23-LN(C$23)+$B290*C$22</f>
        <v>42.237241790101649</v>
      </c>
      <c r="E290" s="19">
        <f t="shared" si="256"/>
        <v>2.0334158422220905</v>
      </c>
      <c r="F290" s="19">
        <f t="shared" si="256"/>
        <v>19.472585092994045</v>
      </c>
      <c r="G290" s="19">
        <f t="shared" si="256"/>
        <v>19.472585092994045</v>
      </c>
      <c r="H290" s="19">
        <f t="shared" si="256"/>
        <v>19.472585092994045</v>
      </c>
      <c r="I290" s="16"/>
      <c r="J290" s="19">
        <f t="shared" si="195"/>
        <v>38.584393898530301</v>
      </c>
      <c r="K290" s="19">
        <f t="shared" si="196"/>
        <v>1.5775456126746257</v>
      </c>
      <c r="L290" s="19">
        <f t="shared" si="197"/>
        <v>16.659598553004017</v>
      </c>
      <c r="M290" s="19">
        <f t="shared" si="198"/>
        <v>16.659598553004017</v>
      </c>
      <c r="N290" s="19">
        <f t="shared" si="199"/>
        <v>16.659598553004017</v>
      </c>
      <c r="O290" s="16"/>
      <c r="P290" s="19">
        <f t="shared" si="200"/>
        <v>94.962031346705928</v>
      </c>
      <c r="Q290" s="19">
        <f t="shared" si="201"/>
        <v>636.92390211506415</v>
      </c>
      <c r="R290" s="19">
        <f t="shared" si="202"/>
        <v>0</v>
      </c>
      <c r="S290" s="19">
        <f t="shared" si="203"/>
        <v>0</v>
      </c>
      <c r="T290" s="19">
        <f t="shared" si="204"/>
        <v>0</v>
      </c>
      <c r="U290" s="16"/>
      <c r="V290" s="19">
        <f t="shared" si="205"/>
        <v>731.88593346177004</v>
      </c>
      <c r="W290" s="16"/>
      <c r="X290" s="19">
        <f t="shared" si="206"/>
        <v>1512.1158211932066</v>
      </c>
      <c r="Y290" s="19">
        <f t="shared" si="207"/>
        <v>38.885933461770037</v>
      </c>
      <c r="Z290" s="19"/>
      <c r="AA290" s="19">
        <f t="shared" si="208"/>
        <v>9.6065882572235085E-5</v>
      </c>
    </row>
    <row r="291" spans="2:27" x14ac:dyDescent="0.3">
      <c r="B291" s="27">
        <v>72</v>
      </c>
      <c r="C291" s="27">
        <v>697</v>
      </c>
      <c r="D291" s="19">
        <f t="shared" ref="D291:H291" si="257">1/C$23-LN(C$23)+$B291*C$22</f>
        <v>42.340956540299821</v>
      </c>
      <c r="E291" s="19">
        <f t="shared" si="257"/>
        <v>2.0361764343172339</v>
      </c>
      <c r="F291" s="19">
        <f t="shared" si="257"/>
        <v>19.502585092994046</v>
      </c>
      <c r="G291" s="19">
        <f t="shared" si="257"/>
        <v>19.502585092994046</v>
      </c>
      <c r="H291" s="19">
        <f t="shared" si="257"/>
        <v>19.502585092994046</v>
      </c>
      <c r="I291" s="16"/>
      <c r="J291" s="19">
        <f t="shared" si="195"/>
        <v>38.685491896935645</v>
      </c>
      <c r="K291" s="19">
        <f t="shared" si="196"/>
        <v>1.5792355398821547</v>
      </c>
      <c r="L291" s="19">
        <f t="shared" si="197"/>
        <v>16.687901119970665</v>
      </c>
      <c r="M291" s="19">
        <f t="shared" si="198"/>
        <v>16.687901119970665</v>
      </c>
      <c r="N291" s="19">
        <f t="shared" si="199"/>
        <v>16.687901119970665</v>
      </c>
      <c r="O291" s="16"/>
      <c r="P291" s="19">
        <f t="shared" si="200"/>
        <v>94.472582440393438</v>
      </c>
      <c r="Q291" s="19">
        <f t="shared" si="201"/>
        <v>635.82546602888635</v>
      </c>
      <c r="R291" s="19">
        <f t="shared" si="202"/>
        <v>0</v>
      </c>
      <c r="S291" s="19">
        <f t="shared" si="203"/>
        <v>0</v>
      </c>
      <c r="T291" s="19">
        <f t="shared" si="204"/>
        <v>0</v>
      </c>
      <c r="U291" s="16"/>
      <c r="V291" s="19">
        <f t="shared" si="205"/>
        <v>730.29804846927982</v>
      </c>
      <c r="W291" s="16"/>
      <c r="X291" s="19">
        <f t="shared" si="206"/>
        <v>1108.7600318625082</v>
      </c>
      <c r="Y291" s="19">
        <f t="shared" si="207"/>
        <v>33.29804846927982</v>
      </c>
      <c r="Z291" s="19"/>
      <c r="AA291" s="19">
        <f t="shared" si="208"/>
        <v>8.2261273662859942E-5</v>
      </c>
    </row>
    <row r="292" spans="2:27" x14ac:dyDescent="0.3">
      <c r="B292" s="27">
        <v>72.199999999999989</v>
      </c>
      <c r="C292" s="27">
        <v>706</v>
      </c>
      <c r="D292" s="19">
        <f t="shared" ref="D292:H292" si="258">1/C$23-LN(C$23)+$B292*C$22</f>
        <v>42.410099707098595</v>
      </c>
      <c r="E292" s="19">
        <f t="shared" si="258"/>
        <v>2.0380168290473288</v>
      </c>
      <c r="F292" s="19">
        <f t="shared" si="258"/>
        <v>19.522585092994042</v>
      </c>
      <c r="G292" s="19">
        <f t="shared" si="258"/>
        <v>19.522585092994042</v>
      </c>
      <c r="H292" s="19">
        <f t="shared" si="258"/>
        <v>19.522585092994042</v>
      </c>
      <c r="I292" s="16"/>
      <c r="J292" s="19">
        <f t="shared" si="195"/>
        <v>38.752894263419556</v>
      </c>
      <c r="K292" s="19">
        <f t="shared" si="196"/>
        <v>1.5803625477372885</v>
      </c>
      <c r="L292" s="19">
        <f t="shared" si="197"/>
        <v>16.706771006266713</v>
      </c>
      <c r="M292" s="19">
        <f t="shared" si="198"/>
        <v>16.706771006266713</v>
      </c>
      <c r="N292" s="19">
        <f t="shared" si="199"/>
        <v>16.706771006266713</v>
      </c>
      <c r="O292" s="16"/>
      <c r="P292" s="19">
        <f t="shared" si="200"/>
        <v>94.148364767227761</v>
      </c>
      <c r="Q292" s="19">
        <f t="shared" si="201"/>
        <v>635.09453100478413</v>
      </c>
      <c r="R292" s="19">
        <f t="shared" si="202"/>
        <v>0</v>
      </c>
      <c r="S292" s="19">
        <f t="shared" si="203"/>
        <v>0</v>
      </c>
      <c r="T292" s="19">
        <f t="shared" si="204"/>
        <v>0</v>
      </c>
      <c r="U292" s="16"/>
      <c r="V292" s="19">
        <f t="shared" si="205"/>
        <v>729.24289577201193</v>
      </c>
      <c r="W292" s="16"/>
      <c r="X292" s="19">
        <f t="shared" si="206"/>
        <v>540.23220386861021</v>
      </c>
      <c r="Y292" s="19">
        <f t="shared" si="207"/>
        <v>23.242895772011934</v>
      </c>
      <c r="Z292" s="19"/>
      <c r="AA292" s="19">
        <f t="shared" si="208"/>
        <v>5.7420488518501966E-5</v>
      </c>
    </row>
    <row r="293" spans="2:27" x14ac:dyDescent="0.3">
      <c r="B293" s="27">
        <v>72.5</v>
      </c>
      <c r="C293" s="27">
        <v>710</v>
      </c>
      <c r="D293" s="19">
        <f t="shared" ref="D293:H293" si="259">1/C$23-LN(C$23)+$B293*C$22</f>
        <v>42.51381445729676</v>
      </c>
      <c r="E293" s="19">
        <f t="shared" si="259"/>
        <v>2.0407774211424723</v>
      </c>
      <c r="F293" s="19">
        <f t="shared" si="259"/>
        <v>19.552585092994043</v>
      </c>
      <c r="G293" s="19">
        <f t="shared" si="259"/>
        <v>19.552585092994043</v>
      </c>
      <c r="H293" s="19">
        <f t="shared" si="259"/>
        <v>19.552585092994043</v>
      </c>
      <c r="I293" s="16"/>
      <c r="J293" s="19">
        <f t="shared" si="195"/>
        <v>38.854003339724436</v>
      </c>
      <c r="K293" s="19">
        <f t="shared" si="196"/>
        <v>1.5820536436298773</v>
      </c>
      <c r="L293" s="19">
        <f t="shared" si="197"/>
        <v>16.735078091956435</v>
      </c>
      <c r="M293" s="19">
        <f t="shared" si="198"/>
        <v>16.735078091956435</v>
      </c>
      <c r="N293" s="19">
        <f t="shared" si="199"/>
        <v>16.735078091956435</v>
      </c>
      <c r="O293" s="16"/>
      <c r="P293" s="19">
        <f t="shared" si="200"/>
        <v>93.66513257979922</v>
      </c>
      <c r="Q293" s="19">
        <f t="shared" si="201"/>
        <v>634.00015731408814</v>
      </c>
      <c r="R293" s="19">
        <f t="shared" si="202"/>
        <v>0</v>
      </c>
      <c r="S293" s="19">
        <f t="shared" si="203"/>
        <v>0</v>
      </c>
      <c r="T293" s="19">
        <f t="shared" si="204"/>
        <v>0</v>
      </c>
      <c r="U293" s="16"/>
      <c r="V293" s="19">
        <f t="shared" si="205"/>
        <v>727.66528989388735</v>
      </c>
      <c r="W293" s="16"/>
      <c r="X293" s="19">
        <f t="shared" si="206"/>
        <v>312.06246703507844</v>
      </c>
      <c r="Y293" s="19">
        <f t="shared" si="207"/>
        <v>17.665289893887348</v>
      </c>
      <c r="Z293" s="19"/>
      <c r="AA293" s="19">
        <f t="shared" si="208"/>
        <v>4.3641273681113441E-5</v>
      </c>
    </row>
    <row r="294" spans="2:27" x14ac:dyDescent="0.3">
      <c r="B294" s="27">
        <v>72.799999999999983</v>
      </c>
      <c r="C294" s="27">
        <v>734</v>
      </c>
      <c r="D294" s="19">
        <f t="shared" ref="D294:H294" si="260">1/C$23-LN(C$23)+$B294*C$22</f>
        <v>42.617529207494925</v>
      </c>
      <c r="E294" s="19">
        <f t="shared" si="260"/>
        <v>2.0435380132376153</v>
      </c>
      <c r="F294" s="19">
        <f t="shared" si="260"/>
        <v>19.582585092994044</v>
      </c>
      <c r="G294" s="19">
        <f t="shared" si="260"/>
        <v>19.582585092994044</v>
      </c>
      <c r="H294" s="19">
        <f t="shared" si="260"/>
        <v>19.582585092994044</v>
      </c>
      <c r="I294" s="16"/>
      <c r="J294" s="19">
        <f t="shared" si="195"/>
        <v>38.955119018436662</v>
      </c>
      <c r="K294" s="19">
        <f t="shared" si="196"/>
        <v>1.5837454398963189</v>
      </c>
      <c r="L294" s="19">
        <f t="shared" si="197"/>
        <v>16.763387877693919</v>
      </c>
      <c r="M294" s="19">
        <f t="shared" si="198"/>
        <v>16.763387877693919</v>
      </c>
      <c r="N294" s="19">
        <f t="shared" si="199"/>
        <v>16.763387877693919</v>
      </c>
      <c r="O294" s="16"/>
      <c r="P294" s="19">
        <f t="shared" si="200"/>
        <v>93.185580277534143</v>
      </c>
      <c r="Q294" s="19">
        <f t="shared" si="201"/>
        <v>632.90821260735277</v>
      </c>
      <c r="R294" s="19">
        <f t="shared" si="202"/>
        <v>0</v>
      </c>
      <c r="S294" s="19">
        <f t="shared" si="203"/>
        <v>0</v>
      </c>
      <c r="T294" s="19">
        <f t="shared" si="204"/>
        <v>0</v>
      </c>
      <c r="U294" s="16"/>
      <c r="V294" s="19">
        <f t="shared" si="205"/>
        <v>726.09379288488685</v>
      </c>
      <c r="W294" s="16"/>
      <c r="X294" s="19">
        <f t="shared" si="206"/>
        <v>62.508110947065759</v>
      </c>
      <c r="Y294" s="19">
        <f t="shared" si="207"/>
        <v>7.9062071151131477</v>
      </c>
      <c r="Z294" s="19"/>
      <c r="AA294" s="19">
        <f t="shared" si="208"/>
        <v>1.9531915443380924E-5</v>
      </c>
    </row>
    <row r="295" spans="2:27" x14ac:dyDescent="0.3">
      <c r="B295" s="27">
        <v>73.099999999999994</v>
      </c>
      <c r="C295" s="27">
        <v>736</v>
      </c>
      <c r="D295" s="19">
        <f t="shared" ref="D295:H295" si="261">1/C$23-LN(C$23)+$B295*C$22</f>
        <v>42.72124395769309</v>
      </c>
      <c r="E295" s="19">
        <f t="shared" si="261"/>
        <v>2.0462986053327583</v>
      </c>
      <c r="F295" s="19">
        <f t="shared" si="261"/>
        <v>19.612585092994046</v>
      </c>
      <c r="G295" s="19">
        <f t="shared" si="261"/>
        <v>19.612585092994046</v>
      </c>
      <c r="H295" s="19">
        <f t="shared" si="261"/>
        <v>19.612585092994046</v>
      </c>
      <c r="I295" s="16"/>
      <c r="J295" s="19">
        <f t="shared" si="195"/>
        <v>39.05624126660846</v>
      </c>
      <c r="K295" s="19">
        <f t="shared" si="196"/>
        <v>1.5854379359092188</v>
      </c>
      <c r="L295" s="19">
        <f t="shared" si="197"/>
        <v>16.791700355136111</v>
      </c>
      <c r="M295" s="19">
        <f t="shared" si="198"/>
        <v>16.791700355136111</v>
      </c>
      <c r="N295" s="19">
        <f t="shared" si="199"/>
        <v>16.791700355136111</v>
      </c>
      <c r="O295" s="16"/>
      <c r="P295" s="19">
        <f t="shared" si="200"/>
        <v>92.70967082593134</v>
      </c>
      <c r="Q295" s="19">
        <f t="shared" si="201"/>
        <v>631.81869056687094</v>
      </c>
      <c r="R295" s="19">
        <f t="shared" si="202"/>
        <v>0</v>
      </c>
      <c r="S295" s="19">
        <f t="shared" si="203"/>
        <v>0</v>
      </c>
      <c r="T295" s="19">
        <f t="shared" si="204"/>
        <v>0</v>
      </c>
      <c r="U295" s="16"/>
      <c r="V295" s="19">
        <f t="shared" si="205"/>
        <v>724.52836139280225</v>
      </c>
      <c r="W295" s="16"/>
      <c r="X295" s="19">
        <f t="shared" si="206"/>
        <v>131.59849233414985</v>
      </c>
      <c r="Y295" s="19">
        <f t="shared" si="207"/>
        <v>11.471638607197747</v>
      </c>
      <c r="Z295" s="19"/>
      <c r="AA295" s="19">
        <f t="shared" si="208"/>
        <v>2.8340147432325882E-5</v>
      </c>
    </row>
    <row r="296" spans="2:27" x14ac:dyDescent="0.3">
      <c r="B296" s="27">
        <v>73.400000000000006</v>
      </c>
      <c r="C296" s="27">
        <v>765</v>
      </c>
      <c r="D296" s="19">
        <f t="shared" ref="D296:H296" si="262">1/C$23-LN(C$23)+$B296*C$22</f>
        <v>42.824958707891255</v>
      </c>
      <c r="E296" s="19">
        <f t="shared" si="262"/>
        <v>2.0490591974279018</v>
      </c>
      <c r="F296" s="19">
        <f t="shared" si="262"/>
        <v>19.642585092994047</v>
      </c>
      <c r="G296" s="19">
        <f t="shared" si="262"/>
        <v>19.642585092994047</v>
      </c>
      <c r="H296" s="19">
        <f t="shared" si="262"/>
        <v>19.642585092994047</v>
      </c>
      <c r="I296" s="16"/>
      <c r="J296" s="19">
        <f t="shared" si="195"/>
        <v>39.157370051535906</v>
      </c>
      <c r="K296" s="19">
        <f t="shared" si="196"/>
        <v>1.5871311310415874</v>
      </c>
      <c r="L296" s="19">
        <f t="shared" si="197"/>
        <v>16.820015515977747</v>
      </c>
      <c r="M296" s="19">
        <f t="shared" si="198"/>
        <v>16.820015515977747</v>
      </c>
      <c r="N296" s="19">
        <f t="shared" si="199"/>
        <v>16.820015515977747</v>
      </c>
      <c r="O296" s="16"/>
      <c r="P296" s="19">
        <f t="shared" si="200"/>
        <v>92.237367652858197</v>
      </c>
      <c r="Q296" s="19">
        <f t="shared" si="201"/>
        <v>630.73158489310754</v>
      </c>
      <c r="R296" s="19">
        <f t="shared" si="202"/>
        <v>0</v>
      </c>
      <c r="S296" s="19">
        <f t="shared" si="203"/>
        <v>0</v>
      </c>
      <c r="T296" s="19">
        <f t="shared" si="204"/>
        <v>0</v>
      </c>
      <c r="U296" s="16"/>
      <c r="V296" s="19">
        <f t="shared" si="205"/>
        <v>722.96895254596575</v>
      </c>
      <c r="W296" s="16"/>
      <c r="X296" s="19">
        <f t="shared" si="206"/>
        <v>1766.6089500832791</v>
      </c>
      <c r="Y296" s="19">
        <f t="shared" si="207"/>
        <v>42.031047454034251</v>
      </c>
      <c r="Z296" s="19"/>
      <c r="AA296" s="19">
        <f t="shared" si="208"/>
        <v>1.03835739807479E-4</v>
      </c>
    </row>
    <row r="297" spans="2:27" x14ac:dyDescent="0.3">
      <c r="B297" s="27">
        <v>73.699999999999989</v>
      </c>
      <c r="C297" s="27">
        <v>759</v>
      </c>
      <c r="D297" s="19">
        <f t="shared" ref="D297:H297" si="263">1/C$23-LN(C$23)+$B297*C$22</f>
        <v>42.92867345808942</v>
      </c>
      <c r="E297" s="19">
        <f t="shared" si="263"/>
        <v>2.0518197895230448</v>
      </c>
      <c r="F297" s="19">
        <f t="shared" si="263"/>
        <v>19.672585092994044</v>
      </c>
      <c r="G297" s="19">
        <f t="shared" si="263"/>
        <v>19.672585092994044</v>
      </c>
      <c r="H297" s="19">
        <f t="shared" si="263"/>
        <v>19.672585092994044</v>
      </c>
      <c r="I297" s="16"/>
      <c r="J297" s="19">
        <f t="shared" si="195"/>
        <v>39.258505340756528</v>
      </c>
      <c r="K297" s="19">
        <f t="shared" si="196"/>
        <v>1.5888250246668394</v>
      </c>
      <c r="L297" s="19">
        <f t="shared" si="197"/>
        <v>16.848333351951112</v>
      </c>
      <c r="M297" s="19">
        <f t="shared" si="198"/>
        <v>16.848333351951112</v>
      </c>
      <c r="N297" s="19">
        <f t="shared" si="199"/>
        <v>16.848333351951112</v>
      </c>
      <c r="O297" s="16"/>
      <c r="P297" s="19">
        <f t="shared" si="200"/>
        <v>91.768634641670346</v>
      </c>
      <c r="Q297" s="19">
        <f t="shared" si="201"/>
        <v>629.64688930464501</v>
      </c>
      <c r="R297" s="19">
        <f t="shared" si="202"/>
        <v>0</v>
      </c>
      <c r="S297" s="19">
        <f t="shared" si="203"/>
        <v>0</v>
      </c>
      <c r="T297" s="19">
        <f t="shared" si="204"/>
        <v>0</v>
      </c>
      <c r="U297" s="16"/>
      <c r="V297" s="19">
        <f t="shared" si="205"/>
        <v>721.41552394631537</v>
      </c>
      <c r="W297" s="16"/>
      <c r="X297" s="19">
        <f t="shared" si="206"/>
        <v>1412.592840229993</v>
      </c>
      <c r="Y297" s="19">
        <f t="shared" si="207"/>
        <v>37.584476053684625</v>
      </c>
      <c r="Z297" s="19"/>
      <c r="AA297" s="19">
        <f t="shared" si="208"/>
        <v>9.2850692826029939E-5</v>
      </c>
    </row>
    <row r="298" spans="2:27" x14ac:dyDescent="0.3">
      <c r="B298" s="27">
        <v>74</v>
      </c>
      <c r="C298" s="27">
        <v>711</v>
      </c>
      <c r="D298" s="19">
        <f t="shared" ref="D298:H298" si="264">1/C$23-LN(C$23)+$B298*C$22</f>
        <v>43.032388208287585</v>
      </c>
      <c r="E298" s="19">
        <f t="shared" si="264"/>
        <v>2.0545803816181882</v>
      </c>
      <c r="F298" s="19">
        <f t="shared" si="264"/>
        <v>19.702585092994045</v>
      </c>
      <c r="G298" s="19">
        <f t="shared" si="264"/>
        <v>19.702585092994045</v>
      </c>
      <c r="H298" s="19">
        <f t="shared" si="264"/>
        <v>19.702585092994045</v>
      </c>
      <c r="I298" s="16"/>
      <c r="J298" s="19">
        <f t="shared" si="195"/>
        <v>39.359647102047006</v>
      </c>
      <c r="K298" s="19">
        <f t="shared" si="196"/>
        <v>1.5905196161587964</v>
      </c>
      <c r="L298" s="19">
        <f t="shared" si="197"/>
        <v>16.876653854825843</v>
      </c>
      <c r="M298" s="19">
        <f t="shared" si="198"/>
        <v>16.876653854825843</v>
      </c>
      <c r="N298" s="19">
        <f t="shared" si="199"/>
        <v>16.876653854825843</v>
      </c>
      <c r="O298" s="16"/>
      <c r="P298" s="19">
        <f t="shared" si="200"/>
        <v>91.303436124449604</v>
      </c>
      <c r="Q298" s="19">
        <f t="shared" si="201"/>
        <v>628.56459753812658</v>
      </c>
      <c r="R298" s="19">
        <f t="shared" si="202"/>
        <v>0</v>
      </c>
      <c r="S298" s="19">
        <f t="shared" si="203"/>
        <v>0</v>
      </c>
      <c r="T298" s="19">
        <f t="shared" si="204"/>
        <v>0</v>
      </c>
      <c r="U298" s="16"/>
      <c r="V298" s="19">
        <f t="shared" si="205"/>
        <v>719.86803366257618</v>
      </c>
      <c r="W298" s="16"/>
      <c r="X298" s="19">
        <f t="shared" si="206"/>
        <v>78.642021040584311</v>
      </c>
      <c r="Y298" s="19">
        <f t="shared" si="207"/>
        <v>8.8680336625761811</v>
      </c>
      <c r="Z298" s="19"/>
      <c r="AA298" s="19">
        <f t="shared" si="208"/>
        <v>2.1908063009808306E-5</v>
      </c>
    </row>
    <row r="299" spans="2:27" x14ac:dyDescent="0.3">
      <c r="B299" s="27">
        <v>74.199999999999989</v>
      </c>
      <c r="C299" s="27">
        <v>725</v>
      </c>
      <c r="D299" s="19">
        <f t="shared" ref="D299:H299" si="265">1/C$23-LN(C$23)+$B299*C$22</f>
        <v>43.101531375086367</v>
      </c>
      <c r="E299" s="19">
        <f t="shared" si="265"/>
        <v>2.0564207763482836</v>
      </c>
      <c r="F299" s="19">
        <f t="shared" si="265"/>
        <v>19.722585092994045</v>
      </c>
      <c r="G299" s="19">
        <f t="shared" si="265"/>
        <v>19.722585092994045</v>
      </c>
      <c r="H299" s="19">
        <f t="shared" si="265"/>
        <v>19.722585092994045</v>
      </c>
      <c r="I299" s="16"/>
      <c r="J299" s="19">
        <f t="shared" si="195"/>
        <v>39.427078522696178</v>
      </c>
      <c r="K299" s="19">
        <f t="shared" si="196"/>
        <v>1.5916497312147859</v>
      </c>
      <c r="L299" s="19">
        <f t="shared" si="197"/>
        <v>16.895535667639969</v>
      </c>
      <c r="M299" s="19">
        <f t="shared" si="198"/>
        <v>16.895535667639969</v>
      </c>
      <c r="N299" s="19">
        <f t="shared" si="199"/>
        <v>16.895535667639969</v>
      </c>
      <c r="O299" s="16"/>
      <c r="P299" s="19">
        <f t="shared" si="200"/>
        <v>90.995249973925553</v>
      </c>
      <c r="Q299" s="19">
        <f t="shared" si="201"/>
        <v>627.8444020655545</v>
      </c>
      <c r="R299" s="19">
        <f t="shared" si="202"/>
        <v>0</v>
      </c>
      <c r="S299" s="19">
        <f t="shared" si="203"/>
        <v>0</v>
      </c>
      <c r="T299" s="19">
        <f t="shared" si="204"/>
        <v>0</v>
      </c>
      <c r="U299" s="16"/>
      <c r="V299" s="19">
        <f t="shared" si="205"/>
        <v>718.83965203948003</v>
      </c>
      <c r="W299" s="16"/>
      <c r="X299" s="19">
        <f t="shared" si="206"/>
        <v>37.949886994682565</v>
      </c>
      <c r="Y299" s="19">
        <f t="shared" si="207"/>
        <v>6.1603479605199709</v>
      </c>
      <c r="Z299" s="19"/>
      <c r="AA299" s="19">
        <f t="shared" si="208"/>
        <v>1.5218851936812462E-5</v>
      </c>
    </row>
    <row r="300" spans="2:27" x14ac:dyDescent="0.3">
      <c r="B300" s="27">
        <v>74.5</v>
      </c>
      <c r="C300" s="27">
        <v>719</v>
      </c>
      <c r="D300" s="19">
        <f t="shared" ref="D300:H300" si="266">1/C$23-LN(C$23)+$B300*C$22</f>
        <v>43.205246125284532</v>
      </c>
      <c r="E300" s="19">
        <f t="shared" si="266"/>
        <v>2.0591813684434266</v>
      </c>
      <c r="F300" s="19">
        <f t="shared" si="266"/>
        <v>19.752585092994046</v>
      </c>
      <c r="G300" s="19">
        <f t="shared" si="266"/>
        <v>19.752585092994046</v>
      </c>
      <c r="H300" s="19">
        <f t="shared" si="266"/>
        <v>19.752585092994046</v>
      </c>
      <c r="I300" s="16"/>
      <c r="J300" s="19">
        <f t="shared" si="195"/>
        <v>39.528230999804393</v>
      </c>
      <c r="K300" s="19">
        <f t="shared" si="196"/>
        <v>1.5933454844275141</v>
      </c>
      <c r="L300" s="19">
        <f t="shared" si="197"/>
        <v>16.923860597161326</v>
      </c>
      <c r="M300" s="19">
        <f t="shared" si="198"/>
        <v>16.923860597161326</v>
      </c>
      <c r="N300" s="19">
        <f t="shared" si="199"/>
        <v>16.923860597161326</v>
      </c>
      <c r="O300" s="16"/>
      <c r="P300" s="19">
        <f t="shared" si="200"/>
        <v>90.535864215697742</v>
      </c>
      <c r="Q300" s="19">
        <f t="shared" si="201"/>
        <v>626.76610279925762</v>
      </c>
      <c r="R300" s="19">
        <f t="shared" si="202"/>
        <v>0</v>
      </c>
      <c r="S300" s="19">
        <f t="shared" si="203"/>
        <v>0</v>
      </c>
      <c r="T300" s="19">
        <f t="shared" si="204"/>
        <v>0</v>
      </c>
      <c r="U300" s="16"/>
      <c r="V300" s="19">
        <f t="shared" si="205"/>
        <v>717.30196701495538</v>
      </c>
      <c r="W300" s="16"/>
      <c r="X300" s="19">
        <f t="shared" si="206"/>
        <v>2.8833160182995416</v>
      </c>
      <c r="Y300" s="19">
        <f t="shared" si="207"/>
        <v>1.6980329850446196</v>
      </c>
      <c r="Z300" s="19"/>
      <c r="AA300" s="19">
        <f t="shared" si="208"/>
        <v>4.1949111882693918E-6</v>
      </c>
    </row>
    <row r="301" spans="2:27" x14ac:dyDescent="0.3">
      <c r="B301" s="27">
        <v>74.799999999999983</v>
      </c>
      <c r="C301" s="27">
        <v>724</v>
      </c>
      <c r="D301" s="19">
        <f t="shared" ref="D301:H301" si="267">1/C$23-LN(C$23)+$B301*C$22</f>
        <v>43.30896087548269</v>
      </c>
      <c r="E301" s="19">
        <f t="shared" si="267"/>
        <v>2.0619419605385696</v>
      </c>
      <c r="F301" s="19">
        <f t="shared" si="267"/>
        <v>19.782585092994044</v>
      </c>
      <c r="G301" s="19">
        <f t="shared" si="267"/>
        <v>19.782585092994044</v>
      </c>
      <c r="H301" s="19">
        <f t="shared" si="267"/>
        <v>19.782585092994044</v>
      </c>
      <c r="I301" s="16"/>
      <c r="J301" s="19">
        <f t="shared" si="195"/>
        <v>39.629389864204946</v>
      </c>
      <c r="K301" s="19">
        <f t="shared" si="196"/>
        <v>1.5950419338391282</v>
      </c>
      <c r="L301" s="19">
        <f t="shared" si="197"/>
        <v>16.95218817181728</v>
      </c>
      <c r="M301" s="19">
        <f t="shared" si="198"/>
        <v>16.95218817181728</v>
      </c>
      <c r="N301" s="19">
        <f t="shared" si="199"/>
        <v>16.95218817181728</v>
      </c>
      <c r="O301" s="16"/>
      <c r="P301" s="19">
        <f t="shared" si="200"/>
        <v>90.079919980586396</v>
      </c>
      <c r="Q301" s="19">
        <f t="shared" si="201"/>
        <v>625.69019074050709</v>
      </c>
      <c r="R301" s="19">
        <f t="shared" si="202"/>
        <v>0</v>
      </c>
      <c r="S301" s="19">
        <f t="shared" si="203"/>
        <v>0</v>
      </c>
      <c r="T301" s="19">
        <f t="shared" si="204"/>
        <v>0</v>
      </c>
      <c r="U301" s="16"/>
      <c r="V301" s="19">
        <f t="shared" si="205"/>
        <v>715.77011072109349</v>
      </c>
      <c r="W301" s="16"/>
      <c r="X301" s="19">
        <f t="shared" si="206"/>
        <v>67.731077543060351</v>
      </c>
      <c r="Y301" s="19">
        <f t="shared" si="207"/>
        <v>8.2298892789065121</v>
      </c>
      <c r="Z301" s="19"/>
      <c r="AA301" s="19">
        <f t="shared" si="208"/>
        <v>2.0331557112476268E-5</v>
      </c>
    </row>
    <row r="302" spans="2:27" x14ac:dyDescent="0.3">
      <c r="B302" s="27">
        <v>75.099999999999994</v>
      </c>
      <c r="C302" s="27">
        <v>681</v>
      </c>
      <c r="D302" s="19">
        <f t="shared" ref="D302:H302" si="268">1/C$23-LN(C$23)+$B302*C$22</f>
        <v>43.412675625680862</v>
      </c>
      <c r="E302" s="19">
        <f t="shared" si="268"/>
        <v>2.0647025526337131</v>
      </c>
      <c r="F302" s="19">
        <f t="shared" si="268"/>
        <v>19.812585092994045</v>
      </c>
      <c r="G302" s="19">
        <f t="shared" si="268"/>
        <v>19.812585092994045</v>
      </c>
      <c r="H302" s="19">
        <f t="shared" si="268"/>
        <v>19.812585092994045</v>
      </c>
      <c r="I302" s="16"/>
      <c r="J302" s="19">
        <f t="shared" si="195"/>
        <v>39.730555084531574</v>
      </c>
      <c r="K302" s="19">
        <f t="shared" si="196"/>
        <v>1.5967390788249447</v>
      </c>
      <c r="L302" s="19">
        <f t="shared" si="197"/>
        <v>16.980518383512504</v>
      </c>
      <c r="M302" s="19">
        <f t="shared" si="198"/>
        <v>16.980518383512504</v>
      </c>
      <c r="N302" s="19">
        <f t="shared" si="199"/>
        <v>16.980518383512504</v>
      </c>
      <c r="O302" s="16"/>
      <c r="P302" s="19">
        <f t="shared" si="200"/>
        <v>89.627383190010406</v>
      </c>
      <c r="Q302" s="19">
        <f t="shared" si="201"/>
        <v>624.61665969170565</v>
      </c>
      <c r="R302" s="19">
        <f t="shared" si="202"/>
        <v>0</v>
      </c>
      <c r="S302" s="19">
        <f t="shared" si="203"/>
        <v>0</v>
      </c>
      <c r="T302" s="19">
        <f t="shared" si="204"/>
        <v>0</v>
      </c>
      <c r="U302" s="16"/>
      <c r="V302" s="19">
        <f t="shared" si="205"/>
        <v>714.24404288171604</v>
      </c>
      <c r="W302" s="16"/>
      <c r="X302" s="19">
        <f t="shared" si="206"/>
        <v>1105.166387121375</v>
      </c>
      <c r="Y302" s="19">
        <f t="shared" si="207"/>
        <v>33.244042881716041</v>
      </c>
      <c r="Z302" s="19"/>
      <c r="AA302" s="19">
        <f t="shared" si="208"/>
        <v>8.2127855380944524E-5</v>
      </c>
    </row>
    <row r="303" spans="2:27" x14ac:dyDescent="0.3">
      <c r="B303" s="27">
        <v>75.400000000000006</v>
      </c>
      <c r="C303" s="27">
        <v>717</v>
      </c>
      <c r="D303" s="19">
        <f t="shared" ref="D303:H303" si="269">1/C$23-LN(C$23)+$B303*C$22</f>
        <v>43.516390375879027</v>
      </c>
      <c r="E303" s="19">
        <f t="shared" si="269"/>
        <v>2.0674631447288565</v>
      </c>
      <c r="F303" s="19">
        <f t="shared" si="269"/>
        <v>19.842585092994046</v>
      </c>
      <c r="G303" s="19">
        <f t="shared" si="269"/>
        <v>19.842585092994046</v>
      </c>
      <c r="H303" s="19">
        <f t="shared" si="269"/>
        <v>19.842585092994046</v>
      </c>
      <c r="I303" s="16"/>
      <c r="J303" s="19">
        <f t="shared" si="195"/>
        <v>39.831726629646489</v>
      </c>
      <c r="K303" s="19">
        <f t="shared" si="196"/>
        <v>1.5984369187606897</v>
      </c>
      <c r="L303" s="19">
        <f t="shared" si="197"/>
        <v>17.008851224187993</v>
      </c>
      <c r="M303" s="19">
        <f t="shared" si="198"/>
        <v>17.008851224187993</v>
      </c>
      <c r="N303" s="19">
        <f t="shared" si="199"/>
        <v>17.008851224187993</v>
      </c>
      <c r="O303" s="16"/>
      <c r="P303" s="19">
        <f t="shared" si="200"/>
        <v>89.17822018406325</v>
      </c>
      <c r="Q303" s="19">
        <f t="shared" si="201"/>
        <v>623.54550347306247</v>
      </c>
      <c r="R303" s="19">
        <f t="shared" si="202"/>
        <v>0</v>
      </c>
      <c r="S303" s="19">
        <f t="shared" si="203"/>
        <v>0</v>
      </c>
      <c r="T303" s="19">
        <f t="shared" si="204"/>
        <v>0</v>
      </c>
      <c r="U303" s="16"/>
      <c r="V303" s="19">
        <f t="shared" si="205"/>
        <v>712.72372365712567</v>
      </c>
      <c r="W303" s="16"/>
      <c r="X303" s="19">
        <f t="shared" si="206"/>
        <v>18.286539360626616</v>
      </c>
      <c r="Y303" s="19">
        <f t="shared" si="207"/>
        <v>4.2762763428743256</v>
      </c>
      <c r="Z303" s="19"/>
      <c r="AA303" s="19">
        <f t="shared" si="208"/>
        <v>1.0564340995050722E-5</v>
      </c>
    </row>
    <row r="304" spans="2:27" x14ac:dyDescent="0.3">
      <c r="B304" s="27">
        <v>75.699999999999989</v>
      </c>
      <c r="C304" s="27">
        <v>694</v>
      </c>
      <c r="D304" s="19">
        <f t="shared" ref="D304:H304" si="270">1/C$23-LN(C$23)+$B304*C$22</f>
        <v>43.620105126077192</v>
      </c>
      <c r="E304" s="19">
        <f t="shared" si="270"/>
        <v>2.0702237368239995</v>
      </c>
      <c r="F304" s="19">
        <f t="shared" si="270"/>
        <v>19.872585092994044</v>
      </c>
      <c r="G304" s="19">
        <f t="shared" si="270"/>
        <v>19.872585092994044</v>
      </c>
      <c r="H304" s="19">
        <f t="shared" si="270"/>
        <v>19.872585092994044</v>
      </c>
      <c r="I304" s="16"/>
      <c r="J304" s="19">
        <f t="shared" si="195"/>
        <v>39.932904468638192</v>
      </c>
      <c r="K304" s="19">
        <f t="shared" si="196"/>
        <v>1.6001354530224996</v>
      </c>
      <c r="L304" s="19">
        <f t="shared" si="197"/>
        <v>17.037186685820846</v>
      </c>
      <c r="M304" s="19">
        <f t="shared" si="198"/>
        <v>17.037186685820846</v>
      </c>
      <c r="N304" s="19">
        <f t="shared" si="199"/>
        <v>17.037186685820846</v>
      </c>
      <c r="O304" s="16"/>
      <c r="P304" s="19">
        <f t="shared" si="200"/>
        <v>88.732397715381708</v>
      </c>
      <c r="Q304" s="19">
        <f t="shared" si="201"/>
        <v>622.47671592254028</v>
      </c>
      <c r="R304" s="19">
        <f t="shared" si="202"/>
        <v>0</v>
      </c>
      <c r="S304" s="19">
        <f t="shared" si="203"/>
        <v>0</v>
      </c>
      <c r="T304" s="19">
        <f t="shared" si="204"/>
        <v>0</v>
      </c>
      <c r="U304" s="16"/>
      <c r="V304" s="19">
        <f t="shared" si="205"/>
        <v>711.20911363792197</v>
      </c>
      <c r="W304" s="16"/>
      <c r="X304" s="19">
        <f t="shared" si="206"/>
        <v>296.15359220291208</v>
      </c>
      <c r="Y304" s="19">
        <f t="shared" si="207"/>
        <v>17.209113637921973</v>
      </c>
      <c r="Z304" s="19"/>
      <c r="AA304" s="19">
        <f t="shared" si="208"/>
        <v>4.2514311545026485E-5</v>
      </c>
    </row>
    <row r="305" spans="2:27" x14ac:dyDescent="0.3">
      <c r="B305" s="27">
        <v>76</v>
      </c>
      <c r="C305" s="27">
        <v>690</v>
      </c>
      <c r="D305" s="19">
        <f t="shared" ref="D305:H305" si="271">1/C$23-LN(C$23)+$B305*C$22</f>
        <v>43.723819876275357</v>
      </c>
      <c r="E305" s="19">
        <f t="shared" si="271"/>
        <v>2.0729843289191425</v>
      </c>
      <c r="F305" s="19">
        <f t="shared" si="271"/>
        <v>19.902585092994045</v>
      </c>
      <c r="G305" s="19">
        <f t="shared" si="271"/>
        <v>19.902585092994045</v>
      </c>
      <c r="H305" s="19">
        <f t="shared" si="271"/>
        <v>19.902585092994045</v>
      </c>
      <c r="I305" s="16"/>
      <c r="J305" s="19">
        <f t="shared" si="195"/>
        <v>40.034088570819335</v>
      </c>
      <c r="K305" s="19">
        <f t="shared" si="196"/>
        <v>1.6018346809869226</v>
      </c>
      <c r="L305" s="19">
        <f t="shared" si="197"/>
        <v>17.065524760424072</v>
      </c>
      <c r="M305" s="19">
        <f t="shared" si="198"/>
        <v>17.065524760424072</v>
      </c>
      <c r="N305" s="19">
        <f t="shared" si="199"/>
        <v>17.065524760424072</v>
      </c>
      <c r="O305" s="16"/>
      <c r="P305" s="19">
        <f t="shared" si="200"/>
        <v>88.289882943118201</v>
      </c>
      <c r="Q305" s="19">
        <f t="shared" si="201"/>
        <v>621.41029089580093</v>
      </c>
      <c r="R305" s="19">
        <f t="shared" si="202"/>
        <v>0</v>
      </c>
      <c r="S305" s="19">
        <f t="shared" si="203"/>
        <v>0</v>
      </c>
      <c r="T305" s="19">
        <f t="shared" si="204"/>
        <v>0</v>
      </c>
      <c r="U305" s="16"/>
      <c r="V305" s="19">
        <f t="shared" si="205"/>
        <v>709.70017383891911</v>
      </c>
      <c r="W305" s="16"/>
      <c r="X305" s="19">
        <f t="shared" si="206"/>
        <v>388.09684928363305</v>
      </c>
      <c r="Y305" s="19">
        <f t="shared" si="207"/>
        <v>19.700173838919113</v>
      </c>
      <c r="Z305" s="19"/>
      <c r="AA305" s="19">
        <f t="shared" si="208"/>
        <v>4.866835943446776E-5</v>
      </c>
    </row>
    <row r="306" spans="2:27" x14ac:dyDescent="0.3">
      <c r="B306" s="27">
        <v>76.199999999999989</v>
      </c>
      <c r="C306" s="27">
        <v>671</v>
      </c>
      <c r="D306" s="19">
        <f t="shared" ref="D306:H306" si="272">1/C$23-LN(C$23)+$B306*C$22</f>
        <v>43.792963043074131</v>
      </c>
      <c r="E306" s="19">
        <f t="shared" si="272"/>
        <v>2.0748247236492379</v>
      </c>
      <c r="F306" s="19">
        <f t="shared" si="272"/>
        <v>19.922585092994044</v>
      </c>
      <c r="G306" s="19">
        <f t="shared" si="272"/>
        <v>19.922585092994044</v>
      </c>
      <c r="H306" s="19">
        <f t="shared" si="272"/>
        <v>19.922585092994044</v>
      </c>
      <c r="I306" s="16"/>
      <c r="J306" s="19">
        <f t="shared" ref="J306:J369" si="273">lmb_2(D306)</f>
        <v>40.10154810343608</v>
      </c>
      <c r="K306" s="19">
        <f t="shared" ref="K306:K369" si="274">lmb_2(E306)</f>
        <v>1.6029678847125208</v>
      </c>
      <c r="L306" s="19">
        <f t="shared" ref="L306:L369" si="275">lmb_2(F306)</f>
        <v>17.084418257881726</v>
      </c>
      <c r="M306" s="19">
        <f t="shared" ref="M306:M369" si="276">lmb_2(G306)</f>
        <v>17.084418257881726</v>
      </c>
      <c r="N306" s="19">
        <f t="shared" ref="N306:N369" si="277">lmb_2(H306)</f>
        <v>17.084418257881726</v>
      </c>
      <c r="O306" s="16"/>
      <c r="P306" s="19">
        <f t="shared" ref="P306:P369" si="278">(C$21*$A$21*C$22)/(J306+J306^2)</f>
        <v>87.996694667874934</v>
      </c>
      <c r="Q306" s="19">
        <f t="shared" ref="Q306:Q369" si="279">($D$21*$A$21*$D$22)/(K306+K306^2)</f>
        <v>620.7006503649352</v>
      </c>
      <c r="R306" s="19">
        <f t="shared" ref="R306:R369" si="280">($E$21*$A$21*$E$22)/(L306+L306^2)</f>
        <v>0</v>
      </c>
      <c r="S306" s="19">
        <f t="shared" ref="S306:S369" si="281">($F$21*$A$21*$F$22)/(M306+M306^2)</f>
        <v>0</v>
      </c>
      <c r="T306" s="19">
        <f t="shared" ref="T306:T369" si="282">($G$21*$A$21*$G$22)/(N306+N306^2)</f>
        <v>0</v>
      </c>
      <c r="U306" s="16"/>
      <c r="V306" s="19">
        <f t="shared" ref="V306:V369" si="283">SUM(P306:T306)</f>
        <v>708.69734503281018</v>
      </c>
      <c r="W306" s="16"/>
      <c r="X306" s="19">
        <f t="shared" ref="X306:X369" si="284">(V306-C306)^2</f>
        <v>1421.0898225227381</v>
      </c>
      <c r="Y306" s="19">
        <f t="shared" ref="Y306:Y369" si="285">ABS(V306-C306)</f>
        <v>37.697345032810176</v>
      </c>
      <c r="Z306" s="19"/>
      <c r="AA306" s="19">
        <f t="shared" ref="AA306:AA369" si="286">Y306/$Z$39</f>
        <v>9.3129530367769378E-5</v>
      </c>
    </row>
    <row r="307" spans="2:27" x14ac:dyDescent="0.3">
      <c r="B307" s="27">
        <v>76.5</v>
      </c>
      <c r="C307" s="27">
        <v>703</v>
      </c>
      <c r="D307" s="19">
        <f t="shared" ref="D307:H307" si="287">1/C$23-LN(C$23)+$B307*C$22</f>
        <v>43.896677793272303</v>
      </c>
      <c r="E307" s="19">
        <f t="shared" si="287"/>
        <v>2.0775853157443813</v>
      </c>
      <c r="F307" s="19">
        <f t="shared" si="287"/>
        <v>19.952585092994045</v>
      </c>
      <c r="G307" s="19">
        <f t="shared" si="287"/>
        <v>19.952585092994045</v>
      </c>
      <c r="H307" s="19">
        <f t="shared" si="287"/>
        <v>19.952585092994045</v>
      </c>
      <c r="I307" s="16"/>
      <c r="J307" s="19">
        <f t="shared" si="273"/>
        <v>40.202742576674083</v>
      </c>
      <c r="K307" s="19">
        <f t="shared" si="274"/>
        <v>1.6046682674636357</v>
      </c>
      <c r="L307" s="19">
        <f t="shared" si="275"/>
        <v>17.11276066978353</v>
      </c>
      <c r="M307" s="19">
        <f t="shared" si="276"/>
        <v>17.11276066978353</v>
      </c>
      <c r="N307" s="19">
        <f t="shared" si="277"/>
        <v>17.11276066978353</v>
      </c>
      <c r="O307" s="16"/>
      <c r="P307" s="19">
        <f t="shared" si="278"/>
        <v>87.559620828697732</v>
      </c>
      <c r="Q307" s="19">
        <f t="shared" si="279"/>
        <v>619.63814927164958</v>
      </c>
      <c r="R307" s="19">
        <f t="shared" si="280"/>
        <v>0</v>
      </c>
      <c r="S307" s="19">
        <f t="shared" si="281"/>
        <v>0</v>
      </c>
      <c r="T307" s="19">
        <f t="shared" si="282"/>
        <v>0</v>
      </c>
      <c r="U307" s="16"/>
      <c r="V307" s="19">
        <f t="shared" si="283"/>
        <v>707.19777010034727</v>
      </c>
      <c r="W307" s="16"/>
      <c r="X307" s="19">
        <f t="shared" si="284"/>
        <v>17.621273815369531</v>
      </c>
      <c r="Y307" s="19">
        <f t="shared" si="285"/>
        <v>4.1977701003472703</v>
      </c>
      <c r="Z307" s="19"/>
      <c r="AA307" s="19">
        <f t="shared" si="286"/>
        <v>1.0370394989274469E-5</v>
      </c>
    </row>
    <row r="308" spans="2:27" x14ac:dyDescent="0.3">
      <c r="B308" s="27">
        <v>76.799999999999983</v>
      </c>
      <c r="C308" s="27">
        <v>679</v>
      </c>
      <c r="D308" s="19">
        <f t="shared" ref="D308:H308" si="288">1/C$23-LN(C$23)+$B308*C$22</f>
        <v>44.000392543470454</v>
      </c>
      <c r="E308" s="19">
        <f t="shared" si="288"/>
        <v>2.0803459078395243</v>
      </c>
      <c r="F308" s="19">
        <f t="shared" si="288"/>
        <v>19.982585092994043</v>
      </c>
      <c r="G308" s="19">
        <f t="shared" si="288"/>
        <v>19.982585092994043</v>
      </c>
      <c r="H308" s="19">
        <f t="shared" si="288"/>
        <v>19.982585092994043</v>
      </c>
      <c r="I308" s="16"/>
      <c r="J308" s="19">
        <f t="shared" si="273"/>
        <v>40.30394323234799</v>
      </c>
      <c r="K308" s="19">
        <f t="shared" si="274"/>
        <v>1.6063693422568404</v>
      </c>
      <c r="L308" s="19">
        <f t="shared" si="275"/>
        <v>17.141105673530951</v>
      </c>
      <c r="M308" s="19">
        <f t="shared" si="276"/>
        <v>17.141105673530951</v>
      </c>
      <c r="N308" s="19">
        <f t="shared" si="277"/>
        <v>17.141105673530951</v>
      </c>
      <c r="O308" s="16"/>
      <c r="P308" s="19">
        <f t="shared" si="278"/>
        <v>87.125769053011723</v>
      </c>
      <c r="Q308" s="19">
        <f t="shared" si="279"/>
        <v>618.57799440336532</v>
      </c>
      <c r="R308" s="19">
        <f t="shared" si="280"/>
        <v>0</v>
      </c>
      <c r="S308" s="19">
        <f t="shared" si="281"/>
        <v>0</v>
      </c>
      <c r="T308" s="19">
        <f t="shared" si="282"/>
        <v>0</v>
      </c>
      <c r="U308" s="16"/>
      <c r="V308" s="19">
        <f t="shared" si="283"/>
        <v>705.70376345637703</v>
      </c>
      <c r="W308" s="16"/>
      <c r="X308" s="19">
        <f t="shared" si="284"/>
        <v>713.09098273413747</v>
      </c>
      <c r="Y308" s="19">
        <f t="shared" si="285"/>
        <v>26.703763456377033</v>
      </c>
      <c r="Z308" s="19"/>
      <c r="AA308" s="19">
        <f t="shared" si="286"/>
        <v>6.5970400503799267E-5</v>
      </c>
    </row>
    <row r="309" spans="2:27" x14ac:dyDescent="0.3">
      <c r="B309" s="27">
        <v>77.099999999999994</v>
      </c>
      <c r="C309" s="27">
        <v>736</v>
      </c>
      <c r="D309" s="19">
        <f t="shared" ref="D309:H309" si="289">1/C$23-LN(C$23)+$B309*C$22</f>
        <v>44.104107293668626</v>
      </c>
      <c r="E309" s="19">
        <f t="shared" si="289"/>
        <v>2.0831064999346673</v>
      </c>
      <c r="F309" s="19">
        <f t="shared" si="289"/>
        <v>20.012585092994044</v>
      </c>
      <c r="G309" s="19">
        <f t="shared" si="289"/>
        <v>20.012585092994044</v>
      </c>
      <c r="H309" s="19">
        <f t="shared" si="289"/>
        <v>20.012585092994044</v>
      </c>
      <c r="I309" s="16"/>
      <c r="J309" s="19">
        <f t="shared" si="273"/>
        <v>40.405150040574092</v>
      </c>
      <c r="K309" s="19">
        <f t="shared" si="274"/>
        <v>1.6080711084701969</v>
      </c>
      <c r="L309" s="19">
        <f t="shared" si="275"/>
        <v>17.169453261266845</v>
      </c>
      <c r="M309" s="19">
        <f t="shared" si="276"/>
        <v>17.169453261266845</v>
      </c>
      <c r="N309" s="19">
        <f t="shared" si="277"/>
        <v>17.169453261266845</v>
      </c>
      <c r="O309" s="16"/>
      <c r="P309" s="19">
        <f t="shared" si="278"/>
        <v>86.695107940589338</v>
      </c>
      <c r="Q309" s="19">
        <f t="shared" si="279"/>
        <v>617.52017968018208</v>
      </c>
      <c r="R309" s="19">
        <f t="shared" si="280"/>
        <v>0</v>
      </c>
      <c r="S309" s="19">
        <f t="shared" si="281"/>
        <v>0</v>
      </c>
      <c r="T309" s="19">
        <f t="shared" si="282"/>
        <v>0</v>
      </c>
      <c r="U309" s="16"/>
      <c r="V309" s="19">
        <f t="shared" si="283"/>
        <v>704.21528762077139</v>
      </c>
      <c r="W309" s="16"/>
      <c r="X309" s="19">
        <f t="shared" si="284"/>
        <v>1010.2679410302884</v>
      </c>
      <c r="Y309" s="19">
        <f t="shared" si="285"/>
        <v>31.784712379228608</v>
      </c>
      <c r="Z309" s="19"/>
      <c r="AA309" s="19">
        <f t="shared" si="286"/>
        <v>7.8522647527984904E-5</v>
      </c>
    </row>
    <row r="310" spans="2:27" x14ac:dyDescent="0.3">
      <c r="B310" s="27">
        <v>77.400000000000006</v>
      </c>
      <c r="C310" s="27">
        <v>709</v>
      </c>
      <c r="D310" s="19">
        <f t="shared" ref="D310:H310" si="290">1/C$23-LN(C$23)+$B310*C$22</f>
        <v>44.207822043866798</v>
      </c>
      <c r="E310" s="19">
        <f t="shared" si="290"/>
        <v>2.0858670920298108</v>
      </c>
      <c r="F310" s="19">
        <f t="shared" si="290"/>
        <v>20.042585092994045</v>
      </c>
      <c r="G310" s="19">
        <f t="shared" si="290"/>
        <v>20.042585092994045</v>
      </c>
      <c r="H310" s="19">
        <f t="shared" si="290"/>
        <v>20.042585092994045</v>
      </c>
      <c r="I310" s="16"/>
      <c r="J310" s="19">
        <f t="shared" si="273"/>
        <v>40.506362971682925</v>
      </c>
      <c r="K310" s="19">
        <f t="shared" si="274"/>
        <v>1.6097735654821821</v>
      </c>
      <c r="L310" s="19">
        <f t="shared" si="275"/>
        <v>17.197803425168992</v>
      </c>
      <c r="M310" s="19">
        <f t="shared" si="276"/>
        <v>17.197803425168992</v>
      </c>
      <c r="N310" s="19">
        <f t="shared" si="277"/>
        <v>17.197803425168992</v>
      </c>
      <c r="O310" s="16"/>
      <c r="P310" s="19">
        <f t="shared" si="278"/>
        <v>86.267606470910493</v>
      </c>
      <c r="Q310" s="19">
        <f t="shared" si="279"/>
        <v>616.46469903964908</v>
      </c>
      <c r="R310" s="19">
        <f t="shared" si="280"/>
        <v>0</v>
      </c>
      <c r="S310" s="19">
        <f t="shared" si="281"/>
        <v>0</v>
      </c>
      <c r="T310" s="19">
        <f t="shared" si="282"/>
        <v>0</v>
      </c>
      <c r="U310" s="16"/>
      <c r="V310" s="19">
        <f t="shared" si="283"/>
        <v>702.73230551055963</v>
      </c>
      <c r="W310" s="16"/>
      <c r="X310" s="19">
        <f t="shared" si="284"/>
        <v>39.283994212961218</v>
      </c>
      <c r="Y310" s="19">
        <f t="shared" si="285"/>
        <v>6.2676944894403732</v>
      </c>
      <c r="Z310" s="19"/>
      <c r="AA310" s="19">
        <f t="shared" si="286"/>
        <v>1.5484046523228723E-5</v>
      </c>
    </row>
    <row r="311" spans="2:27" x14ac:dyDescent="0.3">
      <c r="B311" s="27">
        <v>77.699999999999989</v>
      </c>
      <c r="C311" s="27">
        <v>673</v>
      </c>
      <c r="D311" s="19">
        <f t="shared" ref="D311:H311" si="291">1/C$23-LN(C$23)+$B311*C$22</f>
        <v>44.311536794064956</v>
      </c>
      <c r="E311" s="19">
        <f t="shared" si="291"/>
        <v>2.0886276841249538</v>
      </c>
      <c r="F311" s="19">
        <f t="shared" si="291"/>
        <v>20.072585092994046</v>
      </c>
      <c r="G311" s="19">
        <f t="shared" si="291"/>
        <v>20.072585092994046</v>
      </c>
      <c r="H311" s="19">
        <f t="shared" si="291"/>
        <v>20.072585092994046</v>
      </c>
      <c r="I311" s="16"/>
      <c r="J311" s="19">
        <f t="shared" si="273"/>
        <v>40.607581996217327</v>
      </c>
      <c r="K311" s="19">
        <f t="shared" si="274"/>
        <v>1.6114767126716874</v>
      </c>
      <c r="L311" s="19">
        <f t="shared" si="275"/>
        <v>17.226156157449886</v>
      </c>
      <c r="M311" s="19">
        <f t="shared" si="276"/>
        <v>17.226156157449886</v>
      </c>
      <c r="N311" s="19">
        <f t="shared" si="277"/>
        <v>17.226156157449886</v>
      </c>
      <c r="O311" s="16"/>
      <c r="P311" s="19">
        <f t="shared" si="278"/>
        <v>85.843233997688202</v>
      </c>
      <c r="Q311" s="19">
        <f t="shared" si="279"/>
        <v>615.41154643671302</v>
      </c>
      <c r="R311" s="19">
        <f t="shared" si="280"/>
        <v>0</v>
      </c>
      <c r="S311" s="19">
        <f t="shared" si="281"/>
        <v>0</v>
      </c>
      <c r="T311" s="19">
        <f t="shared" si="282"/>
        <v>0</v>
      </c>
      <c r="U311" s="16"/>
      <c r="V311" s="19">
        <f t="shared" si="283"/>
        <v>701.25478043440125</v>
      </c>
      <c r="W311" s="16"/>
      <c r="X311" s="19">
        <f t="shared" si="284"/>
        <v>798.33261739622401</v>
      </c>
      <c r="Y311" s="19">
        <f t="shared" si="285"/>
        <v>28.254780434401255</v>
      </c>
      <c r="Z311" s="19"/>
      <c r="AA311" s="19">
        <f t="shared" si="286"/>
        <v>6.9802115512644406E-5</v>
      </c>
    </row>
    <row r="312" spans="2:27" x14ac:dyDescent="0.3">
      <c r="B312" s="27">
        <v>78</v>
      </c>
      <c r="C312" s="27">
        <v>712</v>
      </c>
      <c r="D312" s="19">
        <f t="shared" ref="D312:H312" si="292">1/C$23-LN(C$23)+$B312*C$22</f>
        <v>44.415251544263128</v>
      </c>
      <c r="E312" s="19">
        <f t="shared" si="292"/>
        <v>2.0913882762200968</v>
      </c>
      <c r="F312" s="19">
        <f t="shared" si="292"/>
        <v>20.102585092994047</v>
      </c>
      <c r="G312" s="19">
        <f t="shared" si="292"/>
        <v>20.102585092994047</v>
      </c>
      <c r="H312" s="19">
        <f t="shared" si="292"/>
        <v>20.102585092994047</v>
      </c>
      <c r="I312" s="16"/>
      <c r="J312" s="19">
        <f t="shared" si="273"/>
        <v>40.708807084930449</v>
      </c>
      <c r="K312" s="19">
        <f t="shared" si="274"/>
        <v>1.6131805494180214</v>
      </c>
      <c r="L312" s="19">
        <f t="shared" si="275"/>
        <v>17.25451145035656</v>
      </c>
      <c r="M312" s="19">
        <f t="shared" si="276"/>
        <v>17.25451145035656</v>
      </c>
      <c r="N312" s="19">
        <f t="shared" si="277"/>
        <v>17.25451145035656</v>
      </c>
      <c r="O312" s="16"/>
      <c r="P312" s="19">
        <f t="shared" si="278"/>
        <v>85.421960243486183</v>
      </c>
      <c r="Q312" s="19">
        <f t="shared" si="279"/>
        <v>614.36071584366323</v>
      </c>
      <c r="R312" s="19">
        <f t="shared" si="280"/>
        <v>0</v>
      </c>
      <c r="S312" s="19">
        <f t="shared" si="281"/>
        <v>0</v>
      </c>
      <c r="T312" s="19">
        <f t="shared" si="282"/>
        <v>0</v>
      </c>
      <c r="U312" s="16"/>
      <c r="V312" s="19">
        <f t="shared" si="283"/>
        <v>699.78267608714941</v>
      </c>
      <c r="W312" s="16"/>
      <c r="X312" s="19">
        <f t="shared" si="284"/>
        <v>149.26300359151082</v>
      </c>
      <c r="Y312" s="19">
        <f t="shared" si="285"/>
        <v>12.217323912850588</v>
      </c>
      <c r="Z312" s="19"/>
      <c r="AA312" s="19">
        <f t="shared" si="286"/>
        <v>3.0182328155057242E-5</v>
      </c>
    </row>
    <row r="313" spans="2:27" x14ac:dyDescent="0.3">
      <c r="B313" s="27">
        <v>78.199999999999989</v>
      </c>
      <c r="C313" s="27">
        <v>683</v>
      </c>
      <c r="D313" s="19">
        <f t="shared" ref="D313:H313" si="293">1/C$23-LN(C$23)+$B313*C$22</f>
        <v>44.484394711061896</v>
      </c>
      <c r="E313" s="19">
        <f t="shared" si="293"/>
        <v>2.0932286709501922</v>
      </c>
      <c r="F313" s="19">
        <f t="shared" si="293"/>
        <v>20.122585092994044</v>
      </c>
      <c r="G313" s="19">
        <f t="shared" si="293"/>
        <v>20.122585092994044</v>
      </c>
      <c r="H313" s="19">
        <f t="shared" si="293"/>
        <v>20.122585092994044</v>
      </c>
      <c r="I313" s="16"/>
      <c r="J313" s="19">
        <f t="shared" si="273"/>
        <v>40.776293832045468</v>
      </c>
      <c r="K313" s="19">
        <f t="shared" si="274"/>
        <v>1.6143168233630452</v>
      </c>
      <c r="L313" s="19">
        <f t="shared" si="275"/>
        <v>17.273416397717803</v>
      </c>
      <c r="M313" s="19">
        <f t="shared" si="276"/>
        <v>17.273416397717803</v>
      </c>
      <c r="N313" s="19">
        <f t="shared" si="277"/>
        <v>17.273416397717803</v>
      </c>
      <c r="O313" s="16"/>
      <c r="P313" s="19">
        <f t="shared" si="278"/>
        <v>85.142817797495923</v>
      </c>
      <c r="Q313" s="19">
        <f t="shared" si="279"/>
        <v>613.66144915163784</v>
      </c>
      <c r="R313" s="19">
        <f t="shared" si="280"/>
        <v>0</v>
      </c>
      <c r="S313" s="19">
        <f t="shared" si="281"/>
        <v>0</v>
      </c>
      <c r="T313" s="19">
        <f t="shared" si="282"/>
        <v>0</v>
      </c>
      <c r="U313" s="16"/>
      <c r="V313" s="19">
        <f t="shared" si="283"/>
        <v>698.80426694913376</v>
      </c>
      <c r="W313" s="16"/>
      <c r="X313" s="19">
        <f t="shared" si="284"/>
        <v>249.77485379948178</v>
      </c>
      <c r="Y313" s="19">
        <f t="shared" si="285"/>
        <v>15.804266949133762</v>
      </c>
      <c r="Z313" s="19"/>
      <c r="AA313" s="19">
        <f t="shared" si="286"/>
        <v>3.9043703409315853E-5</v>
      </c>
    </row>
    <row r="314" spans="2:27" x14ac:dyDescent="0.3">
      <c r="B314" s="27">
        <v>78.5</v>
      </c>
      <c r="C314" s="27">
        <v>686</v>
      </c>
      <c r="D314" s="19">
        <f t="shared" ref="D314:H314" si="294">1/C$23-LN(C$23)+$B314*C$22</f>
        <v>44.588109461260068</v>
      </c>
      <c r="E314" s="19">
        <f t="shared" si="294"/>
        <v>2.0959892630453356</v>
      </c>
      <c r="F314" s="19">
        <f t="shared" si="294"/>
        <v>20.152585092994045</v>
      </c>
      <c r="G314" s="19">
        <f t="shared" si="294"/>
        <v>20.152585092994045</v>
      </c>
      <c r="H314" s="19">
        <f t="shared" si="294"/>
        <v>20.152585092994045</v>
      </c>
      <c r="I314" s="16"/>
      <c r="J314" s="19">
        <f t="shared" si="273"/>
        <v>40.877528963294914</v>
      </c>
      <c r="K314" s="19">
        <f t="shared" si="274"/>
        <v>1.6160218079925774</v>
      </c>
      <c r="L314" s="19">
        <f t="shared" si="275"/>
        <v>17.301775941198429</v>
      </c>
      <c r="M314" s="19">
        <f t="shared" si="276"/>
        <v>17.301775941198429</v>
      </c>
      <c r="N314" s="19">
        <f t="shared" si="277"/>
        <v>17.301775941198429</v>
      </c>
      <c r="O314" s="16"/>
      <c r="P314" s="19">
        <f t="shared" si="278"/>
        <v>84.72664227688567</v>
      </c>
      <c r="Q314" s="19">
        <f t="shared" si="279"/>
        <v>612.61447522709386</v>
      </c>
      <c r="R314" s="19">
        <f t="shared" si="280"/>
        <v>0</v>
      </c>
      <c r="S314" s="19">
        <f t="shared" si="281"/>
        <v>0</v>
      </c>
      <c r="T314" s="19">
        <f t="shared" si="282"/>
        <v>0</v>
      </c>
      <c r="U314" s="16"/>
      <c r="V314" s="19">
        <f t="shared" si="283"/>
        <v>697.34111750397949</v>
      </c>
      <c r="W314" s="16"/>
      <c r="X314" s="19">
        <f t="shared" si="284"/>
        <v>128.62094623906998</v>
      </c>
      <c r="Y314" s="19">
        <f t="shared" si="285"/>
        <v>11.34111750397949</v>
      </c>
      <c r="Z314" s="19"/>
      <c r="AA314" s="19">
        <f t="shared" si="286"/>
        <v>2.8017701142402285E-5</v>
      </c>
    </row>
    <row r="315" spans="2:27" x14ac:dyDescent="0.3">
      <c r="B315" s="27">
        <v>78.799999999999983</v>
      </c>
      <c r="C315" s="27">
        <v>669</v>
      </c>
      <c r="D315" s="19">
        <f t="shared" ref="D315:H315" si="295">1/C$23-LN(C$23)+$B315*C$22</f>
        <v>44.691824211458226</v>
      </c>
      <c r="E315" s="19">
        <f t="shared" si="295"/>
        <v>2.0987498551404786</v>
      </c>
      <c r="F315" s="19">
        <f t="shared" si="295"/>
        <v>20.182585092994046</v>
      </c>
      <c r="G315" s="19">
        <f t="shared" si="295"/>
        <v>20.182585092994046</v>
      </c>
      <c r="H315" s="19">
        <f t="shared" si="295"/>
        <v>20.182585092994046</v>
      </c>
      <c r="I315" s="16"/>
      <c r="J315" s="19">
        <f t="shared" si="273"/>
        <v>40.978770081744408</v>
      </c>
      <c r="K315" s="19">
        <f t="shared" si="274"/>
        <v>1.6177274805257995</v>
      </c>
      <c r="L315" s="19">
        <f t="shared" si="275"/>
        <v>17.330138024797524</v>
      </c>
      <c r="M315" s="19">
        <f t="shared" si="276"/>
        <v>17.330138024797524</v>
      </c>
      <c r="N315" s="19">
        <f t="shared" si="277"/>
        <v>17.330138024797524</v>
      </c>
      <c r="O315" s="16"/>
      <c r="P315" s="19">
        <f t="shared" si="278"/>
        <v>84.313486498763893</v>
      </c>
      <c r="Q315" s="19">
        <f t="shared" si="279"/>
        <v>611.56980732293493</v>
      </c>
      <c r="R315" s="19">
        <f t="shared" si="280"/>
        <v>0</v>
      </c>
      <c r="S315" s="19">
        <f t="shared" si="281"/>
        <v>0</v>
      </c>
      <c r="T315" s="19">
        <f t="shared" si="282"/>
        <v>0</v>
      </c>
      <c r="U315" s="16"/>
      <c r="V315" s="19">
        <f t="shared" si="283"/>
        <v>695.88329382169877</v>
      </c>
      <c r="W315" s="16"/>
      <c r="X315" s="19">
        <f t="shared" si="284"/>
        <v>722.71148670378739</v>
      </c>
      <c r="Y315" s="19">
        <f t="shared" si="285"/>
        <v>26.883293821698771</v>
      </c>
      <c r="Z315" s="19"/>
      <c r="AA315" s="19">
        <f t="shared" si="286"/>
        <v>6.6413921886926256E-5</v>
      </c>
    </row>
    <row r="316" spans="2:27" x14ac:dyDescent="0.3">
      <c r="B316" s="27">
        <v>79.099999999999994</v>
      </c>
      <c r="C316" s="27">
        <v>672</v>
      </c>
      <c r="D316" s="19">
        <f t="shared" ref="D316:H316" si="296">1/C$23-LN(C$23)+$B316*C$22</f>
        <v>44.795538961656391</v>
      </c>
      <c r="E316" s="19">
        <f t="shared" si="296"/>
        <v>2.1015104472356221</v>
      </c>
      <c r="F316" s="19">
        <f t="shared" si="296"/>
        <v>20.212585092994047</v>
      </c>
      <c r="G316" s="19">
        <f t="shared" si="296"/>
        <v>20.212585092994047</v>
      </c>
      <c r="H316" s="19">
        <f t="shared" si="296"/>
        <v>20.212585092994047</v>
      </c>
      <c r="I316" s="16"/>
      <c r="J316" s="19">
        <f t="shared" si="273"/>
        <v>41.080017158901349</v>
      </c>
      <c r="K316" s="19">
        <f t="shared" si="274"/>
        <v>1.6194338403435522</v>
      </c>
      <c r="L316" s="19">
        <f t="shared" si="275"/>
        <v>17.358502640887007</v>
      </c>
      <c r="M316" s="19">
        <f t="shared" si="276"/>
        <v>17.358502640887007</v>
      </c>
      <c r="N316" s="19">
        <f t="shared" si="277"/>
        <v>17.358502640887007</v>
      </c>
      <c r="O316" s="16"/>
      <c r="P316" s="19">
        <f t="shared" si="278"/>
        <v>83.903321493529532</v>
      </c>
      <c r="Q316" s="19">
        <f t="shared" si="279"/>
        <v>610.52743947459476</v>
      </c>
      <c r="R316" s="19">
        <f t="shared" si="280"/>
        <v>0</v>
      </c>
      <c r="S316" s="19">
        <f t="shared" si="281"/>
        <v>0</v>
      </c>
      <c r="T316" s="19">
        <f t="shared" si="282"/>
        <v>0</v>
      </c>
      <c r="U316" s="16"/>
      <c r="V316" s="19">
        <f t="shared" si="283"/>
        <v>694.43076096812433</v>
      </c>
      <c r="W316" s="16"/>
      <c r="X316" s="19">
        <f t="shared" si="284"/>
        <v>503.13903760913001</v>
      </c>
      <c r="Y316" s="19">
        <f t="shared" si="285"/>
        <v>22.430760968124332</v>
      </c>
      <c r="Z316" s="19"/>
      <c r="AA316" s="19">
        <f t="shared" si="286"/>
        <v>5.5414147413696194E-5</v>
      </c>
    </row>
    <row r="317" spans="2:27" x14ac:dyDescent="0.3">
      <c r="B317" s="27">
        <v>79.400000000000006</v>
      </c>
      <c r="C317" s="27">
        <v>723</v>
      </c>
      <c r="D317" s="19">
        <f t="shared" ref="D317:H317" si="297">1/C$23-LN(C$23)+$B317*C$22</f>
        <v>44.899253711854563</v>
      </c>
      <c r="E317" s="19">
        <f t="shared" si="297"/>
        <v>2.1042710393307651</v>
      </c>
      <c r="F317" s="19">
        <f t="shared" si="297"/>
        <v>20.242585092994048</v>
      </c>
      <c r="G317" s="19">
        <f t="shared" si="297"/>
        <v>20.242585092994048</v>
      </c>
      <c r="H317" s="19">
        <f t="shared" si="297"/>
        <v>20.242585092994048</v>
      </c>
      <c r="I317" s="16"/>
      <c r="J317" s="19">
        <f t="shared" si="273"/>
        <v>41.181270166474299</v>
      </c>
      <c r="K317" s="19">
        <f t="shared" si="274"/>
        <v>1.6211408868270945</v>
      </c>
      <c r="L317" s="19">
        <f t="shared" si="275"/>
        <v>17.386869781872402</v>
      </c>
      <c r="M317" s="19">
        <f t="shared" si="276"/>
        <v>17.386869781872402</v>
      </c>
      <c r="N317" s="19">
        <f t="shared" si="277"/>
        <v>17.386869781872402</v>
      </c>
      <c r="O317" s="16"/>
      <c r="P317" s="19">
        <f t="shared" si="278"/>
        <v>83.496118636474336</v>
      </c>
      <c r="Q317" s="19">
        <f t="shared" si="279"/>
        <v>609.48736573460769</v>
      </c>
      <c r="R317" s="19">
        <f t="shared" si="280"/>
        <v>0</v>
      </c>
      <c r="S317" s="19">
        <f t="shared" si="281"/>
        <v>0</v>
      </c>
      <c r="T317" s="19">
        <f t="shared" si="282"/>
        <v>0</v>
      </c>
      <c r="U317" s="16"/>
      <c r="V317" s="19">
        <f t="shared" si="283"/>
        <v>692.983484371082</v>
      </c>
      <c r="W317" s="16"/>
      <c r="X317" s="19">
        <f t="shared" si="284"/>
        <v>900.99121050107863</v>
      </c>
      <c r="Y317" s="19">
        <f t="shared" si="285"/>
        <v>30.016515628918</v>
      </c>
      <c r="Z317" s="19"/>
      <c r="AA317" s="19">
        <f t="shared" si="286"/>
        <v>7.4154400034403601E-5</v>
      </c>
    </row>
    <row r="318" spans="2:27" x14ac:dyDescent="0.3">
      <c r="B318" s="27">
        <v>79.699999999999989</v>
      </c>
      <c r="C318" s="27">
        <v>717</v>
      </c>
      <c r="D318" s="19">
        <f t="shared" ref="D318:H318" si="298">1/C$23-LN(C$23)+$B318*C$22</f>
        <v>45.002968462052721</v>
      </c>
      <c r="E318" s="19">
        <f t="shared" si="298"/>
        <v>2.1070316314259081</v>
      </c>
      <c r="F318" s="19">
        <f t="shared" si="298"/>
        <v>20.272585092994042</v>
      </c>
      <c r="G318" s="19">
        <f t="shared" si="298"/>
        <v>20.272585092994042</v>
      </c>
      <c r="H318" s="19">
        <f t="shared" si="298"/>
        <v>20.272585092994042</v>
      </c>
      <c r="I318" s="16"/>
      <c r="J318" s="19">
        <f t="shared" si="273"/>
        <v>41.282529076371162</v>
      </c>
      <c r="K318" s="19">
        <f t="shared" si="274"/>
        <v>1.6228486193581058</v>
      </c>
      <c r="L318" s="19">
        <f t="shared" si="275"/>
        <v>17.415239440192636</v>
      </c>
      <c r="M318" s="19">
        <f t="shared" si="276"/>
        <v>17.415239440192636</v>
      </c>
      <c r="N318" s="19">
        <f t="shared" si="277"/>
        <v>17.415239440192636</v>
      </c>
      <c r="O318" s="16"/>
      <c r="P318" s="19">
        <f t="shared" si="278"/>
        <v>83.091849642886842</v>
      </c>
      <c r="Q318" s="19">
        <f t="shared" si="279"/>
        <v>608.44958017255522</v>
      </c>
      <c r="R318" s="19">
        <f t="shared" si="280"/>
        <v>0</v>
      </c>
      <c r="S318" s="19">
        <f t="shared" si="281"/>
        <v>0</v>
      </c>
      <c r="T318" s="19">
        <f t="shared" si="282"/>
        <v>0</v>
      </c>
      <c r="U318" s="16"/>
      <c r="V318" s="19">
        <f t="shared" si="283"/>
        <v>691.54142981544203</v>
      </c>
      <c r="W318" s="16"/>
      <c r="X318" s="19">
        <f t="shared" si="284"/>
        <v>648.13879584206404</v>
      </c>
      <c r="Y318" s="19">
        <f t="shared" si="285"/>
        <v>25.458570184557971</v>
      </c>
      <c r="Z318" s="19"/>
      <c r="AA318" s="19">
        <f t="shared" si="286"/>
        <v>6.2894208678600832E-5</v>
      </c>
    </row>
    <row r="319" spans="2:27" x14ac:dyDescent="0.3">
      <c r="B319" s="27">
        <v>80</v>
      </c>
      <c r="C319" s="27">
        <v>670</v>
      </c>
      <c r="D319" s="19">
        <f t="shared" ref="D319:H319" si="299">1/C$23-LN(C$23)+$B319*C$22</f>
        <v>45.106683212250893</v>
      </c>
      <c r="E319" s="19">
        <f t="shared" si="299"/>
        <v>2.1097922235210516</v>
      </c>
      <c r="F319" s="19">
        <f t="shared" si="299"/>
        <v>20.302585092994043</v>
      </c>
      <c r="G319" s="19">
        <f t="shared" si="299"/>
        <v>20.302585092994043</v>
      </c>
      <c r="H319" s="19">
        <f t="shared" si="299"/>
        <v>20.302585092994043</v>
      </c>
      <c r="I319" s="16"/>
      <c r="J319" s="19">
        <f t="shared" si="273"/>
        <v>41.383793860697367</v>
      </c>
      <c r="K319" s="19">
        <f t="shared" si="274"/>
        <v>1.6245570373186871</v>
      </c>
      <c r="L319" s="19">
        <f t="shared" si="275"/>
        <v>17.443611608319873</v>
      </c>
      <c r="M319" s="19">
        <f t="shared" si="276"/>
        <v>17.443611608319873</v>
      </c>
      <c r="N319" s="19">
        <f t="shared" si="277"/>
        <v>17.443611608319873</v>
      </c>
      <c r="O319" s="16"/>
      <c r="P319" s="19">
        <f t="shared" si="278"/>
        <v>82.690486563237357</v>
      </c>
      <c r="Q319" s="19">
        <f t="shared" si="279"/>
        <v>607.41407687501373</v>
      </c>
      <c r="R319" s="19">
        <f t="shared" si="280"/>
        <v>0</v>
      </c>
      <c r="S319" s="19">
        <f t="shared" si="281"/>
        <v>0</v>
      </c>
      <c r="T319" s="19">
        <f t="shared" si="282"/>
        <v>0</v>
      </c>
      <c r="U319" s="16"/>
      <c r="V319" s="19">
        <f t="shared" si="283"/>
        <v>690.10456343825103</v>
      </c>
      <c r="W319" s="16"/>
      <c r="X319" s="19">
        <f t="shared" si="284"/>
        <v>404.19347104266024</v>
      </c>
      <c r="Y319" s="19">
        <f t="shared" si="285"/>
        <v>20.104563438251034</v>
      </c>
      <c r="Z319" s="19"/>
      <c r="AA319" s="19">
        <f t="shared" si="286"/>
        <v>4.9667385053874484E-5</v>
      </c>
    </row>
    <row r="320" spans="2:27" x14ac:dyDescent="0.3">
      <c r="B320" s="27">
        <v>80.199999999999989</v>
      </c>
      <c r="C320" s="27">
        <v>676</v>
      </c>
      <c r="D320" s="19">
        <f t="shared" ref="D320:H320" si="300">1/C$23-LN(C$23)+$B320*C$22</f>
        <v>45.175826379049667</v>
      </c>
      <c r="E320" s="19">
        <f t="shared" si="300"/>
        <v>2.1116326182511469</v>
      </c>
      <c r="F320" s="19">
        <f t="shared" si="300"/>
        <v>20.322585092994046</v>
      </c>
      <c r="G320" s="19">
        <f t="shared" si="300"/>
        <v>20.322585092994046</v>
      </c>
      <c r="H320" s="19">
        <f t="shared" si="300"/>
        <v>20.322585092994046</v>
      </c>
      <c r="I320" s="16"/>
      <c r="J320" s="19">
        <f t="shared" si="273"/>
        <v>41.451306966800196</v>
      </c>
      <c r="K320" s="19">
        <f t="shared" si="274"/>
        <v>1.6256963631150019</v>
      </c>
      <c r="L320" s="19">
        <f t="shared" si="275"/>
        <v>17.462527777706086</v>
      </c>
      <c r="M320" s="19">
        <f t="shared" si="276"/>
        <v>17.462527777706086</v>
      </c>
      <c r="N320" s="19">
        <f t="shared" si="277"/>
        <v>17.462527777706086</v>
      </c>
      <c r="O320" s="16"/>
      <c r="P320" s="19">
        <f t="shared" si="278"/>
        <v>82.424511920925411</v>
      </c>
      <c r="Q320" s="19">
        <f t="shared" si="279"/>
        <v>606.72500635551069</v>
      </c>
      <c r="R320" s="19">
        <f t="shared" si="280"/>
        <v>0</v>
      </c>
      <c r="S320" s="19">
        <f t="shared" si="281"/>
        <v>0</v>
      </c>
      <c r="T320" s="19">
        <f t="shared" si="282"/>
        <v>0</v>
      </c>
      <c r="U320" s="16"/>
      <c r="V320" s="19">
        <f t="shared" si="283"/>
        <v>689.14951827643608</v>
      </c>
      <c r="W320" s="16"/>
      <c r="X320" s="19">
        <f t="shared" si="284"/>
        <v>172.90983090232658</v>
      </c>
      <c r="Y320" s="19">
        <f t="shared" si="285"/>
        <v>13.149518276436083</v>
      </c>
      <c r="Z320" s="19"/>
      <c r="AA320" s="19">
        <f t="shared" si="286"/>
        <v>3.2485270795093006E-5</v>
      </c>
    </row>
    <row r="321" spans="2:27" x14ac:dyDescent="0.3">
      <c r="B321" s="27">
        <v>80.5</v>
      </c>
      <c r="C321" s="27">
        <v>731</v>
      </c>
      <c r="D321" s="19">
        <f t="shared" ref="D321:H321" si="301">1/C$23-LN(C$23)+$B321*C$22</f>
        <v>45.279541129247832</v>
      </c>
      <c r="E321" s="19">
        <f t="shared" si="301"/>
        <v>2.1143932103462899</v>
      </c>
      <c r="F321" s="19">
        <f t="shared" si="301"/>
        <v>20.352585092994047</v>
      </c>
      <c r="G321" s="19">
        <f t="shared" si="301"/>
        <v>20.352585092994047</v>
      </c>
      <c r="H321" s="19">
        <f t="shared" si="301"/>
        <v>20.352585092994047</v>
      </c>
      <c r="I321" s="16"/>
      <c r="J321" s="19">
        <f t="shared" si="273"/>
        <v>41.552581480384525</v>
      </c>
      <c r="K321" s="19">
        <f t="shared" si="274"/>
        <v>1.6274059220862345</v>
      </c>
      <c r="L321" s="19">
        <f t="shared" si="275"/>
        <v>17.490904112206039</v>
      </c>
      <c r="M321" s="19">
        <f t="shared" si="276"/>
        <v>17.490904112206039</v>
      </c>
      <c r="N321" s="19">
        <f t="shared" si="277"/>
        <v>17.490904112206039</v>
      </c>
      <c r="O321" s="16"/>
      <c r="P321" s="19">
        <f t="shared" si="278"/>
        <v>82.027930816503144</v>
      </c>
      <c r="Q321" s="19">
        <f t="shared" si="279"/>
        <v>605.69329373721223</v>
      </c>
      <c r="R321" s="19">
        <f t="shared" si="280"/>
        <v>0</v>
      </c>
      <c r="S321" s="19">
        <f t="shared" si="281"/>
        <v>0</v>
      </c>
      <c r="T321" s="19">
        <f t="shared" si="282"/>
        <v>0</v>
      </c>
      <c r="U321" s="16"/>
      <c r="V321" s="19">
        <f t="shared" si="283"/>
        <v>687.72122455371539</v>
      </c>
      <c r="W321" s="16"/>
      <c r="X321" s="19">
        <f t="shared" si="284"/>
        <v>1873.0524041299279</v>
      </c>
      <c r="Y321" s="19">
        <f t="shared" si="285"/>
        <v>43.278775446284612</v>
      </c>
      <c r="Z321" s="19"/>
      <c r="AA321" s="19">
        <f t="shared" si="286"/>
        <v>1.0691819354112683E-4</v>
      </c>
    </row>
    <row r="322" spans="2:27" x14ac:dyDescent="0.3">
      <c r="B322" s="27">
        <v>80.799999999999983</v>
      </c>
      <c r="C322" s="27">
        <v>723</v>
      </c>
      <c r="D322" s="19">
        <f t="shared" ref="D322:H322" si="302">1/C$23-LN(C$23)+$B322*C$22</f>
        <v>45.383255879445997</v>
      </c>
      <c r="E322" s="19">
        <f t="shared" si="302"/>
        <v>2.1171538024414329</v>
      </c>
      <c r="F322" s="19">
        <f t="shared" si="302"/>
        <v>20.382585092994042</v>
      </c>
      <c r="G322" s="19">
        <f t="shared" si="302"/>
        <v>20.382585092994042</v>
      </c>
      <c r="H322" s="19">
        <f t="shared" si="302"/>
        <v>20.382585092994042</v>
      </c>
      <c r="I322" s="16"/>
      <c r="J322" s="19">
        <f t="shared" si="273"/>
        <v>41.653861794964186</v>
      </c>
      <c r="K322" s="19">
        <f t="shared" si="274"/>
        <v>1.6291161648413672</v>
      </c>
      <c r="L322" s="19">
        <f t="shared" si="275"/>
        <v>17.519282936599655</v>
      </c>
      <c r="M322" s="19">
        <f t="shared" si="276"/>
        <v>17.519282936599655</v>
      </c>
      <c r="N322" s="19">
        <f t="shared" si="277"/>
        <v>17.519282936599655</v>
      </c>
      <c r="O322" s="16"/>
      <c r="P322" s="19">
        <f t="shared" si="278"/>
        <v>81.634182696835381</v>
      </c>
      <c r="Q322" s="19">
        <f t="shared" si="279"/>
        <v>604.66384769699505</v>
      </c>
      <c r="R322" s="19">
        <f t="shared" si="280"/>
        <v>0</v>
      </c>
      <c r="S322" s="19">
        <f t="shared" si="281"/>
        <v>0</v>
      </c>
      <c r="T322" s="19">
        <f t="shared" si="282"/>
        <v>0</v>
      </c>
      <c r="U322" s="16"/>
      <c r="V322" s="19">
        <f t="shared" si="283"/>
        <v>686.29803039383046</v>
      </c>
      <c r="W322" s="16"/>
      <c r="X322" s="19">
        <f t="shared" si="284"/>
        <v>1347.0345729721928</v>
      </c>
      <c r="Y322" s="19">
        <f t="shared" si="285"/>
        <v>36.701969606169541</v>
      </c>
      <c r="Z322" s="19"/>
      <c r="AA322" s="19">
        <f t="shared" si="286"/>
        <v>9.0670501862128485E-5</v>
      </c>
    </row>
    <row r="323" spans="2:27" x14ac:dyDescent="0.3">
      <c r="B323" s="27">
        <v>81.099999999999994</v>
      </c>
      <c r="C323" s="27">
        <v>712</v>
      </c>
      <c r="D323" s="19">
        <f t="shared" ref="D323:H323" si="303">1/C$23-LN(C$23)+$B323*C$22</f>
        <v>45.486970629644162</v>
      </c>
      <c r="E323" s="19">
        <f t="shared" si="303"/>
        <v>2.1199143945365764</v>
      </c>
      <c r="F323" s="19">
        <f t="shared" si="303"/>
        <v>20.412585092994043</v>
      </c>
      <c r="G323" s="19">
        <f t="shared" si="303"/>
        <v>20.412585092994043</v>
      </c>
      <c r="H323" s="19">
        <f t="shared" si="303"/>
        <v>20.412585092994043</v>
      </c>
      <c r="I323" s="16"/>
      <c r="J323" s="19">
        <f t="shared" si="273"/>
        <v>41.755147883353153</v>
      </c>
      <c r="K323" s="19">
        <f t="shared" si="274"/>
        <v>1.6308270907640505</v>
      </c>
      <c r="L323" s="19">
        <f t="shared" si="275"/>
        <v>17.547664243479275</v>
      </c>
      <c r="M323" s="19">
        <f t="shared" si="276"/>
        <v>17.547664243479275</v>
      </c>
      <c r="N323" s="19">
        <f t="shared" si="277"/>
        <v>17.547664243479275</v>
      </c>
      <c r="O323" s="16"/>
      <c r="P323" s="19">
        <f t="shared" si="278"/>
        <v>81.243240801459507</v>
      </c>
      <c r="Q323" s="19">
        <f t="shared" si="279"/>
        <v>603.6366623833128</v>
      </c>
      <c r="R323" s="19">
        <f t="shared" si="280"/>
        <v>0</v>
      </c>
      <c r="S323" s="19">
        <f t="shared" si="281"/>
        <v>0</v>
      </c>
      <c r="T323" s="19">
        <f t="shared" si="282"/>
        <v>0</v>
      </c>
      <c r="U323" s="16"/>
      <c r="V323" s="19">
        <f t="shared" si="283"/>
        <v>684.87990318477227</v>
      </c>
      <c r="W323" s="16"/>
      <c r="X323" s="19">
        <f t="shared" si="284"/>
        <v>735.49965126732502</v>
      </c>
      <c r="Y323" s="19">
        <f t="shared" si="285"/>
        <v>27.120096815227726</v>
      </c>
      <c r="Z323" s="19"/>
      <c r="AA323" s="19">
        <f t="shared" si="286"/>
        <v>6.6998932623301433E-5</v>
      </c>
    </row>
    <row r="324" spans="2:27" x14ac:dyDescent="0.3">
      <c r="B324" s="27">
        <v>81.400000000000006</v>
      </c>
      <c r="C324" s="27">
        <v>682</v>
      </c>
      <c r="D324" s="19">
        <f t="shared" ref="D324:H324" si="304">1/C$23-LN(C$23)+$B324*C$22</f>
        <v>45.590685379842327</v>
      </c>
      <c r="E324" s="19">
        <f t="shared" si="304"/>
        <v>2.1226749866317194</v>
      </c>
      <c r="F324" s="19">
        <f t="shared" si="304"/>
        <v>20.442585092994044</v>
      </c>
      <c r="G324" s="19">
        <f t="shared" si="304"/>
        <v>20.442585092994044</v>
      </c>
      <c r="H324" s="19">
        <f t="shared" si="304"/>
        <v>20.442585092994044</v>
      </c>
      <c r="I324" s="16"/>
      <c r="J324" s="19">
        <f t="shared" si="273"/>
        <v>41.856439718554498</v>
      </c>
      <c r="K324" s="19">
        <f t="shared" si="274"/>
        <v>1.6325386992383566</v>
      </c>
      <c r="L324" s="19">
        <f t="shared" si="275"/>
        <v>17.576048025469543</v>
      </c>
      <c r="M324" s="19">
        <f t="shared" si="276"/>
        <v>17.576048025469543</v>
      </c>
      <c r="N324" s="19">
        <f t="shared" si="277"/>
        <v>17.576048025469543</v>
      </c>
      <c r="O324" s="16"/>
      <c r="P324" s="19">
        <f t="shared" si="278"/>
        <v>80.855078683646852</v>
      </c>
      <c r="Q324" s="19">
        <f t="shared" si="279"/>
        <v>602.61173196137634</v>
      </c>
      <c r="R324" s="19">
        <f t="shared" si="280"/>
        <v>0</v>
      </c>
      <c r="S324" s="19">
        <f t="shared" si="281"/>
        <v>0</v>
      </c>
      <c r="T324" s="19">
        <f t="shared" si="282"/>
        <v>0</v>
      </c>
      <c r="U324" s="16"/>
      <c r="V324" s="19">
        <f t="shared" si="283"/>
        <v>683.4668106450232</v>
      </c>
      <c r="W324" s="16"/>
      <c r="X324" s="19">
        <f t="shared" si="284"/>
        <v>2.1515334683533811</v>
      </c>
      <c r="Y324" s="19">
        <f t="shared" si="285"/>
        <v>1.4668106450232017</v>
      </c>
      <c r="Z324" s="19"/>
      <c r="AA324" s="19">
        <f t="shared" si="286"/>
        <v>3.623687195757734E-6</v>
      </c>
    </row>
    <row r="325" spans="2:27" x14ac:dyDescent="0.3">
      <c r="B325" s="27">
        <v>81.699999999999989</v>
      </c>
      <c r="C325" s="27">
        <v>698</v>
      </c>
      <c r="D325" s="19">
        <f t="shared" ref="D325:H325" si="305">1/C$23-LN(C$23)+$B325*C$22</f>
        <v>45.694400130040492</v>
      </c>
      <c r="E325" s="19">
        <f t="shared" si="305"/>
        <v>2.1254355787268624</v>
      </c>
      <c r="F325" s="19">
        <f t="shared" si="305"/>
        <v>20.472585092994045</v>
      </c>
      <c r="G325" s="19">
        <f t="shared" si="305"/>
        <v>20.472585092994045</v>
      </c>
      <c r="H325" s="19">
        <f t="shared" si="305"/>
        <v>20.472585092994045</v>
      </c>
      <c r="I325" s="16"/>
      <c r="J325" s="19">
        <f t="shared" si="273"/>
        <v>41.95773727375866</v>
      </c>
      <c r="K325" s="19">
        <f t="shared" si="274"/>
        <v>1.6342509896487842</v>
      </c>
      <c r="L325" s="19">
        <f t="shared" si="275"/>
        <v>17.604434275227273</v>
      </c>
      <c r="M325" s="19">
        <f t="shared" si="276"/>
        <v>17.604434275227273</v>
      </c>
      <c r="N325" s="19">
        <f t="shared" si="277"/>
        <v>17.604434275227273</v>
      </c>
      <c r="O325" s="16"/>
      <c r="P325" s="19">
        <f t="shared" si="278"/>
        <v>80.46967020601663</v>
      </c>
      <c r="Q325" s="19">
        <f t="shared" si="279"/>
        <v>601.58905061310145</v>
      </c>
      <c r="R325" s="19">
        <f t="shared" si="280"/>
        <v>0</v>
      </c>
      <c r="S325" s="19">
        <f t="shared" si="281"/>
        <v>0</v>
      </c>
      <c r="T325" s="19">
        <f t="shared" si="282"/>
        <v>0</v>
      </c>
      <c r="U325" s="16"/>
      <c r="V325" s="19">
        <f t="shared" si="283"/>
        <v>682.05872081911809</v>
      </c>
      <c r="W325" s="16"/>
      <c r="X325" s="19">
        <f t="shared" si="284"/>
        <v>254.12438192281891</v>
      </c>
      <c r="Y325" s="19">
        <f t="shared" si="285"/>
        <v>15.941279180881907</v>
      </c>
      <c r="Z325" s="19"/>
      <c r="AA325" s="19">
        <f t="shared" si="286"/>
        <v>3.9382185729124819E-5</v>
      </c>
    </row>
    <row r="326" spans="2:27" x14ac:dyDescent="0.3">
      <c r="B326" s="27">
        <v>82</v>
      </c>
      <c r="C326" s="27">
        <v>658</v>
      </c>
      <c r="D326" s="19">
        <f t="shared" ref="D326:H326" si="306">1/C$23-LN(C$23)+$B326*C$22</f>
        <v>45.798114880238657</v>
      </c>
      <c r="E326" s="19">
        <f t="shared" si="306"/>
        <v>2.1281961708220059</v>
      </c>
      <c r="F326" s="19">
        <f t="shared" si="306"/>
        <v>20.502585092994046</v>
      </c>
      <c r="G326" s="19">
        <f t="shared" si="306"/>
        <v>20.502585092994046</v>
      </c>
      <c r="H326" s="19">
        <f t="shared" si="306"/>
        <v>20.502585092994046</v>
      </c>
      <c r="I326" s="16"/>
      <c r="J326" s="19">
        <f t="shared" si="273"/>
        <v>42.059040522341711</v>
      </c>
      <c r="K326" s="19">
        <f t="shared" si="274"/>
        <v>1.6359639613802568</v>
      </c>
      <c r="L326" s="19">
        <f t="shared" si="275"/>
        <v>17.632822985441241</v>
      </c>
      <c r="M326" s="19">
        <f t="shared" si="276"/>
        <v>17.632822985441241</v>
      </c>
      <c r="N326" s="19">
        <f t="shared" si="277"/>
        <v>17.632822985441241</v>
      </c>
      <c r="O326" s="16"/>
      <c r="P326" s="19">
        <f t="shared" si="278"/>
        <v>80.086989536221338</v>
      </c>
      <c r="Q326" s="19">
        <f t="shared" si="279"/>
        <v>600.56861253705802</v>
      </c>
      <c r="R326" s="19">
        <f t="shared" si="280"/>
        <v>0</v>
      </c>
      <c r="S326" s="19">
        <f t="shared" si="281"/>
        <v>0</v>
      </c>
      <c r="T326" s="19">
        <f t="shared" si="282"/>
        <v>0</v>
      </c>
      <c r="U326" s="16"/>
      <c r="V326" s="19">
        <f t="shared" si="283"/>
        <v>680.6556020732794</v>
      </c>
      <c r="W326" s="16"/>
      <c r="X326" s="19">
        <f t="shared" si="284"/>
        <v>513.27630530278168</v>
      </c>
      <c r="Y326" s="19">
        <f t="shared" si="285"/>
        <v>22.655602073279397</v>
      </c>
      <c r="Z326" s="19"/>
      <c r="AA326" s="19">
        <f t="shared" si="286"/>
        <v>5.5969606863486003E-5</v>
      </c>
    </row>
    <row r="327" spans="2:27" x14ac:dyDescent="0.3">
      <c r="B327" s="27">
        <v>82.199999999999989</v>
      </c>
      <c r="C327" s="27">
        <v>676</v>
      </c>
      <c r="D327" s="19">
        <f t="shared" ref="D327:H327" si="307">1/C$23-LN(C$23)+$B327*C$22</f>
        <v>45.867258047037438</v>
      </c>
      <c r="E327" s="19">
        <f t="shared" si="307"/>
        <v>2.1300365655521012</v>
      </c>
      <c r="F327" s="19">
        <f t="shared" si="307"/>
        <v>20.522585092994042</v>
      </c>
      <c r="G327" s="19">
        <f t="shared" si="307"/>
        <v>20.522585092994042</v>
      </c>
      <c r="H327" s="19">
        <f t="shared" si="307"/>
        <v>20.522585092994042</v>
      </c>
      <c r="I327" s="16"/>
      <c r="J327" s="19">
        <f t="shared" si="273"/>
        <v>42.126579171321069</v>
      </c>
      <c r="K327" s="19">
        <f t="shared" si="274"/>
        <v>1.6371063207427148</v>
      </c>
      <c r="L327" s="19">
        <f t="shared" si="275"/>
        <v>17.651750155574593</v>
      </c>
      <c r="M327" s="19">
        <f t="shared" si="276"/>
        <v>17.651750155574593</v>
      </c>
      <c r="N327" s="19">
        <f t="shared" si="277"/>
        <v>17.651750155574593</v>
      </c>
      <c r="O327" s="16"/>
      <c r="P327" s="19">
        <f t="shared" si="278"/>
        <v>79.833371918059186</v>
      </c>
      <c r="Q327" s="19">
        <f t="shared" si="279"/>
        <v>599.8895638913275</v>
      </c>
      <c r="R327" s="19">
        <f t="shared" si="280"/>
        <v>0</v>
      </c>
      <c r="S327" s="19">
        <f t="shared" si="281"/>
        <v>0</v>
      </c>
      <c r="T327" s="19">
        <f t="shared" si="282"/>
        <v>0</v>
      </c>
      <c r="U327" s="16"/>
      <c r="V327" s="19">
        <f t="shared" si="283"/>
        <v>679.72293580938663</v>
      </c>
      <c r="W327" s="16"/>
      <c r="X327" s="19">
        <f t="shared" si="284"/>
        <v>13.860251040813257</v>
      </c>
      <c r="Y327" s="19">
        <f t="shared" si="285"/>
        <v>3.7229358093866267</v>
      </c>
      <c r="Z327" s="19"/>
      <c r="AA327" s="19">
        <f t="shared" si="286"/>
        <v>9.1973390490964717E-6</v>
      </c>
    </row>
    <row r="328" spans="2:27" x14ac:dyDescent="0.3">
      <c r="B328" s="27">
        <v>82.5</v>
      </c>
      <c r="C328" s="27">
        <v>649</v>
      </c>
      <c r="D328" s="19">
        <f t="shared" ref="D328:H328" si="308">1/C$23-LN(C$23)+$B328*C$22</f>
        <v>45.970972797235603</v>
      </c>
      <c r="E328" s="19">
        <f t="shared" si="308"/>
        <v>2.1327971576472446</v>
      </c>
      <c r="F328" s="19">
        <f t="shared" si="308"/>
        <v>20.552585092994043</v>
      </c>
      <c r="G328" s="19">
        <f t="shared" si="308"/>
        <v>20.552585092994043</v>
      </c>
      <c r="H328" s="19">
        <f t="shared" si="308"/>
        <v>20.552585092994043</v>
      </c>
      <c r="I328" s="16"/>
      <c r="J328" s="19">
        <f t="shared" si="273"/>
        <v>42.22789185020352</v>
      </c>
      <c r="K328" s="19">
        <f t="shared" si="274"/>
        <v>1.6388204266435826</v>
      </c>
      <c r="L328" s="19">
        <f t="shared" si="275"/>
        <v>17.680142950388046</v>
      </c>
      <c r="M328" s="19">
        <f t="shared" si="276"/>
        <v>17.680142950388046</v>
      </c>
      <c r="N328" s="19">
        <f t="shared" si="277"/>
        <v>17.680142950388046</v>
      </c>
      <c r="O328" s="16"/>
      <c r="P328" s="19">
        <f t="shared" si="278"/>
        <v>79.455181004501668</v>
      </c>
      <c r="Q328" s="19">
        <f t="shared" si="279"/>
        <v>598.87285175534578</v>
      </c>
      <c r="R328" s="19">
        <f t="shared" si="280"/>
        <v>0</v>
      </c>
      <c r="S328" s="19">
        <f t="shared" si="281"/>
        <v>0</v>
      </c>
      <c r="T328" s="19">
        <f t="shared" si="282"/>
        <v>0</v>
      </c>
      <c r="U328" s="16"/>
      <c r="V328" s="19">
        <f t="shared" si="283"/>
        <v>678.32803275984747</v>
      </c>
      <c r="W328" s="16"/>
      <c r="X328" s="19">
        <f t="shared" si="284"/>
        <v>860.13350556268665</v>
      </c>
      <c r="Y328" s="19">
        <f t="shared" si="285"/>
        <v>29.328032759847474</v>
      </c>
      <c r="Z328" s="19"/>
      <c r="AA328" s="19">
        <f t="shared" si="286"/>
        <v>7.2453535259789175E-5</v>
      </c>
    </row>
    <row r="329" spans="2:27" x14ac:dyDescent="0.3">
      <c r="B329" s="27">
        <v>82.799999999999983</v>
      </c>
      <c r="C329" s="27">
        <v>694</v>
      </c>
      <c r="D329" s="19">
        <f t="shared" ref="D329:H329" si="309">1/C$23-LN(C$23)+$B329*C$22</f>
        <v>46.074687547433761</v>
      </c>
      <c r="E329" s="19">
        <f t="shared" si="309"/>
        <v>2.1355577497423877</v>
      </c>
      <c r="F329" s="19">
        <f t="shared" si="309"/>
        <v>20.582585092994044</v>
      </c>
      <c r="G329" s="19">
        <f t="shared" si="309"/>
        <v>20.582585092994044</v>
      </c>
      <c r="H329" s="19">
        <f t="shared" si="309"/>
        <v>20.582585092994044</v>
      </c>
      <c r="I329" s="16"/>
      <c r="J329" s="19">
        <f t="shared" si="273"/>
        <v>42.329210152362464</v>
      </c>
      <c r="K329" s="19">
        <f t="shared" si="274"/>
        <v>1.6405352122273751</v>
      </c>
      <c r="L329" s="19">
        <f t="shared" si="275"/>
        <v>17.708538186316048</v>
      </c>
      <c r="M329" s="19">
        <f t="shared" si="276"/>
        <v>17.708538186316048</v>
      </c>
      <c r="N329" s="19">
        <f t="shared" si="277"/>
        <v>17.708538186316048</v>
      </c>
      <c r="O329" s="16"/>
      <c r="P329" s="19">
        <f t="shared" si="278"/>
        <v>79.079650471726211</v>
      </c>
      <c r="Q329" s="19">
        <f t="shared" si="279"/>
        <v>597.85836750215537</v>
      </c>
      <c r="R329" s="19">
        <f t="shared" si="280"/>
        <v>0</v>
      </c>
      <c r="S329" s="19">
        <f t="shared" si="281"/>
        <v>0</v>
      </c>
      <c r="T329" s="19">
        <f t="shared" si="282"/>
        <v>0</v>
      </c>
      <c r="U329" s="16"/>
      <c r="V329" s="19">
        <f t="shared" si="283"/>
        <v>676.93801797388164</v>
      </c>
      <c r="W329" s="16"/>
      <c r="X329" s="19">
        <f t="shared" si="284"/>
        <v>291.11123065958589</v>
      </c>
      <c r="Y329" s="19">
        <f t="shared" si="285"/>
        <v>17.061982026118358</v>
      </c>
      <c r="Z329" s="19"/>
      <c r="AA329" s="19">
        <f t="shared" si="286"/>
        <v>4.2150829769384254E-5</v>
      </c>
    </row>
    <row r="330" spans="2:27" x14ac:dyDescent="0.3">
      <c r="B330" s="27">
        <v>83.1</v>
      </c>
      <c r="C330" s="27">
        <v>694</v>
      </c>
      <c r="D330" s="19">
        <f t="shared" ref="D330:H330" si="310">1/C$23-LN(C$23)+$B330*C$22</f>
        <v>46.178402297631933</v>
      </c>
      <c r="E330" s="19">
        <f t="shared" si="310"/>
        <v>2.1383183418375307</v>
      </c>
      <c r="F330" s="19">
        <f t="shared" si="310"/>
        <v>20.612585092994046</v>
      </c>
      <c r="G330" s="19">
        <f t="shared" si="310"/>
        <v>20.612585092994046</v>
      </c>
      <c r="H330" s="19">
        <f t="shared" si="310"/>
        <v>20.612585092994046</v>
      </c>
      <c r="I330" s="16"/>
      <c r="J330" s="19">
        <f t="shared" si="273"/>
        <v>42.43053405184029</v>
      </c>
      <c r="K330" s="19">
        <f t="shared" si="274"/>
        <v>1.6422506768805811</v>
      </c>
      <c r="L330" s="19">
        <f t="shared" si="275"/>
        <v>17.736935856163051</v>
      </c>
      <c r="M330" s="19">
        <f t="shared" si="276"/>
        <v>17.736935856163051</v>
      </c>
      <c r="N330" s="19">
        <f t="shared" si="277"/>
        <v>17.736935856163051</v>
      </c>
      <c r="O330" s="16"/>
      <c r="P330" s="19">
        <f t="shared" si="278"/>
        <v>78.706755570039391</v>
      </c>
      <c r="Q330" s="19">
        <f t="shared" si="279"/>
        <v>596.84610539096218</v>
      </c>
      <c r="R330" s="19">
        <f t="shared" si="280"/>
        <v>0</v>
      </c>
      <c r="S330" s="19">
        <f t="shared" si="281"/>
        <v>0</v>
      </c>
      <c r="T330" s="19">
        <f t="shared" si="282"/>
        <v>0</v>
      </c>
      <c r="U330" s="16"/>
      <c r="V330" s="19">
        <f t="shared" si="283"/>
        <v>675.55286096100156</v>
      </c>
      <c r="W330" s="16"/>
      <c r="X330" s="19">
        <f t="shared" si="284"/>
        <v>340.29693872414043</v>
      </c>
      <c r="Y330" s="19">
        <f t="shared" si="285"/>
        <v>18.447139038998444</v>
      </c>
      <c r="Z330" s="19"/>
      <c r="AA330" s="19">
        <f t="shared" si="286"/>
        <v>4.5572795480308181E-5</v>
      </c>
    </row>
    <row r="331" spans="2:27" x14ac:dyDescent="0.3">
      <c r="B331" s="27">
        <v>83.4</v>
      </c>
      <c r="C331" s="27">
        <v>598</v>
      </c>
      <c r="D331" s="19">
        <f t="shared" ref="D331:H331" si="311">1/C$23-LN(C$23)+$B331*C$22</f>
        <v>46.282117047830098</v>
      </c>
      <c r="E331" s="19">
        <f t="shared" si="311"/>
        <v>2.1410789339326741</v>
      </c>
      <c r="F331" s="19">
        <f t="shared" si="311"/>
        <v>20.642585092994047</v>
      </c>
      <c r="G331" s="19">
        <f t="shared" si="311"/>
        <v>20.642585092994047</v>
      </c>
      <c r="H331" s="19">
        <f t="shared" si="311"/>
        <v>20.642585092994047</v>
      </c>
      <c r="I331" s="16"/>
      <c r="J331" s="19">
        <f t="shared" si="273"/>
        <v>42.53186352285725</v>
      </c>
      <c r="K331" s="19">
        <f t="shared" si="274"/>
        <v>1.6439668199901178</v>
      </c>
      <c r="L331" s="19">
        <f t="shared" si="275"/>
        <v>17.76533595276462</v>
      </c>
      <c r="M331" s="19">
        <f t="shared" si="276"/>
        <v>17.76533595276462</v>
      </c>
      <c r="N331" s="19">
        <f t="shared" si="277"/>
        <v>17.76533595276462</v>
      </c>
      <c r="O331" s="16"/>
      <c r="P331" s="19">
        <f t="shared" si="278"/>
        <v>78.336471835547968</v>
      </c>
      <c r="Q331" s="19">
        <f t="shared" si="279"/>
        <v>595.83605969739222</v>
      </c>
      <c r="R331" s="19">
        <f t="shared" si="280"/>
        <v>0</v>
      </c>
      <c r="S331" s="19">
        <f t="shared" si="281"/>
        <v>0</v>
      </c>
      <c r="T331" s="19">
        <f t="shared" si="282"/>
        <v>0</v>
      </c>
      <c r="U331" s="16"/>
      <c r="V331" s="19">
        <f t="shared" si="283"/>
        <v>674.17253153294018</v>
      </c>
      <c r="W331" s="16"/>
      <c r="X331" s="19">
        <f t="shared" si="284"/>
        <v>5802.2545601367665</v>
      </c>
      <c r="Y331" s="19">
        <f t="shared" si="285"/>
        <v>76.172531532940184</v>
      </c>
      <c r="Z331" s="19"/>
      <c r="AA331" s="19">
        <f t="shared" si="286"/>
        <v>1.8818068175391616E-4</v>
      </c>
    </row>
    <row r="332" spans="2:27" x14ac:dyDescent="0.3">
      <c r="B332" s="27">
        <v>83.699999999999989</v>
      </c>
      <c r="C332" s="27">
        <v>679</v>
      </c>
      <c r="D332" s="19">
        <f t="shared" ref="D332:H332" si="312">1/C$23-LN(C$23)+$B332*C$22</f>
        <v>46.385831798028264</v>
      </c>
      <c r="E332" s="19">
        <f t="shared" si="312"/>
        <v>2.1438395260278171</v>
      </c>
      <c r="F332" s="19">
        <f t="shared" si="312"/>
        <v>20.672585092994044</v>
      </c>
      <c r="G332" s="19">
        <f t="shared" si="312"/>
        <v>20.672585092994044</v>
      </c>
      <c r="H332" s="19">
        <f t="shared" si="312"/>
        <v>20.672585092994044</v>
      </c>
      <c r="I332" s="16"/>
      <c r="J332" s="19">
        <f t="shared" si="273"/>
        <v>42.633198539809854</v>
      </c>
      <c r="K332" s="19">
        <f t="shared" si="274"/>
        <v>1.6456836409433309</v>
      </c>
      <c r="L332" s="19">
        <f t="shared" si="275"/>
        <v>17.793738468987289</v>
      </c>
      <c r="M332" s="19">
        <f t="shared" si="276"/>
        <v>17.793738468987289</v>
      </c>
      <c r="N332" s="19">
        <f t="shared" si="277"/>
        <v>17.793738468987289</v>
      </c>
      <c r="O332" s="16"/>
      <c r="P332" s="19">
        <f t="shared" si="278"/>
        <v>77.968775086223133</v>
      </c>
      <c r="Q332" s="19">
        <f t="shared" si="279"/>
        <v>594.82822471344161</v>
      </c>
      <c r="R332" s="19">
        <f t="shared" si="280"/>
        <v>0</v>
      </c>
      <c r="S332" s="19">
        <f t="shared" si="281"/>
        <v>0</v>
      </c>
      <c r="T332" s="19">
        <f t="shared" si="282"/>
        <v>0</v>
      </c>
      <c r="U332" s="16"/>
      <c r="V332" s="19">
        <f t="shared" si="283"/>
        <v>672.79699979966472</v>
      </c>
      <c r="W332" s="16"/>
      <c r="X332" s="19">
        <f t="shared" si="284"/>
        <v>38.477211485359547</v>
      </c>
      <c r="Y332" s="19">
        <f t="shared" si="285"/>
        <v>6.203000200335282</v>
      </c>
      <c r="Z332" s="19"/>
      <c r="AA332" s="19">
        <f t="shared" si="286"/>
        <v>1.5324222303337642E-5</v>
      </c>
    </row>
    <row r="333" spans="2:27" x14ac:dyDescent="0.3">
      <c r="B333" s="27">
        <v>84</v>
      </c>
      <c r="C333" s="27">
        <v>655</v>
      </c>
      <c r="D333" s="19">
        <f t="shared" ref="D333:H333" si="313">1/C$23-LN(C$23)+$B333*C$22</f>
        <v>46.489546548226429</v>
      </c>
      <c r="E333" s="19">
        <f t="shared" si="313"/>
        <v>2.1466001181229606</v>
      </c>
      <c r="F333" s="19">
        <f t="shared" si="313"/>
        <v>20.702585092994045</v>
      </c>
      <c r="G333" s="19">
        <f t="shared" si="313"/>
        <v>20.702585092994045</v>
      </c>
      <c r="H333" s="19">
        <f t="shared" si="313"/>
        <v>20.702585092994045</v>
      </c>
      <c r="I333" s="16"/>
      <c r="J333" s="19">
        <f t="shared" si="273"/>
        <v>42.734539077269297</v>
      </c>
      <c r="K333" s="19">
        <f t="shared" si="274"/>
        <v>1.6474011391279957</v>
      </c>
      <c r="L333" s="19">
        <f t="shared" si="275"/>
        <v>17.822143397728361</v>
      </c>
      <c r="M333" s="19">
        <f t="shared" si="276"/>
        <v>17.822143397728361</v>
      </c>
      <c r="N333" s="19">
        <f t="shared" si="277"/>
        <v>17.822143397728361</v>
      </c>
      <c r="O333" s="16"/>
      <c r="P333" s="19">
        <f t="shared" si="278"/>
        <v>77.603641418027522</v>
      </c>
      <c r="Q333" s="19">
        <f t="shared" si="279"/>
        <v>593.82259474742716</v>
      </c>
      <c r="R333" s="19">
        <f t="shared" si="280"/>
        <v>0</v>
      </c>
      <c r="S333" s="19">
        <f t="shared" si="281"/>
        <v>0</v>
      </c>
      <c r="T333" s="19">
        <f t="shared" si="282"/>
        <v>0</v>
      </c>
      <c r="U333" s="16"/>
      <c r="V333" s="19">
        <f t="shared" si="283"/>
        <v>671.42623616545472</v>
      </c>
      <c r="W333" s="16"/>
      <c r="X333" s="19">
        <f t="shared" si="284"/>
        <v>269.82123456329276</v>
      </c>
      <c r="Y333" s="19">
        <f t="shared" si="285"/>
        <v>16.426236165454725</v>
      </c>
      <c r="Z333" s="19"/>
      <c r="AA333" s="19">
        <f t="shared" si="286"/>
        <v>4.0580249311123166E-5</v>
      </c>
    </row>
    <row r="334" spans="2:27" x14ac:dyDescent="0.3">
      <c r="B334" s="27">
        <v>84.199999999999989</v>
      </c>
      <c r="C334" s="27">
        <v>645</v>
      </c>
      <c r="D334" s="19">
        <f t="shared" ref="D334:H334" si="314">1/C$23-LN(C$23)+$B334*C$22</f>
        <v>46.558689715025203</v>
      </c>
      <c r="E334" s="19">
        <f t="shared" si="314"/>
        <v>2.1484405128530559</v>
      </c>
      <c r="F334" s="19">
        <f t="shared" si="314"/>
        <v>20.722585092994045</v>
      </c>
      <c r="G334" s="19">
        <f t="shared" si="314"/>
        <v>20.722585092994045</v>
      </c>
      <c r="H334" s="19">
        <f t="shared" si="314"/>
        <v>20.722585092994045</v>
      </c>
      <c r="I334" s="16"/>
      <c r="J334" s="19">
        <f t="shared" si="273"/>
        <v>42.802102490044796</v>
      </c>
      <c r="K334" s="19">
        <f t="shared" si="274"/>
        <v>1.648546513855329</v>
      </c>
      <c r="L334" s="19">
        <f t="shared" si="275"/>
        <v>17.841081353683428</v>
      </c>
      <c r="M334" s="19">
        <f t="shared" si="276"/>
        <v>17.841081353683428</v>
      </c>
      <c r="N334" s="19">
        <f t="shared" si="277"/>
        <v>17.841081353683428</v>
      </c>
      <c r="O334" s="16"/>
      <c r="P334" s="19">
        <f t="shared" si="278"/>
        <v>77.361631226289802</v>
      </c>
      <c r="Q334" s="19">
        <f t="shared" si="279"/>
        <v>593.153396976708</v>
      </c>
      <c r="R334" s="19">
        <f t="shared" si="280"/>
        <v>0</v>
      </c>
      <c r="S334" s="19">
        <f t="shared" si="281"/>
        <v>0</v>
      </c>
      <c r="T334" s="19">
        <f t="shared" si="282"/>
        <v>0</v>
      </c>
      <c r="U334" s="16"/>
      <c r="V334" s="19">
        <f t="shared" si="283"/>
        <v>670.51502820299777</v>
      </c>
      <c r="W334" s="16"/>
      <c r="X334" s="19">
        <f t="shared" si="284"/>
        <v>651.01666419977153</v>
      </c>
      <c r="Y334" s="19">
        <f t="shared" si="285"/>
        <v>25.515028202997769</v>
      </c>
      <c r="Z334" s="19"/>
      <c r="AA334" s="19">
        <f t="shared" si="286"/>
        <v>6.3033685576462385E-5</v>
      </c>
    </row>
    <row r="335" spans="2:27" x14ac:dyDescent="0.3">
      <c r="B335" s="27">
        <v>84.5</v>
      </c>
      <c r="C335" s="27">
        <v>700</v>
      </c>
      <c r="D335" s="19">
        <f t="shared" ref="D335:H335" si="315">1/C$23-LN(C$23)+$B335*C$22</f>
        <v>46.662404465223375</v>
      </c>
      <c r="E335" s="19">
        <f t="shared" si="315"/>
        <v>2.1512011049481989</v>
      </c>
      <c r="F335" s="19">
        <f t="shared" si="315"/>
        <v>20.752585092994046</v>
      </c>
      <c r="G335" s="19">
        <f t="shared" si="315"/>
        <v>20.752585092994046</v>
      </c>
      <c r="H335" s="19">
        <f t="shared" si="315"/>
        <v>20.752585092994046</v>
      </c>
      <c r="I335" s="16"/>
      <c r="J335" s="19">
        <f t="shared" si="273"/>
        <v>42.90345217230994</v>
      </c>
      <c r="K335" s="19">
        <f t="shared" si="274"/>
        <v>1.6502651393997496</v>
      </c>
      <c r="L335" s="19">
        <f t="shared" si="275"/>
        <v>17.869490287587773</v>
      </c>
      <c r="M335" s="19">
        <f t="shared" si="276"/>
        <v>17.869490287587773</v>
      </c>
      <c r="N335" s="19">
        <f t="shared" si="277"/>
        <v>17.869490287587773</v>
      </c>
      <c r="O335" s="16"/>
      <c r="P335" s="19">
        <f t="shared" si="278"/>
        <v>77.000716982881201</v>
      </c>
      <c r="Q335" s="19">
        <f t="shared" si="279"/>
        <v>592.15142943657247</v>
      </c>
      <c r="R335" s="19">
        <f t="shared" si="280"/>
        <v>0</v>
      </c>
      <c r="S335" s="19">
        <f t="shared" si="281"/>
        <v>0</v>
      </c>
      <c r="T335" s="19">
        <f t="shared" si="282"/>
        <v>0</v>
      </c>
      <c r="U335" s="16"/>
      <c r="V335" s="19">
        <f t="shared" si="283"/>
        <v>669.15214641945363</v>
      </c>
      <c r="W335" s="16"/>
      <c r="X335" s="19">
        <f t="shared" si="284"/>
        <v>951.5900705268275</v>
      </c>
      <c r="Y335" s="19">
        <f t="shared" si="285"/>
        <v>30.847853580546371</v>
      </c>
      <c r="Z335" s="19"/>
      <c r="AA335" s="19">
        <f t="shared" si="286"/>
        <v>7.6208181618880389E-5</v>
      </c>
    </row>
    <row r="336" spans="2:27" x14ac:dyDescent="0.3">
      <c r="B336" s="27">
        <v>84.799999999999983</v>
      </c>
      <c r="C336" s="27">
        <v>683</v>
      </c>
      <c r="D336" s="19">
        <f t="shared" ref="D336:H336" si="316">1/C$23-LN(C$23)+$B336*C$22</f>
        <v>46.766119215421526</v>
      </c>
      <c r="E336" s="19">
        <f t="shared" si="316"/>
        <v>2.1539616970433419</v>
      </c>
      <c r="F336" s="19">
        <f t="shared" si="316"/>
        <v>20.782585092994044</v>
      </c>
      <c r="G336" s="19">
        <f t="shared" si="316"/>
        <v>20.782585092994044</v>
      </c>
      <c r="H336" s="19">
        <f t="shared" si="316"/>
        <v>20.782585092994044</v>
      </c>
      <c r="I336" s="16"/>
      <c r="J336" s="19">
        <f t="shared" si="273"/>
        <v>43.004807308113769</v>
      </c>
      <c r="K336" s="19">
        <f t="shared" si="274"/>
        <v>1.6519844405451283</v>
      </c>
      <c r="L336" s="19">
        <f t="shared" si="275"/>
        <v>17.897901615219144</v>
      </c>
      <c r="M336" s="19">
        <f t="shared" si="276"/>
        <v>17.897901615219144</v>
      </c>
      <c r="N336" s="19">
        <f t="shared" si="277"/>
        <v>17.897901615219144</v>
      </c>
      <c r="O336" s="16"/>
      <c r="P336" s="19">
        <f t="shared" si="278"/>
        <v>76.642303406780172</v>
      </c>
      <c r="Q336" s="19">
        <f t="shared" si="279"/>
        <v>591.15165181596399</v>
      </c>
      <c r="R336" s="19">
        <f t="shared" si="280"/>
        <v>0</v>
      </c>
      <c r="S336" s="19">
        <f t="shared" si="281"/>
        <v>0</v>
      </c>
      <c r="T336" s="19">
        <f t="shared" si="282"/>
        <v>0</v>
      </c>
      <c r="U336" s="16"/>
      <c r="V336" s="19">
        <f t="shared" si="283"/>
        <v>667.79395522274422</v>
      </c>
      <c r="W336" s="16"/>
      <c r="X336" s="19">
        <f t="shared" si="284"/>
        <v>231.22379776790788</v>
      </c>
      <c r="Y336" s="19">
        <f t="shared" si="285"/>
        <v>15.206044777255784</v>
      </c>
      <c r="Z336" s="19"/>
      <c r="AA336" s="19">
        <f t="shared" si="286"/>
        <v>3.7565823471773995E-5</v>
      </c>
    </row>
    <row r="337" spans="2:27" x14ac:dyDescent="0.3">
      <c r="B337" s="27">
        <v>85.1</v>
      </c>
      <c r="C337" s="27">
        <v>650</v>
      </c>
      <c r="D337" s="19">
        <f t="shared" ref="D337:H337" si="317">1/C$23-LN(C$23)+$B337*C$22</f>
        <v>46.869833965619698</v>
      </c>
      <c r="E337" s="19">
        <f t="shared" si="317"/>
        <v>2.156722289138485</v>
      </c>
      <c r="F337" s="19">
        <f t="shared" si="317"/>
        <v>20.812585092994045</v>
      </c>
      <c r="G337" s="19">
        <f t="shared" si="317"/>
        <v>20.812585092994045</v>
      </c>
      <c r="H337" s="19">
        <f t="shared" si="317"/>
        <v>20.812585092994045</v>
      </c>
      <c r="I337" s="16"/>
      <c r="J337" s="19">
        <f t="shared" si="273"/>
        <v>43.106167872654623</v>
      </c>
      <c r="K337" s="19">
        <f t="shared" si="274"/>
        <v>1.6537044166808208</v>
      </c>
      <c r="L337" s="19">
        <f t="shared" si="275"/>
        <v>17.92631532958622</v>
      </c>
      <c r="M337" s="19">
        <f t="shared" si="276"/>
        <v>17.92631532958622</v>
      </c>
      <c r="N337" s="19">
        <f t="shared" si="277"/>
        <v>17.92631532958622</v>
      </c>
      <c r="O337" s="16"/>
      <c r="P337" s="19">
        <f t="shared" si="278"/>
        <v>76.286367581102652</v>
      </c>
      <c r="Q337" s="19">
        <f t="shared" si="279"/>
        <v>590.15405848261844</v>
      </c>
      <c r="R337" s="19">
        <f t="shared" si="280"/>
        <v>0</v>
      </c>
      <c r="S337" s="19">
        <f t="shared" si="281"/>
        <v>0</v>
      </c>
      <c r="T337" s="19">
        <f t="shared" si="282"/>
        <v>0</v>
      </c>
      <c r="U337" s="16"/>
      <c r="V337" s="19">
        <f t="shared" si="283"/>
        <v>666.44042606372113</v>
      </c>
      <c r="W337" s="16"/>
      <c r="X337" s="19">
        <f t="shared" si="284"/>
        <v>270.28760915668119</v>
      </c>
      <c r="Y337" s="19">
        <f t="shared" si="285"/>
        <v>16.440426063721134</v>
      </c>
      <c r="Z337" s="19"/>
      <c r="AA337" s="19">
        <f t="shared" si="286"/>
        <v>4.0615304792095815E-5</v>
      </c>
    </row>
    <row r="338" spans="2:27" x14ac:dyDescent="0.3">
      <c r="B338" s="27">
        <v>85.4</v>
      </c>
      <c r="C338" s="27">
        <v>681</v>
      </c>
      <c r="D338" s="19">
        <f t="shared" ref="D338:H338" si="318">1/C$23-LN(C$23)+$B338*C$22</f>
        <v>46.97354871581787</v>
      </c>
      <c r="E338" s="19">
        <f t="shared" si="318"/>
        <v>2.1594828812336284</v>
      </c>
      <c r="F338" s="19">
        <f t="shared" si="318"/>
        <v>20.842585092994046</v>
      </c>
      <c r="G338" s="19">
        <f t="shared" si="318"/>
        <v>20.842585092994046</v>
      </c>
      <c r="H338" s="19">
        <f t="shared" si="318"/>
        <v>20.842585092994046</v>
      </c>
      <c r="I338" s="16"/>
      <c r="J338" s="19">
        <f t="shared" si="273"/>
        <v>43.207533841298257</v>
      </c>
      <c r="K338" s="19">
        <f t="shared" si="274"/>
        <v>1.655425067196616</v>
      </c>
      <c r="L338" s="19">
        <f t="shared" si="275"/>
        <v>17.954731423727644</v>
      </c>
      <c r="M338" s="19">
        <f t="shared" si="276"/>
        <v>17.954731423727644</v>
      </c>
      <c r="N338" s="19">
        <f t="shared" si="277"/>
        <v>17.954731423727644</v>
      </c>
      <c r="O338" s="16"/>
      <c r="P338" s="19">
        <f t="shared" si="278"/>
        <v>75.932886849681225</v>
      </c>
      <c r="Q338" s="19">
        <f t="shared" si="279"/>
        <v>589.1586438203625</v>
      </c>
      <c r="R338" s="19">
        <f t="shared" si="280"/>
        <v>0</v>
      </c>
      <c r="S338" s="19">
        <f t="shared" si="281"/>
        <v>0</v>
      </c>
      <c r="T338" s="19">
        <f t="shared" si="282"/>
        <v>0</v>
      </c>
      <c r="U338" s="16"/>
      <c r="V338" s="19">
        <f t="shared" si="283"/>
        <v>665.09153067004377</v>
      </c>
      <c r="W338" s="16"/>
      <c r="X338" s="19">
        <f t="shared" si="284"/>
        <v>253.07939642215811</v>
      </c>
      <c r="Y338" s="19">
        <f t="shared" si="285"/>
        <v>15.908469329956233</v>
      </c>
      <c r="Z338" s="19"/>
      <c r="AA338" s="19">
        <f t="shared" si="286"/>
        <v>3.930113052469371E-5</v>
      </c>
    </row>
    <row r="339" spans="2:27" x14ac:dyDescent="0.3">
      <c r="B339" s="27">
        <v>85.699999999999989</v>
      </c>
      <c r="C339" s="27">
        <v>644</v>
      </c>
      <c r="D339" s="19">
        <f t="shared" ref="D339:H339" si="319">1/C$23-LN(C$23)+$B339*C$22</f>
        <v>47.077263466016028</v>
      </c>
      <c r="E339" s="19">
        <f t="shared" si="319"/>
        <v>2.1622434733287714</v>
      </c>
      <c r="F339" s="19">
        <f t="shared" si="319"/>
        <v>20.872585092994044</v>
      </c>
      <c r="G339" s="19">
        <f t="shared" si="319"/>
        <v>20.872585092994044</v>
      </c>
      <c r="H339" s="19">
        <f t="shared" si="319"/>
        <v>20.872585092994044</v>
      </c>
      <c r="I339" s="16"/>
      <c r="J339" s="19">
        <f t="shared" si="273"/>
        <v>43.308905189576407</v>
      </c>
      <c r="K339" s="19">
        <f t="shared" si="274"/>
        <v>1.6571463914827347</v>
      </c>
      <c r="L339" s="19">
        <f t="shared" si="275"/>
        <v>17.983149890711879</v>
      </c>
      <c r="M339" s="19">
        <f t="shared" si="276"/>
        <v>17.983149890711879</v>
      </c>
      <c r="N339" s="19">
        <f t="shared" si="277"/>
        <v>17.983149890711879</v>
      </c>
      <c r="O339" s="16"/>
      <c r="P339" s="19">
        <f t="shared" si="278"/>
        <v>75.581838813527497</v>
      </c>
      <c r="Q339" s="19">
        <f t="shared" si="279"/>
        <v>588.16540222906497</v>
      </c>
      <c r="R339" s="19">
        <f t="shared" si="280"/>
        <v>0</v>
      </c>
      <c r="S339" s="19">
        <f t="shared" si="281"/>
        <v>0</v>
      </c>
      <c r="T339" s="19">
        <f t="shared" si="282"/>
        <v>0</v>
      </c>
      <c r="U339" s="16"/>
      <c r="V339" s="19">
        <f t="shared" si="283"/>
        <v>663.74724104259246</v>
      </c>
      <c r="W339" s="16"/>
      <c r="X339" s="19">
        <f t="shared" si="284"/>
        <v>389.95352879424831</v>
      </c>
      <c r="Y339" s="19">
        <f t="shared" si="285"/>
        <v>19.747241042592464</v>
      </c>
      <c r="Z339" s="19"/>
      <c r="AA339" s="19">
        <f t="shared" si="286"/>
        <v>4.8784636763017239E-5</v>
      </c>
    </row>
    <row r="340" spans="2:27" x14ac:dyDescent="0.3">
      <c r="B340" s="27">
        <v>86</v>
      </c>
      <c r="C340" s="27">
        <v>695</v>
      </c>
      <c r="D340" s="19">
        <f t="shared" ref="D340:H340" si="320">1/C$23-LN(C$23)+$B340*C$22</f>
        <v>47.1809782162142</v>
      </c>
      <c r="E340" s="19">
        <f t="shared" si="320"/>
        <v>2.1650040654239149</v>
      </c>
      <c r="F340" s="19">
        <f t="shared" si="320"/>
        <v>20.902585092994045</v>
      </c>
      <c r="G340" s="19">
        <f t="shared" si="320"/>
        <v>20.902585092994045</v>
      </c>
      <c r="H340" s="19">
        <f t="shared" si="320"/>
        <v>20.902585092994045</v>
      </c>
      <c r="I340" s="16"/>
      <c r="J340" s="19">
        <f t="shared" si="273"/>
        <v>43.410281893185349</v>
      </c>
      <c r="K340" s="19">
        <f t="shared" si="274"/>
        <v>1.6588683889298328</v>
      </c>
      <c r="L340" s="19">
        <f t="shared" si="275"/>
        <v>18.011570723637025</v>
      </c>
      <c r="M340" s="19">
        <f t="shared" si="276"/>
        <v>18.011570723637025</v>
      </c>
      <c r="N340" s="19">
        <f t="shared" si="277"/>
        <v>18.011570723637025</v>
      </c>
      <c r="O340" s="16"/>
      <c r="P340" s="19">
        <f t="shared" si="278"/>
        <v>75.233201327350173</v>
      </c>
      <c r="Q340" s="19">
        <f t="shared" si="279"/>
        <v>587.17432812458696</v>
      </c>
      <c r="R340" s="19">
        <f t="shared" si="280"/>
        <v>0</v>
      </c>
      <c r="S340" s="19">
        <f t="shared" si="281"/>
        <v>0</v>
      </c>
      <c r="T340" s="19">
        <f t="shared" si="282"/>
        <v>0</v>
      </c>
      <c r="U340" s="16"/>
      <c r="V340" s="19">
        <f t="shared" si="283"/>
        <v>662.40752945193708</v>
      </c>
      <c r="W340" s="16"/>
      <c r="X340" s="19">
        <f t="shared" si="284"/>
        <v>1062.269136426349</v>
      </c>
      <c r="Y340" s="19">
        <f t="shared" si="285"/>
        <v>32.59247054806292</v>
      </c>
      <c r="Z340" s="19"/>
      <c r="AA340" s="19">
        <f t="shared" si="286"/>
        <v>8.0518176360288478E-5</v>
      </c>
    </row>
    <row r="341" spans="2:27" x14ac:dyDescent="0.3">
      <c r="B341" s="27">
        <v>86.199999999999989</v>
      </c>
      <c r="C341" s="27">
        <v>671</v>
      </c>
      <c r="D341" s="19">
        <f t="shared" ref="D341:H341" si="321">1/C$23-LN(C$23)+$B341*C$22</f>
        <v>47.250121383012967</v>
      </c>
      <c r="E341" s="19">
        <f t="shared" si="321"/>
        <v>2.1668444601540102</v>
      </c>
      <c r="F341" s="19">
        <f t="shared" si="321"/>
        <v>20.922585092994044</v>
      </c>
      <c r="G341" s="19">
        <f t="shared" si="321"/>
        <v>20.922585092994044</v>
      </c>
      <c r="H341" s="19">
        <f t="shared" si="321"/>
        <v>20.922585092994044</v>
      </c>
      <c r="I341" s="16"/>
      <c r="J341" s="19">
        <f t="shared" si="273"/>
        <v>43.477869325513716</v>
      </c>
      <c r="K341" s="19">
        <f t="shared" si="274"/>
        <v>1.660016760905505</v>
      </c>
      <c r="L341" s="19">
        <f t="shared" si="275"/>
        <v>18.030519256603739</v>
      </c>
      <c r="M341" s="19">
        <f t="shared" si="276"/>
        <v>18.030519256603739</v>
      </c>
      <c r="N341" s="19">
        <f t="shared" si="277"/>
        <v>18.030519256603739</v>
      </c>
      <c r="O341" s="16"/>
      <c r="P341" s="19">
        <f t="shared" si="278"/>
        <v>75.002104708443582</v>
      </c>
      <c r="Q341" s="19">
        <f t="shared" si="279"/>
        <v>586.5148134638996</v>
      </c>
      <c r="R341" s="19">
        <f t="shared" si="280"/>
        <v>0</v>
      </c>
      <c r="S341" s="19">
        <f t="shared" si="281"/>
        <v>0</v>
      </c>
      <c r="T341" s="19">
        <f t="shared" si="282"/>
        <v>0</v>
      </c>
      <c r="U341" s="16"/>
      <c r="V341" s="19">
        <f t="shared" si="283"/>
        <v>661.51691817234314</v>
      </c>
      <c r="W341" s="16"/>
      <c r="X341" s="19">
        <f t="shared" si="284"/>
        <v>89.928840950035791</v>
      </c>
      <c r="Y341" s="19">
        <f t="shared" si="285"/>
        <v>9.4830818276568607</v>
      </c>
      <c r="Z341" s="19"/>
      <c r="AA341" s="19">
        <f t="shared" si="286"/>
        <v>2.3427510777752408E-5</v>
      </c>
    </row>
    <row r="342" spans="2:27" x14ac:dyDescent="0.3">
      <c r="B342" s="27">
        <v>86.5</v>
      </c>
      <c r="C342" s="27">
        <v>648</v>
      </c>
      <c r="D342" s="19">
        <f t="shared" ref="D342:H342" si="322">1/C$23-LN(C$23)+$B342*C$22</f>
        <v>47.353836133211139</v>
      </c>
      <c r="E342" s="19">
        <f t="shared" si="322"/>
        <v>2.1696050522491532</v>
      </c>
      <c r="F342" s="19">
        <f t="shared" si="322"/>
        <v>20.952585092994045</v>
      </c>
      <c r="G342" s="19">
        <f t="shared" si="322"/>
        <v>20.952585092994045</v>
      </c>
      <c r="H342" s="19">
        <f t="shared" si="322"/>
        <v>20.952585092994045</v>
      </c>
      <c r="I342" s="16"/>
      <c r="J342" s="19">
        <f t="shared" si="273"/>
        <v>43.579254901107745</v>
      </c>
      <c r="K342" s="19">
        <f t="shared" si="274"/>
        <v>1.6617398789346476</v>
      </c>
      <c r="L342" s="19">
        <f t="shared" si="275"/>
        <v>18.058944017506153</v>
      </c>
      <c r="M342" s="19">
        <f t="shared" si="276"/>
        <v>18.058944017506153</v>
      </c>
      <c r="N342" s="19">
        <f t="shared" si="277"/>
        <v>18.058944017506153</v>
      </c>
      <c r="O342" s="16"/>
      <c r="P342" s="19">
        <f t="shared" si="278"/>
        <v>74.657436272019439</v>
      </c>
      <c r="Q342" s="19">
        <f t="shared" si="279"/>
        <v>585.52733947154343</v>
      </c>
      <c r="R342" s="19">
        <f t="shared" si="280"/>
        <v>0</v>
      </c>
      <c r="S342" s="19">
        <f t="shared" si="281"/>
        <v>0</v>
      </c>
      <c r="T342" s="19">
        <f t="shared" si="282"/>
        <v>0</v>
      </c>
      <c r="U342" s="16"/>
      <c r="V342" s="19">
        <f t="shared" si="283"/>
        <v>660.18477574356291</v>
      </c>
      <c r="W342" s="16"/>
      <c r="X342" s="19">
        <f t="shared" si="284"/>
        <v>148.46875992091904</v>
      </c>
      <c r="Y342" s="19">
        <f t="shared" si="285"/>
        <v>12.184775743562909</v>
      </c>
      <c r="Z342" s="19"/>
      <c r="AA342" s="19">
        <f t="shared" si="286"/>
        <v>3.0101919422891783E-5</v>
      </c>
    </row>
    <row r="343" spans="2:27" x14ac:dyDescent="0.3">
      <c r="B343" s="27">
        <v>86.799999999999983</v>
      </c>
      <c r="C343" s="27">
        <v>693</v>
      </c>
      <c r="D343" s="19">
        <f t="shared" ref="D343:H343" si="323">1/C$23-LN(C$23)+$B343*C$22</f>
        <v>47.457550883409297</v>
      </c>
      <c r="E343" s="19">
        <f t="shared" si="323"/>
        <v>2.1723656443442962</v>
      </c>
      <c r="F343" s="19">
        <f t="shared" si="323"/>
        <v>20.982585092994043</v>
      </c>
      <c r="G343" s="19">
        <f t="shared" si="323"/>
        <v>20.982585092994043</v>
      </c>
      <c r="H343" s="19">
        <f t="shared" si="323"/>
        <v>20.982585092994043</v>
      </c>
      <c r="I343" s="16"/>
      <c r="J343" s="19">
        <f t="shared" si="273"/>
        <v>43.680645768015637</v>
      </c>
      <c r="K343" s="19">
        <f t="shared" si="274"/>
        <v>1.6634636685019739</v>
      </c>
      <c r="L343" s="19">
        <f t="shared" si="275"/>
        <v>18.087371126088055</v>
      </c>
      <c r="M343" s="19">
        <f t="shared" si="276"/>
        <v>18.087371126088055</v>
      </c>
      <c r="N343" s="19">
        <f t="shared" si="277"/>
        <v>18.087371126088055</v>
      </c>
      <c r="O343" s="16"/>
      <c r="P343" s="19">
        <f t="shared" si="278"/>
        <v>74.315120545866307</v>
      </c>
      <c r="Q343" s="19">
        <f t="shared" si="279"/>
        <v>584.54201815279248</v>
      </c>
      <c r="R343" s="19">
        <f t="shared" si="280"/>
        <v>0</v>
      </c>
      <c r="S343" s="19">
        <f t="shared" si="281"/>
        <v>0</v>
      </c>
      <c r="T343" s="19">
        <f t="shared" si="282"/>
        <v>0</v>
      </c>
      <c r="U343" s="16"/>
      <c r="V343" s="19">
        <f t="shared" si="283"/>
        <v>658.85713869865879</v>
      </c>
      <c r="W343" s="16"/>
      <c r="X343" s="19">
        <f t="shared" si="284"/>
        <v>1165.7349778426235</v>
      </c>
      <c r="Y343" s="19">
        <f t="shared" si="285"/>
        <v>34.142861301341213</v>
      </c>
      <c r="Z343" s="19"/>
      <c r="AA343" s="19">
        <f t="shared" si="286"/>
        <v>8.4348344310144658E-5</v>
      </c>
    </row>
    <row r="344" spans="2:27" x14ac:dyDescent="0.3">
      <c r="B344" s="27">
        <v>87.1</v>
      </c>
      <c r="C344" s="27">
        <v>656</v>
      </c>
      <c r="D344" s="19">
        <f t="shared" ref="D344:H344" si="324">1/C$23-LN(C$23)+$B344*C$22</f>
        <v>47.561265633607462</v>
      </c>
      <c r="E344" s="19">
        <f t="shared" si="324"/>
        <v>2.1751262364394397</v>
      </c>
      <c r="F344" s="19">
        <f t="shared" si="324"/>
        <v>21.012585092994044</v>
      </c>
      <c r="G344" s="19">
        <f t="shared" si="324"/>
        <v>21.012585092994044</v>
      </c>
      <c r="H344" s="19">
        <f t="shared" si="324"/>
        <v>21.012585092994044</v>
      </c>
      <c r="I344" s="16"/>
      <c r="J344" s="19">
        <f t="shared" si="273"/>
        <v>43.782041902524426</v>
      </c>
      <c r="K344" s="19">
        <f t="shared" si="274"/>
        <v>1.6651881289997348</v>
      </c>
      <c r="L344" s="19">
        <f t="shared" si="275"/>
        <v>18.115800575554815</v>
      </c>
      <c r="M344" s="19">
        <f t="shared" si="276"/>
        <v>18.115800575554815</v>
      </c>
      <c r="N344" s="19">
        <f t="shared" si="277"/>
        <v>18.115800575554815</v>
      </c>
      <c r="O344" s="16"/>
      <c r="P344" s="19">
        <f t="shared" si="278"/>
        <v>73.975136286000591</v>
      </c>
      <c r="Q344" s="19">
        <f t="shared" si="279"/>
        <v>583.55884398173566</v>
      </c>
      <c r="R344" s="19">
        <f t="shared" si="280"/>
        <v>0</v>
      </c>
      <c r="S344" s="19">
        <f t="shared" si="281"/>
        <v>0</v>
      </c>
      <c r="T344" s="19">
        <f t="shared" si="282"/>
        <v>0</v>
      </c>
      <c r="U344" s="16"/>
      <c r="V344" s="19">
        <f t="shared" si="283"/>
        <v>657.5339802677363</v>
      </c>
      <c r="W344" s="16"/>
      <c r="X344" s="19">
        <f t="shared" si="284"/>
        <v>2.3530954618043207</v>
      </c>
      <c r="Y344" s="19">
        <f t="shared" si="285"/>
        <v>1.5339802677362968</v>
      </c>
      <c r="Z344" s="19"/>
      <c r="AA344" s="19">
        <f t="shared" si="286"/>
        <v>3.7896266117247288E-6</v>
      </c>
    </row>
    <row r="345" spans="2:27" x14ac:dyDescent="0.3">
      <c r="B345" s="27">
        <v>87.4</v>
      </c>
      <c r="C345" s="27">
        <v>664</v>
      </c>
      <c r="D345" s="19">
        <f t="shared" ref="D345:H345" si="325">1/C$23-LN(C$23)+$B345*C$22</f>
        <v>47.664980383805634</v>
      </c>
      <c r="E345" s="19">
        <f t="shared" si="325"/>
        <v>2.1778868285345832</v>
      </c>
      <c r="F345" s="19">
        <f t="shared" si="325"/>
        <v>21.042585092994045</v>
      </c>
      <c r="G345" s="19">
        <f t="shared" si="325"/>
        <v>21.042585092994045</v>
      </c>
      <c r="H345" s="19">
        <f t="shared" si="325"/>
        <v>21.042585092994045</v>
      </c>
      <c r="I345" s="16"/>
      <c r="J345" s="19">
        <f t="shared" si="273"/>
        <v>43.883443281078911</v>
      </c>
      <c r="K345" s="19">
        <f t="shared" si="274"/>
        <v>1.6669132598206162</v>
      </c>
      <c r="L345" s="19">
        <f t="shared" si="275"/>
        <v>18.144232359140677</v>
      </c>
      <c r="M345" s="19">
        <f t="shared" si="276"/>
        <v>18.144232359140677</v>
      </c>
      <c r="N345" s="19">
        <f t="shared" si="277"/>
        <v>18.144232359140677</v>
      </c>
      <c r="O345" s="16"/>
      <c r="P345" s="19">
        <f t="shared" si="278"/>
        <v>73.637462486595197</v>
      </c>
      <c r="Q345" s="19">
        <f t="shared" si="279"/>
        <v>582.57781144823059</v>
      </c>
      <c r="R345" s="19">
        <f t="shared" si="280"/>
        <v>0</v>
      </c>
      <c r="S345" s="19">
        <f t="shared" si="281"/>
        <v>0</v>
      </c>
      <c r="T345" s="19">
        <f t="shared" si="282"/>
        <v>0</v>
      </c>
      <c r="U345" s="16"/>
      <c r="V345" s="19">
        <f t="shared" si="283"/>
        <v>656.21527393482575</v>
      </c>
      <c r="W345" s="16"/>
      <c r="X345" s="19">
        <f t="shared" si="284"/>
        <v>60.601959909803433</v>
      </c>
      <c r="Y345" s="19">
        <f t="shared" si="285"/>
        <v>7.7847260651742545</v>
      </c>
      <c r="Z345" s="19"/>
      <c r="AA345" s="19">
        <f t="shared" si="286"/>
        <v>1.9231802182896771E-5</v>
      </c>
    </row>
    <row r="346" spans="2:27" x14ac:dyDescent="0.3">
      <c r="B346" s="27">
        <v>87.699999999999989</v>
      </c>
      <c r="C346" s="27">
        <v>635</v>
      </c>
      <c r="D346" s="19">
        <f t="shared" ref="D346:H346" si="326">1/C$23-LN(C$23)+$B346*C$22</f>
        <v>47.768695134003792</v>
      </c>
      <c r="E346" s="19">
        <f t="shared" si="326"/>
        <v>2.1806474206297262</v>
      </c>
      <c r="F346" s="19">
        <f t="shared" si="326"/>
        <v>21.072585092994046</v>
      </c>
      <c r="G346" s="19">
        <f t="shared" si="326"/>
        <v>21.072585092994046</v>
      </c>
      <c r="H346" s="19">
        <f t="shared" si="326"/>
        <v>21.072585092994046</v>
      </c>
      <c r="I346" s="16"/>
      <c r="J346" s="19">
        <f t="shared" si="273"/>
        <v>43.984849880280301</v>
      </c>
      <c r="K346" s="19">
        <f t="shared" si="274"/>
        <v>1.6686390603577415</v>
      </c>
      <c r="L346" s="19">
        <f t="shared" si="275"/>
        <v>18.172666470108595</v>
      </c>
      <c r="M346" s="19">
        <f t="shared" si="276"/>
        <v>18.172666470108595</v>
      </c>
      <c r="N346" s="19">
        <f t="shared" si="277"/>
        <v>18.172666470108595</v>
      </c>
      <c r="O346" s="16"/>
      <c r="P346" s="19">
        <f t="shared" si="278"/>
        <v>73.302078376794867</v>
      </c>
      <c r="Q346" s="19">
        <f t="shared" si="279"/>
        <v>581.59891505785572</v>
      </c>
      <c r="R346" s="19">
        <f t="shared" si="280"/>
        <v>0</v>
      </c>
      <c r="S346" s="19">
        <f t="shared" si="281"/>
        <v>0</v>
      </c>
      <c r="T346" s="19">
        <f t="shared" si="282"/>
        <v>0</v>
      </c>
      <c r="U346" s="16"/>
      <c r="V346" s="19">
        <f t="shared" si="283"/>
        <v>654.90099343465056</v>
      </c>
      <c r="W346" s="16"/>
      <c r="X346" s="19">
        <f t="shared" si="284"/>
        <v>396.04953968600466</v>
      </c>
      <c r="Y346" s="19">
        <f t="shared" si="285"/>
        <v>19.900993434650559</v>
      </c>
      <c r="Z346" s="19"/>
      <c r="AA346" s="19">
        <f t="shared" si="286"/>
        <v>4.916447486707547E-5</v>
      </c>
    </row>
    <row r="347" spans="2:27" x14ac:dyDescent="0.3">
      <c r="B347" s="27">
        <v>88</v>
      </c>
      <c r="C347" s="27">
        <v>597</v>
      </c>
      <c r="D347" s="19">
        <f t="shared" ref="D347:H347" si="327">1/C$23-LN(C$23)+$B347*C$22</f>
        <v>47.872409884201964</v>
      </c>
      <c r="E347" s="19">
        <f t="shared" si="327"/>
        <v>2.1834080127248692</v>
      </c>
      <c r="F347" s="19">
        <f t="shared" si="327"/>
        <v>21.102585092994047</v>
      </c>
      <c r="G347" s="19">
        <f t="shared" si="327"/>
        <v>21.102585092994047</v>
      </c>
      <c r="H347" s="19">
        <f t="shared" si="327"/>
        <v>21.102585092994047</v>
      </c>
      <c r="I347" s="16"/>
      <c r="J347" s="19">
        <f t="shared" si="273"/>
        <v>44.086261676884902</v>
      </c>
      <c r="K347" s="19">
        <f t="shared" si="274"/>
        <v>1.6703655300046722</v>
      </c>
      <c r="L347" s="19">
        <f t="shared" si="275"/>
        <v>18.201102901750087</v>
      </c>
      <c r="M347" s="19">
        <f t="shared" si="276"/>
        <v>18.201102901750087</v>
      </c>
      <c r="N347" s="19">
        <f t="shared" si="277"/>
        <v>18.201102901750087</v>
      </c>
      <c r="O347" s="16"/>
      <c r="P347" s="19">
        <f t="shared" si="278"/>
        <v>72.968963417580923</v>
      </c>
      <c r="Q347" s="19">
        <f t="shared" si="279"/>
        <v>580.62214933186021</v>
      </c>
      <c r="R347" s="19">
        <f t="shared" si="280"/>
        <v>0</v>
      </c>
      <c r="S347" s="19">
        <f t="shared" si="281"/>
        <v>0</v>
      </c>
      <c r="T347" s="19">
        <f t="shared" si="282"/>
        <v>0</v>
      </c>
      <c r="U347" s="16"/>
      <c r="V347" s="19">
        <f t="shared" si="283"/>
        <v>653.59111274944109</v>
      </c>
      <c r="W347" s="16"/>
      <c r="X347" s="19">
        <f t="shared" si="284"/>
        <v>3202.5540422199542</v>
      </c>
      <c r="Y347" s="19">
        <f t="shared" si="285"/>
        <v>56.591112749441095</v>
      </c>
      <c r="Z347" s="19"/>
      <c r="AA347" s="19">
        <f t="shared" si="286"/>
        <v>1.3980570113778266E-4</v>
      </c>
    </row>
    <row r="348" spans="2:27" x14ac:dyDescent="0.3">
      <c r="B348" s="27">
        <v>88.199999999999989</v>
      </c>
      <c r="C348" s="27">
        <v>652</v>
      </c>
      <c r="D348" s="19">
        <f t="shared" ref="D348:H348" si="328">1/C$23-LN(C$23)+$B348*C$22</f>
        <v>47.941553051000739</v>
      </c>
      <c r="E348" s="19">
        <f t="shared" si="328"/>
        <v>2.1852484074549645</v>
      </c>
      <c r="F348" s="19">
        <f t="shared" si="328"/>
        <v>21.122585092994044</v>
      </c>
      <c r="G348" s="19">
        <f t="shared" si="328"/>
        <v>21.122585092994044</v>
      </c>
      <c r="H348" s="19">
        <f t="shared" si="328"/>
        <v>21.122585092994044</v>
      </c>
      <c r="I348" s="16"/>
      <c r="J348" s="19">
        <f t="shared" si="273"/>
        <v>44.15387241732541</v>
      </c>
      <c r="K348" s="19">
        <f t="shared" si="274"/>
        <v>1.6715168811976844</v>
      </c>
      <c r="L348" s="19">
        <f t="shared" si="275"/>
        <v>18.220061808807529</v>
      </c>
      <c r="M348" s="19">
        <f t="shared" si="276"/>
        <v>18.220061808807529</v>
      </c>
      <c r="N348" s="19">
        <f t="shared" si="277"/>
        <v>18.220061808807529</v>
      </c>
      <c r="O348" s="16"/>
      <c r="P348" s="19">
        <f t="shared" si="278"/>
        <v>72.748137378235924</v>
      </c>
      <c r="Q348" s="19">
        <f t="shared" si="279"/>
        <v>579.97215318514907</v>
      </c>
      <c r="R348" s="19">
        <f t="shared" si="280"/>
        <v>0</v>
      </c>
      <c r="S348" s="19">
        <f t="shared" si="281"/>
        <v>0</v>
      </c>
      <c r="T348" s="19">
        <f t="shared" si="282"/>
        <v>0</v>
      </c>
      <c r="U348" s="16"/>
      <c r="V348" s="19">
        <f t="shared" si="283"/>
        <v>652.72029056338499</v>
      </c>
      <c r="W348" s="16"/>
      <c r="X348" s="19">
        <f t="shared" si="284"/>
        <v>0.51881849570146965</v>
      </c>
      <c r="Y348" s="19">
        <f t="shared" si="285"/>
        <v>0.72029056338499231</v>
      </c>
      <c r="Z348" s="19"/>
      <c r="AA348" s="19">
        <f t="shared" si="286"/>
        <v>1.7794441979401064E-6</v>
      </c>
    </row>
    <row r="349" spans="2:27" x14ac:dyDescent="0.3">
      <c r="B349" s="27">
        <v>88.5</v>
      </c>
      <c r="C349" s="27">
        <v>636</v>
      </c>
      <c r="D349" s="19">
        <f t="shared" ref="D349:H349" si="329">1/C$23-LN(C$23)+$B349*C$22</f>
        <v>48.045267801198904</v>
      </c>
      <c r="E349" s="19">
        <f t="shared" si="329"/>
        <v>2.188008999550108</v>
      </c>
      <c r="F349" s="19">
        <f t="shared" si="329"/>
        <v>21.152585092994045</v>
      </c>
      <c r="G349" s="19">
        <f t="shared" si="329"/>
        <v>21.152585092994045</v>
      </c>
      <c r="H349" s="19">
        <f t="shared" si="329"/>
        <v>21.152585092994045</v>
      </c>
      <c r="I349" s="16"/>
      <c r="J349" s="19">
        <f t="shared" si="273"/>
        <v>44.255292825032747</v>
      </c>
      <c r="K349" s="19">
        <f t="shared" si="274"/>
        <v>1.6732444646811717</v>
      </c>
      <c r="L349" s="19">
        <f t="shared" si="275"/>
        <v>18.248502093407609</v>
      </c>
      <c r="M349" s="19">
        <f t="shared" si="276"/>
        <v>18.248502093407609</v>
      </c>
      <c r="N349" s="19">
        <f t="shared" si="277"/>
        <v>18.248502093407609</v>
      </c>
      <c r="O349" s="16"/>
      <c r="P349" s="19">
        <f t="shared" si="278"/>
        <v>72.418759314322202</v>
      </c>
      <c r="Q349" s="19">
        <f t="shared" si="279"/>
        <v>578.99892643387091</v>
      </c>
      <c r="R349" s="19">
        <f t="shared" si="280"/>
        <v>0</v>
      </c>
      <c r="S349" s="19">
        <f t="shared" si="281"/>
        <v>0</v>
      </c>
      <c r="T349" s="19">
        <f t="shared" si="282"/>
        <v>0</v>
      </c>
      <c r="U349" s="16"/>
      <c r="V349" s="19">
        <f t="shared" si="283"/>
        <v>651.41768574819309</v>
      </c>
      <c r="W349" s="16"/>
      <c r="X349" s="19">
        <f t="shared" si="284"/>
        <v>237.70503383003643</v>
      </c>
      <c r="Y349" s="19">
        <f t="shared" si="285"/>
        <v>15.417685748193094</v>
      </c>
      <c r="Z349" s="19"/>
      <c r="AA349" s="19">
        <f t="shared" si="286"/>
        <v>3.8088672606449546E-5</v>
      </c>
    </row>
    <row r="350" spans="2:27" x14ac:dyDescent="0.3">
      <c r="B350" s="27">
        <v>88.799999999999983</v>
      </c>
      <c r="C350" s="27">
        <v>629</v>
      </c>
      <c r="D350" s="19">
        <f t="shared" ref="D350:H350" si="330">1/C$23-LN(C$23)+$B350*C$22</f>
        <v>48.148982551397069</v>
      </c>
      <c r="E350" s="19">
        <f t="shared" si="330"/>
        <v>2.190769591645251</v>
      </c>
      <c r="F350" s="19">
        <f t="shared" si="330"/>
        <v>21.182585092994046</v>
      </c>
      <c r="G350" s="19">
        <f t="shared" si="330"/>
        <v>21.182585092994046</v>
      </c>
      <c r="H350" s="19">
        <f t="shared" si="330"/>
        <v>21.182585092994046</v>
      </c>
      <c r="I350" s="16"/>
      <c r="J350" s="19">
        <f t="shared" si="273"/>
        <v>44.356718368907721</v>
      </c>
      <c r="K350" s="19">
        <f t="shared" si="274"/>
        <v>1.6749727156594365</v>
      </c>
      <c r="L350" s="19">
        <f t="shared" si="275"/>
        <v>18.276944680930356</v>
      </c>
      <c r="M350" s="19">
        <f t="shared" si="276"/>
        <v>18.276944680930356</v>
      </c>
      <c r="N350" s="19">
        <f t="shared" si="277"/>
        <v>18.276944680930356</v>
      </c>
      <c r="O350" s="16"/>
      <c r="P350" s="19">
        <f t="shared" si="278"/>
        <v>72.09159674038024</v>
      </c>
      <c r="Q350" s="19">
        <f t="shared" si="279"/>
        <v>578.0278158132337</v>
      </c>
      <c r="R350" s="19">
        <f t="shared" si="280"/>
        <v>0</v>
      </c>
      <c r="S350" s="19">
        <f t="shared" si="281"/>
        <v>0</v>
      </c>
      <c r="T350" s="19">
        <f t="shared" si="282"/>
        <v>0</v>
      </c>
      <c r="U350" s="16"/>
      <c r="V350" s="19">
        <f t="shared" si="283"/>
        <v>650.11941255361398</v>
      </c>
      <c r="W350" s="16"/>
      <c r="X350" s="19">
        <f t="shared" si="284"/>
        <v>446.02958660974792</v>
      </c>
      <c r="Y350" s="19">
        <f t="shared" si="285"/>
        <v>21.119412553613984</v>
      </c>
      <c r="Z350" s="19"/>
      <c r="AA350" s="19">
        <f t="shared" si="286"/>
        <v>5.2174522398046545E-5</v>
      </c>
    </row>
    <row r="351" spans="2:27" x14ac:dyDescent="0.3">
      <c r="B351" s="27">
        <v>89.1</v>
      </c>
      <c r="C351" s="27">
        <v>605</v>
      </c>
      <c r="D351" s="19">
        <f t="shared" ref="D351:H351" si="331">1/C$23-LN(C$23)+$B351*C$22</f>
        <v>48.252697301595234</v>
      </c>
      <c r="E351" s="19">
        <f t="shared" si="331"/>
        <v>2.193530183740394</v>
      </c>
      <c r="F351" s="19">
        <f t="shared" si="331"/>
        <v>21.212585092994047</v>
      </c>
      <c r="G351" s="19">
        <f t="shared" si="331"/>
        <v>21.212585092994047</v>
      </c>
      <c r="H351" s="19">
        <f t="shared" si="331"/>
        <v>21.212585092994047</v>
      </c>
      <c r="I351" s="16"/>
      <c r="J351" s="19">
        <f t="shared" si="273"/>
        <v>44.458149026263584</v>
      </c>
      <c r="K351" s="19">
        <f t="shared" si="274"/>
        <v>1.6767016335276488</v>
      </c>
      <c r="L351" s="19">
        <f t="shared" si="275"/>
        <v>18.305389564770639</v>
      </c>
      <c r="M351" s="19">
        <f t="shared" si="276"/>
        <v>18.305389564770639</v>
      </c>
      <c r="N351" s="19">
        <f t="shared" si="277"/>
        <v>18.305389564770639</v>
      </c>
      <c r="O351" s="16"/>
      <c r="P351" s="19">
        <f t="shared" si="278"/>
        <v>71.766629941412106</v>
      </c>
      <c r="Q351" s="19">
        <f t="shared" si="279"/>
        <v>577.05881590154809</v>
      </c>
      <c r="R351" s="19">
        <f t="shared" si="280"/>
        <v>0</v>
      </c>
      <c r="S351" s="19">
        <f t="shared" si="281"/>
        <v>0</v>
      </c>
      <c r="T351" s="19">
        <f t="shared" si="282"/>
        <v>0</v>
      </c>
      <c r="U351" s="16"/>
      <c r="V351" s="19">
        <f t="shared" si="283"/>
        <v>648.82544584296022</v>
      </c>
      <c r="W351" s="16"/>
      <c r="X351" s="19">
        <f t="shared" si="284"/>
        <v>1920.6697033342393</v>
      </c>
      <c r="Y351" s="19">
        <f t="shared" si="285"/>
        <v>43.825445842960221</v>
      </c>
      <c r="Z351" s="19"/>
      <c r="AA351" s="19">
        <f t="shared" si="286"/>
        <v>1.0826871722559455E-4</v>
      </c>
    </row>
    <row r="352" spans="2:27" x14ac:dyDescent="0.3">
      <c r="B352" s="27">
        <v>89.4</v>
      </c>
      <c r="C352" s="27">
        <v>684</v>
      </c>
      <c r="D352" s="19">
        <f t="shared" ref="D352:H352" si="332">1/C$23-LN(C$23)+$B352*C$22</f>
        <v>48.356412051793399</v>
      </c>
      <c r="E352" s="19">
        <f t="shared" si="332"/>
        <v>2.1962907758355374</v>
      </c>
      <c r="F352" s="19">
        <f t="shared" si="332"/>
        <v>21.242585092994048</v>
      </c>
      <c r="G352" s="19">
        <f t="shared" si="332"/>
        <v>21.242585092994048</v>
      </c>
      <c r="H352" s="19">
        <f t="shared" si="332"/>
        <v>21.242585092994048</v>
      </c>
      <c r="I352" s="16"/>
      <c r="J352" s="19">
        <f t="shared" si="273"/>
        <v>44.559584774562438</v>
      </c>
      <c r="K352" s="19">
        <f t="shared" si="274"/>
        <v>1.6784312176814191</v>
      </c>
      <c r="L352" s="19">
        <f t="shared" si="275"/>
        <v>18.333836738351145</v>
      </c>
      <c r="M352" s="19">
        <f t="shared" si="276"/>
        <v>18.333836738351145</v>
      </c>
      <c r="N352" s="19">
        <f t="shared" si="277"/>
        <v>18.333836738351145</v>
      </c>
      <c r="O352" s="16"/>
      <c r="P352" s="19">
        <f t="shared" si="278"/>
        <v>71.44383942025415</v>
      </c>
      <c r="Q352" s="19">
        <f t="shared" si="279"/>
        <v>576.09192129257633</v>
      </c>
      <c r="R352" s="19">
        <f t="shared" si="280"/>
        <v>0</v>
      </c>
      <c r="S352" s="19">
        <f t="shared" si="281"/>
        <v>0</v>
      </c>
      <c r="T352" s="19">
        <f t="shared" si="282"/>
        <v>0</v>
      </c>
      <c r="U352" s="16"/>
      <c r="V352" s="19">
        <f t="shared" si="283"/>
        <v>647.53576071283044</v>
      </c>
      <c r="W352" s="16"/>
      <c r="X352" s="19">
        <f t="shared" si="284"/>
        <v>1329.6407467919601</v>
      </c>
      <c r="Y352" s="19">
        <f t="shared" si="285"/>
        <v>36.464239287169562</v>
      </c>
      <c r="Z352" s="19"/>
      <c r="AA352" s="19">
        <f t="shared" si="286"/>
        <v>9.0083200211484948E-5</v>
      </c>
    </row>
    <row r="353" spans="2:27" x14ac:dyDescent="0.3">
      <c r="B353" s="27">
        <v>89.699999999999989</v>
      </c>
      <c r="C353" s="27">
        <v>656</v>
      </c>
      <c r="D353" s="19">
        <f t="shared" ref="D353:H353" si="333">1/C$23-LN(C$23)+$B353*C$22</f>
        <v>48.460126801991564</v>
      </c>
      <c r="E353" s="19">
        <f t="shared" si="333"/>
        <v>2.1990513679306805</v>
      </c>
      <c r="F353" s="19">
        <f t="shared" si="333"/>
        <v>21.272585092994042</v>
      </c>
      <c r="G353" s="19">
        <f t="shared" si="333"/>
        <v>21.272585092994042</v>
      </c>
      <c r="H353" s="19">
        <f t="shared" si="333"/>
        <v>21.272585092994042</v>
      </c>
      <c r="I353" s="16"/>
      <c r="J353" s="19">
        <f t="shared" si="273"/>
        <v>44.661025591413903</v>
      </c>
      <c r="K353" s="19">
        <f t="shared" si="274"/>
        <v>1.6801614675167973</v>
      </c>
      <c r="L353" s="19">
        <f t="shared" si="275"/>
        <v>18.36228619512223</v>
      </c>
      <c r="M353" s="19">
        <f t="shared" si="276"/>
        <v>18.36228619512223</v>
      </c>
      <c r="N353" s="19">
        <f t="shared" si="277"/>
        <v>18.36228619512223</v>
      </c>
      <c r="O353" s="16"/>
      <c r="P353" s="19">
        <f t="shared" si="278"/>
        <v>71.123205894706061</v>
      </c>
      <c r="Q353" s="19">
        <f t="shared" si="279"/>
        <v>575.12712659548686</v>
      </c>
      <c r="R353" s="19">
        <f t="shared" si="280"/>
        <v>0</v>
      </c>
      <c r="S353" s="19">
        <f t="shared" si="281"/>
        <v>0</v>
      </c>
      <c r="T353" s="19">
        <f t="shared" si="282"/>
        <v>0</v>
      </c>
      <c r="U353" s="16"/>
      <c r="V353" s="19">
        <f t="shared" si="283"/>
        <v>646.25033249019293</v>
      </c>
      <c r="W353" s="16"/>
      <c r="X353" s="19">
        <f t="shared" si="284"/>
        <v>95.056016551787565</v>
      </c>
      <c r="Y353" s="19">
        <f t="shared" si="285"/>
        <v>9.7496675098070682</v>
      </c>
      <c r="Z353" s="19"/>
      <c r="AA353" s="19">
        <f t="shared" si="286"/>
        <v>2.4086098255459707E-5</v>
      </c>
    </row>
    <row r="354" spans="2:27" x14ac:dyDescent="0.3">
      <c r="B354" s="27">
        <v>90</v>
      </c>
      <c r="C354" s="27">
        <v>638</v>
      </c>
      <c r="D354" s="19">
        <f t="shared" ref="D354:H354" si="334">1/C$23-LN(C$23)+$B354*C$22</f>
        <v>48.563841552189729</v>
      </c>
      <c r="E354" s="19">
        <f t="shared" si="334"/>
        <v>2.2018119600258235</v>
      </c>
      <c r="F354" s="19">
        <f t="shared" si="334"/>
        <v>21.302585092994043</v>
      </c>
      <c r="G354" s="19">
        <f t="shared" si="334"/>
        <v>21.302585092994043</v>
      </c>
      <c r="H354" s="19">
        <f t="shared" si="334"/>
        <v>21.302585092994043</v>
      </c>
      <c r="I354" s="16"/>
      <c r="J354" s="19">
        <f t="shared" si="273"/>
        <v>44.76247145457387</v>
      </c>
      <c r="K354" s="19">
        <f t="shared" si="274"/>
        <v>1.6818923824302754</v>
      </c>
      <c r="L354" s="19">
        <f t="shared" si="275"/>
        <v>18.39073792856178</v>
      </c>
      <c r="M354" s="19">
        <f t="shared" si="276"/>
        <v>18.39073792856178</v>
      </c>
      <c r="N354" s="19">
        <f t="shared" si="277"/>
        <v>18.39073792856178</v>
      </c>
      <c r="O354" s="16"/>
      <c r="P354" s="19">
        <f t="shared" si="278"/>
        <v>70.804710294703483</v>
      </c>
      <c r="Q354" s="19">
        <f t="shared" si="279"/>
        <v>574.16442643480582</v>
      </c>
      <c r="R354" s="19">
        <f t="shared" si="280"/>
        <v>0</v>
      </c>
      <c r="S354" s="19">
        <f t="shared" si="281"/>
        <v>0</v>
      </c>
      <c r="T354" s="19">
        <f t="shared" si="282"/>
        <v>0</v>
      </c>
      <c r="U354" s="16"/>
      <c r="V354" s="19">
        <f t="shared" si="283"/>
        <v>644.96913672950927</v>
      </c>
      <c r="W354" s="16"/>
      <c r="X354" s="19">
        <f t="shared" si="284"/>
        <v>48.568866754595206</v>
      </c>
      <c r="Y354" s="19">
        <f t="shared" si="285"/>
        <v>6.9691367295092732</v>
      </c>
      <c r="Z354" s="19"/>
      <c r="AA354" s="19">
        <f t="shared" si="286"/>
        <v>1.7216926818668012E-5</v>
      </c>
    </row>
    <row r="355" spans="2:27" x14ac:dyDescent="0.3">
      <c r="B355" s="27">
        <v>90.199999999999989</v>
      </c>
      <c r="C355" s="27">
        <v>588</v>
      </c>
      <c r="D355" s="19">
        <f t="shared" ref="D355:H355" si="335">1/C$23-LN(C$23)+$B355*C$22</f>
        <v>48.63298471898851</v>
      </c>
      <c r="E355" s="19">
        <f t="shared" si="335"/>
        <v>2.2036523547559188</v>
      </c>
      <c r="F355" s="19">
        <f t="shared" si="335"/>
        <v>21.322585092994046</v>
      </c>
      <c r="G355" s="19">
        <f t="shared" si="335"/>
        <v>21.322585092994046</v>
      </c>
      <c r="H355" s="19">
        <f t="shared" si="335"/>
        <v>21.322585092994046</v>
      </c>
      <c r="I355" s="16"/>
      <c r="J355" s="19">
        <f t="shared" si="273"/>
        <v>44.830104822599502</v>
      </c>
      <c r="K355" s="19">
        <f t="shared" si="274"/>
        <v>1.6830466948959319</v>
      </c>
      <c r="L355" s="19">
        <f t="shared" si="275"/>
        <v>18.409707012462217</v>
      </c>
      <c r="M355" s="19">
        <f t="shared" si="276"/>
        <v>18.409707012462217</v>
      </c>
      <c r="N355" s="19">
        <f t="shared" si="277"/>
        <v>18.409707012462217</v>
      </c>
      <c r="O355" s="16"/>
      <c r="P355" s="19">
        <f t="shared" si="278"/>
        <v>70.593558308651637</v>
      </c>
      <c r="Q355" s="19">
        <f t="shared" si="279"/>
        <v>573.5237873114005</v>
      </c>
      <c r="R355" s="19">
        <f t="shared" si="280"/>
        <v>0</v>
      </c>
      <c r="S355" s="19">
        <f t="shared" si="281"/>
        <v>0</v>
      </c>
      <c r="T355" s="19">
        <f t="shared" si="282"/>
        <v>0</v>
      </c>
      <c r="U355" s="16"/>
      <c r="V355" s="19">
        <f t="shared" si="283"/>
        <v>644.11734562005211</v>
      </c>
      <c r="W355" s="16"/>
      <c r="X355" s="19">
        <f t="shared" si="284"/>
        <v>3149.1564794403812</v>
      </c>
      <c r="Y355" s="19">
        <f t="shared" si="285"/>
        <v>56.117345620052106</v>
      </c>
      <c r="Z355" s="19"/>
      <c r="AA355" s="19">
        <f t="shared" si="286"/>
        <v>1.3863528157042902E-4</v>
      </c>
    </row>
    <row r="356" spans="2:27" x14ac:dyDescent="0.3">
      <c r="B356" s="27">
        <v>90.5</v>
      </c>
      <c r="C356" s="27">
        <v>625</v>
      </c>
      <c r="D356" s="19">
        <f t="shared" ref="D356:H356" si="336">1/C$23-LN(C$23)+$B356*C$22</f>
        <v>48.736699469186675</v>
      </c>
      <c r="E356" s="19">
        <f t="shared" si="336"/>
        <v>2.2064129468510623</v>
      </c>
      <c r="F356" s="19">
        <f t="shared" si="336"/>
        <v>21.352585092994047</v>
      </c>
      <c r="G356" s="19">
        <f t="shared" si="336"/>
        <v>21.352585092994047</v>
      </c>
      <c r="H356" s="19">
        <f t="shared" si="336"/>
        <v>21.352585092994047</v>
      </c>
      <c r="I356" s="16"/>
      <c r="J356" s="19">
        <f t="shared" si="273"/>
        <v>44.931559047235538</v>
      </c>
      <c r="K356" s="19">
        <f t="shared" si="274"/>
        <v>1.6847787169329804</v>
      </c>
      <c r="L356" s="19">
        <f t="shared" si="275"/>
        <v>18.438162525929851</v>
      </c>
      <c r="M356" s="19">
        <f t="shared" si="276"/>
        <v>18.438162525929851</v>
      </c>
      <c r="N356" s="19">
        <f t="shared" si="277"/>
        <v>18.438162525929851</v>
      </c>
      <c r="O356" s="16"/>
      <c r="P356" s="19">
        <f t="shared" si="278"/>
        <v>70.278584107338943</v>
      </c>
      <c r="Q356" s="19">
        <f t="shared" si="279"/>
        <v>572.5645661408023</v>
      </c>
      <c r="R356" s="19">
        <f t="shared" si="280"/>
        <v>0</v>
      </c>
      <c r="S356" s="19">
        <f t="shared" si="281"/>
        <v>0</v>
      </c>
      <c r="T356" s="19">
        <f t="shared" si="282"/>
        <v>0</v>
      </c>
      <c r="U356" s="16"/>
      <c r="V356" s="19">
        <f t="shared" si="283"/>
        <v>642.84315024814123</v>
      </c>
      <c r="W356" s="16"/>
      <c r="X356" s="19">
        <f t="shared" si="284"/>
        <v>318.37801077774236</v>
      </c>
      <c r="Y356" s="19">
        <f t="shared" si="285"/>
        <v>17.843150248141228</v>
      </c>
      <c r="Z356" s="19"/>
      <c r="AA356" s="19">
        <f t="shared" si="286"/>
        <v>4.4080669379889901E-5</v>
      </c>
    </row>
    <row r="357" spans="2:27" x14ac:dyDescent="0.3">
      <c r="B357" s="27">
        <v>90.799999999999983</v>
      </c>
      <c r="C357" s="27">
        <v>655</v>
      </c>
      <c r="D357" s="19">
        <f t="shared" ref="D357:H357" si="337">1/C$23-LN(C$23)+$B357*C$22</f>
        <v>48.840414219384833</v>
      </c>
      <c r="E357" s="19">
        <f t="shared" si="337"/>
        <v>2.2091735389462053</v>
      </c>
      <c r="F357" s="19">
        <f t="shared" si="337"/>
        <v>21.382585092994042</v>
      </c>
      <c r="G357" s="19">
        <f t="shared" si="337"/>
        <v>21.382585092994042</v>
      </c>
      <c r="H357" s="19">
        <f t="shared" si="337"/>
        <v>21.382585092994042</v>
      </c>
      <c r="I357" s="16"/>
      <c r="J357" s="19">
        <f t="shared" si="273"/>
        <v>45.033018259567939</v>
      </c>
      <c r="K357" s="19">
        <f t="shared" si="274"/>
        <v>1.6865114024409342</v>
      </c>
      <c r="L357" s="19">
        <f t="shared" si="275"/>
        <v>18.466620298806994</v>
      </c>
      <c r="M357" s="19">
        <f t="shared" si="276"/>
        <v>18.466620298806994</v>
      </c>
      <c r="N357" s="19">
        <f t="shared" si="277"/>
        <v>18.466620298806994</v>
      </c>
      <c r="O357" s="16"/>
      <c r="P357" s="19">
        <f t="shared" si="278"/>
        <v>69.965697994137969</v>
      </c>
      <c r="Q357" s="19">
        <f t="shared" si="279"/>
        <v>571.60742524674754</v>
      </c>
      <c r="R357" s="19">
        <f t="shared" si="280"/>
        <v>0</v>
      </c>
      <c r="S357" s="19">
        <f t="shared" si="281"/>
        <v>0</v>
      </c>
      <c r="T357" s="19">
        <f t="shared" si="282"/>
        <v>0</v>
      </c>
      <c r="U357" s="16"/>
      <c r="V357" s="19">
        <f t="shared" si="283"/>
        <v>641.57312324088548</v>
      </c>
      <c r="W357" s="16"/>
      <c r="X357" s="19">
        <f t="shared" si="284"/>
        <v>180.28101950444966</v>
      </c>
      <c r="Y357" s="19">
        <f t="shared" si="285"/>
        <v>13.426876759114521</v>
      </c>
      <c r="Z357" s="19"/>
      <c r="AA357" s="19">
        <f t="shared" si="286"/>
        <v>3.317047197339557E-5</v>
      </c>
    </row>
    <row r="358" spans="2:27" x14ac:dyDescent="0.3">
      <c r="B358" s="27">
        <v>91.1</v>
      </c>
      <c r="C358" s="27">
        <v>628</v>
      </c>
      <c r="D358" s="19">
        <f t="shared" ref="D358:H358" si="338">1/C$23-LN(C$23)+$B358*C$22</f>
        <v>48.944128969583005</v>
      </c>
      <c r="E358" s="19">
        <f t="shared" si="338"/>
        <v>2.2119341310413487</v>
      </c>
      <c r="F358" s="19">
        <f t="shared" si="338"/>
        <v>21.412585092994043</v>
      </c>
      <c r="G358" s="19">
        <f t="shared" si="338"/>
        <v>21.412585092994043</v>
      </c>
      <c r="H358" s="19">
        <f t="shared" si="338"/>
        <v>21.412585092994043</v>
      </c>
      <c r="I358" s="16"/>
      <c r="J358" s="19">
        <f t="shared" si="273"/>
        <v>45.134482437878177</v>
      </c>
      <c r="K358" s="19">
        <f t="shared" si="274"/>
        <v>1.688244750817907</v>
      </c>
      <c r="L358" s="19">
        <f t="shared" si="275"/>
        <v>18.495080324671143</v>
      </c>
      <c r="M358" s="19">
        <f t="shared" si="276"/>
        <v>18.495080324671143</v>
      </c>
      <c r="N358" s="19">
        <f t="shared" si="277"/>
        <v>18.495080324671143</v>
      </c>
      <c r="O358" s="16"/>
      <c r="P358" s="19">
        <f t="shared" si="278"/>
        <v>69.654881653317616</v>
      </c>
      <c r="Q358" s="19">
        <f t="shared" si="279"/>
        <v>570.65235930967935</v>
      </c>
      <c r="R358" s="19">
        <f t="shared" si="280"/>
        <v>0</v>
      </c>
      <c r="S358" s="19">
        <f t="shared" si="281"/>
        <v>0</v>
      </c>
      <c r="T358" s="19">
        <f t="shared" si="282"/>
        <v>0</v>
      </c>
      <c r="U358" s="16"/>
      <c r="V358" s="19">
        <f t="shared" si="283"/>
        <v>640.30724096299696</v>
      </c>
      <c r="W358" s="16"/>
      <c r="X358" s="19">
        <f t="shared" si="284"/>
        <v>151.46818012127028</v>
      </c>
      <c r="Y358" s="19">
        <f t="shared" si="285"/>
        <v>12.307240962996957</v>
      </c>
      <c r="Z358" s="19"/>
      <c r="AA358" s="19">
        <f t="shared" si="286"/>
        <v>3.0404464028151175E-5</v>
      </c>
    </row>
    <row r="359" spans="2:27" x14ac:dyDescent="0.3">
      <c r="B359" s="27">
        <v>91.4</v>
      </c>
      <c r="C359" s="27">
        <v>646</v>
      </c>
      <c r="D359" s="19">
        <f t="shared" ref="D359:H359" si="339">1/C$23-LN(C$23)+$B359*C$22</f>
        <v>49.04784371978117</v>
      </c>
      <c r="E359" s="19">
        <f t="shared" si="339"/>
        <v>2.2146947231364917</v>
      </c>
      <c r="F359" s="19">
        <f t="shared" si="339"/>
        <v>21.442585092994044</v>
      </c>
      <c r="G359" s="19">
        <f t="shared" si="339"/>
        <v>21.442585092994044</v>
      </c>
      <c r="H359" s="19">
        <f t="shared" si="339"/>
        <v>21.442585092994044</v>
      </c>
      <c r="I359" s="16"/>
      <c r="J359" s="19">
        <f t="shared" si="273"/>
        <v>45.235951560588205</v>
      </c>
      <c r="K359" s="19">
        <f t="shared" si="274"/>
        <v>1.689978761462456</v>
      </c>
      <c r="L359" s="19">
        <f t="shared" si="275"/>
        <v>18.5235425971266</v>
      </c>
      <c r="M359" s="19">
        <f t="shared" si="276"/>
        <v>18.5235425971266</v>
      </c>
      <c r="N359" s="19">
        <f t="shared" si="277"/>
        <v>18.5235425971266</v>
      </c>
      <c r="O359" s="16"/>
      <c r="P359" s="19">
        <f t="shared" si="278"/>
        <v>69.346116968647735</v>
      </c>
      <c r="Q359" s="19">
        <f t="shared" si="279"/>
        <v>569.69936302518329</v>
      </c>
      <c r="R359" s="19">
        <f t="shared" si="280"/>
        <v>0</v>
      </c>
      <c r="S359" s="19">
        <f t="shared" si="281"/>
        <v>0</v>
      </c>
      <c r="T359" s="19">
        <f t="shared" si="282"/>
        <v>0</v>
      </c>
      <c r="U359" s="16"/>
      <c r="V359" s="19">
        <f t="shared" si="283"/>
        <v>639.04547999383101</v>
      </c>
      <c r="W359" s="16"/>
      <c r="X359" s="19">
        <f t="shared" si="284"/>
        <v>48.365348516204747</v>
      </c>
      <c r="Y359" s="19">
        <f t="shared" si="285"/>
        <v>6.9545200061689911</v>
      </c>
      <c r="Z359" s="19"/>
      <c r="AA359" s="19">
        <f t="shared" si="286"/>
        <v>1.7180816886283878E-5</v>
      </c>
    </row>
    <row r="360" spans="2:27" x14ac:dyDescent="0.3">
      <c r="B360" s="27">
        <v>91.699999999999989</v>
      </c>
      <c r="C360" s="27">
        <v>616</v>
      </c>
      <c r="D360" s="19">
        <f t="shared" ref="D360:H360" si="340">1/C$23-LN(C$23)+$B360*C$22</f>
        <v>49.151558469979335</v>
      </c>
      <c r="E360" s="19">
        <f t="shared" si="340"/>
        <v>2.2174553152316347</v>
      </c>
      <c r="F360" s="19">
        <f t="shared" si="340"/>
        <v>21.472585092994045</v>
      </c>
      <c r="G360" s="19">
        <f t="shared" si="340"/>
        <v>21.472585092994045</v>
      </c>
      <c r="H360" s="19">
        <f t="shared" si="340"/>
        <v>21.472585092994045</v>
      </c>
      <c r="I360" s="16"/>
      <c r="J360" s="19">
        <f t="shared" si="273"/>
        <v>45.337425606259245</v>
      </c>
      <c r="K360" s="19">
        <f t="shared" si="274"/>
        <v>1.6917134337735826</v>
      </c>
      <c r="L360" s="19">
        <f t="shared" si="275"/>
        <v>18.552007109804347</v>
      </c>
      <c r="M360" s="19">
        <f t="shared" si="276"/>
        <v>18.552007109804347</v>
      </c>
      <c r="N360" s="19">
        <f t="shared" si="277"/>
        <v>18.552007109804347</v>
      </c>
      <c r="O360" s="16"/>
      <c r="P360" s="19">
        <f t="shared" si="278"/>
        <v>69.039386020806873</v>
      </c>
      <c r="Q360" s="19">
        <f t="shared" si="279"/>
        <v>568.74843110394136</v>
      </c>
      <c r="R360" s="19">
        <f t="shared" si="280"/>
        <v>0</v>
      </c>
      <c r="S360" s="19">
        <f t="shared" si="281"/>
        <v>0</v>
      </c>
      <c r="T360" s="19">
        <f t="shared" si="282"/>
        <v>0</v>
      </c>
      <c r="U360" s="16"/>
      <c r="V360" s="19">
        <f t="shared" si="283"/>
        <v>637.78781712474824</v>
      </c>
      <c r="W360" s="16"/>
      <c r="X360" s="19">
        <f t="shared" si="284"/>
        <v>474.70897506147287</v>
      </c>
      <c r="Y360" s="19">
        <f t="shared" si="285"/>
        <v>21.787817124748244</v>
      </c>
      <c r="Z360" s="19"/>
      <c r="AA360" s="19">
        <f t="shared" si="286"/>
        <v>5.3825784675303101E-5</v>
      </c>
    </row>
    <row r="361" spans="2:27" x14ac:dyDescent="0.3">
      <c r="B361" s="27">
        <v>92</v>
      </c>
      <c r="C361" s="27">
        <v>638</v>
      </c>
      <c r="D361" s="19">
        <f t="shared" ref="D361:H361" si="341">1/C$23-LN(C$23)+$B361*C$22</f>
        <v>49.2552732201775</v>
      </c>
      <c r="E361" s="19">
        <f t="shared" si="341"/>
        <v>2.2202159073267782</v>
      </c>
      <c r="F361" s="19">
        <f t="shared" si="341"/>
        <v>21.502585092994046</v>
      </c>
      <c r="G361" s="19">
        <f t="shared" si="341"/>
        <v>21.502585092994046</v>
      </c>
      <c r="H361" s="19">
        <f t="shared" si="341"/>
        <v>21.502585092994046</v>
      </c>
      <c r="I361" s="16"/>
      <c r="J361" s="19">
        <f t="shared" si="273"/>
        <v>45.438904553590611</v>
      </c>
      <c r="K361" s="19">
        <f t="shared" si="274"/>
        <v>1.6934487671507328</v>
      </c>
      <c r="L361" s="19">
        <f t="shared" si="275"/>
        <v>18.580473856361881</v>
      </c>
      <c r="M361" s="19">
        <f t="shared" si="276"/>
        <v>18.580473856361881</v>
      </c>
      <c r="N361" s="19">
        <f t="shared" si="277"/>
        <v>18.580473856361881</v>
      </c>
      <c r="O361" s="16"/>
      <c r="P361" s="19">
        <f t="shared" si="278"/>
        <v>68.734671084828918</v>
      </c>
      <c r="Q361" s="19">
        <f t="shared" si="279"/>
        <v>567.79955827168601</v>
      </c>
      <c r="R361" s="19">
        <f t="shared" si="280"/>
        <v>0</v>
      </c>
      <c r="S361" s="19">
        <f t="shared" si="281"/>
        <v>0</v>
      </c>
      <c r="T361" s="19">
        <f t="shared" si="282"/>
        <v>0</v>
      </c>
      <c r="U361" s="16"/>
      <c r="V361" s="19">
        <f t="shared" si="283"/>
        <v>636.53422935651497</v>
      </c>
      <c r="W361" s="16"/>
      <c r="X361" s="19">
        <f t="shared" si="284"/>
        <v>2.1484835793025181</v>
      </c>
      <c r="Y361" s="19">
        <f t="shared" si="285"/>
        <v>1.4657706434850297</v>
      </c>
      <c r="Z361" s="19"/>
      <c r="AA361" s="19">
        <f t="shared" si="286"/>
        <v>3.6211179205276771E-6</v>
      </c>
    </row>
    <row r="362" spans="2:27" x14ac:dyDescent="0.3">
      <c r="B362" s="27">
        <v>92.199999999999989</v>
      </c>
      <c r="C362" s="27">
        <v>632</v>
      </c>
      <c r="D362" s="19">
        <f t="shared" ref="D362:H362" si="342">1/C$23-LN(C$23)+$B362*C$22</f>
        <v>49.324416386976274</v>
      </c>
      <c r="E362" s="19">
        <f t="shared" si="342"/>
        <v>2.2220563020568735</v>
      </c>
      <c r="F362" s="19">
        <f t="shared" si="342"/>
        <v>21.522585092994042</v>
      </c>
      <c r="G362" s="19">
        <f t="shared" si="342"/>
        <v>21.522585092994042</v>
      </c>
      <c r="H362" s="19">
        <f t="shared" si="342"/>
        <v>21.522585092994042</v>
      </c>
      <c r="I362" s="16"/>
      <c r="J362" s="19">
        <f t="shared" si="273"/>
        <v>45.506559897832645</v>
      </c>
      <c r="K362" s="19">
        <f t="shared" si="274"/>
        <v>1.6946060230313666</v>
      </c>
      <c r="L362" s="19">
        <f t="shared" si="275"/>
        <v>18.599452925324414</v>
      </c>
      <c r="M362" s="19">
        <f t="shared" si="276"/>
        <v>18.599452925324414</v>
      </c>
      <c r="N362" s="19">
        <f t="shared" si="277"/>
        <v>18.599452925324414</v>
      </c>
      <c r="O362" s="16"/>
      <c r="P362" s="19">
        <f t="shared" si="278"/>
        <v>68.532639134614101</v>
      </c>
      <c r="Q362" s="19">
        <f t="shared" si="279"/>
        <v>567.16811772405913</v>
      </c>
      <c r="R362" s="19">
        <f t="shared" si="280"/>
        <v>0</v>
      </c>
      <c r="S362" s="19">
        <f t="shared" si="281"/>
        <v>0</v>
      </c>
      <c r="T362" s="19">
        <f t="shared" si="282"/>
        <v>0</v>
      </c>
      <c r="U362" s="16"/>
      <c r="V362" s="19">
        <f t="shared" si="283"/>
        <v>635.70075685867323</v>
      </c>
      <c r="W362" s="16"/>
      <c r="X362" s="19">
        <f t="shared" si="284"/>
        <v>13.695601327016957</v>
      </c>
      <c r="Y362" s="19">
        <f t="shared" si="285"/>
        <v>3.7007568586732305</v>
      </c>
      <c r="Z362" s="19"/>
      <c r="AA362" s="19">
        <f t="shared" si="286"/>
        <v>9.1425469871570759E-6</v>
      </c>
    </row>
    <row r="363" spans="2:27" x14ac:dyDescent="0.3">
      <c r="B363" s="27">
        <v>92.5</v>
      </c>
      <c r="C363" s="27">
        <v>587</v>
      </c>
      <c r="D363" s="19">
        <f t="shared" ref="D363:H363" si="343">1/C$23-LN(C$23)+$B363*C$22</f>
        <v>49.428131137174447</v>
      </c>
      <c r="E363" s="19">
        <f t="shared" si="343"/>
        <v>2.224816894152017</v>
      </c>
      <c r="F363" s="19">
        <f t="shared" si="343"/>
        <v>21.552585092994043</v>
      </c>
      <c r="G363" s="19">
        <f t="shared" si="343"/>
        <v>21.552585092994043</v>
      </c>
      <c r="H363" s="19">
        <f t="shared" si="343"/>
        <v>21.552585092994043</v>
      </c>
      <c r="I363" s="16"/>
      <c r="J363" s="19">
        <f t="shared" si="273"/>
        <v>45.60804696763438</v>
      </c>
      <c r="K363" s="19">
        <f t="shared" si="274"/>
        <v>1.6963424568518672</v>
      </c>
      <c r="L363" s="19">
        <f t="shared" si="275"/>
        <v>18.627923380992094</v>
      </c>
      <c r="M363" s="19">
        <f t="shared" si="276"/>
        <v>18.627923380992094</v>
      </c>
      <c r="N363" s="19">
        <f t="shared" si="277"/>
        <v>18.627923380992094</v>
      </c>
      <c r="O363" s="16"/>
      <c r="P363" s="19">
        <f t="shared" si="278"/>
        <v>68.231245349519767</v>
      </c>
      <c r="Q363" s="19">
        <f t="shared" si="279"/>
        <v>566.22266502692196</v>
      </c>
      <c r="R363" s="19">
        <f t="shared" si="280"/>
        <v>0</v>
      </c>
      <c r="S363" s="19">
        <f t="shared" si="281"/>
        <v>0</v>
      </c>
      <c r="T363" s="19">
        <f t="shared" si="282"/>
        <v>0</v>
      </c>
      <c r="U363" s="16"/>
      <c r="V363" s="19">
        <f t="shared" si="283"/>
        <v>634.45391037644174</v>
      </c>
      <c r="W363" s="16"/>
      <c r="X363" s="19">
        <f t="shared" si="284"/>
        <v>2251.8736100153651</v>
      </c>
      <c r="Y363" s="19">
        <f t="shared" si="285"/>
        <v>47.45391037644174</v>
      </c>
      <c r="Z363" s="19"/>
      <c r="AA363" s="19">
        <f t="shared" si="286"/>
        <v>1.1723266939955089E-4</v>
      </c>
    </row>
    <row r="364" spans="2:27" x14ac:dyDescent="0.3">
      <c r="B364" s="27">
        <v>92.799999999999983</v>
      </c>
      <c r="C364" s="27">
        <v>629</v>
      </c>
      <c r="D364" s="19">
        <f t="shared" ref="D364:H364" si="344">1/C$23-LN(C$23)+$B364*C$22</f>
        <v>49.531845887372604</v>
      </c>
      <c r="E364" s="19">
        <f t="shared" si="344"/>
        <v>2.22757748624716</v>
      </c>
      <c r="F364" s="19">
        <f t="shared" si="344"/>
        <v>21.582585092994044</v>
      </c>
      <c r="G364" s="19">
        <f t="shared" si="344"/>
        <v>21.582585092994044</v>
      </c>
      <c r="H364" s="19">
        <f t="shared" si="344"/>
        <v>21.582585092994044</v>
      </c>
      <c r="I364" s="16"/>
      <c r="J364" s="19">
        <f t="shared" si="273"/>
        <v>45.709538882960807</v>
      </c>
      <c r="K364" s="19">
        <f t="shared" si="274"/>
        <v>1.6980795501390913</v>
      </c>
      <c r="L364" s="19">
        <f t="shared" si="275"/>
        <v>18.656396053754836</v>
      </c>
      <c r="M364" s="19">
        <f t="shared" si="276"/>
        <v>18.656396053754836</v>
      </c>
      <c r="N364" s="19">
        <f t="shared" si="277"/>
        <v>18.656396053754836</v>
      </c>
      <c r="O364" s="16"/>
      <c r="P364" s="19">
        <f t="shared" si="278"/>
        <v>67.931821240887757</v>
      </c>
      <c r="Q364" s="19">
        <f t="shared" si="279"/>
        <v>565.2792574272936</v>
      </c>
      <c r="R364" s="19">
        <f t="shared" si="280"/>
        <v>0</v>
      </c>
      <c r="S364" s="19">
        <f t="shared" si="281"/>
        <v>0</v>
      </c>
      <c r="T364" s="19">
        <f t="shared" si="282"/>
        <v>0</v>
      </c>
      <c r="U364" s="16"/>
      <c r="V364" s="19">
        <f t="shared" si="283"/>
        <v>633.21107866818136</v>
      </c>
      <c r="W364" s="16"/>
      <c r="X364" s="19">
        <f t="shared" si="284"/>
        <v>17.733183549612079</v>
      </c>
      <c r="Y364" s="19">
        <f t="shared" si="285"/>
        <v>4.2110786681813579</v>
      </c>
      <c r="Z364" s="19"/>
      <c r="AA364" s="19">
        <f t="shared" si="286"/>
        <v>1.0403273184573831E-5</v>
      </c>
    </row>
    <row r="365" spans="2:27" x14ac:dyDescent="0.3">
      <c r="B365" s="27">
        <v>93.1</v>
      </c>
      <c r="C365" s="27">
        <v>649</v>
      </c>
      <c r="D365" s="19">
        <f t="shared" ref="D365:H365" si="345">1/C$23-LN(C$23)+$B365*C$22</f>
        <v>49.635560637570769</v>
      </c>
      <c r="E365" s="19">
        <f t="shared" si="345"/>
        <v>2.230338078342303</v>
      </c>
      <c r="F365" s="19">
        <f t="shared" si="345"/>
        <v>21.612585092994046</v>
      </c>
      <c r="G365" s="19">
        <f t="shared" si="345"/>
        <v>21.612585092994046</v>
      </c>
      <c r="H365" s="19">
        <f t="shared" si="345"/>
        <v>21.612585092994046</v>
      </c>
      <c r="I365" s="16"/>
      <c r="J365" s="19">
        <f t="shared" si="273"/>
        <v>45.811035623007598</v>
      </c>
      <c r="K365" s="19">
        <f t="shared" si="274"/>
        <v>1.6998173022941185</v>
      </c>
      <c r="L365" s="19">
        <f t="shared" si="275"/>
        <v>18.684870937366181</v>
      </c>
      <c r="M365" s="19">
        <f t="shared" si="276"/>
        <v>18.684870937366181</v>
      </c>
      <c r="N365" s="19">
        <f t="shared" si="277"/>
        <v>18.684870937366181</v>
      </c>
      <c r="O365" s="16"/>
      <c r="P365" s="19">
        <f t="shared" si="278"/>
        <v>67.634349775157332</v>
      </c>
      <c r="Q365" s="19">
        <f t="shared" si="279"/>
        <v>564.33788970570367</v>
      </c>
      <c r="R365" s="19">
        <f t="shared" si="280"/>
        <v>0</v>
      </c>
      <c r="S365" s="19">
        <f t="shared" si="281"/>
        <v>0</v>
      </c>
      <c r="T365" s="19">
        <f t="shared" si="282"/>
        <v>0</v>
      </c>
      <c r="U365" s="16"/>
      <c r="V365" s="19">
        <f t="shared" si="283"/>
        <v>631.97223948086105</v>
      </c>
      <c r="W365" s="16"/>
      <c r="X365" s="19">
        <f t="shared" si="284"/>
        <v>289.94462829714718</v>
      </c>
      <c r="Y365" s="19">
        <f t="shared" si="285"/>
        <v>17.027760519138951</v>
      </c>
      <c r="Z365" s="19"/>
      <c r="AA365" s="19">
        <f t="shared" si="286"/>
        <v>4.2066287134599348E-5</v>
      </c>
    </row>
    <row r="366" spans="2:27" x14ac:dyDescent="0.3">
      <c r="B366" s="27">
        <v>93.4</v>
      </c>
      <c r="C366" s="27">
        <v>650</v>
      </c>
      <c r="D366" s="19">
        <f t="shared" ref="D366:H366" si="346">1/C$23-LN(C$23)+$B366*C$22</f>
        <v>49.739275387768942</v>
      </c>
      <c r="E366" s="19">
        <f t="shared" si="346"/>
        <v>2.233098670437446</v>
      </c>
      <c r="F366" s="19">
        <f t="shared" si="346"/>
        <v>21.642585092994047</v>
      </c>
      <c r="G366" s="19">
        <f t="shared" si="346"/>
        <v>21.642585092994047</v>
      </c>
      <c r="H366" s="19">
        <f t="shared" si="346"/>
        <v>21.642585092994047</v>
      </c>
      <c r="I366" s="16"/>
      <c r="J366" s="19">
        <f t="shared" si="273"/>
        <v>45.912537167103132</v>
      </c>
      <c r="K366" s="19">
        <f t="shared" si="274"/>
        <v>1.7015557127184771</v>
      </c>
      <c r="L366" s="19">
        <f t="shared" si="275"/>
        <v>18.713348025605526</v>
      </c>
      <c r="M366" s="19">
        <f t="shared" si="276"/>
        <v>18.713348025605526</v>
      </c>
      <c r="N366" s="19">
        <f t="shared" si="277"/>
        <v>18.713348025605526</v>
      </c>
      <c r="O366" s="16"/>
      <c r="P366" s="19">
        <f t="shared" si="278"/>
        <v>67.338814101705353</v>
      </c>
      <c r="Q366" s="19">
        <f t="shared" si="279"/>
        <v>563.39855665752043</v>
      </c>
      <c r="R366" s="19">
        <f t="shared" si="280"/>
        <v>0</v>
      </c>
      <c r="S366" s="19">
        <f t="shared" si="281"/>
        <v>0</v>
      </c>
      <c r="T366" s="19">
        <f t="shared" si="282"/>
        <v>0</v>
      </c>
      <c r="U366" s="16"/>
      <c r="V366" s="19">
        <f t="shared" si="283"/>
        <v>630.73737075922577</v>
      </c>
      <c r="W366" s="16"/>
      <c r="X366" s="19">
        <f t="shared" si="284"/>
        <v>371.04888526753041</v>
      </c>
      <c r="Y366" s="19">
        <f t="shared" si="285"/>
        <v>19.262629240774231</v>
      </c>
      <c r="Z366" s="19"/>
      <c r="AA366" s="19">
        <f t="shared" si="286"/>
        <v>4.7587425938893426E-5</v>
      </c>
    </row>
    <row r="367" spans="2:27" x14ac:dyDescent="0.3">
      <c r="B367" s="27">
        <v>93.699999999999989</v>
      </c>
      <c r="C367" s="27">
        <v>681</v>
      </c>
      <c r="D367" s="19">
        <f t="shared" ref="D367:H367" si="347">1/C$23-LN(C$23)+$B367*C$22</f>
        <v>49.842990137967099</v>
      </c>
      <c r="E367" s="19">
        <f t="shared" si="347"/>
        <v>2.235859262532589</v>
      </c>
      <c r="F367" s="19">
        <f t="shared" si="347"/>
        <v>21.672585092994044</v>
      </c>
      <c r="G367" s="19">
        <f t="shared" si="347"/>
        <v>21.672585092994044</v>
      </c>
      <c r="H367" s="19">
        <f t="shared" si="347"/>
        <v>21.672585092994044</v>
      </c>
      <c r="I367" s="16"/>
      <c r="J367" s="19">
        <f t="shared" si="273"/>
        <v>46.014043494707337</v>
      </c>
      <c r="K367" s="19">
        <f t="shared" si="274"/>
        <v>1.7032947808141405</v>
      </c>
      <c r="L367" s="19">
        <f t="shared" si="275"/>
        <v>18.741827312277984</v>
      </c>
      <c r="M367" s="19">
        <f t="shared" si="276"/>
        <v>18.741827312277984</v>
      </c>
      <c r="N367" s="19">
        <f t="shared" si="277"/>
        <v>18.741827312277984</v>
      </c>
      <c r="O367" s="16"/>
      <c r="P367" s="19">
        <f t="shared" si="278"/>
        <v>67.045197550502238</v>
      </c>
      <c r="Q367" s="19">
        <f t="shared" si="279"/>
        <v>562.46125309290676</v>
      </c>
      <c r="R367" s="19">
        <f t="shared" si="280"/>
        <v>0</v>
      </c>
      <c r="S367" s="19">
        <f t="shared" si="281"/>
        <v>0</v>
      </c>
      <c r="T367" s="19">
        <f t="shared" si="282"/>
        <v>0</v>
      </c>
      <c r="U367" s="16"/>
      <c r="V367" s="19">
        <f t="shared" si="283"/>
        <v>629.50645064340904</v>
      </c>
      <c r="W367" s="16"/>
      <c r="X367" s="19">
        <f t="shared" si="284"/>
        <v>2651.5856253396691</v>
      </c>
      <c r="Y367" s="19">
        <f t="shared" si="285"/>
        <v>51.493549356590961</v>
      </c>
      <c r="Z367" s="19"/>
      <c r="AA367" s="19">
        <f t="shared" si="286"/>
        <v>1.2721240884139208E-4</v>
      </c>
    </row>
    <row r="368" spans="2:27" x14ac:dyDescent="0.3">
      <c r="B368" s="27">
        <v>94</v>
      </c>
      <c r="C368" s="27">
        <v>605</v>
      </c>
      <c r="D368" s="19">
        <f t="shared" ref="D368:H368" si="348">1/C$23-LN(C$23)+$B368*C$22</f>
        <v>49.946704888165264</v>
      </c>
      <c r="E368" s="19">
        <f t="shared" si="348"/>
        <v>2.2386198546277325</v>
      </c>
      <c r="F368" s="19">
        <f t="shared" si="348"/>
        <v>21.702585092994045</v>
      </c>
      <c r="G368" s="19">
        <f t="shared" si="348"/>
        <v>21.702585092994045</v>
      </c>
      <c r="H368" s="19">
        <f t="shared" si="348"/>
        <v>21.702585092994045</v>
      </c>
      <c r="I368" s="16"/>
      <c r="J368" s="19">
        <f t="shared" si="273"/>
        <v>46.115554585410663</v>
      </c>
      <c r="K368" s="19">
        <f t="shared" si="274"/>
        <v>1.7050345059835317</v>
      </c>
      <c r="L368" s="19">
        <f t="shared" si="275"/>
        <v>18.770308791214259</v>
      </c>
      <c r="M368" s="19">
        <f t="shared" si="276"/>
        <v>18.770308791214259</v>
      </c>
      <c r="N368" s="19">
        <f t="shared" si="277"/>
        <v>18.770308791214259</v>
      </c>
      <c r="O368" s="16"/>
      <c r="P368" s="19">
        <f t="shared" si="278"/>
        <v>66.753483629802588</v>
      </c>
      <c r="Q368" s="19">
        <f t="shared" si="279"/>
        <v>561.52597383677448</v>
      </c>
      <c r="R368" s="19">
        <f t="shared" si="280"/>
        <v>0</v>
      </c>
      <c r="S368" s="19">
        <f t="shared" si="281"/>
        <v>0</v>
      </c>
      <c r="T368" s="19">
        <f t="shared" si="282"/>
        <v>0</v>
      </c>
      <c r="U368" s="16"/>
      <c r="V368" s="19">
        <f t="shared" si="283"/>
        <v>628.27945746657701</v>
      </c>
      <c r="W368" s="16"/>
      <c r="X368" s="19">
        <f t="shared" si="284"/>
        <v>541.93313993816832</v>
      </c>
      <c r="Y368" s="19">
        <f t="shared" si="285"/>
        <v>23.279457466577014</v>
      </c>
      <c r="Z368" s="19"/>
      <c r="AA368" s="19">
        <f t="shared" si="286"/>
        <v>5.7510812477426188E-5</v>
      </c>
    </row>
    <row r="369" spans="2:27" x14ac:dyDescent="0.3">
      <c r="B369" s="27">
        <v>94.199999999999989</v>
      </c>
      <c r="C369" s="27">
        <v>660</v>
      </c>
      <c r="D369" s="19">
        <f t="shared" ref="D369:H369" si="349">1/C$23-LN(C$23)+$B369*C$22</f>
        <v>50.015848054964039</v>
      </c>
      <c r="E369" s="19">
        <f t="shared" si="349"/>
        <v>2.2404602493578278</v>
      </c>
      <c r="F369" s="19">
        <f t="shared" si="349"/>
        <v>21.722585092994045</v>
      </c>
      <c r="G369" s="19">
        <f t="shared" si="349"/>
        <v>21.722585092994045</v>
      </c>
      <c r="H369" s="19">
        <f t="shared" si="349"/>
        <v>21.722585092994045</v>
      </c>
      <c r="I369" s="16"/>
      <c r="J369" s="19">
        <f t="shared" si="273"/>
        <v>46.183231282025517</v>
      </c>
      <c r="K369" s="19">
        <f t="shared" si="274"/>
        <v>1.7061946875091885</v>
      </c>
      <c r="L369" s="19">
        <f t="shared" si="275"/>
        <v>18.789297658727733</v>
      </c>
      <c r="M369" s="19">
        <f t="shared" si="276"/>
        <v>18.789297658727733</v>
      </c>
      <c r="N369" s="19">
        <f t="shared" si="277"/>
        <v>18.789297658727733</v>
      </c>
      <c r="O369" s="16"/>
      <c r="P369" s="19">
        <f t="shared" si="278"/>
        <v>66.560056635286998</v>
      </c>
      <c r="Q369" s="19">
        <f t="shared" si="279"/>
        <v>560.90357639956801</v>
      </c>
      <c r="R369" s="19">
        <f t="shared" si="280"/>
        <v>0</v>
      </c>
      <c r="S369" s="19">
        <f t="shared" si="281"/>
        <v>0</v>
      </c>
      <c r="T369" s="19">
        <f t="shared" si="282"/>
        <v>0</v>
      </c>
      <c r="U369" s="16"/>
      <c r="V369" s="19">
        <f t="shared" si="283"/>
        <v>627.46363303485498</v>
      </c>
      <c r="W369" s="16"/>
      <c r="X369" s="19">
        <f t="shared" si="284"/>
        <v>1058.6151752905803</v>
      </c>
      <c r="Y369" s="19">
        <f t="shared" si="285"/>
        <v>32.536366965145021</v>
      </c>
      <c r="Z369" s="19"/>
      <c r="AA369" s="19">
        <f t="shared" si="286"/>
        <v>8.0379575078830975E-5</v>
      </c>
    </row>
    <row r="370" spans="2:27" x14ac:dyDescent="0.3">
      <c r="B370" s="27">
        <v>94.5</v>
      </c>
      <c r="C370" s="27">
        <v>570</v>
      </c>
      <c r="D370" s="19">
        <f t="shared" ref="D370:H370" si="350">1/C$23-LN(C$23)+$B370*C$22</f>
        <v>50.119562805162211</v>
      </c>
      <c r="E370" s="19">
        <f t="shared" si="350"/>
        <v>2.2432208414529713</v>
      </c>
      <c r="F370" s="19">
        <f t="shared" si="350"/>
        <v>21.752585092994046</v>
      </c>
      <c r="G370" s="19">
        <f t="shared" si="350"/>
        <v>21.752585092994046</v>
      </c>
      <c r="H370" s="19">
        <f t="shared" si="350"/>
        <v>21.752585092994046</v>
      </c>
      <c r="I370" s="16"/>
      <c r="J370" s="19">
        <f t="shared" ref="J370:J433" si="351">lmb_2(D370)</f>
        <v>46.284750266223682</v>
      </c>
      <c r="K370" s="19">
        <f t="shared" ref="K370:K433" si="352">lmb_2(E370)</f>
        <v>1.7079355064747264</v>
      </c>
      <c r="L370" s="19">
        <f t="shared" ref="L370:L433" si="353">lmb_2(F370)</f>
        <v>18.817782777796509</v>
      </c>
      <c r="M370" s="19">
        <f t="shared" ref="M370:M433" si="354">lmb_2(G370)</f>
        <v>18.817782777796509</v>
      </c>
      <c r="N370" s="19">
        <f t="shared" ref="N370:N433" si="355">lmb_2(H370)</f>
        <v>18.817782777796509</v>
      </c>
      <c r="O370" s="16"/>
      <c r="P370" s="19">
        <f t="shared" ref="P370:P433" si="356">(C$21*$A$21*C$22)/(J370+J370^2)</f>
        <v>66.271477594138034</v>
      </c>
      <c r="Q370" s="19">
        <f t="shared" ref="Q370:Q433" si="357">($D$21*$A$21*$D$22)/(K370+K370^2)</f>
        <v>559.97165953062733</v>
      </c>
      <c r="R370" s="19">
        <f t="shared" ref="R370:R433" si="358">($E$21*$A$21*$E$22)/(L370+L370^2)</f>
        <v>0</v>
      </c>
      <c r="S370" s="19">
        <f t="shared" ref="S370:S433" si="359">($F$21*$A$21*$F$22)/(M370+M370^2)</f>
        <v>0</v>
      </c>
      <c r="T370" s="19">
        <f t="shared" ref="T370:T433" si="360">($G$21*$A$21*$G$22)/(N370+N370^2)</f>
        <v>0</v>
      </c>
      <c r="U370" s="16"/>
      <c r="V370" s="19">
        <f t="shared" ref="V370:V433" si="361">SUM(P370:T370)</f>
        <v>626.24313712476533</v>
      </c>
      <c r="W370" s="16"/>
      <c r="X370" s="19">
        <f t="shared" ref="X370:X433" si="362">(V370-C370)^2</f>
        <v>3163.2904736351556</v>
      </c>
      <c r="Y370" s="19">
        <f t="shared" ref="Y370:Y433" si="363">ABS(V370-C370)</f>
        <v>56.243137124765326</v>
      </c>
      <c r="Z370" s="19"/>
      <c r="AA370" s="19">
        <f t="shared" ref="AA370:AA433" si="364">Y370/$Z$39</f>
        <v>1.3894604360812694E-4</v>
      </c>
    </row>
    <row r="371" spans="2:27" x14ac:dyDescent="0.3">
      <c r="B371" s="27">
        <v>94.799999999999983</v>
      </c>
      <c r="C371" s="27">
        <v>647</v>
      </c>
      <c r="D371" s="19">
        <f t="shared" ref="D371:H371" si="365">1/C$23-LN(C$23)+$B371*C$22</f>
        <v>50.223277555360369</v>
      </c>
      <c r="E371" s="19">
        <f t="shared" si="365"/>
        <v>2.2459814335481143</v>
      </c>
      <c r="F371" s="19">
        <f t="shared" si="365"/>
        <v>21.782585092994044</v>
      </c>
      <c r="G371" s="19">
        <f t="shared" si="365"/>
        <v>21.782585092994044</v>
      </c>
      <c r="H371" s="19">
        <f t="shared" si="365"/>
        <v>21.782585092994044</v>
      </c>
      <c r="I371" s="16"/>
      <c r="J371" s="19">
        <f t="shared" si="351"/>
        <v>46.386273959724988</v>
      </c>
      <c r="K371" s="19">
        <f t="shared" si="352"/>
        <v>1.709676980922644</v>
      </c>
      <c r="L371" s="19">
        <f t="shared" si="353"/>
        <v>18.846270072801619</v>
      </c>
      <c r="M371" s="19">
        <f t="shared" si="354"/>
        <v>18.846270072801619</v>
      </c>
      <c r="N371" s="19">
        <f t="shared" si="355"/>
        <v>18.846270072801619</v>
      </c>
      <c r="O371" s="16"/>
      <c r="P371" s="19">
        <f t="shared" si="356"/>
        <v>65.984758059922981</v>
      </c>
      <c r="Q371" s="19">
        <f t="shared" si="357"/>
        <v>559.04175324170171</v>
      </c>
      <c r="R371" s="19">
        <f t="shared" si="358"/>
        <v>0</v>
      </c>
      <c r="S371" s="19">
        <f t="shared" si="359"/>
        <v>0</v>
      </c>
      <c r="T371" s="19">
        <f t="shared" si="360"/>
        <v>0</v>
      </c>
      <c r="U371" s="16"/>
      <c r="V371" s="19">
        <f t="shared" si="361"/>
        <v>625.02651130162474</v>
      </c>
      <c r="W371" s="16"/>
      <c r="X371" s="19">
        <f t="shared" si="362"/>
        <v>482.83420557762543</v>
      </c>
      <c r="Y371" s="19">
        <f t="shared" si="363"/>
        <v>21.973488698375263</v>
      </c>
      <c r="Z371" s="19"/>
      <c r="AA371" s="19">
        <f t="shared" si="364"/>
        <v>5.4284477626742496E-5</v>
      </c>
    </row>
    <row r="372" spans="2:27" x14ac:dyDescent="0.3">
      <c r="B372" s="27">
        <v>95.1</v>
      </c>
      <c r="C372" s="27">
        <v>627</v>
      </c>
      <c r="D372" s="19">
        <f t="shared" ref="D372:H372" si="366">1/C$23-LN(C$23)+$B372*C$22</f>
        <v>50.326992305558541</v>
      </c>
      <c r="E372" s="19">
        <f t="shared" si="366"/>
        <v>2.2487420256432573</v>
      </c>
      <c r="F372" s="19">
        <f t="shared" si="366"/>
        <v>21.812585092994045</v>
      </c>
      <c r="G372" s="19">
        <f t="shared" si="366"/>
        <v>21.812585092994045</v>
      </c>
      <c r="H372" s="19">
        <f t="shared" si="366"/>
        <v>21.812585092994045</v>
      </c>
      <c r="I372" s="16"/>
      <c r="J372" s="19">
        <f t="shared" si="351"/>
        <v>46.487802342589021</v>
      </c>
      <c r="K372" s="19">
        <f t="shared" si="352"/>
        <v>1.7114191102570098</v>
      </c>
      <c r="L372" s="19">
        <f t="shared" si="353"/>
        <v>18.874759537666392</v>
      </c>
      <c r="M372" s="19">
        <f t="shared" si="354"/>
        <v>18.874759537666392</v>
      </c>
      <c r="N372" s="19">
        <f t="shared" si="355"/>
        <v>18.874759537666392</v>
      </c>
      <c r="O372" s="16"/>
      <c r="P372" s="19">
        <f t="shared" si="356"/>
        <v>65.699882175396525</v>
      </c>
      <c r="Q372" s="19">
        <f t="shared" si="357"/>
        <v>558.1138524114026</v>
      </c>
      <c r="R372" s="19">
        <f t="shared" si="358"/>
        <v>0</v>
      </c>
      <c r="S372" s="19">
        <f t="shared" si="359"/>
        <v>0</v>
      </c>
      <c r="T372" s="19">
        <f t="shared" si="360"/>
        <v>0</v>
      </c>
      <c r="U372" s="16"/>
      <c r="V372" s="19">
        <f t="shared" si="361"/>
        <v>623.81373458679911</v>
      </c>
      <c r="W372" s="16"/>
      <c r="X372" s="19">
        <f t="shared" si="362"/>
        <v>10.152287283360211</v>
      </c>
      <c r="Y372" s="19">
        <f t="shared" si="363"/>
        <v>3.1862654132008856</v>
      </c>
      <c r="Z372" s="19"/>
      <c r="AA372" s="19">
        <f t="shared" si="364"/>
        <v>7.8715198988204394E-6</v>
      </c>
    </row>
    <row r="373" spans="2:27" x14ac:dyDescent="0.3">
      <c r="B373" s="27">
        <v>95.4</v>
      </c>
      <c r="C373" s="27">
        <v>620</v>
      </c>
      <c r="D373" s="19">
        <f t="shared" ref="D373:H373" si="367">1/C$23-LN(C$23)+$B373*C$22</f>
        <v>50.430707055756706</v>
      </c>
      <c r="E373" s="19">
        <f t="shared" si="367"/>
        <v>2.2515026177384008</v>
      </c>
      <c r="F373" s="19">
        <f t="shared" si="367"/>
        <v>21.842585092994046</v>
      </c>
      <c r="G373" s="19">
        <f t="shared" si="367"/>
        <v>21.842585092994046</v>
      </c>
      <c r="H373" s="19">
        <f t="shared" si="367"/>
        <v>21.842585092994046</v>
      </c>
      <c r="I373" s="16"/>
      <c r="J373" s="19">
        <f t="shared" si="351"/>
        <v>46.589335395000752</v>
      </c>
      <c r="K373" s="19">
        <f t="shared" si="352"/>
        <v>1.7131618938823423</v>
      </c>
      <c r="L373" s="19">
        <f t="shared" si="353"/>
        <v>18.903251166339068</v>
      </c>
      <c r="M373" s="19">
        <f t="shared" si="354"/>
        <v>18.903251166339068</v>
      </c>
      <c r="N373" s="19">
        <f t="shared" si="355"/>
        <v>18.903251166339068</v>
      </c>
      <c r="O373" s="16"/>
      <c r="P373" s="19">
        <f t="shared" si="356"/>
        <v>65.416834251265499</v>
      </c>
      <c r="Q373" s="19">
        <f t="shared" si="357"/>
        <v>557.18795193288304</v>
      </c>
      <c r="R373" s="19">
        <f t="shared" si="358"/>
        <v>0</v>
      </c>
      <c r="S373" s="19">
        <f t="shared" si="359"/>
        <v>0</v>
      </c>
      <c r="T373" s="19">
        <f t="shared" si="360"/>
        <v>0</v>
      </c>
      <c r="U373" s="16"/>
      <c r="V373" s="19">
        <f t="shared" si="361"/>
        <v>622.60478618414857</v>
      </c>
      <c r="W373" s="16"/>
      <c r="X373" s="19">
        <f t="shared" si="362"/>
        <v>6.7849110651312445</v>
      </c>
      <c r="Y373" s="19">
        <f t="shared" si="363"/>
        <v>2.6047861841485656</v>
      </c>
      <c r="Z373" s="19"/>
      <c r="AA373" s="19">
        <f t="shared" si="364"/>
        <v>6.4350026196029558E-6</v>
      </c>
    </row>
    <row r="374" spans="2:27" x14ac:dyDescent="0.3">
      <c r="B374" s="27">
        <v>95.699999999999989</v>
      </c>
      <c r="C374" s="27">
        <v>623</v>
      </c>
      <c r="D374" s="19">
        <f t="shared" ref="D374:H374" si="368">1/C$23-LN(C$23)+$B374*C$22</f>
        <v>50.534421805954864</v>
      </c>
      <c r="E374" s="19">
        <f t="shared" si="368"/>
        <v>2.2542632098335438</v>
      </c>
      <c r="F374" s="19">
        <f t="shared" si="368"/>
        <v>21.872585092994044</v>
      </c>
      <c r="G374" s="19">
        <f t="shared" si="368"/>
        <v>21.872585092994044</v>
      </c>
      <c r="H374" s="19">
        <f t="shared" si="368"/>
        <v>21.872585092994044</v>
      </c>
      <c r="I374" s="16"/>
      <c r="J374" s="19">
        <f t="shared" si="351"/>
        <v>46.690873097269595</v>
      </c>
      <c r="K374" s="19">
        <f t="shared" si="352"/>
        <v>1.7149053312036098</v>
      </c>
      <c r="L374" s="19">
        <f t="shared" si="353"/>
        <v>18.931744952792705</v>
      </c>
      <c r="M374" s="19">
        <f t="shared" si="354"/>
        <v>18.931744952792705</v>
      </c>
      <c r="N374" s="19">
        <f t="shared" si="355"/>
        <v>18.931744952792705</v>
      </c>
      <c r="O374" s="16"/>
      <c r="P374" s="19">
        <f t="shared" si="356"/>
        <v>65.135598764066017</v>
      </c>
      <c r="Q374" s="19">
        <f t="shared" si="357"/>
        <v>556.26404671379464</v>
      </c>
      <c r="R374" s="19">
        <f t="shared" si="358"/>
        <v>0</v>
      </c>
      <c r="S374" s="19">
        <f t="shared" si="359"/>
        <v>0</v>
      </c>
      <c r="T374" s="19">
        <f t="shared" si="360"/>
        <v>0</v>
      </c>
      <c r="U374" s="16"/>
      <c r="V374" s="19">
        <f t="shared" si="361"/>
        <v>621.39964547786064</v>
      </c>
      <c r="W374" s="16"/>
      <c r="X374" s="19">
        <f t="shared" si="362"/>
        <v>2.5611345965318839</v>
      </c>
      <c r="Y374" s="19">
        <f t="shared" si="363"/>
        <v>1.6003545221393551</v>
      </c>
      <c r="Z374" s="19"/>
      <c r="AA374" s="19">
        <f t="shared" si="364"/>
        <v>3.9536011074269491E-6</v>
      </c>
    </row>
    <row r="375" spans="2:27" x14ac:dyDescent="0.3">
      <c r="B375" s="27">
        <v>96</v>
      </c>
      <c r="C375" s="27">
        <v>657</v>
      </c>
      <c r="D375" s="19">
        <f t="shared" ref="D375:H375" si="369">1/C$23-LN(C$23)+$B375*C$22</f>
        <v>50.638136556153036</v>
      </c>
      <c r="E375" s="19">
        <f t="shared" si="369"/>
        <v>2.2570238019286872</v>
      </c>
      <c r="F375" s="19">
        <f t="shared" si="369"/>
        <v>21.902585092994045</v>
      </c>
      <c r="G375" s="19">
        <f t="shared" si="369"/>
        <v>21.902585092994045</v>
      </c>
      <c r="H375" s="19">
        <f t="shared" si="369"/>
        <v>21.902585092994045</v>
      </c>
      <c r="I375" s="16"/>
      <c r="J375" s="19">
        <f t="shared" si="351"/>
        <v>46.792415429828345</v>
      </c>
      <c r="K375" s="19">
        <f t="shared" si="352"/>
        <v>1.716649421626232</v>
      </c>
      <c r="L375" s="19">
        <f t="shared" si="353"/>
        <v>18.960240891025041</v>
      </c>
      <c r="M375" s="19">
        <f t="shared" si="354"/>
        <v>18.960240891025041</v>
      </c>
      <c r="N375" s="19">
        <f t="shared" si="355"/>
        <v>18.960240891025041</v>
      </c>
      <c r="O375" s="16"/>
      <c r="P375" s="19">
        <f t="shared" si="356"/>
        <v>64.856160354072216</v>
      </c>
      <c r="Q375" s="19">
        <f t="shared" si="357"/>
        <v>555.34213167624296</v>
      </c>
      <c r="R375" s="19">
        <f t="shared" si="358"/>
        <v>0</v>
      </c>
      <c r="S375" s="19">
        <f t="shared" si="359"/>
        <v>0</v>
      </c>
      <c r="T375" s="19">
        <f t="shared" si="360"/>
        <v>0</v>
      </c>
      <c r="U375" s="16"/>
      <c r="V375" s="19">
        <f t="shared" si="361"/>
        <v>620.1982920303152</v>
      </c>
      <c r="W375" s="16"/>
      <c r="X375" s="19">
        <f t="shared" si="362"/>
        <v>1354.3657094859616</v>
      </c>
      <c r="Y375" s="19">
        <f t="shared" si="363"/>
        <v>36.801707969684799</v>
      </c>
      <c r="Z375" s="19"/>
      <c r="AA375" s="19">
        <f t="shared" si="364"/>
        <v>9.0916900831226747E-5</v>
      </c>
    </row>
    <row r="376" spans="2:27" x14ac:dyDescent="0.3">
      <c r="B376" s="27">
        <v>96.199999999999989</v>
      </c>
      <c r="C376" s="27">
        <v>602</v>
      </c>
      <c r="D376" s="19">
        <f t="shared" ref="D376:H376" si="370">1/C$23-LN(C$23)+$B376*C$22</f>
        <v>50.70727972295181</v>
      </c>
      <c r="E376" s="19">
        <f t="shared" si="370"/>
        <v>2.2588641966587826</v>
      </c>
      <c r="F376" s="19">
        <f t="shared" si="370"/>
        <v>21.922585092994044</v>
      </c>
      <c r="G376" s="19">
        <f t="shared" si="370"/>
        <v>21.922585092994044</v>
      </c>
      <c r="H376" s="19">
        <f t="shared" si="370"/>
        <v>21.922585092994044</v>
      </c>
      <c r="I376" s="16"/>
      <c r="J376" s="19">
        <f t="shared" si="351"/>
        <v>46.860112880976715</v>
      </c>
      <c r="K376" s="19">
        <f t="shared" si="352"/>
        <v>1.7178125111153173</v>
      </c>
      <c r="L376" s="19">
        <f t="shared" si="353"/>
        <v>18.979239375659567</v>
      </c>
      <c r="M376" s="19">
        <f t="shared" si="354"/>
        <v>18.979239375659567</v>
      </c>
      <c r="N376" s="19">
        <f t="shared" si="355"/>
        <v>18.979239375659567</v>
      </c>
      <c r="O376" s="16"/>
      <c r="P376" s="19">
        <f t="shared" si="356"/>
        <v>64.670858945167353</v>
      </c>
      <c r="Q376" s="19">
        <f t="shared" si="357"/>
        <v>554.72862480653964</v>
      </c>
      <c r="R376" s="19">
        <f t="shared" si="358"/>
        <v>0</v>
      </c>
      <c r="S376" s="19">
        <f t="shared" si="359"/>
        <v>0</v>
      </c>
      <c r="T376" s="19">
        <f t="shared" si="360"/>
        <v>0</v>
      </c>
      <c r="U376" s="16"/>
      <c r="V376" s="19">
        <f t="shared" si="361"/>
        <v>619.39948375170695</v>
      </c>
      <c r="W376" s="16"/>
      <c r="X376" s="19">
        <f t="shared" si="362"/>
        <v>302.74203482591423</v>
      </c>
      <c r="Y376" s="19">
        <f t="shared" si="363"/>
        <v>17.399483751706953</v>
      </c>
      <c r="Z376" s="19"/>
      <c r="AA376" s="19">
        <f t="shared" si="364"/>
        <v>4.2984612020495603E-5</v>
      </c>
    </row>
    <row r="377" spans="2:27" x14ac:dyDescent="0.3">
      <c r="B377" s="27">
        <v>96.5</v>
      </c>
      <c r="C377" s="27">
        <v>600</v>
      </c>
      <c r="D377" s="19">
        <f t="shared" ref="D377:H377" si="371">1/C$23-LN(C$23)+$B377*C$22</f>
        <v>50.810994473149975</v>
      </c>
      <c r="E377" s="19">
        <f t="shared" si="371"/>
        <v>2.2616247887539256</v>
      </c>
      <c r="F377" s="19">
        <f t="shared" si="371"/>
        <v>21.952585092994045</v>
      </c>
      <c r="G377" s="19">
        <f t="shared" si="371"/>
        <v>21.952585092994045</v>
      </c>
      <c r="H377" s="19">
        <f t="shared" si="371"/>
        <v>21.952585092994045</v>
      </c>
      <c r="I377" s="16"/>
      <c r="J377" s="19">
        <f t="shared" si="351"/>
        <v>46.961662887534452</v>
      </c>
      <c r="K377" s="19">
        <f t="shared" si="352"/>
        <v>1.7195576887201331</v>
      </c>
      <c r="L377" s="19">
        <f t="shared" si="353"/>
        <v>19.007738886917952</v>
      </c>
      <c r="M377" s="19">
        <f t="shared" si="354"/>
        <v>19.007738886917952</v>
      </c>
      <c r="N377" s="19">
        <f t="shared" si="355"/>
        <v>19.007738886917952</v>
      </c>
      <c r="O377" s="16"/>
      <c r="P377" s="19">
        <f t="shared" si="356"/>
        <v>64.394381969329061</v>
      </c>
      <c r="Q377" s="19">
        <f t="shared" si="357"/>
        <v>553.81001549312441</v>
      </c>
      <c r="R377" s="19">
        <f t="shared" si="358"/>
        <v>0</v>
      </c>
      <c r="S377" s="19">
        <f t="shared" si="359"/>
        <v>0</v>
      </c>
      <c r="T377" s="19">
        <f t="shared" si="360"/>
        <v>0</v>
      </c>
      <c r="U377" s="16"/>
      <c r="V377" s="19">
        <f t="shared" si="361"/>
        <v>618.20439746245347</v>
      </c>
      <c r="W377" s="16"/>
      <c r="X377" s="19">
        <f t="shared" si="362"/>
        <v>331.40008697098239</v>
      </c>
      <c r="Y377" s="19">
        <f t="shared" si="363"/>
        <v>18.204397462453471</v>
      </c>
      <c r="Z377" s="19"/>
      <c r="AA377" s="19">
        <f t="shared" si="364"/>
        <v>4.4973113751934749E-5</v>
      </c>
    </row>
    <row r="378" spans="2:27" x14ac:dyDescent="0.3">
      <c r="B378" s="27">
        <v>96.799999999999983</v>
      </c>
      <c r="C378" s="27">
        <v>661</v>
      </c>
      <c r="D378" s="19">
        <f t="shared" ref="D378:H378" si="372">1/C$23-LN(C$23)+$B378*C$22</f>
        <v>50.91470922334814</v>
      </c>
      <c r="E378" s="19">
        <f t="shared" si="372"/>
        <v>2.2643853808490686</v>
      </c>
      <c r="F378" s="19">
        <f t="shared" si="372"/>
        <v>21.982585092994043</v>
      </c>
      <c r="G378" s="19">
        <f t="shared" si="372"/>
        <v>21.982585092994043</v>
      </c>
      <c r="H378" s="19">
        <f t="shared" si="372"/>
        <v>21.982585092994043</v>
      </c>
      <c r="I378" s="16"/>
      <c r="J378" s="19">
        <f t="shared" si="351"/>
        <v>47.063217472798293</v>
      </c>
      <c r="K378" s="19">
        <f t="shared" si="352"/>
        <v>1.7213035178429634</v>
      </c>
      <c r="L378" s="19">
        <f t="shared" si="353"/>
        <v>19.036240534068604</v>
      </c>
      <c r="M378" s="19">
        <f t="shared" si="354"/>
        <v>19.036240534068604</v>
      </c>
      <c r="N378" s="19">
        <f t="shared" si="355"/>
        <v>19.036240534068604</v>
      </c>
      <c r="O378" s="16"/>
      <c r="P378" s="19">
        <f t="shared" si="356"/>
        <v>64.119661896347978</v>
      </c>
      <c r="Q378" s="19">
        <f t="shared" si="357"/>
        <v>552.893382890525</v>
      </c>
      <c r="R378" s="19">
        <f t="shared" si="358"/>
        <v>0</v>
      </c>
      <c r="S378" s="19">
        <f t="shared" si="359"/>
        <v>0</v>
      </c>
      <c r="T378" s="19">
        <f t="shared" si="360"/>
        <v>0</v>
      </c>
      <c r="U378" s="16"/>
      <c r="V378" s="19">
        <f t="shared" si="361"/>
        <v>617.01304478687302</v>
      </c>
      <c r="W378" s="16"/>
      <c r="X378" s="19">
        <f t="shared" si="362"/>
        <v>1934.8522289216385</v>
      </c>
      <c r="Y378" s="19">
        <f t="shared" si="363"/>
        <v>43.986955213126976</v>
      </c>
      <c r="Z378" s="19"/>
      <c r="AA378" s="19">
        <f t="shared" si="364"/>
        <v>1.0866771858180499E-4</v>
      </c>
    </row>
    <row r="379" spans="2:27" x14ac:dyDescent="0.3">
      <c r="B379" s="27">
        <v>97.1</v>
      </c>
      <c r="C379" s="27">
        <v>655</v>
      </c>
      <c r="D379" s="19">
        <f t="shared" ref="D379:H379" si="373">1/C$23-LN(C$23)+$B379*C$22</f>
        <v>51.018423973546305</v>
      </c>
      <c r="E379" s="19">
        <f t="shared" si="373"/>
        <v>2.2671459729442121</v>
      </c>
      <c r="F379" s="19">
        <f t="shared" si="373"/>
        <v>22.012585092994044</v>
      </c>
      <c r="G379" s="19">
        <f t="shared" si="373"/>
        <v>22.012585092994044</v>
      </c>
      <c r="H379" s="19">
        <f t="shared" si="373"/>
        <v>22.012585092994044</v>
      </c>
      <c r="I379" s="16"/>
      <c r="J379" s="19">
        <f t="shared" si="351"/>
        <v>47.164776617644726</v>
      </c>
      <c r="K379" s="19">
        <f t="shared" si="352"/>
        <v>1.7230499978908851</v>
      </c>
      <c r="L379" s="19">
        <f t="shared" si="353"/>
        <v>19.064744311198599</v>
      </c>
      <c r="M379" s="19">
        <f t="shared" si="354"/>
        <v>19.064744311198599</v>
      </c>
      <c r="N379" s="19">
        <f t="shared" si="355"/>
        <v>19.064744311198599</v>
      </c>
      <c r="O379" s="16"/>
      <c r="P379" s="19">
        <f t="shared" si="356"/>
        <v>63.846683949467547</v>
      </c>
      <c r="Q379" s="19">
        <f t="shared" si="357"/>
        <v>551.97872197347112</v>
      </c>
      <c r="R379" s="19">
        <f t="shared" si="358"/>
        <v>0</v>
      </c>
      <c r="S379" s="19">
        <f t="shared" si="359"/>
        <v>0</v>
      </c>
      <c r="T379" s="19">
        <f t="shared" si="360"/>
        <v>0</v>
      </c>
      <c r="U379" s="16"/>
      <c r="V379" s="19">
        <f t="shared" si="361"/>
        <v>615.82540592293867</v>
      </c>
      <c r="W379" s="16"/>
      <c r="X379" s="19">
        <f t="shared" si="362"/>
        <v>1534.6488211025285</v>
      </c>
      <c r="Y379" s="19">
        <f t="shared" si="363"/>
        <v>39.174594077061329</v>
      </c>
      <c r="Z379" s="19"/>
      <c r="AA379" s="19">
        <f t="shared" si="364"/>
        <v>9.67790051413272E-5</v>
      </c>
    </row>
    <row r="380" spans="2:27" x14ac:dyDescent="0.3">
      <c r="B380" s="27">
        <v>97.4</v>
      </c>
      <c r="C380" s="27">
        <v>617</v>
      </c>
      <c r="D380" s="19">
        <f t="shared" ref="D380:H380" si="374">1/C$23-LN(C$23)+$B380*C$22</f>
        <v>51.122138723744477</v>
      </c>
      <c r="E380" s="19">
        <f t="shared" si="374"/>
        <v>2.2699065650393551</v>
      </c>
      <c r="F380" s="19">
        <f t="shared" si="374"/>
        <v>22.042585092994045</v>
      </c>
      <c r="G380" s="19">
        <f t="shared" si="374"/>
        <v>22.042585092994045</v>
      </c>
      <c r="H380" s="19">
        <f t="shared" si="374"/>
        <v>22.042585092994045</v>
      </c>
      <c r="I380" s="16"/>
      <c r="J380" s="19">
        <f t="shared" si="351"/>
        <v>47.266340303068958</v>
      </c>
      <c r="K380" s="19">
        <f t="shared" si="352"/>
        <v>1.7247971282714267</v>
      </c>
      <c r="L380" s="19">
        <f t="shared" si="353"/>
        <v>19.093250212419079</v>
      </c>
      <c r="M380" s="19">
        <f t="shared" si="354"/>
        <v>19.093250212419079</v>
      </c>
      <c r="N380" s="19">
        <f t="shared" si="355"/>
        <v>19.093250212419079</v>
      </c>
      <c r="O380" s="16"/>
      <c r="P380" s="19">
        <f t="shared" si="356"/>
        <v>63.57543350630619</v>
      </c>
      <c r="Q380" s="19">
        <f t="shared" si="357"/>
        <v>551.06602773094426</v>
      </c>
      <c r="R380" s="19">
        <f t="shared" si="358"/>
        <v>0</v>
      </c>
      <c r="S380" s="19">
        <f t="shared" si="359"/>
        <v>0</v>
      </c>
      <c r="T380" s="19">
        <f t="shared" si="360"/>
        <v>0</v>
      </c>
      <c r="U380" s="16"/>
      <c r="V380" s="19">
        <f t="shared" si="361"/>
        <v>614.6414612372505</v>
      </c>
      <c r="W380" s="16"/>
      <c r="X380" s="19">
        <f t="shared" si="362"/>
        <v>5.5627050953919603</v>
      </c>
      <c r="Y380" s="19">
        <f t="shared" si="363"/>
        <v>2.3585387627495038</v>
      </c>
      <c r="Z380" s="19"/>
      <c r="AA380" s="19">
        <f t="shared" si="364"/>
        <v>5.8266598652469398E-6</v>
      </c>
    </row>
    <row r="381" spans="2:27" x14ac:dyDescent="0.3">
      <c r="B381" s="27">
        <v>97.699999999999989</v>
      </c>
      <c r="C381" s="27">
        <v>595</v>
      </c>
      <c r="D381" s="19">
        <f t="shared" ref="D381:H381" si="375">1/C$23-LN(C$23)+$B381*C$22</f>
        <v>51.225853473942635</v>
      </c>
      <c r="E381" s="19">
        <f t="shared" si="375"/>
        <v>2.2726671571344981</v>
      </c>
      <c r="F381" s="19">
        <f t="shared" si="375"/>
        <v>22.072585092994046</v>
      </c>
      <c r="G381" s="19">
        <f t="shared" si="375"/>
        <v>22.072585092994046</v>
      </c>
      <c r="H381" s="19">
        <f t="shared" si="375"/>
        <v>22.072585092994046</v>
      </c>
      <c r="I381" s="16"/>
      <c r="J381" s="19">
        <f t="shared" si="351"/>
        <v>47.367908510183867</v>
      </c>
      <c r="K381" s="19">
        <f t="shared" si="352"/>
        <v>1.7265449083925712</v>
      </c>
      <c r="L381" s="19">
        <f t="shared" si="353"/>
        <v>19.121758231865112</v>
      </c>
      <c r="M381" s="19">
        <f t="shared" si="354"/>
        <v>19.121758231865112</v>
      </c>
      <c r="N381" s="19">
        <f t="shared" si="355"/>
        <v>19.121758231865112</v>
      </c>
      <c r="O381" s="16"/>
      <c r="P381" s="19">
        <f t="shared" si="356"/>
        <v>63.305896096932912</v>
      </c>
      <c r="Q381" s="19">
        <f t="shared" si="357"/>
        <v>550.15529516613287</v>
      </c>
      <c r="R381" s="19">
        <f t="shared" si="358"/>
        <v>0</v>
      </c>
      <c r="S381" s="19">
        <f t="shared" si="359"/>
        <v>0</v>
      </c>
      <c r="T381" s="19">
        <f t="shared" si="360"/>
        <v>0</v>
      </c>
      <c r="U381" s="16"/>
      <c r="V381" s="19">
        <f t="shared" si="361"/>
        <v>613.46119126306576</v>
      </c>
      <c r="W381" s="16"/>
      <c r="X381" s="19">
        <f t="shared" si="362"/>
        <v>340.81558285149544</v>
      </c>
      <c r="Y381" s="19">
        <f t="shared" si="363"/>
        <v>18.461191263065757</v>
      </c>
      <c r="Z381" s="19"/>
      <c r="AA381" s="19">
        <f t="shared" si="364"/>
        <v>4.5607510843601604E-5</v>
      </c>
    </row>
    <row r="382" spans="2:27" x14ac:dyDescent="0.3">
      <c r="B382" s="27">
        <v>98</v>
      </c>
      <c r="C382" s="27">
        <v>573</v>
      </c>
      <c r="D382" s="19">
        <f t="shared" ref="D382:H382" si="376">1/C$23-LN(C$23)+$B382*C$22</f>
        <v>51.329568224140807</v>
      </c>
      <c r="E382" s="19">
        <f t="shared" si="376"/>
        <v>2.2754277492296415</v>
      </c>
      <c r="F382" s="19">
        <f t="shared" si="376"/>
        <v>22.102585092994047</v>
      </c>
      <c r="G382" s="19">
        <f t="shared" si="376"/>
        <v>22.102585092994047</v>
      </c>
      <c r="H382" s="19">
        <f t="shared" si="376"/>
        <v>22.102585092994047</v>
      </c>
      <c r="I382" s="16"/>
      <c r="J382" s="19">
        <f t="shared" si="351"/>
        <v>47.469481220219159</v>
      </c>
      <c r="K382" s="19">
        <f t="shared" si="352"/>
        <v>1.7282933376627554</v>
      </c>
      <c r="L382" s="19">
        <f t="shared" si="353"/>
        <v>19.150268363695581</v>
      </c>
      <c r="M382" s="19">
        <f t="shared" si="354"/>
        <v>19.150268363695581</v>
      </c>
      <c r="N382" s="19">
        <f t="shared" si="355"/>
        <v>19.150268363695581</v>
      </c>
      <c r="O382" s="16"/>
      <c r="P382" s="19">
        <f t="shared" si="356"/>
        <v>63.038057401970413</v>
      </c>
      <c r="Q382" s="19">
        <f t="shared" si="357"/>
        <v>549.2465192963906</v>
      </c>
      <c r="R382" s="19">
        <f t="shared" si="358"/>
        <v>0</v>
      </c>
      <c r="S382" s="19">
        <f t="shared" si="359"/>
        <v>0</v>
      </c>
      <c r="T382" s="19">
        <f t="shared" si="360"/>
        <v>0</v>
      </c>
      <c r="U382" s="16"/>
      <c r="V382" s="19">
        <f t="shared" si="361"/>
        <v>612.28457669836098</v>
      </c>
      <c r="W382" s="16"/>
      <c r="X382" s="19">
        <f t="shared" si="362"/>
        <v>1543.2779663694064</v>
      </c>
      <c r="Y382" s="19">
        <f t="shared" si="363"/>
        <v>39.284576698360979</v>
      </c>
      <c r="Z382" s="19"/>
      <c r="AA382" s="19">
        <f t="shared" si="364"/>
        <v>9.7050712070856002E-5</v>
      </c>
    </row>
    <row r="383" spans="2:27" x14ac:dyDescent="0.3">
      <c r="B383" s="27">
        <v>98.199999999999989</v>
      </c>
      <c r="C383" s="27">
        <v>597</v>
      </c>
      <c r="D383" s="19">
        <f t="shared" ref="D383:H383" si="377">1/C$23-LN(C$23)+$B383*C$22</f>
        <v>51.398711390939575</v>
      </c>
      <c r="E383" s="19">
        <f t="shared" si="377"/>
        <v>2.2772681439597369</v>
      </c>
      <c r="F383" s="19">
        <f t="shared" si="377"/>
        <v>22.122585092994044</v>
      </c>
      <c r="G383" s="19">
        <f t="shared" si="377"/>
        <v>22.122585092994044</v>
      </c>
      <c r="H383" s="19">
        <f t="shared" si="377"/>
        <v>22.122585092994044</v>
      </c>
      <c r="I383" s="16"/>
      <c r="J383" s="19">
        <f t="shared" si="351"/>
        <v>47.537198852648238</v>
      </c>
      <c r="K383" s="19">
        <f t="shared" si="352"/>
        <v>1.7294593175226418</v>
      </c>
      <c r="L383" s="19">
        <f t="shared" si="353"/>
        <v>19.169276288922347</v>
      </c>
      <c r="M383" s="19">
        <f t="shared" si="354"/>
        <v>19.169276288922347</v>
      </c>
      <c r="N383" s="19">
        <f t="shared" si="355"/>
        <v>19.169276288922347</v>
      </c>
      <c r="O383" s="16"/>
      <c r="P383" s="19">
        <f t="shared" si="356"/>
        <v>62.860434998287886</v>
      </c>
      <c r="Q383" s="19">
        <f t="shared" si="357"/>
        <v>548.64175331520642</v>
      </c>
      <c r="R383" s="19">
        <f t="shared" si="358"/>
        <v>0</v>
      </c>
      <c r="S383" s="19">
        <f t="shared" si="359"/>
        <v>0</v>
      </c>
      <c r="T383" s="19">
        <f t="shared" si="360"/>
        <v>0</v>
      </c>
      <c r="U383" s="16"/>
      <c r="V383" s="19">
        <f t="shared" si="361"/>
        <v>611.50218831349434</v>
      </c>
      <c r="W383" s="16"/>
      <c r="X383" s="19">
        <f t="shared" si="362"/>
        <v>210.31346588005192</v>
      </c>
      <c r="Y383" s="19">
        <f t="shared" si="363"/>
        <v>14.502188313494344</v>
      </c>
      <c r="Z383" s="19"/>
      <c r="AA383" s="19">
        <f t="shared" si="364"/>
        <v>3.5826978949451009E-5</v>
      </c>
    </row>
    <row r="384" spans="2:27" x14ac:dyDescent="0.3">
      <c r="B384" s="27">
        <v>98.5</v>
      </c>
      <c r="C384" s="27">
        <v>584</v>
      </c>
      <c r="D384" s="19">
        <f t="shared" ref="D384:H384" si="378">1/C$23-LN(C$23)+$B384*C$22</f>
        <v>51.502426141137747</v>
      </c>
      <c r="E384" s="19">
        <f t="shared" si="378"/>
        <v>2.2800287360548799</v>
      </c>
      <c r="F384" s="19">
        <f t="shared" si="378"/>
        <v>22.152585092994045</v>
      </c>
      <c r="G384" s="19">
        <f t="shared" si="378"/>
        <v>22.152585092994045</v>
      </c>
      <c r="H384" s="19">
        <f t="shared" si="378"/>
        <v>22.152585092994045</v>
      </c>
      <c r="I384" s="16"/>
      <c r="J384" s="19">
        <f t="shared" si="351"/>
        <v>47.638779026153031</v>
      </c>
      <c r="K384" s="19">
        <f t="shared" si="352"/>
        <v>1.7312088273945392</v>
      </c>
      <c r="L384" s="19">
        <f t="shared" si="353"/>
        <v>19.197789928477526</v>
      </c>
      <c r="M384" s="19">
        <f t="shared" si="354"/>
        <v>19.197789928477526</v>
      </c>
      <c r="N384" s="19">
        <f t="shared" si="355"/>
        <v>19.197789928477526</v>
      </c>
      <c r="O384" s="16"/>
      <c r="P384" s="19">
        <f t="shared" si="356"/>
        <v>62.595396076171852</v>
      </c>
      <c r="Q384" s="19">
        <f t="shared" si="357"/>
        <v>547.73622756970155</v>
      </c>
      <c r="R384" s="19">
        <f t="shared" si="358"/>
        <v>0</v>
      </c>
      <c r="S384" s="19">
        <f t="shared" si="359"/>
        <v>0</v>
      </c>
      <c r="T384" s="19">
        <f t="shared" si="360"/>
        <v>0</v>
      </c>
      <c r="U384" s="16"/>
      <c r="V384" s="19">
        <f t="shared" si="361"/>
        <v>610.33162364587338</v>
      </c>
      <c r="W384" s="16"/>
      <c r="X384" s="19">
        <f t="shared" si="362"/>
        <v>693.35440382791808</v>
      </c>
      <c r="Y384" s="19">
        <f t="shared" si="363"/>
        <v>26.331623645873378</v>
      </c>
      <c r="Z384" s="19"/>
      <c r="AA384" s="19">
        <f t="shared" si="364"/>
        <v>6.5051046481567941E-5</v>
      </c>
    </row>
    <row r="385" spans="2:27" x14ac:dyDescent="0.3">
      <c r="B385" s="27">
        <v>98.799999999999983</v>
      </c>
      <c r="C385" s="27">
        <v>620</v>
      </c>
      <c r="D385" s="19">
        <f t="shared" ref="D385:H385" si="379">1/C$23-LN(C$23)+$B385*C$22</f>
        <v>51.606140891335905</v>
      </c>
      <c r="E385" s="19">
        <f t="shared" si="379"/>
        <v>2.2827893281500229</v>
      </c>
      <c r="F385" s="19">
        <f t="shared" si="379"/>
        <v>22.182585092994046</v>
      </c>
      <c r="G385" s="19">
        <f t="shared" si="379"/>
        <v>22.182585092994046</v>
      </c>
      <c r="H385" s="19">
        <f t="shared" si="379"/>
        <v>22.182585092994046</v>
      </c>
      <c r="I385" s="16"/>
      <c r="J385" s="19">
        <f t="shared" si="351"/>
        <v>47.740363653087506</v>
      </c>
      <c r="K385" s="19">
        <f t="shared" si="352"/>
        <v>1.7329589848401943</v>
      </c>
      <c r="L385" s="19">
        <f t="shared" si="353"/>
        <v>19.226305664956243</v>
      </c>
      <c r="M385" s="19">
        <f t="shared" si="354"/>
        <v>19.226305664956243</v>
      </c>
      <c r="N385" s="19">
        <f t="shared" si="355"/>
        <v>19.226305664956243</v>
      </c>
      <c r="O385" s="16"/>
      <c r="P385" s="19">
        <f t="shared" si="356"/>
        <v>62.332018405371585</v>
      </c>
      <c r="Q385" s="19">
        <f t="shared" si="357"/>
        <v>546.83264530113297</v>
      </c>
      <c r="R385" s="19">
        <f t="shared" si="358"/>
        <v>0</v>
      </c>
      <c r="S385" s="19">
        <f t="shared" si="359"/>
        <v>0</v>
      </c>
      <c r="T385" s="19">
        <f t="shared" si="360"/>
        <v>0</v>
      </c>
      <c r="U385" s="16"/>
      <c r="V385" s="19">
        <f t="shared" si="361"/>
        <v>609.1646637065046</v>
      </c>
      <c r="W385" s="16"/>
      <c r="X385" s="19">
        <f t="shared" si="362"/>
        <v>117.40451259313868</v>
      </c>
      <c r="Y385" s="19">
        <f t="shared" si="363"/>
        <v>10.835336293495402</v>
      </c>
      <c r="Z385" s="19"/>
      <c r="AA385" s="19">
        <f t="shared" si="364"/>
        <v>2.6768192282820039E-5</v>
      </c>
    </row>
    <row r="386" spans="2:27" x14ac:dyDescent="0.3">
      <c r="B386" s="27">
        <v>99.1</v>
      </c>
      <c r="C386" s="27">
        <v>614</v>
      </c>
      <c r="D386" s="19">
        <f t="shared" ref="D386:H386" si="380">1/C$23-LN(C$23)+$B386*C$22</f>
        <v>51.709855641534077</v>
      </c>
      <c r="E386" s="19">
        <f t="shared" si="380"/>
        <v>2.2855499202451663</v>
      </c>
      <c r="F386" s="19">
        <f t="shared" si="380"/>
        <v>22.212585092994047</v>
      </c>
      <c r="G386" s="19">
        <f t="shared" si="380"/>
        <v>22.212585092994047</v>
      </c>
      <c r="H386" s="19">
        <f t="shared" si="380"/>
        <v>22.212585092994047</v>
      </c>
      <c r="I386" s="16"/>
      <c r="J386" s="19">
        <f t="shared" si="351"/>
        <v>47.841952715101364</v>
      </c>
      <c r="K386" s="19">
        <f t="shared" si="352"/>
        <v>1.7347097892697114</v>
      </c>
      <c r="L386" s="19">
        <f t="shared" si="353"/>
        <v>19.254823492603592</v>
      </c>
      <c r="M386" s="19">
        <f t="shared" si="354"/>
        <v>19.254823492603592</v>
      </c>
      <c r="N386" s="19">
        <f t="shared" si="355"/>
        <v>19.254823492603592</v>
      </c>
      <c r="O386" s="16"/>
      <c r="P386" s="19">
        <f t="shared" si="356"/>
        <v>62.070288202751613</v>
      </c>
      <c r="Q386" s="19">
        <f t="shared" si="357"/>
        <v>545.93100157842571</v>
      </c>
      <c r="R386" s="19">
        <f t="shared" si="358"/>
        <v>0</v>
      </c>
      <c r="S386" s="19">
        <f t="shared" si="359"/>
        <v>0</v>
      </c>
      <c r="T386" s="19">
        <f t="shared" si="360"/>
        <v>0</v>
      </c>
      <c r="U386" s="16"/>
      <c r="V386" s="19">
        <f t="shared" si="361"/>
        <v>608.00128978117732</v>
      </c>
      <c r="W386" s="16"/>
      <c r="X386" s="19">
        <f t="shared" si="362"/>
        <v>35.984524289407645</v>
      </c>
      <c r="Y386" s="19">
        <f t="shared" si="363"/>
        <v>5.99871021882268</v>
      </c>
      <c r="Z386" s="19"/>
      <c r="AA386" s="19">
        <f t="shared" si="364"/>
        <v>1.4819533444731022E-5</v>
      </c>
    </row>
    <row r="387" spans="2:27" x14ac:dyDescent="0.3">
      <c r="B387" s="27">
        <v>99.4</v>
      </c>
      <c r="C387" s="27">
        <v>594</v>
      </c>
      <c r="D387" s="19">
        <f t="shared" ref="D387:H387" si="381">1/C$23-LN(C$23)+$B387*C$22</f>
        <v>51.813570391732242</v>
      </c>
      <c r="E387" s="19">
        <f t="shared" si="381"/>
        <v>2.2883105123403098</v>
      </c>
      <c r="F387" s="19">
        <f t="shared" si="381"/>
        <v>22.242585092994048</v>
      </c>
      <c r="G387" s="19">
        <f t="shared" si="381"/>
        <v>22.242585092994048</v>
      </c>
      <c r="H387" s="19">
        <f t="shared" si="381"/>
        <v>22.242585092994048</v>
      </c>
      <c r="I387" s="16"/>
      <c r="J387" s="19">
        <f t="shared" si="351"/>
        <v>47.943546193956614</v>
      </c>
      <c r="K387" s="19">
        <f t="shared" si="352"/>
        <v>1.736461240093649</v>
      </c>
      <c r="L387" s="19">
        <f t="shared" si="353"/>
        <v>19.283343405687887</v>
      </c>
      <c r="M387" s="19">
        <f t="shared" si="354"/>
        <v>19.283343405687887</v>
      </c>
      <c r="N387" s="19">
        <f t="shared" si="355"/>
        <v>19.283343405687887</v>
      </c>
      <c r="O387" s="16"/>
      <c r="P387" s="19">
        <f t="shared" si="356"/>
        <v>61.81019182723454</v>
      </c>
      <c r="Q387" s="19">
        <f t="shared" si="357"/>
        <v>545.03129148447147</v>
      </c>
      <c r="R387" s="19">
        <f t="shared" si="358"/>
        <v>0</v>
      </c>
      <c r="S387" s="19">
        <f t="shared" si="359"/>
        <v>0</v>
      </c>
      <c r="T387" s="19">
        <f t="shared" si="360"/>
        <v>0</v>
      </c>
      <c r="U387" s="16"/>
      <c r="V387" s="19">
        <f t="shared" si="361"/>
        <v>606.84148331170604</v>
      </c>
      <c r="W387" s="16"/>
      <c r="X387" s="19">
        <f t="shared" si="362"/>
        <v>164.90369364482478</v>
      </c>
      <c r="Y387" s="19">
        <f t="shared" si="363"/>
        <v>12.841483311706043</v>
      </c>
      <c r="Z387" s="19"/>
      <c r="AA387" s="19">
        <f t="shared" si="364"/>
        <v>3.1724284800530439E-5</v>
      </c>
    </row>
    <row r="388" spans="2:27" x14ac:dyDescent="0.3">
      <c r="B388" s="27">
        <v>99.699999999999989</v>
      </c>
      <c r="C388" s="27">
        <v>587</v>
      </c>
      <c r="D388" s="19">
        <f t="shared" ref="D388:H388" si="382">1/C$23-LN(C$23)+$B388*C$22</f>
        <v>51.9172851419304</v>
      </c>
      <c r="E388" s="19">
        <f t="shared" si="382"/>
        <v>2.2910711044354528</v>
      </c>
      <c r="F388" s="19">
        <f t="shared" si="382"/>
        <v>22.272585092994042</v>
      </c>
      <c r="G388" s="19">
        <f t="shared" si="382"/>
        <v>22.272585092994042</v>
      </c>
      <c r="H388" s="19">
        <f t="shared" si="382"/>
        <v>22.272585092994042</v>
      </c>
      <c r="I388" s="16"/>
      <c r="J388" s="19">
        <f t="shared" si="351"/>
        <v>48.045144071526785</v>
      </c>
      <c r="K388" s="19">
        <f t="shared" si="352"/>
        <v>1.7382133367230221</v>
      </c>
      <c r="L388" s="19">
        <f t="shared" si="353"/>
        <v>19.311865398500537</v>
      </c>
      <c r="M388" s="19">
        <f t="shared" si="354"/>
        <v>19.311865398500537</v>
      </c>
      <c r="N388" s="19">
        <f t="shared" si="355"/>
        <v>19.311865398500537</v>
      </c>
      <c r="O388" s="16"/>
      <c r="P388" s="19">
        <f t="shared" si="356"/>
        <v>61.551715778053385</v>
      </c>
      <c r="Q388" s="19">
        <f t="shared" si="357"/>
        <v>544.13351011608518</v>
      </c>
      <c r="R388" s="19">
        <f t="shared" si="358"/>
        <v>0</v>
      </c>
      <c r="S388" s="19">
        <f t="shared" si="359"/>
        <v>0</v>
      </c>
      <c r="T388" s="19">
        <f t="shared" si="360"/>
        <v>0</v>
      </c>
      <c r="U388" s="16"/>
      <c r="V388" s="19">
        <f t="shared" si="361"/>
        <v>605.68522589413851</v>
      </c>
      <c r="W388" s="16"/>
      <c r="X388" s="19">
        <f t="shared" si="362"/>
        <v>349.13766671498433</v>
      </c>
      <c r="Y388" s="19">
        <f t="shared" si="363"/>
        <v>18.685225894138512</v>
      </c>
      <c r="Z388" s="19"/>
      <c r="AA388" s="19">
        <f t="shared" si="364"/>
        <v>4.6160977936834904E-5</v>
      </c>
    </row>
    <row r="389" spans="2:27" x14ac:dyDescent="0.3">
      <c r="B389" s="27">
        <v>100</v>
      </c>
      <c r="C389" s="27">
        <v>611</v>
      </c>
      <c r="D389" s="19">
        <f t="shared" ref="D389:H389" si="383">1/C$23-LN(C$23)+$B389*C$22</f>
        <v>52.020999892128572</v>
      </c>
      <c r="E389" s="19">
        <f t="shared" si="383"/>
        <v>2.2938316965305958</v>
      </c>
      <c r="F389" s="19">
        <f t="shared" si="383"/>
        <v>22.302585092994043</v>
      </c>
      <c r="G389" s="19">
        <f t="shared" si="383"/>
        <v>22.302585092994043</v>
      </c>
      <c r="H389" s="19">
        <f t="shared" si="383"/>
        <v>22.302585092994043</v>
      </c>
      <c r="I389" s="16"/>
      <c r="J389" s="19">
        <f t="shared" si="351"/>
        <v>48.146746329795967</v>
      </c>
      <c r="K389" s="19">
        <f t="shared" si="352"/>
        <v>1.739966078569303</v>
      </c>
      <c r="L389" s="19">
        <f t="shared" si="353"/>
        <v>19.340389465355944</v>
      </c>
      <c r="M389" s="19">
        <f t="shared" si="354"/>
        <v>19.340389465355944</v>
      </c>
      <c r="N389" s="19">
        <f t="shared" si="355"/>
        <v>19.340389465355944</v>
      </c>
      <c r="O389" s="16"/>
      <c r="P389" s="19">
        <f t="shared" si="356"/>
        <v>61.294846693029562</v>
      </c>
      <c r="Q389" s="19">
        <f t="shared" si="357"/>
        <v>543.2376525839627</v>
      </c>
      <c r="R389" s="19">
        <f t="shared" si="358"/>
        <v>0</v>
      </c>
      <c r="S389" s="19">
        <f t="shared" si="359"/>
        <v>0</v>
      </c>
      <c r="T389" s="19">
        <f t="shared" si="360"/>
        <v>0</v>
      </c>
      <c r="U389" s="16"/>
      <c r="V389" s="19">
        <f t="shared" si="361"/>
        <v>604.53249927699221</v>
      </c>
      <c r="W389" s="16"/>
      <c r="X389" s="19">
        <f t="shared" si="362"/>
        <v>41.828565602106259</v>
      </c>
      <c r="Y389" s="19">
        <f t="shared" si="363"/>
        <v>6.4675007230077881</v>
      </c>
      <c r="Z389" s="19"/>
      <c r="AA389" s="19">
        <f t="shared" si="364"/>
        <v>1.5977658491936088E-5</v>
      </c>
    </row>
    <row r="390" spans="2:27" x14ac:dyDescent="0.3">
      <c r="B390" s="27">
        <v>100.19999999999999</v>
      </c>
      <c r="C390" s="27">
        <v>630</v>
      </c>
      <c r="D390" s="19">
        <f t="shared" ref="D390:H390" si="384">1/C$23-LN(C$23)+$B390*C$22</f>
        <v>52.090143058927346</v>
      </c>
      <c r="E390" s="19">
        <f t="shared" si="384"/>
        <v>2.2956720912606912</v>
      </c>
      <c r="F390" s="19">
        <f t="shared" si="384"/>
        <v>22.322585092994046</v>
      </c>
      <c r="G390" s="19">
        <f t="shared" si="384"/>
        <v>22.322585092994046</v>
      </c>
      <c r="H390" s="19">
        <f t="shared" si="384"/>
        <v>22.322585092994046</v>
      </c>
      <c r="I390" s="16"/>
      <c r="J390" s="19">
        <f t="shared" si="351"/>
        <v>48.214483593516668</v>
      </c>
      <c r="K390" s="19">
        <f t="shared" si="352"/>
        <v>1.7411349312969031</v>
      </c>
      <c r="L390" s="19">
        <f t="shared" si="353"/>
        <v>19.359406659374834</v>
      </c>
      <c r="M390" s="19">
        <f t="shared" si="354"/>
        <v>19.359406659374834</v>
      </c>
      <c r="N390" s="19">
        <f t="shared" si="355"/>
        <v>19.359406659374834</v>
      </c>
      <c r="O390" s="16"/>
      <c r="P390" s="19">
        <f t="shared" si="356"/>
        <v>61.12448685762304</v>
      </c>
      <c r="Q390" s="19">
        <f t="shared" si="357"/>
        <v>542.641480618934</v>
      </c>
      <c r="R390" s="19">
        <f t="shared" si="358"/>
        <v>0</v>
      </c>
      <c r="S390" s="19">
        <f t="shared" si="359"/>
        <v>0</v>
      </c>
      <c r="T390" s="19">
        <f t="shared" si="360"/>
        <v>0</v>
      </c>
      <c r="U390" s="16"/>
      <c r="V390" s="19">
        <f t="shared" si="361"/>
        <v>603.76596747655708</v>
      </c>
      <c r="W390" s="16"/>
      <c r="X390" s="19">
        <f t="shared" si="362"/>
        <v>688.22446244106095</v>
      </c>
      <c r="Y390" s="19">
        <f t="shared" si="363"/>
        <v>26.23403252344292</v>
      </c>
      <c r="Z390" s="19"/>
      <c r="AA390" s="19">
        <f t="shared" si="364"/>
        <v>6.480995217128955E-5</v>
      </c>
    </row>
    <row r="391" spans="2:27" x14ac:dyDescent="0.3">
      <c r="B391" s="27">
        <v>100.5</v>
      </c>
      <c r="C391" s="27">
        <v>601</v>
      </c>
      <c r="D391" s="19">
        <f t="shared" ref="D391:H391" si="385">1/C$23-LN(C$23)+$B391*C$22</f>
        <v>52.193857809125511</v>
      </c>
      <c r="E391" s="19">
        <f t="shared" si="385"/>
        <v>2.2984326833558346</v>
      </c>
      <c r="F391" s="19">
        <f t="shared" si="385"/>
        <v>22.352585092994047</v>
      </c>
      <c r="G391" s="19">
        <f t="shared" si="385"/>
        <v>22.352585092994047</v>
      </c>
      <c r="H391" s="19">
        <f t="shared" si="385"/>
        <v>22.352585092994047</v>
      </c>
      <c r="I391" s="16"/>
      <c r="J391" s="19">
        <f t="shared" si="351"/>
        <v>48.316093113212943</v>
      </c>
      <c r="K391" s="19">
        <f t="shared" si="352"/>
        <v>1.7428887471980969</v>
      </c>
      <c r="L391" s="19">
        <f t="shared" si="353"/>
        <v>19.3879341703955</v>
      </c>
      <c r="M391" s="19">
        <f t="shared" si="354"/>
        <v>19.3879341703955</v>
      </c>
      <c r="N391" s="19">
        <f t="shared" si="355"/>
        <v>19.3879341703955</v>
      </c>
      <c r="O391" s="16"/>
      <c r="P391" s="19">
        <f t="shared" si="356"/>
        <v>60.870266723507648</v>
      </c>
      <c r="Q391" s="19">
        <f t="shared" si="357"/>
        <v>541.74881865303496</v>
      </c>
      <c r="R391" s="19">
        <f t="shared" si="358"/>
        <v>0</v>
      </c>
      <c r="S391" s="19">
        <f t="shared" si="359"/>
        <v>0</v>
      </c>
      <c r="T391" s="19">
        <f t="shared" si="360"/>
        <v>0</v>
      </c>
      <c r="U391" s="16"/>
      <c r="V391" s="19">
        <f t="shared" si="361"/>
        <v>602.61908537654256</v>
      </c>
      <c r="W391" s="16"/>
      <c r="X391" s="19">
        <f t="shared" si="362"/>
        <v>2.6214374565339544</v>
      </c>
      <c r="Y391" s="19">
        <f t="shared" si="363"/>
        <v>1.6190853765425572</v>
      </c>
      <c r="Z391" s="19"/>
      <c r="AA391" s="19">
        <f t="shared" si="364"/>
        <v>3.9998748084644905E-6</v>
      </c>
    </row>
    <row r="392" spans="2:27" x14ac:dyDescent="0.3">
      <c r="B392" s="27">
        <v>100.79999999999998</v>
      </c>
      <c r="C392" s="27">
        <v>610</v>
      </c>
      <c r="D392" s="19">
        <f t="shared" ref="D392:H392" si="386">1/C$23-LN(C$23)+$B392*C$22</f>
        <v>52.297572559323676</v>
      </c>
      <c r="E392" s="19">
        <f t="shared" si="386"/>
        <v>2.3011932754509776</v>
      </c>
      <c r="F392" s="19">
        <f t="shared" si="386"/>
        <v>22.382585092994042</v>
      </c>
      <c r="G392" s="19">
        <f t="shared" si="386"/>
        <v>22.382585092994042</v>
      </c>
      <c r="H392" s="19">
        <f t="shared" si="386"/>
        <v>22.382585092994042</v>
      </c>
      <c r="I392" s="16"/>
      <c r="J392" s="19">
        <f t="shared" si="351"/>
        <v>48.417706966099551</v>
      </c>
      <c r="K392" s="19">
        <f t="shared" si="352"/>
        <v>1.7446432067490236</v>
      </c>
      <c r="L392" s="19">
        <f t="shared" si="353"/>
        <v>19.416463740408705</v>
      </c>
      <c r="M392" s="19">
        <f t="shared" si="354"/>
        <v>19.416463740408705</v>
      </c>
      <c r="N392" s="19">
        <f t="shared" si="355"/>
        <v>19.416463740408705</v>
      </c>
      <c r="O392" s="16"/>
      <c r="P392" s="19">
        <f t="shared" si="356"/>
        <v>60.617618585780981</v>
      </c>
      <c r="Q392" s="19">
        <f t="shared" si="357"/>
        <v>540.85806755280282</v>
      </c>
      <c r="R392" s="19">
        <f t="shared" si="358"/>
        <v>0</v>
      </c>
      <c r="S392" s="19">
        <f t="shared" si="359"/>
        <v>0</v>
      </c>
      <c r="T392" s="19">
        <f t="shared" si="360"/>
        <v>0</v>
      </c>
      <c r="U392" s="16"/>
      <c r="V392" s="19">
        <f t="shared" si="361"/>
        <v>601.4756861385838</v>
      </c>
      <c r="W392" s="16"/>
      <c r="X392" s="19">
        <f t="shared" si="362"/>
        <v>72.663926807932427</v>
      </c>
      <c r="Y392" s="19">
        <f t="shared" si="363"/>
        <v>8.5243138614162035</v>
      </c>
      <c r="Z392" s="19"/>
      <c r="AA392" s="19">
        <f t="shared" si="364"/>
        <v>2.1058919293393498E-5</v>
      </c>
    </row>
    <row r="393" spans="2:27" x14ac:dyDescent="0.3">
      <c r="B393" s="27">
        <v>101.1</v>
      </c>
      <c r="C393" s="27">
        <v>583</v>
      </c>
      <c r="D393" s="19">
        <f t="shared" ref="D393:H393" si="387">1/C$23-LN(C$23)+$B393*C$22</f>
        <v>52.401287309521841</v>
      </c>
      <c r="E393" s="19">
        <f t="shared" si="387"/>
        <v>2.3039538675461206</v>
      </c>
      <c r="F393" s="19">
        <f t="shared" si="387"/>
        <v>22.412585092994043</v>
      </c>
      <c r="G393" s="19">
        <f t="shared" si="387"/>
        <v>22.412585092994043</v>
      </c>
      <c r="H393" s="19">
        <f t="shared" si="387"/>
        <v>22.412585092994043</v>
      </c>
      <c r="I393" s="16"/>
      <c r="J393" s="19">
        <f t="shared" si="351"/>
        <v>48.519325134558422</v>
      </c>
      <c r="K393" s="19">
        <f t="shared" si="352"/>
        <v>1.7463983093628317</v>
      </c>
      <c r="L393" s="19">
        <f t="shared" si="353"/>
        <v>19.444995363812069</v>
      </c>
      <c r="M393" s="19">
        <f t="shared" si="354"/>
        <v>19.444995363812069</v>
      </c>
      <c r="N393" s="19">
        <f t="shared" si="355"/>
        <v>19.444995363812069</v>
      </c>
      <c r="O393" s="16"/>
      <c r="P393" s="19">
        <f t="shared" si="356"/>
        <v>60.366529576078577</v>
      </c>
      <c r="Q393" s="19">
        <f t="shared" si="357"/>
        <v>539.96922247947418</v>
      </c>
      <c r="R393" s="19">
        <f t="shared" si="358"/>
        <v>0</v>
      </c>
      <c r="S393" s="19">
        <f t="shared" si="359"/>
        <v>0</v>
      </c>
      <c r="T393" s="19">
        <f t="shared" si="360"/>
        <v>0</v>
      </c>
      <c r="U393" s="16"/>
      <c r="V393" s="19">
        <f t="shared" si="361"/>
        <v>600.3357520555528</v>
      </c>
      <c r="W393" s="16"/>
      <c r="X393" s="19">
        <f t="shared" si="362"/>
        <v>300.52829933160319</v>
      </c>
      <c r="Y393" s="19">
        <f t="shared" si="363"/>
        <v>17.335752055552803</v>
      </c>
      <c r="Z393" s="19"/>
      <c r="AA393" s="19">
        <f t="shared" si="364"/>
        <v>4.2827165841534951E-5</v>
      </c>
    </row>
    <row r="394" spans="2:27" x14ac:dyDescent="0.3">
      <c r="B394" s="27">
        <v>101.4</v>
      </c>
      <c r="C394" s="27">
        <v>576</v>
      </c>
      <c r="D394" s="19">
        <f t="shared" ref="D394:H394" si="388">1/C$23-LN(C$23)+$B394*C$22</f>
        <v>52.505002059720013</v>
      </c>
      <c r="E394" s="19">
        <f t="shared" si="388"/>
        <v>2.3067144596412641</v>
      </c>
      <c r="F394" s="19">
        <f t="shared" si="388"/>
        <v>22.442585092994044</v>
      </c>
      <c r="G394" s="19">
        <f t="shared" si="388"/>
        <v>22.442585092994044</v>
      </c>
      <c r="H394" s="19">
        <f t="shared" si="388"/>
        <v>22.442585092994044</v>
      </c>
      <c r="I394" s="16"/>
      <c r="J394" s="19">
        <f t="shared" si="351"/>
        <v>48.620947601077951</v>
      </c>
      <c r="K394" s="19">
        <f t="shared" si="352"/>
        <v>1.7481540544531284</v>
      </c>
      <c r="L394" s="19">
        <f t="shared" si="353"/>
        <v>19.473529035025621</v>
      </c>
      <c r="M394" s="19">
        <f t="shared" si="354"/>
        <v>19.473529035025621</v>
      </c>
      <c r="N394" s="19">
        <f t="shared" si="355"/>
        <v>19.473529035025621</v>
      </c>
      <c r="O394" s="16"/>
      <c r="P394" s="19">
        <f t="shared" si="356"/>
        <v>60.116986956904952</v>
      </c>
      <c r="Q394" s="19">
        <f t="shared" si="357"/>
        <v>539.08227860797194</v>
      </c>
      <c r="R394" s="19">
        <f t="shared" si="358"/>
        <v>0</v>
      </c>
      <c r="S394" s="19">
        <f t="shared" si="359"/>
        <v>0</v>
      </c>
      <c r="T394" s="19">
        <f t="shared" si="360"/>
        <v>0</v>
      </c>
      <c r="U394" s="16"/>
      <c r="V394" s="19">
        <f t="shared" si="361"/>
        <v>599.1992655648769</v>
      </c>
      <c r="W394" s="16"/>
      <c r="X394" s="19">
        <f t="shared" si="362"/>
        <v>538.20592274968294</v>
      </c>
      <c r="Y394" s="19">
        <f t="shared" si="363"/>
        <v>23.199265564876896</v>
      </c>
      <c r="Z394" s="19"/>
      <c r="AA394" s="19">
        <f t="shared" si="364"/>
        <v>5.7312702129386285E-5</v>
      </c>
    </row>
    <row r="395" spans="2:27" x14ac:dyDescent="0.3">
      <c r="B395" s="27">
        <v>101.69999999999999</v>
      </c>
      <c r="C395" s="27">
        <v>585</v>
      </c>
      <c r="D395" s="19">
        <f t="shared" ref="D395:H395" si="389">1/C$23-LN(C$23)+$B395*C$22</f>
        <v>52.608716809918171</v>
      </c>
      <c r="E395" s="19">
        <f t="shared" si="389"/>
        <v>2.3094750517364071</v>
      </c>
      <c r="F395" s="19">
        <f t="shared" si="389"/>
        <v>22.472585092994045</v>
      </c>
      <c r="G395" s="19">
        <f t="shared" si="389"/>
        <v>22.472585092994045</v>
      </c>
      <c r="H395" s="19">
        <f t="shared" si="389"/>
        <v>22.472585092994045</v>
      </c>
      <c r="I395" s="16"/>
      <c r="J395" s="19">
        <f t="shared" si="351"/>
        <v>48.722574348252145</v>
      </c>
      <c r="K395" s="19">
        <f t="shared" si="352"/>
        <v>1.7499104414339781</v>
      </c>
      <c r="L395" s="19">
        <f t="shared" si="353"/>
        <v>19.50206474849168</v>
      </c>
      <c r="M395" s="19">
        <f t="shared" si="354"/>
        <v>19.50206474849168</v>
      </c>
      <c r="N395" s="19">
        <f t="shared" si="355"/>
        <v>19.50206474849168</v>
      </c>
      <c r="O395" s="16"/>
      <c r="P395" s="19">
        <f t="shared" si="356"/>
        <v>59.868978120045298</v>
      </c>
      <c r="Q395" s="19">
        <f t="shared" si="357"/>
        <v>538.19723112686552</v>
      </c>
      <c r="R395" s="19">
        <f t="shared" si="358"/>
        <v>0</v>
      </c>
      <c r="S395" s="19">
        <f t="shared" si="359"/>
        <v>0</v>
      </c>
      <c r="T395" s="19">
        <f t="shared" si="360"/>
        <v>0</v>
      </c>
      <c r="U395" s="16"/>
      <c r="V395" s="19">
        <f t="shared" si="361"/>
        <v>598.06620924691083</v>
      </c>
      <c r="W395" s="16"/>
      <c r="X395" s="19">
        <f t="shared" si="362"/>
        <v>170.72582408405808</v>
      </c>
      <c r="Y395" s="19">
        <f t="shared" si="363"/>
        <v>13.06620924691083</v>
      </c>
      <c r="Z395" s="19"/>
      <c r="AA395" s="19">
        <f t="shared" si="364"/>
        <v>3.2279459728336746E-5</v>
      </c>
    </row>
    <row r="396" spans="2:27" x14ac:dyDescent="0.3">
      <c r="B396" s="27">
        <v>102</v>
      </c>
      <c r="C396" s="27">
        <v>595</v>
      </c>
      <c r="D396" s="19">
        <f t="shared" ref="D396:H396" si="390">1/C$23-LN(C$23)+$B396*C$22</f>
        <v>52.712431560116336</v>
      </c>
      <c r="E396" s="19">
        <f t="shared" si="390"/>
        <v>2.3122356438315501</v>
      </c>
      <c r="F396" s="19">
        <f t="shared" si="390"/>
        <v>22.502585092994046</v>
      </c>
      <c r="G396" s="19">
        <f t="shared" si="390"/>
        <v>22.502585092994046</v>
      </c>
      <c r="H396" s="19">
        <f t="shared" si="390"/>
        <v>22.502585092994046</v>
      </c>
      <c r="I396" s="16"/>
      <c r="J396" s="19">
        <f t="shared" si="351"/>
        <v>48.824205358779842</v>
      </c>
      <c r="K396" s="19">
        <f t="shared" si="352"/>
        <v>1.7516674697199055</v>
      </c>
      <c r="L396" s="19">
        <f t="shared" si="353"/>
        <v>19.530602498674764</v>
      </c>
      <c r="M396" s="19">
        <f t="shared" si="354"/>
        <v>19.530602498674764</v>
      </c>
      <c r="N396" s="19">
        <f t="shared" si="355"/>
        <v>19.530602498674764</v>
      </c>
      <c r="O396" s="16"/>
      <c r="P396" s="19">
        <f t="shared" si="356"/>
        <v>59.622490584999277</v>
      </c>
      <c r="Q396" s="19">
        <f t="shared" si="357"/>
        <v>537.31407523832684</v>
      </c>
      <c r="R396" s="19">
        <f t="shared" si="358"/>
        <v>0</v>
      </c>
      <c r="S396" s="19">
        <f t="shared" si="359"/>
        <v>0</v>
      </c>
      <c r="T396" s="19">
        <f t="shared" si="360"/>
        <v>0</v>
      </c>
      <c r="U396" s="16"/>
      <c r="V396" s="19">
        <f t="shared" si="361"/>
        <v>596.93656582332608</v>
      </c>
      <c r="W396" s="16"/>
      <c r="X396" s="19">
        <f t="shared" si="362"/>
        <v>3.750287188074608</v>
      </c>
      <c r="Y396" s="19">
        <f t="shared" si="363"/>
        <v>1.9365658233260774</v>
      </c>
      <c r="Z396" s="19"/>
      <c r="AA396" s="19">
        <f t="shared" si="364"/>
        <v>4.784195425318678E-6</v>
      </c>
    </row>
    <row r="397" spans="2:27" x14ac:dyDescent="0.3">
      <c r="B397" s="27">
        <v>102.19999999999999</v>
      </c>
      <c r="C397" s="27">
        <v>584</v>
      </c>
      <c r="D397" s="19">
        <f t="shared" ref="D397:H397" si="391">1/C$23-LN(C$23)+$B397*C$22</f>
        <v>52.78157472691511</v>
      </c>
      <c r="E397" s="19">
        <f t="shared" si="391"/>
        <v>2.3140760385616455</v>
      </c>
      <c r="F397" s="19">
        <f t="shared" si="391"/>
        <v>22.522585092994042</v>
      </c>
      <c r="G397" s="19">
        <f t="shared" si="391"/>
        <v>22.522585092994042</v>
      </c>
      <c r="H397" s="19">
        <f t="shared" si="391"/>
        <v>22.522585092994042</v>
      </c>
      <c r="I397" s="16"/>
      <c r="J397" s="19">
        <f t="shared" si="351"/>
        <v>48.891961725831308</v>
      </c>
      <c r="K397" s="19">
        <f t="shared" si="352"/>
        <v>1.7528391779022061</v>
      </c>
      <c r="L397" s="19">
        <f t="shared" si="353"/>
        <v>19.549628794249358</v>
      </c>
      <c r="M397" s="19">
        <f t="shared" si="354"/>
        <v>19.549628794249358</v>
      </c>
      <c r="N397" s="19">
        <f t="shared" si="355"/>
        <v>19.549628794249358</v>
      </c>
      <c r="O397" s="16"/>
      <c r="P397" s="19">
        <f t="shared" si="356"/>
        <v>59.459004623259858</v>
      </c>
      <c r="Q397" s="19">
        <f t="shared" si="357"/>
        <v>536.72635316757112</v>
      </c>
      <c r="R397" s="19">
        <f t="shared" si="358"/>
        <v>0</v>
      </c>
      <c r="S397" s="19">
        <f t="shared" si="359"/>
        <v>0</v>
      </c>
      <c r="T397" s="19">
        <f t="shared" si="360"/>
        <v>0</v>
      </c>
      <c r="U397" s="16"/>
      <c r="V397" s="19">
        <f t="shared" si="361"/>
        <v>596.18535779083095</v>
      </c>
      <c r="W397" s="16"/>
      <c r="X397" s="19">
        <f t="shared" si="362"/>
        <v>148.48294449056451</v>
      </c>
      <c r="Y397" s="19">
        <f t="shared" si="363"/>
        <v>12.185357790830949</v>
      </c>
      <c r="Z397" s="19"/>
      <c r="AA397" s="19">
        <f t="shared" si="364"/>
        <v>3.0103357343484789E-5</v>
      </c>
    </row>
    <row r="398" spans="2:27" x14ac:dyDescent="0.3">
      <c r="B398" s="27">
        <v>102.5</v>
      </c>
      <c r="C398" s="27">
        <v>619</v>
      </c>
      <c r="D398" s="19">
        <f t="shared" ref="D398:H398" si="392">1/C$23-LN(C$23)+$B398*C$22</f>
        <v>52.885289477113282</v>
      </c>
      <c r="E398" s="19">
        <f t="shared" si="392"/>
        <v>2.3168366306567889</v>
      </c>
      <c r="F398" s="19">
        <f t="shared" si="392"/>
        <v>22.552585092994043</v>
      </c>
      <c r="G398" s="19">
        <f t="shared" si="392"/>
        <v>22.552585092994043</v>
      </c>
      <c r="H398" s="19">
        <f t="shared" si="392"/>
        <v>22.552585092994043</v>
      </c>
      <c r="I398" s="16"/>
      <c r="J398" s="19">
        <f t="shared" si="351"/>
        <v>48.993599803783027</v>
      </c>
      <c r="K398" s="19">
        <f t="shared" si="352"/>
        <v>1.7545972737301196</v>
      </c>
      <c r="L398" s="19">
        <f t="shared" si="353"/>
        <v>19.578169926719614</v>
      </c>
      <c r="M398" s="19">
        <f t="shared" si="354"/>
        <v>19.578169926719614</v>
      </c>
      <c r="N398" s="19">
        <f t="shared" si="355"/>
        <v>19.578169926719614</v>
      </c>
      <c r="O398" s="16"/>
      <c r="P398" s="19">
        <f t="shared" si="356"/>
        <v>59.215025198787444</v>
      </c>
      <c r="Q398" s="19">
        <f t="shared" si="357"/>
        <v>535.84633930829216</v>
      </c>
      <c r="R398" s="19">
        <f t="shared" si="358"/>
        <v>0</v>
      </c>
      <c r="S398" s="19">
        <f t="shared" si="359"/>
        <v>0</v>
      </c>
      <c r="T398" s="19">
        <f t="shared" si="360"/>
        <v>0</v>
      </c>
      <c r="U398" s="16"/>
      <c r="V398" s="19">
        <f t="shared" si="361"/>
        <v>595.06136450707959</v>
      </c>
      <c r="W398" s="16"/>
      <c r="X398" s="19">
        <f t="shared" si="362"/>
        <v>573.05826926290888</v>
      </c>
      <c r="Y398" s="19">
        <f t="shared" si="363"/>
        <v>23.938635492920412</v>
      </c>
      <c r="Z398" s="19"/>
      <c r="AA398" s="19">
        <f t="shared" si="364"/>
        <v>5.913928100667363E-5</v>
      </c>
    </row>
    <row r="399" spans="2:27" x14ac:dyDescent="0.3">
      <c r="B399" s="27">
        <v>102.79999999999998</v>
      </c>
      <c r="C399" s="27">
        <v>549</v>
      </c>
      <c r="D399" s="19">
        <f t="shared" ref="D399:H399" si="393">1/C$23-LN(C$23)+$B399*C$22</f>
        <v>52.98900422731144</v>
      </c>
      <c r="E399" s="19">
        <f t="shared" si="393"/>
        <v>2.3195972227519319</v>
      </c>
      <c r="F399" s="19">
        <f t="shared" si="393"/>
        <v>22.582585092994044</v>
      </c>
      <c r="G399" s="19">
        <f t="shared" si="393"/>
        <v>22.582585092994044</v>
      </c>
      <c r="H399" s="19">
        <f t="shared" si="393"/>
        <v>22.582585092994044</v>
      </c>
      <c r="I399" s="16"/>
      <c r="J399" s="19">
        <f t="shared" si="351"/>
        <v>49.095242099457664</v>
      </c>
      <c r="K399" s="19">
        <f t="shared" si="352"/>
        <v>1.7563560093040878</v>
      </c>
      <c r="L399" s="19">
        <f t="shared" si="353"/>
        <v>19.606713081253158</v>
      </c>
      <c r="M399" s="19">
        <f t="shared" si="354"/>
        <v>19.606713081253158</v>
      </c>
      <c r="N399" s="19">
        <f t="shared" si="355"/>
        <v>19.606713081253158</v>
      </c>
      <c r="O399" s="16"/>
      <c r="P399" s="19">
        <f t="shared" si="356"/>
        <v>58.972534407503829</v>
      </c>
      <c r="Q399" s="19">
        <f t="shared" si="357"/>
        <v>534.96820431357082</v>
      </c>
      <c r="R399" s="19">
        <f t="shared" si="358"/>
        <v>0</v>
      </c>
      <c r="S399" s="19">
        <f t="shared" si="359"/>
        <v>0</v>
      </c>
      <c r="T399" s="19">
        <f t="shared" si="360"/>
        <v>0</v>
      </c>
      <c r="U399" s="16"/>
      <c r="V399" s="19">
        <f t="shared" si="361"/>
        <v>593.94073872107469</v>
      </c>
      <c r="W399" s="16"/>
      <c r="X399" s="19">
        <f t="shared" si="362"/>
        <v>2019.6699967959023</v>
      </c>
      <c r="Y399" s="19">
        <f t="shared" si="363"/>
        <v>44.940738721074695</v>
      </c>
      <c r="Z399" s="19"/>
      <c r="AA399" s="19">
        <f t="shared" si="364"/>
        <v>1.1102399619473462E-4</v>
      </c>
    </row>
    <row r="400" spans="2:27" x14ac:dyDescent="0.3">
      <c r="B400" s="27">
        <v>103.1</v>
      </c>
      <c r="C400" s="27">
        <v>608</v>
      </c>
      <c r="D400" s="19">
        <f t="shared" ref="D400:H400" si="394">1/C$23-LN(C$23)+$B400*C$22</f>
        <v>53.092718977509612</v>
      </c>
      <c r="E400" s="19">
        <f t="shared" si="394"/>
        <v>2.3223578148470754</v>
      </c>
      <c r="F400" s="19">
        <f t="shared" si="394"/>
        <v>22.612585092994046</v>
      </c>
      <c r="G400" s="19">
        <f t="shared" si="394"/>
        <v>22.612585092994046</v>
      </c>
      <c r="H400" s="19">
        <f t="shared" si="394"/>
        <v>22.612585092994046</v>
      </c>
      <c r="I400" s="16"/>
      <c r="J400" s="19">
        <f t="shared" si="351"/>
        <v>49.196888595931178</v>
      </c>
      <c r="K400" s="19">
        <f t="shared" si="352"/>
        <v>1.758115384040321</v>
      </c>
      <c r="L400" s="19">
        <f t="shared" si="353"/>
        <v>19.635258252394859</v>
      </c>
      <c r="M400" s="19">
        <f t="shared" si="354"/>
        <v>19.635258252394859</v>
      </c>
      <c r="N400" s="19">
        <f t="shared" si="355"/>
        <v>19.635258252394859</v>
      </c>
      <c r="O400" s="16"/>
      <c r="P400" s="19">
        <f t="shared" si="356"/>
        <v>58.731520224149627</v>
      </c>
      <c r="Q400" s="19">
        <f t="shared" si="357"/>
        <v>534.09194343510933</v>
      </c>
      <c r="R400" s="19">
        <f t="shared" si="358"/>
        <v>0</v>
      </c>
      <c r="S400" s="19">
        <f t="shared" si="359"/>
        <v>0</v>
      </c>
      <c r="T400" s="19">
        <f t="shared" si="360"/>
        <v>0</v>
      </c>
      <c r="U400" s="16"/>
      <c r="V400" s="19">
        <f t="shared" si="361"/>
        <v>592.823463659259</v>
      </c>
      <c r="W400" s="16"/>
      <c r="X400" s="19">
        <f t="shared" si="362"/>
        <v>230.32725530183208</v>
      </c>
      <c r="Y400" s="19">
        <f t="shared" si="363"/>
        <v>15.176536340740995</v>
      </c>
      <c r="Z400" s="19"/>
      <c r="AA400" s="19">
        <f t="shared" si="364"/>
        <v>3.7492924257462814E-5</v>
      </c>
    </row>
    <row r="401" spans="2:27" x14ac:dyDescent="0.3">
      <c r="B401" s="27">
        <v>103.4</v>
      </c>
      <c r="C401" s="27">
        <v>540</v>
      </c>
      <c r="D401" s="19">
        <f t="shared" ref="D401:H401" si="395">1/C$23-LN(C$23)+$B401*C$22</f>
        <v>53.196433727707777</v>
      </c>
      <c r="E401" s="19">
        <f t="shared" si="395"/>
        <v>2.3251184069422184</v>
      </c>
      <c r="F401" s="19">
        <f t="shared" si="395"/>
        <v>22.642585092994047</v>
      </c>
      <c r="G401" s="19">
        <f t="shared" si="395"/>
        <v>22.642585092994047</v>
      </c>
      <c r="H401" s="19">
        <f t="shared" si="395"/>
        <v>22.642585092994047</v>
      </c>
      <c r="I401" s="16"/>
      <c r="J401" s="19">
        <f t="shared" si="351"/>
        <v>49.298539276380431</v>
      </c>
      <c r="K401" s="19">
        <f t="shared" si="352"/>
        <v>1.7598753973554893</v>
      </c>
      <c r="L401" s="19">
        <f t="shared" si="353"/>
        <v>19.663805434711222</v>
      </c>
      <c r="M401" s="19">
        <f t="shared" si="354"/>
        <v>19.663805434711222</v>
      </c>
      <c r="N401" s="19">
        <f t="shared" si="355"/>
        <v>19.663805434711222</v>
      </c>
      <c r="O401" s="16"/>
      <c r="P401" s="19">
        <f t="shared" si="356"/>
        <v>58.491970744157712</v>
      </c>
      <c r="Q401" s="19">
        <f t="shared" si="357"/>
        <v>533.21755193802403</v>
      </c>
      <c r="R401" s="19">
        <f t="shared" si="358"/>
        <v>0</v>
      </c>
      <c r="S401" s="19">
        <f t="shared" si="359"/>
        <v>0</v>
      </c>
      <c r="T401" s="19">
        <f t="shared" si="360"/>
        <v>0</v>
      </c>
      <c r="U401" s="16"/>
      <c r="V401" s="19">
        <f t="shared" si="361"/>
        <v>591.70952268218173</v>
      </c>
      <c r="W401" s="16"/>
      <c r="X401" s="19">
        <f t="shared" si="362"/>
        <v>2673.8747360190664</v>
      </c>
      <c r="Y401" s="19">
        <f t="shared" si="363"/>
        <v>51.709522682181728</v>
      </c>
      <c r="Z401" s="19"/>
      <c r="AA401" s="19">
        <f t="shared" si="364"/>
        <v>1.2774596085591002E-4</v>
      </c>
    </row>
    <row r="402" spans="2:27" x14ac:dyDescent="0.3">
      <c r="B402" s="27">
        <v>103.69999999999999</v>
      </c>
      <c r="C402" s="27">
        <v>590</v>
      </c>
      <c r="D402" s="19">
        <f t="shared" ref="D402:H402" si="396">1/C$23-LN(C$23)+$B402*C$22</f>
        <v>53.300148477905935</v>
      </c>
      <c r="E402" s="19">
        <f t="shared" si="396"/>
        <v>2.3278789990373614</v>
      </c>
      <c r="F402" s="19">
        <f t="shared" si="396"/>
        <v>22.672585092994044</v>
      </c>
      <c r="G402" s="19">
        <f t="shared" si="396"/>
        <v>22.672585092994044</v>
      </c>
      <c r="H402" s="19">
        <f t="shared" si="396"/>
        <v>22.672585092994044</v>
      </c>
      <c r="I402" s="16"/>
      <c r="J402" s="19">
        <f t="shared" si="351"/>
        <v>49.400194124082482</v>
      </c>
      <c r="K402" s="19">
        <f t="shared" si="352"/>
        <v>1.7616360486667242</v>
      </c>
      <c r="L402" s="19">
        <f t="shared" si="353"/>
        <v>19.69235462279029</v>
      </c>
      <c r="M402" s="19">
        <f t="shared" si="354"/>
        <v>19.69235462279029</v>
      </c>
      <c r="N402" s="19">
        <f t="shared" si="355"/>
        <v>19.69235462279029</v>
      </c>
      <c r="O402" s="16"/>
      <c r="P402" s="19">
        <f t="shared" si="356"/>
        <v>58.253874182207198</v>
      </c>
      <c r="Q402" s="19">
        <f t="shared" si="357"/>
        <v>532.34502510080313</v>
      </c>
      <c r="R402" s="19">
        <f t="shared" si="358"/>
        <v>0</v>
      </c>
      <c r="S402" s="19">
        <f t="shared" si="359"/>
        <v>0</v>
      </c>
      <c r="T402" s="19">
        <f t="shared" si="360"/>
        <v>0</v>
      </c>
      <c r="U402" s="16"/>
      <c r="V402" s="19">
        <f t="shared" si="361"/>
        <v>590.59889928301027</v>
      </c>
      <c r="W402" s="16"/>
      <c r="X402" s="19">
        <f t="shared" si="362"/>
        <v>0.35868035119021408</v>
      </c>
      <c r="Y402" s="19">
        <f t="shared" si="363"/>
        <v>0.59889928301026885</v>
      </c>
      <c r="Z402" s="19"/>
      <c r="AA402" s="19">
        <f t="shared" si="364"/>
        <v>1.4795527089718322E-6</v>
      </c>
    </row>
    <row r="403" spans="2:27" x14ac:dyDescent="0.3">
      <c r="B403" s="27">
        <v>104</v>
      </c>
      <c r="C403" s="27">
        <v>592</v>
      </c>
      <c r="D403" s="19">
        <f t="shared" ref="D403:H403" si="397">1/C$23-LN(C$23)+$B403*C$22</f>
        <v>53.403863228104107</v>
      </c>
      <c r="E403" s="19">
        <f t="shared" si="397"/>
        <v>2.3306395911325049</v>
      </c>
      <c r="F403" s="19">
        <f t="shared" si="397"/>
        <v>22.702585092994045</v>
      </c>
      <c r="G403" s="19">
        <f t="shared" si="397"/>
        <v>22.702585092994045</v>
      </c>
      <c r="H403" s="19">
        <f t="shared" si="397"/>
        <v>22.702585092994045</v>
      </c>
      <c r="I403" s="16"/>
      <c r="J403" s="19">
        <f t="shared" si="351"/>
        <v>49.501853122413763</v>
      </c>
      <c r="K403" s="19">
        <f t="shared" si="352"/>
        <v>1.7633973373916187</v>
      </c>
      <c r="L403" s="19">
        <f t="shared" si="353"/>
        <v>19.720905811241536</v>
      </c>
      <c r="M403" s="19">
        <f t="shared" si="354"/>
        <v>19.720905811241536</v>
      </c>
      <c r="N403" s="19">
        <f t="shared" si="355"/>
        <v>19.720905811241536</v>
      </c>
      <c r="O403" s="16"/>
      <c r="P403" s="19">
        <f t="shared" si="356"/>
        <v>58.01721887079789</v>
      </c>
      <c r="Q403" s="19">
        <f t="shared" si="357"/>
        <v>531.4743582152671</v>
      </c>
      <c r="R403" s="19">
        <f t="shared" si="358"/>
        <v>0</v>
      </c>
      <c r="S403" s="19">
        <f t="shared" si="359"/>
        <v>0</v>
      </c>
      <c r="T403" s="19">
        <f t="shared" si="360"/>
        <v>0</v>
      </c>
      <c r="U403" s="16"/>
      <c r="V403" s="19">
        <f t="shared" si="361"/>
        <v>589.49157708606504</v>
      </c>
      <c r="W403" s="16"/>
      <c r="X403" s="19">
        <f t="shared" si="362"/>
        <v>6.2921855151539781</v>
      </c>
      <c r="Y403" s="19">
        <f t="shared" si="363"/>
        <v>2.5084229139349645</v>
      </c>
      <c r="Z403" s="19"/>
      <c r="AA403" s="19">
        <f t="shared" si="364"/>
        <v>6.1969416608833349E-6</v>
      </c>
    </row>
    <row r="404" spans="2:27" x14ac:dyDescent="0.3">
      <c r="B404" s="27">
        <v>104.19999999999999</v>
      </c>
      <c r="C404" s="27">
        <v>599</v>
      </c>
      <c r="D404" s="19">
        <f t="shared" ref="D404:H404" si="398">1/C$23-LN(C$23)+$B404*C$22</f>
        <v>53.473006394902882</v>
      </c>
      <c r="E404" s="19">
        <f t="shared" si="398"/>
        <v>2.3324799858626002</v>
      </c>
      <c r="F404" s="19">
        <f t="shared" si="398"/>
        <v>22.722585092994045</v>
      </c>
      <c r="G404" s="19">
        <f t="shared" si="398"/>
        <v>22.722585092994045</v>
      </c>
      <c r="H404" s="19">
        <f t="shared" si="398"/>
        <v>22.722585092994045</v>
      </c>
      <c r="I404" s="16"/>
      <c r="J404" s="19">
        <f t="shared" si="351"/>
        <v>49.569628085708544</v>
      </c>
      <c r="K404" s="19">
        <f t="shared" si="352"/>
        <v>1.7645718837061815</v>
      </c>
      <c r="L404" s="19">
        <f t="shared" si="353"/>
        <v>19.739941045541233</v>
      </c>
      <c r="M404" s="19">
        <f t="shared" si="354"/>
        <v>19.739941045541233</v>
      </c>
      <c r="N404" s="19">
        <f t="shared" si="355"/>
        <v>19.739941045541233</v>
      </c>
      <c r="O404" s="16"/>
      <c r="P404" s="19">
        <f t="shared" si="356"/>
        <v>57.860243648948334</v>
      </c>
      <c r="Q404" s="19">
        <f t="shared" si="357"/>
        <v>530.89494461239292</v>
      </c>
      <c r="R404" s="19">
        <f t="shared" si="358"/>
        <v>0</v>
      </c>
      <c r="S404" s="19">
        <f t="shared" si="359"/>
        <v>0</v>
      </c>
      <c r="T404" s="19">
        <f t="shared" si="360"/>
        <v>0</v>
      </c>
      <c r="U404" s="16"/>
      <c r="V404" s="19">
        <f t="shared" si="361"/>
        <v>588.75518826134123</v>
      </c>
      <c r="W404" s="16"/>
      <c r="X404" s="19">
        <f t="shared" si="362"/>
        <v>104.95616756056049</v>
      </c>
      <c r="Y404" s="19">
        <f t="shared" si="363"/>
        <v>10.244811738658768</v>
      </c>
      <c r="Z404" s="19"/>
      <c r="AA404" s="19">
        <f t="shared" si="364"/>
        <v>2.5309328948685868E-5</v>
      </c>
    </row>
    <row r="405" spans="2:27" x14ac:dyDescent="0.3">
      <c r="B405" s="27">
        <v>104.5</v>
      </c>
      <c r="C405" s="27">
        <v>577</v>
      </c>
      <c r="D405" s="19">
        <f t="shared" ref="D405:H405" si="399">1/C$23-LN(C$23)+$B405*C$22</f>
        <v>53.576721145101047</v>
      </c>
      <c r="E405" s="19">
        <f t="shared" si="399"/>
        <v>2.3352405779577436</v>
      </c>
      <c r="F405" s="19">
        <f t="shared" si="399"/>
        <v>22.752585092994046</v>
      </c>
      <c r="G405" s="19">
        <f t="shared" si="399"/>
        <v>22.752585092994046</v>
      </c>
      <c r="H405" s="19">
        <f t="shared" si="399"/>
        <v>22.752585092994046</v>
      </c>
      <c r="I405" s="16"/>
      <c r="J405" s="19">
        <f t="shared" si="351"/>
        <v>49.671293965081304</v>
      </c>
      <c r="K405" s="19">
        <f t="shared" si="352"/>
        <v>1.7663342334941901</v>
      </c>
      <c r="L405" s="19">
        <f t="shared" si="353"/>
        <v>19.768495556024977</v>
      </c>
      <c r="M405" s="19">
        <f t="shared" si="354"/>
        <v>19.768495556024977</v>
      </c>
      <c r="N405" s="19">
        <f t="shared" si="355"/>
        <v>19.768495556024977</v>
      </c>
      <c r="O405" s="16"/>
      <c r="P405" s="19">
        <f t="shared" si="356"/>
        <v>57.625964809556393</v>
      </c>
      <c r="Q405" s="19">
        <f t="shared" si="357"/>
        <v>530.02736721979443</v>
      </c>
      <c r="R405" s="19">
        <f t="shared" si="358"/>
        <v>0</v>
      </c>
      <c r="S405" s="19">
        <f t="shared" si="359"/>
        <v>0</v>
      </c>
      <c r="T405" s="19">
        <f t="shared" si="360"/>
        <v>0</v>
      </c>
      <c r="U405" s="16"/>
      <c r="V405" s="19">
        <f t="shared" si="361"/>
        <v>587.65333202935085</v>
      </c>
      <c r="W405" s="16"/>
      <c r="X405" s="19">
        <f t="shared" si="362"/>
        <v>113.49348332759268</v>
      </c>
      <c r="Y405" s="19">
        <f t="shared" si="363"/>
        <v>10.65333202935085</v>
      </c>
      <c r="Z405" s="19"/>
      <c r="AA405" s="19">
        <f t="shared" si="364"/>
        <v>2.6318559248186935E-5</v>
      </c>
    </row>
    <row r="406" spans="2:27" x14ac:dyDescent="0.3">
      <c r="B406" s="27">
        <v>104.79999999999998</v>
      </c>
      <c r="C406" s="27">
        <v>605</v>
      </c>
      <c r="D406" s="19">
        <f t="shared" ref="D406:H406" si="400">1/C$23-LN(C$23)+$B406*C$22</f>
        <v>53.680435895299212</v>
      </c>
      <c r="E406" s="19">
        <f t="shared" si="400"/>
        <v>2.3380011700528867</v>
      </c>
      <c r="F406" s="19">
        <f t="shared" si="400"/>
        <v>22.782585092994044</v>
      </c>
      <c r="G406" s="19">
        <f t="shared" si="400"/>
        <v>22.782585092994044</v>
      </c>
      <c r="H406" s="19">
        <f t="shared" si="400"/>
        <v>22.782585092994044</v>
      </c>
      <c r="I406" s="16"/>
      <c r="J406" s="19">
        <f t="shared" si="351"/>
        <v>49.772963951233628</v>
      </c>
      <c r="K406" s="19">
        <f t="shared" si="352"/>
        <v>1.768097219145029</v>
      </c>
      <c r="L406" s="19">
        <f t="shared" si="353"/>
        <v>19.797052052610027</v>
      </c>
      <c r="M406" s="19">
        <f t="shared" si="354"/>
        <v>19.797052052610027</v>
      </c>
      <c r="N406" s="19">
        <f t="shared" si="355"/>
        <v>19.797052052610027</v>
      </c>
      <c r="O406" s="16"/>
      <c r="P406" s="19">
        <f t="shared" si="356"/>
        <v>57.393096672753948</v>
      </c>
      <c r="Q406" s="19">
        <f t="shared" si="357"/>
        <v>529.16163728860943</v>
      </c>
      <c r="R406" s="19">
        <f t="shared" si="358"/>
        <v>0</v>
      </c>
      <c r="S406" s="19">
        <f t="shared" si="359"/>
        <v>0</v>
      </c>
      <c r="T406" s="19">
        <f t="shared" si="360"/>
        <v>0</v>
      </c>
      <c r="U406" s="16"/>
      <c r="V406" s="19">
        <f t="shared" si="361"/>
        <v>586.55473396136335</v>
      </c>
      <c r="W406" s="16"/>
      <c r="X406" s="19">
        <f t="shared" si="362"/>
        <v>340.22783923608245</v>
      </c>
      <c r="Y406" s="19">
        <f t="shared" si="363"/>
        <v>18.445266038636646</v>
      </c>
      <c r="Z406" s="19"/>
      <c r="AA406" s="19">
        <f t="shared" si="364"/>
        <v>4.556816832038694E-5</v>
      </c>
    </row>
    <row r="407" spans="2:27" x14ac:dyDescent="0.3">
      <c r="B407" s="27">
        <v>105.1</v>
      </c>
      <c r="C407" s="27">
        <v>577</v>
      </c>
      <c r="D407" s="19">
        <f t="shared" ref="D407:H407" si="401">1/C$23-LN(C$23)+$B407*C$22</f>
        <v>53.784150645497377</v>
      </c>
      <c r="E407" s="19">
        <f t="shared" si="401"/>
        <v>2.3407617621480297</v>
      </c>
      <c r="F407" s="19">
        <f t="shared" si="401"/>
        <v>22.812585092994045</v>
      </c>
      <c r="G407" s="19">
        <f t="shared" si="401"/>
        <v>22.812585092994045</v>
      </c>
      <c r="H407" s="19">
        <f t="shared" si="401"/>
        <v>22.812585092994045</v>
      </c>
      <c r="I407" s="16"/>
      <c r="J407" s="19">
        <f t="shared" si="351"/>
        <v>49.874638027899657</v>
      </c>
      <c r="K407" s="19">
        <f t="shared" si="352"/>
        <v>1.7698608400779852</v>
      </c>
      <c r="L407" s="19">
        <f t="shared" si="353"/>
        <v>19.825610529983461</v>
      </c>
      <c r="M407" s="19">
        <f t="shared" si="354"/>
        <v>19.825610529983461</v>
      </c>
      <c r="N407" s="19">
        <f t="shared" si="355"/>
        <v>19.825610529983461</v>
      </c>
      <c r="O407" s="16"/>
      <c r="P407" s="19">
        <f t="shared" si="356"/>
        <v>57.161627991169013</v>
      </c>
      <c r="Q407" s="19">
        <f t="shared" si="357"/>
        <v>528.29775015919927</v>
      </c>
      <c r="R407" s="19">
        <f t="shared" si="358"/>
        <v>0</v>
      </c>
      <c r="S407" s="19">
        <f t="shared" si="359"/>
        <v>0</v>
      </c>
      <c r="T407" s="19">
        <f t="shared" si="360"/>
        <v>0</v>
      </c>
      <c r="U407" s="16"/>
      <c r="V407" s="19">
        <f t="shared" si="361"/>
        <v>585.45937815036825</v>
      </c>
      <c r="W407" s="16"/>
      <c r="X407" s="19">
        <f t="shared" si="362"/>
        <v>71.561078690927786</v>
      </c>
      <c r="Y407" s="19">
        <f t="shared" si="363"/>
        <v>8.4593781503682521</v>
      </c>
      <c r="Z407" s="19"/>
      <c r="AA407" s="19">
        <f t="shared" si="364"/>
        <v>2.0898498651867433E-5</v>
      </c>
    </row>
    <row r="408" spans="2:27" x14ac:dyDescent="0.3">
      <c r="B408" s="27">
        <v>105.4</v>
      </c>
      <c r="C408" s="27">
        <v>572</v>
      </c>
      <c r="D408" s="19">
        <f t="shared" ref="D408:H408" si="402">1/C$23-LN(C$23)+$B408*C$22</f>
        <v>53.887865395695549</v>
      </c>
      <c r="E408" s="19">
        <f t="shared" si="402"/>
        <v>2.3435223542431731</v>
      </c>
      <c r="F408" s="19">
        <f t="shared" si="402"/>
        <v>22.842585092994046</v>
      </c>
      <c r="G408" s="19">
        <f t="shared" si="402"/>
        <v>22.842585092994046</v>
      </c>
      <c r="H408" s="19">
        <f t="shared" si="402"/>
        <v>22.842585092994046</v>
      </c>
      <c r="I408" s="16"/>
      <c r="J408" s="19">
        <f t="shared" si="351"/>
        <v>49.976316178909329</v>
      </c>
      <c r="K408" s="19">
        <f t="shared" si="352"/>
        <v>1.7716250957128086</v>
      </c>
      <c r="L408" s="19">
        <f t="shared" si="353"/>
        <v>19.854170982853262</v>
      </c>
      <c r="M408" s="19">
        <f t="shared" si="354"/>
        <v>19.854170982853262</v>
      </c>
      <c r="N408" s="19">
        <f t="shared" si="355"/>
        <v>19.854170982853262</v>
      </c>
      <c r="O408" s="16"/>
      <c r="P408" s="19">
        <f t="shared" si="356"/>
        <v>56.93154762885375</v>
      </c>
      <c r="Q408" s="19">
        <f t="shared" si="357"/>
        <v>527.43570118507012</v>
      </c>
      <c r="R408" s="19">
        <f t="shared" si="358"/>
        <v>0</v>
      </c>
      <c r="S408" s="19">
        <f t="shared" si="359"/>
        <v>0</v>
      </c>
      <c r="T408" s="19">
        <f t="shared" si="360"/>
        <v>0</v>
      </c>
      <c r="U408" s="16"/>
      <c r="V408" s="19">
        <f t="shared" si="361"/>
        <v>584.36724881392388</v>
      </c>
      <c r="W408" s="16"/>
      <c r="X408" s="19">
        <f t="shared" si="362"/>
        <v>152.94884322550161</v>
      </c>
      <c r="Y408" s="19">
        <f t="shared" si="363"/>
        <v>12.367248813923879</v>
      </c>
      <c r="Z408" s="19"/>
      <c r="AA408" s="19">
        <f t="shared" si="364"/>
        <v>3.0552710621388429E-5</v>
      </c>
    </row>
    <row r="409" spans="2:27" x14ac:dyDescent="0.3">
      <c r="B409" s="27">
        <v>105.69999999999999</v>
      </c>
      <c r="C409" s="27">
        <v>642</v>
      </c>
      <c r="D409" s="19">
        <f t="shared" ref="D409:H409" si="403">1/C$23-LN(C$23)+$B409*C$22</f>
        <v>53.991580145893707</v>
      </c>
      <c r="E409" s="19">
        <f t="shared" si="403"/>
        <v>2.3462829463383161</v>
      </c>
      <c r="F409" s="19">
        <f t="shared" si="403"/>
        <v>22.872585092994044</v>
      </c>
      <c r="G409" s="19">
        <f t="shared" si="403"/>
        <v>22.872585092994044</v>
      </c>
      <c r="H409" s="19">
        <f t="shared" si="403"/>
        <v>22.872585092994044</v>
      </c>
      <c r="I409" s="16"/>
      <c r="J409" s="19">
        <f t="shared" si="351"/>
        <v>50.077998388187609</v>
      </c>
      <c r="K409" s="19">
        <f t="shared" si="352"/>
        <v>1.7733899854697115</v>
      </c>
      <c r="L409" s="19">
        <f t="shared" si="353"/>
        <v>19.882733405948201</v>
      </c>
      <c r="M409" s="19">
        <f t="shared" si="354"/>
        <v>19.882733405948201</v>
      </c>
      <c r="N409" s="19">
        <f t="shared" si="355"/>
        <v>19.882733405948201</v>
      </c>
      <c r="O409" s="16"/>
      <c r="P409" s="19">
        <f t="shared" si="356"/>
        <v>56.702844559967012</v>
      </c>
      <c r="Q409" s="19">
        <f t="shared" si="357"/>
        <v>526.5754857328343</v>
      </c>
      <c r="R409" s="19">
        <f t="shared" si="358"/>
        <v>0</v>
      </c>
      <c r="S409" s="19">
        <f t="shared" si="359"/>
        <v>0</v>
      </c>
      <c r="T409" s="19">
        <f t="shared" si="360"/>
        <v>0</v>
      </c>
      <c r="U409" s="16"/>
      <c r="V409" s="19">
        <f t="shared" si="361"/>
        <v>583.27833029280134</v>
      </c>
      <c r="W409" s="16"/>
      <c r="X409" s="19">
        <f t="shared" si="362"/>
        <v>3448.2344932013325</v>
      </c>
      <c r="Y409" s="19">
        <f t="shared" si="363"/>
        <v>58.721669707198657</v>
      </c>
      <c r="Z409" s="19"/>
      <c r="AA409" s="19">
        <f t="shared" si="364"/>
        <v>1.4506914260096928E-4</v>
      </c>
    </row>
    <row r="410" spans="2:27" x14ac:dyDescent="0.3">
      <c r="B410" s="27">
        <v>106</v>
      </c>
      <c r="C410" s="27">
        <v>609</v>
      </c>
      <c r="D410" s="19">
        <f t="shared" ref="D410:H410" si="404">1/C$23-LN(C$23)+$B410*C$22</f>
        <v>54.095294896091879</v>
      </c>
      <c r="E410" s="19">
        <f t="shared" si="404"/>
        <v>2.3490435384334591</v>
      </c>
      <c r="F410" s="19">
        <f t="shared" si="404"/>
        <v>22.902585092994045</v>
      </c>
      <c r="G410" s="19">
        <f t="shared" si="404"/>
        <v>22.902585092994045</v>
      </c>
      <c r="H410" s="19">
        <f t="shared" si="404"/>
        <v>22.902585092994045</v>
      </c>
      <c r="I410" s="16"/>
      <c r="J410" s="19">
        <f t="shared" si="351"/>
        <v>50.179684639753788</v>
      </c>
      <c r="K410" s="19">
        <f t="shared" si="352"/>
        <v>1.7751555087693696</v>
      </c>
      <c r="L410" s="19">
        <f t="shared" si="353"/>
        <v>19.911297794017763</v>
      </c>
      <c r="M410" s="19">
        <f t="shared" si="354"/>
        <v>19.911297794017763</v>
      </c>
      <c r="N410" s="19">
        <f t="shared" si="355"/>
        <v>19.911297794017763</v>
      </c>
      <c r="O410" s="16"/>
      <c r="P410" s="19">
        <f t="shared" si="356"/>
        <v>56.475507867474683</v>
      </c>
      <c r="Q410" s="19">
        <f t="shared" si="357"/>
        <v>525.71709918216993</v>
      </c>
      <c r="R410" s="19">
        <f t="shared" si="358"/>
        <v>0</v>
      </c>
      <c r="S410" s="19">
        <f t="shared" si="359"/>
        <v>0</v>
      </c>
      <c r="T410" s="19">
        <f t="shared" si="360"/>
        <v>0</v>
      </c>
      <c r="U410" s="16"/>
      <c r="V410" s="19">
        <f t="shared" si="361"/>
        <v>582.19260704964461</v>
      </c>
      <c r="W410" s="16"/>
      <c r="X410" s="19">
        <f t="shared" si="362"/>
        <v>718.63631679476396</v>
      </c>
      <c r="Y410" s="19">
        <f t="shared" si="363"/>
        <v>26.807392950355393</v>
      </c>
      <c r="Z410" s="19"/>
      <c r="AA410" s="19">
        <f t="shared" si="364"/>
        <v>6.6226412328983619E-5</v>
      </c>
    </row>
    <row r="411" spans="2:27" x14ac:dyDescent="0.3">
      <c r="B411" s="27">
        <v>106.19999999999999</v>
      </c>
      <c r="C411" s="27">
        <v>601</v>
      </c>
      <c r="D411" s="19">
        <f t="shared" ref="D411:H411" si="405">1/C$23-LN(C$23)+$B411*C$22</f>
        <v>54.164438062890646</v>
      </c>
      <c r="E411" s="19">
        <f t="shared" si="405"/>
        <v>2.3508839331635545</v>
      </c>
      <c r="F411" s="19">
        <f t="shared" si="405"/>
        <v>22.922585092994044</v>
      </c>
      <c r="G411" s="19">
        <f t="shared" si="405"/>
        <v>22.922585092994044</v>
      </c>
      <c r="H411" s="19">
        <f t="shared" si="405"/>
        <v>22.922585092994044</v>
      </c>
      <c r="I411" s="16"/>
      <c r="J411" s="19">
        <f t="shared" si="351"/>
        <v>50.247477711997384</v>
      </c>
      <c r="K411" s="19">
        <f t="shared" si="352"/>
        <v>1.7763328759847967</v>
      </c>
      <c r="L411" s="19">
        <f t="shared" si="353"/>
        <v>19.930341808466508</v>
      </c>
      <c r="M411" s="19">
        <f t="shared" si="354"/>
        <v>19.930341808466508</v>
      </c>
      <c r="N411" s="19">
        <f t="shared" si="355"/>
        <v>19.930341808466508</v>
      </c>
      <c r="O411" s="16"/>
      <c r="P411" s="19">
        <f t="shared" si="356"/>
        <v>56.324703828061125</v>
      </c>
      <c r="Q411" s="19">
        <f t="shared" si="357"/>
        <v>525.14585526241262</v>
      </c>
      <c r="R411" s="19">
        <f t="shared" si="358"/>
        <v>0</v>
      </c>
      <c r="S411" s="19">
        <f t="shared" si="359"/>
        <v>0</v>
      </c>
      <c r="T411" s="19">
        <f t="shared" si="360"/>
        <v>0</v>
      </c>
      <c r="U411" s="16"/>
      <c r="V411" s="19">
        <f t="shared" si="361"/>
        <v>581.47055909047378</v>
      </c>
      <c r="W411" s="16"/>
      <c r="X411" s="19">
        <f t="shared" si="362"/>
        <v>381.39906223867615</v>
      </c>
      <c r="Y411" s="19">
        <f t="shared" si="363"/>
        <v>19.529440909526215</v>
      </c>
      <c r="Z411" s="19"/>
      <c r="AA411" s="19">
        <f t="shared" si="364"/>
        <v>4.8246571705946424E-5</v>
      </c>
    </row>
    <row r="412" spans="2:27" x14ac:dyDescent="0.3">
      <c r="B412" s="27">
        <v>106.5</v>
      </c>
      <c r="C412" s="27">
        <v>605</v>
      </c>
      <c r="D412" s="19">
        <f t="shared" ref="D412:H412" si="406">1/C$23-LN(C$23)+$B412*C$22</f>
        <v>54.268152813088818</v>
      </c>
      <c r="E412" s="19">
        <f t="shared" si="406"/>
        <v>2.3536445252586979</v>
      </c>
      <c r="F412" s="19">
        <f t="shared" si="406"/>
        <v>22.952585092994045</v>
      </c>
      <c r="G412" s="19">
        <f t="shared" si="406"/>
        <v>22.952585092994045</v>
      </c>
      <c r="H412" s="19">
        <f t="shared" si="406"/>
        <v>22.952585092994045</v>
      </c>
      <c r="I412" s="16"/>
      <c r="J412" s="19">
        <f t="shared" si="351"/>
        <v>50.34917066545114</v>
      </c>
      <c r="K412" s="19">
        <f t="shared" si="352"/>
        <v>1.7780994539029207</v>
      </c>
      <c r="L412" s="19">
        <f t="shared" si="353"/>
        <v>19.958909459881809</v>
      </c>
      <c r="M412" s="19">
        <f t="shared" si="354"/>
        <v>19.958909459881809</v>
      </c>
      <c r="N412" s="19">
        <f t="shared" si="355"/>
        <v>19.958909459881809</v>
      </c>
      <c r="O412" s="16"/>
      <c r="P412" s="19">
        <f t="shared" si="356"/>
        <v>56.099620460955393</v>
      </c>
      <c r="Q412" s="19">
        <f t="shared" si="357"/>
        <v>524.29050664901376</v>
      </c>
      <c r="R412" s="19">
        <f t="shared" si="358"/>
        <v>0</v>
      </c>
      <c r="S412" s="19">
        <f t="shared" si="359"/>
        <v>0</v>
      </c>
      <c r="T412" s="19">
        <f t="shared" si="360"/>
        <v>0</v>
      </c>
      <c r="U412" s="16"/>
      <c r="V412" s="19">
        <f t="shared" si="361"/>
        <v>580.39012710996917</v>
      </c>
      <c r="W412" s="16"/>
      <c r="X412" s="19">
        <f t="shared" si="362"/>
        <v>605.64584366347435</v>
      </c>
      <c r="Y412" s="19">
        <f t="shared" si="363"/>
        <v>24.609872890030829</v>
      </c>
      <c r="Z412" s="19"/>
      <c r="AA412" s="19">
        <f t="shared" si="364"/>
        <v>6.0797541648206058E-5</v>
      </c>
    </row>
    <row r="413" spans="2:27" x14ac:dyDescent="0.3">
      <c r="B413" s="27">
        <v>106.79999999999998</v>
      </c>
      <c r="C413" s="27">
        <v>572</v>
      </c>
      <c r="D413" s="19">
        <f t="shared" ref="D413:H413" si="407">1/C$23-LN(C$23)+$B413*C$22</f>
        <v>54.371867563286976</v>
      </c>
      <c r="E413" s="19">
        <f t="shared" si="407"/>
        <v>2.356405117353841</v>
      </c>
      <c r="F413" s="19">
        <f t="shared" si="407"/>
        <v>22.982585092994043</v>
      </c>
      <c r="G413" s="19">
        <f t="shared" si="407"/>
        <v>22.982585092994043</v>
      </c>
      <c r="H413" s="19">
        <f t="shared" si="407"/>
        <v>22.982585092994043</v>
      </c>
      <c r="I413" s="16"/>
      <c r="J413" s="19">
        <f t="shared" si="351"/>
        <v>50.450867619032998</v>
      </c>
      <c r="K413" s="19">
        <f t="shared" si="352"/>
        <v>1.7798666638212044</v>
      </c>
      <c r="L413" s="19">
        <f t="shared" si="353"/>
        <v>19.987479062370696</v>
      </c>
      <c r="M413" s="19">
        <f t="shared" si="354"/>
        <v>19.987479062370696</v>
      </c>
      <c r="N413" s="19">
        <f t="shared" si="355"/>
        <v>19.987479062370696</v>
      </c>
      <c r="O413" s="16"/>
      <c r="P413" s="19">
        <f t="shared" si="356"/>
        <v>55.87587488040748</v>
      </c>
      <c r="Q413" s="19">
        <f t="shared" si="357"/>
        <v>523.43697467990489</v>
      </c>
      <c r="R413" s="19">
        <f t="shared" si="358"/>
        <v>0</v>
      </c>
      <c r="S413" s="19">
        <f t="shared" si="359"/>
        <v>0</v>
      </c>
      <c r="T413" s="19">
        <f t="shared" si="360"/>
        <v>0</v>
      </c>
      <c r="U413" s="16"/>
      <c r="V413" s="19">
        <f t="shared" si="361"/>
        <v>579.31284956031232</v>
      </c>
      <c r="W413" s="16"/>
      <c r="X413" s="19">
        <f t="shared" si="362"/>
        <v>53.477768691760026</v>
      </c>
      <c r="Y413" s="19">
        <f t="shared" si="363"/>
        <v>7.3128495603123156</v>
      </c>
      <c r="Z413" s="19"/>
      <c r="AA413" s="19">
        <f t="shared" si="364"/>
        <v>1.806605331514154E-5</v>
      </c>
    </row>
    <row r="414" spans="2:27" x14ac:dyDescent="0.3">
      <c r="B414" s="27">
        <v>107.1</v>
      </c>
      <c r="C414" s="27">
        <v>576</v>
      </c>
      <c r="D414" s="19">
        <f t="shared" ref="D414:H414" si="408">1/C$23-LN(C$23)+$B414*C$22</f>
        <v>54.475582313485148</v>
      </c>
      <c r="E414" s="19">
        <f t="shared" si="408"/>
        <v>2.359165709448984</v>
      </c>
      <c r="F414" s="19">
        <f t="shared" si="408"/>
        <v>23.012585092994044</v>
      </c>
      <c r="G414" s="19">
        <f t="shared" si="408"/>
        <v>23.012585092994044</v>
      </c>
      <c r="H414" s="19">
        <f t="shared" si="408"/>
        <v>23.012585092994044</v>
      </c>
      <c r="I414" s="16"/>
      <c r="J414" s="19">
        <f t="shared" si="351"/>
        <v>50.552568557101814</v>
      </c>
      <c r="K414" s="19">
        <f t="shared" si="352"/>
        <v>1.7816345051620257</v>
      </c>
      <c r="L414" s="19">
        <f t="shared" si="353"/>
        <v>20.016050610757617</v>
      </c>
      <c r="M414" s="19">
        <f t="shared" si="354"/>
        <v>20.016050610757617</v>
      </c>
      <c r="N414" s="19">
        <f t="shared" si="355"/>
        <v>20.016050610757617</v>
      </c>
      <c r="O414" s="16"/>
      <c r="P414" s="19">
        <f t="shared" si="356"/>
        <v>55.653456557509628</v>
      </c>
      <c r="Q414" s="19">
        <f t="shared" si="357"/>
        <v>522.58525478233571</v>
      </c>
      <c r="R414" s="19">
        <f t="shared" si="358"/>
        <v>0</v>
      </c>
      <c r="S414" s="19">
        <f t="shared" si="359"/>
        <v>0</v>
      </c>
      <c r="T414" s="19">
        <f t="shared" si="360"/>
        <v>0</v>
      </c>
      <c r="U414" s="16"/>
      <c r="V414" s="19">
        <f t="shared" si="361"/>
        <v>578.23871133984539</v>
      </c>
      <c r="W414" s="16"/>
      <c r="X414" s="19">
        <f t="shared" si="362"/>
        <v>5.0118284631523631</v>
      </c>
      <c r="Y414" s="19">
        <f t="shared" si="363"/>
        <v>2.2387113398453948</v>
      </c>
      <c r="Z414" s="19"/>
      <c r="AA414" s="19">
        <f t="shared" si="364"/>
        <v>5.5306318131247799E-6</v>
      </c>
    </row>
    <row r="415" spans="2:27" x14ac:dyDescent="0.3">
      <c r="B415" s="27">
        <v>107.4</v>
      </c>
      <c r="C415" s="27">
        <v>534</v>
      </c>
      <c r="D415" s="19">
        <f t="shared" ref="D415:H415" si="409">1/C$23-LN(C$23)+$B415*C$22</f>
        <v>54.579297063683313</v>
      </c>
      <c r="E415" s="19">
        <f t="shared" si="409"/>
        <v>2.3619263015441274</v>
      </c>
      <c r="F415" s="19">
        <f t="shared" si="409"/>
        <v>23.042585092994045</v>
      </c>
      <c r="G415" s="19">
        <f t="shared" si="409"/>
        <v>23.042585092994045</v>
      </c>
      <c r="H415" s="19">
        <f t="shared" si="409"/>
        <v>23.042585092994045</v>
      </c>
      <c r="I415" s="16"/>
      <c r="J415" s="19">
        <f t="shared" si="351"/>
        <v>50.654273464107355</v>
      </c>
      <c r="K415" s="19">
        <f t="shared" si="352"/>
        <v>1.7834029773482272</v>
      </c>
      <c r="L415" s="19">
        <f t="shared" si="353"/>
        <v>20.044624099887223</v>
      </c>
      <c r="M415" s="19">
        <f t="shared" si="354"/>
        <v>20.044624099887223</v>
      </c>
      <c r="N415" s="19">
        <f t="shared" si="355"/>
        <v>20.044624099887223</v>
      </c>
      <c r="O415" s="16"/>
      <c r="P415" s="19">
        <f t="shared" si="356"/>
        <v>55.432355066327993</v>
      </c>
      <c r="Q415" s="19">
        <f t="shared" si="357"/>
        <v>521.73534239643834</v>
      </c>
      <c r="R415" s="19">
        <f t="shared" si="358"/>
        <v>0</v>
      </c>
      <c r="S415" s="19">
        <f t="shared" si="359"/>
        <v>0</v>
      </c>
      <c r="T415" s="19">
        <f t="shared" si="360"/>
        <v>0</v>
      </c>
      <c r="U415" s="16"/>
      <c r="V415" s="19">
        <f t="shared" si="361"/>
        <v>577.16769746276634</v>
      </c>
      <c r="W415" s="16"/>
      <c r="X415" s="19">
        <f t="shared" si="362"/>
        <v>1863.4501042369236</v>
      </c>
      <c r="Y415" s="19">
        <f t="shared" si="363"/>
        <v>43.167697462766341</v>
      </c>
      <c r="Z415" s="19"/>
      <c r="AA415" s="19">
        <f t="shared" si="364"/>
        <v>1.0664378057039237E-4</v>
      </c>
    </row>
    <row r="416" spans="2:27" x14ac:dyDescent="0.3">
      <c r="B416" s="27">
        <v>107.69999999999999</v>
      </c>
      <c r="C416" s="27">
        <v>592</v>
      </c>
      <c r="D416" s="19">
        <f t="shared" ref="D416:H416" si="410">1/C$23-LN(C$23)+$B416*C$22</f>
        <v>54.683011813881471</v>
      </c>
      <c r="E416" s="19">
        <f t="shared" si="410"/>
        <v>2.3646868936392704</v>
      </c>
      <c r="F416" s="19">
        <f t="shared" si="410"/>
        <v>23.072585092994046</v>
      </c>
      <c r="G416" s="19">
        <f t="shared" si="410"/>
        <v>23.072585092994046</v>
      </c>
      <c r="H416" s="19">
        <f t="shared" si="410"/>
        <v>23.072585092994046</v>
      </c>
      <c r="I416" s="16"/>
      <c r="J416" s="19">
        <f t="shared" si="351"/>
        <v>50.755982324589638</v>
      </c>
      <c r="K416" s="19">
        <f t="shared" si="352"/>
        <v>1.785172079803117</v>
      </c>
      <c r="L416" s="19">
        <f t="shared" si="353"/>
        <v>20.073199524624265</v>
      </c>
      <c r="M416" s="19">
        <f t="shared" si="354"/>
        <v>20.073199524624265</v>
      </c>
      <c r="N416" s="19">
        <f t="shared" si="355"/>
        <v>20.073199524624265</v>
      </c>
      <c r="O416" s="16"/>
      <c r="P416" s="19">
        <f t="shared" si="356"/>
        <v>55.212560082700378</v>
      </c>
      <c r="Q416" s="19">
        <f t="shared" si="357"/>
        <v>520.88723297518891</v>
      </c>
      <c r="R416" s="19">
        <f t="shared" si="358"/>
        <v>0</v>
      </c>
      <c r="S416" s="19">
        <f t="shared" si="359"/>
        <v>0</v>
      </c>
      <c r="T416" s="19">
        <f t="shared" si="360"/>
        <v>0</v>
      </c>
      <c r="U416" s="16"/>
      <c r="V416" s="19">
        <f t="shared" si="361"/>
        <v>576.09979305788931</v>
      </c>
      <c r="W416" s="16"/>
      <c r="X416" s="19">
        <f t="shared" si="362"/>
        <v>252.81658080194484</v>
      </c>
      <c r="Y416" s="19">
        <f t="shared" si="363"/>
        <v>15.900206942110685</v>
      </c>
      <c r="Z416" s="19"/>
      <c r="AA416" s="19">
        <f t="shared" si="364"/>
        <v>3.9280718681390092E-5</v>
      </c>
    </row>
    <row r="417" spans="2:27" x14ac:dyDescent="0.3">
      <c r="B417" s="27">
        <v>108</v>
      </c>
      <c r="C417" s="27">
        <v>549</v>
      </c>
      <c r="D417" s="19">
        <f t="shared" ref="D417:H417" si="411">1/C$23-LN(C$23)+$B417*C$22</f>
        <v>54.786726564079643</v>
      </c>
      <c r="E417" s="19">
        <f t="shared" si="411"/>
        <v>2.3674474857344139</v>
      </c>
      <c r="F417" s="19">
        <f t="shared" si="411"/>
        <v>23.102585092994047</v>
      </c>
      <c r="G417" s="19">
        <f t="shared" si="411"/>
        <v>23.102585092994047</v>
      </c>
      <c r="H417" s="19">
        <f t="shared" si="411"/>
        <v>23.102585092994047</v>
      </c>
      <c r="I417" s="16"/>
      <c r="J417" s="19">
        <f t="shared" si="351"/>
        <v>50.857695123178267</v>
      </c>
      <c r="K417" s="19">
        <f t="shared" si="352"/>
        <v>1.7869418119504681</v>
      </c>
      <c r="L417" s="19">
        <f t="shared" si="353"/>
        <v>20.101776879853482</v>
      </c>
      <c r="M417" s="19">
        <f t="shared" si="354"/>
        <v>20.101776879853482</v>
      </c>
      <c r="N417" s="19">
        <f t="shared" si="355"/>
        <v>20.101776879853482</v>
      </c>
      <c r="O417" s="16"/>
      <c r="P417" s="19">
        <f t="shared" si="356"/>
        <v>54.994061383050251</v>
      </c>
      <c r="Q417" s="19">
        <f t="shared" si="357"/>
        <v>520.04092198436854</v>
      </c>
      <c r="R417" s="19">
        <f t="shared" si="358"/>
        <v>0</v>
      </c>
      <c r="S417" s="19">
        <f t="shared" si="359"/>
        <v>0</v>
      </c>
      <c r="T417" s="19">
        <f t="shared" si="360"/>
        <v>0</v>
      </c>
      <c r="U417" s="16"/>
      <c r="V417" s="19">
        <f t="shared" si="361"/>
        <v>575.03498336741882</v>
      </c>
      <c r="W417" s="16"/>
      <c r="X417" s="19">
        <f t="shared" si="362"/>
        <v>677.82035894177443</v>
      </c>
      <c r="Y417" s="19">
        <f t="shared" si="363"/>
        <v>26.034983367418818</v>
      </c>
      <c r="Z417" s="19"/>
      <c r="AA417" s="19">
        <f t="shared" si="364"/>
        <v>6.4318210527296012E-5</v>
      </c>
    </row>
    <row r="418" spans="2:27" x14ac:dyDescent="0.3">
      <c r="B418" s="27">
        <v>108.19999999999999</v>
      </c>
      <c r="C418" s="27">
        <v>577</v>
      </c>
      <c r="D418" s="19">
        <f t="shared" ref="D418:H418" si="412">1/C$23-LN(C$23)+$B418*C$22</f>
        <v>54.855869730878418</v>
      </c>
      <c r="E418" s="19">
        <f t="shared" si="412"/>
        <v>2.3692878804645092</v>
      </c>
      <c r="F418" s="19">
        <f t="shared" si="412"/>
        <v>23.122585092994044</v>
      </c>
      <c r="G418" s="19">
        <f t="shared" si="412"/>
        <v>23.122585092994044</v>
      </c>
      <c r="H418" s="19">
        <f t="shared" si="412"/>
        <v>23.122585092994044</v>
      </c>
      <c r="I418" s="16"/>
      <c r="J418" s="19">
        <f t="shared" si="351"/>
        <v>50.925505835857443</v>
      </c>
      <c r="K418" s="19">
        <f t="shared" si="352"/>
        <v>1.7881219829268351</v>
      </c>
      <c r="L418" s="19">
        <f t="shared" si="353"/>
        <v>20.120829519984902</v>
      </c>
      <c r="M418" s="19">
        <f t="shared" si="354"/>
        <v>20.120829519984902</v>
      </c>
      <c r="N418" s="19">
        <f t="shared" si="355"/>
        <v>20.120829519984902</v>
      </c>
      <c r="O418" s="16"/>
      <c r="P418" s="19">
        <f t="shared" si="356"/>
        <v>54.849110737407109</v>
      </c>
      <c r="Q418" s="19">
        <f t="shared" si="357"/>
        <v>519.47771155183091</v>
      </c>
      <c r="R418" s="19">
        <f t="shared" si="358"/>
        <v>0</v>
      </c>
      <c r="S418" s="19">
        <f t="shared" si="359"/>
        <v>0</v>
      </c>
      <c r="T418" s="19">
        <f t="shared" si="360"/>
        <v>0</v>
      </c>
      <c r="U418" s="16"/>
      <c r="V418" s="19">
        <f t="shared" si="361"/>
        <v>574.32682228923807</v>
      </c>
      <c r="W418" s="16"/>
      <c r="X418" s="19">
        <f t="shared" si="362"/>
        <v>7.1458790733144122</v>
      </c>
      <c r="Y418" s="19">
        <f t="shared" si="363"/>
        <v>2.6731777107619337</v>
      </c>
      <c r="Z418" s="19"/>
      <c r="AA418" s="19">
        <f t="shared" si="364"/>
        <v>6.6039606920904012E-6</v>
      </c>
    </row>
    <row r="419" spans="2:27" x14ac:dyDescent="0.3">
      <c r="B419" s="27">
        <v>108.5</v>
      </c>
      <c r="C419" s="27">
        <v>581</v>
      </c>
      <c r="D419" s="19">
        <f t="shared" ref="D419:H419" si="413">1/C$23-LN(C$23)+$B419*C$22</f>
        <v>54.959584481076583</v>
      </c>
      <c r="E419" s="19">
        <f t="shared" si="413"/>
        <v>2.3720484725596522</v>
      </c>
      <c r="F419" s="19">
        <f t="shared" si="413"/>
        <v>23.152585092994045</v>
      </c>
      <c r="G419" s="19">
        <f t="shared" si="413"/>
        <v>23.152585092994045</v>
      </c>
      <c r="H419" s="19">
        <f t="shared" si="413"/>
        <v>23.152585092994045</v>
      </c>
      <c r="I419" s="16"/>
      <c r="J419" s="19">
        <f t="shared" si="351"/>
        <v>51.027225164041162</v>
      </c>
      <c r="K419" s="19">
        <f t="shared" si="352"/>
        <v>1.7898927632823831</v>
      </c>
      <c r="L419" s="19">
        <f t="shared" si="353"/>
        <v>20.149410081387838</v>
      </c>
      <c r="M419" s="19">
        <f t="shared" si="354"/>
        <v>20.149410081387838</v>
      </c>
      <c r="N419" s="19">
        <f t="shared" si="355"/>
        <v>20.149410081387838</v>
      </c>
      <c r="O419" s="16"/>
      <c r="P419" s="19">
        <f t="shared" si="356"/>
        <v>54.632750061489794</v>
      </c>
      <c r="Q419" s="19">
        <f t="shared" si="357"/>
        <v>518.63438790367388</v>
      </c>
      <c r="R419" s="19">
        <f t="shared" si="358"/>
        <v>0</v>
      </c>
      <c r="S419" s="19">
        <f t="shared" si="359"/>
        <v>0</v>
      </c>
      <c r="T419" s="19">
        <f t="shared" si="360"/>
        <v>0</v>
      </c>
      <c r="U419" s="16"/>
      <c r="V419" s="19">
        <f t="shared" si="361"/>
        <v>573.26713796516367</v>
      </c>
      <c r="W419" s="16"/>
      <c r="X419" s="19">
        <f t="shared" si="362"/>
        <v>59.797155249813066</v>
      </c>
      <c r="Y419" s="19">
        <f t="shared" si="363"/>
        <v>7.7328620348363302</v>
      </c>
      <c r="Z419" s="19"/>
      <c r="AA419" s="19">
        <f t="shared" si="364"/>
        <v>1.9103674518093144E-5</v>
      </c>
    </row>
    <row r="420" spans="2:27" x14ac:dyDescent="0.3">
      <c r="B420" s="27">
        <v>108.79999999999998</v>
      </c>
      <c r="C420" s="27">
        <v>564</v>
      </c>
      <c r="D420" s="19">
        <f t="shared" ref="D420:H420" si="414">1/C$23-LN(C$23)+$B420*C$22</f>
        <v>55.063299231274748</v>
      </c>
      <c r="E420" s="19">
        <f t="shared" si="414"/>
        <v>2.3748090646547952</v>
      </c>
      <c r="F420" s="19">
        <f t="shared" si="414"/>
        <v>23.182585092994046</v>
      </c>
      <c r="G420" s="19">
        <f t="shared" si="414"/>
        <v>23.182585092994046</v>
      </c>
      <c r="H420" s="19">
        <f t="shared" si="414"/>
        <v>23.182585092994046</v>
      </c>
      <c r="I420" s="16"/>
      <c r="J420" s="19">
        <f t="shared" si="351"/>
        <v>51.128948389776006</v>
      </c>
      <c r="K420" s="19">
        <f t="shared" si="352"/>
        <v>1.7916641717960651</v>
      </c>
      <c r="L420" s="19">
        <f t="shared" si="353"/>
        <v>20.177992559739256</v>
      </c>
      <c r="M420" s="19">
        <f t="shared" si="354"/>
        <v>20.177992559739256</v>
      </c>
      <c r="N420" s="19">
        <f t="shared" si="355"/>
        <v>20.177992559739256</v>
      </c>
      <c r="O420" s="16"/>
      <c r="P420" s="19">
        <f t="shared" si="356"/>
        <v>54.417658889585518</v>
      </c>
      <c r="Q420" s="19">
        <f t="shared" si="357"/>
        <v>517.79285065700492</v>
      </c>
      <c r="R420" s="19">
        <f t="shared" si="358"/>
        <v>0</v>
      </c>
      <c r="S420" s="19">
        <f t="shared" si="359"/>
        <v>0</v>
      </c>
      <c r="T420" s="19">
        <f t="shared" si="360"/>
        <v>0</v>
      </c>
      <c r="U420" s="16"/>
      <c r="V420" s="19">
        <f t="shared" si="361"/>
        <v>572.2105095465904</v>
      </c>
      <c r="W420" s="16"/>
      <c r="X420" s="19">
        <f t="shared" si="362"/>
        <v>67.412467014652123</v>
      </c>
      <c r="Y420" s="19">
        <f t="shared" si="363"/>
        <v>8.2105095465904014</v>
      </c>
      <c r="Z420" s="19"/>
      <c r="AA420" s="19">
        <f t="shared" si="364"/>
        <v>2.0283680388858686E-5</v>
      </c>
    </row>
    <row r="421" spans="2:27" x14ac:dyDescent="0.3">
      <c r="B421" s="27">
        <v>109.1</v>
      </c>
      <c r="C421" s="27">
        <v>564</v>
      </c>
      <c r="D421" s="19">
        <f t="shared" ref="D421:H421" si="415">1/C$23-LN(C$23)+$B421*C$22</f>
        <v>55.167013981472913</v>
      </c>
      <c r="E421" s="19">
        <f t="shared" si="415"/>
        <v>2.3775696567499383</v>
      </c>
      <c r="F421" s="19">
        <f t="shared" si="415"/>
        <v>23.212585092994047</v>
      </c>
      <c r="G421" s="19">
        <f t="shared" si="415"/>
        <v>23.212585092994047</v>
      </c>
      <c r="H421" s="19">
        <f t="shared" si="415"/>
        <v>23.212585092994047</v>
      </c>
      <c r="I421" s="16"/>
      <c r="J421" s="19">
        <f t="shared" si="351"/>
        <v>51.230675498014079</v>
      </c>
      <c r="K421" s="19">
        <f t="shared" si="352"/>
        <v>1.7934362078933639</v>
      </c>
      <c r="L421" s="19">
        <f t="shared" si="353"/>
        <v>20.206576949996347</v>
      </c>
      <c r="M421" s="19">
        <f t="shared" si="354"/>
        <v>20.206576949996347</v>
      </c>
      <c r="N421" s="19">
        <f t="shared" si="355"/>
        <v>20.206576949996347</v>
      </c>
      <c r="O421" s="16"/>
      <c r="P421" s="19">
        <f t="shared" si="356"/>
        <v>54.203827357043004</v>
      </c>
      <c r="Q421" s="19">
        <f t="shared" si="357"/>
        <v>516.95309532422709</v>
      </c>
      <c r="R421" s="19">
        <f t="shared" si="358"/>
        <v>0</v>
      </c>
      <c r="S421" s="19">
        <f t="shared" si="359"/>
        <v>0</v>
      </c>
      <c r="T421" s="19">
        <f t="shared" si="360"/>
        <v>0</v>
      </c>
      <c r="U421" s="16"/>
      <c r="V421" s="19">
        <f t="shared" si="361"/>
        <v>571.15692268127009</v>
      </c>
      <c r="W421" s="16"/>
      <c r="X421" s="19">
        <f t="shared" si="362"/>
        <v>51.221542265678238</v>
      </c>
      <c r="Y421" s="19">
        <f t="shared" si="363"/>
        <v>7.156922681270089</v>
      </c>
      <c r="Z421" s="19"/>
      <c r="AA421" s="19">
        <f t="shared" si="364"/>
        <v>1.7680843242541579E-5</v>
      </c>
    </row>
    <row r="422" spans="2:27" x14ac:dyDescent="0.3">
      <c r="B422" s="27">
        <v>109.4</v>
      </c>
      <c r="C422" s="27">
        <v>546</v>
      </c>
      <c r="D422" s="19">
        <f t="shared" ref="D422:H422" si="416">1/C$23-LN(C$23)+$B422*C$22</f>
        <v>55.270728731671085</v>
      </c>
      <c r="E422" s="19">
        <f t="shared" si="416"/>
        <v>2.3803302488450822</v>
      </c>
      <c r="F422" s="19">
        <f t="shared" si="416"/>
        <v>23.242585092994048</v>
      </c>
      <c r="G422" s="19">
        <f t="shared" si="416"/>
        <v>23.242585092994048</v>
      </c>
      <c r="H422" s="19">
        <f t="shared" si="416"/>
        <v>23.242585092994048</v>
      </c>
      <c r="I422" s="16"/>
      <c r="J422" s="19">
        <f t="shared" si="351"/>
        <v>51.332406473793888</v>
      </c>
      <c r="K422" s="19">
        <f t="shared" si="352"/>
        <v>1.7952088710002285</v>
      </c>
      <c r="L422" s="19">
        <f t="shared" si="353"/>
        <v>20.235163247135834</v>
      </c>
      <c r="M422" s="19">
        <f t="shared" si="354"/>
        <v>20.235163247135834</v>
      </c>
      <c r="N422" s="19">
        <f t="shared" si="355"/>
        <v>20.235163247135834</v>
      </c>
      <c r="O422" s="16"/>
      <c r="P422" s="19">
        <f t="shared" si="356"/>
        <v>53.991245694470848</v>
      </c>
      <c r="Q422" s="19">
        <f t="shared" si="357"/>
        <v>516.11511743036942</v>
      </c>
      <c r="R422" s="19">
        <f t="shared" si="358"/>
        <v>0</v>
      </c>
      <c r="S422" s="19">
        <f t="shared" si="359"/>
        <v>0</v>
      </c>
      <c r="T422" s="19">
        <f t="shared" si="360"/>
        <v>0</v>
      </c>
      <c r="U422" s="16"/>
      <c r="V422" s="19">
        <f t="shared" si="361"/>
        <v>570.1063631248403</v>
      </c>
      <c r="W422" s="16"/>
      <c r="X422" s="19">
        <f t="shared" si="362"/>
        <v>581.11674310666024</v>
      </c>
      <c r="Y422" s="19">
        <f t="shared" si="363"/>
        <v>24.1063631248403</v>
      </c>
      <c r="Z422" s="19"/>
      <c r="AA422" s="19">
        <f t="shared" si="364"/>
        <v>5.9553644288140855E-5</v>
      </c>
    </row>
    <row r="423" spans="2:27" x14ac:dyDescent="0.3">
      <c r="B423" s="27">
        <v>109.69999999999999</v>
      </c>
      <c r="C423" s="27">
        <v>540</v>
      </c>
      <c r="D423" s="19">
        <f t="shared" ref="D423:H423" si="417">1/C$23-LN(C$23)+$B423*C$22</f>
        <v>55.374443481869243</v>
      </c>
      <c r="E423" s="19">
        <f t="shared" si="417"/>
        <v>2.3830908409402252</v>
      </c>
      <c r="F423" s="19">
        <f t="shared" si="417"/>
        <v>23.272585092994042</v>
      </c>
      <c r="G423" s="19">
        <f t="shared" si="417"/>
        <v>23.272585092994042</v>
      </c>
      <c r="H423" s="19">
        <f t="shared" si="417"/>
        <v>23.272585092994042</v>
      </c>
      <c r="I423" s="16"/>
      <c r="J423" s="19">
        <f t="shared" si="351"/>
        <v>51.434141302239652</v>
      </c>
      <c r="K423" s="19">
        <f t="shared" si="352"/>
        <v>1.7969821605430745</v>
      </c>
      <c r="L423" s="19">
        <f t="shared" si="353"/>
        <v>20.263751446153851</v>
      </c>
      <c r="M423" s="19">
        <f t="shared" si="354"/>
        <v>20.263751446153851</v>
      </c>
      <c r="N423" s="19">
        <f t="shared" si="355"/>
        <v>20.263751446153851</v>
      </c>
      <c r="O423" s="16"/>
      <c r="P423" s="19">
        <f t="shared" si="356"/>
        <v>53.779904226639346</v>
      </c>
      <c r="Q423" s="19">
        <f t="shared" si="357"/>
        <v>515.27891251304879</v>
      </c>
      <c r="R423" s="19">
        <f t="shared" si="358"/>
        <v>0</v>
      </c>
      <c r="S423" s="19">
        <f t="shared" si="359"/>
        <v>0</v>
      </c>
      <c r="T423" s="19">
        <f t="shared" si="360"/>
        <v>0</v>
      </c>
      <c r="U423" s="16"/>
      <c r="V423" s="19">
        <f t="shared" si="361"/>
        <v>569.05881673968815</v>
      </c>
      <c r="W423" s="16"/>
      <c r="X423" s="19">
        <f t="shared" si="362"/>
        <v>844.41483031078053</v>
      </c>
      <c r="Y423" s="19">
        <f t="shared" si="363"/>
        <v>29.058816739688154</v>
      </c>
      <c r="Z423" s="19"/>
      <c r="AA423" s="19">
        <f t="shared" si="364"/>
        <v>7.1788449654872023E-5</v>
      </c>
    </row>
    <row r="424" spans="2:27" x14ac:dyDescent="0.3">
      <c r="B424" s="27">
        <v>110</v>
      </c>
      <c r="C424" s="27">
        <v>543</v>
      </c>
      <c r="D424" s="19">
        <f t="shared" ref="D424:H424" si="418">1/C$23-LN(C$23)+$B424*C$22</f>
        <v>55.478158232067408</v>
      </c>
      <c r="E424" s="19">
        <f t="shared" si="418"/>
        <v>2.3858514330353682</v>
      </c>
      <c r="F424" s="19">
        <f t="shared" si="418"/>
        <v>23.302585092994043</v>
      </c>
      <c r="G424" s="19">
        <f t="shared" si="418"/>
        <v>23.302585092994043</v>
      </c>
      <c r="H424" s="19">
        <f t="shared" si="418"/>
        <v>23.302585092994043</v>
      </c>
      <c r="I424" s="16"/>
      <c r="J424" s="19">
        <f t="shared" si="351"/>
        <v>51.535879968560742</v>
      </c>
      <c r="K424" s="19">
        <f t="shared" si="352"/>
        <v>1.7987560759487848</v>
      </c>
      <c r="L424" s="19">
        <f t="shared" si="353"/>
        <v>20.292341542065884</v>
      </c>
      <c r="M424" s="19">
        <f t="shared" si="354"/>
        <v>20.292341542065884</v>
      </c>
      <c r="N424" s="19">
        <f t="shared" si="355"/>
        <v>20.292341542065884</v>
      </c>
      <c r="O424" s="16"/>
      <c r="P424" s="19">
        <f t="shared" si="356"/>
        <v>53.569793371396912</v>
      </c>
      <c r="Q424" s="19">
        <f t="shared" si="357"/>
        <v>514.44447612243164</v>
      </c>
      <c r="R424" s="19">
        <f t="shared" si="358"/>
        <v>0</v>
      </c>
      <c r="S424" s="19">
        <f t="shared" si="359"/>
        <v>0</v>
      </c>
      <c r="T424" s="19">
        <f t="shared" si="360"/>
        <v>0</v>
      </c>
      <c r="U424" s="16"/>
      <c r="V424" s="19">
        <f t="shared" si="361"/>
        <v>568.01426949382858</v>
      </c>
      <c r="W424" s="16"/>
      <c r="X424" s="19">
        <f t="shared" si="362"/>
        <v>625.71367830988311</v>
      </c>
      <c r="Y424" s="19">
        <f t="shared" si="363"/>
        <v>25.014269493828579</v>
      </c>
      <c r="Z424" s="19"/>
      <c r="AA424" s="19">
        <f t="shared" si="364"/>
        <v>6.1796584571818485E-5</v>
      </c>
    </row>
    <row r="425" spans="2:27" x14ac:dyDescent="0.3">
      <c r="B425" s="27">
        <v>110.19999999999999</v>
      </c>
      <c r="C425" s="27">
        <v>567</v>
      </c>
      <c r="D425" s="19">
        <f t="shared" ref="D425:H425" si="419">1/C$23-LN(C$23)+$B425*C$22</f>
        <v>55.547301398866182</v>
      </c>
      <c r="E425" s="19">
        <f t="shared" si="419"/>
        <v>2.3876918277654635</v>
      </c>
      <c r="F425" s="19">
        <f t="shared" si="419"/>
        <v>23.322585092994046</v>
      </c>
      <c r="G425" s="19">
        <f t="shared" si="419"/>
        <v>23.322585092994046</v>
      </c>
      <c r="H425" s="19">
        <f t="shared" si="419"/>
        <v>23.322585092994046</v>
      </c>
      <c r="I425" s="16"/>
      <c r="J425" s="19">
        <f t="shared" si="351"/>
        <v>51.603707870995301</v>
      </c>
      <c r="K425" s="19">
        <f t="shared" si="352"/>
        <v>1.799939033638041</v>
      </c>
      <c r="L425" s="19">
        <f t="shared" si="353"/>
        <v>20.311402657384459</v>
      </c>
      <c r="M425" s="19">
        <f t="shared" si="354"/>
        <v>20.311402657384459</v>
      </c>
      <c r="N425" s="19">
        <f t="shared" si="355"/>
        <v>20.311402657384459</v>
      </c>
      <c r="O425" s="16"/>
      <c r="P425" s="19">
        <f t="shared" si="356"/>
        <v>53.430398451318062</v>
      </c>
      <c r="Q425" s="19">
        <f t="shared" si="357"/>
        <v>513.88916551840487</v>
      </c>
      <c r="R425" s="19">
        <f t="shared" si="358"/>
        <v>0</v>
      </c>
      <c r="S425" s="19">
        <f t="shared" si="359"/>
        <v>0</v>
      </c>
      <c r="T425" s="19">
        <f t="shared" si="360"/>
        <v>0</v>
      </c>
      <c r="U425" s="16"/>
      <c r="V425" s="19">
        <f t="shared" si="361"/>
        <v>567.31956396972294</v>
      </c>
      <c r="W425" s="16"/>
      <c r="X425" s="19">
        <f t="shared" si="362"/>
        <v>0.10212113074508113</v>
      </c>
      <c r="Y425" s="19">
        <f t="shared" si="363"/>
        <v>0.31956396972293533</v>
      </c>
      <c r="Z425" s="19"/>
      <c r="AA425" s="19">
        <f t="shared" si="364"/>
        <v>7.8946786297163532E-7</v>
      </c>
    </row>
    <row r="426" spans="2:27" x14ac:dyDescent="0.3">
      <c r="B426" s="27">
        <v>110.5</v>
      </c>
      <c r="C426" s="27">
        <v>556</v>
      </c>
      <c r="D426" s="19">
        <f t="shared" ref="D426:H426" si="420">1/C$23-LN(C$23)+$B426*C$22</f>
        <v>55.651016149064354</v>
      </c>
      <c r="E426" s="19">
        <f t="shared" si="420"/>
        <v>2.3904524198606065</v>
      </c>
      <c r="F426" s="19">
        <f t="shared" si="420"/>
        <v>23.352585092994047</v>
      </c>
      <c r="G426" s="19">
        <f t="shared" si="420"/>
        <v>23.352585092994047</v>
      </c>
      <c r="H426" s="19">
        <f t="shared" si="420"/>
        <v>23.352585092994047</v>
      </c>
      <c r="I426" s="16"/>
      <c r="J426" s="19">
        <f t="shared" si="351"/>
        <v>51.705452901136191</v>
      </c>
      <c r="K426" s="19">
        <f t="shared" si="352"/>
        <v>1.801713990876203</v>
      </c>
      <c r="L426" s="19">
        <f t="shared" si="353"/>
        <v>20.339995903761956</v>
      </c>
      <c r="M426" s="19">
        <f t="shared" si="354"/>
        <v>20.339995903761956</v>
      </c>
      <c r="N426" s="19">
        <f t="shared" si="355"/>
        <v>20.339995903761956</v>
      </c>
      <c r="O426" s="16"/>
      <c r="P426" s="19">
        <f t="shared" si="356"/>
        <v>53.222317572811029</v>
      </c>
      <c r="Q426" s="19">
        <f t="shared" si="357"/>
        <v>513.05766681773946</v>
      </c>
      <c r="R426" s="19">
        <f t="shared" si="358"/>
        <v>0</v>
      </c>
      <c r="S426" s="19">
        <f t="shared" si="359"/>
        <v>0</v>
      </c>
      <c r="T426" s="19">
        <f t="shared" si="360"/>
        <v>0</v>
      </c>
      <c r="U426" s="16"/>
      <c r="V426" s="19">
        <f t="shared" si="361"/>
        <v>566.27998439055045</v>
      </c>
      <c r="W426" s="16"/>
      <c r="X426" s="19">
        <f t="shared" si="362"/>
        <v>105.67807906996097</v>
      </c>
      <c r="Y426" s="19">
        <f t="shared" si="363"/>
        <v>10.279984390550453</v>
      </c>
      <c r="Z426" s="19"/>
      <c r="AA426" s="19">
        <f t="shared" si="364"/>
        <v>2.5396221342556329E-5</v>
      </c>
    </row>
    <row r="427" spans="2:27" x14ac:dyDescent="0.3">
      <c r="B427" s="27">
        <v>110.79999999999998</v>
      </c>
      <c r="C427" s="27">
        <v>533</v>
      </c>
      <c r="D427" s="19">
        <f t="shared" ref="D427:H427" si="421">1/C$23-LN(C$23)+$B427*C$22</f>
        <v>55.754730899262512</v>
      </c>
      <c r="E427" s="19">
        <f t="shared" si="421"/>
        <v>2.3932130119557495</v>
      </c>
      <c r="F427" s="19">
        <f t="shared" si="421"/>
        <v>23.382585092994042</v>
      </c>
      <c r="G427" s="19">
        <f t="shared" si="421"/>
        <v>23.382585092994042</v>
      </c>
      <c r="H427" s="19">
        <f t="shared" si="421"/>
        <v>23.382585092994042</v>
      </c>
      <c r="I427" s="16"/>
      <c r="J427" s="19">
        <f t="shared" si="351"/>
        <v>51.807201730121754</v>
      </c>
      <c r="K427" s="19">
        <f t="shared" si="352"/>
        <v>1.8034895724512048</v>
      </c>
      <c r="L427" s="19">
        <f t="shared" si="353"/>
        <v>20.368591033835116</v>
      </c>
      <c r="M427" s="19">
        <f t="shared" si="354"/>
        <v>20.368591033835116</v>
      </c>
      <c r="N427" s="19">
        <f t="shared" si="355"/>
        <v>20.368591033835116</v>
      </c>
      <c r="O427" s="16"/>
      <c r="P427" s="19">
        <f t="shared" si="356"/>
        <v>53.015442201453475</v>
      </c>
      <c r="Q427" s="19">
        <f t="shared" si="357"/>
        <v>512.22792483862065</v>
      </c>
      <c r="R427" s="19">
        <f t="shared" si="358"/>
        <v>0</v>
      </c>
      <c r="S427" s="19">
        <f t="shared" si="359"/>
        <v>0</v>
      </c>
      <c r="T427" s="19">
        <f t="shared" si="360"/>
        <v>0</v>
      </c>
      <c r="U427" s="16"/>
      <c r="V427" s="19">
        <f t="shared" si="361"/>
        <v>565.24336704007408</v>
      </c>
      <c r="W427" s="16"/>
      <c r="X427" s="19">
        <f t="shared" si="362"/>
        <v>1039.6347180809353</v>
      </c>
      <c r="Y427" s="19">
        <f t="shared" si="363"/>
        <v>32.243367040074077</v>
      </c>
      <c r="Z427" s="19"/>
      <c r="AA427" s="19">
        <f t="shared" si="364"/>
        <v>7.9655732447582033E-5</v>
      </c>
    </row>
    <row r="428" spans="2:27" x14ac:dyDescent="0.3">
      <c r="B428" s="27">
        <v>111.1</v>
      </c>
      <c r="C428" s="27">
        <v>539</v>
      </c>
      <c r="D428" s="19">
        <f t="shared" ref="D428:H428" si="422">1/C$23-LN(C$23)+$B428*C$22</f>
        <v>55.858445649460684</v>
      </c>
      <c r="E428" s="19">
        <f t="shared" si="422"/>
        <v>2.395973604050893</v>
      </c>
      <c r="F428" s="19">
        <f t="shared" si="422"/>
        <v>23.412585092994043</v>
      </c>
      <c r="G428" s="19">
        <f t="shared" si="422"/>
        <v>23.412585092994043</v>
      </c>
      <c r="H428" s="19">
        <f t="shared" si="422"/>
        <v>23.412585092994043</v>
      </c>
      <c r="I428" s="16"/>
      <c r="J428" s="19">
        <f t="shared" si="351"/>
        <v>51.908954343467897</v>
      </c>
      <c r="K428" s="19">
        <f t="shared" si="352"/>
        <v>1.8052657777916452</v>
      </c>
      <c r="L428" s="19">
        <f t="shared" si="353"/>
        <v>20.397188042689457</v>
      </c>
      <c r="M428" s="19">
        <f t="shared" si="354"/>
        <v>20.397188042689457</v>
      </c>
      <c r="N428" s="19">
        <f t="shared" si="355"/>
        <v>20.397188042689457</v>
      </c>
      <c r="O428" s="16"/>
      <c r="P428" s="19">
        <f t="shared" si="356"/>
        <v>52.809763087342503</v>
      </c>
      <c r="Q428" s="19">
        <f t="shared" si="357"/>
        <v>511.39993517690681</v>
      </c>
      <c r="R428" s="19">
        <f t="shared" si="358"/>
        <v>0</v>
      </c>
      <c r="S428" s="19">
        <f t="shared" si="359"/>
        <v>0</v>
      </c>
      <c r="T428" s="19">
        <f t="shared" si="360"/>
        <v>0</v>
      </c>
      <c r="U428" s="16"/>
      <c r="V428" s="19">
        <f t="shared" si="361"/>
        <v>564.20969826424925</v>
      </c>
      <c r="W428" s="16"/>
      <c r="X428" s="19">
        <f t="shared" si="362"/>
        <v>635.52888657449193</v>
      </c>
      <c r="Y428" s="19">
        <f t="shared" si="363"/>
        <v>25.209698264249255</v>
      </c>
      <c r="Z428" s="19"/>
      <c r="AA428" s="19">
        <f t="shared" si="364"/>
        <v>6.2279382222257471E-5</v>
      </c>
    </row>
    <row r="429" spans="2:27" x14ac:dyDescent="0.3">
      <c r="B429" s="27">
        <v>111.4</v>
      </c>
      <c r="C429" s="27">
        <v>545</v>
      </c>
      <c r="D429" s="19">
        <f t="shared" ref="D429:H429" si="423">1/C$23-LN(C$23)+$B429*C$22</f>
        <v>55.962160399658849</v>
      </c>
      <c r="E429" s="19">
        <f t="shared" si="423"/>
        <v>2.3987341961460364</v>
      </c>
      <c r="F429" s="19">
        <f t="shared" si="423"/>
        <v>23.442585092994044</v>
      </c>
      <c r="G429" s="19">
        <f t="shared" si="423"/>
        <v>23.442585092994044</v>
      </c>
      <c r="H429" s="19">
        <f t="shared" si="423"/>
        <v>23.442585092994044</v>
      </c>
      <c r="I429" s="16"/>
      <c r="J429" s="19">
        <f t="shared" si="351"/>
        <v>52.010710726772608</v>
      </c>
      <c r="K429" s="19">
        <f t="shared" si="352"/>
        <v>1.807042606326591</v>
      </c>
      <c r="L429" s="19">
        <f t="shared" si="353"/>
        <v>20.425786925429346</v>
      </c>
      <c r="M429" s="19">
        <f t="shared" si="354"/>
        <v>20.425786925429346</v>
      </c>
      <c r="N429" s="19">
        <f t="shared" si="355"/>
        <v>20.425786925429346</v>
      </c>
      <c r="O429" s="16"/>
      <c r="P429" s="19">
        <f t="shared" si="356"/>
        <v>52.60527106878525</v>
      </c>
      <c r="Q429" s="19">
        <f t="shared" si="357"/>
        <v>510.57369344083094</v>
      </c>
      <c r="R429" s="19">
        <f t="shared" si="358"/>
        <v>0</v>
      </c>
      <c r="S429" s="19">
        <f t="shared" si="359"/>
        <v>0</v>
      </c>
      <c r="T429" s="19">
        <f t="shared" si="360"/>
        <v>0</v>
      </c>
      <c r="U429" s="16"/>
      <c r="V429" s="19">
        <f t="shared" si="361"/>
        <v>563.17896450961621</v>
      </c>
      <c r="W429" s="16"/>
      <c r="X429" s="19">
        <f t="shared" si="362"/>
        <v>330.47475064188563</v>
      </c>
      <c r="Y429" s="19">
        <f t="shared" si="363"/>
        <v>18.178964509616208</v>
      </c>
      <c r="Z429" s="19"/>
      <c r="AA429" s="19">
        <f t="shared" si="364"/>
        <v>4.491028282971626E-5</v>
      </c>
    </row>
    <row r="430" spans="2:27" x14ac:dyDescent="0.3">
      <c r="B430" s="27">
        <v>111.69999999999999</v>
      </c>
      <c r="C430" s="27">
        <v>581</v>
      </c>
      <c r="D430" s="19">
        <f t="shared" ref="D430:H430" si="424">1/C$23-LN(C$23)+$B430*C$22</f>
        <v>56.065875149857007</v>
      </c>
      <c r="E430" s="19">
        <f t="shared" si="424"/>
        <v>2.4014947882411795</v>
      </c>
      <c r="F430" s="19">
        <f t="shared" si="424"/>
        <v>23.472585092994045</v>
      </c>
      <c r="G430" s="19">
        <f t="shared" si="424"/>
        <v>23.472585092994045</v>
      </c>
      <c r="H430" s="19">
        <f t="shared" si="424"/>
        <v>23.472585092994045</v>
      </c>
      <c r="I430" s="16"/>
      <c r="J430" s="19">
        <f t="shared" si="351"/>
        <v>52.112470865715437</v>
      </c>
      <c r="K430" s="19">
        <f t="shared" si="352"/>
        <v>1.8088200574855782</v>
      </c>
      <c r="L430" s="19">
        <f t="shared" si="353"/>
        <v>20.454387677177934</v>
      </c>
      <c r="M430" s="19">
        <f t="shared" si="354"/>
        <v>20.454387677177934</v>
      </c>
      <c r="N430" s="19">
        <f t="shared" si="355"/>
        <v>20.454387677177934</v>
      </c>
      <c r="O430" s="16"/>
      <c r="P430" s="19">
        <f t="shared" si="356"/>
        <v>52.401957071294412</v>
      </c>
      <c r="Q430" s="19">
        <f t="shared" si="357"/>
        <v>509.74919525096215</v>
      </c>
      <c r="R430" s="19">
        <f t="shared" si="358"/>
        <v>0</v>
      </c>
      <c r="S430" s="19">
        <f t="shared" si="359"/>
        <v>0</v>
      </c>
      <c r="T430" s="19">
        <f t="shared" si="360"/>
        <v>0</v>
      </c>
      <c r="U430" s="16"/>
      <c r="V430" s="19">
        <f t="shared" si="361"/>
        <v>562.15115232225651</v>
      </c>
      <c r="W430" s="16"/>
      <c r="X430" s="19">
        <f t="shared" si="362"/>
        <v>355.27905877877623</v>
      </c>
      <c r="Y430" s="19">
        <f t="shared" si="363"/>
        <v>18.848847677743493</v>
      </c>
      <c r="Z430" s="19"/>
      <c r="AA430" s="19">
        <f t="shared" si="364"/>
        <v>4.6565197911790857E-5</v>
      </c>
    </row>
    <row r="431" spans="2:27" x14ac:dyDescent="0.3">
      <c r="B431" s="27">
        <v>112</v>
      </c>
      <c r="C431" s="27">
        <v>536</v>
      </c>
      <c r="D431" s="19">
        <f t="shared" ref="D431:H431" si="425">1/C$23-LN(C$23)+$B431*C$22</f>
        <v>56.169589900055179</v>
      </c>
      <c r="E431" s="19">
        <f t="shared" si="425"/>
        <v>2.4042553803363225</v>
      </c>
      <c r="F431" s="19">
        <f t="shared" si="425"/>
        <v>23.502585092994046</v>
      </c>
      <c r="G431" s="19">
        <f t="shared" si="425"/>
        <v>23.502585092994046</v>
      </c>
      <c r="H431" s="19">
        <f t="shared" si="425"/>
        <v>23.502585092994046</v>
      </c>
      <c r="I431" s="16"/>
      <c r="J431" s="19">
        <f t="shared" si="351"/>
        <v>52.214234746056846</v>
      </c>
      <c r="K431" s="19">
        <f t="shared" si="352"/>
        <v>1.8105981306986114</v>
      </c>
      <c r="L431" s="19">
        <f t="shared" si="353"/>
        <v>20.482990293077066</v>
      </c>
      <c r="M431" s="19">
        <f t="shared" si="354"/>
        <v>20.482990293077066</v>
      </c>
      <c r="N431" s="19">
        <f t="shared" si="355"/>
        <v>20.482990293077066</v>
      </c>
      <c r="O431" s="16"/>
      <c r="P431" s="19">
        <f t="shared" si="356"/>
        <v>52.199812106597321</v>
      </c>
      <c r="Q431" s="19">
        <f t="shared" si="357"/>
        <v>508.92643624016921</v>
      </c>
      <c r="R431" s="19">
        <f t="shared" si="358"/>
        <v>0</v>
      </c>
      <c r="S431" s="19">
        <f t="shared" si="359"/>
        <v>0</v>
      </c>
      <c r="T431" s="19">
        <f t="shared" si="360"/>
        <v>0</v>
      </c>
      <c r="U431" s="16"/>
      <c r="V431" s="19">
        <f t="shared" si="361"/>
        <v>561.12624834676649</v>
      </c>
      <c r="W431" s="16"/>
      <c r="X431" s="19">
        <f t="shared" si="362"/>
        <v>631.32835598338568</v>
      </c>
      <c r="Y431" s="19">
        <f t="shared" si="363"/>
        <v>25.126248346766488</v>
      </c>
      <c r="Z431" s="19"/>
      <c r="AA431" s="19">
        <f t="shared" si="364"/>
        <v>6.2073223098381905E-5</v>
      </c>
    </row>
    <row r="432" spans="2:27" x14ac:dyDescent="0.3">
      <c r="B432" s="27">
        <v>112.19999999999999</v>
      </c>
      <c r="C432" s="27">
        <v>528</v>
      </c>
      <c r="D432" s="19">
        <f t="shared" ref="D432:H432" si="426">1/C$23-LN(C$23)+$B432*C$22</f>
        <v>56.238733066853953</v>
      </c>
      <c r="E432" s="19">
        <f t="shared" si="426"/>
        <v>2.4060957750664178</v>
      </c>
      <c r="F432" s="19">
        <f t="shared" si="426"/>
        <v>23.522585092994042</v>
      </c>
      <c r="G432" s="19">
        <f t="shared" si="426"/>
        <v>23.522585092994042</v>
      </c>
      <c r="H432" s="19">
        <f t="shared" si="426"/>
        <v>23.522585092994042</v>
      </c>
      <c r="I432" s="16"/>
      <c r="J432" s="19">
        <f t="shared" si="351"/>
        <v>52.28207940451037</v>
      </c>
      <c r="K432" s="19">
        <f t="shared" si="352"/>
        <v>1.8117838581449484</v>
      </c>
      <c r="L432" s="19">
        <f t="shared" si="353"/>
        <v>20.502059736925002</v>
      </c>
      <c r="M432" s="19">
        <f t="shared" si="354"/>
        <v>20.502059736925002</v>
      </c>
      <c r="N432" s="19">
        <f t="shared" si="355"/>
        <v>20.502059736925002</v>
      </c>
      <c r="O432" s="16"/>
      <c r="P432" s="19">
        <f t="shared" si="356"/>
        <v>52.065693859423035</v>
      </c>
      <c r="Q432" s="19">
        <f t="shared" si="357"/>
        <v>508.3788942925155</v>
      </c>
      <c r="R432" s="19">
        <f t="shared" si="358"/>
        <v>0</v>
      </c>
      <c r="S432" s="19">
        <f t="shared" si="359"/>
        <v>0</v>
      </c>
      <c r="T432" s="19">
        <f t="shared" si="360"/>
        <v>0</v>
      </c>
      <c r="U432" s="16"/>
      <c r="V432" s="19">
        <f t="shared" si="361"/>
        <v>560.44458815193855</v>
      </c>
      <c r="W432" s="16"/>
      <c r="X432" s="19">
        <f t="shared" si="362"/>
        <v>1052.651300348911</v>
      </c>
      <c r="Y432" s="19">
        <f t="shared" si="363"/>
        <v>32.444588151938547</v>
      </c>
      <c r="Z432" s="19"/>
      <c r="AA432" s="19">
        <f t="shared" si="364"/>
        <v>8.0152839807044843E-5</v>
      </c>
    </row>
    <row r="433" spans="2:27" x14ac:dyDescent="0.3">
      <c r="B433" s="27">
        <v>112.5</v>
      </c>
      <c r="C433" s="27">
        <v>555</v>
      </c>
      <c r="D433" s="19">
        <f t="shared" ref="D433:H433" si="427">1/C$23-LN(C$23)+$B433*C$22</f>
        <v>56.342447817052118</v>
      </c>
      <c r="E433" s="19">
        <f t="shared" si="427"/>
        <v>2.4088563671615613</v>
      </c>
      <c r="F433" s="19">
        <f t="shared" si="427"/>
        <v>23.552585092994043</v>
      </c>
      <c r="G433" s="19">
        <f t="shared" si="427"/>
        <v>23.552585092994043</v>
      </c>
      <c r="H433" s="19">
        <f t="shared" si="427"/>
        <v>23.552585092994043</v>
      </c>
      <c r="I433" s="16"/>
      <c r="J433" s="19">
        <f t="shared" si="351"/>
        <v>52.383849489090444</v>
      </c>
      <c r="K433" s="19">
        <f t="shared" si="352"/>
        <v>1.8135629668493445</v>
      </c>
      <c r="L433" s="19">
        <f t="shared" si="353"/>
        <v>20.530665448996238</v>
      </c>
      <c r="M433" s="19">
        <f t="shared" si="354"/>
        <v>20.530665448996238</v>
      </c>
      <c r="N433" s="19">
        <f t="shared" si="355"/>
        <v>20.530665448996238</v>
      </c>
      <c r="O433" s="16"/>
      <c r="P433" s="19">
        <f t="shared" si="356"/>
        <v>51.86547753984626</v>
      </c>
      <c r="Q433" s="19">
        <f t="shared" si="357"/>
        <v>507.55902424206766</v>
      </c>
      <c r="R433" s="19">
        <f t="shared" si="358"/>
        <v>0</v>
      </c>
      <c r="S433" s="19">
        <f t="shared" si="359"/>
        <v>0</v>
      </c>
      <c r="T433" s="19">
        <f t="shared" si="360"/>
        <v>0</v>
      </c>
      <c r="U433" s="16"/>
      <c r="V433" s="19">
        <f t="shared" si="361"/>
        <v>559.42450178191393</v>
      </c>
      <c r="W433" s="16"/>
      <c r="X433" s="19">
        <f t="shared" si="362"/>
        <v>19.57621601815956</v>
      </c>
      <c r="Y433" s="19">
        <f t="shared" si="363"/>
        <v>4.4245017819139321</v>
      </c>
      <c r="Z433" s="19"/>
      <c r="AA433" s="19">
        <f t="shared" si="364"/>
        <v>1.0930525019795712E-5</v>
      </c>
    </row>
    <row r="434" spans="2:27" x14ac:dyDescent="0.3">
      <c r="B434" s="27">
        <v>112.79999999999998</v>
      </c>
      <c r="C434" s="27">
        <v>563</v>
      </c>
      <c r="D434" s="19">
        <f t="shared" ref="D434:H434" si="428">1/C$23-LN(C$23)+$B434*C$22</f>
        <v>56.446162567250283</v>
      </c>
      <c r="E434" s="19">
        <f t="shared" si="428"/>
        <v>2.4116169592567043</v>
      </c>
      <c r="F434" s="19">
        <f t="shared" si="428"/>
        <v>23.582585092994044</v>
      </c>
      <c r="G434" s="19">
        <f t="shared" si="428"/>
        <v>23.582585092994044</v>
      </c>
      <c r="H434" s="19">
        <f t="shared" si="428"/>
        <v>23.582585092994044</v>
      </c>
      <c r="I434" s="16"/>
      <c r="J434" s="19">
        <f t="shared" ref="J434:J497" si="429">lmb_2(D434)</f>
        <v>52.485623277487925</v>
      </c>
      <c r="K434" s="19">
        <f t="shared" ref="K434:K497" si="430">lmb_2(E434)</f>
        <v>1.8153426960900938</v>
      </c>
      <c r="L434" s="19">
        <f t="shared" ref="L434:L497" si="431">lmb_2(F434)</f>
        <v>20.559273012353561</v>
      </c>
      <c r="M434" s="19">
        <f t="shared" ref="M434:M497" si="432">lmb_2(G434)</f>
        <v>20.559273012353561</v>
      </c>
      <c r="N434" s="19">
        <f t="shared" ref="N434:N497" si="433">lmb_2(H434)</f>
        <v>20.559273012353561</v>
      </c>
      <c r="O434" s="16"/>
      <c r="P434" s="19">
        <f t="shared" ref="P434:P497" si="434">(C$21*$A$21*C$22)/(J434+J434^2)</f>
        <v>51.666406698433654</v>
      </c>
      <c r="Q434" s="19">
        <f t="shared" ref="Q434:Q497" si="435">($D$21*$A$21*$D$22)/(K434+K434^2)</f>
        <v>506.74088178486136</v>
      </c>
      <c r="R434" s="19">
        <f t="shared" ref="R434:R497" si="436">($E$21*$A$21*$E$22)/(L434+L434^2)</f>
        <v>0</v>
      </c>
      <c r="S434" s="19">
        <f t="shared" ref="S434:S497" si="437">($F$21*$A$21*$F$22)/(M434+M434^2)</f>
        <v>0</v>
      </c>
      <c r="T434" s="19">
        <f t="shared" ref="T434:T497" si="438">($G$21*$A$21*$G$22)/(N434+N434^2)</f>
        <v>0</v>
      </c>
      <c r="U434" s="16"/>
      <c r="V434" s="19">
        <f t="shared" ref="V434:V497" si="439">SUM(P434:T434)</f>
        <v>558.40728848329502</v>
      </c>
      <c r="W434" s="16"/>
      <c r="X434" s="19">
        <f t="shared" ref="X434:X497" si="440">(V434-C434)^2</f>
        <v>21.092999075674562</v>
      </c>
      <c r="Y434" s="19">
        <f t="shared" ref="Y434:Y497" si="441">ABS(V434-C434)</f>
        <v>4.5927115167049806</v>
      </c>
      <c r="Z434" s="19"/>
      <c r="AA434" s="19">
        <f t="shared" ref="AA434:AA497" si="442">Y434/$Z$39</f>
        <v>1.1346079313891039E-5</v>
      </c>
    </row>
    <row r="435" spans="2:27" x14ac:dyDescent="0.3">
      <c r="B435" s="27">
        <v>113.1</v>
      </c>
      <c r="C435" s="27">
        <v>549</v>
      </c>
      <c r="D435" s="19">
        <f t="shared" ref="D435:H435" si="443">1/C$23-LN(C$23)+$B435*C$22</f>
        <v>56.549877317448448</v>
      </c>
      <c r="E435" s="19">
        <f t="shared" si="443"/>
        <v>2.4143775513518477</v>
      </c>
      <c r="F435" s="19">
        <f t="shared" si="443"/>
        <v>23.612585092994046</v>
      </c>
      <c r="G435" s="19">
        <f t="shared" si="443"/>
        <v>23.612585092994046</v>
      </c>
      <c r="H435" s="19">
        <f t="shared" si="443"/>
        <v>23.612585092994046</v>
      </c>
      <c r="I435" s="16"/>
      <c r="J435" s="19">
        <f t="shared" si="429"/>
        <v>52.5874007557548</v>
      </c>
      <c r="K435" s="19">
        <f t="shared" si="430"/>
        <v>1.8171230452989233</v>
      </c>
      <c r="L435" s="19">
        <f t="shared" si="431"/>
        <v>20.587882422206512</v>
      </c>
      <c r="M435" s="19">
        <f t="shared" si="432"/>
        <v>20.587882422206512</v>
      </c>
      <c r="N435" s="19">
        <f t="shared" si="433"/>
        <v>20.587882422206512</v>
      </c>
      <c r="O435" s="16"/>
      <c r="P435" s="19">
        <f t="shared" si="434"/>
        <v>51.468472654763531</v>
      </c>
      <c r="Q435" s="19">
        <f t="shared" si="435"/>
        <v>505.92446259854665</v>
      </c>
      <c r="R435" s="19">
        <f t="shared" si="436"/>
        <v>0</v>
      </c>
      <c r="S435" s="19">
        <f t="shared" si="437"/>
        <v>0</v>
      </c>
      <c r="T435" s="19">
        <f t="shared" si="438"/>
        <v>0</v>
      </c>
      <c r="U435" s="16"/>
      <c r="V435" s="19">
        <f t="shared" si="439"/>
        <v>557.39293525331016</v>
      </c>
      <c r="W435" s="16"/>
      <c r="X435" s="19">
        <f t="shared" si="440"/>
        <v>70.441362166256425</v>
      </c>
      <c r="Y435" s="19">
        <f t="shared" si="441"/>
        <v>8.3929352533101564</v>
      </c>
      <c r="Z435" s="19"/>
      <c r="AA435" s="19">
        <f t="shared" si="442"/>
        <v>2.0734354577691679E-5</v>
      </c>
    </row>
    <row r="436" spans="2:27" x14ac:dyDescent="0.3">
      <c r="B436" s="27">
        <v>113.4</v>
      </c>
      <c r="C436" s="27">
        <v>568</v>
      </c>
      <c r="D436" s="19">
        <f t="shared" ref="D436:H436" si="444">1/C$23-LN(C$23)+$B436*C$22</f>
        <v>56.65359206764662</v>
      </c>
      <c r="E436" s="19">
        <f t="shared" si="444"/>
        <v>2.4171381434469907</v>
      </c>
      <c r="F436" s="19">
        <f t="shared" si="444"/>
        <v>23.642585092994047</v>
      </c>
      <c r="G436" s="19">
        <f t="shared" si="444"/>
        <v>23.642585092994047</v>
      </c>
      <c r="H436" s="19">
        <f t="shared" si="444"/>
        <v>23.642585092994047</v>
      </c>
      <c r="I436" s="16"/>
      <c r="J436" s="19">
        <f t="shared" si="429"/>
        <v>52.689181910021176</v>
      </c>
      <c r="K436" s="19">
        <f t="shared" si="430"/>
        <v>1.8189040139080292</v>
      </c>
      <c r="L436" s="19">
        <f t="shared" si="431"/>
        <v>20.616493673782895</v>
      </c>
      <c r="M436" s="19">
        <f t="shared" si="432"/>
        <v>20.616493673782895</v>
      </c>
      <c r="N436" s="19">
        <f t="shared" si="433"/>
        <v>20.616493673782895</v>
      </c>
      <c r="O436" s="16"/>
      <c r="P436" s="19">
        <f t="shared" si="434"/>
        <v>51.271666810173961</v>
      </c>
      <c r="Q436" s="19">
        <f t="shared" si="435"/>
        <v>505.10976237290123</v>
      </c>
      <c r="R436" s="19">
        <f t="shared" si="436"/>
        <v>0</v>
      </c>
      <c r="S436" s="19">
        <f t="shared" si="437"/>
        <v>0</v>
      </c>
      <c r="T436" s="19">
        <f t="shared" si="438"/>
        <v>0</v>
      </c>
      <c r="U436" s="16"/>
      <c r="V436" s="19">
        <f t="shared" si="439"/>
        <v>556.38142918307517</v>
      </c>
      <c r="W436" s="16"/>
      <c r="X436" s="19">
        <f t="shared" si="440"/>
        <v>134.99118782789731</v>
      </c>
      <c r="Y436" s="19">
        <f t="shared" si="441"/>
        <v>11.61857081692483</v>
      </c>
      <c r="Z436" s="19"/>
      <c r="AA436" s="19">
        <f t="shared" si="442"/>
        <v>2.8703136594450485E-5</v>
      </c>
    </row>
    <row r="437" spans="2:27" x14ac:dyDescent="0.3">
      <c r="B437" s="27">
        <v>113.69999999999999</v>
      </c>
      <c r="C437" s="27">
        <v>555</v>
      </c>
      <c r="D437" s="19">
        <f t="shared" ref="D437:H437" si="445">1/C$23-LN(C$23)+$B437*C$22</f>
        <v>56.757306817844778</v>
      </c>
      <c r="E437" s="19">
        <f t="shared" si="445"/>
        <v>2.4198987355421337</v>
      </c>
      <c r="F437" s="19">
        <f t="shared" si="445"/>
        <v>23.672585092994044</v>
      </c>
      <c r="G437" s="19">
        <f t="shared" si="445"/>
        <v>23.672585092994044</v>
      </c>
      <c r="H437" s="19">
        <f t="shared" si="445"/>
        <v>23.672585092994044</v>
      </c>
      <c r="I437" s="16"/>
      <c r="J437" s="19">
        <f t="shared" si="429"/>
        <v>52.790966726494702</v>
      </c>
      <c r="K437" s="19">
        <f t="shared" si="430"/>
        <v>1.8206856013500778</v>
      </c>
      <c r="L437" s="19">
        <f t="shared" si="431"/>
        <v>20.645106762328666</v>
      </c>
      <c r="M437" s="19">
        <f t="shared" si="432"/>
        <v>20.645106762328666</v>
      </c>
      <c r="N437" s="19">
        <f t="shared" si="433"/>
        <v>20.645106762328666</v>
      </c>
      <c r="O437" s="16"/>
      <c r="P437" s="19">
        <f t="shared" si="434"/>
        <v>51.075980646843327</v>
      </c>
      <c r="Q437" s="19">
        <f t="shared" si="435"/>
        <v>504.29677680979364</v>
      </c>
      <c r="R437" s="19">
        <f t="shared" si="436"/>
        <v>0</v>
      </c>
      <c r="S437" s="19">
        <f t="shared" si="437"/>
        <v>0</v>
      </c>
      <c r="T437" s="19">
        <f t="shared" si="438"/>
        <v>0</v>
      </c>
      <c r="U437" s="16"/>
      <c r="V437" s="19">
        <f t="shared" si="439"/>
        <v>555.37275745663692</v>
      </c>
      <c r="W437" s="16"/>
      <c r="X437" s="19">
        <f t="shared" si="440"/>
        <v>0.13894812147842417</v>
      </c>
      <c r="Y437" s="19">
        <f t="shared" si="441"/>
        <v>0.3727574566369185</v>
      </c>
      <c r="Z437" s="19"/>
      <c r="AA437" s="19">
        <f t="shared" si="442"/>
        <v>9.2087988815833443E-7</v>
      </c>
    </row>
    <row r="438" spans="2:27" x14ac:dyDescent="0.3">
      <c r="B438" s="27">
        <v>114</v>
      </c>
      <c r="C438" s="27">
        <v>552</v>
      </c>
      <c r="D438" s="19">
        <f t="shared" ref="D438:H438" si="446">1/C$23-LN(C$23)+$B438*C$22</f>
        <v>56.86102156804295</v>
      </c>
      <c r="E438" s="19">
        <f t="shared" si="446"/>
        <v>2.4226593276372768</v>
      </c>
      <c r="F438" s="19">
        <f t="shared" si="446"/>
        <v>23.702585092994045</v>
      </c>
      <c r="G438" s="19">
        <f t="shared" si="446"/>
        <v>23.702585092994045</v>
      </c>
      <c r="H438" s="19">
        <f t="shared" si="446"/>
        <v>23.702585092994045</v>
      </c>
      <c r="I438" s="16"/>
      <c r="J438" s="19">
        <f t="shared" si="429"/>
        <v>52.892755191460061</v>
      </c>
      <c r="K438" s="19">
        <f t="shared" si="430"/>
        <v>1.8224678070582068</v>
      </c>
      <c r="L438" s="19">
        <f t="shared" si="431"/>
        <v>20.673721683107864</v>
      </c>
      <c r="M438" s="19">
        <f t="shared" si="432"/>
        <v>20.673721683107864</v>
      </c>
      <c r="N438" s="19">
        <f t="shared" si="433"/>
        <v>20.673721683107864</v>
      </c>
      <c r="O438" s="16"/>
      <c r="P438" s="19">
        <f t="shared" si="434"/>
        <v>50.881405726882754</v>
      </c>
      <c r="Q438" s="19">
        <f t="shared" si="435"/>
        <v>503.48550162314672</v>
      </c>
      <c r="R438" s="19">
        <f t="shared" si="436"/>
        <v>0</v>
      </c>
      <c r="S438" s="19">
        <f t="shared" si="437"/>
        <v>0</v>
      </c>
      <c r="T438" s="19">
        <f t="shared" si="438"/>
        <v>0</v>
      </c>
      <c r="U438" s="16"/>
      <c r="V438" s="19">
        <f t="shared" si="439"/>
        <v>554.36690735002946</v>
      </c>
      <c r="W438" s="16"/>
      <c r="X438" s="19">
        <f t="shared" si="440"/>
        <v>5.6022504036235015</v>
      </c>
      <c r="Y438" s="19">
        <f t="shared" si="441"/>
        <v>2.3669073500294644</v>
      </c>
      <c r="Z438" s="19"/>
      <c r="AA438" s="19">
        <f t="shared" si="442"/>
        <v>5.8473340692935669E-6</v>
      </c>
    </row>
    <row r="439" spans="2:27" x14ac:dyDescent="0.3">
      <c r="B439" s="27">
        <v>114.19999999999999</v>
      </c>
      <c r="C439" s="27">
        <v>582</v>
      </c>
      <c r="D439" s="19">
        <f t="shared" ref="D439:H439" si="447">1/C$23-LN(C$23)+$B439*C$22</f>
        <v>56.930164734841718</v>
      </c>
      <c r="E439" s="19">
        <f t="shared" si="447"/>
        <v>2.4244997223673721</v>
      </c>
      <c r="F439" s="19">
        <f t="shared" si="447"/>
        <v>23.722585092994045</v>
      </c>
      <c r="G439" s="19">
        <f t="shared" si="447"/>
        <v>23.722585092994045</v>
      </c>
      <c r="H439" s="19">
        <f t="shared" si="447"/>
        <v>23.722585092994045</v>
      </c>
      <c r="I439" s="16"/>
      <c r="J439" s="19">
        <f t="shared" si="429"/>
        <v>52.960616188305103</v>
      </c>
      <c r="K439" s="19">
        <f t="shared" si="430"/>
        <v>1.8236562873983957</v>
      </c>
      <c r="L439" s="19">
        <f t="shared" si="431"/>
        <v>20.692799312537506</v>
      </c>
      <c r="M439" s="19">
        <f t="shared" si="432"/>
        <v>20.692799312537506</v>
      </c>
      <c r="N439" s="19">
        <f t="shared" si="433"/>
        <v>20.692799312537506</v>
      </c>
      <c r="O439" s="16"/>
      <c r="P439" s="19">
        <f t="shared" si="434"/>
        <v>50.7523023399498</v>
      </c>
      <c r="Q439" s="19">
        <f t="shared" si="435"/>
        <v>502.94559959672034</v>
      </c>
      <c r="R439" s="19">
        <f t="shared" si="436"/>
        <v>0</v>
      </c>
      <c r="S439" s="19">
        <f t="shared" si="437"/>
        <v>0</v>
      </c>
      <c r="T439" s="19">
        <f t="shared" si="438"/>
        <v>0</v>
      </c>
      <c r="U439" s="16"/>
      <c r="V439" s="19">
        <f t="shared" si="439"/>
        <v>553.69790193667018</v>
      </c>
      <c r="W439" s="16"/>
      <c r="X439" s="19">
        <f t="shared" si="440"/>
        <v>801.0087547863377</v>
      </c>
      <c r="Y439" s="19">
        <f t="shared" si="441"/>
        <v>28.302098063329822</v>
      </c>
      <c r="Z439" s="19"/>
      <c r="AA439" s="19">
        <f t="shared" si="442"/>
        <v>6.9919011505091577E-5</v>
      </c>
    </row>
    <row r="440" spans="2:27" x14ac:dyDescent="0.3">
      <c r="B440" s="27">
        <v>114.5</v>
      </c>
      <c r="C440" s="27">
        <v>545</v>
      </c>
      <c r="D440" s="19">
        <f t="shared" ref="D440:H440" si="448">1/C$23-LN(C$23)+$B440*C$22</f>
        <v>57.03387948503989</v>
      </c>
      <c r="E440" s="19">
        <f t="shared" si="448"/>
        <v>2.4272603144625156</v>
      </c>
      <c r="F440" s="19">
        <f t="shared" si="448"/>
        <v>23.752585092994046</v>
      </c>
      <c r="G440" s="19">
        <f t="shared" si="448"/>
        <v>23.752585092994046</v>
      </c>
      <c r="H440" s="19">
        <f t="shared" si="448"/>
        <v>23.752585092994046</v>
      </c>
      <c r="I440" s="16"/>
      <c r="J440" s="19">
        <f t="shared" si="429"/>
        <v>53.062410703818855</v>
      </c>
      <c r="K440" s="19">
        <f t="shared" si="430"/>
        <v>1.8254395222915751</v>
      </c>
      <c r="L440" s="19">
        <f t="shared" si="431"/>
        <v>20.721417276563486</v>
      </c>
      <c r="M440" s="19">
        <f t="shared" si="432"/>
        <v>20.721417276563486</v>
      </c>
      <c r="N440" s="19">
        <f t="shared" si="433"/>
        <v>20.721417276563486</v>
      </c>
      <c r="O440" s="16"/>
      <c r="P440" s="19">
        <f t="shared" si="434"/>
        <v>50.559560955677227</v>
      </c>
      <c r="Q440" s="19">
        <f t="shared" si="435"/>
        <v>502.13716554551695</v>
      </c>
      <c r="R440" s="19">
        <f t="shared" si="436"/>
        <v>0</v>
      </c>
      <c r="S440" s="19">
        <f t="shared" si="437"/>
        <v>0</v>
      </c>
      <c r="T440" s="19">
        <f t="shared" si="438"/>
        <v>0</v>
      </c>
      <c r="U440" s="16"/>
      <c r="V440" s="19">
        <f t="shared" si="439"/>
        <v>552.69672650119423</v>
      </c>
      <c r="W440" s="16"/>
      <c r="X440" s="19">
        <f t="shared" si="440"/>
        <v>59.239598834185642</v>
      </c>
      <c r="Y440" s="19">
        <f t="shared" si="441"/>
        <v>7.6967265011942345</v>
      </c>
      <c r="Z440" s="19"/>
      <c r="AA440" s="19">
        <f t="shared" si="442"/>
        <v>1.9014403369826654E-5</v>
      </c>
    </row>
    <row r="441" spans="2:27" x14ac:dyDescent="0.3">
      <c r="B441" s="27">
        <v>114.79999999999998</v>
      </c>
      <c r="C441" s="27">
        <v>577</v>
      </c>
      <c r="D441" s="19">
        <f t="shared" ref="D441:H441" si="449">1/C$23-LN(C$23)+$B441*C$22</f>
        <v>57.137594235238048</v>
      </c>
      <c r="E441" s="19">
        <f t="shared" si="449"/>
        <v>2.4300209065576586</v>
      </c>
      <c r="F441" s="19">
        <f t="shared" si="449"/>
        <v>23.782585092994044</v>
      </c>
      <c r="G441" s="19">
        <f t="shared" si="449"/>
        <v>23.782585092994044</v>
      </c>
      <c r="H441" s="19">
        <f t="shared" si="449"/>
        <v>23.782585092994044</v>
      </c>
      <c r="I441" s="16"/>
      <c r="J441" s="19">
        <f t="shared" si="429"/>
        <v>53.164208831622155</v>
      </c>
      <c r="K441" s="19">
        <f t="shared" si="430"/>
        <v>1.8272233739415016</v>
      </c>
      <c r="L441" s="19">
        <f t="shared" si="431"/>
        <v>20.750037060281279</v>
      </c>
      <c r="M441" s="19">
        <f t="shared" si="432"/>
        <v>20.750037060281279</v>
      </c>
      <c r="N441" s="19">
        <f t="shared" si="433"/>
        <v>20.750037060281279</v>
      </c>
      <c r="O441" s="16"/>
      <c r="P441" s="19">
        <f t="shared" si="434"/>
        <v>50.367908697746564</v>
      </c>
      <c r="Q441" s="19">
        <f t="shared" si="435"/>
        <v>501.33043049989197</v>
      </c>
      <c r="R441" s="19">
        <f t="shared" si="436"/>
        <v>0</v>
      </c>
      <c r="S441" s="19">
        <f t="shared" si="437"/>
        <v>0</v>
      </c>
      <c r="T441" s="19">
        <f t="shared" si="438"/>
        <v>0</v>
      </c>
      <c r="U441" s="16"/>
      <c r="V441" s="19">
        <f t="shared" si="439"/>
        <v>551.69833919763857</v>
      </c>
      <c r="W441" s="16"/>
      <c r="X441" s="19">
        <f t="shared" si="440"/>
        <v>640.17403935775258</v>
      </c>
      <c r="Y441" s="19">
        <f t="shared" si="441"/>
        <v>25.301660802361425</v>
      </c>
      <c r="Z441" s="19"/>
      <c r="AA441" s="19">
        <f t="shared" si="442"/>
        <v>6.250657137784284E-5</v>
      </c>
    </row>
    <row r="442" spans="2:27" x14ac:dyDescent="0.3">
      <c r="B442" s="27">
        <v>115.1</v>
      </c>
      <c r="C442" s="27">
        <v>577</v>
      </c>
      <c r="D442" s="19">
        <f t="shared" ref="D442:H442" si="450">1/C$23-LN(C$23)+$B442*C$22</f>
        <v>57.24130898543622</v>
      </c>
      <c r="E442" s="19">
        <f t="shared" si="450"/>
        <v>2.432781498652802</v>
      </c>
      <c r="F442" s="19">
        <f t="shared" si="450"/>
        <v>23.812585092994045</v>
      </c>
      <c r="G442" s="19">
        <f t="shared" si="450"/>
        <v>23.812585092994045</v>
      </c>
      <c r="H442" s="19">
        <f t="shared" si="450"/>
        <v>23.812585092994045</v>
      </c>
      <c r="I442" s="16"/>
      <c r="J442" s="19">
        <f t="shared" si="429"/>
        <v>53.266010558277102</v>
      </c>
      <c r="K442" s="19">
        <f t="shared" si="430"/>
        <v>1.8290078417830402</v>
      </c>
      <c r="L442" s="19">
        <f t="shared" si="431"/>
        <v>20.778658659020412</v>
      </c>
      <c r="M442" s="19">
        <f t="shared" si="432"/>
        <v>20.778658659020412</v>
      </c>
      <c r="N442" s="19">
        <f t="shared" si="433"/>
        <v>20.778658659020412</v>
      </c>
      <c r="O442" s="16"/>
      <c r="P442" s="19">
        <f t="shared" si="434"/>
        <v>50.177337413781714</v>
      </c>
      <c r="Q442" s="19">
        <f t="shared" si="435"/>
        <v>500.52539021765739</v>
      </c>
      <c r="R442" s="19">
        <f t="shared" si="436"/>
        <v>0</v>
      </c>
      <c r="S442" s="19">
        <f t="shared" si="437"/>
        <v>0</v>
      </c>
      <c r="T442" s="19">
        <f t="shared" si="438"/>
        <v>0</v>
      </c>
      <c r="U442" s="16"/>
      <c r="V442" s="19">
        <f t="shared" si="439"/>
        <v>550.70272763143907</v>
      </c>
      <c r="W442" s="16"/>
      <c r="X442" s="19">
        <f t="shared" si="440"/>
        <v>691.54653402627798</v>
      </c>
      <c r="Y442" s="19">
        <f t="shared" si="441"/>
        <v>26.297272368560925</v>
      </c>
      <c r="Z442" s="19"/>
      <c r="AA442" s="19">
        <f t="shared" si="442"/>
        <v>6.4966183255235762E-5</v>
      </c>
    </row>
    <row r="443" spans="2:27" x14ac:dyDescent="0.3">
      <c r="B443" s="27">
        <v>115.4</v>
      </c>
      <c r="C443" s="27">
        <v>578</v>
      </c>
      <c r="D443" s="19">
        <f t="shared" ref="D443:H443" si="451">1/C$23-LN(C$23)+$B443*C$22</f>
        <v>57.345023735634385</v>
      </c>
      <c r="E443" s="19">
        <f t="shared" si="451"/>
        <v>2.435542090747945</v>
      </c>
      <c r="F443" s="19">
        <f t="shared" si="451"/>
        <v>23.842585092994046</v>
      </c>
      <c r="G443" s="19">
        <f t="shared" si="451"/>
        <v>23.842585092994046</v>
      </c>
      <c r="H443" s="19">
        <f t="shared" si="451"/>
        <v>23.842585092994046</v>
      </c>
      <c r="I443" s="16"/>
      <c r="J443" s="19">
        <f t="shared" si="429"/>
        <v>53.367815870420124</v>
      </c>
      <c r="K443" s="19">
        <f t="shared" si="430"/>
        <v>1.8307929252515258</v>
      </c>
      <c r="L443" s="19">
        <f t="shared" si="431"/>
        <v>20.807282068128046</v>
      </c>
      <c r="M443" s="19">
        <f t="shared" si="432"/>
        <v>20.807282068128046</v>
      </c>
      <c r="N443" s="19">
        <f t="shared" si="433"/>
        <v>20.807282068128046</v>
      </c>
      <c r="O443" s="16"/>
      <c r="P443" s="19">
        <f t="shared" si="434"/>
        <v>49.987839027258417</v>
      </c>
      <c r="Q443" s="19">
        <f t="shared" si="435"/>
        <v>499.72204046851169</v>
      </c>
      <c r="R443" s="19">
        <f t="shared" si="436"/>
        <v>0</v>
      </c>
      <c r="S443" s="19">
        <f t="shared" si="437"/>
        <v>0</v>
      </c>
      <c r="T443" s="19">
        <f t="shared" si="438"/>
        <v>0</v>
      </c>
      <c r="U443" s="16"/>
      <c r="V443" s="19">
        <f t="shared" si="439"/>
        <v>549.70987949577011</v>
      </c>
      <c r="W443" s="16"/>
      <c r="X443" s="19">
        <f t="shared" si="440"/>
        <v>800.33091814384841</v>
      </c>
      <c r="Y443" s="19">
        <f t="shared" si="441"/>
        <v>28.29012050422989</v>
      </c>
      <c r="Z443" s="19"/>
      <c r="AA443" s="19">
        <f t="shared" si="442"/>
        <v>6.9889421504709372E-5</v>
      </c>
    </row>
    <row r="444" spans="2:27" x14ac:dyDescent="0.3">
      <c r="B444" s="27">
        <v>115.69999999999999</v>
      </c>
      <c r="C444" s="27">
        <v>534</v>
      </c>
      <c r="D444" s="19">
        <f t="shared" ref="D444:H444" si="452">1/C$23-LN(C$23)+$B444*C$22</f>
        <v>57.448738485832543</v>
      </c>
      <c r="E444" s="19">
        <f t="shared" si="452"/>
        <v>2.438302682843088</v>
      </c>
      <c r="F444" s="19">
        <f t="shared" si="452"/>
        <v>23.872585092994044</v>
      </c>
      <c r="G444" s="19">
        <f t="shared" si="452"/>
        <v>23.872585092994044</v>
      </c>
      <c r="H444" s="19">
        <f t="shared" si="452"/>
        <v>23.872585092994044</v>
      </c>
      <c r="I444" s="16"/>
      <c r="J444" s="19">
        <f t="shared" si="429"/>
        <v>53.469624754761469</v>
      </c>
      <c r="K444" s="19">
        <f t="shared" si="430"/>
        <v>1.8325786237827655</v>
      </c>
      <c r="L444" s="19">
        <f t="shared" si="431"/>
        <v>20.835907282968911</v>
      </c>
      <c r="M444" s="19">
        <f t="shared" si="432"/>
        <v>20.835907282968911</v>
      </c>
      <c r="N444" s="19">
        <f t="shared" si="433"/>
        <v>20.835907282968911</v>
      </c>
      <c r="O444" s="16"/>
      <c r="P444" s="19">
        <f t="shared" si="434"/>
        <v>49.799405536661496</v>
      </c>
      <c r="Q444" s="19">
        <f t="shared" si="435"/>
        <v>498.92037703400308</v>
      </c>
      <c r="R444" s="19">
        <f t="shared" si="436"/>
        <v>0</v>
      </c>
      <c r="S444" s="19">
        <f t="shared" si="437"/>
        <v>0</v>
      </c>
      <c r="T444" s="19">
        <f t="shared" si="438"/>
        <v>0</v>
      </c>
      <c r="U444" s="16"/>
      <c r="V444" s="19">
        <f t="shared" si="439"/>
        <v>548.71978257066462</v>
      </c>
      <c r="W444" s="16"/>
      <c r="X444" s="19">
        <f t="shared" si="440"/>
        <v>216.67199892764194</v>
      </c>
      <c r="Y444" s="19">
        <f t="shared" si="441"/>
        <v>14.71978257066462</v>
      </c>
      <c r="Z444" s="19"/>
      <c r="AA444" s="19">
        <f t="shared" si="442"/>
        <v>3.6364535399735613E-5</v>
      </c>
    </row>
    <row r="445" spans="2:27" x14ac:dyDescent="0.3">
      <c r="B445" s="27">
        <v>116</v>
      </c>
      <c r="C445" s="27">
        <v>525</v>
      </c>
      <c r="D445" s="19">
        <f t="shared" ref="D445:H445" si="453">1/C$23-LN(C$23)+$B445*C$22</f>
        <v>57.552453236030715</v>
      </c>
      <c r="E445" s="19">
        <f t="shared" si="453"/>
        <v>2.4410632749382315</v>
      </c>
      <c r="F445" s="19">
        <f t="shared" si="453"/>
        <v>23.902585092994045</v>
      </c>
      <c r="G445" s="19">
        <f t="shared" si="453"/>
        <v>23.902585092994045</v>
      </c>
      <c r="H445" s="19">
        <f t="shared" si="453"/>
        <v>23.902585092994045</v>
      </c>
      <c r="I445" s="16"/>
      <c r="J445" s="19">
        <f t="shared" si="429"/>
        <v>53.571437198084716</v>
      </c>
      <c r="K445" s="19">
        <f t="shared" si="430"/>
        <v>1.8343649368130392</v>
      </c>
      <c r="L445" s="19">
        <f t="shared" si="431"/>
        <v>20.864534298925225</v>
      </c>
      <c r="M445" s="19">
        <f t="shared" si="432"/>
        <v>20.864534298925225</v>
      </c>
      <c r="N445" s="19">
        <f t="shared" si="433"/>
        <v>20.864534298925225</v>
      </c>
      <c r="O445" s="16"/>
      <c r="P445" s="19">
        <f t="shared" si="434"/>
        <v>49.612029014652933</v>
      </c>
      <c r="Q445" s="19">
        <f t="shared" si="435"/>
        <v>498.12039570749374</v>
      </c>
      <c r="R445" s="19">
        <f t="shared" si="436"/>
        <v>0</v>
      </c>
      <c r="S445" s="19">
        <f t="shared" si="437"/>
        <v>0</v>
      </c>
      <c r="T445" s="19">
        <f t="shared" si="438"/>
        <v>0</v>
      </c>
      <c r="U445" s="16"/>
      <c r="V445" s="19">
        <f t="shared" si="439"/>
        <v>547.73242472214667</v>
      </c>
      <c r="W445" s="16"/>
      <c r="X445" s="19">
        <f t="shared" si="440"/>
        <v>516.76313374806534</v>
      </c>
      <c r="Y445" s="19">
        <f t="shared" si="441"/>
        <v>22.732424722146675</v>
      </c>
      <c r="Z445" s="19"/>
      <c r="AA445" s="19">
        <f t="shared" si="442"/>
        <v>5.6159393629752717E-5</v>
      </c>
    </row>
    <row r="446" spans="2:27" x14ac:dyDescent="0.3">
      <c r="B446" s="27">
        <v>116.19999999999999</v>
      </c>
      <c r="C446" s="27">
        <v>548</v>
      </c>
      <c r="D446" s="19">
        <f t="shared" ref="D446:H446" si="454">1/C$23-LN(C$23)+$B446*C$22</f>
        <v>57.621596402829489</v>
      </c>
      <c r="E446" s="19">
        <f t="shared" si="454"/>
        <v>2.4429036696683268</v>
      </c>
      <c r="F446" s="19">
        <f t="shared" si="454"/>
        <v>23.922585092994044</v>
      </c>
      <c r="G446" s="19">
        <f t="shared" si="454"/>
        <v>23.922585092994044</v>
      </c>
      <c r="H446" s="19">
        <f t="shared" si="454"/>
        <v>23.922585092994044</v>
      </c>
      <c r="I446" s="16"/>
      <c r="J446" s="19">
        <f t="shared" si="429"/>
        <v>53.639314131018665</v>
      </c>
      <c r="K446" s="19">
        <f t="shared" si="430"/>
        <v>1.8355561532767397</v>
      </c>
      <c r="L446" s="19">
        <f t="shared" si="431"/>
        <v>20.883619974576607</v>
      </c>
      <c r="M446" s="19">
        <f t="shared" si="432"/>
        <v>20.883619974576607</v>
      </c>
      <c r="N446" s="19">
        <f t="shared" si="433"/>
        <v>20.883619974576607</v>
      </c>
      <c r="O446" s="16"/>
      <c r="P446" s="19">
        <f t="shared" si="434"/>
        <v>49.487694656581503</v>
      </c>
      <c r="Q446" s="19">
        <f t="shared" si="435"/>
        <v>497.58800725557978</v>
      </c>
      <c r="R446" s="19">
        <f t="shared" si="436"/>
        <v>0</v>
      </c>
      <c r="S446" s="19">
        <f t="shared" si="437"/>
        <v>0</v>
      </c>
      <c r="T446" s="19">
        <f t="shared" si="438"/>
        <v>0</v>
      </c>
      <c r="U446" s="16"/>
      <c r="V446" s="19">
        <f t="shared" si="439"/>
        <v>547.07570191216132</v>
      </c>
      <c r="W446" s="16"/>
      <c r="X446" s="19">
        <f t="shared" si="440"/>
        <v>0.85432695518223811</v>
      </c>
      <c r="Y446" s="19">
        <f t="shared" si="441"/>
        <v>0.92429808783867884</v>
      </c>
      <c r="Z446" s="19"/>
      <c r="AA446" s="19">
        <f t="shared" si="442"/>
        <v>2.2834352595739433E-6</v>
      </c>
    </row>
    <row r="447" spans="2:27" x14ac:dyDescent="0.3">
      <c r="B447" s="27">
        <v>116.5</v>
      </c>
      <c r="C447" s="27">
        <v>536</v>
      </c>
      <c r="D447" s="19">
        <f t="shared" ref="D447:H447" si="455">1/C$23-LN(C$23)+$B447*C$22</f>
        <v>57.725311153027654</v>
      </c>
      <c r="E447" s="19">
        <f t="shared" si="455"/>
        <v>2.4456642617634703</v>
      </c>
      <c r="F447" s="19">
        <f t="shared" si="455"/>
        <v>23.952585092994045</v>
      </c>
      <c r="G447" s="19">
        <f t="shared" si="455"/>
        <v>23.952585092994045</v>
      </c>
      <c r="H447" s="19">
        <f t="shared" si="455"/>
        <v>23.952585092994045</v>
      </c>
      <c r="I447" s="16"/>
      <c r="J447" s="19">
        <f t="shared" si="429"/>
        <v>53.741132476805817</v>
      </c>
      <c r="K447" s="19">
        <f t="shared" si="430"/>
        <v>1.8373434892206382</v>
      </c>
      <c r="L447" s="19">
        <f t="shared" si="431"/>
        <v>20.912249982177439</v>
      </c>
      <c r="M447" s="19">
        <f t="shared" si="432"/>
        <v>20.912249982177439</v>
      </c>
      <c r="N447" s="19">
        <f t="shared" si="433"/>
        <v>20.912249982177439</v>
      </c>
      <c r="O447" s="16"/>
      <c r="P447" s="19">
        <f t="shared" si="434"/>
        <v>49.302062331452234</v>
      </c>
      <c r="Q447" s="19">
        <f t="shared" si="435"/>
        <v>496.79082012629567</v>
      </c>
      <c r="R447" s="19">
        <f t="shared" si="436"/>
        <v>0</v>
      </c>
      <c r="S447" s="19">
        <f t="shared" si="437"/>
        <v>0</v>
      </c>
      <c r="T447" s="19">
        <f t="shared" si="438"/>
        <v>0</v>
      </c>
      <c r="U447" s="16"/>
      <c r="V447" s="19">
        <f t="shared" si="439"/>
        <v>546.09288245774792</v>
      </c>
      <c r="W447" s="16"/>
      <c r="X447" s="19">
        <f t="shared" si="440"/>
        <v>101.86627630591568</v>
      </c>
      <c r="Y447" s="19">
        <f t="shared" si="441"/>
        <v>10.092882457747919</v>
      </c>
      <c r="Z447" s="19"/>
      <c r="AA447" s="19">
        <f t="shared" si="442"/>
        <v>2.4933994755574242E-5</v>
      </c>
    </row>
    <row r="448" spans="2:27" x14ac:dyDescent="0.3">
      <c r="B448" s="27">
        <v>116.79999999999998</v>
      </c>
      <c r="C448" s="27">
        <v>533</v>
      </c>
      <c r="D448" s="19">
        <f t="shared" ref="D448:H448" si="456">1/C$23-LN(C$23)+$B448*C$22</f>
        <v>57.829025903225819</v>
      </c>
      <c r="E448" s="19">
        <f t="shared" si="456"/>
        <v>2.4484248538586133</v>
      </c>
      <c r="F448" s="19">
        <f t="shared" si="456"/>
        <v>23.982585092994043</v>
      </c>
      <c r="G448" s="19">
        <f t="shared" si="456"/>
        <v>23.982585092994043</v>
      </c>
      <c r="H448" s="19">
        <f t="shared" si="456"/>
        <v>23.982585092994043</v>
      </c>
      <c r="I448" s="16"/>
      <c r="J448" s="19">
        <f t="shared" si="429"/>
        <v>53.84295434668519</v>
      </c>
      <c r="K448" s="19">
        <f t="shared" si="430"/>
        <v>1.8391314381626225</v>
      </c>
      <c r="L448" s="19">
        <f t="shared" si="431"/>
        <v>20.940881778664394</v>
      </c>
      <c r="M448" s="19">
        <f t="shared" si="432"/>
        <v>20.940881778664394</v>
      </c>
      <c r="N448" s="19">
        <f t="shared" si="433"/>
        <v>20.940881778664394</v>
      </c>
      <c r="O448" s="16"/>
      <c r="P448" s="19">
        <f t="shared" si="434"/>
        <v>49.117466191776998</v>
      </c>
      <c r="Q448" s="19">
        <f t="shared" si="435"/>
        <v>495.99530394480036</v>
      </c>
      <c r="R448" s="19">
        <f t="shared" si="436"/>
        <v>0</v>
      </c>
      <c r="S448" s="19">
        <f t="shared" si="437"/>
        <v>0</v>
      </c>
      <c r="T448" s="19">
        <f t="shared" si="438"/>
        <v>0</v>
      </c>
      <c r="U448" s="16"/>
      <c r="V448" s="19">
        <f t="shared" si="439"/>
        <v>545.11277013657741</v>
      </c>
      <c r="W448" s="16"/>
      <c r="X448" s="19">
        <f t="shared" si="440"/>
        <v>146.71920038156154</v>
      </c>
      <c r="Y448" s="19">
        <f t="shared" si="441"/>
        <v>12.11277013657741</v>
      </c>
      <c r="Z448" s="19"/>
      <c r="AA448" s="19">
        <f t="shared" si="442"/>
        <v>2.9924032933629229E-5</v>
      </c>
    </row>
    <row r="449" spans="2:27" x14ac:dyDescent="0.3">
      <c r="B449" s="27">
        <v>117.1</v>
      </c>
      <c r="C449" s="27">
        <v>574</v>
      </c>
      <c r="D449" s="19">
        <f t="shared" ref="D449:H449" si="457">1/C$23-LN(C$23)+$B449*C$22</f>
        <v>57.932740653423984</v>
      </c>
      <c r="E449" s="19">
        <f t="shared" si="457"/>
        <v>2.4511854459537563</v>
      </c>
      <c r="F449" s="19">
        <f t="shared" si="457"/>
        <v>24.012585092994044</v>
      </c>
      <c r="G449" s="19">
        <f t="shared" si="457"/>
        <v>24.012585092994044</v>
      </c>
      <c r="H449" s="19">
        <f t="shared" si="457"/>
        <v>24.012585092994044</v>
      </c>
      <c r="I449" s="16"/>
      <c r="J449" s="19">
        <f t="shared" si="429"/>
        <v>53.944779727704493</v>
      </c>
      <c r="K449" s="19">
        <f t="shared" si="430"/>
        <v>1.8409199995407037</v>
      </c>
      <c r="L449" s="19">
        <f t="shared" si="431"/>
        <v>20.969515359483044</v>
      </c>
      <c r="M449" s="19">
        <f t="shared" si="432"/>
        <v>20.969515359483044</v>
      </c>
      <c r="N449" s="19">
        <f t="shared" si="433"/>
        <v>20.969515359483044</v>
      </c>
      <c r="O449" s="16"/>
      <c r="P449" s="19">
        <f t="shared" si="434"/>
        <v>48.93389857525608</v>
      </c>
      <c r="Q449" s="19">
        <f t="shared" si="435"/>
        <v>495.20145454747205</v>
      </c>
      <c r="R449" s="19">
        <f t="shared" si="436"/>
        <v>0</v>
      </c>
      <c r="S449" s="19">
        <f t="shared" si="437"/>
        <v>0</v>
      </c>
      <c r="T449" s="19">
        <f t="shared" si="438"/>
        <v>0</v>
      </c>
      <c r="U449" s="16"/>
      <c r="V449" s="19">
        <f t="shared" si="439"/>
        <v>544.13535312272813</v>
      </c>
      <c r="W449" s="16"/>
      <c r="X449" s="19">
        <f t="shared" si="440"/>
        <v>891.89713310414425</v>
      </c>
      <c r="Y449" s="19">
        <f t="shared" si="441"/>
        <v>29.864646877271866</v>
      </c>
      <c r="Z449" s="19"/>
      <c r="AA449" s="19">
        <f t="shared" si="442"/>
        <v>7.3779215376013627E-5</v>
      </c>
    </row>
    <row r="450" spans="2:27" x14ac:dyDescent="0.3">
      <c r="B450" s="27">
        <v>117.4</v>
      </c>
      <c r="C450" s="27">
        <v>608</v>
      </c>
      <c r="D450" s="19">
        <f t="shared" ref="D450:H450" si="458">1/C$23-LN(C$23)+$B450*C$22</f>
        <v>58.036455403622156</v>
      </c>
      <c r="E450" s="19">
        <f t="shared" si="458"/>
        <v>2.4539460380488993</v>
      </c>
      <c r="F450" s="19">
        <f t="shared" si="458"/>
        <v>24.042585092994045</v>
      </c>
      <c r="G450" s="19">
        <f t="shared" si="458"/>
        <v>24.042585092994045</v>
      </c>
      <c r="H450" s="19">
        <f t="shared" si="458"/>
        <v>24.042585092994045</v>
      </c>
      <c r="I450" s="16"/>
      <c r="J450" s="19">
        <f t="shared" si="429"/>
        <v>54.046608606982261</v>
      </c>
      <c r="K450" s="19">
        <f t="shared" si="430"/>
        <v>1.842709172793366</v>
      </c>
      <c r="L450" s="19">
        <f t="shared" si="431"/>
        <v>20.998150720096024</v>
      </c>
      <c r="M450" s="19">
        <f t="shared" si="432"/>
        <v>20.998150720096024</v>
      </c>
      <c r="N450" s="19">
        <f t="shared" si="433"/>
        <v>20.998150720096024</v>
      </c>
      <c r="O450" s="16"/>
      <c r="P450" s="19">
        <f t="shared" si="434"/>
        <v>48.751351890024395</v>
      </c>
      <c r="Q450" s="19">
        <f t="shared" si="435"/>
        <v>494.40926778233825</v>
      </c>
      <c r="R450" s="19">
        <f t="shared" si="436"/>
        <v>0</v>
      </c>
      <c r="S450" s="19">
        <f t="shared" si="437"/>
        <v>0</v>
      </c>
      <c r="T450" s="19">
        <f t="shared" si="438"/>
        <v>0</v>
      </c>
      <c r="U450" s="16"/>
      <c r="V450" s="19">
        <f t="shared" si="439"/>
        <v>543.1606196723626</v>
      </c>
      <c r="W450" s="16"/>
      <c r="X450" s="19">
        <f t="shared" si="440"/>
        <v>4204.1452412720118</v>
      </c>
      <c r="Y450" s="19">
        <f t="shared" si="441"/>
        <v>64.8393803276374</v>
      </c>
      <c r="Z450" s="19"/>
      <c r="AA450" s="19">
        <f t="shared" si="442"/>
        <v>1.6018266098035376E-4</v>
      </c>
    </row>
    <row r="451" spans="2:27" x14ac:dyDescent="0.3">
      <c r="B451" s="27">
        <v>117.69999999999999</v>
      </c>
      <c r="C451" s="27">
        <v>512</v>
      </c>
      <c r="D451" s="19">
        <f t="shared" ref="D451:H451" si="459">1/C$23-LN(C$23)+$B451*C$22</f>
        <v>58.140170153820314</v>
      </c>
      <c r="E451" s="19">
        <f t="shared" si="459"/>
        <v>2.4567066301440423</v>
      </c>
      <c r="F451" s="19">
        <f t="shared" si="459"/>
        <v>24.072585092994046</v>
      </c>
      <c r="G451" s="19">
        <f t="shared" si="459"/>
        <v>24.072585092994046</v>
      </c>
      <c r="H451" s="19">
        <f t="shared" si="459"/>
        <v>24.072585092994046</v>
      </c>
      <c r="I451" s="16"/>
      <c r="J451" s="19">
        <f t="shared" si="429"/>
        <v>54.148440971707316</v>
      </c>
      <c r="K451" s="19">
        <f t="shared" si="430"/>
        <v>1.8444989573595654</v>
      </c>
      <c r="L451" s="19">
        <f t="shared" si="431"/>
        <v>21.026787855982963</v>
      </c>
      <c r="M451" s="19">
        <f t="shared" si="432"/>
        <v>21.026787855982963</v>
      </c>
      <c r="N451" s="19">
        <f t="shared" si="433"/>
        <v>21.026787855982963</v>
      </c>
      <c r="O451" s="16"/>
      <c r="P451" s="19">
        <f t="shared" si="434"/>
        <v>48.569818613878446</v>
      </c>
      <c r="Q451" s="19">
        <f t="shared" si="435"/>
        <v>493.61873950904095</v>
      </c>
      <c r="R451" s="19">
        <f t="shared" si="436"/>
        <v>0</v>
      </c>
      <c r="S451" s="19">
        <f t="shared" si="437"/>
        <v>0</v>
      </c>
      <c r="T451" s="19">
        <f t="shared" si="438"/>
        <v>0</v>
      </c>
      <c r="U451" s="16"/>
      <c r="V451" s="19">
        <f t="shared" si="439"/>
        <v>542.1885581229194</v>
      </c>
      <c r="W451" s="16"/>
      <c r="X451" s="19">
        <f t="shared" si="440"/>
        <v>911.34904154088304</v>
      </c>
      <c r="Y451" s="19">
        <f t="shared" si="441"/>
        <v>30.188558122919403</v>
      </c>
      <c r="Z451" s="19"/>
      <c r="AA451" s="19">
        <f t="shared" si="442"/>
        <v>7.4579422981131151E-5</v>
      </c>
    </row>
    <row r="452" spans="2:27" x14ac:dyDescent="0.3">
      <c r="B452" s="27">
        <v>118</v>
      </c>
      <c r="C452" s="27">
        <v>567</v>
      </c>
      <c r="D452" s="19">
        <f t="shared" ref="D452:H452" si="460">1/C$23-LN(C$23)+$B452*C$22</f>
        <v>58.243884904018479</v>
      </c>
      <c r="E452" s="19">
        <f t="shared" si="460"/>
        <v>2.4594672222391862</v>
      </c>
      <c r="F452" s="19">
        <f t="shared" si="460"/>
        <v>24.102585092994047</v>
      </c>
      <c r="G452" s="19">
        <f t="shared" si="460"/>
        <v>24.102585092994047</v>
      </c>
      <c r="H452" s="19">
        <f t="shared" si="460"/>
        <v>24.102585092994047</v>
      </c>
      <c r="I452" s="16"/>
      <c r="J452" s="19">
        <f t="shared" si="429"/>
        <v>54.250276809138334</v>
      </c>
      <c r="K452" s="19">
        <f t="shared" si="430"/>
        <v>1.8462893526787323</v>
      </c>
      <c r="L452" s="19">
        <f t="shared" si="431"/>
        <v>21.055426762640405</v>
      </c>
      <c r="M452" s="19">
        <f t="shared" si="432"/>
        <v>21.055426762640405</v>
      </c>
      <c r="N452" s="19">
        <f t="shared" si="433"/>
        <v>21.055426762640405</v>
      </c>
      <c r="O452" s="16"/>
      <c r="P452" s="19">
        <f t="shared" si="434"/>
        <v>48.38929129351289</v>
      </c>
      <c r="Q452" s="19">
        <f t="shared" si="435"/>
        <v>492.82986559880095</v>
      </c>
      <c r="R452" s="19">
        <f t="shared" si="436"/>
        <v>0</v>
      </c>
      <c r="S452" s="19">
        <f t="shared" si="437"/>
        <v>0</v>
      </c>
      <c r="T452" s="19">
        <f t="shared" si="438"/>
        <v>0</v>
      </c>
      <c r="U452" s="16"/>
      <c r="V452" s="19">
        <f t="shared" si="439"/>
        <v>541.21915689231389</v>
      </c>
      <c r="W452" s="16"/>
      <c r="X452" s="19">
        <f t="shared" si="440"/>
        <v>664.65187134312634</v>
      </c>
      <c r="Y452" s="19">
        <f t="shared" si="441"/>
        <v>25.78084310768611</v>
      </c>
      <c r="Z452" s="19"/>
      <c r="AA452" s="19">
        <f t="shared" si="442"/>
        <v>6.3690368884446882E-5</v>
      </c>
    </row>
    <row r="453" spans="2:27" x14ac:dyDescent="0.3">
      <c r="B453" s="27">
        <v>118.19999999999999</v>
      </c>
      <c r="C453" s="27">
        <v>551</v>
      </c>
      <c r="D453" s="19">
        <f t="shared" ref="D453:H453" si="461">1/C$23-LN(C$23)+$B453*C$22</f>
        <v>58.313028070817253</v>
      </c>
      <c r="E453" s="19">
        <f t="shared" si="461"/>
        <v>2.4613076169692816</v>
      </c>
      <c r="F453" s="19">
        <f t="shared" si="461"/>
        <v>24.122585092994044</v>
      </c>
      <c r="G453" s="19">
        <f t="shared" si="461"/>
        <v>24.122585092994044</v>
      </c>
      <c r="H453" s="19">
        <f t="shared" si="461"/>
        <v>24.122585092994044</v>
      </c>
      <c r="I453" s="16"/>
      <c r="J453" s="19">
        <f t="shared" si="429"/>
        <v>54.318169290446122</v>
      </c>
      <c r="K453" s="19">
        <f t="shared" si="430"/>
        <v>1.8474832885887702</v>
      </c>
      <c r="L453" s="19">
        <f t="shared" si="431"/>
        <v>21.074520348623778</v>
      </c>
      <c r="M453" s="19">
        <f t="shared" si="432"/>
        <v>21.074520348623778</v>
      </c>
      <c r="N453" s="19">
        <f t="shared" si="433"/>
        <v>21.074520348623778</v>
      </c>
      <c r="O453" s="16"/>
      <c r="P453" s="19">
        <f t="shared" si="434"/>
        <v>48.269494961150293</v>
      </c>
      <c r="Q453" s="19">
        <f t="shared" si="435"/>
        <v>492.30486671555229</v>
      </c>
      <c r="R453" s="19">
        <f t="shared" si="436"/>
        <v>0</v>
      </c>
      <c r="S453" s="19">
        <f t="shared" si="437"/>
        <v>0</v>
      </c>
      <c r="T453" s="19">
        <f t="shared" si="438"/>
        <v>0</v>
      </c>
      <c r="U453" s="16"/>
      <c r="V453" s="19">
        <f t="shared" si="439"/>
        <v>540.57436167670255</v>
      </c>
      <c r="W453" s="16"/>
      <c r="X453" s="19">
        <f t="shared" si="440"/>
        <v>108.69393444820844</v>
      </c>
      <c r="Y453" s="19">
        <f t="shared" si="441"/>
        <v>10.425638323297449</v>
      </c>
      <c r="Z453" s="19"/>
      <c r="AA453" s="19">
        <f t="shared" si="442"/>
        <v>2.5756052581099528E-5</v>
      </c>
    </row>
    <row r="454" spans="2:27" x14ac:dyDescent="0.3">
      <c r="B454" s="27">
        <v>118.5</v>
      </c>
      <c r="C454" s="27">
        <v>526</v>
      </c>
      <c r="D454" s="19">
        <f t="shared" ref="D454:H454" si="462">1/C$23-LN(C$23)+$B454*C$22</f>
        <v>58.416742821015426</v>
      </c>
      <c r="E454" s="19">
        <f t="shared" si="462"/>
        <v>2.4640682090644246</v>
      </c>
      <c r="F454" s="19">
        <f t="shared" si="462"/>
        <v>24.152585092994045</v>
      </c>
      <c r="G454" s="19">
        <f t="shared" si="462"/>
        <v>24.152585092994045</v>
      </c>
      <c r="H454" s="19">
        <f t="shared" si="462"/>
        <v>24.152585092994045</v>
      </c>
      <c r="I454" s="16"/>
      <c r="J454" s="19">
        <f t="shared" si="429"/>
        <v>54.420010887594295</v>
      </c>
      <c r="K454" s="19">
        <f t="shared" si="430"/>
        <v>1.8492747005851224</v>
      </c>
      <c r="L454" s="19">
        <f t="shared" si="431"/>
        <v>21.103162196603382</v>
      </c>
      <c r="M454" s="19">
        <f t="shared" si="432"/>
        <v>21.103162196603382</v>
      </c>
      <c r="N454" s="19">
        <f t="shared" si="433"/>
        <v>21.103162196603382</v>
      </c>
      <c r="O454" s="16"/>
      <c r="P454" s="19">
        <f t="shared" si="434"/>
        <v>48.090627855598647</v>
      </c>
      <c r="Q454" s="19">
        <f t="shared" si="435"/>
        <v>491.51874093335016</v>
      </c>
      <c r="R454" s="19">
        <f t="shared" si="436"/>
        <v>0</v>
      </c>
      <c r="S454" s="19">
        <f t="shared" si="437"/>
        <v>0</v>
      </c>
      <c r="T454" s="19">
        <f t="shared" si="438"/>
        <v>0</v>
      </c>
      <c r="U454" s="16"/>
      <c r="V454" s="19">
        <f t="shared" si="439"/>
        <v>539.60936878894881</v>
      </c>
      <c r="W454" s="16"/>
      <c r="X454" s="19">
        <f t="shared" si="440"/>
        <v>185.21491883361409</v>
      </c>
      <c r="Y454" s="19">
        <f t="shared" si="441"/>
        <v>13.609368788948814</v>
      </c>
      <c r="Z454" s="19"/>
      <c r="AA454" s="19">
        <f t="shared" si="442"/>
        <v>3.3621310010385617E-5</v>
      </c>
    </row>
    <row r="455" spans="2:27" x14ac:dyDescent="0.3">
      <c r="B455" s="27">
        <v>118.79999999999998</v>
      </c>
      <c r="C455" s="27">
        <v>553</v>
      </c>
      <c r="D455" s="19">
        <f t="shared" ref="D455:H455" si="463">1/C$23-LN(C$23)+$B455*C$22</f>
        <v>58.520457571213583</v>
      </c>
      <c r="E455" s="19">
        <f t="shared" si="463"/>
        <v>2.4668288011595676</v>
      </c>
      <c r="F455" s="19">
        <f t="shared" si="463"/>
        <v>24.182585092994046</v>
      </c>
      <c r="G455" s="19">
        <f t="shared" si="463"/>
        <v>24.182585092994046</v>
      </c>
      <c r="H455" s="19">
        <f t="shared" si="463"/>
        <v>24.182585092994046</v>
      </c>
      <c r="I455" s="16"/>
      <c r="J455" s="19">
        <f t="shared" si="429"/>
        <v>54.521855923808936</v>
      </c>
      <c r="K455" s="19">
        <f t="shared" si="430"/>
        <v>1.8510667218419021</v>
      </c>
      <c r="L455" s="19">
        <f t="shared" si="431"/>
        <v>21.131805803426314</v>
      </c>
      <c r="M455" s="19">
        <f t="shared" si="432"/>
        <v>21.131805803426314</v>
      </c>
      <c r="N455" s="19">
        <f t="shared" si="433"/>
        <v>21.131805803426314</v>
      </c>
      <c r="O455" s="16"/>
      <c r="P455" s="19">
        <f t="shared" si="434"/>
        <v>47.912747161481953</v>
      </c>
      <c r="Q455" s="19">
        <f t="shared" si="435"/>
        <v>490.73425856047368</v>
      </c>
      <c r="R455" s="19">
        <f t="shared" si="436"/>
        <v>0</v>
      </c>
      <c r="S455" s="19">
        <f t="shared" si="437"/>
        <v>0</v>
      </c>
      <c r="T455" s="19">
        <f t="shared" si="438"/>
        <v>0</v>
      </c>
      <c r="U455" s="16"/>
      <c r="V455" s="19">
        <f t="shared" si="439"/>
        <v>538.64700572195568</v>
      </c>
      <c r="W455" s="16"/>
      <c r="X455" s="19">
        <f t="shared" si="440"/>
        <v>206.008444745573</v>
      </c>
      <c r="Y455" s="19">
        <f t="shared" si="441"/>
        <v>14.352994278044321</v>
      </c>
      <c r="Z455" s="19"/>
      <c r="AA455" s="19">
        <f t="shared" si="442"/>
        <v>3.5458402052509325E-5</v>
      </c>
    </row>
    <row r="456" spans="2:27" x14ac:dyDescent="0.3">
      <c r="B456" s="27">
        <v>119.1</v>
      </c>
      <c r="C456" s="27">
        <v>536</v>
      </c>
      <c r="D456" s="19">
        <f t="shared" ref="D456:H456" si="464">1/C$23-LN(C$23)+$B456*C$22</f>
        <v>58.624172321411756</v>
      </c>
      <c r="E456" s="19">
        <f t="shared" si="464"/>
        <v>2.4695893932547106</v>
      </c>
      <c r="F456" s="19">
        <f t="shared" si="464"/>
        <v>24.212585092994047</v>
      </c>
      <c r="G456" s="19">
        <f t="shared" si="464"/>
        <v>24.212585092994047</v>
      </c>
      <c r="H456" s="19">
        <f t="shared" si="464"/>
        <v>24.212585092994047</v>
      </c>
      <c r="I456" s="16"/>
      <c r="J456" s="19">
        <f t="shared" si="429"/>
        <v>54.623704386600387</v>
      </c>
      <c r="K456" s="19">
        <f t="shared" si="430"/>
        <v>1.8528593518002752</v>
      </c>
      <c r="L456" s="19">
        <f t="shared" si="431"/>
        <v>21.160451164650418</v>
      </c>
      <c r="M456" s="19">
        <f t="shared" si="432"/>
        <v>21.160451164650418</v>
      </c>
      <c r="N456" s="19">
        <f t="shared" si="433"/>
        <v>21.160451164650418</v>
      </c>
      <c r="O456" s="16"/>
      <c r="P456" s="19">
        <f t="shared" si="434"/>
        <v>47.735845671746958</v>
      </c>
      <c r="Q456" s="19">
        <f t="shared" si="435"/>
        <v>489.95141551030355</v>
      </c>
      <c r="R456" s="19">
        <f t="shared" si="436"/>
        <v>0</v>
      </c>
      <c r="S456" s="19">
        <f t="shared" si="437"/>
        <v>0</v>
      </c>
      <c r="T456" s="19">
        <f t="shared" si="438"/>
        <v>0</v>
      </c>
      <c r="U456" s="16"/>
      <c r="V456" s="19">
        <f t="shared" si="439"/>
        <v>537.68726118205052</v>
      </c>
      <c r="W456" s="16"/>
      <c r="X456" s="19">
        <f t="shared" si="440"/>
        <v>2.8468502964545177</v>
      </c>
      <c r="Y456" s="19">
        <f t="shared" si="441"/>
        <v>1.6872611820505199</v>
      </c>
      <c r="Z456" s="19"/>
      <c r="AA456" s="19">
        <f t="shared" si="442"/>
        <v>4.1682999520356061E-6</v>
      </c>
    </row>
    <row r="457" spans="2:27" x14ac:dyDescent="0.3">
      <c r="B457" s="27">
        <v>119.4</v>
      </c>
      <c r="C457" s="27">
        <v>496</v>
      </c>
      <c r="D457" s="19">
        <f t="shared" ref="D457:H457" si="465">1/C$23-LN(C$23)+$B457*C$22</f>
        <v>58.727887071609921</v>
      </c>
      <c r="E457" s="19">
        <f t="shared" si="465"/>
        <v>2.4723499853498541</v>
      </c>
      <c r="F457" s="19">
        <f t="shared" si="465"/>
        <v>24.242585092994048</v>
      </c>
      <c r="G457" s="19">
        <f t="shared" si="465"/>
        <v>24.242585092994048</v>
      </c>
      <c r="H457" s="19">
        <f t="shared" si="465"/>
        <v>24.242585092994048</v>
      </c>
      <c r="I457" s="16"/>
      <c r="J457" s="19">
        <f t="shared" si="429"/>
        <v>54.725556263546459</v>
      </c>
      <c r="K457" s="19">
        <f t="shared" si="430"/>
        <v>1.854652589901882</v>
      </c>
      <c r="L457" s="19">
        <f t="shared" si="431"/>
        <v>21.189098275850064</v>
      </c>
      <c r="M457" s="19">
        <f t="shared" si="432"/>
        <v>21.189098275850064</v>
      </c>
      <c r="N457" s="19">
        <f t="shared" si="433"/>
        <v>21.189098275850064</v>
      </c>
      <c r="O457" s="16"/>
      <c r="P457" s="19">
        <f t="shared" si="434"/>
        <v>47.559916244802956</v>
      </c>
      <c r="Q457" s="19">
        <f t="shared" si="435"/>
        <v>489.1702077076385</v>
      </c>
      <c r="R457" s="19">
        <f t="shared" si="436"/>
        <v>0</v>
      </c>
      <c r="S457" s="19">
        <f t="shared" si="437"/>
        <v>0</v>
      </c>
      <c r="T457" s="19">
        <f t="shared" si="438"/>
        <v>0</v>
      </c>
      <c r="U457" s="16"/>
      <c r="V457" s="19">
        <f t="shared" si="439"/>
        <v>536.73012395244143</v>
      </c>
      <c r="W457" s="16"/>
      <c r="X457" s="19">
        <f t="shared" si="440"/>
        <v>1658.9429971812433</v>
      </c>
      <c r="Y457" s="19">
        <f t="shared" si="441"/>
        <v>40.730123952441431</v>
      </c>
      <c r="Z457" s="19"/>
      <c r="AA457" s="19">
        <f t="shared" si="442"/>
        <v>1.0062186905232939E-4</v>
      </c>
    </row>
    <row r="458" spans="2:27" x14ac:dyDescent="0.3">
      <c r="B458" s="27">
        <v>119.69999999999999</v>
      </c>
      <c r="C458" s="27">
        <v>547</v>
      </c>
      <c r="D458" s="19">
        <f t="shared" ref="D458:H458" si="466">1/C$23-LN(C$23)+$B458*C$22</f>
        <v>58.831601821808079</v>
      </c>
      <c r="E458" s="19">
        <f t="shared" si="466"/>
        <v>2.4751105774449971</v>
      </c>
      <c r="F458" s="19">
        <f t="shared" si="466"/>
        <v>24.272585092994042</v>
      </c>
      <c r="G458" s="19">
        <f t="shared" si="466"/>
        <v>24.272585092994042</v>
      </c>
      <c r="H458" s="19">
        <f t="shared" si="466"/>
        <v>24.272585092994042</v>
      </c>
      <c r="I458" s="16"/>
      <c r="J458" s="19">
        <f t="shared" si="429"/>
        <v>54.827411542291976</v>
      </c>
      <c r="K458" s="19">
        <f t="shared" si="430"/>
        <v>1.8564464355888355</v>
      </c>
      <c r="L458" s="19">
        <f t="shared" si="431"/>
        <v>21.217747132616061</v>
      </c>
      <c r="M458" s="19">
        <f t="shared" si="432"/>
        <v>21.217747132616061</v>
      </c>
      <c r="N458" s="19">
        <f t="shared" si="433"/>
        <v>21.217747132616061</v>
      </c>
      <c r="O458" s="16"/>
      <c r="P458" s="19">
        <f t="shared" si="434"/>
        <v>47.38495180381161</v>
      </c>
      <c r="Q458" s="19">
        <f t="shared" si="435"/>
        <v>488.39063108866071</v>
      </c>
      <c r="R458" s="19">
        <f t="shared" si="436"/>
        <v>0</v>
      </c>
      <c r="S458" s="19">
        <f t="shared" si="437"/>
        <v>0</v>
      </c>
      <c r="T458" s="19">
        <f t="shared" si="438"/>
        <v>0</v>
      </c>
      <c r="U458" s="16"/>
      <c r="V458" s="19">
        <f t="shared" si="439"/>
        <v>535.77558289247236</v>
      </c>
      <c r="W458" s="16"/>
      <c r="X458" s="19">
        <f t="shared" si="440"/>
        <v>125.98753940375921</v>
      </c>
      <c r="Y458" s="19">
        <f t="shared" si="441"/>
        <v>11.224417107527643</v>
      </c>
      <c r="Z458" s="19"/>
      <c r="AA458" s="19">
        <f t="shared" si="442"/>
        <v>2.7729398263092513E-5</v>
      </c>
    </row>
    <row r="459" spans="2:27" x14ac:dyDescent="0.3">
      <c r="B459" s="27">
        <v>120</v>
      </c>
      <c r="C459" s="27">
        <v>546</v>
      </c>
      <c r="D459" s="19">
        <f t="shared" ref="D459:H459" si="467">1/C$23-LN(C$23)+$B459*C$22</f>
        <v>58.935316572006251</v>
      </c>
      <c r="E459" s="19">
        <f t="shared" si="467"/>
        <v>2.4778711695401405</v>
      </c>
      <c r="F459" s="19">
        <f t="shared" si="467"/>
        <v>24.302585092994043</v>
      </c>
      <c r="G459" s="19">
        <f t="shared" si="467"/>
        <v>24.302585092994043</v>
      </c>
      <c r="H459" s="19">
        <f t="shared" si="467"/>
        <v>24.302585092994043</v>
      </c>
      <c r="I459" s="16"/>
      <c r="J459" s="19">
        <f t="shared" si="429"/>
        <v>54.92927021054831</v>
      </c>
      <c r="K459" s="19">
        <f t="shared" si="430"/>
        <v>1.8582408883037249</v>
      </c>
      <c r="L459" s="19">
        <f t="shared" si="431"/>
        <v>21.246397730555604</v>
      </c>
      <c r="M459" s="19">
        <f t="shared" si="432"/>
        <v>21.246397730555604</v>
      </c>
      <c r="N459" s="19">
        <f t="shared" si="433"/>
        <v>21.246397730555604</v>
      </c>
      <c r="O459" s="16"/>
      <c r="P459" s="19">
        <f t="shared" si="434"/>
        <v>47.210945335985869</v>
      </c>
      <c r="Q459" s="19">
        <f t="shared" si="435"/>
        <v>487.6126816009006</v>
      </c>
      <c r="R459" s="19">
        <f t="shared" si="436"/>
        <v>0</v>
      </c>
      <c r="S459" s="19">
        <f t="shared" si="437"/>
        <v>0</v>
      </c>
      <c r="T459" s="19">
        <f t="shared" si="438"/>
        <v>0</v>
      </c>
      <c r="U459" s="16"/>
      <c r="V459" s="19">
        <f t="shared" si="439"/>
        <v>534.82362693688651</v>
      </c>
      <c r="W459" s="16"/>
      <c r="X459" s="19">
        <f t="shared" si="440"/>
        <v>124.91131484588877</v>
      </c>
      <c r="Y459" s="19">
        <f t="shared" si="441"/>
        <v>11.176373063113488</v>
      </c>
      <c r="Z459" s="19"/>
      <c r="AA459" s="19">
        <f t="shared" si="442"/>
        <v>2.7610707695113145E-5</v>
      </c>
    </row>
    <row r="460" spans="2:27" x14ac:dyDescent="0.3">
      <c r="B460" s="27">
        <v>120.19999999999999</v>
      </c>
      <c r="C460" s="27">
        <v>552</v>
      </c>
      <c r="D460" s="19">
        <f t="shared" ref="D460:H460" si="468">1/C$23-LN(C$23)+$B460*C$22</f>
        <v>59.004459738805025</v>
      </c>
      <c r="E460" s="19">
        <f t="shared" si="468"/>
        <v>2.4797115642702359</v>
      </c>
      <c r="F460" s="19">
        <f t="shared" si="468"/>
        <v>24.322585092994046</v>
      </c>
      <c r="G460" s="19">
        <f t="shared" si="468"/>
        <v>24.322585092994046</v>
      </c>
      <c r="H460" s="19">
        <f t="shared" si="468"/>
        <v>24.322585092994046</v>
      </c>
      <c r="I460" s="16"/>
      <c r="J460" s="19">
        <f t="shared" si="429"/>
        <v>54.997177866408876</v>
      </c>
      <c r="K460" s="19">
        <f t="shared" si="430"/>
        <v>1.8594375270763424</v>
      </c>
      <c r="L460" s="19">
        <f t="shared" si="431"/>
        <v>21.265499094338679</v>
      </c>
      <c r="M460" s="19">
        <f t="shared" si="432"/>
        <v>21.265499094338679</v>
      </c>
      <c r="N460" s="19">
        <f t="shared" si="433"/>
        <v>21.265499094338679</v>
      </c>
      <c r="O460" s="16"/>
      <c r="P460" s="19">
        <f t="shared" si="434"/>
        <v>47.095469797013287</v>
      </c>
      <c r="Q460" s="19">
        <f t="shared" si="435"/>
        <v>487.09495057475215</v>
      </c>
      <c r="R460" s="19">
        <f t="shared" si="436"/>
        <v>0</v>
      </c>
      <c r="S460" s="19">
        <f t="shared" si="437"/>
        <v>0</v>
      </c>
      <c r="T460" s="19">
        <f t="shared" si="438"/>
        <v>0</v>
      </c>
      <c r="U460" s="16"/>
      <c r="V460" s="19">
        <f t="shared" si="439"/>
        <v>534.19042037176541</v>
      </c>
      <c r="W460" s="16"/>
      <c r="X460" s="19">
        <f t="shared" si="440"/>
        <v>317.18112653442842</v>
      </c>
      <c r="Y460" s="19">
        <f t="shared" si="441"/>
        <v>17.809579628234587</v>
      </c>
      <c r="Z460" s="19"/>
      <c r="AA460" s="19">
        <f t="shared" si="442"/>
        <v>4.3997734731220633E-5</v>
      </c>
    </row>
    <row r="461" spans="2:27" x14ac:dyDescent="0.3">
      <c r="B461" s="27">
        <v>120.5</v>
      </c>
      <c r="C461" s="27">
        <v>518</v>
      </c>
      <c r="D461" s="19">
        <f t="shared" ref="D461:H461" si="469">1/C$23-LN(C$23)+$B461*C$22</f>
        <v>59.10817448900319</v>
      </c>
      <c r="E461" s="19">
        <f t="shared" si="469"/>
        <v>2.4824721563653789</v>
      </c>
      <c r="F461" s="19">
        <f t="shared" si="469"/>
        <v>24.352585092994047</v>
      </c>
      <c r="G461" s="19">
        <f t="shared" si="469"/>
        <v>24.352585092994047</v>
      </c>
      <c r="H461" s="19">
        <f t="shared" si="469"/>
        <v>24.352585092994047</v>
      </c>
      <c r="I461" s="16"/>
      <c r="J461" s="19">
        <f t="shared" si="429"/>
        <v>55.099042156720991</v>
      </c>
      <c r="K461" s="19">
        <f t="shared" si="430"/>
        <v>1.8612329902670528</v>
      </c>
      <c r="L461" s="19">
        <f t="shared" si="431"/>
        <v>21.2941525845165</v>
      </c>
      <c r="M461" s="19">
        <f t="shared" si="432"/>
        <v>21.2941525845165</v>
      </c>
      <c r="N461" s="19">
        <f t="shared" si="433"/>
        <v>21.2941525845165</v>
      </c>
      <c r="O461" s="16"/>
      <c r="P461" s="19">
        <f t="shared" si="434"/>
        <v>46.923044538935535</v>
      </c>
      <c r="Q461" s="19">
        <f t="shared" si="435"/>
        <v>486.31970399758467</v>
      </c>
      <c r="R461" s="19">
        <f t="shared" si="436"/>
        <v>0</v>
      </c>
      <c r="S461" s="19">
        <f t="shared" si="437"/>
        <v>0</v>
      </c>
      <c r="T461" s="19">
        <f t="shared" si="438"/>
        <v>0</v>
      </c>
      <c r="U461" s="16"/>
      <c r="V461" s="19">
        <f t="shared" si="439"/>
        <v>533.24274853652025</v>
      </c>
      <c r="W461" s="16"/>
      <c r="X461" s="19">
        <f t="shared" si="440"/>
        <v>232.34138294759032</v>
      </c>
      <c r="Y461" s="19">
        <f t="shared" si="441"/>
        <v>15.242748536520253</v>
      </c>
      <c r="Z461" s="19"/>
      <c r="AA461" s="19">
        <f t="shared" si="442"/>
        <v>3.7656498394903378E-5</v>
      </c>
    </row>
    <row r="462" spans="2:27" x14ac:dyDescent="0.3">
      <c r="B462" s="27">
        <v>120.79999999999998</v>
      </c>
      <c r="C462" s="27">
        <v>546</v>
      </c>
      <c r="D462" s="19">
        <f t="shared" ref="D462:H462" si="470">1/C$23-LN(C$23)+$B462*C$22</f>
        <v>59.211889239201355</v>
      </c>
      <c r="E462" s="19">
        <f t="shared" si="470"/>
        <v>2.4852327484605219</v>
      </c>
      <c r="F462" s="19">
        <f t="shared" si="470"/>
        <v>24.382585092994042</v>
      </c>
      <c r="G462" s="19">
        <f t="shared" si="470"/>
        <v>24.382585092994042</v>
      </c>
      <c r="H462" s="19">
        <f t="shared" si="470"/>
        <v>24.382585092994042</v>
      </c>
      <c r="I462" s="16"/>
      <c r="J462" s="19">
        <f t="shared" si="429"/>
        <v>55.200909804095872</v>
      </c>
      <c r="K462" s="19">
        <f t="shared" si="430"/>
        <v>1.8630290590015868</v>
      </c>
      <c r="L462" s="19">
        <f t="shared" si="431"/>
        <v>21.322807804233076</v>
      </c>
      <c r="M462" s="19">
        <f t="shared" si="432"/>
        <v>21.322807804233076</v>
      </c>
      <c r="N462" s="19">
        <f t="shared" si="433"/>
        <v>21.322807804233076</v>
      </c>
      <c r="O462" s="16"/>
      <c r="P462" s="19">
        <f t="shared" si="434"/>
        <v>46.751558861160255</v>
      </c>
      <c r="Q462" s="19">
        <f t="shared" si="435"/>
        <v>485.54607380027568</v>
      </c>
      <c r="R462" s="19">
        <f t="shared" si="436"/>
        <v>0</v>
      </c>
      <c r="S462" s="19">
        <f t="shared" si="437"/>
        <v>0</v>
      </c>
      <c r="T462" s="19">
        <f t="shared" si="438"/>
        <v>0</v>
      </c>
      <c r="U462" s="16"/>
      <c r="V462" s="19">
        <f t="shared" si="439"/>
        <v>532.29763266143596</v>
      </c>
      <c r="W462" s="16"/>
      <c r="X462" s="19">
        <f t="shared" si="440"/>
        <v>187.75487068094671</v>
      </c>
      <c r="Y462" s="19">
        <f t="shared" si="441"/>
        <v>13.702367338564045</v>
      </c>
      <c r="Z462" s="19"/>
      <c r="AA462" s="19">
        <f t="shared" si="442"/>
        <v>3.3851058584005646E-5</v>
      </c>
    </row>
    <row r="463" spans="2:27" x14ac:dyDescent="0.3">
      <c r="B463" s="27">
        <v>121.1</v>
      </c>
      <c r="C463" s="27">
        <v>583</v>
      </c>
      <c r="D463" s="19">
        <f t="shared" ref="D463:H463" si="471">1/C$23-LN(C$23)+$B463*C$22</f>
        <v>59.31560398939952</v>
      </c>
      <c r="E463" s="19">
        <f t="shared" si="471"/>
        <v>2.4879933405556653</v>
      </c>
      <c r="F463" s="19">
        <f t="shared" si="471"/>
        <v>24.412585092994043</v>
      </c>
      <c r="G463" s="19">
        <f t="shared" si="471"/>
        <v>24.412585092994043</v>
      </c>
      <c r="H463" s="19">
        <f t="shared" si="471"/>
        <v>24.412585092994043</v>
      </c>
      <c r="I463" s="16"/>
      <c r="J463" s="19">
        <f t="shared" si="429"/>
        <v>55.30278079648479</v>
      </c>
      <c r="K463" s="19">
        <f t="shared" si="430"/>
        <v>1.8648257327242725</v>
      </c>
      <c r="L463" s="19">
        <f t="shared" si="431"/>
        <v>21.351464749154932</v>
      </c>
      <c r="M463" s="19">
        <f t="shared" si="432"/>
        <v>21.351464749154932</v>
      </c>
      <c r="N463" s="19">
        <f t="shared" si="433"/>
        <v>21.351464749154932</v>
      </c>
      <c r="O463" s="16"/>
      <c r="P463" s="19">
        <f t="shared" si="434"/>
        <v>46.581005979897903</v>
      </c>
      <c r="Q463" s="19">
        <f t="shared" si="435"/>
        <v>484.77405597167751</v>
      </c>
      <c r="R463" s="19">
        <f t="shared" si="436"/>
        <v>0</v>
      </c>
      <c r="S463" s="19">
        <f t="shared" si="437"/>
        <v>0</v>
      </c>
      <c r="T463" s="19">
        <f t="shared" si="438"/>
        <v>0</v>
      </c>
      <c r="U463" s="16"/>
      <c r="V463" s="19">
        <f t="shared" si="439"/>
        <v>531.35506195157541</v>
      </c>
      <c r="W463" s="16"/>
      <c r="X463" s="19">
        <f t="shared" si="440"/>
        <v>2667.1996260256142</v>
      </c>
      <c r="Y463" s="19">
        <f t="shared" si="441"/>
        <v>51.644938048424592</v>
      </c>
      <c r="Z463" s="19"/>
      <c r="AA463" s="19">
        <f t="shared" si="442"/>
        <v>1.2758640753443494E-4</v>
      </c>
    </row>
    <row r="464" spans="2:27" x14ac:dyDescent="0.3">
      <c r="B464" s="27">
        <v>121.4</v>
      </c>
      <c r="C464" s="27">
        <v>513</v>
      </c>
      <c r="D464" s="19">
        <f t="shared" ref="D464:H464" si="472">1/C$23-LN(C$23)+$B464*C$22</f>
        <v>59.419318739597692</v>
      </c>
      <c r="E464" s="19">
        <f t="shared" si="472"/>
        <v>2.4907539326508088</v>
      </c>
      <c r="F464" s="19">
        <f t="shared" si="472"/>
        <v>24.442585092994044</v>
      </c>
      <c r="G464" s="19">
        <f t="shared" si="472"/>
        <v>24.442585092994044</v>
      </c>
      <c r="H464" s="19">
        <f t="shared" si="472"/>
        <v>24.442585092994044</v>
      </c>
      <c r="I464" s="16"/>
      <c r="J464" s="19">
        <f t="shared" si="429"/>
        <v>55.404655121903382</v>
      </c>
      <c r="K464" s="19">
        <f t="shared" si="430"/>
        <v>1.8666230108799136</v>
      </c>
      <c r="L464" s="19">
        <f t="shared" si="431"/>
        <v>21.380123414964572</v>
      </c>
      <c r="M464" s="19">
        <f t="shared" si="432"/>
        <v>21.380123414964572</v>
      </c>
      <c r="N464" s="19">
        <f t="shared" si="433"/>
        <v>21.380123414964572</v>
      </c>
      <c r="O464" s="16"/>
      <c r="P464" s="19">
        <f t="shared" si="434"/>
        <v>46.411379172252914</v>
      </c>
      <c r="Q464" s="19">
        <f t="shared" si="435"/>
        <v>484.00364651183349</v>
      </c>
      <c r="R464" s="19">
        <f t="shared" si="436"/>
        <v>0</v>
      </c>
      <c r="S464" s="19">
        <f t="shared" si="437"/>
        <v>0</v>
      </c>
      <c r="T464" s="19">
        <f t="shared" si="438"/>
        <v>0</v>
      </c>
      <c r="U464" s="16"/>
      <c r="V464" s="19">
        <f t="shared" si="439"/>
        <v>530.41502568408646</v>
      </c>
      <c r="W464" s="16"/>
      <c r="X464" s="19">
        <f t="shared" si="440"/>
        <v>303.28311957739101</v>
      </c>
      <c r="Y464" s="19">
        <f t="shared" si="441"/>
        <v>17.415025684086459</v>
      </c>
      <c r="Z464" s="19"/>
      <c r="AA464" s="19">
        <f t="shared" si="442"/>
        <v>4.3023007638602165E-5</v>
      </c>
    </row>
    <row r="465" spans="2:27" x14ac:dyDescent="0.3">
      <c r="B465" s="27">
        <v>121.69999999999999</v>
      </c>
      <c r="C465" s="27">
        <v>527</v>
      </c>
      <c r="D465" s="19">
        <f t="shared" ref="D465:H465" si="473">1/C$23-LN(C$23)+$B465*C$22</f>
        <v>59.52303348979585</v>
      </c>
      <c r="E465" s="19">
        <f t="shared" si="473"/>
        <v>2.4935145247459518</v>
      </c>
      <c r="F465" s="19">
        <f t="shared" si="473"/>
        <v>24.472585092994045</v>
      </c>
      <c r="G465" s="19">
        <f t="shared" si="473"/>
        <v>24.472585092994045</v>
      </c>
      <c r="H465" s="19">
        <f t="shared" si="473"/>
        <v>24.472585092994045</v>
      </c>
      <c r="I465" s="16"/>
      <c r="J465" s="19">
        <f t="shared" si="429"/>
        <v>55.50653276843115</v>
      </c>
      <c r="K465" s="19">
        <f t="shared" si="430"/>
        <v>1.8684208929137875</v>
      </c>
      <c r="L465" s="19">
        <f t="shared" si="431"/>
        <v>21.408783797360424</v>
      </c>
      <c r="M465" s="19">
        <f t="shared" si="432"/>
        <v>21.408783797360424</v>
      </c>
      <c r="N465" s="19">
        <f t="shared" si="433"/>
        <v>21.408783797360424</v>
      </c>
      <c r="O465" s="16"/>
      <c r="P465" s="19">
        <f t="shared" si="434"/>
        <v>46.242671775571011</v>
      </c>
      <c r="Q465" s="19">
        <f t="shared" si="435"/>
        <v>483.2348414319444</v>
      </c>
      <c r="R465" s="19">
        <f t="shared" si="436"/>
        <v>0</v>
      </c>
      <c r="S465" s="19">
        <f t="shared" si="437"/>
        <v>0</v>
      </c>
      <c r="T465" s="19">
        <f t="shared" si="438"/>
        <v>0</v>
      </c>
      <c r="U465" s="16"/>
      <c r="V465" s="19">
        <f t="shared" si="439"/>
        <v>529.47751320751536</v>
      </c>
      <c r="W465" s="16"/>
      <c r="X465" s="19">
        <f t="shared" si="440"/>
        <v>6.1380716934130364</v>
      </c>
      <c r="Y465" s="19">
        <f t="shared" si="441"/>
        <v>2.4775132075153579</v>
      </c>
      <c r="Z465" s="19"/>
      <c r="AA465" s="19">
        <f t="shared" si="442"/>
        <v>6.1205806747141982E-6</v>
      </c>
    </row>
    <row r="466" spans="2:27" x14ac:dyDescent="0.3">
      <c r="B466" s="27">
        <v>122</v>
      </c>
      <c r="C466" s="27">
        <v>516</v>
      </c>
      <c r="D466" s="19">
        <f t="shared" ref="D466:H466" si="474">1/C$23-LN(C$23)+$B466*C$22</f>
        <v>59.626748239994022</v>
      </c>
      <c r="E466" s="19">
        <f t="shared" si="474"/>
        <v>2.4962751168410948</v>
      </c>
      <c r="F466" s="19">
        <f t="shared" si="474"/>
        <v>24.502585092994046</v>
      </c>
      <c r="G466" s="19">
        <f t="shared" si="474"/>
        <v>24.502585092994046</v>
      </c>
      <c r="H466" s="19">
        <f t="shared" si="474"/>
        <v>24.502585092994046</v>
      </c>
      <c r="I466" s="16"/>
      <c r="J466" s="19">
        <f t="shared" si="429"/>
        <v>55.608413724211083</v>
      </c>
      <c r="K466" s="19">
        <f t="shared" si="430"/>
        <v>1.8702193782716481</v>
      </c>
      <c r="L466" s="19">
        <f t="shared" si="431"/>
        <v>21.437445892056765</v>
      </c>
      <c r="M466" s="19">
        <f t="shared" si="432"/>
        <v>21.437445892056765</v>
      </c>
      <c r="N466" s="19">
        <f t="shared" si="433"/>
        <v>21.437445892056765</v>
      </c>
      <c r="O466" s="16"/>
      <c r="P466" s="19">
        <f t="shared" si="434"/>
        <v>46.074877186794374</v>
      </c>
      <c r="Q466" s="19">
        <f t="shared" si="435"/>
        <v>482.46763675433363</v>
      </c>
      <c r="R466" s="19">
        <f t="shared" si="436"/>
        <v>0</v>
      </c>
      <c r="S466" s="19">
        <f t="shared" si="437"/>
        <v>0</v>
      </c>
      <c r="T466" s="19">
        <f t="shared" si="438"/>
        <v>0</v>
      </c>
      <c r="U466" s="16"/>
      <c r="V466" s="19">
        <f t="shared" si="439"/>
        <v>528.54251394112805</v>
      </c>
      <c r="W466" s="16"/>
      <c r="X466" s="19">
        <f t="shared" si="440"/>
        <v>157.31465596339149</v>
      </c>
      <c r="Y466" s="19">
        <f t="shared" si="441"/>
        <v>12.54251394112805</v>
      </c>
      <c r="Z466" s="19"/>
      <c r="AA466" s="19">
        <f t="shared" si="442"/>
        <v>3.0985694932940486E-5</v>
      </c>
    </row>
    <row r="467" spans="2:27" x14ac:dyDescent="0.3">
      <c r="B467" s="27">
        <v>122.19999999999999</v>
      </c>
      <c r="C467" s="27">
        <v>515</v>
      </c>
      <c r="D467" s="19">
        <f t="shared" ref="D467:H467" si="475">1/C$23-LN(C$23)+$B467*C$22</f>
        <v>59.695891406792789</v>
      </c>
      <c r="E467" s="19">
        <f t="shared" si="475"/>
        <v>2.4981155115711902</v>
      </c>
      <c r="F467" s="19">
        <f t="shared" si="475"/>
        <v>24.522585092994042</v>
      </c>
      <c r="G467" s="19">
        <f t="shared" si="475"/>
        <v>24.522585092994042</v>
      </c>
      <c r="H467" s="19">
        <f t="shared" si="475"/>
        <v>24.522585092994042</v>
      </c>
      <c r="I467" s="16"/>
      <c r="J467" s="19">
        <f t="shared" si="429"/>
        <v>55.676336194044325</v>
      </c>
      <c r="K467" s="19">
        <f t="shared" si="430"/>
        <v>1.8714187034167278</v>
      </c>
      <c r="L467" s="19">
        <f t="shared" si="431"/>
        <v>21.456554904356427</v>
      </c>
      <c r="M467" s="19">
        <f t="shared" si="432"/>
        <v>21.456554904356427</v>
      </c>
      <c r="N467" s="19">
        <f t="shared" si="433"/>
        <v>21.456554904356427</v>
      </c>
      <c r="O467" s="16"/>
      <c r="P467" s="19">
        <f t="shared" si="434"/>
        <v>45.963518009052343</v>
      </c>
      <c r="Q467" s="19">
        <f t="shared" si="435"/>
        <v>481.95705412237317</v>
      </c>
      <c r="R467" s="19">
        <f t="shared" si="436"/>
        <v>0</v>
      </c>
      <c r="S467" s="19">
        <f t="shared" si="437"/>
        <v>0</v>
      </c>
      <c r="T467" s="19">
        <f t="shared" si="438"/>
        <v>0</v>
      </c>
      <c r="U467" s="16"/>
      <c r="V467" s="19">
        <f t="shared" si="439"/>
        <v>527.9205721314255</v>
      </c>
      <c r="W467" s="16"/>
      <c r="X467" s="19">
        <f t="shared" si="440"/>
        <v>166.94118420336932</v>
      </c>
      <c r="Y467" s="19">
        <f t="shared" si="441"/>
        <v>12.920572131425502</v>
      </c>
      <c r="Z467" s="19"/>
      <c r="AA467" s="19">
        <f t="shared" si="442"/>
        <v>3.1919670036053093E-5</v>
      </c>
    </row>
    <row r="468" spans="2:27" x14ac:dyDescent="0.3">
      <c r="B468" s="27">
        <v>122.5</v>
      </c>
      <c r="C468" s="27">
        <v>562</v>
      </c>
      <c r="D468" s="19">
        <f t="shared" ref="D468:H468" si="476">1/C$23-LN(C$23)+$B468*C$22</f>
        <v>59.799606156990961</v>
      </c>
      <c r="E468" s="19">
        <f t="shared" si="476"/>
        <v>2.5008761036663332</v>
      </c>
      <c r="F468" s="19">
        <f t="shared" si="476"/>
        <v>24.552585092994043</v>
      </c>
      <c r="G468" s="19">
        <f t="shared" si="476"/>
        <v>24.552585092994043</v>
      </c>
      <c r="H468" s="19">
        <f t="shared" si="476"/>
        <v>24.552585092994043</v>
      </c>
      <c r="I468" s="16"/>
      <c r="J468" s="19">
        <f t="shared" si="429"/>
        <v>55.778222639066463</v>
      </c>
      <c r="K468" s="19">
        <f t="shared" si="430"/>
        <v>1.8732181930841985</v>
      </c>
      <c r="L468" s="19">
        <f t="shared" si="431"/>
        <v>21.485219843405851</v>
      </c>
      <c r="M468" s="19">
        <f t="shared" si="432"/>
        <v>21.485219843405851</v>
      </c>
      <c r="N468" s="19">
        <f t="shared" si="433"/>
        <v>21.485219843405851</v>
      </c>
      <c r="O468" s="16"/>
      <c r="P468" s="19">
        <f t="shared" si="434"/>
        <v>45.797230253176032</v>
      </c>
      <c r="Q468" s="19">
        <f t="shared" si="435"/>
        <v>481.19250797271843</v>
      </c>
      <c r="R468" s="19">
        <f t="shared" si="436"/>
        <v>0</v>
      </c>
      <c r="S468" s="19">
        <f t="shared" si="437"/>
        <v>0</v>
      </c>
      <c r="T468" s="19">
        <f t="shared" si="438"/>
        <v>0</v>
      </c>
      <c r="U468" s="16"/>
      <c r="V468" s="19">
        <f t="shared" si="439"/>
        <v>526.98973822589448</v>
      </c>
      <c r="W468" s="16"/>
      <c r="X468" s="19">
        <f t="shared" si="440"/>
        <v>1225.7184294913939</v>
      </c>
      <c r="Y468" s="19">
        <f t="shared" si="441"/>
        <v>35.010261774105516</v>
      </c>
      <c r="Z468" s="19"/>
      <c r="AA468" s="19">
        <f t="shared" si="442"/>
        <v>8.6491216668901295E-5</v>
      </c>
    </row>
    <row r="469" spans="2:27" x14ac:dyDescent="0.3">
      <c r="B469" s="27">
        <v>122.79999999999998</v>
      </c>
      <c r="C469" s="27">
        <v>560</v>
      </c>
      <c r="D469" s="19">
        <f t="shared" ref="D469:H469" si="477">1/C$23-LN(C$23)+$B469*C$22</f>
        <v>59.903320907189119</v>
      </c>
      <c r="E469" s="19">
        <f t="shared" si="477"/>
        <v>2.5036366957614762</v>
      </c>
      <c r="F469" s="19">
        <f t="shared" si="477"/>
        <v>24.582585092994044</v>
      </c>
      <c r="G469" s="19">
        <f t="shared" si="477"/>
        <v>24.582585092994044</v>
      </c>
      <c r="H469" s="19">
        <f t="shared" si="477"/>
        <v>24.582585092994044</v>
      </c>
      <c r="I469" s="16"/>
      <c r="J469" s="19">
        <f t="shared" si="429"/>
        <v>55.880112362028783</v>
      </c>
      <c r="K469" s="19">
        <f t="shared" si="430"/>
        <v>1.8750182845999894</v>
      </c>
      <c r="L469" s="19">
        <f t="shared" si="431"/>
        <v>21.513886483404026</v>
      </c>
      <c r="M469" s="19">
        <f t="shared" si="432"/>
        <v>21.513886483404026</v>
      </c>
      <c r="N469" s="19">
        <f t="shared" si="433"/>
        <v>21.513886483404026</v>
      </c>
      <c r="O469" s="16"/>
      <c r="P469" s="19">
        <f t="shared" si="434"/>
        <v>45.631837983595346</v>
      </c>
      <c r="Q469" s="19">
        <f t="shared" si="435"/>
        <v>480.42955167233293</v>
      </c>
      <c r="R469" s="19">
        <f t="shared" si="436"/>
        <v>0</v>
      </c>
      <c r="S469" s="19">
        <f t="shared" si="437"/>
        <v>0</v>
      </c>
      <c r="T469" s="19">
        <f t="shared" si="438"/>
        <v>0</v>
      </c>
      <c r="U469" s="16"/>
      <c r="V469" s="19">
        <f t="shared" si="439"/>
        <v>526.06138965592822</v>
      </c>
      <c r="W469" s="16"/>
      <c r="X469" s="19">
        <f t="shared" si="440"/>
        <v>1151.8292720867357</v>
      </c>
      <c r="Y469" s="19">
        <f t="shared" si="441"/>
        <v>33.938610344071776</v>
      </c>
      <c r="Z469" s="19"/>
      <c r="AA469" s="19">
        <f t="shared" si="442"/>
        <v>8.3843751859108274E-5</v>
      </c>
    </row>
    <row r="470" spans="2:27" x14ac:dyDescent="0.3">
      <c r="B470" s="27">
        <v>123.1</v>
      </c>
      <c r="C470" s="27">
        <v>540</v>
      </c>
      <c r="D470" s="19">
        <f t="shared" ref="D470:H470" si="478">1/C$23-LN(C$23)+$B470*C$22</f>
        <v>60.007035657387291</v>
      </c>
      <c r="E470" s="19">
        <f t="shared" si="478"/>
        <v>2.5063972878566196</v>
      </c>
      <c r="F470" s="19">
        <f t="shared" si="478"/>
        <v>24.612585092994046</v>
      </c>
      <c r="G470" s="19">
        <f t="shared" si="478"/>
        <v>24.612585092994046</v>
      </c>
      <c r="H470" s="19">
        <f t="shared" si="478"/>
        <v>24.612585092994046</v>
      </c>
      <c r="I470" s="16"/>
      <c r="J470" s="19">
        <f t="shared" si="429"/>
        <v>55.982005351303101</v>
      </c>
      <c r="K470" s="19">
        <f t="shared" si="430"/>
        <v>1.8768189774115978</v>
      </c>
      <c r="L470" s="19">
        <f t="shared" si="431"/>
        <v>21.542554820122657</v>
      </c>
      <c r="M470" s="19">
        <f t="shared" si="432"/>
        <v>21.542554820122657</v>
      </c>
      <c r="N470" s="19">
        <f t="shared" si="433"/>
        <v>21.542554820122657</v>
      </c>
      <c r="O470" s="16"/>
      <c r="P470" s="19">
        <f t="shared" si="434"/>
        <v>45.46733481038612</v>
      </c>
      <c r="Q470" s="19">
        <f t="shared" si="435"/>
        <v>479.66818128404122</v>
      </c>
      <c r="R470" s="19">
        <f t="shared" si="436"/>
        <v>0</v>
      </c>
      <c r="S470" s="19">
        <f t="shared" si="437"/>
        <v>0</v>
      </c>
      <c r="T470" s="19">
        <f t="shared" si="438"/>
        <v>0</v>
      </c>
      <c r="U470" s="16"/>
      <c r="V470" s="19">
        <f t="shared" si="439"/>
        <v>525.13551609442732</v>
      </c>
      <c r="W470" s="16"/>
      <c r="X470" s="19">
        <f t="shared" si="440"/>
        <v>220.95288177902933</v>
      </c>
      <c r="Y470" s="19">
        <f t="shared" si="441"/>
        <v>14.864483905572683</v>
      </c>
      <c r="Z470" s="19"/>
      <c r="AA470" s="19">
        <f t="shared" si="442"/>
        <v>3.6722013289805812E-5</v>
      </c>
    </row>
    <row r="471" spans="2:27" x14ac:dyDescent="0.3">
      <c r="B471" s="27">
        <v>123.4</v>
      </c>
      <c r="C471" s="27">
        <v>561</v>
      </c>
      <c r="D471" s="19">
        <f t="shared" ref="D471:H471" si="479">1/C$23-LN(C$23)+$B471*C$22</f>
        <v>60.110750407585456</v>
      </c>
      <c r="E471" s="19">
        <f t="shared" si="479"/>
        <v>2.5091578799517631</v>
      </c>
      <c r="F471" s="19">
        <f t="shared" si="479"/>
        <v>24.642585092994047</v>
      </c>
      <c r="G471" s="19">
        <f t="shared" si="479"/>
        <v>24.642585092994047</v>
      </c>
      <c r="H471" s="19">
        <f t="shared" si="479"/>
        <v>24.642585092994047</v>
      </c>
      <c r="I471" s="16"/>
      <c r="J471" s="19">
        <f t="shared" si="429"/>
        <v>56.083901595322601</v>
      </c>
      <c r="K471" s="19">
        <f t="shared" si="430"/>
        <v>1.8786202709669961</v>
      </c>
      <c r="L471" s="19">
        <f t="shared" si="431"/>
        <v>21.571224849348948</v>
      </c>
      <c r="M471" s="19">
        <f t="shared" si="432"/>
        <v>21.571224849348948</v>
      </c>
      <c r="N471" s="19">
        <f t="shared" si="433"/>
        <v>21.571224849348948</v>
      </c>
      <c r="O471" s="16"/>
      <c r="P471" s="19">
        <f t="shared" si="434"/>
        <v>45.303714400316558</v>
      </c>
      <c r="Q471" s="19">
        <f t="shared" si="435"/>
        <v>478.90839288163636</v>
      </c>
      <c r="R471" s="19">
        <f t="shared" si="436"/>
        <v>0</v>
      </c>
      <c r="S471" s="19">
        <f t="shared" si="437"/>
        <v>0</v>
      </c>
      <c r="T471" s="19">
        <f t="shared" si="438"/>
        <v>0</v>
      </c>
      <c r="U471" s="16"/>
      <c r="V471" s="19">
        <f t="shared" si="439"/>
        <v>524.21210728195297</v>
      </c>
      <c r="W471" s="16"/>
      <c r="X471" s="19">
        <f t="shared" si="440"/>
        <v>1353.3490506345379</v>
      </c>
      <c r="Y471" s="19">
        <f t="shared" si="441"/>
        <v>36.787892718047033</v>
      </c>
      <c r="Z471" s="19"/>
      <c r="AA471" s="19">
        <f t="shared" si="442"/>
        <v>9.0882770897253464E-5</v>
      </c>
    </row>
    <row r="472" spans="2:27" x14ac:dyDescent="0.3">
      <c r="B472" s="27">
        <v>123.69999999999999</v>
      </c>
      <c r="C472" s="27">
        <v>500</v>
      </c>
      <c r="D472" s="19">
        <f t="shared" ref="D472:H472" si="480">1/C$23-LN(C$23)+$B472*C$22</f>
        <v>60.214465157783614</v>
      </c>
      <c r="E472" s="19">
        <f t="shared" si="480"/>
        <v>2.5119184720469061</v>
      </c>
      <c r="F472" s="19">
        <f t="shared" si="480"/>
        <v>24.672585092994044</v>
      </c>
      <c r="G472" s="19">
        <f t="shared" si="480"/>
        <v>24.672585092994044</v>
      </c>
      <c r="H472" s="19">
        <f t="shared" si="480"/>
        <v>24.672585092994044</v>
      </c>
      <c r="I472" s="16"/>
      <c r="J472" s="19">
        <f t="shared" si="429"/>
        <v>56.185801082581435</v>
      </c>
      <c r="K472" s="19">
        <f t="shared" si="430"/>
        <v>1.8804221647146326</v>
      </c>
      <c r="L472" s="19">
        <f t="shared" si="431"/>
        <v>21.599896566885505</v>
      </c>
      <c r="M472" s="19">
        <f t="shared" si="432"/>
        <v>21.599896566885505</v>
      </c>
      <c r="N472" s="19">
        <f t="shared" si="433"/>
        <v>21.599896566885505</v>
      </c>
      <c r="O472" s="16"/>
      <c r="P472" s="19">
        <f t="shared" si="434"/>
        <v>45.140970476246459</v>
      </c>
      <c r="Q472" s="19">
        <f t="shared" si="435"/>
        <v>478.15018254984687</v>
      </c>
      <c r="R472" s="19">
        <f t="shared" si="436"/>
        <v>0</v>
      </c>
      <c r="S472" s="19">
        <f t="shared" si="437"/>
        <v>0</v>
      </c>
      <c r="T472" s="19">
        <f t="shared" si="438"/>
        <v>0</v>
      </c>
      <c r="U472" s="16"/>
      <c r="V472" s="19">
        <f t="shared" si="439"/>
        <v>523.2911530260933</v>
      </c>
      <c r="W472" s="16"/>
      <c r="X472" s="19">
        <f t="shared" si="440"/>
        <v>542.47780928489499</v>
      </c>
      <c r="Y472" s="19">
        <f t="shared" si="441"/>
        <v>23.291153026093298</v>
      </c>
      <c r="Z472" s="19"/>
      <c r="AA472" s="19">
        <f t="shared" si="442"/>
        <v>5.7539705811006889E-5</v>
      </c>
    </row>
    <row r="473" spans="2:27" x14ac:dyDescent="0.3">
      <c r="B473" s="27">
        <v>124</v>
      </c>
      <c r="C473" s="27">
        <v>525</v>
      </c>
      <c r="D473" s="19">
        <f t="shared" ref="D473:H473" si="481">1/C$23-LN(C$23)+$B473*C$22</f>
        <v>60.318179907981786</v>
      </c>
      <c r="E473" s="19">
        <f t="shared" si="481"/>
        <v>2.5146790641420491</v>
      </c>
      <c r="F473" s="19">
        <f t="shared" si="481"/>
        <v>24.702585092994045</v>
      </c>
      <c r="G473" s="19">
        <f t="shared" si="481"/>
        <v>24.702585092994045</v>
      </c>
      <c r="H473" s="19">
        <f t="shared" si="481"/>
        <v>24.702585092994045</v>
      </c>
      <c r="I473" s="16"/>
      <c r="J473" s="19">
        <f t="shared" si="429"/>
        <v>56.287703801634301</v>
      </c>
      <c r="K473" s="19">
        <f t="shared" si="430"/>
        <v>1.882224658103433</v>
      </c>
      <c r="L473" s="19">
        <f t="shared" si="431"/>
        <v>21.628569968550291</v>
      </c>
      <c r="M473" s="19">
        <f t="shared" si="432"/>
        <v>21.628569968550291</v>
      </c>
      <c r="N473" s="19">
        <f t="shared" si="433"/>
        <v>21.628569968550291</v>
      </c>
      <c r="O473" s="16"/>
      <c r="P473" s="19">
        <f t="shared" si="434"/>
        <v>44.97909681653384</v>
      </c>
      <c r="Q473" s="19">
        <f t="shared" si="435"/>
        <v>477.39354638430353</v>
      </c>
      <c r="R473" s="19">
        <f t="shared" si="436"/>
        <v>0</v>
      </c>
      <c r="S473" s="19">
        <f t="shared" si="437"/>
        <v>0</v>
      </c>
      <c r="T473" s="19">
        <f t="shared" si="438"/>
        <v>0</v>
      </c>
      <c r="U473" s="16"/>
      <c r="V473" s="19">
        <f t="shared" si="439"/>
        <v>522.37264320083739</v>
      </c>
      <c r="W473" s="16"/>
      <c r="X473" s="19">
        <f t="shared" si="440"/>
        <v>6.9030037501060075</v>
      </c>
      <c r="Y473" s="19">
        <f t="shared" si="441"/>
        <v>2.6273567991626123</v>
      </c>
      <c r="Z473" s="19"/>
      <c r="AA473" s="19">
        <f t="shared" si="442"/>
        <v>6.4907622699056603E-6</v>
      </c>
    </row>
    <row r="474" spans="2:27" x14ac:dyDescent="0.3">
      <c r="B474" s="27">
        <v>124.19999999999999</v>
      </c>
      <c r="C474" s="27">
        <v>512</v>
      </c>
      <c r="D474" s="19">
        <f t="shared" ref="D474:H474" si="482">1/C$23-LN(C$23)+$B474*C$22</f>
        <v>60.387323074780561</v>
      </c>
      <c r="E474" s="19">
        <f t="shared" si="482"/>
        <v>2.5165194588721445</v>
      </c>
      <c r="F474" s="19">
        <f t="shared" si="482"/>
        <v>24.722585092994045</v>
      </c>
      <c r="G474" s="19">
        <f t="shared" si="482"/>
        <v>24.722585092994045</v>
      </c>
      <c r="H474" s="19">
        <f t="shared" si="482"/>
        <v>24.722585092994045</v>
      </c>
      <c r="I474" s="16"/>
      <c r="J474" s="19">
        <f t="shared" si="429"/>
        <v>56.355640737485892</v>
      </c>
      <c r="K474" s="19">
        <f t="shared" si="430"/>
        <v>1.8834266532246922</v>
      </c>
      <c r="L474" s="19">
        <f t="shared" si="431"/>
        <v>21.647686503228645</v>
      </c>
      <c r="M474" s="19">
        <f t="shared" si="432"/>
        <v>21.647686503228645</v>
      </c>
      <c r="N474" s="19">
        <f t="shared" si="433"/>
        <v>21.647686503228645</v>
      </c>
      <c r="O474" s="16"/>
      <c r="P474" s="19">
        <f t="shared" si="434"/>
        <v>44.871661476049852</v>
      </c>
      <c r="Q474" s="19">
        <f t="shared" si="435"/>
        <v>476.88999488758293</v>
      </c>
      <c r="R474" s="19">
        <f t="shared" si="436"/>
        <v>0</v>
      </c>
      <c r="S474" s="19">
        <f t="shared" si="437"/>
        <v>0</v>
      </c>
      <c r="T474" s="19">
        <f t="shared" si="438"/>
        <v>0</v>
      </c>
      <c r="U474" s="16"/>
      <c r="V474" s="19">
        <f t="shared" si="439"/>
        <v>521.76165636363282</v>
      </c>
      <c r="W474" s="16"/>
      <c r="X474" s="19">
        <f t="shared" si="440"/>
        <v>95.289934961653202</v>
      </c>
      <c r="Y474" s="19">
        <f t="shared" si="441"/>
        <v>9.7616563636328237</v>
      </c>
      <c r="Z474" s="19"/>
      <c r="AA474" s="19">
        <f t="shared" si="442"/>
        <v>2.4115716158934573E-5</v>
      </c>
    </row>
    <row r="475" spans="2:27" x14ac:dyDescent="0.3">
      <c r="B475" s="27">
        <v>124.5</v>
      </c>
      <c r="C475" s="27">
        <v>540</v>
      </c>
      <c r="D475" s="19">
        <f t="shared" ref="D475:H475" si="483">1/C$23-LN(C$23)+$B475*C$22</f>
        <v>60.491037824978726</v>
      </c>
      <c r="E475" s="19">
        <f t="shared" si="483"/>
        <v>2.5192800509672879</v>
      </c>
      <c r="F475" s="19">
        <f t="shared" si="483"/>
        <v>24.752585092994046</v>
      </c>
      <c r="G475" s="19">
        <f t="shared" si="483"/>
        <v>24.752585092994046</v>
      </c>
      <c r="H475" s="19">
        <f t="shared" si="483"/>
        <v>24.752585092994046</v>
      </c>
      <c r="I475" s="16"/>
      <c r="J475" s="19">
        <f t="shared" si="429"/>
        <v>56.457548817591196</v>
      </c>
      <c r="K475" s="19">
        <f t="shared" si="430"/>
        <v>1.8852301447921129</v>
      </c>
      <c r="L475" s="19">
        <f t="shared" si="431"/>
        <v>21.676362702521804</v>
      </c>
      <c r="M475" s="19">
        <f t="shared" si="432"/>
        <v>21.676362702521804</v>
      </c>
      <c r="N475" s="19">
        <f t="shared" si="433"/>
        <v>21.676362702521804</v>
      </c>
      <c r="O475" s="16"/>
      <c r="P475" s="19">
        <f t="shared" si="434"/>
        <v>44.711224579944201</v>
      </c>
      <c r="Q475" s="19">
        <f t="shared" si="435"/>
        <v>476.13597368558271</v>
      </c>
      <c r="R475" s="19">
        <f t="shared" si="436"/>
        <v>0</v>
      </c>
      <c r="S475" s="19">
        <f t="shared" si="437"/>
        <v>0</v>
      </c>
      <c r="T475" s="19">
        <f t="shared" si="438"/>
        <v>0</v>
      </c>
      <c r="U475" s="16"/>
      <c r="V475" s="19">
        <f t="shared" si="439"/>
        <v>520.84719826552691</v>
      </c>
      <c r="W475" s="16"/>
      <c r="X475" s="19">
        <f t="shared" si="440"/>
        <v>366.82981428003529</v>
      </c>
      <c r="Y475" s="19">
        <f t="shared" si="441"/>
        <v>19.152801734473087</v>
      </c>
      <c r="Z475" s="19"/>
      <c r="AA475" s="19">
        <f t="shared" si="442"/>
        <v>4.7316102213724273E-5</v>
      </c>
    </row>
    <row r="476" spans="2:27" x14ac:dyDescent="0.3">
      <c r="B476" s="27">
        <v>124.79999999999998</v>
      </c>
      <c r="C476" s="27">
        <v>547</v>
      </c>
      <c r="D476" s="19">
        <f t="shared" ref="D476:H476" si="484">1/C$23-LN(C$23)+$B476*C$22</f>
        <v>60.594752575176891</v>
      </c>
      <c r="E476" s="19">
        <f t="shared" si="484"/>
        <v>2.5220406430624309</v>
      </c>
      <c r="F476" s="19">
        <f t="shared" si="484"/>
        <v>24.782585092994044</v>
      </c>
      <c r="G476" s="19">
        <f t="shared" si="484"/>
        <v>24.782585092994044</v>
      </c>
      <c r="H476" s="19">
        <f t="shared" si="484"/>
        <v>24.782585092994044</v>
      </c>
      <c r="I476" s="16"/>
      <c r="J476" s="19">
        <f t="shared" si="429"/>
        <v>56.559460099262452</v>
      </c>
      <c r="K476" s="19">
        <f t="shared" si="430"/>
        <v>1.8870342345334912</v>
      </c>
      <c r="L476" s="19">
        <f t="shared" si="431"/>
        <v>21.705040574865496</v>
      </c>
      <c r="M476" s="19">
        <f t="shared" si="432"/>
        <v>21.705040574865496</v>
      </c>
      <c r="N476" s="19">
        <f t="shared" si="433"/>
        <v>21.705040574865496</v>
      </c>
      <c r="O476" s="16"/>
      <c r="P476" s="19">
        <f t="shared" si="434"/>
        <v>44.55164162404175</v>
      </c>
      <c r="Q476" s="19">
        <f t="shared" si="435"/>
        <v>475.38351629123076</v>
      </c>
      <c r="R476" s="19">
        <f t="shared" si="436"/>
        <v>0</v>
      </c>
      <c r="S476" s="19">
        <f t="shared" si="437"/>
        <v>0</v>
      </c>
      <c r="T476" s="19">
        <f t="shared" si="438"/>
        <v>0</v>
      </c>
      <c r="U476" s="16"/>
      <c r="V476" s="19">
        <f t="shared" si="439"/>
        <v>519.9351579152725</v>
      </c>
      <c r="W476" s="16"/>
      <c r="X476" s="19">
        <f t="shared" si="440"/>
        <v>732.50567707123696</v>
      </c>
      <c r="Y476" s="19">
        <f t="shared" si="441"/>
        <v>27.064842084727502</v>
      </c>
      <c r="Z476" s="19"/>
      <c r="AA476" s="19">
        <f t="shared" si="442"/>
        <v>6.6862428392098824E-5</v>
      </c>
    </row>
    <row r="477" spans="2:27" x14ac:dyDescent="0.3">
      <c r="B477" s="27">
        <v>125.1</v>
      </c>
      <c r="C477" s="27">
        <v>535</v>
      </c>
      <c r="D477" s="19">
        <f t="shared" ref="D477:H477" si="485">1/C$23-LN(C$23)+$B477*C$22</f>
        <v>60.698467325375056</v>
      </c>
      <c r="E477" s="19">
        <f t="shared" si="485"/>
        <v>2.5248012351575744</v>
      </c>
      <c r="F477" s="19">
        <f t="shared" si="485"/>
        <v>24.812585092994045</v>
      </c>
      <c r="G477" s="19">
        <f t="shared" si="485"/>
        <v>24.812585092994045</v>
      </c>
      <c r="H477" s="19">
        <f t="shared" si="485"/>
        <v>24.812585092994045</v>
      </c>
      <c r="I477" s="16"/>
      <c r="J477" s="19">
        <f t="shared" si="429"/>
        <v>56.661374571272731</v>
      </c>
      <c r="K477" s="19">
        <f t="shared" si="430"/>
        <v>1.8888389218994979</v>
      </c>
      <c r="L477" s="19">
        <f t="shared" si="431"/>
        <v>21.733720116133309</v>
      </c>
      <c r="M477" s="19">
        <f t="shared" si="432"/>
        <v>21.733720116133309</v>
      </c>
      <c r="N477" s="19">
        <f t="shared" si="433"/>
        <v>21.733720116133309</v>
      </c>
      <c r="O477" s="16"/>
      <c r="P477" s="19">
        <f t="shared" si="434"/>
        <v>44.392906585234748</v>
      </c>
      <c r="Q477" s="19">
        <f t="shared" si="435"/>
        <v>474.63261883985507</v>
      </c>
      <c r="R477" s="19">
        <f t="shared" si="436"/>
        <v>0</v>
      </c>
      <c r="S477" s="19">
        <f t="shared" si="437"/>
        <v>0</v>
      </c>
      <c r="T477" s="19">
        <f t="shared" si="438"/>
        <v>0</v>
      </c>
      <c r="U477" s="16"/>
      <c r="V477" s="19">
        <f t="shared" si="439"/>
        <v>519.02552542508977</v>
      </c>
      <c r="W477" s="16"/>
      <c r="X477" s="19">
        <f t="shared" si="440"/>
        <v>255.18383794445344</v>
      </c>
      <c r="Y477" s="19">
        <f t="shared" si="441"/>
        <v>15.974474574910232</v>
      </c>
      <c r="Z477" s="19"/>
      <c r="AA477" s="19">
        <f t="shared" si="442"/>
        <v>3.9464193399785451E-5</v>
      </c>
    </row>
    <row r="478" spans="2:27" x14ac:dyDescent="0.3">
      <c r="B478" s="27">
        <v>125.4</v>
      </c>
      <c r="C478" s="27">
        <v>542</v>
      </c>
      <c r="D478" s="19">
        <f t="shared" ref="D478:H478" si="486">1/C$23-LN(C$23)+$B478*C$22</f>
        <v>60.802182075573228</v>
      </c>
      <c r="E478" s="19">
        <f t="shared" si="486"/>
        <v>2.5275618272527174</v>
      </c>
      <c r="F478" s="19">
        <f t="shared" si="486"/>
        <v>24.842585092994046</v>
      </c>
      <c r="G478" s="19">
        <f t="shared" si="486"/>
        <v>24.842585092994046</v>
      </c>
      <c r="H478" s="19">
        <f t="shared" si="486"/>
        <v>24.842585092994046</v>
      </c>
      <c r="I478" s="16"/>
      <c r="J478" s="19">
        <f t="shared" si="429"/>
        <v>56.763292222453714</v>
      </c>
      <c r="K478" s="19">
        <f t="shared" si="430"/>
        <v>1.8906442063412809</v>
      </c>
      <c r="L478" s="19">
        <f t="shared" si="431"/>
        <v>21.762401322213808</v>
      </c>
      <c r="M478" s="19">
        <f t="shared" si="432"/>
        <v>21.762401322213808</v>
      </c>
      <c r="N478" s="19">
        <f t="shared" si="433"/>
        <v>21.762401322213808</v>
      </c>
      <c r="O478" s="16"/>
      <c r="P478" s="19">
        <f t="shared" si="434"/>
        <v>44.235013493239578</v>
      </c>
      <c r="Q478" s="19">
        <f t="shared" si="435"/>
        <v>473.88327747753402</v>
      </c>
      <c r="R478" s="19">
        <f t="shared" si="436"/>
        <v>0</v>
      </c>
      <c r="S478" s="19">
        <f t="shared" si="437"/>
        <v>0</v>
      </c>
      <c r="T478" s="19">
        <f t="shared" si="438"/>
        <v>0</v>
      </c>
      <c r="U478" s="16"/>
      <c r="V478" s="19">
        <f t="shared" si="439"/>
        <v>518.11829097077361</v>
      </c>
      <c r="W478" s="16"/>
      <c r="X478" s="19">
        <f t="shared" si="440"/>
        <v>570.33602615663312</v>
      </c>
      <c r="Y478" s="19">
        <f t="shared" si="441"/>
        <v>23.881709029226386</v>
      </c>
      <c r="Z478" s="19"/>
      <c r="AA478" s="19">
        <f t="shared" si="442"/>
        <v>5.8998646836688758E-5</v>
      </c>
    </row>
    <row r="479" spans="2:27" x14ac:dyDescent="0.3">
      <c r="B479" s="27">
        <v>125.69999999999999</v>
      </c>
      <c r="C479" s="27">
        <v>503</v>
      </c>
      <c r="D479" s="19">
        <f t="shared" ref="D479:H479" si="487">1/C$23-LN(C$23)+$B479*C$22</f>
        <v>60.905896825771386</v>
      </c>
      <c r="E479" s="19">
        <f t="shared" si="487"/>
        <v>2.5303224193478604</v>
      </c>
      <c r="F479" s="19">
        <f t="shared" si="487"/>
        <v>24.872585092994044</v>
      </c>
      <c r="G479" s="19">
        <f t="shared" si="487"/>
        <v>24.872585092994044</v>
      </c>
      <c r="H479" s="19">
        <f t="shared" si="487"/>
        <v>24.872585092994044</v>
      </c>
      <c r="I479" s="16"/>
      <c r="J479" s="19">
        <f t="shared" si="429"/>
        <v>56.865213041695235</v>
      </c>
      <c r="K479" s="19">
        <f t="shared" si="430"/>
        <v>1.8924500873104646</v>
      </c>
      <c r="L479" s="19">
        <f t="shared" si="431"/>
        <v>21.791084189010494</v>
      </c>
      <c r="M479" s="19">
        <f t="shared" si="432"/>
        <v>21.791084189010494</v>
      </c>
      <c r="N479" s="19">
        <f t="shared" si="433"/>
        <v>21.791084189010494</v>
      </c>
      <c r="O479" s="16"/>
      <c r="P479" s="19">
        <f t="shared" si="434"/>
        <v>44.077956430043592</v>
      </c>
      <c r="Q479" s="19">
        <f t="shared" si="435"/>
        <v>473.1354883610644</v>
      </c>
      <c r="R479" s="19">
        <f t="shared" si="436"/>
        <v>0</v>
      </c>
      <c r="S479" s="19">
        <f t="shared" si="437"/>
        <v>0</v>
      </c>
      <c r="T479" s="19">
        <f t="shared" si="438"/>
        <v>0</v>
      </c>
      <c r="U479" s="16"/>
      <c r="V479" s="19">
        <f t="shared" si="439"/>
        <v>517.21344479110803</v>
      </c>
      <c r="W479" s="16"/>
      <c r="X479" s="19">
        <f t="shared" si="440"/>
        <v>202.02201282987605</v>
      </c>
      <c r="Y479" s="19">
        <f t="shared" si="441"/>
        <v>14.213444791108031</v>
      </c>
      <c r="Z479" s="19"/>
      <c r="AA479" s="19">
        <f t="shared" si="442"/>
        <v>3.5113651562252564E-5</v>
      </c>
    </row>
    <row r="480" spans="2:27" x14ac:dyDescent="0.3">
      <c r="B480" s="27">
        <v>126</v>
      </c>
      <c r="C480" s="27">
        <v>482</v>
      </c>
      <c r="D480" s="19">
        <f t="shared" ref="D480:H480" si="488">1/C$23-LN(C$23)+$B480*C$22</f>
        <v>61.009611575969551</v>
      </c>
      <c r="E480" s="19">
        <f t="shared" si="488"/>
        <v>2.5330830114430034</v>
      </c>
      <c r="F480" s="19">
        <f t="shared" si="488"/>
        <v>24.902585092994045</v>
      </c>
      <c r="G480" s="19">
        <f t="shared" si="488"/>
        <v>24.902585092994045</v>
      </c>
      <c r="H480" s="19">
        <f t="shared" si="488"/>
        <v>24.902585092994045</v>
      </c>
      <c r="I480" s="16"/>
      <c r="J480" s="19">
        <f t="shared" si="429"/>
        <v>56.967137017944964</v>
      </c>
      <c r="K480" s="19">
        <f t="shared" si="430"/>
        <v>1.89425656425915</v>
      </c>
      <c r="L480" s="19">
        <f t="shared" si="431"/>
        <v>21.819768712441736</v>
      </c>
      <c r="M480" s="19">
        <f t="shared" si="432"/>
        <v>21.819768712441736</v>
      </c>
      <c r="N480" s="19">
        <f t="shared" si="433"/>
        <v>21.819768712441736</v>
      </c>
      <c r="O480" s="16"/>
      <c r="P480" s="19">
        <f t="shared" si="434"/>
        <v>43.921729529358316</v>
      </c>
      <c r="Q480" s="19">
        <f t="shared" si="435"/>
        <v>472.38924765792939</v>
      </c>
      <c r="R480" s="19">
        <f t="shared" si="436"/>
        <v>0</v>
      </c>
      <c r="S480" s="19">
        <f t="shared" si="437"/>
        <v>0</v>
      </c>
      <c r="T480" s="19">
        <f t="shared" si="438"/>
        <v>0</v>
      </c>
      <c r="U480" s="16"/>
      <c r="V480" s="19">
        <f t="shared" si="439"/>
        <v>516.31097718728768</v>
      </c>
      <c r="W480" s="16"/>
      <c r="X480" s="19">
        <f t="shared" si="440"/>
        <v>1177.2431555465753</v>
      </c>
      <c r="Y480" s="19">
        <f t="shared" si="441"/>
        <v>34.310977187287676</v>
      </c>
      <c r="Z480" s="19"/>
      <c r="AA480" s="19">
        <f t="shared" si="442"/>
        <v>8.4763666755052362E-5</v>
      </c>
    </row>
    <row r="481" spans="2:27" x14ac:dyDescent="0.3">
      <c r="B481" s="27">
        <v>126.19999999999999</v>
      </c>
      <c r="C481" s="27">
        <v>503</v>
      </c>
      <c r="D481" s="19">
        <f t="shared" ref="D481:H481" si="489">1/C$23-LN(C$23)+$B481*C$22</f>
        <v>61.078754742768325</v>
      </c>
      <c r="E481" s="19">
        <f t="shared" si="489"/>
        <v>2.5349234061730987</v>
      </c>
      <c r="F481" s="19">
        <f t="shared" si="489"/>
        <v>24.922585092994044</v>
      </c>
      <c r="G481" s="19">
        <f t="shared" si="489"/>
        <v>24.922585092994044</v>
      </c>
      <c r="H481" s="19">
        <f t="shared" si="489"/>
        <v>24.922585092994044</v>
      </c>
      <c r="I481" s="16"/>
      <c r="J481" s="19">
        <f t="shared" si="429"/>
        <v>57.035088083906274</v>
      </c>
      <c r="K481" s="19">
        <f t="shared" si="430"/>
        <v>1.895461213054312</v>
      </c>
      <c r="L481" s="19">
        <f t="shared" si="431"/>
        <v>21.838892646406162</v>
      </c>
      <c r="M481" s="19">
        <f t="shared" si="432"/>
        <v>21.838892646406162</v>
      </c>
      <c r="N481" s="19">
        <f t="shared" si="433"/>
        <v>21.838892646406162</v>
      </c>
      <c r="O481" s="16"/>
      <c r="P481" s="19">
        <f t="shared" si="434"/>
        <v>43.818036589883043</v>
      </c>
      <c r="Q481" s="19">
        <f t="shared" si="435"/>
        <v>471.89261219769253</v>
      </c>
      <c r="R481" s="19">
        <f t="shared" si="436"/>
        <v>0</v>
      </c>
      <c r="S481" s="19">
        <f t="shared" si="437"/>
        <v>0</v>
      </c>
      <c r="T481" s="19">
        <f t="shared" si="438"/>
        <v>0</v>
      </c>
      <c r="U481" s="16"/>
      <c r="V481" s="19">
        <f t="shared" si="439"/>
        <v>515.71064878757556</v>
      </c>
      <c r="W481" s="16"/>
      <c r="X481" s="19">
        <f t="shared" si="440"/>
        <v>161.56059260109618</v>
      </c>
      <c r="Y481" s="19">
        <f t="shared" si="441"/>
        <v>12.710648787575565</v>
      </c>
      <c r="Z481" s="19"/>
      <c r="AA481" s="19">
        <f t="shared" si="442"/>
        <v>3.1401064218880539E-5</v>
      </c>
    </row>
    <row r="482" spans="2:27" x14ac:dyDescent="0.3">
      <c r="B482" s="27">
        <v>126.5</v>
      </c>
      <c r="C482" s="27">
        <v>531</v>
      </c>
      <c r="D482" s="19">
        <f t="shared" ref="D482:H482" si="490">1/C$23-LN(C$23)+$B482*C$22</f>
        <v>61.182469492966497</v>
      </c>
      <c r="E482" s="19">
        <f t="shared" si="490"/>
        <v>2.5376839982682422</v>
      </c>
      <c r="F482" s="19">
        <f t="shared" si="490"/>
        <v>24.952585092994045</v>
      </c>
      <c r="G482" s="19">
        <f t="shared" si="490"/>
        <v>24.952585092994045</v>
      </c>
      <c r="H482" s="19">
        <f t="shared" si="490"/>
        <v>24.952585092994045</v>
      </c>
      <c r="I482" s="16"/>
      <c r="J482" s="19">
        <f t="shared" si="429"/>
        <v>57.137017297431278</v>
      </c>
      <c r="K482" s="19">
        <f t="shared" si="430"/>
        <v>1.8972686820859093</v>
      </c>
      <c r="L482" s="19">
        <f t="shared" si="431"/>
        <v>21.867579921864806</v>
      </c>
      <c r="M482" s="19">
        <f t="shared" si="432"/>
        <v>21.867579921864806</v>
      </c>
      <c r="N482" s="19">
        <f t="shared" si="433"/>
        <v>21.867579921864806</v>
      </c>
      <c r="O482" s="16"/>
      <c r="P482" s="19">
        <f t="shared" si="434"/>
        <v>43.663180395963153</v>
      </c>
      <c r="Q482" s="19">
        <f t="shared" si="435"/>
        <v>471.14894369566684</v>
      </c>
      <c r="R482" s="19">
        <f t="shared" si="436"/>
        <v>0</v>
      </c>
      <c r="S482" s="19">
        <f t="shared" si="437"/>
        <v>0</v>
      </c>
      <c r="T482" s="19">
        <f t="shared" si="438"/>
        <v>0</v>
      </c>
      <c r="U482" s="16"/>
      <c r="V482" s="19">
        <f t="shared" si="439"/>
        <v>514.81212409163004</v>
      </c>
      <c r="W482" s="16"/>
      <c r="X482" s="19">
        <f t="shared" si="440"/>
        <v>262.04732642478456</v>
      </c>
      <c r="Y482" s="19">
        <f t="shared" si="441"/>
        <v>16.187875908369961</v>
      </c>
      <c r="Z482" s="19"/>
      <c r="AA482" s="19">
        <f t="shared" si="442"/>
        <v>3.9991391427860452E-5</v>
      </c>
    </row>
    <row r="483" spans="2:27" x14ac:dyDescent="0.3">
      <c r="B483" s="27">
        <v>126.79999999999998</v>
      </c>
      <c r="C483" s="27">
        <v>551</v>
      </c>
      <c r="D483" s="19">
        <f t="shared" ref="D483:H483" si="491">1/C$23-LN(C$23)+$B483*C$22</f>
        <v>61.286184243164655</v>
      </c>
      <c r="E483" s="19">
        <f t="shared" si="491"/>
        <v>2.5404445903633852</v>
      </c>
      <c r="F483" s="19">
        <f t="shared" si="491"/>
        <v>24.982585092994043</v>
      </c>
      <c r="G483" s="19">
        <f t="shared" si="491"/>
        <v>24.982585092994043</v>
      </c>
      <c r="H483" s="19">
        <f t="shared" si="491"/>
        <v>24.982585092994043</v>
      </c>
      <c r="I483" s="16"/>
      <c r="J483" s="19">
        <f t="shared" si="429"/>
        <v>57.238949638771061</v>
      </c>
      <c r="K483" s="19">
        <f t="shared" si="430"/>
        <v>1.899076745638276</v>
      </c>
      <c r="L483" s="19">
        <f t="shared" si="431"/>
        <v>21.896268843145723</v>
      </c>
      <c r="M483" s="19">
        <f t="shared" si="432"/>
        <v>21.896268843145723</v>
      </c>
      <c r="N483" s="19">
        <f t="shared" si="433"/>
        <v>21.896268843145723</v>
      </c>
      <c r="O483" s="16"/>
      <c r="P483" s="19">
        <f t="shared" si="434"/>
        <v>43.509138969906637</v>
      </c>
      <c r="Q483" s="19">
        <f t="shared" si="435"/>
        <v>470.40681343893084</v>
      </c>
      <c r="R483" s="19">
        <f t="shared" si="436"/>
        <v>0</v>
      </c>
      <c r="S483" s="19">
        <f t="shared" si="437"/>
        <v>0</v>
      </c>
      <c r="T483" s="19">
        <f t="shared" si="438"/>
        <v>0</v>
      </c>
      <c r="U483" s="16"/>
      <c r="V483" s="19">
        <f t="shared" si="439"/>
        <v>513.91595240883748</v>
      </c>
      <c r="W483" s="16"/>
      <c r="X483" s="19">
        <f t="shared" si="440"/>
        <v>1375.2265857436064</v>
      </c>
      <c r="Y483" s="19">
        <f t="shared" si="441"/>
        <v>37.084047591162516</v>
      </c>
      <c r="Z483" s="19"/>
      <c r="AA483" s="19">
        <f t="shared" si="442"/>
        <v>9.1614407680304534E-5</v>
      </c>
    </row>
    <row r="484" spans="2:27" x14ac:dyDescent="0.3">
      <c r="B484" s="27">
        <v>127.1</v>
      </c>
      <c r="C484" s="27">
        <v>517</v>
      </c>
      <c r="D484" s="19">
        <f t="shared" ref="D484:H484" si="492">1/C$23-LN(C$23)+$B484*C$22</f>
        <v>61.389898993362827</v>
      </c>
      <c r="E484" s="19">
        <f t="shared" si="492"/>
        <v>2.5432051824585287</v>
      </c>
      <c r="F484" s="19">
        <f t="shared" si="492"/>
        <v>25.012585092994044</v>
      </c>
      <c r="G484" s="19">
        <f t="shared" si="492"/>
        <v>25.012585092994044</v>
      </c>
      <c r="H484" s="19">
        <f t="shared" si="492"/>
        <v>25.012585092994044</v>
      </c>
      <c r="I484" s="16"/>
      <c r="J484" s="19">
        <f t="shared" si="429"/>
        <v>57.340885097081816</v>
      </c>
      <c r="K484" s="19">
        <f t="shared" si="430"/>
        <v>1.9008854031652624</v>
      </c>
      <c r="L484" s="19">
        <f t="shared" si="431"/>
        <v>21.924959406221152</v>
      </c>
      <c r="M484" s="19">
        <f t="shared" si="432"/>
        <v>21.924959406221152</v>
      </c>
      <c r="N484" s="19">
        <f t="shared" si="433"/>
        <v>21.924959406221152</v>
      </c>
      <c r="O484" s="16"/>
      <c r="P484" s="19">
        <f t="shared" si="434"/>
        <v>43.355906630510475</v>
      </c>
      <c r="Q484" s="19">
        <f t="shared" si="435"/>
        <v>469.66621763387684</v>
      </c>
      <c r="R484" s="19">
        <f t="shared" si="436"/>
        <v>0</v>
      </c>
      <c r="S484" s="19">
        <f t="shared" si="437"/>
        <v>0</v>
      </c>
      <c r="T484" s="19">
        <f t="shared" si="438"/>
        <v>0</v>
      </c>
      <c r="U484" s="16"/>
      <c r="V484" s="19">
        <f t="shared" si="439"/>
        <v>513.02212426438734</v>
      </c>
      <c r="W484" s="16"/>
      <c r="X484" s="19">
        <f t="shared" si="440"/>
        <v>15.82349536797593</v>
      </c>
      <c r="Y484" s="19">
        <f t="shared" si="441"/>
        <v>3.9778757356126562</v>
      </c>
      <c r="Z484" s="19"/>
      <c r="AA484" s="19">
        <f t="shared" si="442"/>
        <v>9.8271562306714468E-6</v>
      </c>
    </row>
    <row r="485" spans="2:27" x14ac:dyDescent="0.3">
      <c r="B485" s="27">
        <v>127.4</v>
      </c>
      <c r="C485" s="27">
        <v>502</v>
      </c>
      <c r="D485" s="19">
        <f t="shared" ref="D485:H485" si="493">1/C$23-LN(C$23)+$B485*C$22</f>
        <v>61.493613743560992</v>
      </c>
      <c r="E485" s="19">
        <f t="shared" si="493"/>
        <v>2.5459657745536717</v>
      </c>
      <c r="F485" s="19">
        <f t="shared" si="493"/>
        <v>25.042585092994045</v>
      </c>
      <c r="G485" s="19">
        <f t="shared" si="493"/>
        <v>25.042585092994045</v>
      </c>
      <c r="H485" s="19">
        <f t="shared" si="493"/>
        <v>25.042585092994045</v>
      </c>
      <c r="I485" s="16"/>
      <c r="J485" s="19">
        <f t="shared" si="429"/>
        <v>57.442823661575645</v>
      </c>
      <c r="K485" s="19">
        <f t="shared" si="430"/>
        <v>1.9026946541211953</v>
      </c>
      <c r="L485" s="19">
        <f t="shared" si="431"/>
        <v>21.953651607077855</v>
      </c>
      <c r="M485" s="19">
        <f t="shared" si="432"/>
        <v>21.953651607077855</v>
      </c>
      <c r="N485" s="19">
        <f t="shared" si="433"/>
        <v>21.953651607077855</v>
      </c>
      <c r="O485" s="16"/>
      <c r="P485" s="19">
        <f t="shared" si="434"/>
        <v>43.203477745831556</v>
      </c>
      <c r="Q485" s="19">
        <f t="shared" si="435"/>
        <v>468.92715249743486</v>
      </c>
      <c r="R485" s="19">
        <f t="shared" si="436"/>
        <v>0</v>
      </c>
      <c r="S485" s="19">
        <f t="shared" si="437"/>
        <v>0</v>
      </c>
      <c r="T485" s="19">
        <f t="shared" si="438"/>
        <v>0</v>
      </c>
      <c r="U485" s="16"/>
      <c r="V485" s="19">
        <f t="shared" si="439"/>
        <v>512.13063024326641</v>
      </c>
      <c r="W485" s="16"/>
      <c r="X485" s="19">
        <f t="shared" si="440"/>
        <v>102.62966912578403</v>
      </c>
      <c r="Y485" s="19">
        <f t="shared" si="441"/>
        <v>10.13063024326641</v>
      </c>
      <c r="Z485" s="19"/>
      <c r="AA485" s="19">
        <f t="shared" si="442"/>
        <v>2.5027248896806221E-5</v>
      </c>
    </row>
    <row r="486" spans="2:27" x14ac:dyDescent="0.3">
      <c r="B486" s="27">
        <v>127.69999999999999</v>
      </c>
      <c r="C486" s="27">
        <v>498</v>
      </c>
      <c r="D486" s="19">
        <f t="shared" ref="D486:H486" si="494">1/C$23-LN(C$23)+$B486*C$22</f>
        <v>61.59732849375915</v>
      </c>
      <c r="E486" s="19">
        <f t="shared" si="494"/>
        <v>2.5487263666488147</v>
      </c>
      <c r="F486" s="19">
        <f t="shared" si="494"/>
        <v>25.072585092994046</v>
      </c>
      <c r="G486" s="19">
        <f t="shared" si="494"/>
        <v>25.072585092994046</v>
      </c>
      <c r="H486" s="19">
        <f t="shared" si="494"/>
        <v>25.072585092994046</v>
      </c>
      <c r="I486" s="16"/>
      <c r="J486" s="19">
        <f t="shared" si="429"/>
        <v>57.544765321520259</v>
      </c>
      <c r="K486" s="19">
        <f t="shared" si="430"/>
        <v>1.9045044979608792</v>
      </c>
      <c r="L486" s="19">
        <f t="shared" si="431"/>
        <v>21.982345441717058</v>
      </c>
      <c r="M486" s="19">
        <f t="shared" si="432"/>
        <v>21.982345441717058</v>
      </c>
      <c r="N486" s="19">
        <f t="shared" si="433"/>
        <v>21.982345441717058</v>
      </c>
      <c r="O486" s="16"/>
      <c r="P486" s="19">
        <f t="shared" si="434"/>
        <v>43.051846732676289</v>
      </c>
      <c r="Q486" s="19">
        <f t="shared" si="435"/>
        <v>468.18961425704038</v>
      </c>
      <c r="R486" s="19">
        <f t="shared" si="436"/>
        <v>0</v>
      </c>
      <c r="S486" s="19">
        <f t="shared" si="437"/>
        <v>0</v>
      </c>
      <c r="T486" s="19">
        <f t="shared" si="438"/>
        <v>0</v>
      </c>
      <c r="U486" s="16"/>
      <c r="V486" s="19">
        <f t="shared" si="439"/>
        <v>511.24146098971664</v>
      </c>
      <c r="W486" s="16"/>
      <c r="X486" s="19">
        <f t="shared" si="440"/>
        <v>175.33628914218767</v>
      </c>
      <c r="Y486" s="19">
        <f t="shared" si="441"/>
        <v>13.241460989716643</v>
      </c>
      <c r="Z486" s="19"/>
      <c r="AA486" s="19">
        <f t="shared" si="442"/>
        <v>3.2712410974357737E-5</v>
      </c>
    </row>
    <row r="487" spans="2:27" x14ac:dyDescent="0.3">
      <c r="B487" s="27">
        <v>128</v>
      </c>
      <c r="C487" s="27">
        <v>487</v>
      </c>
      <c r="D487" s="19">
        <f t="shared" ref="D487:H487" si="495">1/C$23-LN(C$23)+$B487*C$22</f>
        <v>61.701043243957322</v>
      </c>
      <c r="E487" s="19">
        <f t="shared" si="495"/>
        <v>2.5514869587439581</v>
      </c>
      <c r="F487" s="19">
        <f t="shared" si="495"/>
        <v>25.102585092994047</v>
      </c>
      <c r="G487" s="19">
        <f t="shared" si="495"/>
        <v>25.102585092994047</v>
      </c>
      <c r="H487" s="19">
        <f t="shared" si="495"/>
        <v>25.102585092994047</v>
      </c>
      <c r="I487" s="16"/>
      <c r="J487" s="19">
        <f t="shared" si="429"/>
        <v>57.64671006623859</v>
      </c>
      <c r="K487" s="19">
        <f t="shared" si="430"/>
        <v>1.9063149341395962</v>
      </c>
      <c r="L487" s="19">
        <f t="shared" si="431"/>
        <v>22.011040906154374</v>
      </c>
      <c r="M487" s="19">
        <f t="shared" si="432"/>
        <v>22.011040906154374</v>
      </c>
      <c r="N487" s="19">
        <f t="shared" si="433"/>
        <v>22.011040906154374</v>
      </c>
      <c r="O487" s="16"/>
      <c r="P487" s="19">
        <f t="shared" si="434"/>
        <v>42.901008056096678</v>
      </c>
      <c r="Q487" s="19">
        <f t="shared" si="435"/>
        <v>467.45359915060322</v>
      </c>
      <c r="R487" s="19">
        <f t="shared" si="436"/>
        <v>0</v>
      </c>
      <c r="S487" s="19">
        <f t="shared" si="437"/>
        <v>0</v>
      </c>
      <c r="T487" s="19">
        <f t="shared" si="438"/>
        <v>0</v>
      </c>
      <c r="U487" s="16"/>
      <c r="V487" s="19">
        <f t="shared" si="439"/>
        <v>510.35460720669988</v>
      </c>
      <c r="W487" s="16"/>
      <c r="X487" s="19">
        <f t="shared" si="440"/>
        <v>545.43767777923802</v>
      </c>
      <c r="Y487" s="19">
        <f t="shared" si="441"/>
        <v>23.354607206699882</v>
      </c>
      <c r="Z487" s="19"/>
      <c r="AA487" s="19">
        <f t="shared" si="442"/>
        <v>5.769646640076777E-5</v>
      </c>
    </row>
    <row r="488" spans="2:27" x14ac:dyDescent="0.3">
      <c r="B488" s="27">
        <v>128.19999999999999</v>
      </c>
      <c r="C488" s="27">
        <v>528</v>
      </c>
      <c r="D488" s="19">
        <f t="shared" ref="D488:H488" si="496">1/C$23-LN(C$23)+$B488*C$22</f>
        <v>61.770186410756097</v>
      </c>
      <c r="E488" s="19">
        <f t="shared" si="496"/>
        <v>2.5533273534740535</v>
      </c>
      <c r="F488" s="19">
        <f t="shared" si="496"/>
        <v>25.122585092994044</v>
      </c>
      <c r="G488" s="19">
        <f t="shared" si="496"/>
        <v>25.122585092994044</v>
      </c>
      <c r="H488" s="19">
        <f t="shared" si="496"/>
        <v>25.122585092994044</v>
      </c>
      <c r="I488" s="16"/>
      <c r="J488" s="19">
        <f t="shared" si="429"/>
        <v>57.714674937899495</v>
      </c>
      <c r="K488" s="19">
        <f t="shared" si="430"/>
        <v>1.9075222204005338</v>
      </c>
      <c r="L488" s="19">
        <f t="shared" si="431"/>
        <v>22.030172119261536</v>
      </c>
      <c r="M488" s="19">
        <f t="shared" si="432"/>
        <v>22.030172119261536</v>
      </c>
      <c r="N488" s="19">
        <f t="shared" si="433"/>
        <v>22.030172119261536</v>
      </c>
      <c r="O488" s="16"/>
      <c r="P488" s="19">
        <f t="shared" si="434"/>
        <v>42.800886413684836</v>
      </c>
      <c r="Q488" s="19">
        <f t="shared" si="435"/>
        <v>466.96376674541665</v>
      </c>
      <c r="R488" s="19">
        <f t="shared" si="436"/>
        <v>0</v>
      </c>
      <c r="S488" s="19">
        <f t="shared" si="437"/>
        <v>0</v>
      </c>
      <c r="T488" s="19">
        <f t="shared" si="438"/>
        <v>0</v>
      </c>
      <c r="U488" s="16"/>
      <c r="V488" s="19">
        <f t="shared" si="439"/>
        <v>509.7646531591015</v>
      </c>
      <c r="W488" s="16"/>
      <c r="X488" s="19">
        <f t="shared" si="440"/>
        <v>332.52787440786693</v>
      </c>
      <c r="Y488" s="19">
        <f t="shared" si="441"/>
        <v>18.235346840898501</v>
      </c>
      <c r="Z488" s="19"/>
      <c r="AA488" s="19">
        <f t="shared" si="442"/>
        <v>4.5049572745989933E-5</v>
      </c>
    </row>
    <row r="489" spans="2:27" x14ac:dyDescent="0.3">
      <c r="B489" s="27">
        <v>128.5</v>
      </c>
      <c r="C489" s="27">
        <v>532</v>
      </c>
      <c r="D489" s="19">
        <f t="shared" ref="D489:H489" si="497">1/C$23-LN(C$23)+$B489*C$22</f>
        <v>61.873901160954262</v>
      </c>
      <c r="E489" s="19">
        <f t="shared" si="497"/>
        <v>2.5560879455691969</v>
      </c>
      <c r="F489" s="19">
        <f t="shared" si="497"/>
        <v>25.152585092994045</v>
      </c>
      <c r="G489" s="19">
        <f t="shared" si="497"/>
        <v>25.152585092994045</v>
      </c>
      <c r="H489" s="19">
        <f t="shared" si="497"/>
        <v>25.152585092994045</v>
      </c>
      <c r="I489" s="16"/>
      <c r="J489" s="19">
        <f t="shared" si="429"/>
        <v>57.816624800329173</v>
      </c>
      <c r="K489" s="19">
        <f t="shared" si="430"/>
        <v>1.909333642601784</v>
      </c>
      <c r="L489" s="19">
        <f t="shared" si="431"/>
        <v>22.05887029121374</v>
      </c>
      <c r="M489" s="19">
        <f t="shared" si="432"/>
        <v>22.05887029121374</v>
      </c>
      <c r="N489" s="19">
        <f t="shared" si="433"/>
        <v>22.05887029121374</v>
      </c>
      <c r="O489" s="16"/>
      <c r="P489" s="19">
        <f t="shared" si="434"/>
        <v>42.651356127642352</v>
      </c>
      <c r="Q489" s="19">
        <f t="shared" si="435"/>
        <v>466.23028186372477</v>
      </c>
      <c r="R489" s="19">
        <f t="shared" si="436"/>
        <v>0</v>
      </c>
      <c r="S489" s="19">
        <f t="shared" si="437"/>
        <v>0</v>
      </c>
      <c r="T489" s="19">
        <f t="shared" si="438"/>
        <v>0</v>
      </c>
      <c r="U489" s="16"/>
      <c r="V489" s="19">
        <f t="shared" si="439"/>
        <v>508.88163799136714</v>
      </c>
      <c r="W489" s="16"/>
      <c r="X489" s="19">
        <f t="shared" si="440"/>
        <v>534.45866196219902</v>
      </c>
      <c r="Y489" s="19">
        <f t="shared" si="441"/>
        <v>23.118362008632857</v>
      </c>
      <c r="Z489" s="19"/>
      <c r="AA489" s="19">
        <f t="shared" si="442"/>
        <v>5.7112833672031214E-5</v>
      </c>
    </row>
    <row r="490" spans="2:27" x14ac:dyDescent="0.3">
      <c r="B490" s="27">
        <v>128.79999999999998</v>
      </c>
      <c r="C490" s="27">
        <v>527</v>
      </c>
      <c r="D490" s="19">
        <f t="shared" ref="D490:H490" si="498">1/C$23-LN(C$23)+$B490*C$22</f>
        <v>61.977615911152427</v>
      </c>
      <c r="E490" s="19">
        <f t="shared" si="498"/>
        <v>2.55884853766434</v>
      </c>
      <c r="F490" s="19">
        <f t="shared" si="498"/>
        <v>25.182585092994046</v>
      </c>
      <c r="G490" s="19">
        <f t="shared" si="498"/>
        <v>25.182585092994046</v>
      </c>
      <c r="H490" s="19">
        <f t="shared" si="498"/>
        <v>25.182585092994046</v>
      </c>
      <c r="I490" s="16"/>
      <c r="J490" s="19">
        <f t="shared" si="429"/>
        <v>57.91857771932731</v>
      </c>
      <c r="K490" s="19">
        <f t="shared" si="430"/>
        <v>1.9111456556918187</v>
      </c>
      <c r="L490" s="19">
        <f t="shared" si="431"/>
        <v>22.087570082408888</v>
      </c>
      <c r="M490" s="19">
        <f t="shared" si="432"/>
        <v>22.087570082408888</v>
      </c>
      <c r="N490" s="19">
        <f t="shared" si="433"/>
        <v>22.087570082408888</v>
      </c>
      <c r="O490" s="16"/>
      <c r="P490" s="19">
        <f t="shared" si="434"/>
        <v>42.502603650413498</v>
      </c>
      <c r="Q490" s="19">
        <f t="shared" si="435"/>
        <v>465.49831013471999</v>
      </c>
      <c r="R490" s="19">
        <f t="shared" si="436"/>
        <v>0</v>
      </c>
      <c r="S490" s="19">
        <f t="shared" si="437"/>
        <v>0</v>
      </c>
      <c r="T490" s="19">
        <f t="shared" si="438"/>
        <v>0</v>
      </c>
      <c r="U490" s="16"/>
      <c r="V490" s="19">
        <f t="shared" si="439"/>
        <v>508.00091378513349</v>
      </c>
      <c r="W490" s="16"/>
      <c r="X490" s="19">
        <f t="shared" si="440"/>
        <v>360.96527699993061</v>
      </c>
      <c r="Y490" s="19">
        <f t="shared" si="441"/>
        <v>18.999086214866509</v>
      </c>
      <c r="Z490" s="19"/>
      <c r="AA490" s="19">
        <f t="shared" si="442"/>
        <v>4.6936355201335507E-5</v>
      </c>
    </row>
    <row r="491" spans="2:27" x14ac:dyDescent="0.3">
      <c r="B491" s="27">
        <v>129.1</v>
      </c>
      <c r="C491" s="27">
        <v>488</v>
      </c>
      <c r="D491" s="19">
        <f t="shared" ref="D491:H491" si="499">1/C$23-LN(C$23)+$B491*C$22</f>
        <v>62.081330661350592</v>
      </c>
      <c r="E491" s="19">
        <f t="shared" si="499"/>
        <v>2.561609129759483</v>
      </c>
      <c r="F491" s="19">
        <f t="shared" si="499"/>
        <v>25.212585092994047</v>
      </c>
      <c r="G491" s="19">
        <f t="shared" si="499"/>
        <v>25.212585092994047</v>
      </c>
      <c r="H491" s="19">
        <f t="shared" si="499"/>
        <v>25.212585092994047</v>
      </c>
      <c r="I491" s="16"/>
      <c r="J491" s="19">
        <f t="shared" si="429"/>
        <v>58.020533684416009</v>
      </c>
      <c r="K491" s="19">
        <f t="shared" si="430"/>
        <v>1.9129582591276713</v>
      </c>
      <c r="L491" s="19">
        <f t="shared" si="431"/>
        <v>22.116271488914794</v>
      </c>
      <c r="M491" s="19">
        <f t="shared" si="432"/>
        <v>22.116271488914794</v>
      </c>
      <c r="N491" s="19">
        <f t="shared" si="433"/>
        <v>22.116271488914794</v>
      </c>
      <c r="O491" s="16"/>
      <c r="P491" s="19">
        <f t="shared" si="434"/>
        <v>42.354623619735563</v>
      </c>
      <c r="Q491" s="19">
        <f t="shared" si="435"/>
        <v>464.76784783445009</v>
      </c>
      <c r="R491" s="19">
        <f t="shared" si="436"/>
        <v>0</v>
      </c>
      <c r="S491" s="19">
        <f t="shared" si="437"/>
        <v>0</v>
      </c>
      <c r="T491" s="19">
        <f t="shared" si="438"/>
        <v>0</v>
      </c>
      <c r="U491" s="16"/>
      <c r="V491" s="19">
        <f t="shared" si="439"/>
        <v>507.12247145418564</v>
      </c>
      <c r="W491" s="16"/>
      <c r="X491" s="19">
        <f t="shared" si="440"/>
        <v>365.66891451614475</v>
      </c>
      <c r="Y491" s="19">
        <f t="shared" si="441"/>
        <v>19.122471454185643</v>
      </c>
      <c r="Z491" s="19"/>
      <c r="AA491" s="19">
        <f t="shared" si="442"/>
        <v>4.7241172672754374E-5</v>
      </c>
    </row>
    <row r="492" spans="2:27" x14ac:dyDescent="0.3">
      <c r="B492" s="27">
        <v>129.4</v>
      </c>
      <c r="C492" s="27">
        <v>485</v>
      </c>
      <c r="D492" s="19">
        <f t="shared" ref="D492:H492" si="500">1/C$23-LN(C$23)+$B492*C$22</f>
        <v>62.185045411548764</v>
      </c>
      <c r="E492" s="19">
        <f t="shared" si="500"/>
        <v>2.5643697218546264</v>
      </c>
      <c r="F492" s="19">
        <f t="shared" si="500"/>
        <v>25.242585092994048</v>
      </c>
      <c r="G492" s="19">
        <f t="shared" si="500"/>
        <v>25.242585092994048</v>
      </c>
      <c r="H492" s="19">
        <f t="shared" si="500"/>
        <v>25.242585092994048</v>
      </c>
      <c r="I492" s="16"/>
      <c r="J492" s="19">
        <f t="shared" si="429"/>
        <v>58.122492685170862</v>
      </c>
      <c r="K492" s="19">
        <f t="shared" si="430"/>
        <v>1.914771452366852</v>
      </c>
      <c r="L492" s="19">
        <f t="shared" si="431"/>
        <v>22.144974506813348</v>
      </c>
      <c r="M492" s="19">
        <f t="shared" si="432"/>
        <v>22.144974506813348</v>
      </c>
      <c r="N492" s="19">
        <f t="shared" si="433"/>
        <v>22.144974506813348</v>
      </c>
      <c r="O492" s="16"/>
      <c r="P492" s="19">
        <f t="shared" si="434"/>
        <v>42.207410719317998</v>
      </c>
      <c r="Q492" s="19">
        <f t="shared" si="435"/>
        <v>464.03889124929151</v>
      </c>
      <c r="R492" s="19">
        <f t="shared" si="436"/>
        <v>0</v>
      </c>
      <c r="S492" s="19">
        <f t="shared" si="437"/>
        <v>0</v>
      </c>
      <c r="T492" s="19">
        <f t="shared" si="438"/>
        <v>0</v>
      </c>
      <c r="U492" s="16"/>
      <c r="V492" s="19">
        <f t="shared" si="439"/>
        <v>506.24630196860949</v>
      </c>
      <c r="W492" s="16"/>
      <c r="X492" s="19">
        <f t="shared" si="440"/>
        <v>451.40534734133934</v>
      </c>
      <c r="Y492" s="19">
        <f t="shared" si="441"/>
        <v>21.246301968609487</v>
      </c>
      <c r="Z492" s="19"/>
      <c r="AA492" s="19">
        <f t="shared" si="442"/>
        <v>5.2487996771822397E-5</v>
      </c>
    </row>
    <row r="493" spans="2:27" x14ac:dyDescent="0.3">
      <c r="B493" s="27">
        <v>129.69999999999999</v>
      </c>
      <c r="C493" s="27">
        <v>493</v>
      </c>
      <c r="D493" s="19">
        <f t="shared" ref="D493:H493" si="501">1/C$23-LN(C$23)+$B493*C$22</f>
        <v>62.288760161746922</v>
      </c>
      <c r="E493" s="19">
        <f t="shared" si="501"/>
        <v>2.5671303139497694</v>
      </c>
      <c r="F493" s="19">
        <f t="shared" si="501"/>
        <v>25.272585092994042</v>
      </c>
      <c r="G493" s="19">
        <f t="shared" si="501"/>
        <v>25.272585092994042</v>
      </c>
      <c r="H493" s="19">
        <f t="shared" si="501"/>
        <v>25.272585092994042</v>
      </c>
      <c r="I493" s="16"/>
      <c r="J493" s="19">
        <f t="shared" si="429"/>
        <v>58.224454711220531</v>
      </c>
      <c r="K493" s="19">
        <f t="shared" si="430"/>
        <v>1.9165852348673484</v>
      </c>
      <c r="L493" s="19">
        <f t="shared" si="431"/>
        <v>22.173679132200441</v>
      </c>
      <c r="M493" s="19">
        <f t="shared" si="432"/>
        <v>22.173679132200441</v>
      </c>
      <c r="N493" s="19">
        <f t="shared" si="433"/>
        <v>22.173679132200441</v>
      </c>
      <c r="O493" s="16"/>
      <c r="P493" s="19">
        <f t="shared" si="434"/>
        <v>42.060959678371702</v>
      </c>
      <c r="Q493" s="19">
        <f t="shared" si="435"/>
        <v>463.31143667591891</v>
      </c>
      <c r="R493" s="19">
        <f t="shared" si="436"/>
        <v>0</v>
      </c>
      <c r="S493" s="19">
        <f t="shared" si="437"/>
        <v>0</v>
      </c>
      <c r="T493" s="19">
        <f t="shared" si="438"/>
        <v>0</v>
      </c>
      <c r="U493" s="16"/>
      <c r="V493" s="19">
        <f t="shared" si="439"/>
        <v>505.37239635429063</v>
      </c>
      <c r="W493" s="16"/>
      <c r="X493" s="19">
        <f t="shared" si="440"/>
        <v>153.07619154766405</v>
      </c>
      <c r="Y493" s="19">
        <f t="shared" si="441"/>
        <v>12.372396354290629</v>
      </c>
      <c r="Z493" s="19"/>
      <c r="AA493" s="19">
        <f t="shared" si="442"/>
        <v>3.0565427379464822E-5</v>
      </c>
    </row>
    <row r="494" spans="2:27" x14ac:dyDescent="0.3">
      <c r="B494" s="27">
        <v>130</v>
      </c>
      <c r="C494" s="27">
        <v>480</v>
      </c>
      <c r="D494" s="19">
        <f t="shared" ref="D494:H494" si="502">1/C$23-LN(C$23)+$B494*C$22</f>
        <v>62.392474911945094</v>
      </c>
      <c r="E494" s="19">
        <f t="shared" si="502"/>
        <v>2.5698909060449129</v>
      </c>
      <c r="F494" s="19">
        <f t="shared" si="502"/>
        <v>25.302585092994043</v>
      </c>
      <c r="G494" s="19">
        <f t="shared" si="502"/>
        <v>25.302585092994043</v>
      </c>
      <c r="H494" s="19">
        <f t="shared" si="502"/>
        <v>25.302585092994043</v>
      </c>
      <c r="I494" s="16"/>
      <c r="J494" s="19">
        <f t="shared" si="429"/>
        <v>58.32641975224648</v>
      </c>
      <c r="K494" s="19">
        <f t="shared" si="430"/>
        <v>1.9183996060876269</v>
      </c>
      <c r="L494" s="19">
        <f t="shared" si="431"/>
        <v>22.202385361185939</v>
      </c>
      <c r="M494" s="19">
        <f t="shared" si="432"/>
        <v>22.202385361185939</v>
      </c>
      <c r="N494" s="19">
        <f t="shared" si="433"/>
        <v>22.202385361185939</v>
      </c>
      <c r="O494" s="16"/>
      <c r="P494" s="19">
        <f t="shared" si="434"/>
        <v>41.915265271143717</v>
      </c>
      <c r="Q494" s="19">
        <f t="shared" si="435"/>
        <v>462.58548042127296</v>
      </c>
      <c r="R494" s="19">
        <f t="shared" si="436"/>
        <v>0</v>
      </c>
      <c r="S494" s="19">
        <f t="shared" si="437"/>
        <v>0</v>
      </c>
      <c r="T494" s="19">
        <f t="shared" si="438"/>
        <v>0</v>
      </c>
      <c r="U494" s="16"/>
      <c r="V494" s="19">
        <f t="shared" si="439"/>
        <v>504.50074569241667</v>
      </c>
      <c r="W494" s="16"/>
      <c r="X494" s="19">
        <f t="shared" si="440"/>
        <v>600.28653948447413</v>
      </c>
      <c r="Y494" s="19">
        <f t="shared" si="441"/>
        <v>24.500745692416672</v>
      </c>
      <c r="Z494" s="19"/>
      <c r="AA494" s="19">
        <f t="shared" si="442"/>
        <v>6.0527948002942401E-5</v>
      </c>
    </row>
    <row r="495" spans="2:27" x14ac:dyDescent="0.3">
      <c r="B495" s="27">
        <v>130.19999999999999</v>
      </c>
      <c r="C495" s="27">
        <v>503</v>
      </c>
      <c r="D495" s="19">
        <f t="shared" ref="D495:H495" si="503">1/C$23-LN(C$23)+$B495*C$22</f>
        <v>62.461618078743861</v>
      </c>
      <c r="E495" s="19">
        <f t="shared" si="503"/>
        <v>2.5717313007750082</v>
      </c>
      <c r="F495" s="19">
        <f t="shared" si="503"/>
        <v>25.322585092994046</v>
      </c>
      <c r="G495" s="19">
        <f t="shared" si="503"/>
        <v>25.322585092994046</v>
      </c>
      <c r="H495" s="19">
        <f t="shared" si="503"/>
        <v>25.322585092994046</v>
      </c>
      <c r="I495" s="16"/>
      <c r="J495" s="19">
        <f t="shared" si="429"/>
        <v>58.394398116178728</v>
      </c>
      <c r="K495" s="19">
        <f t="shared" si="430"/>
        <v>1.9196095137004834</v>
      </c>
      <c r="L495" s="19">
        <f t="shared" si="431"/>
        <v>22.221523736149493</v>
      </c>
      <c r="M495" s="19">
        <f t="shared" si="432"/>
        <v>22.221523736149493</v>
      </c>
      <c r="N495" s="19">
        <f t="shared" si="433"/>
        <v>22.221523736149493</v>
      </c>
      <c r="O495" s="16"/>
      <c r="P495" s="19">
        <f t="shared" si="434"/>
        <v>41.818553457964505</v>
      </c>
      <c r="Q495" s="19">
        <f t="shared" si="435"/>
        <v>462.10234016503676</v>
      </c>
      <c r="R495" s="19">
        <f t="shared" si="436"/>
        <v>0</v>
      </c>
      <c r="S495" s="19">
        <f t="shared" si="437"/>
        <v>0</v>
      </c>
      <c r="T495" s="19">
        <f t="shared" si="438"/>
        <v>0</v>
      </c>
      <c r="U495" s="16"/>
      <c r="V495" s="19">
        <f t="shared" si="439"/>
        <v>503.92089362300129</v>
      </c>
      <c r="W495" s="16"/>
      <c r="X495" s="19">
        <f t="shared" si="440"/>
        <v>0.84804506488444376</v>
      </c>
      <c r="Y495" s="19">
        <f t="shared" si="441"/>
        <v>0.92089362300129096</v>
      </c>
      <c r="Z495" s="19"/>
      <c r="AA495" s="19">
        <f t="shared" si="442"/>
        <v>2.2750246881879858E-6</v>
      </c>
    </row>
    <row r="496" spans="2:27" x14ac:dyDescent="0.3">
      <c r="B496" s="27">
        <v>130.5</v>
      </c>
      <c r="C496" s="27">
        <v>519</v>
      </c>
      <c r="D496" s="19">
        <f t="shared" ref="D496:H496" si="504">1/C$23-LN(C$23)+$B496*C$22</f>
        <v>62.565332828942033</v>
      </c>
      <c r="E496" s="19">
        <f t="shared" si="504"/>
        <v>2.5744918928701512</v>
      </c>
      <c r="F496" s="19">
        <f t="shared" si="504"/>
        <v>25.352585092994047</v>
      </c>
      <c r="G496" s="19">
        <f t="shared" si="504"/>
        <v>25.352585092994047</v>
      </c>
      <c r="H496" s="19">
        <f t="shared" si="504"/>
        <v>25.352585092994047</v>
      </c>
      <c r="I496" s="16"/>
      <c r="J496" s="19">
        <f t="shared" si="429"/>
        <v>58.496368159377127</v>
      </c>
      <c r="K496" s="19">
        <f t="shared" si="430"/>
        <v>1.9214248649182868</v>
      </c>
      <c r="L496" s="19">
        <f t="shared" si="431"/>
        <v>22.250232629191874</v>
      </c>
      <c r="M496" s="19">
        <f t="shared" si="432"/>
        <v>22.250232629191874</v>
      </c>
      <c r="N496" s="19">
        <f t="shared" si="433"/>
        <v>22.250232629191874</v>
      </c>
      <c r="O496" s="16"/>
      <c r="P496" s="19">
        <f t="shared" si="434"/>
        <v>41.674108615015776</v>
      </c>
      <c r="Q496" s="19">
        <f t="shared" si="435"/>
        <v>461.3788729292591</v>
      </c>
      <c r="R496" s="19">
        <f t="shared" si="436"/>
        <v>0</v>
      </c>
      <c r="S496" s="19">
        <f t="shared" si="437"/>
        <v>0</v>
      </c>
      <c r="T496" s="19">
        <f t="shared" si="438"/>
        <v>0</v>
      </c>
      <c r="U496" s="16"/>
      <c r="V496" s="19">
        <f t="shared" si="439"/>
        <v>503.05298154427487</v>
      </c>
      <c r="W496" s="16"/>
      <c r="X496" s="19">
        <f t="shared" si="440"/>
        <v>254.30739762723786</v>
      </c>
      <c r="Y496" s="19">
        <f t="shared" si="441"/>
        <v>15.947018455725129</v>
      </c>
      <c r="Z496" s="19"/>
      <c r="AA496" s="19">
        <f t="shared" si="442"/>
        <v>3.9396364339590243E-5</v>
      </c>
    </row>
    <row r="497" spans="2:27" x14ac:dyDescent="0.3">
      <c r="B497" s="27">
        <v>130.79999999999998</v>
      </c>
      <c r="C497" s="27">
        <v>469</v>
      </c>
      <c r="D497" s="19">
        <f t="shared" ref="D497:H497" si="505">1/C$23-LN(C$23)+$B497*C$22</f>
        <v>62.669047579140191</v>
      </c>
      <c r="E497" s="19">
        <f t="shared" si="505"/>
        <v>2.5772524849652942</v>
      </c>
      <c r="F497" s="19">
        <f t="shared" si="505"/>
        <v>25.382585092994042</v>
      </c>
      <c r="G497" s="19">
        <f t="shared" si="505"/>
        <v>25.382585092994042</v>
      </c>
      <c r="H497" s="19">
        <f t="shared" si="505"/>
        <v>25.382585092994042</v>
      </c>
      <c r="I497" s="16"/>
      <c r="J497" s="19">
        <f t="shared" si="429"/>
        <v>58.598341190290803</v>
      </c>
      <c r="K497" s="19">
        <f t="shared" si="430"/>
        <v>1.9232408034141175</v>
      </c>
      <c r="L497" s="19">
        <f t="shared" si="431"/>
        <v>22.278943115526594</v>
      </c>
      <c r="M497" s="19">
        <f t="shared" si="432"/>
        <v>22.278943115526594</v>
      </c>
      <c r="N497" s="19">
        <f t="shared" si="433"/>
        <v>22.278943115526594</v>
      </c>
      <c r="O497" s="16"/>
      <c r="P497" s="19">
        <f t="shared" si="434"/>
        <v>41.530406687142801</v>
      </c>
      <c r="Q497" s="19">
        <f t="shared" si="435"/>
        <v>460.65689421401072</v>
      </c>
      <c r="R497" s="19">
        <f t="shared" si="436"/>
        <v>0</v>
      </c>
      <c r="S497" s="19">
        <f t="shared" si="437"/>
        <v>0</v>
      </c>
      <c r="T497" s="19">
        <f t="shared" si="438"/>
        <v>0</v>
      </c>
      <c r="U497" s="16"/>
      <c r="V497" s="19">
        <f t="shared" si="439"/>
        <v>502.18730090115355</v>
      </c>
      <c r="W497" s="16"/>
      <c r="X497" s="19">
        <f t="shared" si="440"/>
        <v>1101.3969411037071</v>
      </c>
      <c r="Y497" s="19">
        <f t="shared" si="441"/>
        <v>33.187300901153549</v>
      </c>
      <c r="Z497" s="19"/>
      <c r="AA497" s="19">
        <f t="shared" si="442"/>
        <v>8.1987676967920401E-5</v>
      </c>
    </row>
    <row r="498" spans="2:27" x14ac:dyDescent="0.3">
      <c r="B498" s="27">
        <v>131.1</v>
      </c>
      <c r="C498" s="27">
        <v>507</v>
      </c>
      <c r="D498" s="19">
        <f t="shared" ref="D498:H498" si="506">1/C$23-LN(C$23)+$B498*C$22</f>
        <v>62.772762329338363</v>
      </c>
      <c r="E498" s="19">
        <f t="shared" si="506"/>
        <v>2.5800130770604373</v>
      </c>
      <c r="F498" s="19">
        <f t="shared" si="506"/>
        <v>25.412585092994043</v>
      </c>
      <c r="G498" s="19">
        <f t="shared" si="506"/>
        <v>25.412585092994043</v>
      </c>
      <c r="H498" s="19">
        <f t="shared" si="506"/>
        <v>25.412585092994043</v>
      </c>
      <c r="I498" s="16"/>
      <c r="J498" s="19">
        <f t="shared" ref="J498:J520" si="507">lmb_2(D498)</f>
        <v>58.70031719879163</v>
      </c>
      <c r="K498" s="19">
        <f t="shared" ref="K498:K520" si="508">lmb_2(E498)</f>
        <v>1.9250573286481936</v>
      </c>
      <c r="L498" s="19">
        <f t="shared" ref="L498:L520" si="509">lmb_2(F498)</f>
        <v>22.307655191314087</v>
      </c>
      <c r="M498" s="19">
        <f t="shared" ref="M498:M520" si="510">lmb_2(G498)</f>
        <v>22.307655191314087</v>
      </c>
      <c r="N498" s="19">
        <f t="shared" ref="N498:N520" si="511">lmb_2(H498)</f>
        <v>22.307655191314087</v>
      </c>
      <c r="O498" s="16"/>
      <c r="P498" s="19">
        <f t="shared" ref="P498:P520" si="512">(C$21*$A$21*C$22)/(J498+J498^2)</f>
        <v>41.387442609833847</v>
      </c>
      <c r="Q498" s="19">
        <f t="shared" ref="Q498:Q520" si="513">($D$21*$A$21*$D$22)/(K498+K498^2)</f>
        <v>459.93640036361546</v>
      </c>
      <c r="R498" s="19">
        <f t="shared" ref="R498:R520" si="514">($E$21*$A$21*$E$22)/(L498+L498^2)</f>
        <v>0</v>
      </c>
      <c r="S498" s="19">
        <f t="shared" ref="S498:S520" si="515">($F$21*$A$21*$F$22)/(M498+M498^2)</f>
        <v>0</v>
      </c>
      <c r="T498" s="19">
        <f t="shared" ref="T498:T520" si="516">($G$21*$A$21*$G$22)/(N498+N498^2)</f>
        <v>0</v>
      </c>
      <c r="U498" s="16"/>
      <c r="V498" s="19">
        <f t="shared" ref="V498:V520" si="517">SUM(P498:T498)</f>
        <v>501.3238429734493</v>
      </c>
      <c r="W498" s="16"/>
      <c r="X498" s="19">
        <f t="shared" ref="X498:X520" si="518">(V498-C498)^2</f>
        <v>32.218758590060858</v>
      </c>
      <c r="Y498" s="19">
        <f t="shared" ref="Y498:Y520" si="519">ABS(V498-C498)</f>
        <v>5.6761570265506975</v>
      </c>
      <c r="Z498" s="19"/>
      <c r="AA498" s="19">
        <f t="shared" ref="AA498:AA520" si="520">Y498/$Z$39</f>
        <v>1.4022680847054192E-5</v>
      </c>
    </row>
    <row r="499" spans="2:27" x14ac:dyDescent="0.3">
      <c r="B499" s="27">
        <v>131.4</v>
      </c>
      <c r="C499" s="27">
        <v>543</v>
      </c>
      <c r="D499" s="19">
        <f t="shared" ref="D499:H499" si="521">1/C$23-LN(C$23)+$B499*C$22</f>
        <v>62.876477079536528</v>
      </c>
      <c r="E499" s="19">
        <f t="shared" si="521"/>
        <v>2.5827736691555807</v>
      </c>
      <c r="F499" s="19">
        <f t="shared" si="521"/>
        <v>25.442585092994044</v>
      </c>
      <c r="G499" s="19">
        <f t="shared" si="521"/>
        <v>25.442585092994044</v>
      </c>
      <c r="H499" s="19">
        <f t="shared" si="521"/>
        <v>25.442585092994044</v>
      </c>
      <c r="I499" s="16"/>
      <c r="J499" s="19">
        <f t="shared" si="507"/>
        <v>58.802296174802521</v>
      </c>
      <c r="K499" s="19">
        <f t="shared" si="508"/>
        <v>1.9268744400812119</v>
      </c>
      <c r="L499" s="19">
        <f t="shared" si="509"/>
        <v>22.336368852728423</v>
      </c>
      <c r="M499" s="19">
        <f t="shared" si="510"/>
        <v>22.336368852728423</v>
      </c>
      <c r="N499" s="19">
        <f t="shared" si="511"/>
        <v>22.336368852728423</v>
      </c>
      <c r="O499" s="16"/>
      <c r="P499" s="19">
        <f t="shared" si="512"/>
        <v>41.245211361514528</v>
      </c>
      <c r="Q499" s="19">
        <f t="shared" si="513"/>
        <v>459.21738773252071</v>
      </c>
      <c r="R499" s="19">
        <f t="shared" si="514"/>
        <v>0</v>
      </c>
      <c r="S499" s="19">
        <f t="shared" si="515"/>
        <v>0</v>
      </c>
      <c r="T499" s="19">
        <f t="shared" si="516"/>
        <v>0</v>
      </c>
      <c r="U499" s="16"/>
      <c r="V499" s="19">
        <f t="shared" si="517"/>
        <v>500.46259909403523</v>
      </c>
      <c r="W499" s="16"/>
      <c r="X499" s="19">
        <f t="shared" si="518"/>
        <v>1809.4304758347728</v>
      </c>
      <c r="Y499" s="19">
        <f t="shared" si="519"/>
        <v>42.537400905964773</v>
      </c>
      <c r="Z499" s="19"/>
      <c r="AA499" s="19">
        <f t="shared" si="520"/>
        <v>1.0508666236282994E-4</v>
      </c>
    </row>
    <row r="500" spans="2:27" x14ac:dyDescent="0.3">
      <c r="B500" s="27">
        <v>131.69999999999999</v>
      </c>
      <c r="C500" s="27">
        <v>485</v>
      </c>
      <c r="D500" s="19">
        <f t="shared" ref="D500:H500" si="522">1/C$23-LN(C$23)+$B500*C$22</f>
        <v>62.980191829734686</v>
      </c>
      <c r="E500" s="19">
        <f t="shared" si="522"/>
        <v>2.5855342612507237</v>
      </c>
      <c r="F500" s="19">
        <f t="shared" si="522"/>
        <v>25.472585092994045</v>
      </c>
      <c r="G500" s="19">
        <f t="shared" si="522"/>
        <v>25.472585092994045</v>
      </c>
      <c r="H500" s="19">
        <f t="shared" si="522"/>
        <v>25.472585092994045</v>
      </c>
      <c r="I500" s="16"/>
      <c r="J500" s="19">
        <f t="shared" si="507"/>
        <v>58.904278108297213</v>
      </c>
      <c r="K500" s="19">
        <f t="shared" si="508"/>
        <v>1.9286921371743462</v>
      </c>
      <c r="L500" s="19">
        <f t="shared" si="509"/>
        <v>22.365084095957247</v>
      </c>
      <c r="M500" s="19">
        <f t="shared" si="510"/>
        <v>22.365084095957247</v>
      </c>
      <c r="N500" s="19">
        <f t="shared" si="511"/>
        <v>22.365084095957247</v>
      </c>
      <c r="O500" s="16"/>
      <c r="P500" s="19">
        <f t="shared" si="512"/>
        <v>41.10370796311264</v>
      </c>
      <c r="Q500" s="19">
        <f t="shared" si="513"/>
        <v>458.49985268526831</v>
      </c>
      <c r="R500" s="19">
        <f t="shared" si="514"/>
        <v>0</v>
      </c>
      <c r="S500" s="19">
        <f t="shared" si="515"/>
        <v>0</v>
      </c>
      <c r="T500" s="19">
        <f t="shared" si="516"/>
        <v>0</v>
      </c>
      <c r="U500" s="16"/>
      <c r="V500" s="19">
        <f t="shared" si="517"/>
        <v>499.60356064838095</v>
      </c>
      <c r="W500" s="16"/>
      <c r="X500" s="19">
        <f t="shared" si="518"/>
        <v>213.26398361094058</v>
      </c>
      <c r="Y500" s="19">
        <f t="shared" si="519"/>
        <v>14.603560648380949</v>
      </c>
      <c r="Z500" s="19"/>
      <c r="AA500" s="19">
        <f t="shared" si="520"/>
        <v>3.6077414568512691E-5</v>
      </c>
    </row>
    <row r="501" spans="2:27" x14ac:dyDescent="0.3">
      <c r="B501" s="27">
        <v>132</v>
      </c>
      <c r="C501" s="27">
        <v>469</v>
      </c>
      <c r="D501" s="19">
        <f t="shared" ref="D501:H501" si="523">1/C$23-LN(C$23)+$B501*C$22</f>
        <v>63.083906579932858</v>
      </c>
      <c r="E501" s="19">
        <f t="shared" si="523"/>
        <v>2.5882948533458672</v>
      </c>
      <c r="F501" s="19">
        <f t="shared" si="523"/>
        <v>25.502585092994046</v>
      </c>
      <c r="G501" s="19">
        <f t="shared" si="523"/>
        <v>25.502585092994046</v>
      </c>
      <c r="H501" s="19">
        <f t="shared" si="523"/>
        <v>25.502585092994046</v>
      </c>
      <c r="I501" s="16"/>
      <c r="J501" s="19">
        <f t="shared" si="507"/>
        <v>59.006262989299884</v>
      </c>
      <c r="K501" s="19">
        <f t="shared" si="508"/>
        <v>1.9305104193892497</v>
      </c>
      <c r="L501" s="19">
        <f t="shared" si="509"/>
        <v>22.39380091720173</v>
      </c>
      <c r="M501" s="19">
        <f t="shared" si="510"/>
        <v>22.39380091720173</v>
      </c>
      <c r="N501" s="19">
        <f t="shared" si="511"/>
        <v>22.39380091720173</v>
      </c>
      <c r="O501" s="16"/>
      <c r="P501" s="19">
        <f t="shared" si="512"/>
        <v>40.962927477628597</v>
      </c>
      <c r="Q501" s="19">
        <f t="shared" si="513"/>
        <v>457.78379159646289</v>
      </c>
      <c r="R501" s="19">
        <f t="shared" si="514"/>
        <v>0</v>
      </c>
      <c r="S501" s="19">
        <f t="shared" si="515"/>
        <v>0</v>
      </c>
      <c r="T501" s="19">
        <f t="shared" si="516"/>
        <v>0</v>
      </c>
      <c r="U501" s="16"/>
      <c r="V501" s="19">
        <f t="shared" si="517"/>
        <v>498.74671907409152</v>
      </c>
      <c r="W501" s="16"/>
      <c r="X501" s="19">
        <f t="shared" si="518"/>
        <v>884.86729567292002</v>
      </c>
      <c r="Y501" s="19">
        <f t="shared" si="519"/>
        <v>29.746719074091516</v>
      </c>
      <c r="Z501" s="19"/>
      <c r="AA501" s="19">
        <f t="shared" si="520"/>
        <v>7.3487880245703255E-5</v>
      </c>
    </row>
    <row r="502" spans="2:27" x14ac:dyDescent="0.3">
      <c r="B502" s="27">
        <v>132.19999999999999</v>
      </c>
      <c r="C502" s="27">
        <v>466</v>
      </c>
      <c r="D502" s="19">
        <f t="shared" ref="D502:H502" si="524">1/C$23-LN(C$23)+$B502*C$22</f>
        <v>63.153049746731632</v>
      </c>
      <c r="E502" s="19">
        <f t="shared" si="524"/>
        <v>2.5901352480759625</v>
      </c>
      <c r="F502" s="19">
        <f t="shared" si="524"/>
        <v>25.522585092994042</v>
      </c>
      <c r="G502" s="19">
        <f t="shared" si="524"/>
        <v>25.522585092994042</v>
      </c>
      <c r="H502" s="19">
        <f t="shared" si="524"/>
        <v>25.522585092994042</v>
      </c>
      <c r="I502" s="16"/>
      <c r="J502" s="19">
        <f t="shared" si="507"/>
        <v>59.074254542569101</v>
      </c>
      <c r="K502" s="19">
        <f t="shared" si="508"/>
        <v>1.9317229323345337</v>
      </c>
      <c r="L502" s="19">
        <f t="shared" si="509"/>
        <v>22.412946339503538</v>
      </c>
      <c r="M502" s="19">
        <f t="shared" si="510"/>
        <v>22.412946339503538</v>
      </c>
      <c r="N502" s="19">
        <f t="shared" si="511"/>
        <v>22.412946339503538</v>
      </c>
      <c r="O502" s="16"/>
      <c r="P502" s="19">
        <f t="shared" si="512"/>
        <v>40.86947301976813</v>
      </c>
      <c r="Q502" s="19">
        <f t="shared" si="513"/>
        <v>457.30723461728775</v>
      </c>
      <c r="R502" s="19">
        <f t="shared" si="514"/>
        <v>0</v>
      </c>
      <c r="S502" s="19">
        <f t="shared" si="515"/>
        <v>0</v>
      </c>
      <c r="T502" s="19">
        <f t="shared" si="516"/>
        <v>0</v>
      </c>
      <c r="U502" s="16"/>
      <c r="V502" s="19">
        <f t="shared" si="517"/>
        <v>498.17670763705587</v>
      </c>
      <c r="W502" s="16"/>
      <c r="X502" s="19">
        <f t="shared" si="518"/>
        <v>1035.3405143605696</v>
      </c>
      <c r="Y502" s="19">
        <f t="shared" si="519"/>
        <v>32.17670763705587</v>
      </c>
      <c r="Z502" s="19"/>
      <c r="AA502" s="19">
        <f t="shared" si="520"/>
        <v>7.9491053505543056E-5</v>
      </c>
    </row>
    <row r="503" spans="2:27" x14ac:dyDescent="0.3">
      <c r="B503" s="27">
        <v>132.5</v>
      </c>
      <c r="C503" s="27">
        <v>526</v>
      </c>
      <c r="D503" s="19">
        <f t="shared" ref="D503:H503" si="525">1/C$23-LN(C$23)+$B503*C$22</f>
        <v>63.256764496929797</v>
      </c>
      <c r="E503" s="19">
        <f t="shared" si="525"/>
        <v>2.5928958401711055</v>
      </c>
      <c r="F503" s="19">
        <f t="shared" si="525"/>
        <v>25.552585092994043</v>
      </c>
      <c r="G503" s="19">
        <f t="shared" si="525"/>
        <v>25.552585092994043</v>
      </c>
      <c r="H503" s="19">
        <f t="shared" si="525"/>
        <v>25.552585092994043</v>
      </c>
      <c r="I503" s="16"/>
      <c r="J503" s="19">
        <f t="shared" si="507"/>
        <v>59.176244314052433</v>
      </c>
      <c r="K503" s="19">
        <f t="shared" si="508"/>
        <v>1.9335421885573567</v>
      </c>
      <c r="L503" s="19">
        <f t="shared" si="509"/>
        <v>22.44166578236878</v>
      </c>
      <c r="M503" s="19">
        <f t="shared" si="510"/>
        <v>22.44166578236878</v>
      </c>
      <c r="N503" s="19">
        <f t="shared" si="511"/>
        <v>22.44166578236878</v>
      </c>
      <c r="O503" s="16"/>
      <c r="P503" s="19">
        <f t="shared" si="512"/>
        <v>40.729886530964649</v>
      </c>
      <c r="Q503" s="19">
        <f t="shared" si="513"/>
        <v>456.59362209669888</v>
      </c>
      <c r="R503" s="19">
        <f t="shared" si="514"/>
        <v>0</v>
      </c>
      <c r="S503" s="19">
        <f t="shared" si="515"/>
        <v>0</v>
      </c>
      <c r="T503" s="19">
        <f t="shared" si="516"/>
        <v>0</v>
      </c>
      <c r="U503" s="16"/>
      <c r="V503" s="19">
        <f t="shared" si="517"/>
        <v>497.3235086276635</v>
      </c>
      <c r="W503" s="16"/>
      <c r="X503" s="19">
        <f t="shared" si="518"/>
        <v>822.34115742768972</v>
      </c>
      <c r="Y503" s="19">
        <f t="shared" si="519"/>
        <v>28.6764913723365</v>
      </c>
      <c r="Z503" s="19"/>
      <c r="AA503" s="19">
        <f t="shared" si="520"/>
        <v>7.0843932690132076E-5</v>
      </c>
    </row>
    <row r="504" spans="2:27" x14ac:dyDescent="0.3">
      <c r="B504" s="27">
        <v>132.79999999999998</v>
      </c>
      <c r="C504" s="27">
        <v>474</v>
      </c>
      <c r="D504" s="19">
        <f t="shared" ref="D504:H504" si="526">1/C$23-LN(C$23)+$B504*C$22</f>
        <v>63.360479247127962</v>
      </c>
      <c r="E504" s="19">
        <f t="shared" si="526"/>
        <v>2.5956564322662485</v>
      </c>
      <c r="F504" s="19">
        <f t="shared" si="526"/>
        <v>25.582585092994044</v>
      </c>
      <c r="G504" s="19">
        <f t="shared" si="526"/>
        <v>25.582585092994044</v>
      </c>
      <c r="H504" s="19">
        <f t="shared" si="526"/>
        <v>25.582585092994044</v>
      </c>
      <c r="I504" s="16"/>
      <c r="J504" s="19">
        <f t="shared" si="507"/>
        <v>59.278237006685522</v>
      </c>
      <c r="K504" s="19">
        <f t="shared" si="508"/>
        <v>1.9353620284686934</v>
      </c>
      <c r="L504" s="19">
        <f t="shared" si="509"/>
        <v>22.470386793185057</v>
      </c>
      <c r="M504" s="19">
        <f t="shared" si="510"/>
        <v>22.470386793185057</v>
      </c>
      <c r="N504" s="19">
        <f t="shared" si="511"/>
        <v>22.470386793185057</v>
      </c>
      <c r="O504" s="16"/>
      <c r="P504" s="19">
        <f t="shared" si="512"/>
        <v>40.591009992221075</v>
      </c>
      <c r="Q504" s="19">
        <f t="shared" si="513"/>
        <v>455.88147391580816</v>
      </c>
      <c r="R504" s="19">
        <f t="shared" si="514"/>
        <v>0</v>
      </c>
      <c r="S504" s="19">
        <f t="shared" si="515"/>
        <v>0</v>
      </c>
      <c r="T504" s="19">
        <f t="shared" si="516"/>
        <v>0</v>
      </c>
      <c r="U504" s="16"/>
      <c r="V504" s="19">
        <f t="shared" si="517"/>
        <v>496.47248390802923</v>
      </c>
      <c r="W504" s="16"/>
      <c r="X504" s="19">
        <f t="shared" si="518"/>
        <v>505.01253299663284</v>
      </c>
      <c r="Y504" s="19">
        <f t="shared" si="519"/>
        <v>22.472483908029233</v>
      </c>
      <c r="Z504" s="19"/>
      <c r="AA504" s="19">
        <f t="shared" si="520"/>
        <v>5.5517221988192731E-5</v>
      </c>
    </row>
    <row r="505" spans="2:27" x14ac:dyDescent="0.3">
      <c r="B505" s="27">
        <v>133.1</v>
      </c>
      <c r="C505" s="27">
        <v>494</v>
      </c>
      <c r="D505" s="19">
        <f t="shared" ref="D505:H505" si="527">1/C$23-LN(C$23)+$B505*C$22</f>
        <v>63.464193997326127</v>
      </c>
      <c r="E505" s="19">
        <f t="shared" si="527"/>
        <v>2.598417024361392</v>
      </c>
      <c r="F505" s="19">
        <f t="shared" si="527"/>
        <v>25.612585092994046</v>
      </c>
      <c r="G505" s="19">
        <f t="shared" si="527"/>
        <v>25.612585092994046</v>
      </c>
      <c r="H505" s="19">
        <f t="shared" si="527"/>
        <v>25.612585092994046</v>
      </c>
      <c r="I505" s="16"/>
      <c r="J505" s="19">
        <f t="shared" si="507"/>
        <v>59.380232610674597</v>
      </c>
      <c r="K505" s="19">
        <f t="shared" si="508"/>
        <v>1.9371824515319507</v>
      </c>
      <c r="L505" s="19">
        <f t="shared" si="509"/>
        <v>22.499109368202564</v>
      </c>
      <c r="M505" s="19">
        <f t="shared" si="510"/>
        <v>22.499109368202564</v>
      </c>
      <c r="N505" s="19">
        <f t="shared" si="511"/>
        <v>22.499109368202564</v>
      </c>
      <c r="O505" s="16"/>
      <c r="P505" s="19">
        <f t="shared" si="512"/>
        <v>40.452838617208229</v>
      </c>
      <c r="Q505" s="19">
        <f t="shared" si="513"/>
        <v>455.17078648586306</v>
      </c>
      <c r="R505" s="19">
        <f t="shared" si="514"/>
        <v>0</v>
      </c>
      <c r="S505" s="19">
        <f t="shared" si="515"/>
        <v>0</v>
      </c>
      <c r="T505" s="19">
        <f t="shared" si="516"/>
        <v>0</v>
      </c>
      <c r="U505" s="16"/>
      <c r="V505" s="19">
        <f t="shared" si="517"/>
        <v>495.62362510307128</v>
      </c>
      <c r="W505" s="16"/>
      <c r="X505" s="19">
        <f t="shared" si="518"/>
        <v>2.6361584753232132</v>
      </c>
      <c r="Y505" s="19">
        <f t="shared" si="519"/>
        <v>1.6236251030712765</v>
      </c>
      <c r="Z505" s="19"/>
      <c r="AA505" s="19">
        <f t="shared" si="520"/>
        <v>4.0110899908400592E-6</v>
      </c>
    </row>
    <row r="506" spans="2:27" x14ac:dyDescent="0.3">
      <c r="B506" s="27">
        <v>133.4</v>
      </c>
      <c r="C506" s="27">
        <v>482</v>
      </c>
      <c r="D506" s="19">
        <f t="shared" ref="D506:H506" si="528">1/C$23-LN(C$23)+$B506*C$22</f>
        <v>63.567908747524299</v>
      </c>
      <c r="E506" s="19">
        <f t="shared" si="528"/>
        <v>2.6011776164565354</v>
      </c>
      <c r="F506" s="19">
        <f t="shared" si="528"/>
        <v>25.642585092994047</v>
      </c>
      <c r="G506" s="19">
        <f t="shared" si="528"/>
        <v>25.642585092994047</v>
      </c>
      <c r="H506" s="19">
        <f t="shared" si="528"/>
        <v>25.642585092994047</v>
      </c>
      <c r="I506" s="16"/>
      <c r="J506" s="19">
        <f t="shared" si="507"/>
        <v>59.482231116274797</v>
      </c>
      <c r="K506" s="19">
        <f t="shared" si="508"/>
        <v>1.9390034572110126</v>
      </c>
      <c r="L506" s="19">
        <f t="shared" si="509"/>
        <v>22.527833503684722</v>
      </c>
      <c r="M506" s="19">
        <f t="shared" si="510"/>
        <v>22.527833503684722</v>
      </c>
      <c r="N506" s="19">
        <f t="shared" si="511"/>
        <v>22.527833503684722</v>
      </c>
      <c r="O506" s="16"/>
      <c r="P506" s="19">
        <f t="shared" si="512"/>
        <v>40.315367659729731</v>
      </c>
      <c r="Q506" s="19">
        <f t="shared" si="513"/>
        <v>454.46155622803519</v>
      </c>
      <c r="R506" s="19">
        <f t="shared" si="514"/>
        <v>0</v>
      </c>
      <c r="S506" s="19">
        <f t="shared" si="515"/>
        <v>0</v>
      </c>
      <c r="T506" s="19">
        <f t="shared" si="516"/>
        <v>0</v>
      </c>
      <c r="U506" s="16"/>
      <c r="V506" s="19">
        <f t="shared" si="517"/>
        <v>494.77692388776495</v>
      </c>
      <c r="W506" s="16"/>
      <c r="X506" s="19">
        <f t="shared" si="518"/>
        <v>163.24978403373865</v>
      </c>
      <c r="Y506" s="19">
        <f t="shared" si="519"/>
        <v>12.776923887764951</v>
      </c>
      <c r="Z506" s="19"/>
      <c r="AA506" s="19">
        <f t="shared" si="520"/>
        <v>3.156479375872857E-5</v>
      </c>
    </row>
    <row r="507" spans="2:27" x14ac:dyDescent="0.3">
      <c r="B507" s="27">
        <v>133.69999999999999</v>
      </c>
      <c r="C507" s="27">
        <v>480</v>
      </c>
      <c r="D507" s="19">
        <f t="shared" ref="D507:H507" si="529">1/C$23-LN(C$23)+$B507*C$22</f>
        <v>63.671623497722457</v>
      </c>
      <c r="E507" s="19">
        <f t="shared" si="529"/>
        <v>2.6039382085516785</v>
      </c>
      <c r="F507" s="19">
        <f t="shared" si="529"/>
        <v>25.672585092994044</v>
      </c>
      <c r="G507" s="19">
        <f t="shared" si="529"/>
        <v>25.672585092994044</v>
      </c>
      <c r="H507" s="19">
        <f t="shared" si="529"/>
        <v>25.672585092994044</v>
      </c>
      <c r="I507" s="16"/>
      <c r="J507" s="19">
        <f t="shared" si="507"/>
        <v>59.584232513789793</v>
      </c>
      <c r="K507" s="19">
        <f t="shared" si="508"/>
        <v>1.940825044970242</v>
      </c>
      <c r="L507" s="19">
        <f t="shared" si="509"/>
        <v>22.5565591959081</v>
      </c>
      <c r="M507" s="19">
        <f t="shared" si="510"/>
        <v>22.5565591959081</v>
      </c>
      <c r="N507" s="19">
        <f t="shared" si="511"/>
        <v>22.5565591959081</v>
      </c>
      <c r="O507" s="16"/>
      <c r="P507" s="19">
        <f t="shared" si="512"/>
        <v>40.178592413320061</v>
      </c>
      <c r="Q507" s="19">
        <f t="shared" si="513"/>
        <v>453.75377957339026</v>
      </c>
      <c r="R507" s="19">
        <f t="shared" si="514"/>
        <v>0</v>
      </c>
      <c r="S507" s="19">
        <f t="shared" si="515"/>
        <v>0</v>
      </c>
      <c r="T507" s="19">
        <f t="shared" si="516"/>
        <v>0</v>
      </c>
      <c r="U507" s="16"/>
      <c r="V507" s="19">
        <f t="shared" si="517"/>
        <v>493.93237198671034</v>
      </c>
      <c r="W507" s="16"/>
      <c r="X507" s="19">
        <f t="shared" si="518"/>
        <v>194.11098917607092</v>
      </c>
      <c r="Y507" s="19">
        <f t="shared" si="519"/>
        <v>13.932371986710336</v>
      </c>
      <c r="Z507" s="19"/>
      <c r="AA507" s="19">
        <f t="shared" si="520"/>
        <v>3.4419274325608267E-5</v>
      </c>
    </row>
    <row r="508" spans="2:27" x14ac:dyDescent="0.3">
      <c r="B508" s="27">
        <v>134</v>
      </c>
      <c r="C508" s="27">
        <v>494</v>
      </c>
      <c r="D508" s="19">
        <f t="shared" ref="D508:H508" si="530">1/C$23-LN(C$23)+$B508*C$22</f>
        <v>63.775338247920622</v>
      </c>
      <c r="E508" s="19">
        <f t="shared" si="530"/>
        <v>2.6066988006468215</v>
      </c>
      <c r="F508" s="19">
        <f t="shared" si="530"/>
        <v>25.702585092994045</v>
      </c>
      <c r="G508" s="19">
        <f t="shared" si="530"/>
        <v>25.702585092994045</v>
      </c>
      <c r="H508" s="19">
        <f t="shared" si="530"/>
        <v>25.702585092994045</v>
      </c>
      <c r="I508" s="16"/>
      <c r="J508" s="19">
        <f t="shared" si="507"/>
        <v>59.686236793571538</v>
      </c>
      <c r="K508" s="19">
        <f t="shared" si="508"/>
        <v>1.9426472142744802</v>
      </c>
      <c r="L508" s="19">
        <f t="shared" si="509"/>
        <v>22.585286441162395</v>
      </c>
      <c r="M508" s="19">
        <f t="shared" si="510"/>
        <v>22.585286441162395</v>
      </c>
      <c r="N508" s="19">
        <f t="shared" si="511"/>
        <v>22.585286441162395</v>
      </c>
      <c r="O508" s="16"/>
      <c r="P508" s="19">
        <f t="shared" si="512"/>
        <v>40.04250821084716</v>
      </c>
      <c r="Q508" s="19">
        <f t="shared" si="513"/>
        <v>453.04745296285813</v>
      </c>
      <c r="R508" s="19">
        <f t="shared" si="514"/>
        <v>0</v>
      </c>
      <c r="S508" s="19">
        <f t="shared" si="515"/>
        <v>0</v>
      </c>
      <c r="T508" s="19">
        <f t="shared" si="516"/>
        <v>0</v>
      </c>
      <c r="U508" s="16"/>
      <c r="V508" s="19">
        <f t="shared" si="517"/>
        <v>493.08996117370532</v>
      </c>
      <c r="W508" s="16"/>
      <c r="X508" s="19">
        <f t="shared" si="518"/>
        <v>0.82817066536380024</v>
      </c>
      <c r="Y508" s="19">
        <f t="shared" si="519"/>
        <v>0.9100388262946808</v>
      </c>
      <c r="Z508" s="19"/>
      <c r="AA508" s="19">
        <f t="shared" si="520"/>
        <v>2.2482084198634032E-6</v>
      </c>
    </row>
    <row r="509" spans="2:27" x14ac:dyDescent="0.3">
      <c r="B509" s="27">
        <v>134.19999999999999</v>
      </c>
      <c r="C509" s="27">
        <v>482</v>
      </c>
      <c r="D509" s="19">
        <f t="shared" ref="D509:H509" si="531">1/C$23-LN(C$23)+$B509*C$22</f>
        <v>63.844481414719397</v>
      </c>
      <c r="E509" s="19">
        <f t="shared" si="531"/>
        <v>2.6085391953769168</v>
      </c>
      <c r="F509" s="19">
        <f t="shared" si="531"/>
        <v>25.722585092994045</v>
      </c>
      <c r="G509" s="19">
        <f t="shared" si="531"/>
        <v>25.722585092994045</v>
      </c>
      <c r="H509" s="19">
        <f t="shared" si="531"/>
        <v>25.722585092994045</v>
      </c>
      <c r="I509" s="16"/>
      <c r="J509" s="19">
        <f t="shared" si="507"/>
        <v>59.754241243275899</v>
      </c>
      <c r="K509" s="19">
        <f t="shared" si="508"/>
        <v>1.9438623166271403</v>
      </c>
      <c r="L509" s="19">
        <f t="shared" si="509"/>
        <v>22.604438798967195</v>
      </c>
      <c r="M509" s="19">
        <f t="shared" si="510"/>
        <v>22.604438798967195</v>
      </c>
      <c r="N509" s="19">
        <f t="shared" si="511"/>
        <v>22.604438798967195</v>
      </c>
      <c r="O509" s="16"/>
      <c r="P509" s="19">
        <f t="shared" si="512"/>
        <v>39.95216703537946</v>
      </c>
      <c r="Q509" s="19">
        <f t="shared" si="513"/>
        <v>452.57737238278679</v>
      </c>
      <c r="R509" s="19">
        <f t="shared" si="514"/>
        <v>0</v>
      </c>
      <c r="S509" s="19">
        <f t="shared" si="515"/>
        <v>0</v>
      </c>
      <c r="T509" s="19">
        <f t="shared" si="516"/>
        <v>0</v>
      </c>
      <c r="U509" s="16"/>
      <c r="V509" s="19">
        <f t="shared" si="517"/>
        <v>492.52953941816622</v>
      </c>
      <c r="W509" s="16"/>
      <c r="X509" s="19">
        <f t="shared" si="518"/>
        <v>110.87120035871628</v>
      </c>
      <c r="Y509" s="19">
        <f t="shared" si="519"/>
        <v>10.529539418166223</v>
      </c>
      <c r="Z509" s="19"/>
      <c r="AA509" s="19">
        <f t="shared" si="520"/>
        <v>2.601273538359939E-5</v>
      </c>
    </row>
    <row r="510" spans="2:27" x14ac:dyDescent="0.3">
      <c r="B510" s="27">
        <v>134.5</v>
      </c>
      <c r="C510" s="27">
        <v>490</v>
      </c>
      <c r="D510" s="19">
        <f t="shared" ref="D510:H510" si="532">1/C$23-LN(C$23)+$B510*C$22</f>
        <v>63.948196164917569</v>
      </c>
      <c r="E510" s="19">
        <f t="shared" si="532"/>
        <v>2.6112997874720598</v>
      </c>
      <c r="F510" s="19">
        <f t="shared" si="532"/>
        <v>25.752585092994046</v>
      </c>
      <c r="G510" s="19">
        <f t="shared" si="532"/>
        <v>25.752585092994046</v>
      </c>
      <c r="H510" s="19">
        <f t="shared" si="532"/>
        <v>25.752585092994046</v>
      </c>
      <c r="I510" s="16"/>
      <c r="J510" s="19">
        <f t="shared" si="507"/>
        <v>59.856250305525457</v>
      </c>
      <c r="K510" s="19">
        <f t="shared" si="508"/>
        <v>1.9456854539851181</v>
      </c>
      <c r="L510" s="19">
        <f t="shared" si="509"/>
        <v>22.633168624396596</v>
      </c>
      <c r="M510" s="19">
        <f t="shared" si="510"/>
        <v>22.633168624396596</v>
      </c>
      <c r="N510" s="19">
        <f t="shared" si="511"/>
        <v>22.633168624396596</v>
      </c>
      <c r="O510" s="16"/>
      <c r="P510" s="19">
        <f t="shared" si="512"/>
        <v>39.817224306985885</v>
      </c>
      <c r="Q510" s="19">
        <f t="shared" si="513"/>
        <v>451.87345463009717</v>
      </c>
      <c r="R510" s="19">
        <f t="shared" si="514"/>
        <v>0</v>
      </c>
      <c r="S510" s="19">
        <f t="shared" si="515"/>
        <v>0</v>
      </c>
      <c r="T510" s="19">
        <f t="shared" si="516"/>
        <v>0</v>
      </c>
      <c r="U510" s="16"/>
      <c r="V510" s="19">
        <f t="shared" si="517"/>
        <v>491.69067893708308</v>
      </c>
      <c r="W510" s="16"/>
      <c r="X510" s="19">
        <f t="shared" si="518"/>
        <v>2.8583952682963663</v>
      </c>
      <c r="Y510" s="19">
        <f t="shared" si="519"/>
        <v>1.6906789370830779</v>
      </c>
      <c r="Z510" s="19"/>
      <c r="AA510" s="19">
        <f t="shared" si="520"/>
        <v>4.1767433562280546E-6</v>
      </c>
    </row>
    <row r="511" spans="2:27" x14ac:dyDescent="0.3">
      <c r="B511" s="27">
        <v>134.79999999999998</v>
      </c>
      <c r="C511" s="27">
        <v>512</v>
      </c>
      <c r="D511" s="19">
        <f t="shared" ref="D511:H511" si="533">1/C$23-LN(C$23)+$B511*C$22</f>
        <v>64.051910915115727</v>
      </c>
      <c r="E511" s="19">
        <f t="shared" si="533"/>
        <v>2.6140603795672028</v>
      </c>
      <c r="F511" s="19">
        <f t="shared" si="533"/>
        <v>25.782585092994044</v>
      </c>
      <c r="G511" s="19">
        <f t="shared" si="533"/>
        <v>25.782585092994044</v>
      </c>
      <c r="H511" s="19">
        <f t="shared" si="533"/>
        <v>25.782585092994044</v>
      </c>
      <c r="I511" s="16"/>
      <c r="J511" s="19">
        <f t="shared" si="507"/>
        <v>59.958262224547035</v>
      </c>
      <c r="K511" s="19">
        <f t="shared" si="508"/>
        <v>1.9475091714633539</v>
      </c>
      <c r="L511" s="19">
        <f t="shared" si="509"/>
        <v>22.661899993026328</v>
      </c>
      <c r="M511" s="19">
        <f t="shared" si="510"/>
        <v>22.661899993026328</v>
      </c>
      <c r="N511" s="19">
        <f t="shared" si="511"/>
        <v>22.661899993026328</v>
      </c>
      <c r="O511" s="16"/>
      <c r="P511" s="19">
        <f t="shared" si="512"/>
        <v>39.682960366168636</v>
      </c>
      <c r="Q511" s="19">
        <f t="shared" si="513"/>
        <v>451.17097747866933</v>
      </c>
      <c r="R511" s="19">
        <f t="shared" si="514"/>
        <v>0</v>
      </c>
      <c r="S511" s="19">
        <f t="shared" si="515"/>
        <v>0</v>
      </c>
      <c r="T511" s="19">
        <f t="shared" si="516"/>
        <v>0</v>
      </c>
      <c r="U511" s="16"/>
      <c r="V511" s="19">
        <f t="shared" si="517"/>
        <v>490.85393784483796</v>
      </c>
      <c r="W511" s="16"/>
      <c r="X511" s="19">
        <f t="shared" si="518"/>
        <v>447.15594466997635</v>
      </c>
      <c r="Y511" s="19">
        <f t="shared" si="519"/>
        <v>21.146062155162042</v>
      </c>
      <c r="Z511" s="19"/>
      <c r="AA511" s="19">
        <f t="shared" si="520"/>
        <v>5.2240358994085308E-5</v>
      </c>
    </row>
    <row r="512" spans="2:27" x14ac:dyDescent="0.3">
      <c r="B512" s="27">
        <v>135.1</v>
      </c>
      <c r="C512" s="27">
        <v>523</v>
      </c>
      <c r="D512" s="19">
        <f t="shared" ref="D512:H512" si="534">1/C$23-LN(C$23)+$B512*C$22</f>
        <v>64.155625665313892</v>
      </c>
      <c r="E512" s="19">
        <f t="shared" si="534"/>
        <v>2.6168209716623463</v>
      </c>
      <c r="F512" s="19">
        <f t="shared" si="534"/>
        <v>25.812585092994045</v>
      </c>
      <c r="G512" s="19">
        <f t="shared" si="534"/>
        <v>25.812585092994045</v>
      </c>
      <c r="H512" s="19">
        <f t="shared" si="534"/>
        <v>25.812585092994045</v>
      </c>
      <c r="I512" s="16"/>
      <c r="J512" s="19">
        <f t="shared" si="507"/>
        <v>60.060276990866797</v>
      </c>
      <c r="K512" s="19">
        <f t="shared" si="508"/>
        <v>1.949333468528444</v>
      </c>
      <c r="L512" s="19">
        <f t="shared" si="509"/>
        <v>22.690632901193617</v>
      </c>
      <c r="M512" s="19">
        <f t="shared" si="510"/>
        <v>22.690632901193617</v>
      </c>
      <c r="N512" s="19">
        <f t="shared" si="511"/>
        <v>22.690632901193617</v>
      </c>
      <c r="O512" s="16"/>
      <c r="P512" s="19">
        <f t="shared" si="512"/>
        <v>39.549370686693052</v>
      </c>
      <c r="Q512" s="19">
        <f t="shared" si="513"/>
        <v>450.469937405351</v>
      </c>
      <c r="R512" s="19">
        <f t="shared" si="514"/>
        <v>0</v>
      </c>
      <c r="S512" s="19">
        <f t="shared" si="515"/>
        <v>0</v>
      </c>
      <c r="T512" s="19">
        <f t="shared" si="516"/>
        <v>0</v>
      </c>
      <c r="U512" s="16"/>
      <c r="V512" s="19">
        <f t="shared" si="517"/>
        <v>490.01930809204407</v>
      </c>
      <c r="W512" s="16"/>
      <c r="X512" s="19">
        <f t="shared" si="518"/>
        <v>1087.7260387275096</v>
      </c>
      <c r="Y512" s="19">
        <f t="shared" si="519"/>
        <v>32.980691907955929</v>
      </c>
      <c r="Z512" s="19"/>
      <c r="AA512" s="19">
        <f t="shared" si="520"/>
        <v>8.1477259099248085E-5</v>
      </c>
    </row>
    <row r="513" spans="2:27" x14ac:dyDescent="0.3">
      <c r="B513" s="27">
        <v>135.4</v>
      </c>
      <c r="C513" s="27">
        <v>546</v>
      </c>
      <c r="D513" s="19">
        <f t="shared" ref="D513:H513" si="535">1/C$23-LN(C$23)+$B513*C$22</f>
        <v>64.259340415512071</v>
      </c>
      <c r="E513" s="19">
        <f t="shared" si="535"/>
        <v>2.6195815637574897</v>
      </c>
      <c r="F513" s="19">
        <f t="shared" si="535"/>
        <v>25.842585092994046</v>
      </c>
      <c r="G513" s="19">
        <f t="shared" si="535"/>
        <v>25.842585092994046</v>
      </c>
      <c r="H513" s="19">
        <f t="shared" si="535"/>
        <v>25.842585092994046</v>
      </c>
      <c r="I513" s="16"/>
      <c r="J513" s="19">
        <f t="shared" si="507"/>
        <v>60.162294595057666</v>
      </c>
      <c r="K513" s="19">
        <f t="shared" si="508"/>
        <v>1.9511583446474621</v>
      </c>
      <c r="L513" s="19">
        <f t="shared" si="509"/>
        <v>22.719367345248493</v>
      </c>
      <c r="M513" s="19">
        <f t="shared" si="510"/>
        <v>22.719367345248493</v>
      </c>
      <c r="N513" s="19">
        <f t="shared" si="511"/>
        <v>22.719367345248493</v>
      </c>
      <c r="O513" s="16"/>
      <c r="P513" s="19">
        <f t="shared" si="512"/>
        <v>39.416450779863894</v>
      </c>
      <c r="Q513" s="19">
        <f t="shared" si="513"/>
        <v>449.77033089671801</v>
      </c>
      <c r="R513" s="19">
        <f t="shared" si="514"/>
        <v>0</v>
      </c>
      <c r="S513" s="19">
        <f t="shared" si="515"/>
        <v>0</v>
      </c>
      <c r="T513" s="19">
        <f t="shared" si="516"/>
        <v>0</v>
      </c>
      <c r="U513" s="16"/>
      <c r="V513" s="19">
        <f t="shared" si="517"/>
        <v>489.18678167658192</v>
      </c>
      <c r="W513" s="16"/>
      <c r="X513" s="19">
        <f t="shared" si="518"/>
        <v>3227.7417762643686</v>
      </c>
      <c r="Y513" s="19">
        <f t="shared" si="519"/>
        <v>56.813218323418084</v>
      </c>
      <c r="Z513" s="19"/>
      <c r="AA513" s="19">
        <f t="shared" si="520"/>
        <v>1.4035440258555141E-4</v>
      </c>
    </row>
    <row r="514" spans="2:27" x14ac:dyDescent="0.3">
      <c r="B514" s="27">
        <v>135.69999999999999</v>
      </c>
      <c r="C514" s="27">
        <v>510</v>
      </c>
      <c r="D514" s="19">
        <f t="shared" ref="D514:H514" si="536">1/C$23-LN(C$23)+$B514*C$22</f>
        <v>64.363055165710222</v>
      </c>
      <c r="E514" s="19">
        <f t="shared" si="536"/>
        <v>2.6223421558526328</v>
      </c>
      <c r="F514" s="19">
        <f t="shared" si="536"/>
        <v>25.872585092994044</v>
      </c>
      <c r="G514" s="19">
        <f t="shared" si="536"/>
        <v>25.872585092994044</v>
      </c>
      <c r="H514" s="19">
        <f t="shared" si="536"/>
        <v>25.872585092994044</v>
      </c>
      <c r="I514" s="16"/>
      <c r="J514" s="19">
        <f t="shared" si="507"/>
        <v>60.264315027739002</v>
      </c>
      <c r="K514" s="19">
        <f t="shared" si="508"/>
        <v>1.9529837992879604</v>
      </c>
      <c r="L514" s="19">
        <f t="shared" si="509"/>
        <v>22.748103321553749</v>
      </c>
      <c r="M514" s="19">
        <f t="shared" si="510"/>
        <v>22.748103321553749</v>
      </c>
      <c r="N514" s="19">
        <f t="shared" si="511"/>
        <v>22.748103321553749</v>
      </c>
      <c r="O514" s="16"/>
      <c r="P514" s="19">
        <f t="shared" si="512"/>
        <v>39.284196194153402</v>
      </c>
      <c r="Q514" s="19">
        <f t="shared" si="513"/>
        <v>449.07215444904472</v>
      </c>
      <c r="R514" s="19">
        <f t="shared" si="514"/>
        <v>0</v>
      </c>
      <c r="S514" s="19">
        <f t="shared" si="515"/>
        <v>0</v>
      </c>
      <c r="T514" s="19">
        <f t="shared" si="516"/>
        <v>0</v>
      </c>
      <c r="U514" s="16"/>
      <c r="V514" s="19">
        <f t="shared" si="517"/>
        <v>488.35635064319814</v>
      </c>
      <c r="W514" s="16"/>
      <c r="X514" s="19">
        <f t="shared" si="518"/>
        <v>468.44755748018952</v>
      </c>
      <c r="Y514" s="19">
        <f t="shared" si="519"/>
        <v>21.643649356801859</v>
      </c>
      <c r="Z514" s="19"/>
      <c r="AA514" s="19">
        <f t="shared" si="520"/>
        <v>5.3469624937493158E-5</v>
      </c>
    </row>
    <row r="515" spans="2:27" x14ac:dyDescent="0.3">
      <c r="B515" s="27">
        <v>136</v>
      </c>
      <c r="C515" s="27">
        <v>482</v>
      </c>
      <c r="D515" s="19">
        <f t="shared" ref="D515:H515" si="537">1/C$23-LN(C$23)+$B515*C$22</f>
        <v>64.466769915908401</v>
      </c>
      <c r="E515" s="19">
        <f t="shared" si="537"/>
        <v>2.6251027479477758</v>
      </c>
      <c r="F515" s="19">
        <f t="shared" si="537"/>
        <v>25.902585092994045</v>
      </c>
      <c r="G515" s="19">
        <f t="shared" si="537"/>
        <v>25.902585092994045</v>
      </c>
      <c r="H515" s="19">
        <f t="shared" si="537"/>
        <v>25.902585092994045</v>
      </c>
      <c r="I515" s="16"/>
      <c r="J515" s="19">
        <f t="shared" si="507"/>
        <v>60.366338279576432</v>
      </c>
      <c r="K515" s="19">
        <f t="shared" si="508"/>
        <v>1.9548098319179703</v>
      </c>
      <c r="L515" s="19">
        <f t="shared" si="509"/>
        <v>22.776840826484904</v>
      </c>
      <c r="M515" s="19">
        <f t="shared" si="510"/>
        <v>22.776840826484904</v>
      </c>
      <c r="N515" s="19">
        <f t="shared" si="511"/>
        <v>22.776840826484904</v>
      </c>
      <c r="O515" s="16"/>
      <c r="P515" s="19">
        <f t="shared" si="512"/>
        <v>39.152602514833426</v>
      </c>
      <c r="Q515" s="19">
        <f t="shared" si="513"/>
        <v>448.37540456827458</v>
      </c>
      <c r="R515" s="19">
        <f t="shared" si="514"/>
        <v>0</v>
      </c>
      <c r="S515" s="19">
        <f t="shared" si="515"/>
        <v>0</v>
      </c>
      <c r="T515" s="19">
        <f t="shared" si="516"/>
        <v>0</v>
      </c>
      <c r="U515" s="16"/>
      <c r="V515" s="19">
        <f t="shared" si="517"/>
        <v>487.52800708310798</v>
      </c>
      <c r="W515" s="16"/>
      <c r="X515" s="19">
        <f t="shared" si="518"/>
        <v>30.558862310891993</v>
      </c>
      <c r="Y515" s="19">
        <f t="shared" si="519"/>
        <v>5.5280070831079797</v>
      </c>
      <c r="Z515" s="19"/>
      <c r="AA515" s="19">
        <f t="shared" si="520"/>
        <v>1.3656683330655531E-5</v>
      </c>
    </row>
    <row r="516" spans="2:27" x14ac:dyDescent="0.3">
      <c r="B516" s="27">
        <v>136.19999999999999</v>
      </c>
      <c r="C516" s="27">
        <v>472</v>
      </c>
      <c r="D516" s="19">
        <f t="shared" ref="D516:H516" si="538">1/C$23-LN(C$23)+$B516*C$22</f>
        <v>64.535913082707168</v>
      </c>
      <c r="E516" s="19">
        <f t="shared" si="538"/>
        <v>2.6269431426778711</v>
      </c>
      <c r="F516" s="19">
        <f t="shared" si="538"/>
        <v>25.922585092994044</v>
      </c>
      <c r="G516" s="19">
        <f t="shared" si="538"/>
        <v>25.922585092994044</v>
      </c>
      <c r="H516" s="19">
        <f t="shared" si="538"/>
        <v>25.922585092994044</v>
      </c>
      <c r="I516" s="16"/>
      <c r="J516" s="19">
        <f t="shared" si="507"/>
        <v>60.434355342410356</v>
      </c>
      <c r="K516" s="19">
        <f t="shared" si="508"/>
        <v>1.9560275078474438</v>
      </c>
      <c r="L516" s="19">
        <f t="shared" si="509"/>
        <v>22.796000010558135</v>
      </c>
      <c r="M516" s="19">
        <f t="shared" si="510"/>
        <v>22.796000010558135</v>
      </c>
      <c r="N516" s="19">
        <f t="shared" si="511"/>
        <v>22.796000010558135</v>
      </c>
      <c r="O516" s="16"/>
      <c r="P516" s="19">
        <f t="shared" si="512"/>
        <v>39.065238401895812</v>
      </c>
      <c r="Q516" s="19">
        <f t="shared" si="513"/>
        <v>447.91169546383441</v>
      </c>
      <c r="R516" s="19">
        <f t="shared" si="514"/>
        <v>0</v>
      </c>
      <c r="S516" s="19">
        <f t="shared" si="515"/>
        <v>0</v>
      </c>
      <c r="T516" s="19">
        <f t="shared" si="516"/>
        <v>0</v>
      </c>
      <c r="U516" s="16"/>
      <c r="V516" s="19">
        <f t="shared" si="517"/>
        <v>486.97693386573019</v>
      </c>
      <c r="W516" s="16"/>
      <c r="X516" s="19">
        <f t="shared" si="518"/>
        <v>224.30854801845581</v>
      </c>
      <c r="Y516" s="19">
        <f t="shared" si="519"/>
        <v>14.976933865730189</v>
      </c>
      <c r="Z516" s="19"/>
      <c r="AA516" s="19">
        <f t="shared" si="520"/>
        <v>3.6999815664753651E-5</v>
      </c>
    </row>
    <row r="517" spans="2:27" x14ac:dyDescent="0.3">
      <c r="B517" s="27">
        <v>136.5</v>
      </c>
      <c r="C517" s="27">
        <v>500</v>
      </c>
      <c r="D517" s="19">
        <f t="shared" ref="D517:H517" si="539">1/C$23-LN(C$23)+$B517*C$22</f>
        <v>64.639627832905333</v>
      </c>
      <c r="E517" s="19">
        <f t="shared" si="539"/>
        <v>2.6297037347730146</v>
      </c>
      <c r="F517" s="19">
        <f t="shared" si="539"/>
        <v>25.952585092994045</v>
      </c>
      <c r="G517" s="19">
        <f t="shared" si="539"/>
        <v>25.952585092994045</v>
      </c>
      <c r="H517" s="19">
        <f t="shared" si="539"/>
        <v>25.952585092994045</v>
      </c>
      <c r="I517" s="16"/>
      <c r="J517" s="19">
        <f t="shared" si="507"/>
        <v>60.536383272222487</v>
      </c>
      <c r="K517" s="19">
        <f t="shared" si="508"/>
        <v>1.9578545026124539</v>
      </c>
      <c r="L517" s="19">
        <f t="shared" si="509"/>
        <v>22.824740055179003</v>
      </c>
      <c r="M517" s="19">
        <f t="shared" si="510"/>
        <v>22.824740055179003</v>
      </c>
      <c r="N517" s="19">
        <f t="shared" si="511"/>
        <v>22.824740055179003</v>
      </c>
      <c r="O517" s="16"/>
      <c r="P517" s="19">
        <f t="shared" si="512"/>
        <v>38.934736521519973</v>
      </c>
      <c r="Q517" s="19">
        <f t="shared" si="513"/>
        <v>447.2173154561707</v>
      </c>
      <c r="R517" s="19">
        <f t="shared" si="514"/>
        <v>0</v>
      </c>
      <c r="S517" s="19">
        <f t="shared" si="515"/>
        <v>0</v>
      </c>
      <c r="T517" s="19">
        <f t="shared" si="516"/>
        <v>0</v>
      </c>
      <c r="U517" s="16"/>
      <c r="V517" s="19">
        <f t="shared" si="517"/>
        <v>486.15205197769069</v>
      </c>
      <c r="W517" s="16"/>
      <c r="X517" s="19">
        <f t="shared" si="518"/>
        <v>191.76566442858035</v>
      </c>
      <c r="Y517" s="19">
        <f t="shared" si="519"/>
        <v>13.847948022309311</v>
      </c>
      <c r="Z517" s="19"/>
      <c r="AA517" s="19">
        <f t="shared" si="520"/>
        <v>3.4210708864310931E-5</v>
      </c>
    </row>
    <row r="518" spans="2:27" x14ac:dyDescent="0.3">
      <c r="B518" s="27">
        <v>136.79999999999998</v>
      </c>
      <c r="C518" s="27">
        <v>467</v>
      </c>
      <c r="D518" s="19">
        <f t="shared" ref="D518:H518" si="540">1/C$23-LN(C$23)+$B518*C$22</f>
        <v>64.743342583103498</v>
      </c>
      <c r="E518" s="19">
        <f t="shared" si="540"/>
        <v>2.6324643268681576</v>
      </c>
      <c r="F518" s="19">
        <f t="shared" si="540"/>
        <v>25.982585092994043</v>
      </c>
      <c r="G518" s="19">
        <f t="shared" si="540"/>
        <v>25.982585092994043</v>
      </c>
      <c r="H518" s="19">
        <f t="shared" si="540"/>
        <v>25.982585092994043</v>
      </c>
      <c r="I518" s="16"/>
      <c r="J518" s="19">
        <f t="shared" si="507"/>
        <v>60.638413996522324</v>
      </c>
      <c r="K518" s="19">
        <f t="shared" si="508"/>
        <v>1.9596820739507315</v>
      </c>
      <c r="L518" s="19">
        <f t="shared" si="509"/>
        <v>22.853481618822116</v>
      </c>
      <c r="M518" s="19">
        <f t="shared" si="510"/>
        <v>22.853481618822116</v>
      </c>
      <c r="N518" s="19">
        <f t="shared" si="511"/>
        <v>22.853481618822116</v>
      </c>
      <c r="O518" s="16"/>
      <c r="P518" s="19">
        <f t="shared" si="512"/>
        <v>38.804883952085547</v>
      </c>
      <c r="Q518" s="19">
        <f t="shared" si="513"/>
        <v>446.52435274497998</v>
      </c>
      <c r="R518" s="19">
        <f t="shared" si="514"/>
        <v>0</v>
      </c>
      <c r="S518" s="19">
        <f t="shared" si="515"/>
        <v>0</v>
      </c>
      <c r="T518" s="19">
        <f t="shared" si="516"/>
        <v>0</v>
      </c>
      <c r="U518" s="16"/>
      <c r="V518" s="19">
        <f t="shared" si="517"/>
        <v>485.32923669706554</v>
      </c>
      <c r="W518" s="16"/>
      <c r="X518" s="19">
        <f t="shared" si="518"/>
        <v>335.96091789705406</v>
      </c>
      <c r="Y518" s="19">
        <f t="shared" si="519"/>
        <v>18.329236697065539</v>
      </c>
      <c r="Z518" s="19"/>
      <c r="AA518" s="19">
        <f t="shared" si="520"/>
        <v>4.5281523250820536E-5</v>
      </c>
    </row>
    <row r="519" spans="2:27" x14ac:dyDescent="0.3">
      <c r="B519" s="27">
        <v>137.1</v>
      </c>
      <c r="C519" s="27">
        <v>520</v>
      </c>
      <c r="D519" s="19">
        <f t="shared" ref="D519:H519" si="541">1/C$23-LN(C$23)+$B519*C$22</f>
        <v>64.847057333301663</v>
      </c>
      <c r="E519" s="19">
        <f t="shared" si="541"/>
        <v>2.635224918963301</v>
      </c>
      <c r="F519" s="19">
        <f t="shared" si="541"/>
        <v>26.012585092994044</v>
      </c>
      <c r="G519" s="19">
        <f t="shared" si="541"/>
        <v>26.012585092994044</v>
      </c>
      <c r="H519" s="19">
        <f t="shared" si="541"/>
        <v>26.012585092994044</v>
      </c>
      <c r="I519" s="16"/>
      <c r="J519" s="19">
        <f t="shared" si="507"/>
        <v>60.740447506142182</v>
      </c>
      <c r="K519" s="19">
        <f t="shared" si="508"/>
        <v>1.9615102213320628</v>
      </c>
      <c r="L519" s="19">
        <f t="shared" si="509"/>
        <v>22.882224697909077</v>
      </c>
      <c r="M519" s="19">
        <f t="shared" si="510"/>
        <v>22.882224697909077</v>
      </c>
      <c r="N519" s="19">
        <f t="shared" si="511"/>
        <v>22.882224697909077</v>
      </c>
      <c r="O519" s="16"/>
      <c r="P519" s="19">
        <f t="shared" si="512"/>
        <v>38.6756764107189</v>
      </c>
      <c r="Q519" s="19">
        <f t="shared" si="513"/>
        <v>445.83280387141411</v>
      </c>
      <c r="R519" s="19">
        <f t="shared" si="514"/>
        <v>0</v>
      </c>
      <c r="S519" s="19">
        <f t="shared" si="515"/>
        <v>0</v>
      </c>
      <c r="T519" s="19">
        <f t="shared" si="516"/>
        <v>0</v>
      </c>
      <c r="U519" s="16"/>
      <c r="V519" s="19">
        <f t="shared" si="517"/>
        <v>484.50848028213301</v>
      </c>
      <c r="W519" s="16"/>
      <c r="X519" s="19">
        <f t="shared" si="518"/>
        <v>1259.6479718837415</v>
      </c>
      <c r="Y519" s="19">
        <f t="shared" si="519"/>
        <v>35.491519717866993</v>
      </c>
      <c r="Z519" s="19"/>
      <c r="AA519" s="19">
        <f t="shared" si="520"/>
        <v>8.7680141943327278E-5</v>
      </c>
    </row>
    <row r="520" spans="2:27" x14ac:dyDescent="0.3">
      <c r="B520" s="27">
        <v>137.4</v>
      </c>
      <c r="C520" s="27">
        <v>477</v>
      </c>
      <c r="D520" s="19">
        <f t="shared" ref="D520:H520" si="542">1/C$23-LN(C$23)+$B520*C$22</f>
        <v>64.950772083499828</v>
      </c>
      <c r="E520" s="19">
        <f t="shared" si="542"/>
        <v>2.637985511058444</v>
      </c>
      <c r="F520" s="19">
        <f t="shared" si="542"/>
        <v>26.042585092994045</v>
      </c>
      <c r="G520" s="19">
        <f t="shared" si="542"/>
        <v>26.042585092994045</v>
      </c>
      <c r="H520" s="19">
        <f t="shared" si="542"/>
        <v>26.042585092994045</v>
      </c>
      <c r="I520" s="16"/>
      <c r="J520" s="19">
        <f t="shared" si="507"/>
        <v>60.842483791959161</v>
      </c>
      <c r="K520" s="19">
        <f t="shared" si="508"/>
        <v>1.9633389442267115</v>
      </c>
      <c r="L520" s="19">
        <f t="shared" si="509"/>
        <v>22.910969288873911</v>
      </c>
      <c r="M520" s="19">
        <f t="shared" si="510"/>
        <v>22.910969288873911</v>
      </c>
      <c r="N520" s="19">
        <f t="shared" si="511"/>
        <v>22.910969288873911</v>
      </c>
      <c r="O520" s="16"/>
      <c r="P520" s="19">
        <f t="shared" si="512"/>
        <v>38.547109649685332</v>
      </c>
      <c r="Q520" s="19">
        <f t="shared" si="513"/>
        <v>445.1426653861605</v>
      </c>
      <c r="R520" s="19">
        <f t="shared" si="514"/>
        <v>0</v>
      </c>
      <c r="S520" s="19">
        <f t="shared" si="515"/>
        <v>0</v>
      </c>
      <c r="T520" s="19">
        <f t="shared" si="516"/>
        <v>0</v>
      </c>
      <c r="U520" s="16"/>
      <c r="V520" s="19">
        <f t="shared" si="517"/>
        <v>483.68977503584586</v>
      </c>
      <c r="W520" s="16"/>
      <c r="X520" s="19">
        <f t="shared" si="518"/>
        <v>44.75309003022641</v>
      </c>
      <c r="Y520" s="19">
        <f t="shared" si="519"/>
        <v>6.6897750358458552</v>
      </c>
      <c r="Z520" s="19"/>
      <c r="AA520" s="19">
        <f t="shared" si="520"/>
        <v>1.6526776801180709E-5</v>
      </c>
    </row>
    <row r="521" spans="2:27" x14ac:dyDescent="0.3">
      <c r="B521" s="27">
        <v>137.69999999999999</v>
      </c>
      <c r="C521" s="27">
        <v>502</v>
      </c>
      <c r="D521" s="19">
        <f t="shared" ref="D521:D531" si="543">1/C$23-LN(C$23)+$B521*C$22</f>
        <v>65.054486833697993</v>
      </c>
      <c r="E521" s="19">
        <f t="shared" ref="E521:E531" si="544">1/D$23-LN(D$23)+$B521*D$22</f>
        <v>2.640746103153587</v>
      </c>
      <c r="F521" s="19">
        <f t="shared" ref="F521:F531" si="545">1/E$23-LN(E$23)+$B521*E$22</f>
        <v>26.072585092994046</v>
      </c>
      <c r="G521" s="19">
        <f t="shared" ref="G521:G531" si="546">1/F$23-LN(F$23)+$B521*F$22</f>
        <v>26.072585092994046</v>
      </c>
      <c r="H521" s="19">
        <f t="shared" ref="H521:H531" si="547">1/G$23-LN(G$23)+$B521*G$22</f>
        <v>26.072585092994046</v>
      </c>
      <c r="I521" s="16"/>
      <c r="J521" s="19">
        <f t="shared" ref="J521:J531" si="548">lmb_2(D521)</f>
        <v>60.944522844894863</v>
      </c>
      <c r="K521" s="19">
        <f t="shared" ref="K521:K531" si="549">lmb_2(E521)</f>
        <v>1.9651682421054215</v>
      </c>
      <c r="L521" s="19">
        <f t="shared" ref="L521:L531" si="550">lmb_2(F521)</f>
        <v>22.93971538816303</v>
      </c>
      <c r="M521" s="19">
        <f t="shared" ref="M521:M531" si="551">lmb_2(G521)</f>
        <v>22.93971538816303</v>
      </c>
      <c r="N521" s="19">
        <f t="shared" ref="N521:N531" si="552">lmb_2(H521)</f>
        <v>22.93971538816303</v>
      </c>
      <c r="O521" s="16"/>
      <c r="P521" s="19">
        <f t="shared" ref="P521:P531" si="553">(C$21*$A$21*C$22)/(J521+J521^2)</f>
        <v>38.419179456044631</v>
      </c>
      <c r="Q521" s="19">
        <f t="shared" ref="Q521:Q531" si="554">($D$21*$A$21*$D$22)/(K521+K521^2)</f>
        <v>444.4539338494132</v>
      </c>
      <c r="R521" s="19">
        <f t="shared" ref="R521:R531" si="555">($E$21*$A$21*$E$22)/(L521+L521^2)</f>
        <v>0</v>
      </c>
      <c r="S521" s="19">
        <f t="shared" ref="S521:S531" si="556">($F$21*$A$21*$F$22)/(M521+M521^2)</f>
        <v>0</v>
      </c>
      <c r="T521" s="19">
        <f t="shared" ref="T521:T531" si="557">($G$21*$A$21*$G$22)/(N521+N521^2)</f>
        <v>0</v>
      </c>
      <c r="U521" s="16"/>
      <c r="V521" s="19">
        <f t="shared" ref="V521:V531" si="558">SUM(P521:T521)</f>
        <v>482.87311330545782</v>
      </c>
      <c r="W521" s="16"/>
      <c r="X521" s="19">
        <f t="shared" ref="X521:X531" si="559">(V521-C521)^2</f>
        <v>365.83779462585466</v>
      </c>
      <c r="Y521" s="19">
        <f t="shared" ref="Y521:Y531" si="560">ABS(V521-C521)</f>
        <v>19.126886694542179</v>
      </c>
      <c r="Z521" s="19"/>
      <c r="AA521" s="19">
        <f t="shared" ref="AA521:AA531" si="561">Y521/$Z$39</f>
        <v>4.72520803178553E-5</v>
      </c>
    </row>
    <row r="522" spans="2:27" x14ac:dyDescent="0.3">
      <c r="B522" s="27">
        <v>138</v>
      </c>
      <c r="C522" s="27">
        <v>486</v>
      </c>
      <c r="D522" s="19">
        <f t="shared" si="543"/>
        <v>65.158201583896158</v>
      </c>
      <c r="E522" s="19">
        <f t="shared" si="544"/>
        <v>2.6435066952487301</v>
      </c>
      <c r="F522" s="19">
        <f t="shared" si="545"/>
        <v>26.102585092994047</v>
      </c>
      <c r="G522" s="19">
        <f t="shared" si="546"/>
        <v>26.102585092994047</v>
      </c>
      <c r="H522" s="19">
        <f t="shared" si="547"/>
        <v>26.102585092994047</v>
      </c>
      <c r="I522" s="16"/>
      <c r="J522" s="19">
        <f t="shared" si="548"/>
        <v>61.046564655915098</v>
      </c>
      <c r="K522" s="19">
        <f t="shared" si="549"/>
        <v>1.9669981144394135</v>
      </c>
      <c r="L522" s="19">
        <f t="shared" si="550"/>
        <v>22.968462992235164</v>
      </c>
      <c r="M522" s="19">
        <f t="shared" si="551"/>
        <v>22.968462992235164</v>
      </c>
      <c r="N522" s="19">
        <f t="shared" si="552"/>
        <v>22.968462992235164</v>
      </c>
      <c r="O522" s="16"/>
      <c r="P522" s="19">
        <f t="shared" si="553"/>
        <v>38.291881651310518</v>
      </c>
      <c r="Q522" s="19">
        <f t="shared" si="554"/>
        <v>443.76660583084509</v>
      </c>
      <c r="R522" s="19">
        <f t="shared" si="555"/>
        <v>0</v>
      </c>
      <c r="S522" s="19">
        <f t="shared" si="556"/>
        <v>0</v>
      </c>
      <c r="T522" s="19">
        <f t="shared" si="557"/>
        <v>0</v>
      </c>
      <c r="U522" s="16"/>
      <c r="V522" s="19">
        <f t="shared" si="558"/>
        <v>482.05848748215561</v>
      </c>
      <c r="W522" s="16"/>
      <c r="X522" s="19">
        <f t="shared" si="559"/>
        <v>15.535520928324001</v>
      </c>
      <c r="Y522" s="19">
        <f t="shared" si="560"/>
        <v>3.9415125178443873</v>
      </c>
      <c r="Z522" s="19"/>
      <c r="AA522" s="19">
        <f t="shared" si="561"/>
        <v>9.7373225994045127E-6</v>
      </c>
    </row>
    <row r="523" spans="2:27" x14ac:dyDescent="0.3">
      <c r="B523" s="27">
        <v>138.19999999999999</v>
      </c>
      <c r="C523" s="27">
        <v>488</v>
      </c>
      <c r="D523" s="19">
        <f t="shared" si="543"/>
        <v>65.227344750694925</v>
      </c>
      <c r="E523" s="19">
        <f t="shared" si="544"/>
        <v>2.6453470899788254</v>
      </c>
      <c r="F523" s="19">
        <f t="shared" si="545"/>
        <v>26.122585092994044</v>
      </c>
      <c r="G523" s="19">
        <f t="shared" si="546"/>
        <v>26.122585092994044</v>
      </c>
      <c r="H523" s="19">
        <f t="shared" si="547"/>
        <v>26.122585092994044</v>
      </c>
      <c r="I523" s="16"/>
      <c r="J523" s="19">
        <f t="shared" si="548"/>
        <v>61.114594057756328</v>
      </c>
      <c r="K523" s="19">
        <f t="shared" si="549"/>
        <v>1.9682183482096567</v>
      </c>
      <c r="L523" s="19">
        <f t="shared" si="550"/>
        <v>22.987628895863928</v>
      </c>
      <c r="M523" s="19">
        <f t="shared" si="551"/>
        <v>22.987628895863928</v>
      </c>
      <c r="N523" s="19">
        <f t="shared" si="552"/>
        <v>22.987628895863928</v>
      </c>
      <c r="O523" s="16"/>
      <c r="P523" s="19">
        <f t="shared" si="553"/>
        <v>38.207365727328906</v>
      </c>
      <c r="Q523" s="19">
        <f t="shared" si="554"/>
        <v>443.30916519441143</v>
      </c>
      <c r="R523" s="19">
        <f t="shared" si="555"/>
        <v>0</v>
      </c>
      <c r="S523" s="19">
        <f t="shared" si="556"/>
        <v>0</v>
      </c>
      <c r="T523" s="19">
        <f t="shared" si="557"/>
        <v>0</v>
      </c>
      <c r="U523" s="16"/>
      <c r="V523" s="19">
        <f t="shared" si="558"/>
        <v>481.51653092174035</v>
      </c>
      <c r="W523" s="16"/>
      <c r="X523" s="19">
        <f t="shared" si="559"/>
        <v>42.035371288748976</v>
      </c>
      <c r="Y523" s="19">
        <f t="shared" si="560"/>
        <v>6.4834690782596454</v>
      </c>
      <c r="Z523" s="19"/>
      <c r="AA523" s="19">
        <f t="shared" si="561"/>
        <v>1.6017107567834054E-5</v>
      </c>
    </row>
    <row r="524" spans="2:27" x14ac:dyDescent="0.3">
      <c r="B524" s="27">
        <v>138.5</v>
      </c>
      <c r="C524" s="27">
        <v>518</v>
      </c>
      <c r="D524" s="19">
        <f t="shared" si="543"/>
        <v>65.331059500893105</v>
      </c>
      <c r="E524" s="19">
        <f t="shared" si="544"/>
        <v>2.6481076820739693</v>
      </c>
      <c r="F524" s="19">
        <f t="shared" si="545"/>
        <v>26.152585092994045</v>
      </c>
      <c r="G524" s="19">
        <f t="shared" si="546"/>
        <v>26.152585092994045</v>
      </c>
      <c r="H524" s="19">
        <f t="shared" si="547"/>
        <v>26.152585092994045</v>
      </c>
      <c r="I524" s="16"/>
      <c r="J524" s="19">
        <f t="shared" si="548"/>
        <v>61.216640445627334</v>
      </c>
      <c r="K524" s="19">
        <f t="shared" si="549"/>
        <v>1.9700491767953563</v>
      </c>
      <c r="L524" s="19">
        <f t="shared" si="550"/>
        <v>23.016379000071566</v>
      </c>
      <c r="M524" s="19">
        <f t="shared" si="551"/>
        <v>23.016379000071566</v>
      </c>
      <c r="N524" s="19">
        <f t="shared" si="552"/>
        <v>23.016379000071566</v>
      </c>
      <c r="O524" s="16"/>
      <c r="P524" s="19">
        <f t="shared" si="553"/>
        <v>38.081112711094278</v>
      </c>
      <c r="Q524" s="19">
        <f t="shared" si="554"/>
        <v>442.62416877551351</v>
      </c>
      <c r="R524" s="19">
        <f t="shared" si="555"/>
        <v>0</v>
      </c>
      <c r="S524" s="19">
        <f t="shared" si="556"/>
        <v>0</v>
      </c>
      <c r="T524" s="19">
        <f t="shared" si="557"/>
        <v>0</v>
      </c>
      <c r="U524" s="16"/>
      <c r="V524" s="19">
        <f t="shared" si="558"/>
        <v>480.70528148660776</v>
      </c>
      <c r="W524" s="16"/>
      <c r="X524" s="19">
        <f t="shared" si="559"/>
        <v>1390.896028993162</v>
      </c>
      <c r="Y524" s="19">
        <f t="shared" si="560"/>
        <v>37.29471851339224</v>
      </c>
      <c r="Z524" s="19"/>
      <c r="AA524" s="19">
        <f t="shared" si="561"/>
        <v>9.2134860354951056E-5</v>
      </c>
    </row>
    <row r="525" spans="2:27" x14ac:dyDescent="0.3">
      <c r="B525" s="27">
        <v>138.79999999999998</v>
      </c>
      <c r="C525" s="27">
        <v>516</v>
      </c>
      <c r="D525" s="19">
        <f t="shared" si="543"/>
        <v>65.434774251091255</v>
      </c>
      <c r="E525" s="19">
        <f t="shared" si="544"/>
        <v>2.6508682741691123</v>
      </c>
      <c r="F525" s="19">
        <f t="shared" si="545"/>
        <v>26.182585092994046</v>
      </c>
      <c r="G525" s="19">
        <f t="shared" si="546"/>
        <v>26.182585092994046</v>
      </c>
      <c r="H525" s="19">
        <f t="shared" si="547"/>
        <v>26.182585092994046</v>
      </c>
      <c r="I525" s="16"/>
      <c r="J525" s="19">
        <f t="shared" si="548"/>
        <v>61.318689567705661</v>
      </c>
      <c r="K525" s="19">
        <f t="shared" si="549"/>
        <v>1.9718805784286011</v>
      </c>
      <c r="L525" s="19">
        <f t="shared" si="550"/>
        <v>23.045130599678654</v>
      </c>
      <c r="M525" s="19">
        <f t="shared" si="551"/>
        <v>23.045130599678654</v>
      </c>
      <c r="N525" s="19">
        <f t="shared" si="552"/>
        <v>23.045130599678654</v>
      </c>
      <c r="O525" s="16"/>
      <c r="P525" s="19">
        <f t="shared" si="553"/>
        <v>37.95548110702974</v>
      </c>
      <c r="Q525" s="19">
        <f t="shared" si="554"/>
        <v>441.94056677338028</v>
      </c>
      <c r="R525" s="19">
        <f t="shared" si="555"/>
        <v>0</v>
      </c>
      <c r="S525" s="19">
        <f t="shared" si="556"/>
        <v>0</v>
      </c>
      <c r="T525" s="19">
        <f t="shared" si="557"/>
        <v>0</v>
      </c>
      <c r="U525" s="16"/>
      <c r="V525" s="19">
        <f t="shared" si="558"/>
        <v>479.89604788041004</v>
      </c>
      <c r="W525" s="16"/>
      <c r="X525" s="19">
        <f t="shared" si="559"/>
        <v>1303.4953586536446</v>
      </c>
      <c r="Y525" s="19">
        <f t="shared" si="560"/>
        <v>36.103952119589962</v>
      </c>
      <c r="Z525" s="19"/>
      <c r="AA525" s="19">
        <f t="shared" si="561"/>
        <v>8.9193127590057143E-5</v>
      </c>
    </row>
    <row r="526" spans="2:27" x14ac:dyDescent="0.3">
      <c r="B526" s="27">
        <v>139.1</v>
      </c>
      <c r="C526" s="27">
        <v>507</v>
      </c>
      <c r="D526" s="19">
        <f t="shared" si="543"/>
        <v>65.538489001289435</v>
      </c>
      <c r="E526" s="19">
        <f t="shared" si="544"/>
        <v>2.6536288662642553</v>
      </c>
      <c r="F526" s="19">
        <f t="shared" si="545"/>
        <v>26.212585092994047</v>
      </c>
      <c r="G526" s="19">
        <f t="shared" si="546"/>
        <v>26.212585092994047</v>
      </c>
      <c r="H526" s="19">
        <f t="shared" si="547"/>
        <v>26.212585092994047</v>
      </c>
      <c r="I526" s="16"/>
      <c r="J526" s="19">
        <f t="shared" si="548"/>
        <v>61.420741415116844</v>
      </c>
      <c r="K526" s="19">
        <f t="shared" si="549"/>
        <v>1.9737125525823678</v>
      </c>
      <c r="L526" s="19">
        <f t="shared" si="550"/>
        <v>23.073883691188634</v>
      </c>
      <c r="M526" s="19">
        <f t="shared" si="551"/>
        <v>23.073883691188634</v>
      </c>
      <c r="N526" s="19">
        <f t="shared" si="552"/>
        <v>23.073883691188634</v>
      </c>
      <c r="O526" s="16"/>
      <c r="P526" s="19">
        <f t="shared" si="553"/>
        <v>37.830466860128865</v>
      </c>
      <c r="Q526" s="19">
        <f t="shared" si="554"/>
        <v>441.25835579219745</v>
      </c>
      <c r="R526" s="19">
        <f t="shared" si="555"/>
        <v>0</v>
      </c>
      <c r="S526" s="19">
        <f t="shared" si="556"/>
        <v>0</v>
      </c>
      <c r="T526" s="19">
        <f t="shared" si="557"/>
        <v>0</v>
      </c>
      <c r="U526" s="16"/>
      <c r="V526" s="19">
        <f t="shared" si="558"/>
        <v>479.08882265232631</v>
      </c>
      <c r="W526" s="16"/>
      <c r="X526" s="19">
        <f t="shared" si="559"/>
        <v>779.03382093329265</v>
      </c>
      <c r="Y526" s="19">
        <f t="shared" si="560"/>
        <v>27.911177347673686</v>
      </c>
      <c r="Z526" s="19"/>
      <c r="AA526" s="19">
        <f t="shared" si="561"/>
        <v>6.8953260133784077E-5</v>
      </c>
    </row>
    <row r="527" spans="2:27" x14ac:dyDescent="0.3">
      <c r="B527" s="27">
        <v>139.4</v>
      </c>
      <c r="C527" s="27">
        <v>455</v>
      </c>
      <c r="D527" s="19">
        <f t="shared" si="543"/>
        <v>65.6422037514876</v>
      </c>
      <c r="E527" s="19">
        <f t="shared" si="544"/>
        <v>2.6563894583593983</v>
      </c>
      <c r="F527" s="19">
        <f t="shared" si="545"/>
        <v>26.242585092994048</v>
      </c>
      <c r="G527" s="19">
        <f t="shared" si="546"/>
        <v>26.242585092994048</v>
      </c>
      <c r="H527" s="19">
        <f t="shared" si="547"/>
        <v>26.242585092994048</v>
      </c>
      <c r="I527" s="16"/>
      <c r="J527" s="19">
        <f t="shared" si="548"/>
        <v>61.52279597902924</v>
      </c>
      <c r="K527" s="19">
        <f t="shared" si="549"/>
        <v>1.9755450987301109</v>
      </c>
      <c r="L527" s="19">
        <f t="shared" si="550"/>
        <v>23.102638271116998</v>
      </c>
      <c r="M527" s="19">
        <f t="shared" si="551"/>
        <v>23.102638271116998</v>
      </c>
      <c r="N527" s="19">
        <f t="shared" si="552"/>
        <v>23.102638271116998</v>
      </c>
      <c r="O527" s="16"/>
      <c r="P527" s="19">
        <f t="shared" si="553"/>
        <v>37.706065948300598</v>
      </c>
      <c r="Q527" s="19">
        <f t="shared" si="554"/>
        <v>440.57753244549809</v>
      </c>
      <c r="R527" s="19">
        <f t="shared" si="555"/>
        <v>0</v>
      </c>
      <c r="S527" s="19">
        <f t="shared" si="556"/>
        <v>0</v>
      </c>
      <c r="T527" s="19">
        <f t="shared" si="557"/>
        <v>0</v>
      </c>
      <c r="U527" s="16"/>
      <c r="V527" s="19">
        <f t="shared" si="558"/>
        <v>478.28359839379868</v>
      </c>
      <c r="W527" s="16"/>
      <c r="X527" s="19">
        <f t="shared" si="559"/>
        <v>542.12595416370471</v>
      </c>
      <c r="Y527" s="19">
        <f t="shared" si="560"/>
        <v>23.283598393798684</v>
      </c>
      <c r="Z527" s="19"/>
      <c r="AA527" s="19">
        <f t="shared" si="561"/>
        <v>5.7521042444738358E-5</v>
      </c>
    </row>
    <row r="528" spans="2:27" x14ac:dyDescent="0.3">
      <c r="B528" s="27">
        <v>139.69999999999999</v>
      </c>
      <c r="C528" s="27">
        <v>521</v>
      </c>
      <c r="D528" s="19">
        <f t="shared" si="543"/>
        <v>65.745918501685765</v>
      </c>
      <c r="E528" s="19">
        <f t="shared" si="544"/>
        <v>2.6591500504545413</v>
      </c>
      <c r="F528" s="19">
        <f t="shared" si="545"/>
        <v>26.272585092994042</v>
      </c>
      <c r="G528" s="19">
        <f t="shared" si="546"/>
        <v>26.272585092994042</v>
      </c>
      <c r="H528" s="19">
        <f t="shared" si="547"/>
        <v>26.272585092994042</v>
      </c>
      <c r="I528" s="16"/>
      <c r="J528" s="19">
        <f t="shared" si="548"/>
        <v>61.624853250653878</v>
      </c>
      <c r="K528" s="19">
        <f t="shared" si="549"/>
        <v>1.9773782163457634</v>
      </c>
      <c r="L528" s="19">
        <f t="shared" si="550"/>
        <v>23.131394335991253</v>
      </c>
      <c r="M528" s="19">
        <f t="shared" si="551"/>
        <v>23.131394335991253</v>
      </c>
      <c r="N528" s="19">
        <f t="shared" si="552"/>
        <v>23.131394335991253</v>
      </c>
      <c r="O528" s="16"/>
      <c r="P528" s="19">
        <f t="shared" si="553"/>
        <v>37.582274382049839</v>
      </c>
      <c r="Q528" s="19">
        <f t="shared" si="554"/>
        <v>439.89809335613489</v>
      </c>
      <c r="R528" s="19">
        <f t="shared" si="555"/>
        <v>0</v>
      </c>
      <c r="S528" s="19">
        <f t="shared" si="556"/>
        <v>0</v>
      </c>
      <c r="T528" s="19">
        <f t="shared" si="557"/>
        <v>0</v>
      </c>
      <c r="U528" s="16"/>
      <c r="V528" s="19">
        <f t="shared" si="558"/>
        <v>477.48036773818473</v>
      </c>
      <c r="W528" s="16"/>
      <c r="X528" s="19">
        <f t="shared" si="559"/>
        <v>1893.9583922036329</v>
      </c>
      <c r="Y528" s="19">
        <f t="shared" si="560"/>
        <v>43.519632261815275</v>
      </c>
      <c r="Z528" s="19"/>
      <c r="AA528" s="19">
        <f t="shared" si="561"/>
        <v>1.0751321905543624E-4</v>
      </c>
    </row>
    <row r="529" spans="2:28" x14ac:dyDescent="0.3">
      <c r="B529" s="27">
        <v>140</v>
      </c>
      <c r="C529" s="27">
        <v>488</v>
      </c>
      <c r="D529" s="19">
        <f t="shared" si="543"/>
        <v>65.84963325188393</v>
      </c>
      <c r="E529" s="19">
        <f t="shared" si="544"/>
        <v>2.6619106425496848</v>
      </c>
      <c r="F529" s="19">
        <f t="shared" si="545"/>
        <v>26.302585092994043</v>
      </c>
      <c r="G529" s="19">
        <f t="shared" si="546"/>
        <v>26.302585092994043</v>
      </c>
      <c r="H529" s="19">
        <f t="shared" si="547"/>
        <v>26.302585092994043</v>
      </c>
      <c r="I529" s="16"/>
      <c r="J529" s="19">
        <f t="shared" si="548"/>
        <v>61.726913221244118</v>
      </c>
      <c r="K529" s="19">
        <f t="shared" si="549"/>
        <v>1.9792119049037371</v>
      </c>
      <c r="L529" s="19">
        <f t="shared" si="550"/>
        <v>23.160151882350871</v>
      </c>
      <c r="M529" s="19">
        <f t="shared" si="551"/>
        <v>23.160151882350871</v>
      </c>
      <c r="N529" s="19">
        <f t="shared" si="552"/>
        <v>23.160151882350871</v>
      </c>
      <c r="O529" s="16"/>
      <c r="P529" s="19">
        <f t="shared" si="553"/>
        <v>37.459088204161951</v>
      </c>
      <c r="Q529" s="19">
        <f t="shared" si="554"/>
        <v>439.22003515625164</v>
      </c>
      <c r="R529" s="19">
        <f t="shared" si="555"/>
        <v>0</v>
      </c>
      <c r="S529" s="19">
        <f t="shared" si="556"/>
        <v>0</v>
      </c>
      <c r="T529" s="19">
        <f t="shared" si="557"/>
        <v>0</v>
      </c>
      <c r="U529" s="16"/>
      <c r="V529" s="19">
        <f t="shared" si="558"/>
        <v>476.6791233604136</v>
      </c>
      <c r="W529" s="16"/>
      <c r="X529" s="19">
        <f t="shared" si="559"/>
        <v>128.16224788873311</v>
      </c>
      <c r="Y529" s="19">
        <f t="shared" si="560"/>
        <v>11.320876639586402</v>
      </c>
      <c r="Z529" s="19"/>
      <c r="AA529" s="19">
        <f t="shared" si="561"/>
        <v>2.7967697032204991E-5</v>
      </c>
    </row>
    <row r="530" spans="2:28" x14ac:dyDescent="0.3">
      <c r="B530" s="27">
        <v>140.19999999999999</v>
      </c>
      <c r="C530" s="27">
        <v>487</v>
      </c>
      <c r="D530" s="19">
        <f t="shared" si="543"/>
        <v>65.918776418682711</v>
      </c>
      <c r="E530" s="19">
        <f t="shared" si="544"/>
        <v>2.6637510372797801</v>
      </c>
      <c r="F530" s="19">
        <f t="shared" si="545"/>
        <v>26.322585092994046</v>
      </c>
      <c r="G530" s="19">
        <f t="shared" si="546"/>
        <v>26.322585092994046</v>
      </c>
      <c r="H530" s="19">
        <f t="shared" si="547"/>
        <v>26.322585092994046</v>
      </c>
      <c r="I530" s="16"/>
      <c r="J530" s="19">
        <f t="shared" si="548"/>
        <v>61.794954696762687</v>
      </c>
      <c r="K530" s="19">
        <f t="shared" si="549"/>
        <v>1.9804346808732312</v>
      </c>
      <c r="L530" s="19">
        <f t="shared" si="550"/>
        <v>23.179324401267849</v>
      </c>
      <c r="M530" s="19">
        <f t="shared" si="551"/>
        <v>23.179324401267849</v>
      </c>
      <c r="N530" s="19">
        <f t="shared" si="552"/>
        <v>23.179324401267849</v>
      </c>
      <c r="O530" s="16"/>
      <c r="P530" s="19">
        <f t="shared" si="553"/>
        <v>37.377298472738794</v>
      </c>
      <c r="Q530" s="19">
        <f t="shared" si="554"/>
        <v>438.76876185820731</v>
      </c>
      <c r="R530" s="19">
        <f t="shared" si="555"/>
        <v>0</v>
      </c>
      <c r="S530" s="19">
        <f t="shared" si="556"/>
        <v>0</v>
      </c>
      <c r="T530" s="19">
        <f t="shared" si="557"/>
        <v>0</v>
      </c>
      <c r="U530" s="16"/>
      <c r="V530" s="19">
        <f t="shared" si="558"/>
        <v>476.14606033094611</v>
      </c>
      <c r="W530" s="16"/>
      <c r="X530" s="19">
        <f t="shared" si="559"/>
        <v>117.80800633946158</v>
      </c>
      <c r="Y530" s="19">
        <f t="shared" si="560"/>
        <v>10.853939669053887</v>
      </c>
      <c r="Z530" s="19"/>
      <c r="AA530" s="19">
        <f t="shared" si="561"/>
        <v>2.6814151053325204E-5</v>
      </c>
    </row>
    <row r="531" spans="2:28" x14ac:dyDescent="0.3">
      <c r="B531" s="27">
        <v>140.5</v>
      </c>
      <c r="C531" s="27">
        <v>487</v>
      </c>
      <c r="D531" s="19">
        <f t="shared" si="543"/>
        <v>66.022491168880862</v>
      </c>
      <c r="E531" s="19">
        <f t="shared" si="544"/>
        <v>2.6665116293749236</v>
      </c>
      <c r="F531" s="19">
        <f t="shared" si="545"/>
        <v>26.352585092994047</v>
      </c>
      <c r="G531" s="19">
        <f t="shared" si="546"/>
        <v>26.352585092994047</v>
      </c>
      <c r="H531" s="19">
        <f t="shared" si="547"/>
        <v>26.352585092994047</v>
      </c>
      <c r="I531" s="16"/>
      <c r="J531" s="19">
        <f t="shared" si="548"/>
        <v>61.897019146306128</v>
      </c>
      <c r="K531" s="19">
        <f t="shared" si="549"/>
        <v>1.9822693198350652</v>
      </c>
      <c r="L531" s="19">
        <f t="shared" si="550"/>
        <v>23.20808440911193</v>
      </c>
      <c r="M531" s="19">
        <f t="shared" si="551"/>
        <v>23.20808440911193</v>
      </c>
      <c r="N531" s="19">
        <f t="shared" si="552"/>
        <v>23.20808440911193</v>
      </c>
      <c r="O531" s="16"/>
      <c r="P531" s="19">
        <f t="shared" si="553"/>
        <v>37.255112568333111</v>
      </c>
      <c r="Q531" s="19">
        <f t="shared" si="554"/>
        <v>438.09299768181467</v>
      </c>
      <c r="R531" s="19">
        <f t="shared" si="555"/>
        <v>0</v>
      </c>
      <c r="S531" s="19">
        <f t="shared" si="556"/>
        <v>0</v>
      </c>
      <c r="T531" s="19">
        <f t="shared" si="557"/>
        <v>0</v>
      </c>
      <c r="U531" s="16"/>
      <c r="V531" s="19">
        <f t="shared" si="558"/>
        <v>475.34811025014778</v>
      </c>
      <c r="W531" s="16"/>
      <c r="X531" s="19">
        <f t="shared" si="559"/>
        <v>135.76653474271114</v>
      </c>
      <c r="Y531" s="19">
        <f t="shared" si="560"/>
        <v>11.651889749852216</v>
      </c>
      <c r="Z531" s="19"/>
      <c r="AA531" s="19">
        <f t="shared" si="561"/>
        <v>2.8785449462191755E-5</v>
      </c>
    </row>
    <row r="532" spans="2:28" x14ac:dyDescent="0.3">
      <c r="B532" s="27">
        <v>140.79999999999998</v>
      </c>
      <c r="C532" s="27">
        <v>484</v>
      </c>
      <c r="D532" s="19">
        <f t="shared" ref="D532" si="562">1/C$23-LN(C$23)+$B532*C$22</f>
        <v>66.126205919079041</v>
      </c>
      <c r="E532" s="19">
        <f t="shared" ref="E532" si="563">1/D$23-LN(D$23)+$B532*D$22</f>
        <v>2.6692722214700666</v>
      </c>
      <c r="F532" s="19">
        <f t="shared" ref="F532" si="564">1/E$23-LN(E$23)+$B532*E$22</f>
        <v>26.382585092994042</v>
      </c>
      <c r="G532" s="19">
        <f t="shared" ref="G532" si="565">1/F$23-LN(F$23)+$B532*F$22</f>
        <v>26.382585092994042</v>
      </c>
      <c r="H532" s="19">
        <f t="shared" ref="H532" si="566">1/G$23-LN(G$23)+$B532*G$22</f>
        <v>26.382585092994042</v>
      </c>
      <c r="I532" s="16"/>
      <c r="J532" s="19">
        <f t="shared" ref="J532" si="567">lmb_2(D532)</f>
        <v>61.999086271695845</v>
      </c>
      <c r="K532" s="19">
        <f t="shared" ref="K532" si="568">lmb_2(E532)</f>
        <v>1.9841045283399894</v>
      </c>
      <c r="L532" s="19">
        <f t="shared" ref="L532" si="569">lmb_2(F532)</f>
        <v>23.236845889271283</v>
      </c>
      <c r="M532" s="19">
        <f t="shared" ref="M532" si="570">lmb_2(G532)</f>
        <v>23.236845889271283</v>
      </c>
      <c r="N532" s="19">
        <f t="shared" ref="N532" si="571">lmb_2(H532)</f>
        <v>23.236845889271283</v>
      </c>
      <c r="O532" s="16"/>
      <c r="P532" s="19">
        <f t="shared" ref="P532" si="572">(C$21*$A$21*C$22)/(J532+J532^2)</f>
        <v>37.133521655170902</v>
      </c>
      <c r="Q532" s="19">
        <f t="shared" ref="Q532" si="573">($D$21*$A$21*$D$22)/(K532+K532^2)</f>
        <v>437.41860545916745</v>
      </c>
      <c r="R532" s="19">
        <f t="shared" ref="R532" si="574">($E$21*$A$21*$E$22)/(L532+L532^2)</f>
        <v>0</v>
      </c>
      <c r="S532" s="19">
        <f t="shared" ref="S532" si="575">($F$21*$A$21*$F$22)/(M532+M532^2)</f>
        <v>0</v>
      </c>
      <c r="T532" s="19">
        <f t="shared" ref="T532" si="576">($G$21*$A$21*$G$22)/(N532+N532^2)</f>
        <v>0</v>
      </c>
      <c r="U532" s="16"/>
      <c r="V532" s="19">
        <f t="shared" ref="V532" si="577">SUM(P532:T532)</f>
        <v>474.55212711433836</v>
      </c>
      <c r="W532" s="16"/>
      <c r="X532" s="19">
        <f t="shared" ref="X532" si="578">(V532-C532)^2</f>
        <v>89.262302063620382</v>
      </c>
      <c r="Y532" s="19">
        <f t="shared" ref="Y532" si="579">ABS(V532-C532)</f>
        <v>9.4478728856616385</v>
      </c>
      <c r="Z532" s="19"/>
      <c r="AA532" s="19">
        <f t="shared" ref="AA532" si="580">Y532/$Z$39</f>
        <v>2.334052873087597E-5</v>
      </c>
    </row>
    <row r="533" spans="2:28" x14ac:dyDescent="0.3">
      <c r="B533" s="27"/>
      <c r="C533" s="27"/>
      <c r="D533" s="19"/>
      <c r="E533" s="19"/>
      <c r="F533" s="19"/>
      <c r="G533" s="19"/>
      <c r="H533" s="19"/>
      <c r="I533" s="16"/>
      <c r="J533" s="19"/>
      <c r="K533" s="19"/>
      <c r="L533" s="19"/>
      <c r="M533" s="19"/>
      <c r="N533" s="19"/>
      <c r="O533" s="16"/>
      <c r="P533" s="19"/>
      <c r="Q533" s="19"/>
      <c r="R533" s="19"/>
      <c r="S533" s="19"/>
      <c r="T533" s="19"/>
      <c r="U533" s="16"/>
      <c r="V533" s="19"/>
      <c r="W533" s="16"/>
      <c r="X533" s="19"/>
      <c r="Y533" s="19"/>
      <c r="Z533" s="19"/>
      <c r="AA533" s="19"/>
    </row>
    <row r="534" spans="2:28" x14ac:dyDescent="0.3">
      <c r="B534" s="27"/>
      <c r="C534" s="27"/>
      <c r="D534" s="19"/>
      <c r="E534" s="19"/>
      <c r="F534" s="19"/>
      <c r="G534" s="19"/>
      <c r="H534" s="19"/>
      <c r="I534" s="16"/>
      <c r="J534" s="19"/>
      <c r="K534" s="19"/>
      <c r="L534" s="19"/>
      <c r="M534" s="19"/>
      <c r="N534" s="19"/>
      <c r="O534" s="16"/>
      <c r="P534" s="19"/>
      <c r="Q534" s="19"/>
      <c r="R534" s="19"/>
      <c r="S534" s="19"/>
      <c r="T534" s="19"/>
      <c r="U534" s="16"/>
      <c r="V534" s="19"/>
      <c r="W534" s="16"/>
      <c r="X534" s="19"/>
      <c r="Y534" s="19"/>
      <c r="Z534" s="19"/>
      <c r="AA534" s="19"/>
    </row>
    <row r="535" spans="2:28" x14ac:dyDescent="0.3">
      <c r="B535" s="27"/>
      <c r="C535" s="27"/>
      <c r="D535" s="19"/>
      <c r="E535" s="19"/>
      <c r="F535" s="19"/>
      <c r="G535" s="19"/>
      <c r="H535" s="19"/>
      <c r="I535" s="16"/>
      <c r="J535" s="19"/>
      <c r="K535" s="19"/>
      <c r="L535" s="19"/>
      <c r="M535" s="19"/>
      <c r="N535" s="19"/>
      <c r="O535" s="16"/>
      <c r="P535" s="19"/>
      <c r="Q535" s="19"/>
      <c r="R535" s="19"/>
      <c r="S535" s="19"/>
      <c r="T535" s="19"/>
      <c r="U535" s="16"/>
      <c r="V535" s="19"/>
      <c r="W535" s="16"/>
      <c r="X535" s="19"/>
      <c r="Y535" s="19"/>
      <c r="Z535" s="19"/>
      <c r="AA535" s="19"/>
    </row>
    <row r="536" spans="2:28" x14ac:dyDescent="0.3">
      <c r="B536" s="27"/>
      <c r="C536" s="27"/>
      <c r="D536" s="19"/>
      <c r="E536" s="19"/>
      <c r="F536" s="19"/>
      <c r="G536" s="19"/>
      <c r="H536" s="19"/>
      <c r="I536" s="16"/>
      <c r="J536" s="19"/>
      <c r="K536" s="19"/>
      <c r="L536" s="19"/>
      <c r="M536" s="19"/>
      <c r="N536" s="19"/>
      <c r="O536" s="16"/>
      <c r="P536" s="19"/>
      <c r="Q536" s="19"/>
      <c r="R536" s="19"/>
      <c r="S536" s="19"/>
      <c r="T536" s="19"/>
      <c r="U536" s="16"/>
      <c r="V536" s="19"/>
      <c r="W536" s="16"/>
      <c r="X536" s="19"/>
      <c r="Y536" s="19"/>
      <c r="Z536" s="19"/>
      <c r="AA536" s="19"/>
    </row>
    <row r="537" spans="2:28" x14ac:dyDescent="0.3">
      <c r="B537" s="27"/>
      <c r="C537" s="27"/>
      <c r="D537" s="19"/>
      <c r="E537" s="19"/>
      <c r="F537" s="19"/>
      <c r="G537" s="19"/>
      <c r="H537" s="19"/>
      <c r="I537" s="16"/>
      <c r="J537" s="19"/>
      <c r="K537" s="19"/>
      <c r="L537" s="19"/>
      <c r="M537" s="19"/>
      <c r="N537" s="19"/>
      <c r="O537" s="16"/>
      <c r="P537" s="19"/>
      <c r="Q537" s="19"/>
      <c r="R537" s="19"/>
      <c r="S537" s="19"/>
      <c r="T537" s="19"/>
      <c r="U537" s="16"/>
      <c r="V537" s="19"/>
      <c r="W537" s="16"/>
      <c r="X537" s="19"/>
      <c r="Y537" s="19"/>
      <c r="Z537" s="19"/>
      <c r="AA537" s="19"/>
      <c r="AB537" s="19"/>
    </row>
    <row r="538" spans="2:28" x14ac:dyDescent="0.3">
      <c r="B538" s="27"/>
      <c r="C538" s="27"/>
      <c r="D538" s="19"/>
      <c r="E538" s="19"/>
      <c r="F538" s="19"/>
      <c r="G538" s="19"/>
      <c r="H538" s="19"/>
      <c r="I538" s="16"/>
      <c r="J538" s="19"/>
      <c r="K538" s="19"/>
      <c r="L538" s="19"/>
      <c r="M538" s="19"/>
      <c r="N538" s="19"/>
      <c r="O538" s="16"/>
      <c r="P538" s="19"/>
      <c r="Q538" s="19"/>
      <c r="R538" s="19"/>
      <c r="S538" s="19"/>
      <c r="T538" s="19"/>
      <c r="U538" s="16"/>
      <c r="V538" s="19"/>
      <c r="W538" s="16"/>
      <c r="X538" s="19"/>
      <c r="Y538" s="19"/>
      <c r="Z538" s="19"/>
      <c r="AA538" s="19"/>
      <c r="AB538" s="19"/>
    </row>
    <row r="539" spans="2:28" x14ac:dyDescent="0.3">
      <c r="B539" s="27"/>
      <c r="C539" s="19"/>
      <c r="D539" s="19"/>
      <c r="E539" s="19"/>
      <c r="F539" s="19"/>
      <c r="G539" s="19"/>
      <c r="H539" s="19"/>
      <c r="I539" s="16"/>
      <c r="J539" s="19"/>
      <c r="K539" s="19"/>
      <c r="L539" s="19"/>
      <c r="M539" s="19"/>
      <c r="N539" s="19"/>
      <c r="O539" s="16"/>
      <c r="P539" s="19"/>
      <c r="Q539" s="19"/>
      <c r="R539" s="19"/>
      <c r="S539" s="19"/>
      <c r="T539" s="19"/>
      <c r="U539" s="16"/>
      <c r="V539" s="19"/>
      <c r="W539" s="16"/>
      <c r="X539" s="19"/>
      <c r="Y539" s="19"/>
      <c r="Z539" s="19"/>
      <c r="AA539" s="19"/>
    </row>
    <row r="540" spans="2:28" x14ac:dyDescent="0.3">
      <c r="B540" s="27"/>
      <c r="C540" s="19"/>
      <c r="D540" s="19"/>
      <c r="E540" s="19"/>
      <c r="F540" s="19"/>
      <c r="G540" s="19"/>
      <c r="H540" s="19"/>
      <c r="I540" s="16"/>
      <c r="J540" s="19"/>
      <c r="K540" s="19"/>
      <c r="L540" s="19"/>
      <c r="M540" s="19"/>
      <c r="N540" s="19"/>
      <c r="O540" s="16"/>
      <c r="P540" s="19"/>
      <c r="Q540" s="19"/>
      <c r="R540" s="19"/>
      <c r="S540" s="19"/>
      <c r="T540" s="19"/>
      <c r="U540" s="16"/>
      <c r="V540" s="19"/>
      <c r="W540" s="16"/>
      <c r="X540" s="19"/>
      <c r="Y540" s="19"/>
      <c r="Z540" s="19"/>
      <c r="AA540" s="19"/>
    </row>
    <row r="541" spans="2:28" x14ac:dyDescent="0.3">
      <c r="B541" s="27"/>
      <c r="C541" s="19"/>
      <c r="D541" s="19"/>
      <c r="E541" s="19"/>
      <c r="F541" s="19"/>
      <c r="G541" s="19"/>
      <c r="H541" s="19"/>
      <c r="I541" s="16"/>
      <c r="J541" s="19"/>
      <c r="K541" s="19"/>
      <c r="L541" s="19"/>
      <c r="M541" s="19"/>
      <c r="N541" s="19"/>
      <c r="O541" s="16"/>
      <c r="P541" s="19"/>
      <c r="Q541" s="19"/>
      <c r="R541" s="19"/>
      <c r="S541" s="19"/>
      <c r="T541" s="19"/>
      <c r="U541" s="16"/>
      <c r="V541" s="19"/>
      <c r="W541" s="16"/>
      <c r="X541" s="19"/>
      <c r="Y541" s="19"/>
      <c r="Z541" s="19"/>
      <c r="AA541" s="19"/>
    </row>
    <row r="542" spans="2:28" x14ac:dyDescent="0.3">
      <c r="B542" s="27"/>
      <c r="C542" s="19"/>
      <c r="D542" s="19"/>
      <c r="E542" s="19"/>
      <c r="F542" s="19"/>
      <c r="G542" s="19"/>
      <c r="H542" s="19"/>
      <c r="I542" s="16"/>
      <c r="J542" s="19"/>
      <c r="K542" s="19"/>
      <c r="L542" s="19"/>
      <c r="M542" s="19"/>
      <c r="N542" s="19"/>
      <c r="O542" s="16"/>
      <c r="P542" s="19"/>
      <c r="Q542" s="19"/>
      <c r="R542" s="19"/>
      <c r="S542" s="19"/>
      <c r="T542" s="19"/>
      <c r="U542" s="16"/>
      <c r="V542" s="19"/>
      <c r="W542" s="16"/>
      <c r="X542" s="19"/>
      <c r="Y542" s="19"/>
      <c r="Z542" s="19"/>
      <c r="AA542" s="19"/>
    </row>
    <row r="543" spans="2:28" x14ac:dyDescent="0.3">
      <c r="B543" s="27"/>
      <c r="C543" s="19"/>
      <c r="D543" s="19"/>
      <c r="E543" s="19"/>
      <c r="F543" s="19"/>
      <c r="G543" s="19"/>
      <c r="H543" s="19"/>
      <c r="I543" s="16"/>
      <c r="J543" s="19"/>
      <c r="K543" s="19"/>
      <c r="L543" s="19"/>
      <c r="M543" s="19"/>
      <c r="N543" s="19"/>
      <c r="O543" s="16"/>
      <c r="P543" s="19"/>
      <c r="Q543" s="19"/>
      <c r="R543" s="19"/>
      <c r="S543" s="19"/>
      <c r="T543" s="19"/>
      <c r="U543" s="16"/>
      <c r="V543" s="19"/>
      <c r="W543" s="16"/>
      <c r="X543" s="19"/>
      <c r="Y543" s="19"/>
      <c r="Z543" s="19"/>
      <c r="AA543" s="19"/>
    </row>
    <row r="544" spans="2:28" x14ac:dyDescent="0.3">
      <c r="B544" s="27"/>
      <c r="C544" s="19"/>
      <c r="D544" s="19"/>
      <c r="E544" s="19"/>
      <c r="F544" s="19"/>
      <c r="G544" s="19"/>
      <c r="H544" s="19"/>
      <c r="I544" s="16"/>
      <c r="J544" s="19"/>
      <c r="K544" s="19"/>
      <c r="L544" s="19"/>
      <c r="M544" s="19"/>
      <c r="N544" s="19"/>
      <c r="O544" s="16"/>
      <c r="P544" s="19"/>
      <c r="Q544" s="19"/>
      <c r="R544" s="19"/>
      <c r="S544" s="19"/>
      <c r="T544" s="19"/>
      <c r="U544" s="16"/>
      <c r="V544" s="19"/>
      <c r="W544" s="16"/>
      <c r="X544" s="19"/>
      <c r="Y544" s="19"/>
      <c r="Z544" s="19"/>
      <c r="AA544" s="19"/>
    </row>
    <row r="545" spans="2:27" x14ac:dyDescent="0.3">
      <c r="B545" s="27"/>
      <c r="C545" s="19"/>
      <c r="D545" s="19"/>
      <c r="E545" s="19"/>
      <c r="F545" s="19"/>
      <c r="G545" s="19"/>
      <c r="H545" s="19"/>
      <c r="I545" s="16"/>
      <c r="J545" s="19"/>
      <c r="K545" s="19"/>
      <c r="L545" s="19"/>
      <c r="M545" s="19"/>
      <c r="N545" s="19"/>
      <c r="O545" s="16"/>
      <c r="P545" s="19"/>
      <c r="Q545" s="19"/>
      <c r="R545" s="19"/>
      <c r="S545" s="19"/>
      <c r="T545" s="19"/>
      <c r="U545" s="16"/>
      <c r="V545" s="19"/>
      <c r="W545" s="16"/>
      <c r="X545" s="19"/>
      <c r="Y545" s="19"/>
      <c r="Z545" s="19"/>
      <c r="AA545" s="19"/>
    </row>
    <row r="546" spans="2:27" x14ac:dyDescent="0.3">
      <c r="B546" s="27"/>
      <c r="C546" s="19"/>
      <c r="D546" s="19"/>
      <c r="E546" s="19"/>
      <c r="F546" s="19"/>
      <c r="G546" s="19"/>
      <c r="H546" s="19"/>
      <c r="I546" s="16"/>
      <c r="J546" s="19"/>
      <c r="K546" s="19"/>
      <c r="L546" s="19"/>
      <c r="M546" s="19"/>
      <c r="N546" s="19"/>
      <c r="O546" s="16"/>
      <c r="P546" s="19"/>
      <c r="Q546" s="19"/>
      <c r="R546" s="19"/>
      <c r="S546" s="19"/>
      <c r="T546" s="19"/>
      <c r="U546" s="16"/>
      <c r="V546" s="19"/>
      <c r="W546" s="16"/>
      <c r="X546" s="19"/>
      <c r="Y546" s="19"/>
      <c r="Z546" s="19"/>
      <c r="AA546" s="19"/>
    </row>
    <row r="547" spans="2:27" x14ac:dyDescent="0.3">
      <c r="B547" s="27"/>
      <c r="C547" s="19"/>
      <c r="D547" s="19"/>
      <c r="E547" s="19"/>
      <c r="F547" s="19"/>
      <c r="G547" s="19"/>
      <c r="H547" s="19"/>
      <c r="I547" s="16"/>
      <c r="J547" s="19"/>
      <c r="K547" s="19"/>
      <c r="L547" s="19"/>
      <c r="M547" s="19"/>
      <c r="N547" s="19"/>
      <c r="O547" s="16"/>
      <c r="P547" s="19"/>
      <c r="Q547" s="19"/>
      <c r="R547" s="19"/>
      <c r="S547" s="19"/>
      <c r="T547" s="19"/>
      <c r="U547" s="16"/>
      <c r="V547" s="19"/>
      <c r="W547" s="16"/>
      <c r="X547" s="19"/>
      <c r="Y547" s="19"/>
      <c r="Z547" s="19"/>
      <c r="AA547" s="19"/>
    </row>
    <row r="548" spans="2:27" x14ac:dyDescent="0.3">
      <c r="B548" s="27"/>
      <c r="C548" s="19"/>
      <c r="D548" s="19"/>
      <c r="E548" s="19"/>
      <c r="F548" s="19"/>
      <c r="G548" s="19"/>
      <c r="H548" s="19"/>
      <c r="I548" s="16"/>
      <c r="J548" s="19"/>
      <c r="K548" s="19"/>
      <c r="L548" s="19"/>
      <c r="M548" s="19"/>
      <c r="N548" s="19"/>
      <c r="O548" s="16"/>
      <c r="P548" s="19"/>
      <c r="Q548" s="19"/>
      <c r="R548" s="19"/>
      <c r="S548" s="19"/>
      <c r="T548" s="19"/>
      <c r="U548" s="16"/>
      <c r="V548" s="19"/>
      <c r="W548" s="16"/>
      <c r="X548" s="19"/>
      <c r="Y548" s="19"/>
      <c r="Z548" s="19"/>
      <c r="AA548" s="19"/>
    </row>
    <row r="549" spans="2:27" x14ac:dyDescent="0.3">
      <c r="B549" s="27"/>
      <c r="C549" s="19"/>
      <c r="D549" s="19"/>
      <c r="E549" s="19"/>
      <c r="F549" s="19"/>
      <c r="G549" s="19"/>
      <c r="H549" s="19"/>
      <c r="I549" s="16"/>
      <c r="J549" s="19"/>
      <c r="K549" s="19"/>
      <c r="L549" s="19"/>
      <c r="M549" s="19"/>
      <c r="N549" s="19"/>
      <c r="O549" s="16"/>
      <c r="P549" s="19"/>
      <c r="Q549" s="19"/>
      <c r="R549" s="19"/>
      <c r="S549" s="19"/>
      <c r="T549" s="19"/>
      <c r="U549" s="16"/>
      <c r="V549" s="19"/>
      <c r="W549" s="16"/>
      <c r="X549" s="19"/>
      <c r="Y549" s="19"/>
      <c r="Z549" s="19"/>
      <c r="AA549" s="19"/>
    </row>
    <row r="550" spans="2:27" x14ac:dyDescent="0.3">
      <c r="B550" s="27"/>
      <c r="C550" s="19"/>
      <c r="D550" s="19"/>
      <c r="E550" s="19"/>
      <c r="F550" s="19"/>
      <c r="G550" s="19"/>
      <c r="H550" s="19"/>
      <c r="I550" s="16"/>
      <c r="J550" s="19"/>
      <c r="K550" s="19"/>
      <c r="L550" s="19"/>
      <c r="M550" s="19"/>
      <c r="N550" s="19"/>
      <c r="O550" s="16"/>
      <c r="P550" s="19"/>
      <c r="Q550" s="19"/>
      <c r="R550" s="19"/>
      <c r="S550" s="19"/>
      <c r="T550" s="19"/>
      <c r="U550" s="16"/>
      <c r="V550" s="19"/>
      <c r="W550" s="16"/>
      <c r="X550" s="19"/>
      <c r="Y550" s="19"/>
      <c r="Z550" s="19"/>
      <c r="AA550" s="19"/>
    </row>
    <row r="551" spans="2:27" x14ac:dyDescent="0.3">
      <c r="B551" s="19"/>
      <c r="C551" s="19"/>
      <c r="D551" s="19"/>
      <c r="E551" s="19"/>
      <c r="F551" s="19"/>
      <c r="G551" s="19"/>
      <c r="H551" s="19"/>
      <c r="I551" s="16"/>
      <c r="J551" s="19"/>
      <c r="K551" s="19"/>
      <c r="L551" s="19"/>
      <c r="M551" s="19"/>
      <c r="N551" s="19"/>
      <c r="O551" s="16"/>
      <c r="P551" s="19"/>
      <c r="Q551" s="19"/>
      <c r="R551" s="19"/>
      <c r="S551" s="19"/>
      <c r="T551" s="19"/>
      <c r="U551" s="16"/>
      <c r="V551" s="19"/>
      <c r="W551" s="16"/>
      <c r="X551" s="19"/>
      <c r="Y551" s="19"/>
      <c r="Z551" s="19"/>
      <c r="AA551" s="19"/>
    </row>
    <row r="552" spans="2:27" x14ac:dyDescent="0.3">
      <c r="B552" s="19"/>
      <c r="C552" s="19"/>
      <c r="D552" s="19"/>
      <c r="E552" s="19"/>
      <c r="F552" s="19"/>
      <c r="G552" s="19"/>
      <c r="H552" s="19"/>
      <c r="I552" s="16"/>
      <c r="J552" s="19"/>
      <c r="K552" s="19"/>
      <c r="L552" s="19"/>
      <c r="M552" s="19"/>
      <c r="N552" s="19"/>
      <c r="O552" s="16"/>
      <c r="P552" s="19"/>
      <c r="Q552" s="19"/>
      <c r="R552" s="19"/>
      <c r="S552" s="19"/>
      <c r="T552" s="19"/>
      <c r="U552" s="16"/>
      <c r="V552" s="19"/>
      <c r="W552" s="16"/>
      <c r="X552" s="19"/>
      <c r="Y552" s="19"/>
      <c r="Z552" s="19"/>
      <c r="AA552" s="19"/>
    </row>
    <row r="553" spans="2:27" x14ac:dyDescent="0.3">
      <c r="B553" s="19"/>
      <c r="C553" s="19"/>
      <c r="D553" s="19"/>
      <c r="E553" s="19"/>
      <c r="F553" s="19"/>
      <c r="G553" s="19"/>
      <c r="H553" s="19"/>
      <c r="I553" s="16"/>
      <c r="J553" s="19"/>
      <c r="K553" s="19"/>
      <c r="L553" s="19"/>
      <c r="M553" s="19"/>
      <c r="N553" s="19"/>
      <c r="O553" s="16"/>
      <c r="P553" s="19"/>
      <c r="Q553" s="19"/>
      <c r="R553" s="19"/>
      <c r="S553" s="19"/>
      <c r="T553" s="19"/>
      <c r="U553" s="16"/>
      <c r="V553" s="19"/>
      <c r="W553" s="16"/>
      <c r="X553" s="19"/>
      <c r="Y553" s="19"/>
      <c r="Z553" s="19"/>
      <c r="AA553" s="19"/>
    </row>
    <row r="554" spans="2:27" x14ac:dyDescent="0.3">
      <c r="B554" s="19"/>
      <c r="C554" s="19"/>
      <c r="D554" s="19"/>
      <c r="E554" s="19"/>
      <c r="F554" s="19"/>
      <c r="G554" s="19"/>
      <c r="H554" s="19"/>
      <c r="I554" s="16"/>
      <c r="J554" s="19"/>
      <c r="K554" s="19"/>
      <c r="L554" s="19"/>
      <c r="M554" s="19"/>
      <c r="N554" s="19"/>
      <c r="O554" s="16"/>
      <c r="P554" s="19"/>
      <c r="Q554" s="19"/>
      <c r="R554" s="19"/>
      <c r="S554" s="19"/>
      <c r="T554" s="19"/>
      <c r="U554" s="16"/>
      <c r="V554" s="19"/>
      <c r="W554" s="16"/>
      <c r="X554" s="19"/>
      <c r="Y554" s="19"/>
      <c r="Z554" s="19"/>
      <c r="AA554" s="19"/>
    </row>
    <row r="555" spans="2:27" x14ac:dyDescent="0.3">
      <c r="B555" s="19"/>
      <c r="C555" s="19"/>
      <c r="D555" s="19"/>
      <c r="E555" s="19"/>
      <c r="F555" s="19"/>
      <c r="G555" s="19"/>
      <c r="H555" s="19"/>
      <c r="I555" s="16"/>
      <c r="J555" s="19"/>
      <c r="K555" s="19"/>
      <c r="L555" s="19"/>
      <c r="M555" s="19"/>
      <c r="N555" s="19"/>
      <c r="O555" s="16"/>
      <c r="P555" s="19"/>
      <c r="Q555" s="19"/>
      <c r="R555" s="19"/>
      <c r="S555" s="19"/>
      <c r="T555" s="19"/>
      <c r="U555" s="16"/>
      <c r="V555" s="19"/>
      <c r="W555" s="16"/>
      <c r="X555" s="19"/>
      <c r="Y555" s="19"/>
      <c r="Z555" s="19"/>
      <c r="AA555" s="19"/>
    </row>
    <row r="556" spans="2:27" x14ac:dyDescent="0.3">
      <c r="B556" s="19"/>
      <c r="C556" s="19"/>
      <c r="D556" s="19"/>
      <c r="E556" s="19"/>
      <c r="F556" s="19"/>
      <c r="G556" s="19"/>
      <c r="H556" s="19"/>
      <c r="I556" s="16"/>
      <c r="J556" s="19"/>
      <c r="K556" s="19"/>
      <c r="L556" s="19"/>
      <c r="M556" s="19"/>
      <c r="N556" s="19"/>
      <c r="O556" s="16"/>
      <c r="P556" s="19"/>
      <c r="Q556" s="19"/>
      <c r="R556" s="19"/>
      <c r="S556" s="19"/>
      <c r="T556" s="19"/>
      <c r="U556" s="16"/>
      <c r="V556" s="19"/>
      <c r="W556" s="16"/>
      <c r="X556" s="19"/>
      <c r="Y556" s="19"/>
      <c r="Z556" s="19"/>
      <c r="AA556" s="19"/>
    </row>
    <row r="557" spans="2:27" x14ac:dyDescent="0.3">
      <c r="B557" s="19"/>
      <c r="C557" s="19"/>
      <c r="D557" s="19"/>
      <c r="E557" s="19"/>
      <c r="F557" s="19"/>
      <c r="G557" s="19"/>
      <c r="H557" s="19"/>
      <c r="I557" s="16"/>
      <c r="J557" s="19"/>
      <c r="K557" s="19"/>
      <c r="L557" s="19"/>
      <c r="M557" s="19"/>
      <c r="N557" s="19"/>
      <c r="O557" s="16"/>
      <c r="P557" s="19"/>
      <c r="Q557" s="19"/>
      <c r="R557" s="19"/>
      <c r="S557" s="19"/>
      <c r="T557" s="19"/>
      <c r="U557" s="16"/>
      <c r="V557" s="19"/>
      <c r="W557" s="16"/>
      <c r="X557" s="19"/>
      <c r="Y557" s="19"/>
      <c r="Z557" s="19"/>
      <c r="AA557" s="19"/>
    </row>
    <row r="558" spans="2:27" x14ac:dyDescent="0.3">
      <c r="B558" s="19"/>
      <c r="C558" s="19"/>
      <c r="D558" s="19"/>
      <c r="E558" s="19"/>
      <c r="F558" s="19"/>
      <c r="G558" s="19"/>
      <c r="H558" s="19"/>
      <c r="I558" s="16"/>
      <c r="J558" s="19"/>
      <c r="K558" s="19"/>
      <c r="L558" s="19"/>
      <c r="M558" s="19"/>
      <c r="N558" s="19"/>
      <c r="O558" s="16"/>
      <c r="P558" s="19"/>
      <c r="Q558" s="19"/>
      <c r="R558" s="19"/>
      <c r="S558" s="19"/>
      <c r="T558" s="19"/>
      <c r="U558" s="16"/>
      <c r="V558" s="19"/>
      <c r="W558" s="16"/>
      <c r="X558" s="19"/>
      <c r="Y558" s="19"/>
      <c r="Z558" s="19"/>
      <c r="AA558" s="19"/>
    </row>
    <row r="559" spans="2:27" x14ac:dyDescent="0.3">
      <c r="B559" s="19"/>
      <c r="C559" s="19"/>
      <c r="D559" s="19"/>
      <c r="E559" s="19"/>
      <c r="F559" s="19"/>
      <c r="G559" s="19"/>
      <c r="H559" s="19"/>
      <c r="I559" s="16"/>
      <c r="J559" s="19"/>
      <c r="K559" s="19"/>
      <c r="L559" s="19"/>
      <c r="M559" s="19"/>
      <c r="N559" s="19"/>
      <c r="O559" s="16"/>
      <c r="P559" s="19"/>
      <c r="Q559" s="19"/>
      <c r="R559" s="19"/>
      <c r="S559" s="19"/>
      <c r="T559" s="19"/>
      <c r="U559" s="16"/>
      <c r="V559" s="19"/>
      <c r="W559" s="16"/>
      <c r="X559" s="19"/>
      <c r="Y559" s="19"/>
      <c r="Z559" s="19"/>
      <c r="AA559" s="19"/>
    </row>
    <row r="560" spans="2:27" x14ac:dyDescent="0.3">
      <c r="B560" s="19"/>
      <c r="C560" s="19"/>
      <c r="D560" s="19"/>
      <c r="E560" s="19"/>
      <c r="F560" s="19"/>
      <c r="G560" s="19"/>
      <c r="H560" s="19"/>
      <c r="I560" s="16"/>
      <c r="J560" s="19"/>
      <c r="K560" s="19"/>
      <c r="L560" s="19"/>
      <c r="M560" s="19"/>
      <c r="N560" s="19"/>
      <c r="O560" s="16"/>
      <c r="P560" s="19"/>
      <c r="Q560" s="19"/>
      <c r="R560" s="19"/>
      <c r="S560" s="19"/>
      <c r="T560" s="19"/>
      <c r="U560" s="16"/>
      <c r="V560" s="19"/>
      <c r="W560" s="16"/>
      <c r="X560" s="19"/>
      <c r="Y560" s="19"/>
      <c r="Z560" s="19"/>
      <c r="AA560" s="19"/>
    </row>
    <row r="561" spans="2:27" x14ac:dyDescent="0.3">
      <c r="B561" s="19"/>
      <c r="C561" s="19"/>
      <c r="D561" s="19"/>
      <c r="E561" s="19"/>
      <c r="F561" s="19"/>
      <c r="G561" s="19"/>
      <c r="H561" s="19"/>
      <c r="I561" s="16"/>
      <c r="J561" s="19"/>
      <c r="K561" s="19"/>
      <c r="L561" s="19"/>
      <c r="M561" s="19"/>
      <c r="N561" s="19"/>
      <c r="O561" s="16"/>
      <c r="P561" s="19"/>
      <c r="Q561" s="19"/>
      <c r="R561" s="19"/>
      <c r="S561" s="19"/>
      <c r="T561" s="19"/>
      <c r="U561" s="16"/>
      <c r="V561" s="19"/>
      <c r="W561" s="16"/>
      <c r="X561" s="19"/>
      <c r="Y561" s="19"/>
      <c r="Z561" s="19"/>
      <c r="AA561" s="19"/>
    </row>
    <row r="562" spans="2:27" x14ac:dyDescent="0.3">
      <c r="B562" s="19"/>
      <c r="C562" s="19"/>
      <c r="D562" s="19"/>
      <c r="E562" s="19"/>
      <c r="F562" s="19"/>
      <c r="G562" s="19"/>
      <c r="H562" s="19"/>
      <c r="I562" s="16"/>
      <c r="J562" s="19"/>
      <c r="K562" s="19"/>
      <c r="L562" s="19"/>
      <c r="M562" s="19"/>
      <c r="N562" s="19"/>
      <c r="O562" s="16"/>
      <c r="P562" s="19"/>
      <c r="Q562" s="19"/>
      <c r="R562" s="19"/>
      <c r="S562" s="19"/>
      <c r="T562" s="19"/>
      <c r="U562" s="16"/>
      <c r="V562" s="19"/>
      <c r="W562" s="16"/>
      <c r="X562" s="19"/>
      <c r="Y562" s="19"/>
      <c r="Z562" s="19"/>
      <c r="AA562" s="19"/>
    </row>
    <row r="563" spans="2:27" x14ac:dyDescent="0.3">
      <c r="B563" s="19"/>
      <c r="C563" s="19"/>
      <c r="D563" s="19"/>
      <c r="E563" s="19"/>
      <c r="F563" s="19"/>
      <c r="G563" s="19"/>
      <c r="H563" s="19"/>
      <c r="I563" s="16"/>
      <c r="J563" s="19"/>
      <c r="K563" s="19"/>
      <c r="L563" s="19"/>
      <c r="M563" s="19"/>
      <c r="N563" s="19"/>
      <c r="O563" s="16"/>
      <c r="P563" s="19"/>
      <c r="Q563" s="19"/>
      <c r="R563" s="19"/>
      <c r="S563" s="19"/>
      <c r="T563" s="19"/>
      <c r="U563" s="16"/>
      <c r="V563" s="19"/>
      <c r="W563" s="16"/>
      <c r="X563" s="19"/>
      <c r="Y563" s="19"/>
      <c r="Z563" s="19"/>
      <c r="AA563" s="19"/>
    </row>
    <row r="564" spans="2:27" x14ac:dyDescent="0.3">
      <c r="B564" s="19"/>
      <c r="C564" s="19"/>
      <c r="D564" s="19"/>
      <c r="E564" s="19"/>
      <c r="F564" s="19"/>
      <c r="G564" s="19"/>
      <c r="H564" s="19"/>
      <c r="I564" s="16"/>
      <c r="J564" s="19"/>
      <c r="K564" s="19"/>
      <c r="L564" s="19"/>
      <c r="M564" s="19"/>
      <c r="N564" s="19"/>
      <c r="O564" s="16"/>
      <c r="P564" s="19"/>
      <c r="Q564" s="19"/>
      <c r="R564" s="19"/>
      <c r="S564" s="19"/>
      <c r="T564" s="19"/>
      <c r="U564" s="16"/>
      <c r="V564" s="19"/>
      <c r="W564" s="16"/>
      <c r="X564" s="19"/>
      <c r="Y564" s="19"/>
      <c r="Z564" s="19"/>
      <c r="AA564" s="19"/>
    </row>
    <row r="565" spans="2:27" x14ac:dyDescent="0.3">
      <c r="B565" s="19"/>
      <c r="C565" s="19"/>
      <c r="D565" s="19"/>
      <c r="E565" s="19"/>
      <c r="F565" s="19"/>
      <c r="G565" s="19"/>
      <c r="H565" s="19"/>
      <c r="I565" s="16"/>
      <c r="J565" s="19"/>
      <c r="K565" s="19"/>
      <c r="L565" s="19"/>
      <c r="M565" s="19"/>
      <c r="N565" s="19"/>
      <c r="O565" s="16"/>
      <c r="P565" s="19"/>
      <c r="Q565" s="19"/>
      <c r="R565" s="19"/>
      <c r="S565" s="19"/>
      <c r="T565" s="19"/>
      <c r="U565" s="16"/>
      <c r="V565" s="19"/>
      <c r="W565" s="16"/>
      <c r="X565" s="19"/>
      <c r="Y565" s="19"/>
      <c r="Z565" s="19"/>
      <c r="AA565" s="19"/>
    </row>
    <row r="566" spans="2:27" x14ac:dyDescent="0.3">
      <c r="B566" s="19"/>
      <c r="C566" s="19"/>
      <c r="D566" s="19"/>
      <c r="E566" s="19"/>
      <c r="F566" s="19"/>
      <c r="G566" s="19"/>
      <c r="H566" s="19"/>
      <c r="I566" s="16"/>
      <c r="J566" s="19"/>
      <c r="K566" s="19"/>
      <c r="L566" s="19"/>
      <c r="M566" s="19"/>
      <c r="N566" s="19"/>
      <c r="O566" s="16"/>
      <c r="P566" s="19"/>
      <c r="Q566" s="19"/>
      <c r="R566" s="19"/>
      <c r="S566" s="19"/>
      <c r="T566" s="19"/>
      <c r="U566" s="16"/>
      <c r="V566" s="19"/>
      <c r="W566" s="16"/>
      <c r="X566" s="19"/>
      <c r="Y566" s="19"/>
      <c r="Z566" s="19"/>
      <c r="AA566" s="19"/>
    </row>
    <row r="567" spans="2:27" x14ac:dyDescent="0.3">
      <c r="B567" s="19"/>
      <c r="C567" s="19"/>
      <c r="D567" s="19"/>
      <c r="E567" s="19"/>
      <c r="F567" s="19"/>
      <c r="G567" s="19"/>
      <c r="H567" s="19"/>
      <c r="I567" s="16"/>
      <c r="J567" s="19"/>
      <c r="K567" s="19"/>
      <c r="L567" s="19"/>
      <c r="M567" s="19"/>
      <c r="N567" s="19"/>
      <c r="O567" s="16"/>
      <c r="P567" s="19"/>
      <c r="Q567" s="19"/>
      <c r="R567" s="19"/>
      <c r="S567" s="19"/>
      <c r="T567" s="19"/>
      <c r="U567" s="16"/>
      <c r="V567" s="19"/>
      <c r="W567" s="16"/>
      <c r="X567" s="19"/>
      <c r="Y567" s="19"/>
      <c r="Z567" s="19"/>
      <c r="AA567" s="19"/>
    </row>
    <row r="568" spans="2:27" x14ac:dyDescent="0.3">
      <c r="B568" s="19"/>
      <c r="C568" s="19"/>
      <c r="D568" s="19"/>
      <c r="E568" s="19"/>
      <c r="F568" s="19"/>
      <c r="G568" s="19"/>
      <c r="H568" s="19"/>
      <c r="I568" s="16"/>
      <c r="J568" s="19"/>
      <c r="K568" s="19"/>
      <c r="L568" s="19"/>
      <c r="M568" s="19"/>
      <c r="N568" s="19"/>
      <c r="O568" s="16"/>
      <c r="P568" s="19"/>
      <c r="Q568" s="19"/>
      <c r="R568" s="19"/>
      <c r="S568" s="19"/>
      <c r="T568" s="19"/>
      <c r="U568" s="16"/>
      <c r="V568" s="19"/>
      <c r="W568" s="16"/>
      <c r="X568" s="19"/>
      <c r="Y568" s="19"/>
      <c r="Z568" s="19"/>
      <c r="AA568" s="19"/>
    </row>
    <row r="569" spans="2:27" x14ac:dyDescent="0.3">
      <c r="B569" s="19"/>
      <c r="C569" s="19"/>
      <c r="D569" s="19"/>
      <c r="E569" s="19"/>
      <c r="F569" s="19"/>
      <c r="G569" s="19"/>
      <c r="H569" s="19"/>
      <c r="I569" s="16"/>
      <c r="J569" s="19"/>
      <c r="K569" s="19"/>
      <c r="L569" s="19"/>
      <c r="M569" s="19"/>
      <c r="N569" s="19"/>
      <c r="O569" s="16"/>
      <c r="P569" s="19"/>
      <c r="Q569" s="19"/>
      <c r="R569" s="19"/>
      <c r="S569" s="19"/>
      <c r="T569" s="19"/>
      <c r="U569" s="16"/>
      <c r="V569" s="19"/>
      <c r="W569" s="16"/>
      <c r="X569" s="19"/>
      <c r="Y569" s="19"/>
      <c r="Z569" s="19"/>
      <c r="AA569" s="19"/>
    </row>
    <row r="570" spans="2:27" x14ac:dyDescent="0.3">
      <c r="B570" s="19"/>
      <c r="C570" s="19"/>
      <c r="D570" s="19"/>
      <c r="E570" s="19"/>
      <c r="F570" s="19"/>
      <c r="G570" s="19"/>
      <c r="H570" s="19"/>
      <c r="I570" s="16"/>
      <c r="J570" s="19"/>
      <c r="K570" s="19"/>
      <c r="L570" s="19"/>
      <c r="M570" s="19"/>
      <c r="N570" s="19"/>
      <c r="O570" s="16"/>
      <c r="P570" s="19"/>
      <c r="Q570" s="19"/>
      <c r="R570" s="19"/>
      <c r="S570" s="19"/>
      <c r="T570" s="19"/>
      <c r="U570" s="16"/>
      <c r="V570" s="19"/>
      <c r="W570" s="16"/>
      <c r="X570" s="19"/>
      <c r="Y570" s="19"/>
      <c r="Z570" s="19"/>
      <c r="AA570" s="19"/>
    </row>
    <row r="571" spans="2:27" x14ac:dyDescent="0.3">
      <c r="B571" s="19"/>
      <c r="C571" s="19"/>
      <c r="D571" s="19"/>
      <c r="E571" s="19"/>
      <c r="F571" s="19"/>
      <c r="G571" s="19"/>
      <c r="H571" s="19"/>
      <c r="I571" s="16"/>
      <c r="J571" s="19"/>
      <c r="K571" s="19"/>
      <c r="L571" s="19"/>
      <c r="M571" s="19"/>
      <c r="N571" s="19"/>
      <c r="O571" s="16"/>
      <c r="P571" s="19"/>
      <c r="Q571" s="19"/>
      <c r="R571" s="19"/>
      <c r="S571" s="19"/>
      <c r="T571" s="19"/>
      <c r="U571" s="16"/>
      <c r="V571" s="19"/>
      <c r="W571" s="16"/>
      <c r="X571" s="19"/>
      <c r="Y571" s="19"/>
      <c r="Z571" s="19"/>
      <c r="AA571" s="19"/>
    </row>
    <row r="572" spans="2:27" x14ac:dyDescent="0.3">
      <c r="B572" s="19"/>
      <c r="C572" s="19"/>
      <c r="D572" s="19"/>
      <c r="E572" s="19"/>
      <c r="F572" s="19"/>
      <c r="G572" s="19"/>
      <c r="H572" s="19"/>
      <c r="I572" s="16"/>
      <c r="J572" s="19"/>
      <c r="K572" s="19"/>
      <c r="L572" s="19"/>
      <c r="M572" s="19"/>
      <c r="N572" s="19"/>
      <c r="O572" s="16"/>
      <c r="P572" s="19"/>
      <c r="Q572" s="19"/>
      <c r="R572" s="19"/>
      <c r="S572" s="19"/>
      <c r="T572" s="19"/>
      <c r="U572" s="16"/>
      <c r="V572" s="19"/>
      <c r="W572" s="16"/>
      <c r="X572" s="19"/>
      <c r="Y572" s="19"/>
      <c r="Z572" s="19"/>
      <c r="AA572" s="19"/>
    </row>
    <row r="573" spans="2:27" x14ac:dyDescent="0.3">
      <c r="B573" s="19"/>
      <c r="C573" s="19"/>
      <c r="D573" s="19"/>
      <c r="E573" s="19"/>
      <c r="F573" s="19"/>
      <c r="G573" s="19"/>
      <c r="H573" s="19"/>
      <c r="I573" s="16"/>
      <c r="J573" s="19"/>
      <c r="K573" s="19"/>
      <c r="L573" s="19"/>
      <c r="M573" s="19"/>
      <c r="N573" s="19"/>
      <c r="O573" s="16"/>
      <c r="P573" s="19"/>
      <c r="Q573" s="19"/>
      <c r="R573" s="19"/>
      <c r="S573" s="19"/>
      <c r="T573" s="19"/>
      <c r="U573" s="16"/>
      <c r="V573" s="19"/>
      <c r="W573" s="16"/>
      <c r="X573" s="19"/>
      <c r="Y573" s="19"/>
      <c r="Z573" s="19"/>
      <c r="AA573" s="19"/>
    </row>
    <row r="574" spans="2:27" x14ac:dyDescent="0.3">
      <c r="B574" s="19"/>
      <c r="C574" s="19"/>
      <c r="D574" s="19"/>
      <c r="E574" s="19"/>
      <c r="F574" s="19"/>
      <c r="G574" s="19"/>
      <c r="H574" s="19"/>
      <c r="I574" s="16"/>
      <c r="J574" s="19"/>
      <c r="K574" s="19"/>
      <c r="L574" s="19"/>
      <c r="M574" s="19"/>
      <c r="N574" s="19"/>
      <c r="O574" s="16"/>
      <c r="P574" s="19"/>
      <c r="Q574" s="19"/>
      <c r="R574" s="19"/>
      <c r="S574" s="19"/>
      <c r="T574" s="19"/>
      <c r="U574" s="16"/>
      <c r="V574" s="19"/>
      <c r="W574" s="16"/>
      <c r="X574" s="19"/>
      <c r="Y574" s="19"/>
      <c r="Z574" s="19"/>
      <c r="AA574" s="19"/>
    </row>
    <row r="575" spans="2:27" x14ac:dyDescent="0.3">
      <c r="B575" s="19"/>
      <c r="C575" s="19"/>
      <c r="D575" s="19"/>
      <c r="E575" s="19"/>
      <c r="F575" s="19"/>
      <c r="G575" s="19"/>
      <c r="H575" s="19"/>
      <c r="I575" s="16"/>
      <c r="J575" s="19"/>
      <c r="K575" s="19"/>
      <c r="L575" s="19"/>
      <c r="M575" s="19"/>
      <c r="N575" s="19"/>
      <c r="O575" s="16"/>
      <c r="P575" s="19"/>
      <c r="Q575" s="19"/>
      <c r="R575" s="19"/>
      <c r="S575" s="19"/>
      <c r="T575" s="19"/>
      <c r="U575" s="16"/>
      <c r="V575" s="19"/>
      <c r="W575" s="16"/>
      <c r="X575" s="19"/>
      <c r="Y575" s="19"/>
      <c r="Z575" s="19"/>
      <c r="AA575" s="19"/>
    </row>
    <row r="576" spans="2:27" x14ac:dyDescent="0.3">
      <c r="B576" s="19"/>
      <c r="C576" s="19"/>
      <c r="D576" s="19"/>
      <c r="E576" s="19"/>
      <c r="F576" s="19"/>
      <c r="G576" s="19"/>
      <c r="H576" s="19"/>
      <c r="I576" s="16"/>
      <c r="J576" s="19"/>
      <c r="K576" s="19"/>
      <c r="L576" s="19"/>
      <c r="M576" s="19"/>
      <c r="N576" s="19"/>
      <c r="O576" s="16"/>
      <c r="P576" s="19"/>
      <c r="Q576" s="19"/>
      <c r="R576" s="19"/>
      <c r="S576" s="19"/>
      <c r="T576" s="19"/>
      <c r="U576" s="16"/>
      <c r="V576" s="19"/>
      <c r="W576" s="16"/>
      <c r="X576" s="19"/>
      <c r="Y576" s="19"/>
      <c r="Z576" s="19"/>
      <c r="AA576" s="19"/>
    </row>
    <row r="577" spans="2:27" x14ac:dyDescent="0.3">
      <c r="B577" s="19"/>
      <c r="C577" s="19"/>
      <c r="D577" s="19"/>
      <c r="E577" s="19"/>
      <c r="F577" s="19"/>
      <c r="G577" s="19"/>
      <c r="H577" s="19"/>
      <c r="I577" s="16"/>
      <c r="J577" s="19"/>
      <c r="K577" s="19"/>
      <c r="L577" s="19"/>
      <c r="M577" s="19"/>
      <c r="N577" s="19"/>
      <c r="O577" s="16"/>
      <c r="P577" s="19"/>
      <c r="Q577" s="19"/>
      <c r="R577" s="19"/>
      <c r="S577" s="19"/>
      <c r="T577" s="19"/>
      <c r="U577" s="16"/>
      <c r="V577" s="19"/>
      <c r="W577" s="16"/>
      <c r="X577" s="19"/>
      <c r="Y577" s="19"/>
      <c r="Z577" s="19"/>
      <c r="AA577" s="19"/>
    </row>
    <row r="578" spans="2:27" x14ac:dyDescent="0.3">
      <c r="B578" s="19"/>
      <c r="C578" s="19"/>
      <c r="D578" s="19"/>
      <c r="E578" s="19"/>
      <c r="F578" s="19"/>
      <c r="G578" s="19"/>
      <c r="H578" s="19"/>
      <c r="I578" s="16"/>
      <c r="J578" s="19"/>
      <c r="K578" s="19"/>
      <c r="L578" s="19"/>
      <c r="M578" s="19"/>
      <c r="N578" s="19"/>
      <c r="O578" s="16"/>
      <c r="P578" s="19"/>
      <c r="Q578" s="19"/>
      <c r="R578" s="19"/>
      <c r="S578" s="19"/>
      <c r="T578" s="19"/>
      <c r="U578" s="16"/>
      <c r="V578" s="19"/>
      <c r="W578" s="16"/>
      <c r="X578" s="19"/>
      <c r="Y578" s="19"/>
      <c r="Z578" s="19"/>
      <c r="AA578" s="19"/>
    </row>
    <row r="579" spans="2:27" x14ac:dyDescent="0.3">
      <c r="B579" s="19"/>
      <c r="C579" s="19"/>
      <c r="D579" s="19"/>
      <c r="E579" s="19"/>
      <c r="F579" s="19"/>
      <c r="G579" s="19"/>
      <c r="H579" s="19"/>
      <c r="I579" s="16"/>
      <c r="J579" s="19"/>
      <c r="K579" s="19"/>
      <c r="L579" s="19"/>
      <c r="M579" s="19"/>
      <c r="N579" s="19"/>
      <c r="O579" s="16"/>
      <c r="P579" s="19"/>
      <c r="Q579" s="19"/>
      <c r="R579" s="19"/>
      <c r="S579" s="19"/>
      <c r="T579" s="19"/>
      <c r="U579" s="16"/>
      <c r="V579" s="19"/>
      <c r="W579" s="16"/>
      <c r="X579" s="19"/>
      <c r="Y579" s="19"/>
      <c r="Z579" s="19"/>
      <c r="AA579" s="19"/>
    </row>
    <row r="580" spans="2:27" x14ac:dyDescent="0.3">
      <c r="B580" s="19"/>
      <c r="C580" s="19"/>
      <c r="D580" s="19"/>
      <c r="E580" s="19"/>
      <c r="F580" s="19"/>
      <c r="G580" s="19"/>
      <c r="H580" s="19"/>
      <c r="I580" s="16"/>
      <c r="J580" s="19"/>
      <c r="K580" s="19"/>
      <c r="L580" s="19"/>
      <c r="M580" s="19"/>
      <c r="N580" s="19"/>
      <c r="O580" s="16"/>
      <c r="P580" s="19"/>
      <c r="Q580" s="19"/>
      <c r="R580" s="19"/>
      <c r="S580" s="19"/>
      <c r="T580" s="19"/>
      <c r="U580" s="16"/>
      <c r="V580" s="19"/>
      <c r="W580" s="16"/>
      <c r="X580" s="19"/>
      <c r="Y580" s="19"/>
      <c r="Z580" s="19"/>
      <c r="AA580" s="19"/>
    </row>
    <row r="581" spans="2:27" x14ac:dyDescent="0.3">
      <c r="B581" s="19"/>
      <c r="C581" s="19"/>
      <c r="D581" s="19"/>
      <c r="E581" s="19"/>
      <c r="F581" s="19"/>
      <c r="G581" s="19"/>
      <c r="H581" s="19"/>
      <c r="I581" s="16"/>
      <c r="J581" s="19"/>
      <c r="K581" s="19"/>
      <c r="L581" s="19"/>
      <c r="M581" s="19"/>
      <c r="N581" s="19"/>
      <c r="O581" s="16"/>
      <c r="P581" s="19"/>
      <c r="Q581" s="19"/>
      <c r="R581" s="19"/>
      <c r="S581" s="19"/>
      <c r="T581" s="19"/>
      <c r="U581" s="16"/>
      <c r="V581" s="19"/>
      <c r="W581" s="16"/>
      <c r="X581" s="19"/>
      <c r="Y581" s="19"/>
      <c r="Z581" s="19"/>
      <c r="AA581" s="19"/>
    </row>
    <row r="582" spans="2:27" x14ac:dyDescent="0.3">
      <c r="B582" s="19"/>
      <c r="C582" s="19"/>
      <c r="D582" s="19"/>
      <c r="E582" s="19"/>
      <c r="F582" s="19"/>
      <c r="G582" s="19"/>
      <c r="H582" s="19"/>
      <c r="I582" s="16"/>
      <c r="J582" s="19"/>
      <c r="K582" s="19"/>
      <c r="L582" s="19"/>
      <c r="M582" s="19"/>
      <c r="N582" s="19"/>
      <c r="O582" s="16"/>
      <c r="P582" s="19"/>
      <c r="Q582" s="19"/>
      <c r="R582" s="19"/>
      <c r="S582" s="19"/>
      <c r="T582" s="19"/>
      <c r="U582" s="16"/>
      <c r="V582" s="19"/>
      <c r="W582" s="16"/>
      <c r="X582" s="19"/>
      <c r="Y582" s="19"/>
      <c r="Z582" s="19"/>
      <c r="AA582" s="19"/>
    </row>
    <row r="583" spans="2:27" x14ac:dyDescent="0.3">
      <c r="B583" s="19"/>
      <c r="C583" s="19"/>
      <c r="D583" s="19"/>
      <c r="E583" s="19"/>
      <c r="F583" s="19"/>
      <c r="G583" s="19"/>
      <c r="H583" s="19"/>
      <c r="I583" s="16"/>
      <c r="J583" s="19"/>
      <c r="K583" s="19"/>
      <c r="L583" s="19"/>
      <c r="M583" s="19"/>
      <c r="N583" s="19"/>
      <c r="O583" s="16"/>
      <c r="P583" s="19"/>
      <c r="Q583" s="19"/>
      <c r="R583" s="19"/>
      <c r="S583" s="19"/>
      <c r="T583" s="19"/>
      <c r="U583" s="16"/>
      <c r="V583" s="19"/>
      <c r="W583" s="16"/>
      <c r="X583" s="19"/>
      <c r="Y583" s="19"/>
      <c r="Z583" s="19"/>
      <c r="AA583" s="19"/>
    </row>
    <row r="584" spans="2:27" x14ac:dyDescent="0.3">
      <c r="B584" s="19"/>
      <c r="C584" s="19"/>
      <c r="D584" s="19"/>
      <c r="E584" s="19"/>
      <c r="F584" s="19"/>
      <c r="G584" s="19"/>
      <c r="H584" s="19"/>
      <c r="I584" s="16"/>
      <c r="J584" s="19"/>
      <c r="K584" s="19"/>
      <c r="L584" s="19"/>
      <c r="M584" s="19"/>
      <c r="N584" s="19"/>
      <c r="O584" s="16"/>
      <c r="P584" s="19"/>
      <c r="Q584" s="19"/>
      <c r="R584" s="19"/>
      <c r="S584" s="19"/>
      <c r="T584" s="19"/>
      <c r="U584" s="16"/>
      <c r="V584" s="19"/>
      <c r="W584" s="16"/>
      <c r="X584" s="19"/>
      <c r="Y584" s="19"/>
      <c r="Z584" s="19"/>
      <c r="AA584" s="19"/>
    </row>
    <row r="585" spans="2:27" x14ac:dyDescent="0.3">
      <c r="B585" s="19"/>
      <c r="C585" s="19"/>
      <c r="D585" s="19"/>
      <c r="E585" s="19"/>
      <c r="F585" s="19"/>
      <c r="G585" s="19"/>
      <c r="H585" s="19"/>
      <c r="I585" s="16"/>
      <c r="J585" s="19"/>
      <c r="K585" s="19"/>
      <c r="L585" s="19"/>
      <c r="M585" s="19"/>
      <c r="N585" s="19"/>
      <c r="O585" s="16"/>
      <c r="P585" s="19"/>
      <c r="Q585" s="19"/>
      <c r="R585" s="19"/>
      <c r="S585" s="19"/>
      <c r="T585" s="19"/>
      <c r="U585" s="16"/>
      <c r="V585" s="19"/>
      <c r="W585" s="16"/>
      <c r="X585" s="19"/>
      <c r="Y585" s="19"/>
      <c r="Z585" s="19"/>
      <c r="AA585" s="19"/>
    </row>
    <row r="586" spans="2:27" x14ac:dyDescent="0.3">
      <c r="B586" s="19"/>
      <c r="C586" s="19"/>
      <c r="D586" s="19"/>
      <c r="E586" s="19"/>
      <c r="F586" s="19"/>
      <c r="G586" s="19"/>
      <c r="H586" s="19"/>
      <c r="I586" s="16"/>
      <c r="J586" s="19"/>
      <c r="K586" s="19"/>
      <c r="L586" s="19"/>
      <c r="M586" s="19"/>
      <c r="N586" s="19"/>
      <c r="O586" s="16"/>
      <c r="P586" s="19"/>
      <c r="Q586" s="19"/>
      <c r="R586" s="19"/>
      <c r="S586" s="19"/>
      <c r="T586" s="19"/>
      <c r="U586" s="16"/>
      <c r="V586" s="19"/>
      <c r="W586" s="16"/>
      <c r="X586" s="19"/>
      <c r="Y586" s="19"/>
      <c r="Z586" s="19"/>
      <c r="AA586" s="19"/>
    </row>
    <row r="587" spans="2:27" x14ac:dyDescent="0.3">
      <c r="B587" s="19"/>
      <c r="C587" s="19"/>
      <c r="D587" s="19"/>
      <c r="E587" s="19"/>
      <c r="F587" s="19"/>
      <c r="G587" s="19"/>
      <c r="H587" s="19"/>
      <c r="I587" s="16"/>
      <c r="J587" s="19"/>
      <c r="K587" s="19"/>
      <c r="L587" s="19"/>
      <c r="M587" s="19"/>
      <c r="N587" s="19"/>
      <c r="O587" s="16"/>
      <c r="P587" s="19"/>
      <c r="Q587" s="19"/>
      <c r="R587" s="19"/>
      <c r="S587" s="19"/>
      <c r="T587" s="19"/>
      <c r="U587" s="16"/>
      <c r="V587" s="19"/>
      <c r="W587" s="16"/>
      <c r="X587" s="19"/>
      <c r="Y587" s="19"/>
      <c r="Z587" s="19"/>
      <c r="AA587" s="19"/>
    </row>
    <row r="588" spans="2:27" x14ac:dyDescent="0.3">
      <c r="B588" s="19"/>
      <c r="C588" s="19"/>
      <c r="D588" s="19"/>
      <c r="E588" s="19"/>
      <c r="F588" s="19"/>
      <c r="G588" s="19"/>
      <c r="H588" s="19"/>
      <c r="I588" s="16"/>
      <c r="J588" s="19"/>
      <c r="K588" s="19"/>
      <c r="L588" s="19"/>
      <c r="M588" s="19"/>
      <c r="N588" s="19"/>
      <c r="O588" s="16"/>
      <c r="P588" s="19"/>
      <c r="Q588" s="19"/>
      <c r="R588" s="19"/>
      <c r="S588" s="19"/>
      <c r="T588" s="19"/>
      <c r="U588" s="16"/>
      <c r="V588" s="19"/>
      <c r="W588" s="16"/>
      <c r="X588" s="19"/>
      <c r="Y588" s="19"/>
      <c r="Z588" s="19"/>
      <c r="AA588" s="19"/>
    </row>
    <row r="589" spans="2:27" x14ac:dyDescent="0.3">
      <c r="B589" s="19"/>
      <c r="C589" s="19"/>
      <c r="D589" s="19"/>
      <c r="E589" s="19"/>
      <c r="F589" s="19"/>
      <c r="G589" s="19"/>
      <c r="H589" s="19"/>
      <c r="I589" s="16"/>
      <c r="J589" s="19"/>
      <c r="K589" s="19"/>
      <c r="L589" s="19"/>
      <c r="M589" s="19"/>
      <c r="N589" s="19"/>
      <c r="O589" s="16"/>
      <c r="P589" s="19"/>
      <c r="Q589" s="19"/>
      <c r="R589" s="19"/>
      <c r="S589" s="19"/>
      <c r="T589" s="19"/>
      <c r="U589" s="16"/>
      <c r="V589" s="19"/>
      <c r="W589" s="16"/>
      <c r="X589" s="19"/>
      <c r="Y589" s="19"/>
      <c r="Z589" s="19"/>
      <c r="AA589" s="19"/>
    </row>
    <row r="590" spans="2:27" x14ac:dyDescent="0.3">
      <c r="B590" s="19"/>
      <c r="C590" s="19"/>
      <c r="D590" s="19"/>
      <c r="E590" s="19"/>
      <c r="F590" s="19"/>
      <c r="G590" s="19"/>
      <c r="H590" s="19"/>
      <c r="I590" s="16"/>
      <c r="J590" s="19"/>
      <c r="K590" s="19"/>
      <c r="L590" s="19"/>
      <c r="M590" s="19"/>
      <c r="N590" s="19"/>
      <c r="O590" s="16"/>
      <c r="P590" s="19"/>
      <c r="Q590" s="19"/>
      <c r="R590" s="19"/>
      <c r="S590" s="19"/>
      <c r="T590" s="19"/>
      <c r="U590" s="16"/>
      <c r="V590" s="19"/>
      <c r="W590" s="16"/>
      <c r="X590" s="19"/>
      <c r="Y590" s="19"/>
      <c r="Z590" s="19"/>
      <c r="AA590" s="19"/>
    </row>
    <row r="591" spans="2:27" x14ac:dyDescent="0.3">
      <c r="B591" s="19"/>
      <c r="C591" s="19"/>
      <c r="D591" s="19"/>
      <c r="E591" s="19"/>
      <c r="F591" s="19"/>
      <c r="G591" s="19"/>
      <c r="H591" s="19"/>
      <c r="I591" s="16"/>
      <c r="J591" s="19"/>
      <c r="K591" s="19"/>
      <c r="L591" s="19"/>
      <c r="M591" s="19"/>
      <c r="N591" s="19"/>
      <c r="O591" s="16"/>
      <c r="P591" s="19"/>
      <c r="Q591" s="19"/>
      <c r="R591" s="19"/>
      <c r="S591" s="19"/>
      <c r="T591" s="19"/>
      <c r="U591" s="16"/>
      <c r="V591" s="19"/>
      <c r="W591" s="16"/>
      <c r="X591" s="19"/>
      <c r="Y591" s="19"/>
      <c r="Z591" s="19"/>
      <c r="AA591" s="19"/>
    </row>
    <row r="592" spans="2:27" x14ac:dyDescent="0.3">
      <c r="B592" s="19"/>
      <c r="C592" s="19"/>
      <c r="D592" s="19"/>
      <c r="E592" s="19"/>
      <c r="F592" s="19"/>
      <c r="G592" s="19"/>
      <c r="H592" s="19"/>
      <c r="I592" s="16"/>
      <c r="J592" s="19"/>
      <c r="K592" s="19"/>
      <c r="L592" s="19"/>
      <c r="M592" s="19"/>
      <c r="N592" s="19"/>
      <c r="O592" s="16"/>
      <c r="P592" s="19"/>
      <c r="Q592" s="19"/>
      <c r="R592" s="19"/>
      <c r="S592" s="19"/>
      <c r="T592" s="19"/>
      <c r="U592" s="16"/>
      <c r="V592" s="19"/>
      <c r="W592" s="16"/>
      <c r="X592" s="19"/>
      <c r="Y592" s="19"/>
      <c r="Z592" s="19"/>
      <c r="AA592" s="19"/>
    </row>
    <row r="593" spans="2:27" x14ac:dyDescent="0.3">
      <c r="B593" s="19"/>
      <c r="C593" s="19"/>
      <c r="D593" s="19"/>
      <c r="E593" s="19"/>
      <c r="F593" s="19"/>
      <c r="G593" s="19"/>
      <c r="H593" s="19"/>
      <c r="I593" s="16"/>
      <c r="J593" s="19"/>
      <c r="K593" s="19"/>
      <c r="L593" s="19"/>
      <c r="M593" s="19"/>
      <c r="N593" s="19"/>
      <c r="O593" s="16"/>
      <c r="P593" s="19"/>
      <c r="Q593" s="19"/>
      <c r="R593" s="19"/>
      <c r="S593" s="19"/>
      <c r="T593" s="19"/>
      <c r="U593" s="16"/>
      <c r="V593" s="19"/>
      <c r="W593" s="16"/>
      <c r="X593" s="19"/>
      <c r="Y593" s="19"/>
      <c r="Z593" s="19"/>
      <c r="AA593" s="19"/>
    </row>
    <row r="594" spans="2:27" x14ac:dyDescent="0.3">
      <c r="B594" s="19"/>
      <c r="C594" s="19"/>
      <c r="D594" s="19"/>
      <c r="E594" s="19"/>
      <c r="F594" s="19"/>
      <c r="G594" s="19"/>
      <c r="H594" s="19"/>
      <c r="I594" s="16"/>
      <c r="J594" s="19"/>
      <c r="K594" s="19"/>
      <c r="L594" s="19"/>
      <c r="M594" s="19"/>
      <c r="N594" s="19"/>
      <c r="O594" s="16"/>
      <c r="P594" s="19"/>
      <c r="Q594" s="19"/>
      <c r="R594" s="19"/>
      <c r="S594" s="19"/>
      <c r="T594" s="19"/>
      <c r="U594" s="16"/>
      <c r="V594" s="19"/>
      <c r="W594" s="16"/>
      <c r="X594" s="19"/>
      <c r="Y594" s="19"/>
      <c r="Z594" s="19"/>
      <c r="AA594" s="19"/>
    </row>
    <row r="595" spans="2:27" x14ac:dyDescent="0.3">
      <c r="B595" s="19"/>
      <c r="C595" s="19"/>
      <c r="D595" s="19"/>
      <c r="E595" s="19"/>
      <c r="F595" s="19"/>
      <c r="G595" s="19"/>
      <c r="H595" s="19"/>
      <c r="I595" s="16"/>
      <c r="J595" s="19"/>
      <c r="K595" s="19"/>
      <c r="L595" s="19"/>
      <c r="M595" s="19"/>
      <c r="N595" s="19"/>
      <c r="O595" s="16"/>
      <c r="P595" s="19"/>
      <c r="Q595" s="19"/>
      <c r="R595" s="19"/>
      <c r="S595" s="19"/>
      <c r="T595" s="19"/>
      <c r="U595" s="16"/>
      <c r="V595" s="19"/>
      <c r="W595" s="16"/>
      <c r="X595" s="19"/>
      <c r="Y595" s="19"/>
      <c r="Z595" s="19"/>
      <c r="AA595" s="19"/>
    </row>
    <row r="596" spans="2:27" x14ac:dyDescent="0.3">
      <c r="B596" s="19"/>
      <c r="C596" s="19"/>
      <c r="D596" s="19"/>
      <c r="E596" s="19"/>
      <c r="F596" s="19"/>
      <c r="G596" s="19"/>
      <c r="H596" s="19"/>
      <c r="I596" s="16"/>
      <c r="J596" s="19"/>
      <c r="K596" s="19"/>
      <c r="L596" s="19"/>
      <c r="M596" s="19"/>
      <c r="N596" s="19"/>
      <c r="O596" s="16"/>
      <c r="P596" s="19"/>
      <c r="Q596" s="19"/>
      <c r="R596" s="19"/>
      <c r="S596" s="19"/>
      <c r="T596" s="19"/>
      <c r="U596" s="16"/>
      <c r="V596" s="19"/>
      <c r="W596" s="16"/>
      <c r="X596" s="19"/>
      <c r="Y596" s="19"/>
      <c r="Z596" s="19"/>
      <c r="AA596" s="19"/>
    </row>
    <row r="597" spans="2:27" x14ac:dyDescent="0.3">
      <c r="B597" s="19"/>
      <c r="C597" s="19"/>
      <c r="D597" s="19"/>
      <c r="E597" s="19"/>
      <c r="F597" s="19"/>
      <c r="G597" s="19"/>
      <c r="H597" s="19"/>
      <c r="I597" s="16"/>
      <c r="J597" s="19"/>
      <c r="K597" s="19"/>
      <c r="L597" s="19"/>
      <c r="M597" s="19"/>
      <c r="N597" s="19"/>
      <c r="O597" s="16"/>
      <c r="P597" s="19"/>
      <c r="Q597" s="19"/>
      <c r="R597" s="19"/>
      <c r="S597" s="19"/>
      <c r="T597" s="19"/>
      <c r="U597" s="16"/>
      <c r="V597" s="19"/>
      <c r="W597" s="16"/>
      <c r="X597" s="19"/>
      <c r="Y597" s="19"/>
      <c r="Z597" s="19"/>
      <c r="AA597" s="19"/>
    </row>
    <row r="598" spans="2:27" x14ac:dyDescent="0.3">
      <c r="B598" s="19"/>
      <c r="C598" s="19"/>
      <c r="D598" s="19"/>
      <c r="E598" s="19"/>
      <c r="F598" s="19"/>
      <c r="G598" s="19"/>
      <c r="H598" s="19"/>
      <c r="I598" s="16"/>
      <c r="J598" s="19"/>
      <c r="K598" s="19"/>
      <c r="L598" s="19"/>
      <c r="M598" s="19"/>
      <c r="N598" s="19"/>
      <c r="O598" s="16"/>
      <c r="P598" s="19"/>
      <c r="Q598" s="19"/>
      <c r="R598" s="19"/>
      <c r="S598" s="19"/>
      <c r="T598" s="19"/>
      <c r="U598" s="16"/>
      <c r="V598" s="19"/>
      <c r="W598" s="16"/>
      <c r="X598" s="19"/>
      <c r="Y598" s="19"/>
      <c r="Z598" s="19"/>
      <c r="AA598" s="19"/>
    </row>
    <row r="599" spans="2:27" x14ac:dyDescent="0.3">
      <c r="B599" s="19"/>
      <c r="C599" s="19"/>
      <c r="D599" s="19"/>
      <c r="E599" s="19"/>
      <c r="F599" s="19"/>
      <c r="G599" s="19"/>
      <c r="H599" s="19"/>
      <c r="I599" s="16"/>
      <c r="J599" s="19"/>
      <c r="K599" s="19"/>
      <c r="L599" s="19"/>
      <c r="M599" s="19"/>
      <c r="N599" s="19"/>
      <c r="O599" s="16"/>
      <c r="P599" s="19"/>
      <c r="Q599" s="19"/>
      <c r="R599" s="19"/>
      <c r="S599" s="19"/>
      <c r="T599" s="19"/>
      <c r="U599" s="16"/>
      <c r="V599" s="19"/>
      <c r="W599" s="16"/>
      <c r="X599" s="19"/>
      <c r="Y599" s="19"/>
      <c r="Z599" s="19"/>
      <c r="AA599" s="19"/>
    </row>
    <row r="600" spans="2:27" x14ac:dyDescent="0.3">
      <c r="B600" s="19"/>
      <c r="C600" s="19"/>
      <c r="D600" s="19"/>
      <c r="E600" s="19"/>
      <c r="F600" s="19"/>
      <c r="G600" s="19"/>
      <c r="H600" s="19"/>
      <c r="I600" s="16"/>
      <c r="J600" s="19"/>
      <c r="K600" s="19"/>
      <c r="L600" s="19"/>
      <c r="M600" s="19"/>
      <c r="N600" s="19"/>
      <c r="O600" s="16"/>
      <c r="P600" s="19"/>
      <c r="Q600" s="19"/>
      <c r="R600" s="19"/>
      <c r="S600" s="19"/>
      <c r="T600" s="19"/>
      <c r="U600" s="16"/>
      <c r="V600" s="19"/>
      <c r="W600" s="16"/>
      <c r="X600" s="19"/>
      <c r="Y600" s="19"/>
      <c r="Z600" s="19"/>
      <c r="AA600" s="19"/>
    </row>
    <row r="601" spans="2:27" x14ac:dyDescent="0.3">
      <c r="B601" s="19"/>
      <c r="C601" s="19"/>
      <c r="D601" s="19"/>
      <c r="E601" s="19"/>
      <c r="F601" s="19"/>
      <c r="G601" s="19"/>
      <c r="H601" s="19"/>
      <c r="I601" s="16"/>
      <c r="J601" s="19"/>
      <c r="K601" s="19"/>
      <c r="L601" s="19"/>
      <c r="M601" s="19"/>
      <c r="N601" s="19"/>
      <c r="O601" s="16"/>
      <c r="P601" s="19"/>
      <c r="Q601" s="19"/>
      <c r="R601" s="19"/>
      <c r="S601" s="19"/>
      <c r="T601" s="19"/>
      <c r="U601" s="16"/>
      <c r="V601" s="19"/>
      <c r="W601" s="16"/>
      <c r="X601" s="19"/>
      <c r="Y601" s="19"/>
      <c r="Z601" s="19"/>
      <c r="AA601" s="19"/>
    </row>
    <row r="602" spans="2:27" x14ac:dyDescent="0.3">
      <c r="B602" s="19"/>
      <c r="C602" s="19"/>
      <c r="D602" s="19"/>
      <c r="E602" s="19"/>
      <c r="F602" s="19"/>
      <c r="G602" s="19"/>
      <c r="H602" s="19"/>
      <c r="I602" s="16"/>
      <c r="J602" s="19"/>
      <c r="K602" s="19"/>
      <c r="L602" s="19"/>
      <c r="M602" s="19"/>
      <c r="N602" s="19"/>
      <c r="O602" s="16"/>
      <c r="P602" s="19"/>
      <c r="Q602" s="19"/>
      <c r="R602" s="19"/>
      <c r="S602" s="19"/>
      <c r="T602" s="19"/>
      <c r="U602" s="16"/>
      <c r="V602" s="19"/>
      <c r="W602" s="16"/>
      <c r="X602" s="19"/>
      <c r="Y602" s="19"/>
      <c r="Z602" s="19"/>
      <c r="AA602" s="19"/>
    </row>
    <row r="603" spans="2:27" x14ac:dyDescent="0.3">
      <c r="B603" s="19"/>
      <c r="C603" s="19"/>
      <c r="D603" s="19"/>
      <c r="E603" s="19"/>
      <c r="F603" s="19"/>
      <c r="G603" s="19"/>
      <c r="H603" s="19"/>
      <c r="I603" s="16"/>
      <c r="J603" s="19"/>
      <c r="K603" s="19"/>
      <c r="L603" s="19"/>
      <c r="M603" s="19"/>
      <c r="N603" s="19"/>
      <c r="O603" s="16"/>
      <c r="P603" s="19"/>
      <c r="Q603" s="19"/>
      <c r="R603" s="19"/>
      <c r="S603" s="19"/>
      <c r="T603" s="19"/>
      <c r="U603" s="16"/>
      <c r="V603" s="19"/>
      <c r="W603" s="16"/>
      <c r="X603" s="19"/>
      <c r="Y603" s="19"/>
      <c r="Z603" s="19"/>
      <c r="AA603" s="19"/>
    </row>
    <row r="604" spans="2:27" x14ac:dyDescent="0.3">
      <c r="B604" s="19"/>
      <c r="C604" s="19"/>
      <c r="D604" s="19"/>
      <c r="E604" s="19"/>
      <c r="F604" s="19"/>
      <c r="G604" s="19"/>
      <c r="H604" s="19"/>
      <c r="I604" s="16"/>
      <c r="J604" s="19"/>
      <c r="K604" s="19"/>
      <c r="L604" s="19"/>
      <c r="M604" s="19"/>
      <c r="N604" s="19"/>
      <c r="O604" s="16"/>
      <c r="P604" s="19"/>
      <c r="Q604" s="19"/>
      <c r="R604" s="19"/>
      <c r="S604" s="19"/>
      <c r="T604" s="19"/>
      <c r="U604" s="16"/>
      <c r="V604" s="19"/>
      <c r="W604" s="16"/>
      <c r="X604" s="19"/>
      <c r="Y604" s="19"/>
      <c r="Z604" s="19"/>
      <c r="AA604" s="19"/>
    </row>
    <row r="605" spans="2:27" x14ac:dyDescent="0.3">
      <c r="B605" s="19"/>
      <c r="C605" s="19"/>
      <c r="D605" s="19"/>
      <c r="E605" s="19"/>
      <c r="F605" s="19"/>
      <c r="G605" s="19"/>
      <c r="H605" s="19"/>
      <c r="I605" s="16"/>
      <c r="J605" s="19"/>
      <c r="K605" s="19"/>
      <c r="L605" s="19"/>
      <c r="M605" s="19"/>
      <c r="N605" s="19"/>
      <c r="O605" s="16"/>
      <c r="P605" s="19"/>
      <c r="Q605" s="19"/>
      <c r="R605" s="19"/>
      <c r="S605" s="19"/>
      <c r="T605" s="19"/>
      <c r="U605" s="16"/>
      <c r="V605" s="19"/>
      <c r="W605" s="16"/>
      <c r="X605" s="19"/>
      <c r="Y605" s="19"/>
      <c r="Z605" s="19"/>
      <c r="AA605" s="19"/>
    </row>
    <row r="606" spans="2:27" x14ac:dyDescent="0.3">
      <c r="B606" s="19"/>
      <c r="C606" s="19"/>
      <c r="D606" s="19"/>
      <c r="E606" s="19"/>
      <c r="F606" s="19"/>
      <c r="G606" s="19"/>
      <c r="H606" s="19"/>
      <c r="I606" s="16"/>
      <c r="J606" s="19"/>
      <c r="K606" s="19"/>
      <c r="L606" s="19"/>
      <c r="M606" s="19"/>
      <c r="N606" s="19"/>
      <c r="O606" s="16"/>
      <c r="P606" s="19"/>
      <c r="Q606" s="19"/>
      <c r="R606" s="19"/>
      <c r="S606" s="19"/>
      <c r="T606" s="19"/>
      <c r="U606" s="16"/>
      <c r="V606" s="19"/>
      <c r="W606" s="16"/>
      <c r="X606" s="19"/>
      <c r="Y606" s="19"/>
      <c r="Z606" s="19"/>
      <c r="AA606" s="19"/>
    </row>
    <row r="607" spans="2:27" x14ac:dyDescent="0.3">
      <c r="B607" s="19"/>
      <c r="C607" s="19"/>
      <c r="D607" s="19"/>
      <c r="E607" s="19"/>
      <c r="F607" s="19"/>
      <c r="G607" s="19"/>
      <c r="H607" s="19"/>
      <c r="I607" s="16"/>
      <c r="J607" s="19"/>
      <c r="K607" s="19"/>
      <c r="L607" s="19"/>
      <c r="M607" s="19"/>
      <c r="N607" s="19"/>
      <c r="O607" s="16"/>
      <c r="P607" s="19"/>
      <c r="Q607" s="19"/>
      <c r="R607" s="19"/>
      <c r="S607" s="19"/>
      <c r="T607" s="19"/>
      <c r="U607" s="16"/>
      <c r="V607" s="19"/>
      <c r="W607" s="16"/>
      <c r="X607" s="19"/>
      <c r="Y607" s="19"/>
      <c r="Z607" s="19"/>
      <c r="AA607" s="19"/>
    </row>
    <row r="608" spans="2:27" x14ac:dyDescent="0.3">
      <c r="B608" s="19"/>
      <c r="C608" s="19"/>
      <c r="D608" s="19"/>
      <c r="E608" s="19"/>
      <c r="F608" s="19"/>
      <c r="G608" s="19"/>
      <c r="H608" s="19"/>
      <c r="I608" s="16"/>
      <c r="J608" s="19"/>
      <c r="K608" s="19"/>
      <c r="L608" s="19"/>
      <c r="M608" s="19"/>
      <c r="N608" s="19"/>
      <c r="O608" s="16"/>
      <c r="P608" s="19"/>
      <c r="Q608" s="19"/>
      <c r="R608" s="19"/>
      <c r="S608" s="19"/>
      <c r="T608" s="19"/>
      <c r="U608" s="16"/>
      <c r="V608" s="19"/>
      <c r="W608" s="16"/>
      <c r="X608" s="19"/>
      <c r="Y608" s="19"/>
      <c r="Z608" s="19"/>
      <c r="AA608" s="19"/>
    </row>
    <row r="609" spans="2:27" x14ac:dyDescent="0.3">
      <c r="B609" s="19"/>
      <c r="C609" s="19"/>
      <c r="D609" s="19"/>
      <c r="E609" s="19"/>
      <c r="F609" s="19"/>
      <c r="G609" s="19"/>
      <c r="H609" s="19"/>
      <c r="I609" s="16"/>
      <c r="J609" s="19"/>
      <c r="K609" s="19"/>
      <c r="L609" s="19"/>
      <c r="M609" s="19"/>
      <c r="N609" s="19"/>
      <c r="O609" s="16"/>
      <c r="P609" s="19"/>
      <c r="Q609" s="19"/>
      <c r="R609" s="19"/>
      <c r="S609" s="19"/>
      <c r="T609" s="19"/>
      <c r="U609" s="16"/>
      <c r="V609" s="19"/>
      <c r="W609" s="16"/>
      <c r="X609" s="19"/>
      <c r="Y609" s="19"/>
      <c r="Z609" s="19"/>
      <c r="AA609" s="19"/>
    </row>
    <row r="610" spans="2:27" x14ac:dyDescent="0.3">
      <c r="B610" s="19"/>
      <c r="C610" s="19"/>
      <c r="D610" s="19"/>
      <c r="E610" s="19"/>
      <c r="F610" s="19"/>
      <c r="G610" s="19"/>
      <c r="H610" s="19"/>
      <c r="I610" s="16"/>
      <c r="J610" s="19"/>
      <c r="K610" s="19"/>
      <c r="L610" s="19"/>
      <c r="M610" s="19"/>
      <c r="N610" s="19"/>
      <c r="O610" s="16"/>
      <c r="P610" s="19"/>
      <c r="Q610" s="19"/>
      <c r="R610" s="19"/>
      <c r="S610" s="19"/>
      <c r="T610" s="19"/>
      <c r="U610" s="16"/>
      <c r="V610" s="19"/>
      <c r="W610" s="16"/>
      <c r="X610" s="19"/>
      <c r="Y610" s="19"/>
      <c r="Z610" s="19"/>
      <c r="AA610" s="19"/>
    </row>
    <row r="611" spans="2:27" x14ac:dyDescent="0.3">
      <c r="B611" s="19"/>
      <c r="C611" s="19"/>
      <c r="D611" s="19"/>
      <c r="E611" s="19"/>
      <c r="F611" s="19"/>
      <c r="G611" s="19"/>
      <c r="H611" s="19"/>
      <c r="I611" s="16"/>
      <c r="J611" s="19"/>
      <c r="K611" s="19"/>
      <c r="L611" s="19"/>
      <c r="M611" s="19"/>
      <c r="N611" s="19"/>
      <c r="O611" s="16"/>
      <c r="P611" s="19"/>
      <c r="Q611" s="19"/>
      <c r="R611" s="19"/>
      <c r="S611" s="19"/>
      <c r="T611" s="19"/>
      <c r="U611" s="16"/>
      <c r="V611" s="19"/>
      <c r="W611" s="16"/>
      <c r="X611" s="19"/>
      <c r="Y611" s="19"/>
      <c r="Z611" s="19"/>
      <c r="AA611" s="19"/>
    </row>
    <row r="612" spans="2:27" x14ac:dyDescent="0.3">
      <c r="B612" s="19"/>
      <c r="C612" s="19"/>
      <c r="D612" s="19"/>
      <c r="E612" s="19"/>
      <c r="F612" s="19"/>
      <c r="G612" s="19"/>
      <c r="H612" s="19"/>
      <c r="I612" s="16"/>
      <c r="J612" s="19"/>
      <c r="K612" s="19"/>
      <c r="L612" s="19"/>
      <c r="M612" s="19"/>
      <c r="N612" s="19"/>
      <c r="O612" s="16"/>
      <c r="P612" s="19"/>
      <c r="Q612" s="19"/>
      <c r="R612" s="19"/>
      <c r="S612" s="19"/>
      <c r="T612" s="19"/>
      <c r="U612" s="16"/>
      <c r="V612" s="19"/>
      <c r="W612" s="16"/>
      <c r="X612" s="19"/>
      <c r="Y612" s="19"/>
      <c r="Z612" s="19"/>
      <c r="AA612" s="19"/>
    </row>
    <row r="613" spans="2:27" x14ac:dyDescent="0.3">
      <c r="B613" s="19"/>
      <c r="C613" s="19"/>
      <c r="D613" s="19"/>
      <c r="E613" s="19"/>
      <c r="F613" s="19"/>
      <c r="G613" s="19"/>
      <c r="H613" s="19"/>
      <c r="I613" s="16"/>
      <c r="J613" s="19"/>
      <c r="K613" s="19"/>
      <c r="L613" s="19"/>
      <c r="M613" s="19"/>
      <c r="N613" s="19"/>
      <c r="O613" s="16"/>
      <c r="P613" s="19"/>
      <c r="Q613" s="19"/>
      <c r="R613" s="19"/>
      <c r="S613" s="19"/>
      <c r="T613" s="19"/>
      <c r="U613" s="16"/>
      <c r="V613" s="19"/>
      <c r="W613" s="16"/>
      <c r="X613" s="19"/>
      <c r="Y613" s="19"/>
      <c r="Z613" s="19"/>
      <c r="AA613" s="19"/>
    </row>
    <row r="614" spans="2:27" x14ac:dyDescent="0.3">
      <c r="B614" s="19"/>
      <c r="C614" s="19"/>
      <c r="D614" s="19"/>
      <c r="E614" s="19"/>
      <c r="F614" s="19"/>
      <c r="G614" s="19"/>
      <c r="H614" s="19"/>
      <c r="I614" s="16"/>
      <c r="J614" s="19"/>
      <c r="K614" s="19"/>
      <c r="L614" s="19"/>
      <c r="M614" s="19"/>
      <c r="N614" s="19"/>
      <c r="O614" s="16"/>
      <c r="P614" s="19"/>
      <c r="Q614" s="19"/>
      <c r="R614" s="19"/>
      <c r="S614" s="19"/>
      <c r="T614" s="19"/>
      <c r="U614" s="16"/>
      <c r="V614" s="19"/>
      <c r="W614" s="16"/>
      <c r="X614" s="19"/>
      <c r="Y614" s="19"/>
      <c r="Z614" s="19"/>
      <c r="AA614" s="19"/>
    </row>
    <row r="615" spans="2:27" x14ac:dyDescent="0.3">
      <c r="B615" s="19"/>
      <c r="C615" s="19"/>
      <c r="D615" s="19"/>
      <c r="E615" s="19"/>
      <c r="F615" s="19"/>
      <c r="G615" s="19"/>
      <c r="H615" s="19"/>
      <c r="I615" s="16"/>
      <c r="J615" s="19"/>
      <c r="K615" s="19"/>
      <c r="L615" s="19"/>
      <c r="M615" s="19"/>
      <c r="N615" s="19"/>
      <c r="O615" s="16"/>
      <c r="P615" s="19"/>
      <c r="Q615" s="19"/>
      <c r="R615" s="19"/>
      <c r="S615" s="19"/>
      <c r="T615" s="19"/>
      <c r="U615" s="16"/>
      <c r="V615" s="19"/>
      <c r="W615" s="16"/>
      <c r="X615" s="19"/>
      <c r="Y615" s="19"/>
      <c r="Z615" s="19"/>
      <c r="AA615" s="19"/>
    </row>
    <row r="616" spans="2:27" x14ac:dyDescent="0.3">
      <c r="B616" s="19"/>
      <c r="C616" s="19"/>
      <c r="D616" s="19"/>
      <c r="E616" s="19"/>
      <c r="F616" s="19"/>
      <c r="G616" s="19"/>
      <c r="H616" s="19"/>
      <c r="I616" s="16"/>
      <c r="J616" s="19"/>
      <c r="K616" s="19"/>
      <c r="L616" s="19"/>
      <c r="M616" s="19"/>
      <c r="N616" s="19"/>
      <c r="O616" s="16"/>
      <c r="P616" s="19"/>
      <c r="Q616" s="19"/>
      <c r="R616" s="19"/>
      <c r="S616" s="19"/>
      <c r="T616" s="19"/>
      <c r="U616" s="16"/>
      <c r="V616" s="19"/>
      <c r="W616" s="16"/>
      <c r="X616" s="19"/>
      <c r="Y616" s="19"/>
      <c r="Z616" s="19"/>
      <c r="AA616" s="19"/>
    </row>
    <row r="617" spans="2:27" x14ac:dyDescent="0.3">
      <c r="B617" s="19"/>
      <c r="C617" s="19"/>
      <c r="D617" s="19"/>
      <c r="E617" s="19"/>
      <c r="F617" s="19"/>
      <c r="G617" s="19"/>
      <c r="H617" s="19"/>
      <c r="I617" s="16"/>
      <c r="J617" s="19"/>
      <c r="K617" s="19"/>
      <c r="L617" s="19"/>
      <c r="M617" s="19"/>
      <c r="N617" s="19"/>
      <c r="O617" s="16"/>
      <c r="P617" s="19"/>
      <c r="Q617" s="19"/>
      <c r="R617" s="19"/>
      <c r="S617" s="19"/>
      <c r="T617" s="19"/>
      <c r="U617" s="16"/>
      <c r="V617" s="19"/>
      <c r="W617" s="16"/>
      <c r="X617" s="19"/>
      <c r="Y617" s="19"/>
      <c r="Z617" s="19"/>
      <c r="AA617" s="19"/>
    </row>
    <row r="618" spans="2:27" x14ac:dyDescent="0.3">
      <c r="B618" s="19"/>
      <c r="C618" s="19"/>
      <c r="D618" s="19"/>
      <c r="E618" s="19"/>
      <c r="F618" s="19"/>
      <c r="G618" s="19"/>
      <c r="H618" s="19"/>
      <c r="I618" s="16"/>
      <c r="J618" s="19"/>
      <c r="K618" s="19"/>
      <c r="L618" s="19"/>
      <c r="M618" s="19"/>
      <c r="N618" s="19"/>
      <c r="O618" s="16"/>
      <c r="P618" s="19"/>
      <c r="Q618" s="19"/>
      <c r="R618" s="19"/>
      <c r="S618" s="19"/>
      <c r="T618" s="19"/>
      <c r="U618" s="16"/>
      <c r="V618" s="19"/>
      <c r="W618" s="16"/>
      <c r="X618" s="19"/>
      <c r="Y618" s="19"/>
      <c r="Z618" s="19"/>
      <c r="AA618" s="19"/>
    </row>
    <row r="619" spans="2:27" x14ac:dyDescent="0.3">
      <c r="B619" s="19"/>
      <c r="C619" s="19"/>
      <c r="D619" s="19"/>
      <c r="E619" s="19"/>
      <c r="F619" s="19"/>
      <c r="G619" s="19"/>
      <c r="H619" s="19"/>
      <c r="I619" s="16"/>
      <c r="J619" s="19"/>
      <c r="K619" s="19"/>
      <c r="L619" s="19"/>
      <c r="M619" s="19"/>
      <c r="N619" s="19"/>
      <c r="O619" s="16"/>
      <c r="P619" s="19"/>
      <c r="Q619" s="19"/>
      <c r="R619" s="19"/>
      <c r="S619" s="19"/>
      <c r="T619" s="19"/>
      <c r="U619" s="16"/>
      <c r="V619" s="19"/>
      <c r="W619" s="16"/>
      <c r="X619" s="19"/>
      <c r="Y619" s="19"/>
      <c r="Z619" s="19"/>
      <c r="AA619" s="19"/>
    </row>
    <row r="620" spans="2:27" x14ac:dyDescent="0.3">
      <c r="B620" s="19"/>
      <c r="C620" s="19"/>
      <c r="D620" s="19"/>
      <c r="E620" s="19"/>
      <c r="F620" s="19"/>
      <c r="G620" s="19"/>
      <c r="H620" s="19"/>
      <c r="I620" s="16"/>
      <c r="J620" s="19"/>
      <c r="K620" s="19"/>
      <c r="L620" s="19"/>
      <c r="M620" s="19"/>
      <c r="N620" s="19"/>
      <c r="O620" s="16"/>
      <c r="P620" s="19"/>
      <c r="Q620" s="19"/>
      <c r="R620" s="19"/>
      <c r="S620" s="19"/>
      <c r="T620" s="19"/>
      <c r="U620" s="16"/>
      <c r="V620" s="19"/>
      <c r="W620" s="16"/>
      <c r="X620" s="19"/>
      <c r="Y620" s="19"/>
      <c r="Z620" s="19"/>
      <c r="AA620" s="19"/>
    </row>
    <row r="621" spans="2:27" x14ac:dyDescent="0.3">
      <c r="B621" s="19"/>
      <c r="C621" s="19"/>
      <c r="D621" s="19"/>
      <c r="E621" s="19"/>
      <c r="F621" s="19"/>
      <c r="G621" s="19"/>
      <c r="H621" s="19"/>
      <c r="I621" s="16"/>
      <c r="J621" s="19"/>
      <c r="K621" s="19"/>
      <c r="L621" s="19"/>
      <c r="M621" s="19"/>
      <c r="N621" s="19"/>
      <c r="O621" s="16"/>
      <c r="P621" s="19"/>
      <c r="Q621" s="19"/>
      <c r="R621" s="19"/>
      <c r="S621" s="19"/>
      <c r="T621" s="19"/>
      <c r="U621" s="16"/>
      <c r="V621" s="19"/>
      <c r="W621" s="16"/>
      <c r="X621" s="19"/>
      <c r="Y621" s="19"/>
      <c r="Z621" s="19"/>
      <c r="AA621" s="19"/>
    </row>
    <row r="622" spans="2:27" x14ac:dyDescent="0.3">
      <c r="B622" s="19"/>
      <c r="C622" s="19"/>
      <c r="D622" s="19"/>
      <c r="E622" s="19"/>
      <c r="F622" s="19"/>
      <c r="G622" s="19"/>
      <c r="H622" s="19"/>
      <c r="I622" s="16"/>
      <c r="J622" s="19"/>
      <c r="K622" s="19"/>
      <c r="L622" s="19"/>
      <c r="M622" s="19"/>
      <c r="N622" s="19"/>
      <c r="O622" s="16"/>
      <c r="P622" s="19"/>
      <c r="Q622" s="19"/>
      <c r="R622" s="19"/>
      <c r="S622" s="19"/>
      <c r="T622" s="19"/>
      <c r="U622" s="16"/>
      <c r="V622" s="19"/>
      <c r="W622" s="16"/>
      <c r="X622" s="19"/>
      <c r="Y622" s="19"/>
      <c r="Z622" s="19"/>
      <c r="AA622" s="19"/>
    </row>
    <row r="623" spans="2:27" x14ac:dyDescent="0.3">
      <c r="B623" s="19"/>
      <c r="C623" s="19"/>
      <c r="D623" s="19"/>
      <c r="E623" s="19"/>
      <c r="F623" s="19"/>
      <c r="G623" s="19"/>
      <c r="H623" s="19"/>
      <c r="I623" s="16"/>
      <c r="J623" s="19"/>
      <c r="K623" s="19"/>
      <c r="L623" s="19"/>
      <c r="M623" s="19"/>
      <c r="N623" s="19"/>
      <c r="O623" s="16"/>
      <c r="P623" s="19"/>
      <c r="Q623" s="19"/>
      <c r="R623" s="19"/>
      <c r="S623" s="19"/>
      <c r="T623" s="19"/>
      <c r="U623" s="16"/>
      <c r="V623" s="19"/>
      <c r="W623" s="16"/>
      <c r="X623" s="19"/>
      <c r="Y623" s="19"/>
      <c r="Z623" s="19"/>
      <c r="AA623" s="19"/>
    </row>
    <row r="624" spans="2:27" x14ac:dyDescent="0.3">
      <c r="B624" s="19"/>
      <c r="C624" s="19"/>
      <c r="D624" s="19"/>
      <c r="E624" s="19"/>
      <c r="F624" s="19"/>
      <c r="G624" s="19"/>
      <c r="H624" s="19"/>
      <c r="I624" s="16"/>
      <c r="J624" s="19"/>
      <c r="K624" s="19"/>
      <c r="L624" s="19"/>
      <c r="M624" s="19"/>
      <c r="N624" s="19"/>
      <c r="O624" s="16"/>
      <c r="P624" s="19"/>
      <c r="Q624" s="19"/>
      <c r="R624" s="19"/>
      <c r="S624" s="19"/>
      <c r="T624" s="19"/>
      <c r="U624" s="16"/>
      <c r="V624" s="19"/>
      <c r="W624" s="16"/>
      <c r="X624" s="19"/>
      <c r="Y624" s="19"/>
      <c r="Z624" s="19"/>
      <c r="AA624" s="19"/>
    </row>
    <row r="625" spans="2:27" x14ac:dyDescent="0.3">
      <c r="B625" s="19"/>
      <c r="C625" s="19"/>
      <c r="D625" s="19"/>
      <c r="E625" s="19"/>
      <c r="F625" s="19"/>
      <c r="G625" s="19"/>
      <c r="H625" s="19"/>
      <c r="I625" s="16"/>
      <c r="J625" s="19"/>
      <c r="K625" s="19"/>
      <c r="L625" s="19"/>
      <c r="M625" s="19"/>
      <c r="N625" s="19"/>
      <c r="O625" s="16"/>
      <c r="P625" s="19"/>
      <c r="Q625" s="19"/>
      <c r="R625" s="19"/>
      <c r="S625" s="19"/>
      <c r="T625" s="19"/>
      <c r="U625" s="16"/>
      <c r="V625" s="19"/>
      <c r="W625" s="16"/>
      <c r="X625" s="19"/>
      <c r="Y625" s="19"/>
      <c r="Z625" s="19"/>
      <c r="AA625" s="19"/>
    </row>
    <row r="626" spans="2:27" x14ac:dyDescent="0.3">
      <c r="B626" s="19"/>
      <c r="C626" s="19"/>
      <c r="D626" s="19"/>
      <c r="E626" s="19"/>
      <c r="F626" s="19"/>
      <c r="G626" s="19"/>
      <c r="H626" s="19"/>
      <c r="I626" s="16"/>
      <c r="J626" s="19"/>
      <c r="K626" s="19"/>
      <c r="L626" s="19"/>
      <c r="M626" s="19"/>
      <c r="N626" s="19"/>
      <c r="O626" s="16"/>
      <c r="P626" s="19"/>
      <c r="Q626" s="19"/>
      <c r="R626" s="19"/>
      <c r="S626" s="19"/>
      <c r="T626" s="19"/>
      <c r="U626" s="16"/>
      <c r="V626" s="19"/>
      <c r="W626" s="16"/>
      <c r="X626" s="19"/>
      <c r="Y626" s="19"/>
      <c r="Z626" s="19"/>
      <c r="AA626" s="19"/>
    </row>
    <row r="627" spans="2:27" x14ac:dyDescent="0.3">
      <c r="B627" s="19"/>
      <c r="C627" s="19"/>
      <c r="D627" s="19"/>
      <c r="E627" s="19"/>
      <c r="F627" s="19"/>
      <c r="G627" s="19"/>
      <c r="H627" s="19"/>
      <c r="I627" s="16"/>
      <c r="J627" s="19"/>
      <c r="K627" s="19"/>
      <c r="L627" s="19"/>
      <c r="M627" s="19"/>
      <c r="N627" s="19"/>
      <c r="O627" s="16"/>
      <c r="P627" s="19"/>
      <c r="Q627" s="19"/>
      <c r="R627" s="19"/>
      <c r="S627" s="19"/>
      <c r="T627" s="19"/>
      <c r="U627" s="16"/>
      <c r="V627" s="19"/>
      <c r="W627" s="16"/>
      <c r="X627" s="19"/>
      <c r="Y627" s="19"/>
      <c r="Z627" s="19"/>
      <c r="AA627" s="19"/>
    </row>
    <row r="628" spans="2:27" x14ac:dyDescent="0.3">
      <c r="B628" s="19"/>
      <c r="C628" s="19"/>
      <c r="D628" s="19"/>
      <c r="E628" s="19"/>
      <c r="F628" s="19"/>
      <c r="G628" s="19"/>
      <c r="H628" s="19"/>
      <c r="I628" s="16"/>
      <c r="J628" s="19"/>
      <c r="K628" s="19"/>
      <c r="L628" s="19"/>
      <c r="M628" s="19"/>
      <c r="N628" s="19"/>
      <c r="O628" s="16"/>
      <c r="P628" s="19"/>
      <c r="Q628" s="19"/>
      <c r="R628" s="19"/>
      <c r="S628" s="19"/>
      <c r="T628" s="19"/>
      <c r="U628" s="16"/>
      <c r="V628" s="19"/>
      <c r="W628" s="16"/>
      <c r="X628" s="19"/>
      <c r="Y628" s="19"/>
      <c r="Z628" s="19"/>
      <c r="AA628" s="19"/>
    </row>
    <row r="629" spans="2:27" x14ac:dyDescent="0.3">
      <c r="B629" s="19"/>
      <c r="C629" s="19"/>
      <c r="D629" s="19"/>
      <c r="E629" s="19"/>
      <c r="F629" s="19"/>
      <c r="G629" s="19"/>
      <c r="H629" s="19"/>
      <c r="I629" s="16"/>
      <c r="J629" s="19"/>
      <c r="K629" s="19"/>
      <c r="L629" s="19"/>
      <c r="M629" s="19"/>
      <c r="N629" s="19"/>
      <c r="O629" s="16"/>
      <c r="P629" s="19"/>
      <c r="Q629" s="19"/>
      <c r="R629" s="19"/>
      <c r="S629" s="19"/>
      <c r="T629" s="19"/>
      <c r="U629" s="16"/>
      <c r="V629" s="19"/>
      <c r="W629" s="16"/>
      <c r="X629" s="19"/>
      <c r="Y629" s="19"/>
      <c r="Z629" s="19"/>
      <c r="AA629" s="19"/>
    </row>
    <row r="630" spans="2:27" x14ac:dyDescent="0.3">
      <c r="B630" s="19"/>
      <c r="C630" s="19"/>
      <c r="D630" s="19"/>
      <c r="E630" s="19"/>
      <c r="F630" s="19"/>
      <c r="G630" s="19"/>
      <c r="H630" s="19"/>
      <c r="I630" s="16"/>
      <c r="J630" s="19"/>
      <c r="K630" s="19"/>
      <c r="L630" s="19"/>
      <c r="M630" s="19"/>
      <c r="N630" s="19"/>
      <c r="O630" s="16"/>
      <c r="P630" s="19"/>
      <c r="Q630" s="19"/>
      <c r="R630" s="19"/>
      <c r="S630" s="19"/>
      <c r="T630" s="19"/>
      <c r="U630" s="16"/>
      <c r="V630" s="19"/>
      <c r="W630" s="16"/>
      <c r="X630" s="19"/>
      <c r="Y630" s="19"/>
      <c r="Z630" s="19"/>
      <c r="AA630" s="19"/>
    </row>
    <row r="631" spans="2:27" x14ac:dyDescent="0.3">
      <c r="B631" s="19"/>
      <c r="C631" s="19"/>
      <c r="D631" s="19"/>
      <c r="E631" s="19"/>
      <c r="F631" s="19"/>
      <c r="G631" s="19"/>
      <c r="H631" s="19"/>
      <c r="I631" s="16"/>
      <c r="J631" s="19"/>
      <c r="K631" s="19"/>
      <c r="L631" s="19"/>
      <c r="M631" s="19"/>
      <c r="N631" s="19"/>
      <c r="O631" s="16"/>
      <c r="P631" s="19"/>
      <c r="Q631" s="19"/>
      <c r="R631" s="19"/>
      <c r="S631" s="19"/>
      <c r="T631" s="19"/>
      <c r="U631" s="16"/>
      <c r="V631" s="19"/>
      <c r="W631" s="16"/>
      <c r="X631" s="19"/>
      <c r="Y631" s="19"/>
      <c r="Z631" s="19"/>
      <c r="AA631" s="19"/>
    </row>
    <row r="632" spans="2:27" x14ac:dyDescent="0.3">
      <c r="B632" s="19"/>
      <c r="C632" s="19"/>
      <c r="D632" s="19"/>
      <c r="E632" s="19"/>
      <c r="F632" s="19"/>
      <c r="G632" s="19"/>
      <c r="H632" s="19"/>
      <c r="I632" s="16"/>
      <c r="J632" s="19"/>
      <c r="K632" s="19"/>
      <c r="L632" s="19"/>
      <c r="M632" s="19"/>
      <c r="N632" s="19"/>
      <c r="O632" s="16"/>
      <c r="P632" s="19"/>
      <c r="Q632" s="19"/>
      <c r="R632" s="19"/>
      <c r="S632" s="19"/>
      <c r="T632" s="19"/>
      <c r="U632" s="16"/>
      <c r="V632" s="19"/>
      <c r="W632" s="16"/>
      <c r="X632" s="19"/>
      <c r="Y632" s="19"/>
      <c r="Z632" s="19"/>
      <c r="AA632" s="19"/>
    </row>
    <row r="633" spans="2:27" x14ac:dyDescent="0.3">
      <c r="B633" s="19"/>
      <c r="C633" s="19"/>
      <c r="D633" s="19"/>
      <c r="E633" s="19"/>
      <c r="F633" s="19"/>
      <c r="G633" s="19"/>
      <c r="H633" s="19"/>
      <c r="I633" s="16"/>
      <c r="J633" s="19"/>
      <c r="K633" s="19"/>
      <c r="L633" s="19"/>
      <c r="M633" s="19"/>
      <c r="N633" s="19"/>
      <c r="O633" s="16"/>
      <c r="P633" s="19"/>
      <c r="Q633" s="19"/>
      <c r="R633" s="19"/>
      <c r="S633" s="19"/>
      <c r="T633" s="19"/>
      <c r="U633" s="16"/>
      <c r="V633" s="19"/>
      <c r="W633" s="16"/>
      <c r="X633" s="19"/>
      <c r="Y633" s="19"/>
      <c r="Z633" s="19"/>
      <c r="AA633" s="19"/>
    </row>
    <row r="634" spans="2:27" x14ac:dyDescent="0.3">
      <c r="B634" s="19"/>
      <c r="C634" s="19"/>
      <c r="D634" s="19"/>
      <c r="E634" s="19"/>
      <c r="F634" s="19"/>
      <c r="G634" s="19"/>
      <c r="H634" s="19"/>
      <c r="I634" s="16"/>
      <c r="J634" s="19"/>
      <c r="K634" s="19"/>
      <c r="L634" s="19"/>
      <c r="M634" s="19"/>
      <c r="N634" s="19"/>
      <c r="O634" s="16"/>
      <c r="P634" s="19"/>
      <c r="Q634" s="19"/>
      <c r="R634" s="19"/>
      <c r="S634" s="19"/>
      <c r="T634" s="19"/>
      <c r="U634" s="16"/>
      <c r="V634" s="19"/>
      <c r="W634" s="16"/>
      <c r="X634" s="19"/>
      <c r="Y634" s="19"/>
      <c r="Z634" s="19"/>
      <c r="AA634" s="19"/>
    </row>
    <row r="635" spans="2:27" x14ac:dyDescent="0.3">
      <c r="B635" s="19"/>
      <c r="C635" s="19"/>
      <c r="D635" s="19"/>
      <c r="E635" s="19"/>
      <c r="F635" s="19"/>
      <c r="G635" s="19"/>
      <c r="H635" s="19"/>
      <c r="I635" s="16"/>
      <c r="J635" s="19"/>
      <c r="K635" s="19"/>
      <c r="L635" s="19"/>
      <c r="M635" s="19"/>
      <c r="N635" s="19"/>
      <c r="O635" s="16"/>
      <c r="P635" s="19"/>
      <c r="Q635" s="19"/>
      <c r="R635" s="19"/>
      <c r="S635" s="19"/>
      <c r="T635" s="19"/>
      <c r="U635" s="16"/>
      <c r="V635" s="19"/>
      <c r="W635" s="16"/>
      <c r="X635" s="19"/>
      <c r="Y635" s="19"/>
      <c r="Z635" s="19"/>
      <c r="AA635" s="19"/>
    </row>
    <row r="636" spans="2:27" x14ac:dyDescent="0.3">
      <c r="B636" s="19"/>
      <c r="C636" s="19"/>
      <c r="D636" s="19"/>
      <c r="E636" s="19"/>
      <c r="F636" s="19"/>
      <c r="G636" s="19"/>
      <c r="H636" s="19"/>
      <c r="I636" s="16"/>
      <c r="J636" s="19"/>
      <c r="K636" s="19"/>
      <c r="L636" s="19"/>
      <c r="M636" s="19"/>
      <c r="N636" s="19"/>
      <c r="O636" s="16"/>
      <c r="P636" s="19"/>
      <c r="Q636" s="19"/>
      <c r="R636" s="19"/>
      <c r="S636" s="19"/>
      <c r="T636" s="19"/>
      <c r="U636" s="16"/>
      <c r="V636" s="19"/>
      <c r="W636" s="16"/>
      <c r="X636" s="19"/>
      <c r="Y636" s="19"/>
      <c r="Z636" s="19"/>
      <c r="AA636" s="19"/>
    </row>
    <row r="637" spans="2:27" x14ac:dyDescent="0.3">
      <c r="B637" s="19"/>
      <c r="C637" s="19"/>
      <c r="D637" s="19"/>
      <c r="E637" s="19"/>
      <c r="F637" s="19"/>
      <c r="G637" s="19"/>
      <c r="H637" s="19"/>
      <c r="I637" s="16"/>
      <c r="J637" s="19"/>
      <c r="K637" s="19"/>
      <c r="L637" s="19"/>
      <c r="M637" s="19"/>
      <c r="N637" s="19"/>
      <c r="O637" s="16"/>
      <c r="P637" s="19"/>
      <c r="Q637" s="19"/>
      <c r="R637" s="19"/>
      <c r="S637" s="19"/>
      <c r="T637" s="19"/>
      <c r="U637" s="16"/>
      <c r="V637" s="19"/>
      <c r="W637" s="16"/>
      <c r="X637" s="19"/>
      <c r="Y637" s="19"/>
      <c r="Z637" s="19"/>
      <c r="AA637" s="19"/>
    </row>
    <row r="638" spans="2:27" x14ac:dyDescent="0.3">
      <c r="B638" s="19"/>
      <c r="C638" s="19"/>
      <c r="D638" s="19"/>
      <c r="E638" s="19"/>
      <c r="F638" s="19"/>
      <c r="G638" s="19"/>
      <c r="H638" s="19"/>
      <c r="I638" s="16"/>
      <c r="J638" s="19"/>
      <c r="K638" s="19"/>
      <c r="L638" s="19"/>
      <c r="M638" s="19"/>
      <c r="N638" s="19"/>
      <c r="O638" s="16"/>
      <c r="P638" s="19"/>
      <c r="Q638" s="19"/>
      <c r="R638" s="19"/>
      <c r="S638" s="19"/>
      <c r="T638" s="19"/>
      <c r="U638" s="16"/>
      <c r="V638" s="19"/>
      <c r="W638" s="16"/>
      <c r="X638" s="19"/>
      <c r="Y638" s="19"/>
      <c r="Z638" s="19"/>
      <c r="AA638" s="19"/>
    </row>
    <row r="639" spans="2:27" x14ac:dyDescent="0.3">
      <c r="B639" s="19"/>
      <c r="C639" s="19"/>
      <c r="D639" s="19"/>
      <c r="E639" s="19"/>
      <c r="F639" s="19"/>
      <c r="G639" s="19"/>
      <c r="H639" s="19"/>
      <c r="I639" s="16"/>
      <c r="J639" s="19"/>
      <c r="K639" s="19"/>
      <c r="L639" s="19"/>
      <c r="M639" s="19"/>
      <c r="N639" s="19"/>
      <c r="O639" s="16"/>
      <c r="P639" s="19"/>
      <c r="Q639" s="19"/>
      <c r="R639" s="19"/>
      <c r="S639" s="19"/>
      <c r="T639" s="19"/>
      <c r="U639" s="16"/>
      <c r="V639" s="19"/>
      <c r="W639" s="16"/>
      <c r="X639" s="19"/>
      <c r="Y639" s="19"/>
      <c r="Z639" s="19"/>
      <c r="AA639" s="19"/>
    </row>
    <row r="640" spans="2:27" x14ac:dyDescent="0.3">
      <c r="B640" s="19"/>
      <c r="C640" s="19"/>
      <c r="D640" s="19"/>
      <c r="E640" s="19"/>
      <c r="F640" s="19"/>
      <c r="G640" s="19"/>
      <c r="H640" s="19"/>
      <c r="I640" s="16"/>
      <c r="J640" s="19"/>
      <c r="K640" s="19"/>
      <c r="L640" s="19"/>
      <c r="M640" s="19"/>
      <c r="N640" s="19"/>
      <c r="O640" s="16"/>
      <c r="P640" s="19"/>
      <c r="Q640" s="19"/>
      <c r="R640" s="19"/>
      <c r="S640" s="19"/>
      <c r="T640" s="19"/>
      <c r="U640" s="16"/>
      <c r="V640" s="19"/>
      <c r="W640" s="16"/>
      <c r="X640" s="19"/>
      <c r="Y640" s="19"/>
      <c r="Z640" s="19"/>
      <c r="AA640" s="19"/>
    </row>
    <row r="641" spans="2:27" x14ac:dyDescent="0.3">
      <c r="B641" s="19"/>
      <c r="C641" s="19"/>
      <c r="D641" s="19"/>
      <c r="E641" s="19"/>
      <c r="F641" s="19"/>
      <c r="G641" s="19"/>
      <c r="H641" s="19"/>
      <c r="I641" s="16"/>
      <c r="J641" s="19"/>
      <c r="K641" s="19"/>
      <c r="L641" s="19"/>
      <c r="M641" s="19"/>
      <c r="N641" s="19"/>
      <c r="O641" s="16"/>
      <c r="P641" s="19"/>
      <c r="Q641" s="19"/>
      <c r="R641" s="19"/>
      <c r="S641" s="19"/>
      <c r="T641" s="19"/>
      <c r="U641" s="16"/>
      <c r="V641" s="19"/>
      <c r="W641" s="16"/>
      <c r="X641" s="19"/>
      <c r="Y641" s="19"/>
      <c r="Z641" s="19"/>
      <c r="AA641" s="19"/>
    </row>
    <row r="642" spans="2:27" x14ac:dyDescent="0.3">
      <c r="B642" s="19"/>
      <c r="C642" s="19"/>
      <c r="D642" s="19"/>
      <c r="E642" s="19"/>
      <c r="F642" s="19"/>
      <c r="G642" s="19"/>
      <c r="H642" s="19"/>
      <c r="I642" s="16"/>
      <c r="J642" s="19"/>
      <c r="K642" s="19"/>
      <c r="L642" s="19"/>
      <c r="M642" s="19"/>
      <c r="N642" s="19"/>
      <c r="O642" s="16"/>
      <c r="P642" s="19"/>
      <c r="Q642" s="19"/>
      <c r="R642" s="19"/>
      <c r="S642" s="19"/>
      <c r="T642" s="19"/>
      <c r="U642" s="16"/>
      <c r="V642" s="19"/>
      <c r="W642" s="16"/>
      <c r="X642" s="19"/>
      <c r="Y642" s="19"/>
      <c r="Z642" s="19"/>
      <c r="AA642" s="19"/>
    </row>
    <row r="643" spans="2:27" x14ac:dyDescent="0.3">
      <c r="B643" s="19"/>
      <c r="C643" s="19"/>
      <c r="D643" s="19"/>
      <c r="E643" s="19"/>
      <c r="F643" s="19"/>
      <c r="G643" s="19"/>
      <c r="H643" s="19"/>
      <c r="I643" s="16"/>
      <c r="J643" s="19"/>
      <c r="K643" s="19"/>
      <c r="L643" s="19"/>
      <c r="M643" s="19"/>
      <c r="N643" s="19"/>
      <c r="O643" s="16"/>
      <c r="P643" s="19"/>
      <c r="Q643" s="19"/>
      <c r="R643" s="19"/>
      <c r="S643" s="19"/>
      <c r="T643" s="19"/>
      <c r="U643" s="16"/>
      <c r="V643" s="19"/>
      <c r="W643" s="16"/>
      <c r="X643" s="19"/>
      <c r="Y643" s="19"/>
      <c r="Z643" s="19"/>
      <c r="AA643" s="19"/>
    </row>
    <row r="644" spans="2:27" x14ac:dyDescent="0.3">
      <c r="B644" s="19"/>
      <c r="C644" s="19"/>
      <c r="D644" s="19"/>
      <c r="E644" s="19"/>
      <c r="F644" s="19"/>
      <c r="G644" s="19"/>
      <c r="H644" s="19"/>
      <c r="I644" s="16"/>
      <c r="J644" s="19"/>
      <c r="K644" s="19"/>
      <c r="L644" s="19"/>
      <c r="M644" s="19"/>
      <c r="N644" s="19"/>
      <c r="O644" s="16"/>
      <c r="P644" s="19"/>
      <c r="Q644" s="19"/>
      <c r="R644" s="19"/>
      <c r="S644" s="19"/>
      <c r="T644" s="19"/>
      <c r="U644" s="16"/>
      <c r="V644" s="19"/>
      <c r="W644" s="16"/>
      <c r="X644" s="19"/>
      <c r="Y644" s="19"/>
      <c r="Z644" s="19"/>
      <c r="AA644" s="19"/>
    </row>
    <row r="645" spans="2:27" x14ac:dyDescent="0.3">
      <c r="B645" s="19"/>
      <c r="C645" s="19"/>
      <c r="D645" s="19"/>
      <c r="E645" s="19"/>
      <c r="F645" s="19"/>
      <c r="G645" s="19"/>
      <c r="H645" s="19"/>
      <c r="I645" s="16"/>
      <c r="J645" s="19"/>
      <c r="K645" s="19"/>
      <c r="L645" s="19"/>
      <c r="M645" s="19"/>
      <c r="N645" s="19"/>
      <c r="O645" s="16"/>
      <c r="P645" s="19"/>
      <c r="Q645" s="19"/>
      <c r="R645" s="19"/>
      <c r="S645" s="19"/>
      <c r="T645" s="19"/>
      <c r="U645" s="16"/>
      <c r="V645" s="19"/>
      <c r="W645" s="16"/>
      <c r="X645" s="19"/>
      <c r="Y645" s="19"/>
      <c r="Z645" s="19"/>
      <c r="AA645" s="19"/>
    </row>
    <row r="646" spans="2:27" x14ac:dyDescent="0.3">
      <c r="B646" s="19"/>
      <c r="C646" s="19"/>
      <c r="D646" s="19"/>
      <c r="E646" s="19"/>
      <c r="F646" s="19"/>
      <c r="G646" s="19"/>
      <c r="H646" s="19"/>
      <c r="I646" s="16"/>
      <c r="J646" s="19"/>
      <c r="K646" s="19"/>
      <c r="L646" s="19"/>
      <c r="M646" s="19"/>
      <c r="N646" s="19"/>
      <c r="O646" s="16"/>
      <c r="P646" s="19"/>
      <c r="Q646" s="19"/>
      <c r="R646" s="19"/>
      <c r="S646" s="19"/>
      <c r="T646" s="19"/>
      <c r="U646" s="16"/>
      <c r="V646" s="19"/>
      <c r="W646" s="16"/>
      <c r="X646" s="19"/>
      <c r="Y646" s="19"/>
      <c r="Z646" s="19"/>
      <c r="AA646" s="19"/>
    </row>
    <row r="647" spans="2:27" x14ac:dyDescent="0.3">
      <c r="B647" s="19"/>
      <c r="C647" s="19"/>
      <c r="D647" s="19"/>
      <c r="E647" s="19"/>
      <c r="F647" s="19"/>
      <c r="G647" s="19"/>
      <c r="H647" s="19"/>
      <c r="I647" s="16"/>
      <c r="J647" s="19"/>
      <c r="K647" s="19"/>
      <c r="L647" s="19"/>
      <c r="M647" s="19"/>
      <c r="N647" s="19"/>
      <c r="O647" s="16"/>
      <c r="P647" s="19"/>
      <c r="Q647" s="19"/>
      <c r="R647" s="19"/>
      <c r="S647" s="19"/>
      <c r="T647" s="19"/>
      <c r="U647" s="16"/>
      <c r="V647" s="19"/>
      <c r="W647" s="16"/>
      <c r="X647" s="19"/>
      <c r="Y647" s="19"/>
      <c r="Z647" s="19"/>
      <c r="AA647" s="19"/>
    </row>
    <row r="648" spans="2:27" x14ac:dyDescent="0.3">
      <c r="B648" s="19"/>
      <c r="C648" s="19"/>
      <c r="D648" s="19"/>
      <c r="E648" s="19"/>
      <c r="F648" s="19"/>
      <c r="G648" s="19"/>
      <c r="H648" s="19"/>
      <c r="I648" s="16"/>
      <c r="J648" s="19"/>
      <c r="K648" s="19"/>
      <c r="L648" s="19"/>
      <c r="M648" s="19"/>
      <c r="N648" s="19"/>
      <c r="O648" s="16"/>
      <c r="P648" s="19"/>
      <c r="Q648" s="19"/>
      <c r="R648" s="19"/>
      <c r="S648" s="19"/>
      <c r="T648" s="19"/>
      <c r="U648" s="16"/>
      <c r="V648" s="19"/>
      <c r="W648" s="16"/>
      <c r="X648" s="19"/>
      <c r="Y648" s="19"/>
      <c r="Z648" s="19"/>
      <c r="AA648" s="19"/>
    </row>
    <row r="649" spans="2:27" x14ac:dyDescent="0.3">
      <c r="B649" s="19"/>
      <c r="C649" s="19"/>
      <c r="D649" s="19"/>
      <c r="E649" s="19"/>
      <c r="F649" s="19"/>
      <c r="G649" s="19"/>
      <c r="H649" s="19"/>
      <c r="I649" s="16"/>
      <c r="J649" s="19"/>
      <c r="K649" s="19"/>
      <c r="L649" s="19"/>
      <c r="M649" s="19"/>
      <c r="N649" s="19"/>
      <c r="O649" s="16"/>
      <c r="P649" s="19"/>
      <c r="Q649" s="19"/>
      <c r="R649" s="19"/>
      <c r="S649" s="19"/>
      <c r="T649" s="19"/>
      <c r="U649" s="16"/>
      <c r="V649" s="19"/>
      <c r="W649" s="16"/>
      <c r="X649" s="19"/>
      <c r="Y649" s="19"/>
      <c r="Z649" s="19"/>
      <c r="AA649" s="19"/>
    </row>
    <row r="650" spans="2:27" x14ac:dyDescent="0.3">
      <c r="B650" s="19"/>
      <c r="C650" s="19"/>
      <c r="D650" s="19"/>
      <c r="E650" s="19"/>
      <c r="F650" s="19"/>
      <c r="G650" s="19"/>
      <c r="H650" s="19"/>
      <c r="I650" s="16"/>
      <c r="J650" s="19"/>
      <c r="K650" s="19"/>
      <c r="L650" s="19"/>
      <c r="M650" s="19"/>
      <c r="N650" s="19"/>
      <c r="O650" s="16"/>
      <c r="P650" s="19"/>
      <c r="Q650" s="19"/>
      <c r="R650" s="19"/>
      <c r="S650" s="19"/>
      <c r="T650" s="19"/>
      <c r="U650" s="16"/>
      <c r="V650" s="19"/>
      <c r="W650" s="16"/>
      <c r="X650" s="19"/>
      <c r="Y650" s="19"/>
      <c r="Z650" s="19"/>
      <c r="AA650" s="19"/>
    </row>
    <row r="651" spans="2:27" x14ac:dyDescent="0.3">
      <c r="B651" s="19"/>
      <c r="C651" s="19"/>
      <c r="D651" s="19"/>
      <c r="E651" s="19"/>
      <c r="F651" s="19"/>
      <c r="G651" s="19"/>
      <c r="H651" s="19"/>
      <c r="I651" s="16"/>
      <c r="J651" s="19"/>
      <c r="K651" s="19"/>
      <c r="L651" s="19"/>
      <c r="M651" s="19"/>
      <c r="N651" s="19"/>
      <c r="O651" s="16"/>
      <c r="P651" s="19"/>
      <c r="Q651" s="19"/>
      <c r="R651" s="19"/>
      <c r="S651" s="19"/>
      <c r="T651" s="19"/>
      <c r="U651" s="16"/>
      <c r="V651" s="19"/>
      <c r="W651" s="16"/>
      <c r="X651" s="19"/>
      <c r="Y651" s="19"/>
      <c r="Z651" s="19"/>
      <c r="AA651" s="19"/>
    </row>
    <row r="652" spans="2:27" x14ac:dyDescent="0.3">
      <c r="B652" s="19"/>
      <c r="C652" s="19"/>
      <c r="D652" s="19"/>
      <c r="E652" s="19"/>
      <c r="F652" s="19"/>
      <c r="G652" s="19"/>
      <c r="H652" s="19"/>
      <c r="I652" s="16"/>
      <c r="J652" s="19"/>
      <c r="K652" s="19"/>
      <c r="L652" s="19"/>
      <c r="M652" s="19"/>
      <c r="N652" s="19"/>
      <c r="O652" s="16"/>
      <c r="P652" s="19"/>
      <c r="Q652" s="19"/>
      <c r="R652" s="19"/>
      <c r="S652" s="19"/>
      <c r="T652" s="19"/>
      <c r="U652" s="16"/>
      <c r="V652" s="19"/>
      <c r="W652" s="16"/>
      <c r="X652" s="19"/>
      <c r="Y652" s="19"/>
      <c r="Z652" s="19"/>
      <c r="AA652" s="19"/>
    </row>
    <row r="653" spans="2:27" x14ac:dyDescent="0.3">
      <c r="B653" s="19"/>
      <c r="C653" s="19"/>
      <c r="D653" s="19"/>
      <c r="E653" s="19"/>
      <c r="F653" s="19"/>
      <c r="G653" s="19"/>
      <c r="H653" s="19"/>
      <c r="I653" s="16"/>
      <c r="J653" s="19"/>
      <c r="K653" s="19"/>
      <c r="L653" s="19"/>
      <c r="M653" s="19"/>
      <c r="N653" s="19"/>
      <c r="O653" s="16"/>
      <c r="P653" s="19"/>
      <c r="Q653" s="19"/>
      <c r="R653" s="19"/>
      <c r="S653" s="19"/>
      <c r="T653" s="19"/>
      <c r="U653" s="16"/>
      <c r="V653" s="19"/>
      <c r="W653" s="16"/>
      <c r="X653" s="19"/>
      <c r="Y653" s="19"/>
      <c r="Z653" s="19"/>
      <c r="AA653" s="19"/>
    </row>
    <row r="654" spans="2:27" x14ac:dyDescent="0.3">
      <c r="B654" s="19"/>
      <c r="C654" s="19"/>
      <c r="D654" s="19"/>
      <c r="E654" s="19"/>
      <c r="F654" s="19"/>
      <c r="G654" s="19"/>
      <c r="H654" s="19"/>
      <c r="I654" s="16"/>
      <c r="J654" s="19"/>
      <c r="K654" s="19"/>
      <c r="L654" s="19"/>
      <c r="M654" s="19"/>
      <c r="N654" s="19"/>
      <c r="O654" s="16"/>
      <c r="P654" s="19"/>
      <c r="Q654" s="19"/>
      <c r="R654" s="19"/>
      <c r="S654" s="19"/>
      <c r="T654" s="19"/>
      <c r="U654" s="16"/>
      <c r="V654" s="19"/>
      <c r="W654" s="16"/>
      <c r="X654" s="19"/>
      <c r="Y654" s="19"/>
      <c r="Z654" s="19"/>
      <c r="AA654" s="19"/>
    </row>
    <row r="655" spans="2:27" x14ac:dyDescent="0.3">
      <c r="B655" s="19"/>
      <c r="C655" s="19"/>
      <c r="D655" s="19"/>
      <c r="E655" s="19"/>
      <c r="F655" s="19"/>
      <c r="G655" s="19"/>
      <c r="H655" s="19"/>
      <c r="I655" s="16"/>
      <c r="J655" s="19"/>
      <c r="K655" s="19"/>
      <c r="L655" s="19"/>
      <c r="M655" s="19"/>
      <c r="N655" s="19"/>
      <c r="O655" s="16"/>
      <c r="P655" s="19"/>
      <c r="Q655" s="19"/>
      <c r="R655" s="19"/>
      <c r="S655" s="19"/>
      <c r="T655" s="19"/>
      <c r="U655" s="16"/>
      <c r="V655" s="19"/>
      <c r="W655" s="16"/>
      <c r="X655" s="19"/>
      <c r="Y655" s="19"/>
      <c r="Z655" s="19"/>
      <c r="AA655" s="19"/>
    </row>
    <row r="656" spans="2:27" x14ac:dyDescent="0.3">
      <c r="B656" s="19"/>
      <c r="C656" s="19"/>
      <c r="D656" s="19"/>
      <c r="E656" s="19"/>
      <c r="F656" s="19"/>
      <c r="G656" s="19"/>
      <c r="H656" s="19"/>
      <c r="I656" s="16"/>
      <c r="J656" s="19"/>
      <c r="K656" s="19"/>
      <c r="L656" s="19"/>
      <c r="M656" s="19"/>
      <c r="N656" s="19"/>
      <c r="O656" s="16"/>
      <c r="P656" s="19"/>
      <c r="Q656" s="19"/>
      <c r="R656" s="19"/>
      <c r="S656" s="19"/>
      <c r="T656" s="19"/>
      <c r="U656" s="16"/>
      <c r="V656" s="19"/>
      <c r="W656" s="16"/>
      <c r="X656" s="19"/>
      <c r="Y656" s="19"/>
      <c r="Z656" s="19"/>
      <c r="AA656" s="19"/>
    </row>
    <row r="657" spans="2:27" x14ac:dyDescent="0.3">
      <c r="B657" s="19"/>
      <c r="C657" s="19"/>
      <c r="D657" s="19"/>
      <c r="E657" s="19"/>
      <c r="F657" s="19"/>
      <c r="G657" s="19"/>
      <c r="H657" s="19"/>
      <c r="I657" s="16"/>
      <c r="J657" s="19"/>
      <c r="K657" s="19"/>
      <c r="L657" s="19"/>
      <c r="M657" s="19"/>
      <c r="N657" s="19"/>
      <c r="O657" s="16"/>
      <c r="P657" s="19"/>
      <c r="Q657" s="19"/>
      <c r="R657" s="19"/>
      <c r="S657" s="19"/>
      <c r="T657" s="19"/>
      <c r="U657" s="16"/>
      <c r="V657" s="19"/>
      <c r="W657" s="16"/>
      <c r="X657" s="19"/>
      <c r="Y657" s="19"/>
      <c r="Z657" s="19"/>
      <c r="AA657" s="19"/>
    </row>
    <row r="658" spans="2:27" x14ac:dyDescent="0.3">
      <c r="B658" s="19"/>
      <c r="C658" s="19"/>
      <c r="D658" s="19"/>
      <c r="E658" s="19"/>
      <c r="F658" s="19"/>
      <c r="G658" s="19"/>
      <c r="H658" s="19"/>
      <c r="I658" s="16"/>
      <c r="J658" s="19"/>
      <c r="K658" s="19"/>
      <c r="L658" s="19"/>
      <c r="M658" s="19"/>
      <c r="N658" s="19"/>
      <c r="O658" s="16"/>
      <c r="P658" s="19"/>
      <c r="Q658" s="19"/>
      <c r="R658" s="19"/>
      <c r="S658" s="19"/>
      <c r="T658" s="19"/>
      <c r="U658" s="16"/>
      <c r="V658" s="19"/>
      <c r="W658" s="16"/>
      <c r="X658" s="19"/>
      <c r="Y658" s="19"/>
      <c r="Z658" s="19"/>
      <c r="AA658" s="19"/>
    </row>
    <row r="659" spans="2:27" x14ac:dyDescent="0.3">
      <c r="B659" s="19"/>
      <c r="C659" s="19"/>
      <c r="D659" s="19"/>
      <c r="E659" s="19"/>
      <c r="F659" s="19"/>
      <c r="G659" s="19"/>
      <c r="H659" s="19"/>
      <c r="I659" s="16"/>
      <c r="J659" s="19"/>
      <c r="K659" s="19"/>
      <c r="L659" s="19"/>
      <c r="M659" s="19"/>
      <c r="N659" s="19"/>
      <c r="O659" s="16"/>
      <c r="P659" s="19"/>
      <c r="Q659" s="19"/>
      <c r="R659" s="19"/>
      <c r="S659" s="19"/>
      <c r="T659" s="19"/>
      <c r="U659" s="16"/>
      <c r="V659" s="19"/>
      <c r="W659" s="16"/>
      <c r="X659" s="19"/>
      <c r="Y659" s="19"/>
      <c r="Z659" s="19"/>
      <c r="AA659" s="19"/>
    </row>
    <row r="660" spans="2:27" x14ac:dyDescent="0.3">
      <c r="B660" s="19"/>
      <c r="C660" s="19"/>
      <c r="D660" s="19"/>
      <c r="E660" s="19"/>
      <c r="F660" s="19"/>
      <c r="G660" s="19"/>
      <c r="H660" s="19"/>
      <c r="I660" s="16"/>
      <c r="J660" s="19"/>
      <c r="K660" s="19"/>
      <c r="L660" s="19"/>
      <c r="M660" s="19"/>
      <c r="N660" s="19"/>
      <c r="O660" s="16"/>
      <c r="P660" s="19"/>
      <c r="Q660" s="19"/>
      <c r="R660" s="19"/>
      <c r="S660" s="19"/>
      <c r="T660" s="19"/>
      <c r="U660" s="16"/>
      <c r="V660" s="19"/>
      <c r="W660" s="16"/>
      <c r="X660" s="19"/>
      <c r="Y660" s="19"/>
      <c r="Z660" s="19"/>
      <c r="AA660" s="19"/>
    </row>
    <row r="661" spans="2:27" x14ac:dyDescent="0.3">
      <c r="B661" s="19"/>
      <c r="C661" s="19"/>
      <c r="D661" s="19"/>
      <c r="E661" s="19"/>
      <c r="F661" s="19"/>
      <c r="G661" s="19"/>
      <c r="H661" s="19"/>
      <c r="I661" s="16"/>
      <c r="J661" s="19"/>
      <c r="K661" s="19"/>
      <c r="L661" s="19"/>
      <c r="M661" s="19"/>
      <c r="N661" s="19"/>
      <c r="O661" s="16"/>
      <c r="P661" s="19"/>
      <c r="Q661" s="19"/>
      <c r="R661" s="19"/>
      <c r="S661" s="19"/>
      <c r="T661" s="19"/>
      <c r="U661" s="16"/>
      <c r="V661" s="19"/>
      <c r="W661" s="16"/>
      <c r="X661" s="19"/>
      <c r="Y661" s="19"/>
      <c r="Z661" s="19"/>
      <c r="AA661" s="19"/>
    </row>
    <row r="662" spans="2:27" x14ac:dyDescent="0.3">
      <c r="B662" s="19"/>
      <c r="C662" s="19"/>
      <c r="D662" s="19"/>
      <c r="E662" s="19"/>
      <c r="F662" s="19"/>
      <c r="G662" s="19"/>
      <c r="H662" s="19"/>
      <c r="I662" s="16"/>
      <c r="J662" s="19"/>
      <c r="K662" s="19"/>
      <c r="L662" s="19"/>
      <c r="M662" s="19"/>
      <c r="N662" s="19"/>
      <c r="O662" s="16"/>
      <c r="P662" s="19"/>
      <c r="Q662" s="19"/>
      <c r="R662" s="19"/>
      <c r="S662" s="19"/>
      <c r="T662" s="19"/>
      <c r="U662" s="16"/>
      <c r="V662" s="19"/>
      <c r="W662" s="16"/>
      <c r="X662" s="19"/>
      <c r="Y662" s="19"/>
      <c r="Z662" s="19"/>
      <c r="AA662" s="19"/>
    </row>
    <row r="663" spans="2:27" x14ac:dyDescent="0.3">
      <c r="B663" s="19"/>
      <c r="C663" s="19"/>
      <c r="D663" s="19"/>
      <c r="E663" s="19"/>
      <c r="F663" s="19"/>
      <c r="G663" s="19"/>
      <c r="H663" s="19"/>
      <c r="I663" s="16"/>
      <c r="J663" s="19"/>
      <c r="K663" s="19"/>
      <c r="L663" s="19"/>
      <c r="M663" s="19"/>
      <c r="N663" s="19"/>
      <c r="O663" s="16"/>
      <c r="P663" s="19"/>
      <c r="Q663" s="19"/>
      <c r="R663" s="19"/>
      <c r="S663" s="19"/>
      <c r="T663" s="19"/>
      <c r="U663" s="16"/>
      <c r="V663" s="19"/>
      <c r="W663" s="16"/>
      <c r="X663" s="19"/>
      <c r="Y663" s="19"/>
      <c r="Z663" s="19"/>
      <c r="AA663" s="19"/>
    </row>
    <row r="664" spans="2:27" x14ac:dyDescent="0.3">
      <c r="B664" s="19"/>
      <c r="C664" s="19"/>
      <c r="D664" s="19"/>
      <c r="E664" s="19"/>
      <c r="F664" s="19"/>
      <c r="G664" s="19"/>
      <c r="H664" s="19"/>
      <c r="I664" s="16"/>
      <c r="J664" s="19"/>
      <c r="K664" s="19"/>
      <c r="L664" s="19"/>
      <c r="M664" s="19"/>
      <c r="N664" s="19"/>
      <c r="O664" s="16"/>
      <c r="P664" s="19"/>
      <c r="Q664" s="19"/>
      <c r="R664" s="19"/>
      <c r="S664" s="19"/>
      <c r="T664" s="19"/>
      <c r="U664" s="16"/>
      <c r="V664" s="19"/>
      <c r="W664" s="16"/>
      <c r="X664" s="19"/>
      <c r="Y664" s="19"/>
      <c r="Z664" s="19"/>
      <c r="AA664" s="19"/>
    </row>
    <row r="665" spans="2:27" x14ac:dyDescent="0.3">
      <c r="B665" s="19"/>
      <c r="C665" s="19"/>
      <c r="D665" s="19"/>
      <c r="E665" s="19"/>
      <c r="F665" s="19"/>
      <c r="G665" s="19"/>
      <c r="H665" s="19"/>
      <c r="I665" s="16"/>
      <c r="J665" s="19"/>
      <c r="K665" s="19"/>
      <c r="L665" s="19"/>
      <c r="M665" s="19"/>
      <c r="N665" s="19"/>
      <c r="O665" s="16"/>
      <c r="P665" s="19"/>
      <c r="Q665" s="19"/>
      <c r="R665" s="19"/>
      <c r="S665" s="19"/>
      <c r="T665" s="19"/>
      <c r="U665" s="16"/>
      <c r="V665" s="19"/>
      <c r="W665" s="16"/>
      <c r="X665" s="19"/>
      <c r="Y665" s="19"/>
      <c r="Z665" s="19"/>
      <c r="AA665" s="19"/>
    </row>
    <row r="666" spans="2:27" x14ac:dyDescent="0.3">
      <c r="B666" s="19"/>
      <c r="C666" s="19"/>
      <c r="D666" s="19"/>
      <c r="E666" s="19"/>
      <c r="F666" s="19"/>
      <c r="G666" s="19"/>
      <c r="H666" s="19"/>
      <c r="I666" s="16"/>
      <c r="J666" s="19"/>
      <c r="K666" s="19"/>
      <c r="L666" s="19"/>
      <c r="M666" s="19"/>
      <c r="N666" s="19"/>
      <c r="O666" s="16"/>
      <c r="P666" s="19"/>
      <c r="Q666" s="19"/>
      <c r="R666" s="19"/>
      <c r="S666" s="19"/>
      <c r="T666" s="19"/>
      <c r="U666" s="16"/>
      <c r="V666" s="19"/>
      <c r="W666" s="16"/>
      <c r="X666" s="19"/>
      <c r="Y666" s="19"/>
      <c r="Z666" s="19"/>
      <c r="AA666" s="19"/>
    </row>
    <row r="667" spans="2:27" x14ac:dyDescent="0.3">
      <c r="B667" s="19"/>
      <c r="C667" s="19"/>
      <c r="D667" s="19"/>
      <c r="E667" s="19"/>
      <c r="F667" s="19"/>
      <c r="G667" s="19"/>
      <c r="H667" s="19"/>
      <c r="I667" s="16"/>
      <c r="J667" s="19"/>
      <c r="K667" s="19"/>
      <c r="L667" s="19"/>
      <c r="M667" s="19"/>
      <c r="N667" s="19"/>
      <c r="O667" s="16"/>
      <c r="P667" s="19"/>
      <c r="Q667" s="19"/>
      <c r="R667" s="19"/>
      <c r="S667" s="19"/>
      <c r="T667" s="19"/>
      <c r="U667" s="16"/>
      <c r="V667" s="19"/>
      <c r="W667" s="16"/>
      <c r="X667" s="19"/>
      <c r="Y667" s="19"/>
      <c r="Z667" s="19"/>
      <c r="AA667" s="19"/>
    </row>
    <row r="668" spans="2:27" x14ac:dyDescent="0.3">
      <c r="B668" s="19"/>
      <c r="C668" s="19"/>
      <c r="D668" s="19"/>
      <c r="E668" s="19"/>
      <c r="F668" s="19"/>
      <c r="G668" s="19"/>
      <c r="H668" s="19"/>
      <c r="I668" s="16"/>
      <c r="J668" s="19"/>
      <c r="K668" s="19"/>
      <c r="L668" s="19"/>
      <c r="M668" s="19"/>
      <c r="N668" s="19"/>
      <c r="O668" s="16"/>
      <c r="P668" s="19"/>
      <c r="Q668" s="19"/>
      <c r="R668" s="19"/>
      <c r="S668" s="19"/>
      <c r="T668" s="19"/>
      <c r="U668" s="16"/>
      <c r="V668" s="19"/>
      <c r="W668" s="16"/>
      <c r="X668" s="19"/>
      <c r="Y668" s="19"/>
      <c r="Z668" s="19"/>
      <c r="AA668" s="19"/>
    </row>
    <row r="669" spans="2:27" x14ac:dyDescent="0.3">
      <c r="B669" s="19"/>
      <c r="C669" s="19"/>
      <c r="D669" s="19"/>
      <c r="E669" s="19"/>
      <c r="F669" s="19"/>
      <c r="G669" s="19"/>
      <c r="H669" s="19"/>
      <c r="I669" s="16"/>
      <c r="J669" s="19"/>
      <c r="K669" s="19"/>
      <c r="L669" s="19"/>
      <c r="M669" s="19"/>
      <c r="N669" s="19"/>
      <c r="O669" s="16"/>
      <c r="P669" s="19"/>
      <c r="Q669" s="19"/>
      <c r="R669" s="19"/>
      <c r="S669" s="19"/>
      <c r="T669" s="19"/>
      <c r="U669" s="16"/>
      <c r="V669" s="19"/>
      <c r="W669" s="16"/>
      <c r="X669" s="19"/>
      <c r="Y669" s="19"/>
      <c r="Z669" s="19"/>
      <c r="AA669" s="19"/>
    </row>
    <row r="670" spans="2:27" x14ac:dyDescent="0.3">
      <c r="B670" s="19"/>
      <c r="C670" s="19"/>
      <c r="D670" s="19"/>
      <c r="E670" s="19"/>
      <c r="F670" s="19"/>
      <c r="G670" s="19"/>
      <c r="H670" s="19"/>
      <c r="I670" s="16"/>
      <c r="J670" s="19"/>
      <c r="K670" s="19"/>
      <c r="L670" s="19"/>
      <c r="M670" s="19"/>
      <c r="N670" s="19"/>
      <c r="O670" s="16"/>
      <c r="P670" s="19"/>
      <c r="Q670" s="19"/>
      <c r="R670" s="19"/>
      <c r="S670" s="19"/>
      <c r="T670" s="19"/>
      <c r="U670" s="16"/>
      <c r="V670" s="19"/>
      <c r="W670" s="16"/>
      <c r="X670" s="19"/>
      <c r="Y670" s="19"/>
      <c r="Z670" s="19"/>
      <c r="AA670" s="19"/>
    </row>
    <row r="671" spans="2:27" x14ac:dyDescent="0.3">
      <c r="B671" s="19"/>
      <c r="C671" s="19"/>
      <c r="D671" s="19"/>
      <c r="E671" s="19"/>
      <c r="F671" s="19"/>
      <c r="G671" s="19"/>
      <c r="H671" s="19"/>
      <c r="I671" s="16"/>
      <c r="J671" s="19"/>
      <c r="K671" s="19"/>
      <c r="L671" s="19"/>
      <c r="M671" s="19"/>
      <c r="N671" s="19"/>
      <c r="O671" s="16"/>
      <c r="P671" s="19"/>
      <c r="Q671" s="19"/>
      <c r="R671" s="19"/>
      <c r="S671" s="19"/>
      <c r="T671" s="19"/>
      <c r="U671" s="16"/>
      <c r="V671" s="19"/>
      <c r="W671" s="16"/>
      <c r="X671" s="19"/>
      <c r="Y671" s="19"/>
      <c r="Z671" s="19"/>
      <c r="AA671" s="19"/>
    </row>
    <row r="672" spans="2:27" x14ac:dyDescent="0.3">
      <c r="B672" s="19"/>
      <c r="C672" s="19"/>
      <c r="D672" s="19"/>
      <c r="E672" s="19"/>
      <c r="F672" s="19"/>
      <c r="G672" s="19"/>
      <c r="H672" s="19"/>
      <c r="I672" s="16"/>
      <c r="J672" s="19"/>
      <c r="K672" s="19"/>
      <c r="L672" s="19"/>
      <c r="M672" s="19"/>
      <c r="N672" s="19"/>
      <c r="O672" s="16"/>
      <c r="P672" s="19"/>
      <c r="Q672" s="19"/>
      <c r="R672" s="19"/>
      <c r="S672" s="19"/>
      <c r="T672" s="19"/>
      <c r="U672" s="16"/>
      <c r="V672" s="19"/>
      <c r="W672" s="16"/>
      <c r="X672" s="19"/>
      <c r="Y672" s="19"/>
      <c r="Z672" s="19"/>
      <c r="AA672" s="19"/>
    </row>
    <row r="673" spans="2:27" x14ac:dyDescent="0.3">
      <c r="B673" s="19"/>
      <c r="C673" s="19"/>
      <c r="D673" s="19"/>
      <c r="E673" s="19"/>
      <c r="F673" s="19"/>
      <c r="G673" s="19"/>
      <c r="H673" s="19"/>
      <c r="I673" s="16"/>
      <c r="J673" s="19"/>
      <c r="K673" s="19"/>
      <c r="L673" s="19"/>
      <c r="M673" s="19"/>
      <c r="N673" s="19"/>
      <c r="O673" s="16"/>
      <c r="P673" s="19"/>
      <c r="Q673" s="19"/>
      <c r="R673" s="19"/>
      <c r="S673" s="19"/>
      <c r="T673" s="19"/>
      <c r="U673" s="16"/>
      <c r="V673" s="19"/>
      <c r="W673" s="16"/>
      <c r="X673" s="19"/>
      <c r="Y673" s="19"/>
      <c r="Z673" s="19"/>
      <c r="AA673" s="19"/>
    </row>
    <row r="674" spans="2:27" x14ac:dyDescent="0.3">
      <c r="B674" s="19"/>
      <c r="C674" s="19"/>
      <c r="D674" s="19"/>
      <c r="E674" s="19"/>
      <c r="F674" s="19"/>
      <c r="G674" s="19"/>
      <c r="H674" s="19"/>
      <c r="I674" s="16"/>
      <c r="J674" s="19"/>
      <c r="K674" s="19"/>
      <c r="L674" s="19"/>
      <c r="M674" s="19"/>
      <c r="N674" s="19"/>
      <c r="O674" s="16"/>
      <c r="P674" s="19"/>
      <c r="Q674" s="19"/>
      <c r="R674" s="19"/>
      <c r="S674" s="19"/>
      <c r="T674" s="19"/>
      <c r="U674" s="16"/>
      <c r="V674" s="19"/>
      <c r="W674" s="16"/>
      <c r="X674" s="19"/>
      <c r="Y674" s="19"/>
      <c r="Z674" s="19"/>
      <c r="AA674" s="19"/>
    </row>
    <row r="675" spans="2:27" x14ac:dyDescent="0.3">
      <c r="B675" s="19"/>
      <c r="C675" s="19"/>
      <c r="D675" s="19"/>
      <c r="E675" s="19"/>
      <c r="F675" s="19"/>
      <c r="G675" s="19"/>
      <c r="H675" s="19"/>
      <c r="I675" s="16"/>
      <c r="J675" s="19"/>
      <c r="K675" s="19"/>
      <c r="L675" s="19"/>
      <c r="M675" s="19"/>
      <c r="N675" s="19"/>
      <c r="O675" s="16"/>
      <c r="P675" s="19"/>
      <c r="Q675" s="19"/>
      <c r="R675" s="19"/>
      <c r="S675" s="19"/>
      <c r="T675" s="19"/>
      <c r="U675" s="16"/>
      <c r="V675" s="19"/>
      <c r="W675" s="16"/>
      <c r="X675" s="19"/>
      <c r="Y675" s="19"/>
      <c r="Z675" s="19"/>
      <c r="AA675" s="19"/>
    </row>
    <row r="676" spans="2:27" x14ac:dyDescent="0.3">
      <c r="B676" s="19"/>
      <c r="C676" s="19"/>
      <c r="D676" s="19"/>
      <c r="E676" s="19"/>
      <c r="F676" s="19"/>
      <c r="G676" s="19"/>
      <c r="H676" s="19"/>
      <c r="I676" s="16"/>
      <c r="J676" s="19"/>
      <c r="K676" s="19"/>
      <c r="L676" s="19"/>
      <c r="M676" s="19"/>
      <c r="N676" s="19"/>
      <c r="O676" s="16"/>
      <c r="P676" s="19"/>
      <c r="Q676" s="19"/>
      <c r="R676" s="19"/>
      <c r="S676" s="19"/>
      <c r="T676" s="19"/>
      <c r="U676" s="16"/>
      <c r="V676" s="19"/>
      <c r="W676" s="16"/>
      <c r="X676" s="19"/>
      <c r="Y676" s="19"/>
      <c r="Z676" s="19"/>
      <c r="AA676" s="19"/>
    </row>
    <row r="677" spans="2:27" x14ac:dyDescent="0.3">
      <c r="B677" s="19"/>
      <c r="C677" s="19"/>
      <c r="D677" s="19"/>
      <c r="E677" s="19"/>
      <c r="F677" s="19"/>
      <c r="G677" s="19"/>
      <c r="H677" s="19"/>
      <c r="I677" s="16"/>
      <c r="J677" s="19"/>
      <c r="K677" s="19"/>
      <c r="L677" s="19"/>
      <c r="M677" s="19"/>
      <c r="N677" s="19"/>
      <c r="O677" s="16"/>
      <c r="P677" s="19"/>
      <c r="Q677" s="19"/>
      <c r="R677" s="19"/>
      <c r="S677" s="19"/>
      <c r="T677" s="19"/>
      <c r="U677" s="16"/>
      <c r="V677" s="19"/>
      <c r="W677" s="16"/>
      <c r="X677" s="19"/>
      <c r="Y677" s="19"/>
      <c r="Z677" s="19"/>
      <c r="AA677" s="19"/>
    </row>
    <row r="678" spans="2:27" x14ac:dyDescent="0.3">
      <c r="B678" s="19"/>
      <c r="C678" s="19"/>
      <c r="D678" s="19"/>
      <c r="E678" s="19"/>
      <c r="F678" s="19"/>
      <c r="G678" s="19"/>
      <c r="H678" s="19"/>
      <c r="I678" s="16"/>
      <c r="J678" s="19"/>
      <c r="K678" s="19"/>
      <c r="L678" s="19"/>
      <c r="M678" s="19"/>
      <c r="N678" s="19"/>
      <c r="O678" s="16"/>
      <c r="P678" s="19"/>
      <c r="Q678" s="19"/>
      <c r="R678" s="19"/>
      <c r="S678" s="19"/>
      <c r="T678" s="19"/>
      <c r="U678" s="16"/>
      <c r="V678" s="19"/>
      <c r="W678" s="16"/>
      <c r="X678" s="19"/>
      <c r="Y678" s="19"/>
      <c r="Z678" s="19"/>
      <c r="AA678" s="19"/>
    </row>
    <row r="679" spans="2:27" x14ac:dyDescent="0.3">
      <c r="B679" s="19"/>
      <c r="C679" s="19"/>
      <c r="D679" s="19"/>
      <c r="E679" s="19"/>
      <c r="F679" s="19"/>
      <c r="G679" s="19"/>
      <c r="H679" s="19"/>
      <c r="I679" s="16"/>
      <c r="J679" s="19"/>
      <c r="K679" s="19"/>
      <c r="L679" s="19"/>
      <c r="M679" s="19"/>
      <c r="N679" s="19"/>
      <c r="O679" s="16"/>
      <c r="P679" s="19"/>
      <c r="Q679" s="19"/>
      <c r="R679" s="19"/>
      <c r="S679" s="19"/>
      <c r="T679" s="19"/>
      <c r="U679" s="16"/>
      <c r="V679" s="19"/>
      <c r="W679" s="16"/>
      <c r="X679" s="19"/>
      <c r="Y679" s="19"/>
      <c r="Z679" s="19"/>
      <c r="AA679" s="19"/>
    </row>
    <row r="680" spans="2:27" x14ac:dyDescent="0.3">
      <c r="B680" s="19"/>
      <c r="C680" s="19"/>
      <c r="D680" s="19"/>
      <c r="E680" s="19"/>
      <c r="F680" s="19"/>
      <c r="G680" s="19"/>
      <c r="H680" s="19"/>
      <c r="I680" s="16"/>
      <c r="J680" s="19"/>
      <c r="K680" s="19"/>
      <c r="L680" s="19"/>
      <c r="M680" s="19"/>
      <c r="N680" s="19"/>
      <c r="O680" s="16"/>
      <c r="P680" s="19"/>
      <c r="Q680" s="19"/>
      <c r="R680" s="19"/>
      <c r="S680" s="19"/>
      <c r="T680" s="19"/>
      <c r="U680" s="16"/>
      <c r="V680" s="19"/>
      <c r="W680" s="16"/>
      <c r="X680" s="19"/>
      <c r="Y680" s="19"/>
      <c r="Z680" s="19"/>
      <c r="AA680" s="19"/>
    </row>
    <row r="681" spans="2:27" x14ac:dyDescent="0.3">
      <c r="B681" s="19"/>
      <c r="C681" s="19"/>
      <c r="D681" s="19"/>
      <c r="E681" s="19"/>
      <c r="F681" s="19"/>
      <c r="G681" s="19"/>
      <c r="H681" s="19"/>
      <c r="I681" s="16"/>
      <c r="J681" s="19"/>
      <c r="K681" s="19"/>
      <c r="L681" s="19"/>
      <c r="M681" s="19"/>
      <c r="N681" s="19"/>
      <c r="O681" s="16"/>
      <c r="P681" s="19"/>
      <c r="Q681" s="19"/>
      <c r="R681" s="19"/>
      <c r="S681" s="19"/>
      <c r="T681" s="19"/>
      <c r="U681" s="16"/>
      <c r="V681" s="19"/>
      <c r="W681" s="16"/>
      <c r="X681" s="19"/>
      <c r="Y681" s="19"/>
      <c r="Z681" s="19"/>
      <c r="AA681" s="19"/>
    </row>
    <row r="682" spans="2:27" x14ac:dyDescent="0.3">
      <c r="B682" s="19"/>
      <c r="C682" s="19"/>
      <c r="D682" s="19"/>
      <c r="E682" s="19"/>
      <c r="F682" s="19"/>
      <c r="G682" s="19"/>
      <c r="H682" s="19"/>
      <c r="I682" s="16"/>
      <c r="J682" s="19"/>
      <c r="K682" s="19"/>
      <c r="L682" s="19"/>
      <c r="M682" s="19"/>
      <c r="N682" s="19"/>
      <c r="O682" s="16"/>
      <c r="P682" s="19"/>
      <c r="Q682" s="19"/>
      <c r="R682" s="19"/>
      <c r="S682" s="19"/>
      <c r="T682" s="19"/>
      <c r="U682" s="16"/>
      <c r="V682" s="19"/>
      <c r="W682" s="16"/>
      <c r="X682" s="19"/>
      <c r="Y682" s="19"/>
      <c r="Z682" s="19"/>
      <c r="AA682" s="19"/>
    </row>
    <row r="683" spans="2:27" x14ac:dyDescent="0.3">
      <c r="B683" s="19"/>
      <c r="C683" s="19"/>
      <c r="D683" s="19"/>
      <c r="E683" s="19"/>
      <c r="F683" s="19"/>
      <c r="G683" s="19"/>
      <c r="H683" s="19"/>
      <c r="I683" s="16"/>
      <c r="J683" s="19"/>
      <c r="K683" s="19"/>
      <c r="L683" s="19"/>
      <c r="M683" s="19"/>
      <c r="N683" s="19"/>
      <c r="O683" s="16"/>
      <c r="P683" s="19"/>
      <c r="Q683" s="19"/>
      <c r="R683" s="19"/>
      <c r="S683" s="19"/>
      <c r="T683" s="19"/>
      <c r="U683" s="16"/>
      <c r="V683" s="19"/>
      <c r="W683" s="16"/>
      <c r="X683" s="19"/>
      <c r="Y683" s="19"/>
      <c r="Z683" s="19"/>
      <c r="AA683" s="19"/>
    </row>
    <row r="684" spans="2:27" x14ac:dyDescent="0.3">
      <c r="B684" s="19"/>
      <c r="C684" s="19"/>
      <c r="D684" s="19"/>
      <c r="E684" s="19"/>
      <c r="F684" s="19"/>
      <c r="G684" s="19"/>
      <c r="H684" s="19"/>
      <c r="I684" s="16"/>
      <c r="J684" s="19"/>
      <c r="K684" s="19"/>
      <c r="L684" s="19"/>
      <c r="M684" s="19"/>
      <c r="N684" s="19"/>
      <c r="O684" s="16"/>
      <c r="P684" s="19"/>
      <c r="Q684" s="19"/>
      <c r="R684" s="19"/>
      <c r="S684" s="19"/>
      <c r="T684" s="19"/>
      <c r="U684" s="16"/>
      <c r="V684" s="19"/>
      <c r="W684" s="16"/>
      <c r="X684" s="19"/>
      <c r="Y684" s="19"/>
      <c r="Z684" s="19"/>
      <c r="AA684" s="19"/>
    </row>
    <row r="685" spans="2:27" x14ac:dyDescent="0.3">
      <c r="B685" s="19"/>
      <c r="C685" s="19"/>
      <c r="D685" s="19"/>
      <c r="E685" s="19"/>
      <c r="F685" s="19"/>
      <c r="G685" s="19"/>
      <c r="H685" s="19"/>
      <c r="I685" s="16"/>
      <c r="J685" s="19"/>
      <c r="K685" s="19"/>
      <c r="L685" s="19"/>
      <c r="M685" s="19"/>
      <c r="N685" s="19"/>
      <c r="O685" s="16"/>
      <c r="P685" s="19"/>
      <c r="Q685" s="19"/>
      <c r="R685" s="19"/>
      <c r="S685" s="19"/>
      <c r="T685" s="19"/>
      <c r="U685" s="16"/>
      <c r="V685" s="19"/>
      <c r="W685" s="16"/>
      <c r="X685" s="19"/>
      <c r="Y685" s="19"/>
      <c r="Z685" s="19"/>
      <c r="AA685" s="19"/>
    </row>
    <row r="686" spans="2:27" x14ac:dyDescent="0.3">
      <c r="B686" s="19"/>
      <c r="C686" s="19"/>
      <c r="D686" s="19"/>
      <c r="E686" s="19"/>
      <c r="F686" s="19"/>
      <c r="G686" s="19"/>
      <c r="H686" s="19"/>
      <c r="I686" s="16"/>
      <c r="J686" s="19"/>
      <c r="K686" s="19"/>
      <c r="L686" s="19"/>
      <c r="M686" s="19"/>
      <c r="N686" s="19"/>
      <c r="O686" s="16"/>
      <c r="P686" s="19"/>
      <c r="Q686" s="19"/>
      <c r="R686" s="19"/>
      <c r="S686" s="19"/>
      <c r="T686" s="19"/>
      <c r="U686" s="16"/>
      <c r="V686" s="19"/>
      <c r="W686" s="16"/>
      <c r="X686" s="19"/>
      <c r="Y686" s="19"/>
      <c r="Z686" s="19"/>
      <c r="AA686" s="19"/>
    </row>
    <row r="687" spans="2:27" x14ac:dyDescent="0.3">
      <c r="B687" s="19"/>
      <c r="C687" s="19"/>
      <c r="D687" s="19"/>
      <c r="E687" s="19"/>
      <c r="F687" s="19"/>
      <c r="G687" s="19"/>
      <c r="H687" s="19"/>
      <c r="I687" s="16"/>
      <c r="J687" s="19"/>
      <c r="K687" s="19"/>
      <c r="L687" s="19"/>
      <c r="M687" s="19"/>
      <c r="N687" s="19"/>
      <c r="O687" s="16"/>
      <c r="P687" s="19"/>
      <c r="Q687" s="19"/>
      <c r="R687" s="19"/>
      <c r="S687" s="19"/>
      <c r="T687" s="19"/>
      <c r="U687" s="16"/>
      <c r="V687" s="19"/>
      <c r="W687" s="16"/>
      <c r="X687" s="19"/>
      <c r="Y687" s="19"/>
      <c r="Z687" s="19"/>
      <c r="AA687" s="19"/>
    </row>
    <row r="688" spans="2:27" x14ac:dyDescent="0.3">
      <c r="B688" s="19"/>
      <c r="C688" s="19"/>
      <c r="D688" s="19"/>
      <c r="E688" s="19"/>
      <c r="F688" s="19"/>
      <c r="G688" s="19"/>
      <c r="H688" s="19"/>
      <c r="I688" s="16"/>
      <c r="J688" s="19"/>
      <c r="K688" s="19"/>
      <c r="L688" s="19"/>
      <c r="M688" s="19"/>
      <c r="N688" s="19"/>
      <c r="O688" s="16"/>
      <c r="P688" s="19"/>
      <c r="Q688" s="19"/>
      <c r="R688" s="19"/>
      <c r="S688" s="19"/>
      <c r="T688" s="19"/>
      <c r="U688" s="16"/>
      <c r="V688" s="19"/>
      <c r="W688" s="16"/>
      <c r="X688" s="19"/>
      <c r="Y688" s="19"/>
      <c r="Z688" s="19"/>
      <c r="AA688" s="19"/>
    </row>
    <row r="689" spans="2:27" x14ac:dyDescent="0.3">
      <c r="B689" s="19"/>
      <c r="C689" s="19"/>
      <c r="D689" s="19"/>
      <c r="E689" s="19"/>
      <c r="F689" s="19"/>
      <c r="G689" s="19"/>
      <c r="H689" s="19"/>
      <c r="I689" s="16"/>
      <c r="J689" s="19"/>
      <c r="K689" s="19"/>
      <c r="L689" s="19"/>
      <c r="M689" s="19"/>
      <c r="N689" s="19"/>
      <c r="O689" s="16"/>
      <c r="P689" s="19"/>
      <c r="Q689" s="19"/>
      <c r="R689" s="19"/>
      <c r="S689" s="19"/>
      <c r="T689" s="19"/>
      <c r="U689" s="16"/>
      <c r="V689" s="19"/>
      <c r="W689" s="16"/>
      <c r="X689" s="19"/>
      <c r="Y689" s="19"/>
      <c r="Z689" s="19"/>
      <c r="AA689" s="19"/>
    </row>
    <row r="690" spans="2:27" x14ac:dyDescent="0.3">
      <c r="B690" s="19"/>
      <c r="C690" s="19"/>
      <c r="D690" s="19"/>
      <c r="E690" s="19"/>
      <c r="F690" s="19"/>
      <c r="G690" s="19"/>
      <c r="H690" s="19"/>
      <c r="I690" s="16"/>
      <c r="J690" s="19"/>
      <c r="K690" s="19"/>
      <c r="L690" s="19"/>
      <c r="M690" s="19"/>
      <c r="N690" s="19"/>
      <c r="O690" s="16"/>
      <c r="P690" s="19"/>
      <c r="Q690" s="19"/>
      <c r="R690" s="19"/>
      <c r="S690" s="19"/>
      <c r="T690" s="19"/>
      <c r="U690" s="16"/>
      <c r="V690" s="19"/>
      <c r="W690" s="16"/>
      <c r="X690" s="19"/>
      <c r="Y690" s="19"/>
      <c r="Z690" s="19"/>
      <c r="AA690" s="19"/>
    </row>
    <row r="691" spans="2:27" x14ac:dyDescent="0.3">
      <c r="B691" s="19"/>
      <c r="C691" s="19"/>
      <c r="D691" s="19"/>
      <c r="E691" s="19"/>
      <c r="F691" s="19"/>
      <c r="G691" s="19"/>
      <c r="H691" s="19"/>
      <c r="I691" s="16"/>
      <c r="J691" s="19"/>
      <c r="K691" s="19"/>
      <c r="L691" s="19"/>
      <c r="M691" s="19"/>
      <c r="N691" s="19"/>
      <c r="O691" s="16"/>
      <c r="P691" s="19"/>
      <c r="Q691" s="19"/>
      <c r="R691" s="19"/>
      <c r="S691" s="19"/>
      <c r="T691" s="19"/>
      <c r="U691" s="16"/>
      <c r="V691" s="19"/>
      <c r="W691" s="16"/>
      <c r="X691" s="19"/>
      <c r="Y691" s="19"/>
      <c r="Z691" s="19"/>
      <c r="AA691" s="19"/>
    </row>
    <row r="692" spans="2:27" x14ac:dyDescent="0.3">
      <c r="B692" s="19"/>
      <c r="C692" s="19"/>
      <c r="D692" s="19"/>
      <c r="E692" s="19"/>
      <c r="F692" s="19"/>
      <c r="G692" s="19"/>
      <c r="H692" s="19"/>
      <c r="I692" s="16"/>
      <c r="J692" s="19"/>
      <c r="K692" s="19"/>
      <c r="L692" s="19"/>
      <c r="M692" s="19"/>
      <c r="N692" s="19"/>
      <c r="O692" s="16"/>
      <c r="P692" s="19"/>
      <c r="Q692" s="19"/>
      <c r="R692" s="19"/>
      <c r="S692" s="19"/>
      <c r="T692" s="19"/>
      <c r="U692" s="16"/>
      <c r="V692" s="19"/>
      <c r="W692" s="16"/>
      <c r="X692" s="19"/>
      <c r="Y692" s="19"/>
      <c r="Z692" s="19"/>
      <c r="AA692" s="19"/>
    </row>
    <row r="693" spans="2:27" x14ac:dyDescent="0.3">
      <c r="B693" s="19"/>
      <c r="C693" s="19"/>
      <c r="D693" s="19"/>
      <c r="E693" s="19"/>
      <c r="F693" s="19"/>
      <c r="G693" s="19"/>
      <c r="H693" s="19"/>
      <c r="I693" s="16"/>
      <c r="J693" s="19"/>
      <c r="K693" s="19"/>
      <c r="L693" s="19"/>
      <c r="M693" s="19"/>
      <c r="N693" s="19"/>
      <c r="O693" s="16"/>
      <c r="P693" s="19"/>
      <c r="Q693" s="19"/>
      <c r="R693" s="19"/>
      <c r="S693" s="19"/>
      <c r="T693" s="19"/>
      <c r="U693" s="16"/>
      <c r="V693" s="19"/>
      <c r="W693" s="16"/>
      <c r="X693" s="19"/>
      <c r="Y693" s="19"/>
      <c r="Z693" s="19"/>
      <c r="AA693" s="19"/>
    </row>
    <row r="694" spans="2:27" x14ac:dyDescent="0.3">
      <c r="B694" s="19"/>
      <c r="C694" s="19"/>
      <c r="D694" s="19"/>
      <c r="E694" s="19"/>
      <c r="F694" s="19"/>
      <c r="G694" s="19"/>
      <c r="H694" s="19"/>
      <c r="I694" s="16"/>
      <c r="J694" s="19"/>
      <c r="K694" s="19"/>
      <c r="L694" s="19"/>
      <c r="M694" s="19"/>
      <c r="N694" s="19"/>
      <c r="O694" s="16"/>
      <c r="P694" s="19"/>
      <c r="Q694" s="19"/>
      <c r="R694" s="19"/>
      <c r="S694" s="19"/>
      <c r="T694" s="19"/>
      <c r="U694" s="16"/>
      <c r="V694" s="19"/>
      <c r="W694" s="16"/>
      <c r="X694" s="19"/>
      <c r="Y694" s="19"/>
      <c r="Z694" s="19"/>
      <c r="AA694" s="19"/>
    </row>
    <row r="695" spans="2:27" x14ac:dyDescent="0.3">
      <c r="B695" s="19"/>
      <c r="C695" s="19"/>
      <c r="D695" s="19"/>
      <c r="E695" s="19"/>
      <c r="F695" s="19"/>
      <c r="G695" s="19"/>
      <c r="H695" s="19"/>
      <c r="I695" s="16"/>
      <c r="J695" s="19"/>
      <c r="K695" s="19"/>
      <c r="L695" s="19"/>
      <c r="M695" s="19"/>
      <c r="N695" s="19"/>
      <c r="O695" s="16"/>
      <c r="P695" s="19"/>
      <c r="Q695" s="19"/>
      <c r="R695" s="19"/>
      <c r="S695" s="19"/>
      <c r="T695" s="19"/>
      <c r="U695" s="16"/>
      <c r="V695" s="19"/>
      <c r="W695" s="16"/>
      <c r="X695" s="19"/>
      <c r="Y695" s="19"/>
      <c r="Z695" s="19"/>
      <c r="AA695" s="19"/>
    </row>
    <row r="696" spans="2:27" x14ac:dyDescent="0.3">
      <c r="B696" s="19"/>
      <c r="C696" s="19"/>
      <c r="D696" s="19"/>
      <c r="E696" s="19"/>
      <c r="F696" s="19"/>
      <c r="G696" s="19"/>
      <c r="H696" s="19"/>
      <c r="I696" s="16"/>
      <c r="J696" s="19"/>
      <c r="K696" s="19"/>
      <c r="L696" s="19"/>
      <c r="M696" s="19"/>
      <c r="N696" s="19"/>
      <c r="O696" s="16"/>
      <c r="P696" s="19"/>
      <c r="Q696" s="19"/>
      <c r="R696" s="19"/>
      <c r="S696" s="19"/>
      <c r="T696" s="19"/>
      <c r="U696" s="16"/>
      <c r="V696" s="19"/>
      <c r="W696" s="16"/>
      <c r="X696" s="19"/>
      <c r="Y696" s="19"/>
      <c r="Z696" s="19"/>
      <c r="AA696" s="19"/>
    </row>
    <row r="697" spans="2:27" x14ac:dyDescent="0.3">
      <c r="B697" s="19"/>
      <c r="C697" s="19"/>
      <c r="D697" s="19"/>
      <c r="E697" s="19"/>
      <c r="F697" s="19"/>
      <c r="G697" s="19"/>
      <c r="H697" s="19"/>
      <c r="I697" s="16"/>
      <c r="J697" s="19"/>
      <c r="K697" s="19"/>
      <c r="L697" s="19"/>
      <c r="M697" s="19"/>
      <c r="N697" s="19"/>
      <c r="O697" s="16"/>
      <c r="P697" s="19"/>
      <c r="Q697" s="19"/>
      <c r="R697" s="19"/>
      <c r="S697" s="19"/>
      <c r="T697" s="19"/>
      <c r="U697" s="16"/>
      <c r="V697" s="19"/>
      <c r="W697" s="16"/>
      <c r="X697" s="19"/>
      <c r="Y697" s="19"/>
      <c r="Z697" s="19"/>
      <c r="AA697" s="19"/>
    </row>
    <row r="698" spans="2:27" x14ac:dyDescent="0.3">
      <c r="B698" s="19"/>
      <c r="C698" s="19"/>
      <c r="D698" s="19"/>
      <c r="E698" s="19"/>
      <c r="F698" s="19"/>
      <c r="G698" s="19"/>
      <c r="H698" s="19"/>
      <c r="I698" s="16"/>
      <c r="J698" s="19"/>
      <c r="K698" s="19"/>
      <c r="L698" s="19"/>
      <c r="M698" s="19"/>
      <c r="N698" s="19"/>
      <c r="O698" s="16"/>
      <c r="P698" s="19"/>
      <c r="Q698" s="19"/>
      <c r="R698" s="19"/>
      <c r="S698" s="19"/>
      <c r="T698" s="19"/>
      <c r="U698" s="16"/>
      <c r="V698" s="19"/>
      <c r="W698" s="16"/>
      <c r="X698" s="19"/>
      <c r="Y698" s="19"/>
      <c r="Z698" s="19"/>
      <c r="AA698" s="19"/>
    </row>
    <row r="699" spans="2:27" x14ac:dyDescent="0.3">
      <c r="B699" s="19"/>
      <c r="C699" s="19"/>
      <c r="D699" s="19"/>
      <c r="E699" s="19"/>
      <c r="F699" s="19"/>
      <c r="G699" s="19"/>
      <c r="H699" s="19"/>
      <c r="I699" s="16"/>
      <c r="J699" s="19"/>
      <c r="K699" s="19"/>
      <c r="L699" s="19"/>
      <c r="M699" s="19"/>
      <c r="N699" s="19"/>
      <c r="O699" s="16"/>
      <c r="P699" s="19"/>
      <c r="Q699" s="19"/>
      <c r="R699" s="19"/>
      <c r="S699" s="19"/>
      <c r="T699" s="19"/>
      <c r="U699" s="16"/>
      <c r="V699" s="19"/>
      <c r="W699" s="16"/>
      <c r="X699" s="19"/>
      <c r="Y699" s="19"/>
      <c r="Z699" s="19"/>
      <c r="AA699" s="19"/>
    </row>
    <row r="700" spans="2:27" x14ac:dyDescent="0.3">
      <c r="B700" s="19"/>
      <c r="C700" s="19"/>
      <c r="D700" s="19"/>
      <c r="E700" s="19"/>
      <c r="F700" s="19"/>
      <c r="G700" s="19"/>
      <c r="H700" s="19"/>
      <c r="I700" s="16"/>
      <c r="J700" s="19"/>
      <c r="K700" s="19"/>
      <c r="L700" s="19"/>
      <c r="M700" s="19"/>
      <c r="N700" s="19"/>
      <c r="O700" s="16"/>
      <c r="P700" s="19"/>
      <c r="Q700" s="19"/>
      <c r="R700" s="19"/>
      <c r="S700" s="19"/>
      <c r="T700" s="19"/>
      <c r="U700" s="16"/>
      <c r="V700" s="19"/>
      <c r="W700" s="16"/>
      <c r="X700" s="19"/>
      <c r="Y700" s="19"/>
      <c r="Z700" s="19"/>
      <c r="AA700" s="19"/>
    </row>
    <row r="701" spans="2:27" x14ac:dyDescent="0.3">
      <c r="B701" s="19"/>
      <c r="C701" s="19"/>
      <c r="D701" s="19"/>
      <c r="E701" s="19"/>
      <c r="F701" s="19"/>
      <c r="G701" s="19"/>
      <c r="H701" s="19"/>
      <c r="I701" s="16"/>
      <c r="J701" s="19"/>
      <c r="K701" s="19"/>
      <c r="L701" s="19"/>
      <c r="M701" s="19"/>
      <c r="N701" s="19"/>
      <c r="O701" s="16"/>
      <c r="P701" s="19"/>
      <c r="Q701" s="19"/>
      <c r="R701" s="19"/>
      <c r="S701" s="19"/>
      <c r="T701" s="19"/>
      <c r="U701" s="16"/>
      <c r="V701" s="19"/>
      <c r="W701" s="16"/>
      <c r="X701" s="19"/>
      <c r="Y701" s="19"/>
      <c r="Z701" s="19"/>
      <c r="AA701" s="19"/>
    </row>
    <row r="702" spans="2:27" x14ac:dyDescent="0.3">
      <c r="B702" s="19"/>
      <c r="C702" s="19"/>
      <c r="D702" s="19"/>
      <c r="E702" s="19"/>
      <c r="F702" s="19"/>
      <c r="G702" s="19"/>
      <c r="H702" s="19"/>
      <c r="I702" s="16"/>
      <c r="J702" s="19"/>
      <c r="K702" s="19"/>
      <c r="L702" s="19"/>
      <c r="M702" s="19"/>
      <c r="N702" s="19"/>
      <c r="O702" s="16"/>
      <c r="P702" s="19"/>
      <c r="Q702" s="19"/>
      <c r="R702" s="19"/>
      <c r="S702" s="19"/>
      <c r="T702" s="19"/>
      <c r="U702" s="16"/>
      <c r="V702" s="19"/>
      <c r="W702" s="16"/>
      <c r="X702" s="19"/>
      <c r="Y702" s="19"/>
      <c r="Z702" s="19"/>
      <c r="AA702" s="19"/>
    </row>
    <row r="703" spans="2:27" x14ac:dyDescent="0.3">
      <c r="B703" s="19"/>
      <c r="C703" s="19"/>
      <c r="D703" s="19"/>
      <c r="E703" s="19"/>
      <c r="F703" s="19"/>
      <c r="G703" s="19"/>
      <c r="H703" s="19"/>
      <c r="I703" s="16"/>
      <c r="J703" s="19"/>
      <c r="K703" s="19"/>
      <c r="L703" s="19"/>
      <c r="M703" s="19"/>
      <c r="N703" s="19"/>
      <c r="O703" s="16"/>
      <c r="P703" s="19"/>
      <c r="Q703" s="19"/>
      <c r="R703" s="19"/>
      <c r="S703" s="19"/>
      <c r="T703" s="19"/>
      <c r="U703" s="16"/>
      <c r="V703" s="19"/>
      <c r="W703" s="16"/>
      <c r="X703" s="19"/>
      <c r="Y703" s="19"/>
      <c r="Z703" s="19"/>
      <c r="AA703" s="19"/>
    </row>
    <row r="704" spans="2:27" x14ac:dyDescent="0.3">
      <c r="B704" s="19"/>
      <c r="C704" s="19"/>
      <c r="D704" s="19"/>
      <c r="E704" s="19"/>
      <c r="F704" s="19"/>
      <c r="G704" s="19"/>
      <c r="H704" s="19"/>
      <c r="I704" s="16"/>
      <c r="J704" s="19"/>
      <c r="K704" s="19"/>
      <c r="L704" s="19"/>
      <c r="M704" s="19"/>
      <c r="N704" s="19"/>
      <c r="O704" s="16"/>
      <c r="P704" s="19"/>
      <c r="Q704" s="19"/>
      <c r="R704" s="19"/>
      <c r="S704" s="19"/>
      <c r="T704" s="19"/>
      <c r="U704" s="16"/>
      <c r="V704" s="19"/>
      <c r="W704" s="16"/>
      <c r="X704" s="19"/>
      <c r="Y704" s="19"/>
      <c r="Z704" s="19"/>
      <c r="AA704" s="19"/>
    </row>
    <row r="705" spans="2:27" x14ac:dyDescent="0.3">
      <c r="B705" s="19"/>
      <c r="C705" s="19"/>
      <c r="D705" s="19"/>
      <c r="E705" s="19"/>
      <c r="F705" s="19"/>
      <c r="G705" s="19"/>
      <c r="H705" s="19"/>
      <c r="I705" s="16"/>
      <c r="J705" s="19"/>
      <c r="K705" s="19"/>
      <c r="L705" s="19"/>
      <c r="M705" s="19"/>
      <c r="N705" s="19"/>
      <c r="O705" s="16"/>
      <c r="P705" s="19"/>
      <c r="Q705" s="19"/>
      <c r="R705" s="19"/>
      <c r="S705" s="19"/>
      <c r="T705" s="19"/>
      <c r="U705" s="16"/>
      <c r="V705" s="19"/>
      <c r="W705" s="16"/>
      <c r="X705" s="19"/>
      <c r="Y705" s="19"/>
      <c r="Z705" s="19"/>
      <c r="AA705" s="19"/>
    </row>
    <row r="706" spans="2:27" x14ac:dyDescent="0.3">
      <c r="B706" s="19"/>
      <c r="C706" s="19"/>
      <c r="D706" s="19"/>
      <c r="E706" s="19"/>
      <c r="F706" s="19"/>
      <c r="G706" s="19"/>
      <c r="H706" s="19"/>
      <c r="I706" s="16"/>
      <c r="J706" s="19"/>
      <c r="K706" s="19"/>
      <c r="L706" s="19"/>
      <c r="M706" s="19"/>
      <c r="N706" s="19"/>
      <c r="O706" s="16"/>
      <c r="P706" s="19"/>
      <c r="Q706" s="19"/>
      <c r="R706" s="19"/>
      <c r="S706" s="19"/>
      <c r="T706" s="19"/>
      <c r="U706" s="16"/>
      <c r="V706" s="19"/>
      <c r="W706" s="16"/>
      <c r="X706" s="19"/>
      <c r="Y706" s="19"/>
      <c r="Z706" s="19"/>
      <c r="AA706" s="19"/>
    </row>
    <row r="707" spans="2:27" x14ac:dyDescent="0.3">
      <c r="B707" s="19"/>
      <c r="C707" s="19"/>
      <c r="D707" s="19"/>
      <c r="E707" s="19"/>
      <c r="F707" s="19"/>
      <c r="G707" s="19"/>
      <c r="H707" s="19"/>
      <c r="I707" s="16"/>
      <c r="J707" s="19"/>
      <c r="K707" s="19"/>
      <c r="L707" s="19"/>
      <c r="M707" s="19"/>
      <c r="N707" s="19"/>
      <c r="O707" s="16"/>
      <c r="P707" s="19"/>
      <c r="Q707" s="19"/>
      <c r="R707" s="19"/>
      <c r="S707" s="19"/>
      <c r="T707" s="19"/>
      <c r="U707" s="16"/>
      <c r="V707" s="19"/>
      <c r="W707" s="16"/>
      <c r="X707" s="19"/>
      <c r="Y707" s="19"/>
      <c r="Z707" s="19"/>
      <c r="AA707" s="19"/>
    </row>
    <row r="708" spans="2:27" x14ac:dyDescent="0.3">
      <c r="B708" s="19"/>
      <c r="C708" s="19"/>
      <c r="D708" s="19"/>
      <c r="E708" s="19"/>
      <c r="F708" s="19"/>
      <c r="G708" s="19"/>
      <c r="H708" s="19"/>
      <c r="I708" s="16"/>
      <c r="J708" s="19"/>
      <c r="K708" s="19"/>
      <c r="L708" s="19"/>
      <c r="M708" s="19"/>
      <c r="N708" s="19"/>
      <c r="O708" s="16"/>
      <c r="P708" s="19"/>
      <c r="Q708" s="19"/>
      <c r="R708" s="19"/>
      <c r="S708" s="19"/>
      <c r="T708" s="19"/>
      <c r="U708" s="16"/>
      <c r="V708" s="19"/>
      <c r="W708" s="16"/>
      <c r="X708" s="19"/>
      <c r="Y708" s="19"/>
      <c r="Z708" s="19"/>
      <c r="AA708" s="19"/>
    </row>
    <row r="709" spans="2:27" x14ac:dyDescent="0.3">
      <c r="B709" s="19"/>
      <c r="C709" s="19"/>
      <c r="D709" s="19"/>
      <c r="E709" s="19"/>
      <c r="F709" s="19"/>
      <c r="G709" s="19"/>
      <c r="H709" s="19"/>
      <c r="I709" s="16"/>
      <c r="J709" s="19"/>
      <c r="K709" s="19"/>
      <c r="L709" s="19"/>
      <c r="M709" s="19"/>
      <c r="N709" s="19"/>
      <c r="O709" s="16"/>
      <c r="P709" s="19"/>
      <c r="Q709" s="19"/>
      <c r="R709" s="19"/>
      <c r="S709" s="19"/>
      <c r="T709" s="19"/>
      <c r="U709" s="16"/>
      <c r="V709" s="19"/>
      <c r="W709" s="16"/>
      <c r="X709" s="19"/>
      <c r="Y709" s="19"/>
      <c r="Z709" s="19"/>
      <c r="AA709" s="19"/>
    </row>
    <row r="710" spans="2:27" x14ac:dyDescent="0.3">
      <c r="B710" s="19"/>
      <c r="C710" s="19"/>
      <c r="D710" s="19"/>
      <c r="E710" s="19"/>
      <c r="F710" s="19"/>
      <c r="G710" s="19"/>
      <c r="H710" s="19"/>
      <c r="I710" s="16"/>
      <c r="J710" s="19"/>
      <c r="K710" s="19"/>
      <c r="L710" s="19"/>
      <c r="M710" s="19"/>
      <c r="N710" s="19"/>
      <c r="O710" s="16"/>
      <c r="P710" s="19"/>
      <c r="Q710" s="19"/>
      <c r="R710" s="19"/>
      <c r="S710" s="19"/>
      <c r="T710" s="19"/>
      <c r="U710" s="16"/>
      <c r="V710" s="19"/>
      <c r="W710" s="16"/>
      <c r="X710" s="19"/>
      <c r="Y710" s="19"/>
      <c r="Z710" s="19"/>
      <c r="AA710" s="19"/>
    </row>
    <row r="711" spans="2:27" x14ac:dyDescent="0.3">
      <c r="B711" s="19"/>
      <c r="C711" s="19"/>
      <c r="D711" s="19"/>
      <c r="E711" s="19"/>
      <c r="F711" s="19"/>
      <c r="G711" s="19"/>
      <c r="H711" s="19"/>
      <c r="I711" s="16"/>
      <c r="J711" s="19"/>
      <c r="K711" s="19"/>
      <c r="L711" s="19"/>
      <c r="M711" s="19"/>
      <c r="N711" s="19"/>
      <c r="O711" s="16"/>
      <c r="P711" s="19"/>
      <c r="Q711" s="19"/>
      <c r="R711" s="19"/>
      <c r="S711" s="19"/>
      <c r="T711" s="19"/>
      <c r="U711" s="16"/>
      <c r="V711" s="19"/>
      <c r="W711" s="16"/>
      <c r="X711" s="19"/>
      <c r="Y711" s="19"/>
      <c r="Z711" s="19"/>
      <c r="AA711" s="19"/>
    </row>
    <row r="712" spans="2:27" x14ac:dyDescent="0.3">
      <c r="B712" s="19"/>
      <c r="C712" s="19"/>
      <c r="D712" s="19"/>
      <c r="E712" s="19"/>
      <c r="F712" s="19"/>
      <c r="G712" s="19"/>
      <c r="H712" s="19"/>
      <c r="I712" s="16"/>
      <c r="J712" s="19"/>
      <c r="K712" s="19"/>
      <c r="L712" s="19"/>
      <c r="M712" s="19"/>
      <c r="N712" s="19"/>
      <c r="O712" s="16"/>
      <c r="P712" s="19"/>
      <c r="Q712" s="19"/>
      <c r="R712" s="19"/>
      <c r="S712" s="19"/>
      <c r="T712" s="19"/>
      <c r="U712" s="16"/>
      <c r="V712" s="19"/>
      <c r="W712" s="16"/>
      <c r="X712" s="19"/>
      <c r="Y712" s="19"/>
      <c r="Z712" s="19"/>
      <c r="AA712" s="19"/>
    </row>
    <row r="713" spans="2:27" x14ac:dyDescent="0.3">
      <c r="B713" s="19"/>
      <c r="C713" s="19"/>
      <c r="D713" s="19"/>
      <c r="E713" s="19"/>
      <c r="F713" s="19"/>
      <c r="G713" s="19"/>
      <c r="H713" s="19"/>
      <c r="I713" s="16"/>
      <c r="J713" s="19"/>
      <c r="K713" s="19"/>
      <c r="L713" s="19"/>
      <c r="M713" s="19"/>
      <c r="N713" s="19"/>
      <c r="O713" s="16"/>
      <c r="P713" s="19"/>
      <c r="Q713" s="19"/>
      <c r="R713" s="19"/>
      <c r="S713" s="19"/>
      <c r="T713" s="19"/>
      <c r="U713" s="16"/>
      <c r="V713" s="19"/>
      <c r="W713" s="16"/>
      <c r="X713" s="19"/>
      <c r="Y713" s="19"/>
      <c r="Z713" s="19"/>
      <c r="AA713" s="19"/>
    </row>
    <row r="714" spans="2:27" x14ac:dyDescent="0.3">
      <c r="B714" s="19"/>
      <c r="C714" s="19"/>
      <c r="D714" s="19"/>
      <c r="E714" s="19"/>
      <c r="F714" s="19"/>
      <c r="G714" s="19"/>
      <c r="H714" s="19"/>
      <c r="I714" s="16"/>
      <c r="J714" s="19"/>
      <c r="K714" s="19"/>
      <c r="L714" s="19"/>
      <c r="M714" s="19"/>
      <c r="N714" s="19"/>
      <c r="O714" s="16"/>
      <c r="P714" s="19"/>
      <c r="Q714" s="19"/>
      <c r="R714" s="19"/>
      <c r="S714" s="19"/>
      <c r="T714" s="19"/>
      <c r="U714" s="16"/>
      <c r="V714" s="19"/>
      <c r="W714" s="16"/>
      <c r="X714" s="19"/>
      <c r="Y714" s="19"/>
      <c r="Z714" s="19"/>
      <c r="AA714" s="19"/>
    </row>
    <row r="715" spans="2:27" x14ac:dyDescent="0.3">
      <c r="B715" s="19"/>
      <c r="C715" s="19"/>
      <c r="D715" s="19"/>
      <c r="E715" s="19"/>
      <c r="F715" s="19"/>
      <c r="G715" s="19"/>
      <c r="H715" s="19"/>
      <c r="I715" s="16"/>
      <c r="J715" s="19"/>
      <c r="K715" s="19"/>
      <c r="L715" s="19"/>
      <c r="M715" s="19"/>
      <c r="N715" s="19"/>
      <c r="O715" s="16"/>
      <c r="P715" s="19"/>
      <c r="Q715" s="19"/>
      <c r="R715" s="19"/>
      <c r="S715" s="19"/>
      <c r="T715" s="19"/>
      <c r="U715" s="16"/>
      <c r="V715" s="19"/>
      <c r="W715" s="16"/>
      <c r="X715" s="19"/>
      <c r="Y715" s="19"/>
      <c r="Z715" s="19"/>
      <c r="AA715" s="19"/>
    </row>
    <row r="716" spans="2:27" x14ac:dyDescent="0.3">
      <c r="B716" s="19"/>
      <c r="C716" s="19"/>
      <c r="D716" s="19"/>
      <c r="E716" s="19"/>
      <c r="F716" s="19"/>
      <c r="G716" s="19"/>
      <c r="H716" s="19"/>
      <c r="I716" s="16"/>
      <c r="J716" s="19"/>
      <c r="K716" s="19"/>
      <c r="L716" s="19"/>
      <c r="M716" s="19"/>
      <c r="N716" s="19"/>
      <c r="O716" s="16"/>
      <c r="P716" s="19"/>
      <c r="Q716" s="19"/>
      <c r="R716" s="19"/>
      <c r="S716" s="19"/>
      <c r="T716" s="19"/>
      <c r="U716" s="16"/>
      <c r="V716" s="19"/>
      <c r="W716" s="16"/>
      <c r="X716" s="19"/>
      <c r="Y716" s="19"/>
      <c r="Z716" s="19"/>
      <c r="AA716" s="19"/>
    </row>
    <row r="717" spans="2:27" x14ac:dyDescent="0.3">
      <c r="B717" s="19"/>
      <c r="C717" s="19"/>
      <c r="D717" s="19"/>
      <c r="E717" s="19"/>
      <c r="F717" s="19"/>
      <c r="G717" s="19"/>
      <c r="H717" s="19"/>
      <c r="I717" s="16"/>
      <c r="J717" s="19"/>
      <c r="K717" s="19"/>
      <c r="L717" s="19"/>
      <c r="M717" s="19"/>
      <c r="N717" s="19"/>
      <c r="O717" s="16"/>
      <c r="P717" s="19"/>
      <c r="Q717" s="19"/>
      <c r="R717" s="19"/>
      <c r="S717" s="19"/>
      <c r="T717" s="19"/>
      <c r="U717" s="16"/>
      <c r="V717" s="19"/>
      <c r="W717" s="16"/>
      <c r="X717" s="19"/>
      <c r="Y717" s="19"/>
      <c r="Z717" s="19"/>
      <c r="AA717" s="19"/>
    </row>
    <row r="718" spans="2:27" x14ac:dyDescent="0.3">
      <c r="B718" s="19"/>
      <c r="C718" s="19"/>
      <c r="D718" s="19"/>
      <c r="E718" s="19"/>
      <c r="F718" s="19"/>
      <c r="G718" s="19"/>
      <c r="H718" s="19"/>
      <c r="I718" s="16"/>
      <c r="J718" s="19"/>
      <c r="K718" s="19"/>
      <c r="L718" s="19"/>
      <c r="M718" s="19"/>
      <c r="N718" s="19"/>
      <c r="O718" s="16"/>
      <c r="P718" s="19"/>
      <c r="Q718" s="19"/>
      <c r="R718" s="19"/>
      <c r="S718" s="19"/>
      <c r="T718" s="19"/>
      <c r="U718" s="16"/>
      <c r="V718" s="19"/>
      <c r="W718" s="16"/>
      <c r="X718" s="19"/>
      <c r="Y718" s="19"/>
      <c r="Z718" s="19"/>
      <c r="AA718" s="19"/>
    </row>
    <row r="719" spans="2:27" x14ac:dyDescent="0.3">
      <c r="B719" s="19"/>
      <c r="C719" s="19"/>
      <c r="D719" s="19"/>
      <c r="E719" s="19"/>
      <c r="F719" s="19"/>
      <c r="G719" s="19"/>
      <c r="H719" s="19"/>
      <c r="I719" s="16"/>
      <c r="J719" s="19"/>
      <c r="K719" s="19"/>
      <c r="L719" s="19"/>
      <c r="M719" s="19"/>
      <c r="N719" s="19"/>
      <c r="O719" s="16"/>
      <c r="P719" s="19"/>
      <c r="Q719" s="19"/>
      <c r="R719" s="19"/>
      <c r="S719" s="19"/>
      <c r="T719" s="19"/>
      <c r="U719" s="16"/>
      <c r="V719" s="19"/>
      <c r="W719" s="16"/>
      <c r="X719" s="19"/>
      <c r="Y719" s="19"/>
      <c r="Z719" s="19"/>
      <c r="AA719" s="19"/>
    </row>
    <row r="720" spans="2:27" x14ac:dyDescent="0.3">
      <c r="B720" s="19"/>
      <c r="C720" s="19"/>
      <c r="D720" s="19"/>
      <c r="E720" s="19"/>
      <c r="F720" s="19"/>
      <c r="G720" s="19"/>
      <c r="H720" s="19"/>
      <c r="I720" s="16"/>
      <c r="J720" s="19"/>
      <c r="K720" s="19"/>
      <c r="L720" s="19"/>
      <c r="M720" s="19"/>
      <c r="N720" s="19"/>
      <c r="O720" s="16"/>
      <c r="P720" s="19"/>
      <c r="Q720" s="19"/>
      <c r="R720" s="19"/>
      <c r="S720" s="19"/>
      <c r="T720" s="19"/>
      <c r="U720" s="16"/>
      <c r="V720" s="19"/>
      <c r="W720" s="16"/>
      <c r="X720" s="19"/>
      <c r="Y720" s="19"/>
      <c r="Z720" s="19"/>
      <c r="AA720" s="19"/>
    </row>
    <row r="721" spans="2:27" x14ac:dyDescent="0.3">
      <c r="B721" s="19"/>
      <c r="C721" s="19"/>
      <c r="D721" s="19"/>
      <c r="E721" s="19"/>
      <c r="F721" s="19"/>
      <c r="G721" s="19"/>
      <c r="H721" s="19"/>
      <c r="I721" s="16"/>
      <c r="J721" s="19"/>
      <c r="K721" s="19"/>
      <c r="L721" s="19"/>
      <c r="M721" s="19"/>
      <c r="N721" s="19"/>
      <c r="O721" s="16"/>
      <c r="P721" s="19"/>
      <c r="Q721" s="19"/>
      <c r="R721" s="19"/>
      <c r="S721" s="19"/>
      <c r="T721" s="19"/>
      <c r="U721" s="16"/>
      <c r="V721" s="19"/>
      <c r="W721" s="16"/>
      <c r="X721" s="19"/>
      <c r="Y721" s="19"/>
      <c r="Z721" s="19"/>
      <c r="AA721" s="19"/>
    </row>
    <row r="722" spans="2:27" x14ac:dyDescent="0.3">
      <c r="B722" s="19"/>
      <c r="C722" s="19"/>
      <c r="D722" s="19"/>
      <c r="E722" s="19"/>
      <c r="F722" s="19"/>
      <c r="G722" s="19"/>
      <c r="H722" s="19"/>
      <c r="I722" s="16"/>
      <c r="J722" s="19"/>
      <c r="K722" s="19"/>
      <c r="L722" s="19"/>
      <c r="M722" s="19"/>
      <c r="N722" s="19"/>
      <c r="O722" s="16"/>
      <c r="P722" s="19"/>
      <c r="Q722" s="19"/>
      <c r="R722" s="19"/>
      <c r="S722" s="19"/>
      <c r="T722" s="19"/>
      <c r="U722" s="16"/>
      <c r="V722" s="19"/>
      <c r="W722" s="16"/>
      <c r="X722" s="19"/>
      <c r="Y722" s="19"/>
      <c r="Z722" s="19"/>
      <c r="AA722" s="19"/>
    </row>
    <row r="723" spans="2:27" x14ac:dyDescent="0.3">
      <c r="B723" s="19"/>
      <c r="C723" s="19"/>
      <c r="D723" s="19"/>
      <c r="E723" s="19"/>
      <c r="F723" s="19"/>
      <c r="G723" s="19"/>
      <c r="H723" s="19"/>
      <c r="I723" s="16"/>
      <c r="J723" s="19"/>
      <c r="K723" s="19"/>
      <c r="L723" s="19"/>
      <c r="M723" s="19"/>
      <c r="N723" s="19"/>
      <c r="O723" s="16"/>
      <c r="P723" s="19"/>
      <c r="Q723" s="19"/>
      <c r="R723" s="19"/>
      <c r="S723" s="19"/>
      <c r="T723" s="19"/>
      <c r="U723" s="16"/>
      <c r="V723" s="19"/>
      <c r="W723" s="16"/>
      <c r="X723" s="19"/>
      <c r="Y723" s="19"/>
      <c r="Z723" s="19"/>
      <c r="AA723" s="19"/>
    </row>
    <row r="724" spans="2:27" x14ac:dyDescent="0.3">
      <c r="B724" s="19"/>
      <c r="C724" s="19"/>
      <c r="D724" s="19"/>
      <c r="E724" s="19"/>
      <c r="F724" s="19"/>
      <c r="G724" s="19"/>
      <c r="H724" s="19"/>
      <c r="I724" s="16"/>
      <c r="J724" s="19"/>
      <c r="K724" s="19"/>
      <c r="L724" s="19"/>
      <c r="M724" s="19"/>
      <c r="N724" s="19"/>
      <c r="O724" s="16"/>
      <c r="P724" s="19"/>
      <c r="Q724" s="19"/>
      <c r="R724" s="19"/>
      <c r="S724" s="19"/>
      <c r="T724" s="19"/>
      <c r="U724" s="16"/>
      <c r="V724" s="19"/>
      <c r="W724" s="16"/>
      <c r="X724" s="19"/>
      <c r="Y724" s="19"/>
      <c r="Z724" s="19"/>
      <c r="AA724" s="19"/>
    </row>
    <row r="725" spans="2:27" x14ac:dyDescent="0.3">
      <c r="B725" s="19"/>
      <c r="C725" s="19"/>
      <c r="D725" s="19"/>
      <c r="E725" s="19"/>
      <c r="F725" s="19"/>
      <c r="G725" s="19"/>
      <c r="H725" s="19"/>
      <c r="I725" s="16"/>
      <c r="J725" s="19"/>
      <c r="K725" s="19"/>
      <c r="L725" s="19"/>
      <c r="M725" s="19"/>
      <c r="N725" s="19"/>
      <c r="O725" s="16"/>
      <c r="P725" s="19"/>
      <c r="Q725" s="19"/>
      <c r="R725" s="19"/>
      <c r="S725" s="19"/>
      <c r="T725" s="19"/>
      <c r="U725" s="16"/>
      <c r="V725" s="19"/>
      <c r="W725" s="16"/>
      <c r="X725" s="19"/>
      <c r="Y725" s="19"/>
      <c r="Z725" s="19"/>
      <c r="AA725" s="19"/>
    </row>
    <row r="726" spans="2:27" x14ac:dyDescent="0.3">
      <c r="B726" s="19"/>
      <c r="C726" s="19"/>
      <c r="D726" s="19"/>
      <c r="E726" s="19"/>
      <c r="F726" s="19"/>
      <c r="G726" s="19"/>
      <c r="H726" s="19"/>
      <c r="I726" s="16"/>
      <c r="J726" s="19"/>
      <c r="K726" s="19"/>
      <c r="L726" s="19"/>
      <c r="M726" s="19"/>
      <c r="N726" s="19"/>
      <c r="O726" s="16"/>
      <c r="P726" s="19"/>
      <c r="Q726" s="19"/>
      <c r="R726" s="19"/>
      <c r="S726" s="19"/>
      <c r="T726" s="19"/>
      <c r="U726" s="16"/>
      <c r="V726" s="19"/>
      <c r="W726" s="16"/>
      <c r="X726" s="19"/>
      <c r="Y726" s="19"/>
      <c r="Z726" s="19"/>
      <c r="AA726" s="19"/>
    </row>
    <row r="727" spans="2:27" x14ac:dyDescent="0.3">
      <c r="B727" s="19"/>
      <c r="C727" s="19"/>
      <c r="D727" s="19"/>
      <c r="E727" s="19"/>
      <c r="F727" s="19"/>
      <c r="G727" s="19"/>
      <c r="H727" s="19"/>
      <c r="I727" s="16"/>
      <c r="J727" s="19"/>
      <c r="K727" s="19"/>
      <c r="L727" s="19"/>
      <c r="M727" s="19"/>
      <c r="N727" s="19"/>
      <c r="O727" s="16"/>
      <c r="P727" s="19"/>
      <c r="Q727" s="19"/>
      <c r="R727" s="19"/>
      <c r="S727" s="19"/>
      <c r="T727" s="19"/>
      <c r="U727" s="16"/>
      <c r="V727" s="19"/>
      <c r="W727" s="16"/>
      <c r="X727" s="19"/>
      <c r="Y727" s="19"/>
      <c r="Z727" s="19"/>
      <c r="AA727" s="19"/>
    </row>
    <row r="728" spans="2:27" x14ac:dyDescent="0.3">
      <c r="B728" s="19"/>
      <c r="C728" s="19"/>
      <c r="D728" s="19"/>
      <c r="E728" s="19"/>
      <c r="F728" s="19"/>
      <c r="G728" s="19"/>
      <c r="H728" s="19"/>
      <c r="I728" s="16"/>
      <c r="J728" s="19"/>
      <c r="K728" s="19"/>
      <c r="L728" s="19"/>
      <c r="M728" s="19"/>
      <c r="N728" s="19"/>
      <c r="O728" s="16"/>
      <c r="P728" s="19"/>
      <c r="Q728" s="19"/>
      <c r="R728" s="19"/>
      <c r="S728" s="19"/>
      <c r="T728" s="19"/>
      <c r="U728" s="16"/>
      <c r="V728" s="19"/>
      <c r="W728" s="16"/>
      <c r="X728" s="19"/>
      <c r="Y728" s="19"/>
      <c r="Z728" s="19"/>
      <c r="AA728" s="19"/>
    </row>
    <row r="729" spans="2:27" x14ac:dyDescent="0.3">
      <c r="B729" s="19"/>
      <c r="C729" s="19"/>
      <c r="D729" s="19"/>
      <c r="E729" s="19"/>
      <c r="F729" s="19"/>
      <c r="G729" s="19"/>
      <c r="H729" s="19"/>
      <c r="I729" s="16"/>
      <c r="J729" s="19"/>
      <c r="K729" s="19"/>
      <c r="L729" s="19"/>
      <c r="M729" s="19"/>
      <c r="N729" s="19"/>
      <c r="O729" s="16"/>
      <c r="P729" s="19"/>
      <c r="Q729" s="19"/>
      <c r="R729" s="19"/>
      <c r="S729" s="19"/>
      <c r="T729" s="19"/>
      <c r="U729" s="16"/>
      <c r="V729" s="19"/>
      <c r="W729" s="16"/>
      <c r="X729" s="19"/>
      <c r="Y729" s="19"/>
      <c r="Z729" s="19"/>
      <c r="AA729" s="19"/>
    </row>
    <row r="730" spans="2:27" x14ac:dyDescent="0.3">
      <c r="B730" s="19"/>
      <c r="C730" s="19"/>
      <c r="D730" s="19"/>
      <c r="E730" s="19"/>
      <c r="F730" s="19"/>
      <c r="G730" s="19"/>
      <c r="H730" s="19"/>
      <c r="I730" s="16"/>
      <c r="J730" s="19"/>
      <c r="K730" s="19"/>
      <c r="L730" s="19"/>
      <c r="M730" s="19"/>
      <c r="N730" s="19"/>
      <c r="O730" s="16"/>
      <c r="P730" s="19"/>
      <c r="Q730" s="19"/>
      <c r="R730" s="19"/>
      <c r="S730" s="19"/>
      <c r="T730" s="19"/>
      <c r="U730" s="16"/>
      <c r="V730" s="19"/>
      <c r="W730" s="16"/>
      <c r="X730" s="19"/>
      <c r="Y730" s="19"/>
      <c r="Z730" s="19"/>
      <c r="AA730" s="19"/>
    </row>
    <row r="731" spans="2:27" x14ac:dyDescent="0.3">
      <c r="B731" s="19"/>
      <c r="C731" s="19"/>
      <c r="D731" s="19"/>
      <c r="E731" s="19"/>
      <c r="F731" s="19"/>
      <c r="G731" s="19"/>
      <c r="H731" s="19"/>
      <c r="I731" s="16"/>
      <c r="J731" s="19"/>
      <c r="K731" s="19"/>
      <c r="L731" s="19"/>
      <c r="M731" s="19"/>
      <c r="N731" s="19"/>
      <c r="O731" s="16"/>
      <c r="P731" s="19"/>
      <c r="Q731" s="19"/>
      <c r="R731" s="19"/>
      <c r="S731" s="19"/>
      <c r="T731" s="19"/>
      <c r="U731" s="16"/>
      <c r="V731" s="19"/>
      <c r="W731" s="16"/>
      <c r="X731" s="19"/>
      <c r="Y731" s="19"/>
      <c r="Z731" s="19"/>
      <c r="AA731" s="19"/>
    </row>
    <row r="732" spans="2:27" x14ac:dyDescent="0.3">
      <c r="B732" s="19"/>
      <c r="C732" s="19"/>
      <c r="D732" s="19"/>
      <c r="E732" s="19"/>
      <c r="F732" s="19"/>
      <c r="G732" s="19"/>
      <c r="H732" s="19"/>
      <c r="I732" s="16"/>
      <c r="J732" s="19"/>
      <c r="K732" s="19"/>
      <c r="L732" s="19"/>
      <c r="M732" s="19"/>
      <c r="N732" s="19"/>
      <c r="O732" s="16"/>
      <c r="P732" s="19"/>
      <c r="Q732" s="19"/>
      <c r="R732" s="19"/>
      <c r="S732" s="19"/>
      <c r="T732" s="19"/>
      <c r="U732" s="16"/>
      <c r="V732" s="19"/>
      <c r="W732" s="16"/>
      <c r="X732" s="19"/>
      <c r="Y732" s="19"/>
      <c r="Z732" s="19"/>
      <c r="AA732" s="19"/>
    </row>
    <row r="733" spans="2:27" x14ac:dyDescent="0.3">
      <c r="B733" s="19"/>
      <c r="C733" s="19"/>
      <c r="D733" s="19"/>
      <c r="E733" s="19"/>
      <c r="F733" s="19"/>
      <c r="G733" s="19"/>
      <c r="H733" s="19"/>
      <c r="I733" s="16"/>
      <c r="J733" s="19"/>
      <c r="K733" s="19"/>
      <c r="L733" s="19"/>
      <c r="M733" s="19"/>
      <c r="N733" s="19"/>
      <c r="O733" s="16"/>
      <c r="P733" s="19"/>
      <c r="Q733" s="19"/>
      <c r="R733" s="19"/>
      <c r="S733" s="19"/>
      <c r="T733" s="19"/>
      <c r="U733" s="16"/>
      <c r="V733" s="19"/>
      <c r="W733" s="16"/>
      <c r="X733" s="19"/>
      <c r="Y733" s="19"/>
      <c r="Z733" s="19"/>
      <c r="AA733" s="19"/>
    </row>
    <row r="734" spans="2:27" x14ac:dyDescent="0.3">
      <c r="B734" s="19"/>
      <c r="C734" s="19"/>
      <c r="D734" s="19"/>
      <c r="E734" s="19"/>
      <c r="F734" s="19"/>
      <c r="G734" s="19"/>
      <c r="H734" s="19"/>
      <c r="I734" s="16"/>
      <c r="J734" s="19"/>
      <c r="K734" s="19"/>
      <c r="L734" s="19"/>
      <c r="M734" s="19"/>
      <c r="N734" s="19"/>
      <c r="O734" s="16"/>
      <c r="P734" s="19"/>
      <c r="Q734" s="19"/>
      <c r="R734" s="19"/>
      <c r="S734" s="19"/>
      <c r="T734" s="19"/>
      <c r="U734" s="16"/>
      <c r="V734" s="19"/>
      <c r="W734" s="16"/>
      <c r="X734" s="19"/>
      <c r="Y734" s="19"/>
      <c r="Z734" s="19"/>
      <c r="AA734" s="19"/>
    </row>
    <row r="735" spans="2:27" x14ac:dyDescent="0.3">
      <c r="B735" s="19"/>
      <c r="C735" s="19"/>
      <c r="D735" s="19"/>
      <c r="E735" s="19"/>
      <c r="F735" s="19"/>
      <c r="G735" s="19"/>
      <c r="H735" s="19"/>
      <c r="I735" s="16"/>
      <c r="J735" s="19"/>
      <c r="K735" s="19"/>
      <c r="L735" s="19"/>
      <c r="M735" s="19"/>
      <c r="N735" s="19"/>
      <c r="O735" s="16"/>
      <c r="P735" s="19"/>
      <c r="Q735" s="19"/>
      <c r="R735" s="19"/>
      <c r="S735" s="19"/>
      <c r="T735" s="19"/>
      <c r="U735" s="16"/>
      <c r="V735" s="19"/>
      <c r="W735" s="16"/>
      <c r="X735" s="19"/>
      <c r="Y735" s="19"/>
      <c r="Z735" s="19"/>
      <c r="AA735" s="19"/>
    </row>
    <row r="736" spans="2:27" x14ac:dyDescent="0.3">
      <c r="B736" s="19"/>
      <c r="C736" s="19"/>
      <c r="D736" s="19"/>
      <c r="E736" s="19"/>
      <c r="F736" s="19"/>
      <c r="G736" s="19"/>
      <c r="H736" s="19"/>
      <c r="I736" s="16"/>
      <c r="J736" s="19"/>
      <c r="K736" s="19"/>
      <c r="L736" s="19"/>
      <c r="M736" s="19"/>
      <c r="N736" s="19"/>
      <c r="O736" s="16"/>
      <c r="P736" s="19"/>
      <c r="Q736" s="19"/>
      <c r="R736" s="19"/>
      <c r="S736" s="19"/>
      <c r="T736" s="19"/>
      <c r="U736" s="16"/>
      <c r="V736" s="19"/>
      <c r="W736" s="16"/>
      <c r="X736" s="19"/>
      <c r="Y736" s="19"/>
      <c r="Z736" s="19"/>
      <c r="AA736" s="19"/>
    </row>
    <row r="737" spans="2:27" x14ac:dyDescent="0.3">
      <c r="B737" s="19"/>
      <c r="C737" s="19"/>
      <c r="D737" s="19"/>
      <c r="E737" s="19"/>
      <c r="F737" s="19"/>
      <c r="G737" s="19"/>
      <c r="H737" s="19"/>
      <c r="I737" s="16"/>
      <c r="J737" s="19"/>
      <c r="K737" s="19"/>
      <c r="L737" s="19"/>
      <c r="M737" s="19"/>
      <c r="N737" s="19"/>
      <c r="O737" s="16"/>
      <c r="P737" s="19"/>
      <c r="Q737" s="19"/>
      <c r="R737" s="19"/>
      <c r="S737" s="19"/>
      <c r="T737" s="19"/>
      <c r="U737" s="16"/>
      <c r="V737" s="19"/>
      <c r="W737" s="16"/>
      <c r="X737" s="19"/>
      <c r="Y737" s="19"/>
      <c r="Z737" s="19"/>
      <c r="AA737" s="19"/>
    </row>
    <row r="738" spans="2:27" x14ac:dyDescent="0.3">
      <c r="B738" s="19"/>
      <c r="C738" s="19"/>
      <c r="D738" s="19"/>
      <c r="E738" s="19"/>
      <c r="F738" s="19"/>
      <c r="G738" s="19"/>
      <c r="H738" s="19"/>
      <c r="I738" s="16"/>
      <c r="J738" s="19"/>
      <c r="K738" s="19"/>
      <c r="L738" s="19"/>
      <c r="M738" s="19"/>
      <c r="N738" s="19"/>
      <c r="O738" s="16"/>
      <c r="P738" s="19"/>
      <c r="Q738" s="19"/>
      <c r="R738" s="19"/>
      <c r="S738" s="19"/>
      <c r="T738" s="19"/>
      <c r="U738" s="16"/>
      <c r="V738" s="19"/>
      <c r="W738" s="16"/>
      <c r="X738" s="19"/>
      <c r="Y738" s="19"/>
      <c r="Z738" s="19"/>
      <c r="AA738" s="19"/>
    </row>
    <row r="739" spans="2:27" x14ac:dyDescent="0.3">
      <c r="B739" s="19"/>
      <c r="C739" s="19"/>
      <c r="D739" s="19"/>
      <c r="E739" s="19"/>
      <c r="F739" s="19"/>
      <c r="G739" s="19"/>
      <c r="H739" s="19"/>
      <c r="I739" s="16"/>
      <c r="J739" s="19"/>
      <c r="K739" s="19"/>
      <c r="L739" s="19"/>
      <c r="M739" s="19"/>
      <c r="N739" s="19"/>
      <c r="O739" s="16"/>
      <c r="P739" s="19"/>
      <c r="Q739" s="19"/>
      <c r="R739" s="19"/>
      <c r="S739" s="19"/>
      <c r="T739" s="19"/>
      <c r="U739" s="16"/>
      <c r="V739" s="19"/>
      <c r="W739" s="16"/>
      <c r="X739" s="19"/>
      <c r="Y739" s="19"/>
      <c r="Z739" s="19"/>
      <c r="AA739" s="19"/>
    </row>
    <row r="740" spans="2:27" x14ac:dyDescent="0.3">
      <c r="B740" s="19"/>
      <c r="C740" s="19"/>
      <c r="D740" s="19"/>
      <c r="E740" s="19"/>
      <c r="F740" s="19"/>
      <c r="G740" s="19"/>
      <c r="H740" s="19"/>
      <c r="I740" s="16"/>
      <c r="J740" s="19"/>
      <c r="K740" s="19"/>
      <c r="L740" s="19"/>
      <c r="M740" s="19"/>
      <c r="N740" s="19"/>
      <c r="O740" s="16"/>
      <c r="P740" s="19"/>
      <c r="Q740" s="19"/>
      <c r="R740" s="19"/>
      <c r="S740" s="19"/>
      <c r="T740" s="19"/>
      <c r="U740" s="16"/>
      <c r="V740" s="19"/>
      <c r="W740" s="16"/>
      <c r="X740" s="19"/>
      <c r="Y740" s="19"/>
      <c r="Z740" s="19"/>
      <c r="AA740" s="19"/>
    </row>
    <row r="741" spans="2:27" x14ac:dyDescent="0.3">
      <c r="B741" s="19"/>
      <c r="C741" s="19"/>
      <c r="D741" s="19"/>
      <c r="E741" s="19"/>
      <c r="F741" s="19"/>
      <c r="G741" s="19"/>
      <c r="H741" s="19"/>
      <c r="I741" s="16"/>
      <c r="J741" s="19"/>
      <c r="K741" s="19"/>
      <c r="L741" s="19"/>
      <c r="M741" s="19"/>
      <c r="N741" s="19"/>
      <c r="O741" s="16"/>
      <c r="P741" s="19"/>
      <c r="Q741" s="19"/>
      <c r="R741" s="19"/>
      <c r="S741" s="19"/>
      <c r="T741" s="19"/>
      <c r="U741" s="16"/>
      <c r="V741" s="19"/>
      <c r="W741" s="16"/>
      <c r="X741" s="19"/>
      <c r="Y741" s="19"/>
      <c r="Z741" s="19"/>
      <c r="AA741" s="19"/>
    </row>
    <row r="742" spans="2:27" x14ac:dyDescent="0.3">
      <c r="B742" s="19"/>
      <c r="C742" s="19"/>
      <c r="D742" s="19"/>
      <c r="E742" s="19"/>
      <c r="F742" s="19"/>
      <c r="G742" s="19"/>
      <c r="H742" s="19"/>
      <c r="I742" s="16"/>
      <c r="J742" s="19"/>
      <c r="K742" s="19"/>
      <c r="L742" s="19"/>
      <c r="M742" s="19"/>
      <c r="N742" s="19"/>
      <c r="O742" s="16"/>
      <c r="P742" s="19"/>
      <c r="Q742" s="19"/>
      <c r="R742" s="19"/>
      <c r="S742" s="19"/>
      <c r="T742" s="19"/>
      <c r="U742" s="16"/>
      <c r="V742" s="19"/>
      <c r="W742" s="16"/>
      <c r="X742" s="19"/>
      <c r="Y742" s="19"/>
      <c r="Z742" s="19"/>
      <c r="AA742" s="19"/>
    </row>
    <row r="743" spans="2:27" x14ac:dyDescent="0.3">
      <c r="B743" s="19"/>
      <c r="C743" s="19"/>
      <c r="D743" s="19"/>
      <c r="E743" s="19"/>
      <c r="F743" s="19"/>
      <c r="G743" s="19"/>
      <c r="H743" s="19"/>
      <c r="I743" s="16"/>
      <c r="J743" s="19"/>
      <c r="K743" s="19"/>
      <c r="L743" s="19"/>
      <c r="M743" s="19"/>
      <c r="N743" s="19"/>
      <c r="O743" s="16"/>
      <c r="P743" s="19"/>
      <c r="Q743" s="19"/>
      <c r="R743" s="19"/>
      <c r="S743" s="19"/>
      <c r="T743" s="19"/>
      <c r="U743" s="16"/>
      <c r="V743" s="19"/>
      <c r="W743" s="16"/>
      <c r="X743" s="19"/>
      <c r="Y743" s="19"/>
      <c r="Z743" s="19"/>
      <c r="AA743" s="19"/>
    </row>
    <row r="744" spans="2:27" x14ac:dyDescent="0.3">
      <c r="B744" s="19"/>
      <c r="C744" s="19"/>
      <c r="D744" s="19"/>
      <c r="E744" s="19"/>
      <c r="F744" s="19"/>
      <c r="G744" s="19"/>
      <c r="H744" s="19"/>
      <c r="I744" s="16"/>
      <c r="J744" s="19"/>
      <c r="K744" s="19"/>
      <c r="L744" s="19"/>
      <c r="M744" s="19"/>
      <c r="N744" s="19"/>
      <c r="O744" s="16"/>
      <c r="P744" s="19"/>
      <c r="Q744" s="19"/>
      <c r="R744" s="19"/>
      <c r="S744" s="19"/>
      <c r="T744" s="19"/>
      <c r="U744" s="16"/>
      <c r="V744" s="19"/>
      <c r="W744" s="16"/>
      <c r="X744" s="19"/>
      <c r="Y744" s="19"/>
      <c r="Z744" s="19"/>
      <c r="AA744" s="19"/>
    </row>
    <row r="745" spans="2:27" x14ac:dyDescent="0.3">
      <c r="B745" s="19"/>
      <c r="C745" s="19"/>
      <c r="D745" s="19"/>
      <c r="E745" s="19"/>
      <c r="F745" s="19"/>
      <c r="G745" s="19"/>
      <c r="H745" s="19"/>
      <c r="I745" s="16"/>
      <c r="J745" s="19"/>
      <c r="K745" s="19"/>
      <c r="L745" s="19"/>
      <c r="M745" s="19"/>
      <c r="N745" s="19"/>
      <c r="O745" s="16"/>
      <c r="P745" s="19"/>
      <c r="Q745" s="19"/>
      <c r="R745" s="19"/>
      <c r="S745" s="19"/>
      <c r="T745" s="19"/>
      <c r="U745" s="16"/>
      <c r="V745" s="19"/>
      <c r="W745" s="16"/>
      <c r="X745" s="19"/>
      <c r="Y745" s="19"/>
      <c r="Z745" s="19"/>
      <c r="AA745" s="19"/>
    </row>
    <row r="746" spans="2:27" x14ac:dyDescent="0.3">
      <c r="B746" s="19"/>
      <c r="C746" s="19"/>
      <c r="D746" s="19"/>
      <c r="E746" s="19"/>
      <c r="F746" s="19"/>
      <c r="G746" s="19"/>
      <c r="H746" s="19"/>
      <c r="I746" s="16"/>
      <c r="J746" s="19"/>
      <c r="K746" s="19"/>
      <c r="L746" s="19"/>
      <c r="M746" s="19"/>
      <c r="N746" s="19"/>
      <c r="O746" s="16"/>
      <c r="P746" s="19"/>
      <c r="Q746" s="19"/>
      <c r="R746" s="19"/>
      <c r="S746" s="19"/>
      <c r="T746" s="19"/>
      <c r="U746" s="16"/>
      <c r="V746" s="19"/>
      <c r="W746" s="16"/>
      <c r="X746" s="19"/>
      <c r="Y746" s="19"/>
      <c r="Z746" s="19"/>
      <c r="AA746" s="19"/>
    </row>
    <row r="747" spans="2:27" x14ac:dyDescent="0.3">
      <c r="B747" s="19"/>
      <c r="C747" s="19"/>
      <c r="D747" s="19"/>
      <c r="E747" s="19"/>
      <c r="F747" s="19"/>
      <c r="G747" s="19"/>
      <c r="H747" s="19"/>
      <c r="I747" s="16"/>
      <c r="J747" s="19"/>
      <c r="K747" s="19"/>
      <c r="L747" s="19"/>
      <c r="M747" s="19"/>
      <c r="N747" s="19"/>
      <c r="O747" s="16"/>
      <c r="P747" s="19"/>
      <c r="Q747" s="19"/>
      <c r="R747" s="19"/>
      <c r="S747" s="19"/>
      <c r="T747" s="19"/>
      <c r="U747" s="16"/>
      <c r="V747" s="19"/>
      <c r="W747" s="16"/>
      <c r="X747" s="19"/>
      <c r="Y747" s="19"/>
      <c r="Z747" s="19"/>
      <c r="AA747" s="19"/>
    </row>
    <row r="748" spans="2:27" x14ac:dyDescent="0.3">
      <c r="B748" s="19"/>
      <c r="C748" s="19"/>
      <c r="D748" s="19"/>
      <c r="E748" s="19"/>
      <c r="F748" s="19"/>
      <c r="G748" s="19"/>
      <c r="H748" s="19"/>
      <c r="I748" s="16"/>
      <c r="J748" s="19"/>
      <c r="K748" s="19"/>
      <c r="L748" s="19"/>
      <c r="M748" s="19"/>
      <c r="N748" s="19"/>
      <c r="O748" s="16"/>
      <c r="P748" s="19"/>
      <c r="Q748" s="19"/>
      <c r="R748" s="19"/>
      <c r="S748" s="19"/>
      <c r="T748" s="19"/>
      <c r="U748" s="16"/>
      <c r="V748" s="19"/>
      <c r="W748" s="16"/>
      <c r="X748" s="19"/>
      <c r="Y748" s="19"/>
      <c r="Z748" s="19"/>
      <c r="AA748" s="19"/>
    </row>
    <row r="749" spans="2:27" x14ac:dyDescent="0.3">
      <c r="B749" s="19"/>
      <c r="C749" s="19"/>
      <c r="D749" s="19"/>
      <c r="E749" s="19"/>
      <c r="F749" s="19"/>
      <c r="G749" s="19"/>
      <c r="H749" s="19"/>
      <c r="I749" s="16"/>
      <c r="J749" s="19"/>
      <c r="K749" s="19"/>
      <c r="L749" s="19"/>
      <c r="M749" s="19"/>
      <c r="N749" s="19"/>
      <c r="O749" s="16"/>
      <c r="P749" s="19"/>
      <c r="Q749" s="19"/>
      <c r="R749" s="19"/>
      <c r="S749" s="19"/>
      <c r="T749" s="19"/>
      <c r="U749" s="16"/>
      <c r="V749" s="19"/>
      <c r="W749" s="16"/>
      <c r="X749" s="19"/>
      <c r="Y749" s="19"/>
      <c r="Z749" s="19"/>
      <c r="AA749" s="19"/>
    </row>
    <row r="750" spans="2:27" x14ac:dyDescent="0.3">
      <c r="B750" s="19"/>
      <c r="C750" s="19"/>
      <c r="D750" s="19"/>
      <c r="E750" s="19"/>
      <c r="F750" s="19"/>
      <c r="G750" s="19"/>
      <c r="H750" s="19"/>
      <c r="I750" s="16"/>
      <c r="J750" s="19"/>
      <c r="K750" s="19"/>
      <c r="L750" s="19"/>
      <c r="M750" s="19"/>
      <c r="N750" s="19"/>
      <c r="O750" s="16"/>
      <c r="P750" s="19"/>
      <c r="Q750" s="19"/>
      <c r="R750" s="19"/>
      <c r="S750" s="19"/>
      <c r="T750" s="19"/>
      <c r="U750" s="16"/>
      <c r="V750" s="19"/>
      <c r="W750" s="16"/>
      <c r="X750" s="19"/>
      <c r="Y750" s="19"/>
      <c r="Z750" s="19"/>
      <c r="AA750" s="19"/>
    </row>
    <row r="751" spans="2:27" x14ac:dyDescent="0.3">
      <c r="B751" s="19"/>
      <c r="C751" s="19"/>
      <c r="D751" s="19"/>
      <c r="E751" s="19"/>
      <c r="F751" s="19"/>
      <c r="G751" s="19"/>
      <c r="H751" s="19"/>
      <c r="I751" s="16"/>
      <c r="J751" s="19"/>
      <c r="K751" s="19"/>
      <c r="L751" s="19"/>
      <c r="M751" s="19"/>
      <c r="N751" s="19"/>
      <c r="O751" s="16"/>
      <c r="P751" s="19"/>
      <c r="Q751" s="19"/>
      <c r="R751" s="19"/>
      <c r="S751" s="19"/>
      <c r="T751" s="19"/>
      <c r="U751" s="16"/>
      <c r="V751" s="19"/>
      <c r="W751" s="16"/>
      <c r="X751" s="19"/>
      <c r="Y751" s="19"/>
      <c r="Z751" s="19"/>
      <c r="AA751" s="19"/>
    </row>
    <row r="752" spans="2:27" x14ac:dyDescent="0.3">
      <c r="B752" s="19"/>
      <c r="C752" s="19"/>
      <c r="D752" s="19"/>
      <c r="E752" s="19"/>
      <c r="F752" s="19"/>
      <c r="G752" s="19"/>
      <c r="H752" s="19"/>
      <c r="I752" s="16"/>
      <c r="J752" s="19"/>
      <c r="K752" s="19"/>
      <c r="L752" s="19"/>
      <c r="M752" s="19"/>
      <c r="N752" s="19"/>
      <c r="O752" s="16"/>
      <c r="P752" s="19"/>
      <c r="Q752" s="19"/>
      <c r="R752" s="19"/>
      <c r="S752" s="19"/>
      <c r="T752" s="19"/>
      <c r="U752" s="16"/>
      <c r="V752" s="19"/>
      <c r="W752" s="16"/>
      <c r="X752" s="19"/>
      <c r="Y752" s="19"/>
      <c r="Z752" s="19"/>
      <c r="AA752" s="19"/>
    </row>
    <row r="753" spans="2:27" x14ac:dyDescent="0.3">
      <c r="B753" s="19"/>
      <c r="C753" s="19"/>
      <c r="D753" s="19"/>
      <c r="E753" s="19"/>
      <c r="F753" s="19"/>
      <c r="G753" s="19"/>
      <c r="H753" s="19"/>
      <c r="I753" s="16"/>
      <c r="J753" s="19"/>
      <c r="K753" s="19"/>
      <c r="L753" s="19"/>
      <c r="M753" s="19"/>
      <c r="N753" s="19"/>
      <c r="O753" s="16"/>
      <c r="P753" s="19"/>
      <c r="Q753" s="19"/>
      <c r="R753" s="19"/>
      <c r="S753" s="19"/>
      <c r="T753" s="19"/>
      <c r="U753" s="16"/>
      <c r="V753" s="19"/>
      <c r="W753" s="16"/>
      <c r="X753" s="19"/>
      <c r="Y753" s="19"/>
      <c r="Z753" s="19"/>
      <c r="AA753" s="19"/>
    </row>
    <row r="754" spans="2:27" x14ac:dyDescent="0.3">
      <c r="B754" s="19"/>
      <c r="C754" s="19"/>
      <c r="D754" s="19"/>
      <c r="E754" s="19"/>
      <c r="F754" s="19"/>
      <c r="G754" s="19"/>
      <c r="H754" s="19"/>
      <c r="I754" s="16"/>
      <c r="J754" s="19"/>
      <c r="K754" s="19"/>
      <c r="L754" s="19"/>
      <c r="M754" s="19"/>
      <c r="N754" s="19"/>
      <c r="O754" s="16"/>
      <c r="P754" s="19"/>
      <c r="Q754" s="19"/>
      <c r="R754" s="19"/>
      <c r="S754" s="19"/>
      <c r="T754" s="19"/>
      <c r="U754" s="16"/>
      <c r="V754" s="19"/>
      <c r="W754" s="16"/>
      <c r="X754" s="19"/>
      <c r="Y754" s="19"/>
      <c r="Z754" s="19"/>
      <c r="AA754" s="19"/>
    </row>
    <row r="755" spans="2:27" x14ac:dyDescent="0.3">
      <c r="B755" s="19"/>
      <c r="C755" s="19"/>
      <c r="D755" s="19"/>
      <c r="E755" s="19"/>
      <c r="F755" s="19"/>
      <c r="G755" s="19"/>
      <c r="H755" s="19"/>
      <c r="I755" s="16"/>
      <c r="J755" s="19"/>
      <c r="K755" s="19"/>
      <c r="L755" s="19"/>
      <c r="M755" s="19"/>
      <c r="N755" s="19"/>
      <c r="O755" s="16"/>
      <c r="P755" s="19"/>
      <c r="Q755" s="19"/>
      <c r="R755" s="19"/>
      <c r="S755" s="19"/>
      <c r="T755" s="19"/>
      <c r="U755" s="16"/>
      <c r="V755" s="19"/>
      <c r="W755" s="16"/>
      <c r="X755" s="19"/>
      <c r="Y755" s="19"/>
      <c r="Z755" s="19"/>
      <c r="AA755" s="19"/>
    </row>
    <row r="756" spans="2:27" x14ac:dyDescent="0.3">
      <c r="B756" s="19"/>
      <c r="C756" s="19"/>
      <c r="D756" s="19"/>
      <c r="E756" s="19"/>
      <c r="F756" s="19"/>
      <c r="G756" s="19"/>
      <c r="H756" s="19"/>
      <c r="I756" s="16"/>
      <c r="J756" s="19"/>
      <c r="K756" s="19"/>
      <c r="L756" s="19"/>
      <c r="M756" s="19"/>
      <c r="N756" s="19"/>
      <c r="O756" s="16"/>
      <c r="P756" s="19"/>
      <c r="Q756" s="19"/>
      <c r="R756" s="19"/>
      <c r="S756" s="19"/>
      <c r="T756" s="19"/>
      <c r="U756" s="16"/>
      <c r="V756" s="19"/>
      <c r="W756" s="16"/>
      <c r="X756" s="19"/>
      <c r="Y756" s="19"/>
      <c r="Z756" s="19"/>
      <c r="AA756" s="19"/>
    </row>
    <row r="757" spans="2:27" x14ac:dyDescent="0.3">
      <c r="B757" s="19"/>
      <c r="C757" s="19"/>
      <c r="D757" s="19"/>
      <c r="E757" s="19"/>
      <c r="F757" s="19"/>
      <c r="G757" s="19"/>
      <c r="H757" s="19"/>
      <c r="I757" s="16"/>
      <c r="J757" s="19"/>
      <c r="K757" s="19"/>
      <c r="L757" s="19"/>
      <c r="M757" s="19"/>
      <c r="N757" s="19"/>
      <c r="O757" s="16"/>
      <c r="P757" s="19"/>
      <c r="Q757" s="19"/>
      <c r="R757" s="19"/>
      <c r="S757" s="19"/>
      <c r="T757" s="19"/>
      <c r="U757" s="16"/>
      <c r="V757" s="19"/>
      <c r="W757" s="16"/>
      <c r="X757" s="19"/>
      <c r="Y757" s="19"/>
      <c r="Z757" s="19"/>
      <c r="AA757" s="19"/>
    </row>
    <row r="758" spans="2:27" x14ac:dyDescent="0.3">
      <c r="B758" s="19"/>
      <c r="C758" s="19"/>
      <c r="D758" s="19"/>
      <c r="E758" s="19"/>
      <c r="F758" s="19"/>
      <c r="G758" s="19"/>
      <c r="H758" s="19"/>
      <c r="I758" s="16"/>
      <c r="J758" s="19"/>
      <c r="K758" s="19"/>
      <c r="L758" s="19"/>
      <c r="M758" s="19"/>
      <c r="N758" s="19"/>
      <c r="O758" s="16"/>
      <c r="P758" s="19"/>
      <c r="Q758" s="19"/>
      <c r="R758" s="19"/>
      <c r="S758" s="19"/>
      <c r="T758" s="19"/>
      <c r="U758" s="16"/>
      <c r="V758" s="19"/>
      <c r="W758" s="16"/>
      <c r="X758" s="19"/>
      <c r="Y758" s="19"/>
      <c r="Z758" s="19"/>
      <c r="AA758" s="19"/>
    </row>
    <row r="759" spans="2:27" x14ac:dyDescent="0.3">
      <c r="B759" s="19"/>
      <c r="C759" s="19"/>
      <c r="D759" s="19"/>
      <c r="E759" s="19"/>
      <c r="F759" s="19"/>
      <c r="G759" s="19"/>
      <c r="H759" s="19"/>
      <c r="I759" s="16"/>
      <c r="J759" s="19"/>
      <c r="K759" s="19"/>
      <c r="L759" s="19"/>
      <c r="M759" s="19"/>
      <c r="N759" s="19"/>
      <c r="O759" s="16"/>
      <c r="P759" s="19"/>
      <c r="Q759" s="19"/>
      <c r="R759" s="19"/>
      <c r="S759" s="19"/>
      <c r="T759" s="19"/>
      <c r="U759" s="16"/>
      <c r="V759" s="19"/>
      <c r="W759" s="16"/>
      <c r="X759" s="19"/>
      <c r="Y759" s="19"/>
      <c r="Z759" s="19"/>
      <c r="AA759" s="19"/>
    </row>
    <row r="760" spans="2:27" x14ac:dyDescent="0.3">
      <c r="B760" s="19"/>
      <c r="C760" s="19"/>
      <c r="D760" s="19"/>
      <c r="E760" s="19"/>
      <c r="F760" s="19"/>
      <c r="G760" s="19"/>
      <c r="H760" s="19"/>
      <c r="I760" s="16"/>
      <c r="J760" s="19"/>
      <c r="K760" s="19"/>
      <c r="L760" s="19"/>
      <c r="M760" s="19"/>
      <c r="N760" s="19"/>
      <c r="O760" s="16"/>
      <c r="P760" s="19"/>
      <c r="Q760" s="19"/>
      <c r="R760" s="19"/>
      <c r="S760" s="19"/>
      <c r="T760" s="19"/>
      <c r="U760" s="16"/>
      <c r="V760" s="19"/>
      <c r="W760" s="16"/>
      <c r="X760" s="19"/>
      <c r="Y760" s="19"/>
      <c r="Z760" s="19"/>
      <c r="AA760" s="19"/>
    </row>
    <row r="761" spans="2:27" x14ac:dyDescent="0.3">
      <c r="B761" s="19"/>
      <c r="C761" s="19"/>
      <c r="D761" s="19"/>
      <c r="E761" s="19"/>
      <c r="F761" s="19"/>
      <c r="G761" s="19"/>
      <c r="H761" s="19"/>
      <c r="I761" s="16"/>
      <c r="J761" s="19"/>
      <c r="K761" s="19"/>
      <c r="L761" s="19"/>
      <c r="M761" s="19"/>
      <c r="N761" s="19"/>
      <c r="O761" s="16"/>
      <c r="P761" s="19"/>
      <c r="Q761" s="19"/>
      <c r="R761" s="19"/>
      <c r="S761" s="19"/>
      <c r="T761" s="19"/>
      <c r="U761" s="16"/>
      <c r="V761" s="19"/>
      <c r="W761" s="16"/>
      <c r="X761" s="19"/>
      <c r="Y761" s="19"/>
      <c r="Z761" s="19"/>
      <c r="AA761" s="19"/>
    </row>
    <row r="762" spans="2:27" x14ac:dyDescent="0.3">
      <c r="B762" s="19"/>
      <c r="C762" s="19"/>
      <c r="D762" s="19"/>
      <c r="E762" s="19"/>
      <c r="F762" s="19"/>
      <c r="G762" s="19"/>
      <c r="H762" s="19"/>
      <c r="I762" s="16"/>
      <c r="J762" s="19"/>
      <c r="K762" s="19"/>
      <c r="L762" s="19"/>
      <c r="M762" s="19"/>
      <c r="N762" s="19"/>
      <c r="O762" s="16"/>
      <c r="P762" s="19"/>
      <c r="Q762" s="19"/>
      <c r="R762" s="19"/>
      <c r="S762" s="19"/>
      <c r="T762" s="19"/>
      <c r="U762" s="16"/>
      <c r="V762" s="19"/>
      <c r="W762" s="16"/>
      <c r="X762" s="19"/>
      <c r="Y762" s="19"/>
      <c r="Z762" s="19"/>
      <c r="AA762" s="19"/>
    </row>
    <row r="763" spans="2:27" x14ac:dyDescent="0.3">
      <c r="B763" s="19"/>
      <c r="C763" s="19"/>
      <c r="D763" s="19"/>
      <c r="E763" s="19"/>
      <c r="F763" s="19"/>
      <c r="G763" s="19"/>
      <c r="H763" s="19"/>
      <c r="I763" s="16"/>
      <c r="J763" s="19"/>
      <c r="K763" s="19"/>
      <c r="L763" s="19"/>
      <c r="M763" s="19"/>
      <c r="N763" s="19"/>
      <c r="O763" s="16"/>
      <c r="P763" s="19"/>
      <c r="Q763" s="19"/>
      <c r="R763" s="19"/>
      <c r="S763" s="19"/>
      <c r="T763" s="19"/>
      <c r="U763" s="16"/>
      <c r="V763" s="19"/>
      <c r="W763" s="16"/>
      <c r="X763" s="19"/>
      <c r="Y763" s="19"/>
      <c r="Z763" s="19"/>
      <c r="AA763" s="19"/>
    </row>
    <row r="764" spans="2:27" x14ac:dyDescent="0.3">
      <c r="B764" s="19"/>
      <c r="C764" s="19"/>
      <c r="D764" s="19"/>
      <c r="E764" s="19"/>
      <c r="F764" s="19"/>
      <c r="G764" s="19"/>
      <c r="H764" s="19"/>
      <c r="I764" s="16"/>
      <c r="J764" s="19"/>
      <c r="K764" s="19"/>
      <c r="L764" s="19"/>
      <c r="M764" s="19"/>
      <c r="N764" s="19"/>
      <c r="O764" s="16"/>
      <c r="P764" s="19"/>
      <c r="Q764" s="19"/>
      <c r="R764" s="19"/>
      <c r="S764" s="19"/>
      <c r="T764" s="19"/>
      <c r="U764" s="16"/>
      <c r="V764" s="19"/>
      <c r="W764" s="16"/>
      <c r="X764" s="19"/>
      <c r="Y764" s="19"/>
      <c r="Z764" s="19"/>
      <c r="AA764" s="19"/>
    </row>
    <row r="765" spans="2:27" x14ac:dyDescent="0.3">
      <c r="B765" s="19"/>
      <c r="C765" s="19"/>
      <c r="D765" s="19"/>
      <c r="E765" s="19"/>
      <c r="F765" s="19"/>
      <c r="G765" s="19"/>
      <c r="H765" s="19"/>
      <c r="I765" s="16"/>
      <c r="J765" s="19"/>
      <c r="K765" s="19"/>
      <c r="L765" s="19"/>
      <c r="M765" s="19"/>
      <c r="N765" s="19"/>
      <c r="O765" s="16"/>
      <c r="P765" s="19"/>
      <c r="Q765" s="19"/>
      <c r="R765" s="19"/>
      <c r="S765" s="19"/>
      <c r="T765" s="19"/>
      <c r="U765" s="16"/>
      <c r="V765" s="19"/>
      <c r="W765" s="16"/>
      <c r="X765" s="19"/>
      <c r="Y765" s="19"/>
      <c r="Z765" s="19"/>
      <c r="AA765" s="19"/>
    </row>
    <row r="766" spans="2:27" x14ac:dyDescent="0.3">
      <c r="B766" s="19"/>
      <c r="C766" s="19"/>
      <c r="D766" s="19"/>
      <c r="E766" s="19"/>
      <c r="F766" s="19"/>
      <c r="G766" s="19"/>
      <c r="H766" s="19"/>
      <c r="I766" s="16"/>
      <c r="J766" s="19"/>
      <c r="K766" s="19"/>
      <c r="L766" s="19"/>
      <c r="M766" s="19"/>
      <c r="N766" s="19"/>
      <c r="O766" s="16"/>
      <c r="P766" s="19"/>
      <c r="Q766" s="19"/>
      <c r="R766" s="19"/>
      <c r="S766" s="19"/>
      <c r="T766" s="19"/>
      <c r="U766" s="16"/>
      <c r="V766" s="19"/>
      <c r="W766" s="16"/>
      <c r="X766" s="19"/>
      <c r="Y766" s="19"/>
      <c r="Z766" s="19"/>
      <c r="AA766" s="19"/>
    </row>
    <row r="767" spans="2:27" x14ac:dyDescent="0.3">
      <c r="B767" s="19"/>
      <c r="C767" s="19"/>
      <c r="D767" s="19"/>
      <c r="E767" s="19"/>
      <c r="F767" s="19"/>
      <c r="G767" s="19"/>
      <c r="H767" s="19"/>
      <c r="I767" s="16"/>
      <c r="J767" s="19"/>
      <c r="K767" s="19"/>
      <c r="L767" s="19"/>
      <c r="M767" s="19"/>
      <c r="N767" s="19"/>
      <c r="O767" s="16"/>
      <c r="P767" s="19"/>
      <c r="Q767" s="19"/>
      <c r="R767" s="19"/>
      <c r="S767" s="19"/>
      <c r="T767" s="19"/>
      <c r="U767" s="16"/>
      <c r="V767" s="19"/>
      <c r="W767" s="16"/>
      <c r="X767" s="19"/>
      <c r="Y767" s="19"/>
      <c r="Z767" s="19"/>
      <c r="AA767" s="19"/>
    </row>
    <row r="768" spans="2:27" x14ac:dyDescent="0.3">
      <c r="B768" s="19"/>
      <c r="C768" s="19"/>
      <c r="D768" s="19"/>
      <c r="E768" s="19"/>
      <c r="F768" s="19"/>
      <c r="G768" s="19"/>
      <c r="H768" s="19"/>
      <c r="I768" s="16"/>
      <c r="J768" s="19"/>
      <c r="K768" s="19"/>
      <c r="L768" s="19"/>
      <c r="M768" s="19"/>
      <c r="N768" s="19"/>
      <c r="O768" s="16"/>
      <c r="P768" s="19"/>
      <c r="Q768" s="19"/>
      <c r="R768" s="19"/>
      <c r="S768" s="19"/>
      <c r="T768" s="19"/>
      <c r="U768" s="16"/>
      <c r="V768" s="19"/>
      <c r="W768" s="16"/>
      <c r="X768" s="19"/>
      <c r="Y768" s="19"/>
      <c r="Z768" s="19"/>
      <c r="AA768" s="19"/>
    </row>
    <row r="769" spans="2:27" x14ac:dyDescent="0.3">
      <c r="B769" s="19"/>
      <c r="C769" s="19"/>
      <c r="D769" s="19"/>
      <c r="E769" s="19"/>
      <c r="F769" s="19"/>
      <c r="G769" s="19"/>
      <c r="H769" s="19"/>
      <c r="I769" s="16"/>
      <c r="J769" s="19"/>
      <c r="K769" s="19"/>
      <c r="L769" s="19"/>
      <c r="M769" s="19"/>
      <c r="N769" s="19"/>
      <c r="O769" s="16"/>
      <c r="P769" s="19"/>
      <c r="Q769" s="19"/>
      <c r="R769" s="19"/>
      <c r="S769" s="19"/>
      <c r="T769" s="19"/>
      <c r="U769" s="16"/>
      <c r="V769" s="19"/>
      <c r="W769" s="16"/>
      <c r="X769" s="19"/>
      <c r="Y769" s="19"/>
      <c r="Z769" s="19"/>
      <c r="AA769" s="19"/>
    </row>
    <row r="770" spans="2:27" x14ac:dyDescent="0.3">
      <c r="B770" s="19"/>
      <c r="C770" s="19"/>
      <c r="D770" s="19"/>
      <c r="E770" s="19"/>
      <c r="F770" s="19"/>
      <c r="G770" s="19"/>
      <c r="H770" s="19"/>
      <c r="I770" s="16"/>
      <c r="J770" s="19"/>
      <c r="K770" s="19"/>
      <c r="L770" s="19"/>
      <c r="M770" s="19"/>
      <c r="N770" s="19"/>
      <c r="O770" s="16"/>
      <c r="P770" s="19"/>
      <c r="Q770" s="19"/>
      <c r="R770" s="19"/>
      <c r="S770" s="19"/>
      <c r="T770" s="19"/>
      <c r="U770" s="16"/>
      <c r="V770" s="19"/>
      <c r="W770" s="16"/>
      <c r="X770" s="19"/>
      <c r="Y770" s="19"/>
      <c r="Z770" s="19"/>
      <c r="AA770" s="19"/>
    </row>
    <row r="771" spans="2:27" x14ac:dyDescent="0.3">
      <c r="B771" s="19"/>
      <c r="C771" s="19"/>
      <c r="D771" s="19"/>
      <c r="E771" s="19"/>
      <c r="F771" s="19"/>
      <c r="G771" s="19"/>
      <c r="H771" s="19"/>
      <c r="I771" s="16"/>
      <c r="J771" s="19"/>
      <c r="K771" s="19"/>
      <c r="L771" s="19"/>
      <c r="M771" s="19"/>
      <c r="N771" s="19"/>
      <c r="O771" s="16"/>
      <c r="P771" s="19"/>
      <c r="Q771" s="19"/>
      <c r="R771" s="19"/>
      <c r="S771" s="19"/>
      <c r="T771" s="19"/>
      <c r="U771" s="16"/>
      <c r="V771" s="19"/>
      <c r="W771" s="16"/>
      <c r="X771" s="19"/>
      <c r="Y771" s="19"/>
      <c r="Z771" s="19"/>
      <c r="AA771" s="19"/>
    </row>
    <row r="772" spans="2:27" x14ac:dyDescent="0.3">
      <c r="B772" s="19"/>
      <c r="C772" s="19"/>
      <c r="D772" s="19"/>
      <c r="E772" s="19"/>
      <c r="F772" s="19"/>
      <c r="G772" s="19"/>
      <c r="H772" s="19"/>
      <c r="I772" s="16"/>
      <c r="J772" s="19"/>
      <c r="K772" s="19"/>
      <c r="L772" s="19"/>
      <c r="M772" s="19"/>
      <c r="N772" s="19"/>
      <c r="O772" s="16"/>
      <c r="P772" s="19"/>
      <c r="Q772" s="19"/>
      <c r="R772" s="19"/>
      <c r="S772" s="19"/>
      <c r="T772" s="19"/>
      <c r="U772" s="16"/>
      <c r="V772" s="19"/>
      <c r="W772" s="16"/>
      <c r="X772" s="19"/>
      <c r="Y772" s="19"/>
      <c r="Z772" s="19"/>
      <c r="AA772" s="19"/>
    </row>
    <row r="773" spans="2:27" x14ac:dyDescent="0.3">
      <c r="B773" s="19"/>
      <c r="C773" s="19"/>
      <c r="D773" s="19"/>
      <c r="E773" s="19"/>
      <c r="F773" s="19"/>
      <c r="G773" s="19"/>
      <c r="H773" s="19"/>
      <c r="I773" s="16"/>
      <c r="J773" s="19"/>
      <c r="K773" s="19"/>
      <c r="L773" s="19"/>
      <c r="M773" s="19"/>
      <c r="N773" s="19"/>
      <c r="O773" s="16"/>
      <c r="P773" s="19"/>
      <c r="Q773" s="19"/>
      <c r="R773" s="19"/>
      <c r="S773" s="19"/>
      <c r="T773" s="19"/>
      <c r="U773" s="16"/>
      <c r="V773" s="19"/>
      <c r="W773" s="16"/>
      <c r="X773" s="19"/>
      <c r="Y773" s="19"/>
      <c r="Z773" s="19"/>
      <c r="AA773" s="19"/>
    </row>
    <row r="774" spans="2:27" x14ac:dyDescent="0.3">
      <c r="B774" s="19"/>
      <c r="C774" s="19"/>
      <c r="D774" s="19"/>
      <c r="E774" s="19"/>
      <c r="F774" s="19"/>
      <c r="G774" s="19"/>
      <c r="H774" s="19"/>
      <c r="I774" s="16"/>
      <c r="J774" s="19"/>
      <c r="K774" s="19"/>
      <c r="L774" s="19"/>
      <c r="M774" s="19"/>
      <c r="N774" s="19"/>
      <c r="O774" s="16"/>
      <c r="P774" s="19"/>
      <c r="Q774" s="19"/>
      <c r="R774" s="19"/>
      <c r="S774" s="19"/>
      <c r="T774" s="19"/>
      <c r="U774" s="16"/>
      <c r="V774" s="19"/>
      <c r="W774" s="16"/>
      <c r="X774" s="19"/>
      <c r="Y774" s="19"/>
      <c r="Z774" s="19"/>
      <c r="AA774" s="19"/>
    </row>
    <row r="775" spans="2:27" x14ac:dyDescent="0.3">
      <c r="B775" s="19"/>
      <c r="C775" s="19"/>
      <c r="D775" s="19"/>
      <c r="E775" s="19"/>
      <c r="F775" s="19"/>
      <c r="G775" s="19"/>
      <c r="H775" s="19"/>
      <c r="I775" s="16"/>
      <c r="J775" s="19"/>
      <c r="K775" s="19"/>
      <c r="L775" s="19"/>
      <c r="M775" s="19"/>
      <c r="N775" s="19"/>
      <c r="O775" s="16"/>
      <c r="P775" s="19"/>
      <c r="Q775" s="19"/>
      <c r="R775" s="19"/>
      <c r="S775" s="19"/>
      <c r="T775" s="19"/>
      <c r="U775" s="16"/>
      <c r="V775" s="19"/>
      <c r="W775" s="16"/>
      <c r="X775" s="19"/>
      <c r="Y775" s="19"/>
      <c r="Z775" s="19"/>
      <c r="AA775" s="19"/>
    </row>
    <row r="776" spans="2:27" x14ac:dyDescent="0.3">
      <c r="B776" s="19"/>
      <c r="C776" s="19"/>
      <c r="D776" s="19"/>
      <c r="E776" s="19"/>
      <c r="F776" s="19"/>
      <c r="G776" s="19"/>
      <c r="H776" s="19"/>
      <c r="I776" s="16"/>
      <c r="J776" s="19"/>
      <c r="K776" s="19"/>
      <c r="L776" s="19"/>
      <c r="M776" s="19"/>
      <c r="N776" s="19"/>
      <c r="O776" s="16"/>
      <c r="P776" s="19"/>
      <c r="Q776" s="19"/>
      <c r="R776" s="19"/>
      <c r="S776" s="19"/>
      <c r="T776" s="19"/>
      <c r="U776" s="16"/>
      <c r="V776" s="19"/>
      <c r="W776" s="16"/>
      <c r="X776" s="19"/>
      <c r="Y776" s="19"/>
      <c r="Z776" s="19"/>
      <c r="AA776" s="19"/>
    </row>
    <row r="777" spans="2:27" x14ac:dyDescent="0.3">
      <c r="B777" s="19"/>
      <c r="C777" s="19"/>
      <c r="D777" s="19"/>
      <c r="E777" s="19"/>
      <c r="F777" s="19"/>
      <c r="G777" s="19"/>
      <c r="H777" s="19"/>
      <c r="I777" s="16"/>
      <c r="J777" s="19"/>
      <c r="K777" s="19"/>
      <c r="L777" s="19"/>
      <c r="M777" s="19"/>
      <c r="N777" s="19"/>
      <c r="O777" s="16"/>
      <c r="P777" s="19"/>
      <c r="Q777" s="19"/>
      <c r="R777" s="19"/>
      <c r="S777" s="19"/>
      <c r="T777" s="19"/>
      <c r="U777" s="16"/>
      <c r="V777" s="19"/>
      <c r="W777" s="16"/>
      <c r="X777" s="19"/>
      <c r="Y777" s="19"/>
      <c r="Z777" s="19"/>
      <c r="AA777" s="19"/>
    </row>
    <row r="778" spans="2:27" x14ac:dyDescent="0.3">
      <c r="B778" s="19"/>
      <c r="C778" s="19"/>
      <c r="D778" s="19"/>
      <c r="E778" s="19"/>
      <c r="F778" s="19"/>
      <c r="G778" s="19"/>
      <c r="H778" s="19"/>
      <c r="I778" s="16"/>
      <c r="J778" s="19"/>
      <c r="K778" s="19"/>
      <c r="L778" s="19"/>
      <c r="M778" s="19"/>
      <c r="N778" s="19"/>
      <c r="O778" s="16"/>
      <c r="P778" s="19"/>
      <c r="Q778" s="19"/>
      <c r="R778" s="19"/>
      <c r="S778" s="19"/>
      <c r="T778" s="19"/>
      <c r="U778" s="16"/>
      <c r="V778" s="19"/>
      <c r="W778" s="16"/>
      <c r="X778" s="19"/>
      <c r="Y778" s="19"/>
      <c r="Z778" s="19"/>
      <c r="AA778" s="19"/>
    </row>
    <row r="779" spans="2:27" x14ac:dyDescent="0.3">
      <c r="B779" s="19"/>
      <c r="C779" s="19"/>
      <c r="D779" s="19"/>
      <c r="E779" s="19"/>
      <c r="F779" s="19"/>
      <c r="G779" s="19"/>
      <c r="H779" s="19"/>
      <c r="I779" s="16"/>
      <c r="J779" s="19"/>
      <c r="K779" s="19"/>
      <c r="L779" s="19"/>
      <c r="M779" s="19"/>
      <c r="N779" s="19"/>
      <c r="O779" s="16"/>
      <c r="P779" s="19"/>
      <c r="Q779" s="19"/>
      <c r="R779" s="19"/>
      <c r="S779" s="19"/>
      <c r="T779" s="19"/>
      <c r="U779" s="16"/>
      <c r="V779" s="19"/>
      <c r="W779" s="16"/>
      <c r="X779" s="19"/>
      <c r="Y779" s="19"/>
      <c r="Z779" s="19"/>
      <c r="AA779" s="19"/>
    </row>
    <row r="780" spans="2:27" x14ac:dyDescent="0.3">
      <c r="B780" s="19"/>
      <c r="C780" s="19"/>
      <c r="D780" s="19"/>
      <c r="E780" s="19"/>
      <c r="F780" s="19"/>
      <c r="G780" s="19"/>
      <c r="H780" s="19"/>
      <c r="I780" s="16"/>
      <c r="J780" s="19"/>
      <c r="K780" s="19"/>
      <c r="L780" s="19"/>
      <c r="M780" s="19"/>
      <c r="N780" s="19"/>
      <c r="O780" s="16"/>
      <c r="P780" s="19"/>
      <c r="Q780" s="19"/>
      <c r="R780" s="19"/>
      <c r="S780" s="19"/>
      <c r="T780" s="19"/>
      <c r="U780" s="16"/>
      <c r="V780" s="19"/>
      <c r="W780" s="16"/>
      <c r="X780" s="19"/>
      <c r="Y780" s="19"/>
      <c r="Z780" s="19"/>
      <c r="AA780" s="19"/>
    </row>
    <row r="781" spans="2:27" x14ac:dyDescent="0.3">
      <c r="B781" s="19"/>
      <c r="C781" s="19"/>
      <c r="D781" s="19"/>
      <c r="E781" s="19"/>
      <c r="F781" s="19"/>
      <c r="G781" s="19"/>
      <c r="H781" s="19"/>
      <c r="I781" s="16"/>
      <c r="J781" s="19"/>
      <c r="K781" s="19"/>
      <c r="L781" s="19"/>
      <c r="M781" s="19"/>
      <c r="N781" s="19"/>
      <c r="O781" s="16"/>
      <c r="P781" s="19"/>
      <c r="Q781" s="19"/>
      <c r="R781" s="19"/>
      <c r="S781" s="19"/>
      <c r="T781" s="19"/>
      <c r="U781" s="16"/>
      <c r="V781" s="19"/>
      <c r="W781" s="16"/>
      <c r="X781" s="19"/>
      <c r="Y781" s="19"/>
      <c r="Z781" s="19"/>
      <c r="AA781" s="19"/>
    </row>
    <row r="782" spans="2:27" x14ac:dyDescent="0.3">
      <c r="B782" s="19"/>
      <c r="C782" s="19"/>
      <c r="D782" s="19"/>
      <c r="E782" s="19"/>
      <c r="F782" s="19"/>
      <c r="G782" s="19"/>
      <c r="H782" s="19"/>
      <c r="I782" s="16"/>
      <c r="J782" s="19"/>
      <c r="K782" s="19"/>
      <c r="L782" s="19"/>
      <c r="M782" s="19"/>
      <c r="N782" s="19"/>
      <c r="O782" s="16"/>
      <c r="P782" s="19"/>
      <c r="Q782" s="19"/>
      <c r="R782" s="19"/>
      <c r="S782" s="19"/>
      <c r="T782" s="19"/>
      <c r="U782" s="16"/>
      <c r="V782" s="19"/>
      <c r="W782" s="16"/>
      <c r="X782" s="19"/>
      <c r="Y782" s="19"/>
      <c r="Z782" s="19"/>
      <c r="AA782" s="19"/>
    </row>
    <row r="783" spans="2:27" x14ac:dyDescent="0.3">
      <c r="B783" s="19"/>
      <c r="C783" s="19"/>
      <c r="D783" s="19"/>
      <c r="E783" s="19"/>
      <c r="F783" s="19"/>
      <c r="G783" s="19"/>
      <c r="H783" s="19"/>
      <c r="I783" s="16"/>
      <c r="J783" s="19"/>
      <c r="K783" s="19"/>
      <c r="L783" s="19"/>
      <c r="M783" s="19"/>
      <c r="N783" s="19"/>
      <c r="O783" s="16"/>
      <c r="P783" s="19"/>
      <c r="Q783" s="19"/>
      <c r="R783" s="19"/>
      <c r="S783" s="19"/>
      <c r="T783" s="19"/>
      <c r="U783" s="16"/>
      <c r="V783" s="19"/>
      <c r="W783" s="16"/>
      <c r="X783" s="19"/>
      <c r="Y783" s="19"/>
      <c r="Z783" s="19"/>
      <c r="AA783" s="19"/>
    </row>
    <row r="784" spans="2:27" x14ac:dyDescent="0.3">
      <c r="B784" s="19"/>
      <c r="C784" s="19"/>
      <c r="D784" s="19"/>
      <c r="E784" s="19"/>
      <c r="F784" s="19"/>
      <c r="G784" s="19"/>
      <c r="H784" s="19"/>
      <c r="I784" s="16"/>
      <c r="J784" s="19"/>
      <c r="K784" s="19"/>
      <c r="L784" s="19"/>
      <c r="M784" s="19"/>
      <c r="N784" s="19"/>
      <c r="O784" s="16"/>
      <c r="P784" s="19"/>
      <c r="Q784" s="19"/>
      <c r="R784" s="19"/>
      <c r="S784" s="19"/>
      <c r="T784" s="19"/>
      <c r="U784" s="16"/>
      <c r="V784" s="19"/>
      <c r="W784" s="16"/>
      <c r="X784" s="19"/>
      <c r="Y784" s="19"/>
      <c r="Z784" s="19"/>
      <c r="AA784" s="19"/>
    </row>
    <row r="785" spans="2:27" x14ac:dyDescent="0.3">
      <c r="B785" s="19"/>
      <c r="C785" s="19"/>
      <c r="D785" s="19"/>
      <c r="E785" s="19"/>
      <c r="F785" s="19"/>
      <c r="G785" s="19"/>
      <c r="H785" s="19"/>
      <c r="I785" s="16"/>
      <c r="J785" s="19"/>
      <c r="K785" s="19"/>
      <c r="L785" s="19"/>
      <c r="M785" s="19"/>
      <c r="N785" s="19"/>
      <c r="O785" s="16"/>
      <c r="P785" s="19"/>
      <c r="Q785" s="19"/>
      <c r="R785" s="19"/>
      <c r="S785" s="19"/>
      <c r="T785" s="19"/>
      <c r="U785" s="16"/>
      <c r="V785" s="19"/>
      <c r="W785" s="16"/>
      <c r="X785" s="19"/>
      <c r="Y785" s="19"/>
      <c r="Z785" s="19"/>
      <c r="AA785" s="19"/>
    </row>
    <row r="786" spans="2:27" x14ac:dyDescent="0.3">
      <c r="B786" s="19"/>
      <c r="C786" s="19"/>
      <c r="D786" s="19"/>
      <c r="E786" s="19"/>
      <c r="F786" s="19"/>
      <c r="G786" s="19"/>
      <c r="H786" s="19"/>
      <c r="I786" s="16"/>
      <c r="J786" s="19"/>
      <c r="K786" s="19"/>
      <c r="L786" s="19"/>
      <c r="M786" s="19"/>
      <c r="N786" s="19"/>
      <c r="O786" s="16"/>
      <c r="P786" s="19"/>
      <c r="Q786" s="19"/>
      <c r="R786" s="19"/>
      <c r="S786" s="19"/>
      <c r="T786" s="19"/>
      <c r="U786" s="16"/>
      <c r="V786" s="19"/>
      <c r="W786" s="16"/>
      <c r="X786" s="19"/>
      <c r="Y786" s="19"/>
      <c r="Z786" s="19"/>
      <c r="AA786" s="19"/>
    </row>
    <row r="787" spans="2:27" x14ac:dyDescent="0.3">
      <c r="B787" s="19"/>
      <c r="C787" s="19"/>
      <c r="D787" s="19"/>
      <c r="E787" s="19"/>
      <c r="F787" s="19"/>
      <c r="G787" s="19"/>
      <c r="H787" s="19"/>
      <c r="I787" s="16"/>
      <c r="J787" s="19"/>
      <c r="K787" s="19"/>
      <c r="L787" s="19"/>
      <c r="M787" s="19"/>
      <c r="N787" s="19"/>
      <c r="O787" s="16"/>
      <c r="P787" s="19"/>
      <c r="Q787" s="19"/>
      <c r="R787" s="19"/>
      <c r="S787" s="19"/>
      <c r="T787" s="19"/>
      <c r="U787" s="16"/>
      <c r="V787" s="19"/>
      <c r="W787" s="16"/>
      <c r="X787" s="19"/>
      <c r="Y787" s="19"/>
      <c r="Z787" s="19"/>
      <c r="AA787" s="19"/>
    </row>
    <row r="788" spans="2:27" x14ac:dyDescent="0.3">
      <c r="B788" s="19"/>
      <c r="C788" s="19"/>
      <c r="D788" s="19"/>
      <c r="E788" s="19"/>
      <c r="F788" s="19"/>
      <c r="G788" s="19"/>
      <c r="H788" s="19"/>
      <c r="I788" s="16"/>
      <c r="J788" s="19"/>
      <c r="K788" s="19"/>
      <c r="L788" s="19"/>
      <c r="M788" s="19"/>
      <c r="N788" s="19"/>
      <c r="O788" s="16"/>
      <c r="P788" s="19"/>
      <c r="Q788" s="19"/>
      <c r="R788" s="19"/>
      <c r="S788" s="19"/>
      <c r="T788" s="19"/>
      <c r="U788" s="16"/>
      <c r="V788" s="19"/>
      <c r="W788" s="16"/>
      <c r="X788" s="19"/>
      <c r="Y788" s="19"/>
      <c r="Z788" s="19"/>
      <c r="AA788" s="19"/>
    </row>
    <row r="789" spans="2:27" x14ac:dyDescent="0.3">
      <c r="B789" s="19"/>
      <c r="C789" s="19"/>
      <c r="D789" s="19"/>
      <c r="E789" s="19"/>
      <c r="F789" s="19"/>
      <c r="G789" s="19"/>
      <c r="H789" s="19"/>
      <c r="I789" s="16"/>
      <c r="J789" s="19"/>
      <c r="K789" s="19"/>
      <c r="L789" s="19"/>
      <c r="M789" s="19"/>
      <c r="N789" s="19"/>
      <c r="O789" s="16"/>
      <c r="P789" s="19"/>
      <c r="Q789" s="19"/>
      <c r="R789" s="19"/>
      <c r="S789" s="19"/>
      <c r="T789" s="19"/>
      <c r="U789" s="16"/>
      <c r="V789" s="19"/>
      <c r="W789" s="16"/>
      <c r="X789" s="19"/>
      <c r="Y789" s="19"/>
      <c r="Z789" s="19"/>
      <c r="AA789" s="19"/>
    </row>
    <row r="790" spans="2:27" x14ac:dyDescent="0.3">
      <c r="B790" s="19"/>
      <c r="C790" s="19"/>
      <c r="D790" s="19"/>
      <c r="E790" s="19"/>
      <c r="F790" s="19"/>
      <c r="G790" s="19"/>
      <c r="H790" s="19"/>
      <c r="I790" s="16"/>
      <c r="J790" s="19"/>
      <c r="K790" s="19"/>
      <c r="L790" s="19"/>
      <c r="M790" s="19"/>
      <c r="N790" s="19"/>
      <c r="O790" s="16"/>
      <c r="P790" s="19"/>
      <c r="Q790" s="19"/>
      <c r="R790" s="19"/>
      <c r="S790" s="19"/>
      <c r="T790" s="19"/>
      <c r="U790" s="16"/>
      <c r="V790" s="19"/>
      <c r="W790" s="16"/>
      <c r="X790" s="19"/>
      <c r="Y790" s="19"/>
      <c r="Z790" s="19"/>
      <c r="AA790" s="19"/>
    </row>
    <row r="791" spans="2:27" x14ac:dyDescent="0.3">
      <c r="B791" s="19"/>
      <c r="C791" s="19"/>
      <c r="D791" s="19"/>
      <c r="E791" s="19"/>
      <c r="F791" s="19"/>
      <c r="G791" s="19"/>
      <c r="H791" s="19"/>
      <c r="I791" s="16"/>
      <c r="J791" s="19"/>
      <c r="K791" s="19"/>
      <c r="L791" s="19"/>
      <c r="M791" s="19"/>
      <c r="N791" s="19"/>
      <c r="O791" s="16"/>
      <c r="P791" s="19"/>
      <c r="Q791" s="19"/>
      <c r="R791" s="19"/>
      <c r="S791" s="19"/>
      <c r="T791" s="19"/>
      <c r="U791" s="16"/>
      <c r="V791" s="19"/>
      <c r="W791" s="16"/>
      <c r="X791" s="19"/>
      <c r="Y791" s="19"/>
      <c r="Z791" s="19"/>
      <c r="AA791" s="19"/>
    </row>
    <row r="792" spans="2:27" x14ac:dyDescent="0.3">
      <c r="B792" s="19"/>
      <c r="C792" s="19"/>
      <c r="D792" s="19"/>
      <c r="E792" s="19"/>
      <c r="F792" s="19"/>
      <c r="G792" s="19"/>
      <c r="H792" s="19"/>
      <c r="I792" s="16"/>
      <c r="J792" s="19"/>
      <c r="K792" s="19"/>
      <c r="L792" s="19"/>
      <c r="M792" s="19"/>
      <c r="N792" s="19"/>
      <c r="O792" s="16"/>
      <c r="P792" s="19"/>
      <c r="Q792" s="19"/>
      <c r="R792" s="19"/>
      <c r="S792" s="19"/>
      <c r="T792" s="19"/>
      <c r="U792" s="16"/>
      <c r="V792" s="19"/>
      <c r="W792" s="16"/>
      <c r="X792" s="19"/>
      <c r="Y792" s="19"/>
      <c r="Z792" s="19"/>
      <c r="AA792" s="19"/>
    </row>
    <row r="793" spans="2:27" x14ac:dyDescent="0.3">
      <c r="B793" s="19"/>
      <c r="C793" s="19"/>
      <c r="D793" s="19"/>
      <c r="E793" s="19"/>
      <c r="F793" s="19"/>
      <c r="G793" s="19"/>
      <c r="H793" s="19"/>
      <c r="I793" s="16"/>
      <c r="J793" s="19"/>
      <c r="K793" s="19"/>
      <c r="L793" s="19"/>
      <c r="M793" s="19"/>
      <c r="N793" s="19"/>
      <c r="O793" s="16"/>
      <c r="P793" s="19"/>
      <c r="Q793" s="19"/>
      <c r="R793" s="19"/>
      <c r="S793" s="19"/>
      <c r="T793" s="19"/>
      <c r="U793" s="16"/>
      <c r="V793" s="19"/>
      <c r="W793" s="16"/>
      <c r="X793" s="19"/>
      <c r="Y793" s="19"/>
      <c r="Z793" s="19"/>
      <c r="AA793" s="19"/>
    </row>
    <row r="794" spans="2:27" x14ac:dyDescent="0.3">
      <c r="B794" s="19"/>
      <c r="C794" s="19"/>
      <c r="D794" s="19"/>
      <c r="E794" s="19"/>
      <c r="F794" s="19"/>
      <c r="G794" s="19"/>
      <c r="H794" s="19"/>
      <c r="I794" s="16"/>
      <c r="J794" s="19"/>
      <c r="K794" s="19"/>
      <c r="L794" s="19"/>
      <c r="M794" s="19"/>
      <c r="N794" s="19"/>
      <c r="O794" s="16"/>
      <c r="P794" s="19"/>
      <c r="Q794" s="19"/>
      <c r="R794" s="19"/>
      <c r="S794" s="19"/>
      <c r="T794" s="19"/>
      <c r="U794" s="16"/>
      <c r="V794" s="19"/>
      <c r="W794" s="16"/>
      <c r="X794" s="19"/>
      <c r="Y794" s="19"/>
      <c r="Z794" s="19"/>
      <c r="AA794" s="19"/>
    </row>
    <row r="795" spans="2:27" x14ac:dyDescent="0.3">
      <c r="B795" s="19"/>
      <c r="C795" s="19"/>
      <c r="D795" s="19"/>
      <c r="E795" s="19"/>
      <c r="F795" s="19"/>
      <c r="G795" s="19"/>
      <c r="H795" s="19"/>
      <c r="I795" s="16"/>
      <c r="J795" s="19"/>
      <c r="K795" s="19"/>
      <c r="L795" s="19"/>
      <c r="M795" s="19"/>
      <c r="N795" s="19"/>
      <c r="O795" s="16"/>
      <c r="P795" s="19"/>
      <c r="Q795" s="19"/>
      <c r="R795" s="19"/>
      <c r="S795" s="19"/>
      <c r="T795" s="19"/>
      <c r="U795" s="16"/>
      <c r="V795" s="19"/>
      <c r="W795" s="16"/>
      <c r="X795" s="19"/>
      <c r="Y795" s="19"/>
      <c r="Z795" s="19"/>
      <c r="AA795" s="19"/>
    </row>
    <row r="796" spans="2:27" x14ac:dyDescent="0.3">
      <c r="B796" s="19"/>
      <c r="C796" s="19"/>
      <c r="D796" s="19"/>
      <c r="E796" s="19"/>
      <c r="F796" s="19"/>
      <c r="G796" s="19"/>
      <c r="H796" s="19"/>
      <c r="I796" s="16"/>
      <c r="J796" s="19"/>
      <c r="K796" s="19"/>
      <c r="L796" s="19"/>
      <c r="M796" s="19"/>
      <c r="N796" s="19"/>
      <c r="O796" s="16"/>
      <c r="P796" s="19"/>
      <c r="Q796" s="19"/>
      <c r="R796" s="19"/>
      <c r="S796" s="19"/>
      <c r="T796" s="19"/>
      <c r="U796" s="16"/>
      <c r="V796" s="19"/>
      <c r="W796" s="16"/>
      <c r="X796" s="19"/>
      <c r="Y796" s="19"/>
      <c r="Z796" s="19"/>
      <c r="AA796" s="19"/>
    </row>
    <row r="797" spans="2:27" x14ac:dyDescent="0.3">
      <c r="B797" s="19"/>
      <c r="C797" s="19"/>
      <c r="D797" s="19"/>
      <c r="E797" s="19"/>
      <c r="F797" s="19"/>
      <c r="G797" s="19"/>
      <c r="H797" s="19"/>
      <c r="I797" s="16"/>
      <c r="J797" s="19"/>
      <c r="K797" s="19"/>
      <c r="L797" s="19"/>
      <c r="M797" s="19"/>
      <c r="N797" s="19"/>
      <c r="O797" s="16"/>
      <c r="P797" s="19"/>
      <c r="Q797" s="19"/>
      <c r="R797" s="19"/>
      <c r="S797" s="19"/>
      <c r="T797" s="19"/>
      <c r="U797" s="16"/>
      <c r="V797" s="19"/>
      <c r="W797" s="16"/>
      <c r="X797" s="19"/>
      <c r="Y797" s="19"/>
      <c r="Z797" s="19"/>
      <c r="AA797" s="19"/>
    </row>
    <row r="798" spans="2:27" x14ac:dyDescent="0.3">
      <c r="B798" s="19"/>
      <c r="C798" s="19"/>
      <c r="D798" s="19"/>
      <c r="E798" s="19"/>
      <c r="F798" s="19"/>
      <c r="G798" s="19"/>
      <c r="H798" s="19"/>
      <c r="I798" s="16"/>
      <c r="J798" s="19"/>
      <c r="K798" s="19"/>
      <c r="L798" s="19"/>
      <c r="M798" s="19"/>
      <c r="N798" s="19"/>
      <c r="O798" s="16"/>
      <c r="P798" s="19"/>
      <c r="Q798" s="19"/>
      <c r="R798" s="19"/>
      <c r="S798" s="19"/>
      <c r="T798" s="19"/>
      <c r="U798" s="16"/>
      <c r="V798" s="19"/>
      <c r="W798" s="16"/>
      <c r="X798" s="19"/>
      <c r="Y798" s="19"/>
      <c r="Z798" s="19"/>
      <c r="AA798" s="19"/>
    </row>
    <row r="799" spans="2:27" x14ac:dyDescent="0.3">
      <c r="B799" s="19"/>
      <c r="C799" s="19"/>
      <c r="D799" s="19"/>
      <c r="E799" s="19"/>
      <c r="F799" s="19"/>
      <c r="G799" s="19"/>
      <c r="H799" s="19"/>
      <c r="I799" s="16"/>
      <c r="J799" s="19"/>
      <c r="K799" s="19"/>
      <c r="L799" s="19"/>
      <c r="M799" s="19"/>
      <c r="N799" s="19"/>
      <c r="O799" s="16"/>
      <c r="P799" s="19"/>
      <c r="Q799" s="19"/>
      <c r="R799" s="19"/>
      <c r="S799" s="19"/>
      <c r="T799" s="19"/>
      <c r="U799" s="16"/>
      <c r="V799" s="19"/>
      <c r="W799" s="16"/>
      <c r="X799" s="19"/>
      <c r="Y799" s="19"/>
      <c r="Z799" s="19"/>
      <c r="AA799" s="19"/>
    </row>
    <row r="800" spans="2:27" x14ac:dyDescent="0.3">
      <c r="B800" s="19"/>
      <c r="C800" s="19"/>
      <c r="D800" s="19"/>
      <c r="E800" s="19"/>
      <c r="F800" s="19"/>
      <c r="G800" s="19"/>
      <c r="H800" s="19"/>
      <c r="I800" s="16"/>
      <c r="J800" s="19"/>
      <c r="K800" s="19"/>
      <c r="L800" s="19"/>
      <c r="M800" s="19"/>
      <c r="N800" s="19"/>
      <c r="O800" s="16"/>
      <c r="P800" s="19"/>
      <c r="Q800" s="19"/>
      <c r="R800" s="19"/>
      <c r="S800" s="19"/>
      <c r="T800" s="19"/>
      <c r="U800" s="16"/>
      <c r="V800" s="19"/>
      <c r="W800" s="16"/>
      <c r="X800" s="19"/>
      <c r="Y800" s="19"/>
      <c r="Z800" s="19"/>
      <c r="AA800" s="19"/>
    </row>
    <row r="801" spans="2:27" x14ac:dyDescent="0.3">
      <c r="B801" s="19"/>
      <c r="C801" s="19"/>
      <c r="D801" s="19"/>
      <c r="E801" s="19"/>
      <c r="F801" s="19"/>
      <c r="G801" s="19"/>
      <c r="H801" s="19"/>
      <c r="I801" s="16"/>
      <c r="J801" s="19"/>
      <c r="K801" s="19"/>
      <c r="L801" s="19"/>
      <c r="M801" s="19"/>
      <c r="N801" s="19"/>
      <c r="O801" s="16"/>
      <c r="P801" s="19"/>
      <c r="Q801" s="19"/>
      <c r="R801" s="19"/>
      <c r="S801" s="19"/>
      <c r="T801" s="19"/>
      <c r="U801" s="16"/>
      <c r="V801" s="19"/>
      <c r="W801" s="16"/>
      <c r="X801" s="19"/>
      <c r="Y801" s="19"/>
      <c r="Z801" s="19"/>
      <c r="AA801" s="19"/>
    </row>
    <row r="802" spans="2:27" x14ac:dyDescent="0.3">
      <c r="B802" s="19"/>
      <c r="C802" s="19"/>
      <c r="D802" s="19"/>
      <c r="E802" s="19"/>
      <c r="F802" s="19"/>
      <c r="G802" s="19"/>
      <c r="H802" s="19"/>
      <c r="I802" s="16"/>
      <c r="J802" s="19"/>
      <c r="K802" s="19"/>
      <c r="L802" s="19"/>
      <c r="M802" s="19"/>
      <c r="N802" s="19"/>
      <c r="O802" s="16"/>
      <c r="P802" s="19"/>
      <c r="Q802" s="19"/>
      <c r="R802" s="19"/>
      <c r="S802" s="19"/>
      <c r="T802" s="19"/>
      <c r="U802" s="16"/>
      <c r="V802" s="19"/>
      <c r="W802" s="16"/>
      <c r="X802" s="19"/>
      <c r="Y802" s="19"/>
      <c r="Z802" s="19"/>
      <c r="AA802" s="19"/>
    </row>
    <row r="803" spans="2:27" x14ac:dyDescent="0.3">
      <c r="B803" s="19"/>
      <c r="C803" s="19"/>
      <c r="D803" s="19"/>
      <c r="E803" s="19"/>
      <c r="F803" s="19"/>
      <c r="G803" s="19"/>
      <c r="H803" s="19"/>
      <c r="I803" s="16"/>
      <c r="J803" s="19"/>
      <c r="K803" s="19"/>
      <c r="L803" s="19"/>
      <c r="M803" s="19"/>
      <c r="N803" s="19"/>
      <c r="O803" s="16"/>
      <c r="P803" s="19"/>
      <c r="Q803" s="19"/>
      <c r="R803" s="19"/>
      <c r="S803" s="19"/>
      <c r="T803" s="19"/>
      <c r="U803" s="16"/>
      <c r="V803" s="19"/>
      <c r="W803" s="16"/>
      <c r="X803" s="19"/>
      <c r="Y803" s="19"/>
      <c r="Z803" s="19"/>
      <c r="AA803" s="19"/>
    </row>
    <row r="804" spans="2:27" x14ac:dyDescent="0.3">
      <c r="B804" s="19"/>
      <c r="C804" s="19"/>
      <c r="D804" s="19"/>
      <c r="E804" s="19"/>
      <c r="F804" s="19"/>
      <c r="G804" s="19"/>
      <c r="H804" s="19"/>
      <c r="I804" s="16"/>
      <c r="J804" s="19"/>
      <c r="K804" s="19"/>
      <c r="L804" s="19"/>
      <c r="M804" s="19"/>
      <c r="N804" s="19"/>
      <c r="O804" s="16"/>
      <c r="P804" s="19"/>
      <c r="Q804" s="19"/>
      <c r="R804" s="19"/>
      <c r="S804" s="19"/>
      <c r="T804" s="19"/>
      <c r="U804" s="16"/>
      <c r="V804" s="19"/>
      <c r="W804" s="16"/>
      <c r="X804" s="19"/>
      <c r="Y804" s="19"/>
      <c r="Z804" s="19"/>
      <c r="AA804" s="19"/>
    </row>
    <row r="805" spans="2:27" x14ac:dyDescent="0.3">
      <c r="B805" s="19"/>
      <c r="C805" s="19"/>
      <c r="D805" s="19"/>
      <c r="E805" s="19"/>
      <c r="F805" s="19"/>
      <c r="G805" s="19"/>
      <c r="H805" s="19"/>
      <c r="I805" s="16"/>
      <c r="J805" s="19"/>
      <c r="K805" s="19"/>
      <c r="L805" s="19"/>
      <c r="M805" s="19"/>
      <c r="N805" s="19"/>
      <c r="O805" s="16"/>
      <c r="P805" s="19"/>
      <c r="Q805" s="19"/>
      <c r="R805" s="19"/>
      <c r="S805" s="19"/>
      <c r="T805" s="19"/>
      <c r="U805" s="16"/>
      <c r="V805" s="19"/>
      <c r="W805" s="16"/>
      <c r="X805" s="19"/>
      <c r="Y805" s="19"/>
      <c r="Z805" s="19"/>
      <c r="AA805" s="19"/>
    </row>
    <row r="806" spans="2:27" x14ac:dyDescent="0.3">
      <c r="B806" s="19"/>
      <c r="C806" s="19"/>
      <c r="D806" s="19"/>
      <c r="E806" s="19"/>
      <c r="F806" s="19"/>
      <c r="G806" s="19"/>
      <c r="H806" s="19"/>
      <c r="I806" s="16"/>
      <c r="J806" s="19"/>
      <c r="K806" s="19"/>
      <c r="L806" s="19"/>
      <c r="M806" s="19"/>
      <c r="N806" s="19"/>
      <c r="O806" s="16"/>
      <c r="P806" s="19"/>
      <c r="Q806" s="19"/>
      <c r="R806" s="19"/>
      <c r="S806" s="19"/>
      <c r="T806" s="19"/>
      <c r="U806" s="16"/>
      <c r="V806" s="19"/>
      <c r="W806" s="16"/>
      <c r="X806" s="19"/>
      <c r="Y806" s="19"/>
      <c r="Z806" s="19"/>
      <c r="AA806" s="19"/>
    </row>
    <row r="807" spans="2:27" x14ac:dyDescent="0.3">
      <c r="B807" s="19"/>
      <c r="C807" s="19"/>
      <c r="D807" s="19"/>
      <c r="E807" s="19"/>
      <c r="F807" s="19"/>
      <c r="G807" s="19"/>
      <c r="H807" s="19"/>
      <c r="I807" s="16"/>
      <c r="J807" s="19"/>
      <c r="K807" s="19"/>
      <c r="L807" s="19"/>
      <c r="M807" s="19"/>
      <c r="N807" s="19"/>
      <c r="O807" s="16"/>
      <c r="P807" s="19"/>
      <c r="Q807" s="19"/>
      <c r="R807" s="19"/>
      <c r="S807" s="19"/>
      <c r="T807" s="19"/>
      <c r="U807" s="16"/>
      <c r="V807" s="19"/>
      <c r="W807" s="16"/>
      <c r="X807" s="19"/>
      <c r="Y807" s="19"/>
      <c r="Z807" s="19"/>
      <c r="AA807" s="19"/>
    </row>
    <row r="808" spans="2:27" x14ac:dyDescent="0.3">
      <c r="B808" s="19"/>
      <c r="C808" s="19"/>
      <c r="D808" s="19"/>
      <c r="E808" s="19"/>
      <c r="F808" s="19"/>
      <c r="G808" s="19"/>
      <c r="H808" s="19"/>
      <c r="I808" s="16"/>
      <c r="J808" s="19"/>
      <c r="K808" s="19"/>
      <c r="L808" s="19"/>
      <c r="M808" s="19"/>
      <c r="N808" s="19"/>
      <c r="O808" s="16"/>
      <c r="P808" s="19"/>
      <c r="Q808" s="19"/>
      <c r="R808" s="19"/>
      <c r="S808" s="19"/>
      <c r="T808" s="19"/>
      <c r="U808" s="16"/>
      <c r="V808" s="19"/>
      <c r="W808" s="16"/>
      <c r="X808" s="19"/>
      <c r="Y808" s="19"/>
      <c r="Z808" s="19"/>
      <c r="AA808" s="19"/>
    </row>
    <row r="809" spans="2:27" x14ac:dyDescent="0.3">
      <c r="B809" s="19"/>
      <c r="C809" s="19"/>
      <c r="D809" s="19"/>
      <c r="E809" s="19"/>
      <c r="F809" s="19"/>
      <c r="G809" s="19"/>
      <c r="H809" s="19"/>
      <c r="I809" s="16"/>
      <c r="J809" s="19"/>
      <c r="K809" s="19"/>
      <c r="L809" s="19"/>
      <c r="M809" s="19"/>
      <c r="N809" s="19"/>
      <c r="O809" s="16"/>
      <c r="P809" s="19"/>
      <c r="Q809" s="19"/>
      <c r="R809" s="19"/>
      <c r="S809" s="19"/>
      <c r="T809" s="19"/>
      <c r="U809" s="16"/>
      <c r="V809" s="19"/>
      <c r="W809" s="16"/>
      <c r="X809" s="19"/>
      <c r="Y809" s="19"/>
      <c r="Z809" s="19"/>
      <c r="AA809" s="19"/>
    </row>
    <row r="810" spans="2:27" x14ac:dyDescent="0.3">
      <c r="B810" s="19"/>
      <c r="C810" s="19"/>
      <c r="D810" s="19"/>
      <c r="E810" s="19"/>
      <c r="F810" s="19"/>
      <c r="G810" s="19"/>
      <c r="H810" s="19"/>
      <c r="I810" s="16"/>
      <c r="J810" s="19"/>
      <c r="K810" s="19"/>
      <c r="L810" s="19"/>
      <c r="M810" s="19"/>
      <c r="N810" s="19"/>
      <c r="O810" s="16"/>
      <c r="P810" s="19"/>
      <c r="Q810" s="19"/>
      <c r="R810" s="19"/>
      <c r="S810" s="19"/>
      <c r="T810" s="19"/>
      <c r="U810" s="16"/>
      <c r="V810" s="19"/>
      <c r="W810" s="16"/>
      <c r="X810" s="19"/>
      <c r="Y810" s="19"/>
      <c r="Z810" s="19"/>
      <c r="AA810" s="19"/>
    </row>
    <row r="811" spans="2:27" x14ac:dyDescent="0.3">
      <c r="B811" s="19"/>
      <c r="C811" s="19"/>
      <c r="D811" s="19"/>
      <c r="E811" s="19"/>
      <c r="F811" s="19"/>
      <c r="G811" s="19"/>
      <c r="H811" s="19"/>
      <c r="I811" s="16"/>
      <c r="J811" s="19"/>
      <c r="K811" s="19"/>
      <c r="L811" s="19"/>
      <c r="M811" s="19"/>
      <c r="N811" s="19"/>
      <c r="O811" s="16"/>
      <c r="P811" s="19"/>
      <c r="Q811" s="19"/>
      <c r="R811" s="19"/>
      <c r="S811" s="19"/>
      <c r="T811" s="19"/>
      <c r="U811" s="16"/>
      <c r="V811" s="19"/>
      <c r="W811" s="16"/>
      <c r="X811" s="19"/>
      <c r="Y811" s="19"/>
      <c r="Z811" s="19"/>
      <c r="AA811" s="19"/>
    </row>
    <row r="812" spans="2:27" x14ac:dyDescent="0.3">
      <c r="B812" s="19"/>
      <c r="C812" s="19"/>
      <c r="D812" s="19"/>
      <c r="E812" s="19"/>
      <c r="F812" s="19"/>
      <c r="G812" s="19"/>
      <c r="H812" s="19"/>
      <c r="I812" s="16"/>
      <c r="J812" s="19"/>
      <c r="K812" s="19"/>
      <c r="L812" s="19"/>
      <c r="M812" s="19"/>
      <c r="N812" s="19"/>
      <c r="O812" s="16"/>
      <c r="P812" s="19"/>
      <c r="Q812" s="19"/>
      <c r="R812" s="19"/>
      <c r="S812" s="19"/>
      <c r="T812" s="19"/>
      <c r="U812" s="16"/>
      <c r="V812" s="19"/>
      <c r="W812" s="16"/>
      <c r="X812" s="19"/>
      <c r="Y812" s="19"/>
      <c r="Z812" s="19"/>
      <c r="AA812" s="19"/>
    </row>
    <row r="813" spans="2:27" x14ac:dyDescent="0.3">
      <c r="B813" s="19"/>
      <c r="C813" s="19"/>
      <c r="D813" s="19"/>
      <c r="E813" s="19"/>
      <c r="F813" s="19"/>
      <c r="G813" s="19"/>
      <c r="H813" s="19"/>
      <c r="I813" s="16"/>
      <c r="J813" s="19"/>
      <c r="K813" s="19"/>
      <c r="L813" s="19"/>
      <c r="M813" s="19"/>
      <c r="N813" s="19"/>
      <c r="O813" s="16"/>
      <c r="P813" s="19"/>
      <c r="Q813" s="19"/>
      <c r="R813" s="19"/>
      <c r="S813" s="19"/>
      <c r="T813" s="19"/>
      <c r="U813" s="16"/>
      <c r="V813" s="19"/>
      <c r="W813" s="16"/>
      <c r="X813" s="19"/>
      <c r="Y813" s="19"/>
      <c r="Z813" s="19"/>
      <c r="AA813" s="19"/>
    </row>
    <row r="814" spans="2:27" x14ac:dyDescent="0.3">
      <c r="B814" s="19"/>
      <c r="C814" s="19"/>
      <c r="D814" s="19"/>
      <c r="E814" s="19"/>
      <c r="F814" s="19"/>
      <c r="G814" s="19"/>
      <c r="H814" s="19"/>
      <c r="I814" s="16"/>
      <c r="J814" s="19"/>
      <c r="K814" s="19"/>
      <c r="L814" s="19"/>
      <c r="M814" s="19"/>
      <c r="N814" s="19"/>
      <c r="O814" s="16"/>
      <c r="P814" s="19"/>
      <c r="Q814" s="19"/>
      <c r="R814" s="19"/>
      <c r="S814" s="19"/>
      <c r="T814" s="19"/>
      <c r="U814" s="16"/>
      <c r="V814" s="19"/>
      <c r="W814" s="16"/>
      <c r="X814" s="19"/>
      <c r="Y814" s="19"/>
      <c r="Z814" s="19"/>
      <c r="AA814" s="19"/>
    </row>
    <row r="815" spans="2:27" x14ac:dyDescent="0.3">
      <c r="B815" s="19"/>
      <c r="C815" s="19"/>
      <c r="D815" s="19"/>
      <c r="E815" s="19"/>
      <c r="F815" s="19"/>
      <c r="G815" s="19"/>
      <c r="H815" s="19"/>
      <c r="I815" s="16"/>
      <c r="J815" s="19"/>
      <c r="K815" s="19"/>
      <c r="L815" s="19"/>
      <c r="M815" s="19"/>
      <c r="N815" s="19"/>
      <c r="O815" s="16"/>
      <c r="P815" s="19"/>
      <c r="Q815" s="19"/>
      <c r="R815" s="19"/>
      <c r="S815" s="19"/>
      <c r="T815" s="19"/>
      <c r="U815" s="16"/>
      <c r="V815" s="19"/>
      <c r="W815" s="16"/>
      <c r="X815" s="19"/>
      <c r="Y815" s="19"/>
      <c r="Z815" s="19"/>
      <c r="AA815" s="19"/>
    </row>
    <row r="816" spans="2:27" x14ac:dyDescent="0.3">
      <c r="B816" s="19"/>
      <c r="C816" s="19"/>
      <c r="D816" s="19"/>
      <c r="E816" s="19"/>
      <c r="F816" s="19"/>
      <c r="G816" s="19"/>
      <c r="H816" s="19"/>
      <c r="I816" s="16"/>
      <c r="J816" s="19"/>
      <c r="K816" s="19"/>
      <c r="L816" s="19"/>
      <c r="M816" s="19"/>
      <c r="N816" s="19"/>
      <c r="O816" s="16"/>
      <c r="P816" s="19"/>
      <c r="Q816" s="19"/>
      <c r="R816" s="19"/>
      <c r="S816" s="19"/>
      <c r="T816" s="19"/>
      <c r="U816" s="16"/>
      <c r="V816" s="19"/>
      <c r="W816" s="16"/>
      <c r="X816" s="19"/>
      <c r="Y816" s="19"/>
      <c r="Z816" s="19"/>
      <c r="AA816" s="19"/>
    </row>
    <row r="817" spans="2:27" x14ac:dyDescent="0.3">
      <c r="B817" s="19"/>
      <c r="C817" s="19"/>
      <c r="D817" s="19"/>
      <c r="E817" s="19"/>
      <c r="F817" s="19"/>
      <c r="G817" s="19"/>
      <c r="H817" s="19"/>
      <c r="I817" s="16"/>
      <c r="J817" s="19"/>
      <c r="K817" s="19"/>
      <c r="L817" s="19"/>
      <c r="M817" s="19"/>
      <c r="N817" s="19"/>
      <c r="O817" s="16"/>
      <c r="P817" s="19"/>
      <c r="Q817" s="19"/>
      <c r="R817" s="19"/>
      <c r="S817" s="19"/>
      <c r="T817" s="19"/>
      <c r="U817" s="16"/>
      <c r="V817" s="19"/>
      <c r="W817" s="16"/>
      <c r="X817" s="19"/>
      <c r="Y817" s="19"/>
      <c r="Z817" s="19"/>
      <c r="AA817" s="19"/>
    </row>
    <row r="818" spans="2:27" x14ac:dyDescent="0.3">
      <c r="B818" s="19"/>
      <c r="C818" s="19"/>
      <c r="D818" s="19"/>
      <c r="E818" s="19"/>
      <c r="F818" s="19"/>
      <c r="G818" s="19"/>
      <c r="H818" s="19"/>
      <c r="I818" s="16"/>
      <c r="J818" s="19"/>
      <c r="K818" s="19"/>
      <c r="L818" s="19"/>
      <c r="M818" s="19"/>
      <c r="N818" s="19"/>
      <c r="O818" s="16"/>
      <c r="P818" s="19"/>
      <c r="Q818" s="19"/>
      <c r="R818" s="19"/>
      <c r="S818" s="19"/>
      <c r="T818" s="19"/>
      <c r="U818" s="16"/>
      <c r="V818" s="19"/>
      <c r="W818" s="16"/>
      <c r="X818" s="19"/>
      <c r="Y818" s="19"/>
      <c r="Z818" s="19"/>
      <c r="AA818" s="19"/>
    </row>
    <row r="819" spans="2:27" x14ac:dyDescent="0.3">
      <c r="B819" s="19"/>
      <c r="C819" s="19"/>
      <c r="D819" s="19"/>
      <c r="E819" s="19"/>
      <c r="F819" s="19"/>
      <c r="G819" s="19"/>
      <c r="H819" s="19"/>
      <c r="I819" s="16"/>
      <c r="J819" s="19"/>
      <c r="K819" s="19"/>
      <c r="L819" s="19"/>
      <c r="M819" s="19"/>
      <c r="N819" s="19"/>
      <c r="O819" s="16"/>
      <c r="P819" s="19"/>
      <c r="Q819" s="19"/>
      <c r="R819" s="19"/>
      <c r="S819" s="19"/>
      <c r="T819" s="19"/>
      <c r="U819" s="16"/>
      <c r="V819" s="19"/>
      <c r="W819" s="16"/>
      <c r="X819" s="19"/>
      <c r="Y819" s="19"/>
      <c r="Z819" s="19"/>
      <c r="AA819" s="19"/>
    </row>
    <row r="820" spans="2:27" x14ac:dyDescent="0.3">
      <c r="B820" s="19"/>
      <c r="C820" s="19"/>
      <c r="D820" s="19"/>
      <c r="E820" s="19"/>
      <c r="F820" s="19"/>
      <c r="G820" s="19"/>
      <c r="H820" s="19"/>
      <c r="I820" s="16"/>
      <c r="J820" s="19"/>
      <c r="K820" s="19"/>
      <c r="L820" s="19"/>
      <c r="M820" s="19"/>
      <c r="N820" s="19"/>
      <c r="O820" s="16"/>
      <c r="P820" s="19"/>
      <c r="Q820" s="19"/>
      <c r="R820" s="19"/>
      <c r="S820" s="19"/>
      <c r="T820" s="19"/>
      <c r="U820" s="16"/>
      <c r="V820" s="19"/>
      <c r="W820" s="16"/>
      <c r="X820" s="19"/>
      <c r="Y820" s="19"/>
      <c r="Z820" s="19"/>
      <c r="AA820" s="19"/>
    </row>
    <row r="821" spans="2:27" x14ac:dyDescent="0.3">
      <c r="B821" s="19"/>
      <c r="C821" s="19"/>
      <c r="D821" s="19"/>
      <c r="E821" s="19"/>
      <c r="F821" s="19"/>
      <c r="G821" s="19"/>
      <c r="H821" s="19"/>
      <c r="I821" s="16"/>
      <c r="J821" s="19"/>
      <c r="K821" s="19"/>
      <c r="L821" s="19"/>
      <c r="M821" s="19"/>
      <c r="N821" s="19"/>
      <c r="O821" s="16"/>
      <c r="P821" s="19"/>
      <c r="Q821" s="19"/>
      <c r="R821" s="19"/>
      <c r="S821" s="19"/>
      <c r="T821" s="19"/>
      <c r="U821" s="16"/>
      <c r="V821" s="19"/>
      <c r="W821" s="16"/>
      <c r="X821" s="19"/>
      <c r="Y821" s="19"/>
      <c r="Z821" s="19"/>
      <c r="AA821" s="19"/>
    </row>
    <row r="822" spans="2:27" x14ac:dyDescent="0.3">
      <c r="B822" s="19"/>
      <c r="C822" s="19"/>
      <c r="D822" s="19"/>
      <c r="E822" s="19"/>
      <c r="F822" s="19"/>
      <c r="G822" s="19"/>
      <c r="H822" s="19"/>
      <c r="I822" s="16"/>
      <c r="J822" s="19"/>
      <c r="K822" s="19"/>
      <c r="L822" s="19"/>
      <c r="M822" s="19"/>
      <c r="N822" s="19"/>
      <c r="O822" s="16"/>
      <c r="P822" s="19"/>
      <c r="Q822" s="19"/>
      <c r="R822" s="19"/>
      <c r="S822" s="19"/>
      <c r="T822" s="19"/>
      <c r="U822" s="16"/>
      <c r="V822" s="19"/>
      <c r="W822" s="16"/>
      <c r="X822" s="19"/>
      <c r="Y822" s="19"/>
      <c r="Z822" s="19"/>
      <c r="AA822" s="19"/>
    </row>
    <row r="823" spans="2:27" x14ac:dyDescent="0.3">
      <c r="B823" s="19"/>
      <c r="C823" s="19"/>
      <c r="D823" s="19"/>
      <c r="E823" s="19"/>
      <c r="F823" s="19"/>
      <c r="G823" s="19"/>
      <c r="H823" s="19"/>
      <c r="I823" s="16"/>
      <c r="J823" s="19"/>
      <c r="K823" s="19"/>
      <c r="L823" s="19"/>
      <c r="M823" s="19"/>
      <c r="N823" s="19"/>
      <c r="O823" s="16"/>
      <c r="P823" s="19"/>
      <c r="Q823" s="19"/>
      <c r="R823" s="19"/>
      <c r="S823" s="19"/>
      <c r="T823" s="19"/>
      <c r="U823" s="16"/>
      <c r="V823" s="19"/>
      <c r="W823" s="16"/>
      <c r="X823" s="19"/>
      <c r="Y823" s="19"/>
      <c r="Z823" s="19"/>
      <c r="AA823" s="19"/>
    </row>
    <row r="824" spans="2:27" x14ac:dyDescent="0.3">
      <c r="B824" s="19"/>
      <c r="C824" s="19"/>
      <c r="D824" s="19"/>
      <c r="E824" s="19"/>
      <c r="F824" s="19"/>
      <c r="G824" s="19"/>
      <c r="H824" s="19"/>
      <c r="I824" s="16"/>
      <c r="J824" s="19"/>
      <c r="K824" s="19"/>
      <c r="L824" s="19"/>
      <c r="M824" s="19"/>
      <c r="N824" s="19"/>
      <c r="O824" s="16"/>
      <c r="P824" s="19"/>
      <c r="Q824" s="19"/>
      <c r="R824" s="19"/>
      <c r="S824" s="19"/>
      <c r="T824" s="19"/>
      <c r="U824" s="16"/>
      <c r="V824" s="19"/>
      <c r="W824" s="16"/>
      <c r="X824" s="19"/>
      <c r="Y824" s="19"/>
      <c r="Z824" s="19"/>
      <c r="AA824" s="19"/>
    </row>
    <row r="825" spans="2:27" x14ac:dyDescent="0.3">
      <c r="B825" s="19"/>
      <c r="C825" s="19"/>
      <c r="D825" s="19"/>
      <c r="E825" s="19"/>
      <c r="F825" s="19"/>
      <c r="G825" s="19"/>
      <c r="H825" s="19"/>
      <c r="I825" s="16"/>
      <c r="J825" s="19"/>
      <c r="K825" s="19"/>
      <c r="L825" s="19"/>
      <c r="M825" s="19"/>
      <c r="N825" s="19"/>
      <c r="O825" s="16"/>
      <c r="P825" s="19"/>
      <c r="Q825" s="19"/>
      <c r="R825" s="19"/>
      <c r="S825" s="19"/>
      <c r="T825" s="19"/>
      <c r="U825" s="16"/>
      <c r="V825" s="19"/>
      <c r="W825" s="16"/>
      <c r="X825" s="19"/>
      <c r="Y825" s="19"/>
      <c r="Z825" s="19"/>
      <c r="AA825" s="19"/>
    </row>
    <row r="826" spans="2:27" x14ac:dyDescent="0.3">
      <c r="B826" s="19"/>
      <c r="C826" s="19"/>
      <c r="D826" s="19"/>
      <c r="E826" s="19"/>
      <c r="F826" s="19"/>
      <c r="G826" s="19"/>
      <c r="H826" s="19"/>
      <c r="I826" s="16"/>
      <c r="J826" s="19"/>
      <c r="K826" s="19"/>
      <c r="L826" s="19"/>
      <c r="M826" s="19"/>
      <c r="N826" s="19"/>
      <c r="O826" s="16"/>
      <c r="P826" s="19"/>
      <c r="Q826" s="19"/>
      <c r="R826" s="19"/>
      <c r="S826" s="19"/>
      <c r="T826" s="19"/>
      <c r="U826" s="16"/>
      <c r="V826" s="19"/>
      <c r="W826" s="16"/>
      <c r="X826" s="19"/>
      <c r="Y826" s="19"/>
      <c r="Z826" s="19"/>
      <c r="AA826" s="19"/>
    </row>
    <row r="827" spans="2:27" x14ac:dyDescent="0.3">
      <c r="B827" s="19"/>
      <c r="C827" s="19"/>
      <c r="D827" s="19"/>
      <c r="E827" s="19"/>
      <c r="F827" s="19"/>
      <c r="G827" s="19"/>
      <c r="H827" s="19"/>
      <c r="I827" s="16"/>
      <c r="J827" s="19"/>
      <c r="K827" s="19"/>
      <c r="L827" s="19"/>
      <c r="M827" s="19"/>
      <c r="N827" s="19"/>
      <c r="O827" s="16"/>
      <c r="P827" s="19"/>
      <c r="Q827" s="19"/>
      <c r="R827" s="19"/>
      <c r="S827" s="19"/>
      <c r="T827" s="19"/>
      <c r="U827" s="16"/>
      <c r="V827" s="19"/>
      <c r="W827" s="16"/>
      <c r="X827" s="19"/>
      <c r="Y827" s="19"/>
      <c r="Z827" s="19"/>
      <c r="AA827" s="19"/>
    </row>
    <row r="828" spans="2:27" x14ac:dyDescent="0.3">
      <c r="B828" s="19"/>
      <c r="C828" s="19"/>
      <c r="D828" s="19"/>
      <c r="E828" s="19"/>
      <c r="F828" s="19"/>
      <c r="G828" s="19"/>
      <c r="H828" s="19"/>
      <c r="I828" s="16"/>
      <c r="J828" s="19"/>
      <c r="K828" s="19"/>
      <c r="L828" s="19"/>
      <c r="M828" s="19"/>
      <c r="N828" s="19"/>
      <c r="O828" s="16"/>
      <c r="P828" s="19"/>
      <c r="Q828" s="19"/>
      <c r="R828" s="19"/>
      <c r="S828" s="19"/>
      <c r="T828" s="19"/>
      <c r="U828" s="16"/>
      <c r="V828" s="19"/>
      <c r="W828" s="16"/>
      <c r="X828" s="19"/>
      <c r="Y828" s="19"/>
      <c r="Z828" s="19"/>
      <c r="AA828" s="19"/>
    </row>
    <row r="829" spans="2:27" x14ac:dyDescent="0.3">
      <c r="B829" s="19"/>
      <c r="C829" s="19"/>
      <c r="D829" s="19"/>
      <c r="E829" s="19"/>
      <c r="F829" s="19"/>
      <c r="G829" s="19"/>
      <c r="H829" s="19"/>
      <c r="I829" s="16"/>
      <c r="J829" s="19"/>
      <c r="K829" s="19"/>
      <c r="L829" s="19"/>
      <c r="M829" s="19"/>
      <c r="N829" s="19"/>
      <c r="O829" s="16"/>
      <c r="P829" s="19"/>
      <c r="Q829" s="19"/>
      <c r="R829" s="19"/>
      <c r="S829" s="19"/>
      <c r="T829" s="19"/>
      <c r="U829" s="16"/>
      <c r="V829" s="19"/>
      <c r="W829" s="16"/>
      <c r="X829" s="19"/>
      <c r="Y829" s="19"/>
      <c r="Z829" s="19"/>
      <c r="AA829" s="19"/>
    </row>
    <row r="830" spans="2:27" x14ac:dyDescent="0.3">
      <c r="B830" s="19"/>
      <c r="C830" s="19"/>
      <c r="D830" s="19"/>
      <c r="E830" s="19"/>
      <c r="F830" s="19"/>
      <c r="G830" s="19"/>
      <c r="H830" s="19"/>
      <c r="I830" s="16"/>
      <c r="J830" s="19"/>
      <c r="K830" s="19"/>
      <c r="L830" s="19"/>
      <c r="M830" s="19"/>
      <c r="N830" s="19"/>
      <c r="O830" s="16"/>
      <c r="P830" s="19"/>
      <c r="Q830" s="19"/>
      <c r="R830" s="19"/>
      <c r="S830" s="19"/>
      <c r="T830" s="19"/>
      <c r="U830" s="16"/>
      <c r="V830" s="19"/>
      <c r="W830" s="16"/>
      <c r="X830" s="19"/>
      <c r="Y830" s="19"/>
      <c r="Z830" s="19"/>
      <c r="AA830" s="19"/>
    </row>
    <row r="831" spans="2:27" x14ac:dyDescent="0.3">
      <c r="B831" s="19"/>
      <c r="C831" s="19"/>
      <c r="D831" s="19"/>
      <c r="E831" s="19"/>
      <c r="F831" s="19"/>
      <c r="G831" s="19"/>
      <c r="H831" s="19"/>
      <c r="I831" s="16"/>
      <c r="J831" s="19"/>
      <c r="K831" s="19"/>
      <c r="L831" s="19"/>
      <c r="M831" s="19"/>
      <c r="N831" s="19"/>
      <c r="O831" s="16"/>
      <c r="P831" s="19"/>
      <c r="Q831" s="19"/>
      <c r="R831" s="19"/>
      <c r="S831" s="19"/>
      <c r="T831" s="19"/>
      <c r="U831" s="16"/>
      <c r="V831" s="19"/>
      <c r="W831" s="16"/>
      <c r="X831" s="19"/>
      <c r="Y831" s="19"/>
      <c r="Z831" s="19"/>
      <c r="AA831" s="19"/>
    </row>
    <row r="832" spans="2:27" x14ac:dyDescent="0.3">
      <c r="B832" s="19"/>
      <c r="C832" s="19"/>
      <c r="D832" s="19"/>
      <c r="E832" s="19"/>
      <c r="F832" s="19"/>
      <c r="G832" s="19"/>
      <c r="H832" s="19"/>
      <c r="I832" s="16"/>
      <c r="J832" s="19"/>
      <c r="K832" s="19"/>
      <c r="L832" s="19"/>
      <c r="M832" s="19"/>
      <c r="N832" s="19"/>
      <c r="O832" s="16"/>
      <c r="P832" s="19"/>
      <c r="Q832" s="19"/>
      <c r="R832" s="19"/>
      <c r="S832" s="19"/>
      <c r="T832" s="19"/>
      <c r="U832" s="16"/>
      <c r="V832" s="19"/>
      <c r="W832" s="16"/>
      <c r="X832" s="19"/>
      <c r="Y832" s="19"/>
      <c r="Z832" s="19"/>
      <c r="AA832" s="19"/>
    </row>
    <row r="833" spans="2:27" x14ac:dyDescent="0.3">
      <c r="B833" s="19"/>
      <c r="C833" s="19"/>
      <c r="D833" s="19"/>
      <c r="E833" s="19"/>
      <c r="F833" s="19"/>
      <c r="G833" s="19"/>
      <c r="H833" s="19"/>
      <c r="I833" s="16"/>
      <c r="J833" s="19"/>
      <c r="K833" s="19"/>
      <c r="L833" s="19"/>
      <c r="M833" s="19"/>
      <c r="N833" s="19"/>
      <c r="O833" s="16"/>
      <c r="P833" s="19"/>
      <c r="Q833" s="19"/>
      <c r="R833" s="19"/>
      <c r="S833" s="19"/>
      <c r="T833" s="19"/>
      <c r="U833" s="16"/>
      <c r="V833" s="19"/>
      <c r="W833" s="16"/>
      <c r="X833" s="19"/>
      <c r="Y833" s="19"/>
      <c r="Z833" s="19"/>
      <c r="AA833" s="19"/>
    </row>
    <row r="834" spans="2:27" x14ac:dyDescent="0.3">
      <c r="B834" s="19"/>
      <c r="C834" s="19"/>
      <c r="D834" s="19"/>
      <c r="E834" s="19"/>
      <c r="F834" s="19"/>
      <c r="G834" s="19"/>
      <c r="H834" s="19"/>
      <c r="I834" s="16"/>
      <c r="J834" s="19"/>
      <c r="K834" s="19"/>
      <c r="L834" s="19"/>
      <c r="M834" s="19"/>
      <c r="N834" s="19"/>
      <c r="O834" s="16"/>
      <c r="P834" s="19"/>
      <c r="Q834" s="19"/>
      <c r="R834" s="19"/>
      <c r="S834" s="19"/>
      <c r="T834" s="19"/>
      <c r="U834" s="16"/>
      <c r="V834" s="19"/>
      <c r="W834" s="16"/>
      <c r="X834" s="19"/>
      <c r="Y834" s="19"/>
      <c r="Z834" s="19"/>
      <c r="AA834" s="19"/>
    </row>
    <row r="835" spans="2:27" x14ac:dyDescent="0.3">
      <c r="B835" s="19"/>
      <c r="C835" s="19"/>
      <c r="D835" s="19"/>
      <c r="E835" s="19"/>
      <c r="F835" s="19"/>
      <c r="G835" s="19"/>
      <c r="H835" s="19"/>
      <c r="I835" s="16"/>
      <c r="J835" s="19"/>
      <c r="K835" s="19"/>
      <c r="L835" s="19"/>
      <c r="M835" s="19"/>
      <c r="N835" s="19"/>
      <c r="O835" s="16"/>
      <c r="P835" s="19"/>
      <c r="Q835" s="19"/>
      <c r="R835" s="19"/>
      <c r="S835" s="19"/>
      <c r="T835" s="19"/>
      <c r="U835" s="16"/>
      <c r="V835" s="19"/>
      <c r="W835" s="16"/>
      <c r="X835" s="19"/>
      <c r="Y835" s="19"/>
      <c r="Z835" s="19"/>
      <c r="AA835" s="19"/>
    </row>
    <row r="836" spans="2:27" x14ac:dyDescent="0.3">
      <c r="B836" s="19"/>
      <c r="C836" s="19"/>
      <c r="D836" s="19"/>
      <c r="E836" s="19"/>
      <c r="F836" s="19"/>
      <c r="G836" s="19"/>
      <c r="H836" s="19"/>
      <c r="I836" s="16"/>
      <c r="J836" s="19"/>
      <c r="K836" s="19"/>
      <c r="L836" s="19"/>
      <c r="M836" s="19"/>
      <c r="N836" s="19"/>
      <c r="O836" s="16"/>
      <c r="P836" s="19"/>
      <c r="Q836" s="19"/>
      <c r="R836" s="19"/>
      <c r="S836" s="19"/>
      <c r="T836" s="19"/>
      <c r="U836" s="16"/>
      <c r="V836" s="19"/>
      <c r="W836" s="16"/>
      <c r="X836" s="19"/>
      <c r="Y836" s="19"/>
      <c r="Z836" s="19"/>
      <c r="AA836" s="19"/>
    </row>
    <row r="837" spans="2:27" x14ac:dyDescent="0.3">
      <c r="B837" s="19"/>
      <c r="C837" s="19"/>
      <c r="D837" s="19"/>
      <c r="E837" s="19"/>
      <c r="F837" s="19"/>
      <c r="G837" s="19"/>
      <c r="H837" s="19"/>
      <c r="I837" s="16"/>
      <c r="J837" s="19"/>
      <c r="K837" s="19"/>
      <c r="L837" s="19"/>
      <c r="M837" s="19"/>
      <c r="N837" s="19"/>
      <c r="O837" s="16"/>
      <c r="P837" s="19"/>
      <c r="Q837" s="19"/>
      <c r="R837" s="19"/>
      <c r="S837" s="19"/>
      <c r="T837" s="19"/>
      <c r="U837" s="16"/>
      <c r="V837" s="19"/>
      <c r="W837" s="16"/>
      <c r="X837" s="19"/>
      <c r="Y837" s="19"/>
      <c r="Z837" s="19"/>
      <c r="AA837" s="19"/>
    </row>
    <row r="838" spans="2:27" x14ac:dyDescent="0.3">
      <c r="B838" s="19"/>
      <c r="C838" s="19"/>
      <c r="D838" s="19"/>
      <c r="E838" s="19"/>
      <c r="F838" s="19"/>
      <c r="G838" s="19"/>
      <c r="H838" s="19"/>
      <c r="I838" s="16"/>
      <c r="J838" s="19"/>
      <c r="K838" s="19"/>
      <c r="L838" s="19"/>
      <c r="M838" s="19"/>
      <c r="N838" s="19"/>
      <c r="O838" s="16"/>
      <c r="P838" s="19"/>
      <c r="Q838" s="19"/>
      <c r="R838" s="19"/>
      <c r="S838" s="19"/>
      <c r="T838" s="19"/>
      <c r="U838" s="16"/>
      <c r="V838" s="19"/>
      <c r="W838" s="16"/>
      <c r="X838" s="19"/>
      <c r="Y838" s="19"/>
      <c r="Z838" s="19"/>
      <c r="AA838" s="1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Γιάννης Μάντσιος</dc:creator>
  <cp:lastModifiedBy>Paul</cp:lastModifiedBy>
  <dcterms:created xsi:type="dcterms:W3CDTF">2020-06-24T18:30:36Z</dcterms:created>
  <dcterms:modified xsi:type="dcterms:W3CDTF">2022-04-19T14:46:39Z</dcterms:modified>
</cp:coreProperties>
</file>