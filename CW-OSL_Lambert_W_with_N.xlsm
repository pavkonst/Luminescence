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igma\OneDrive\Υπολογιστής\Dosimetry\Deconovolution\Decay\"/>
    </mc:Choice>
  </mc:AlternateContent>
  <xr:revisionPtr revIDLastSave="0" documentId="13_ncr:1_{DD9DEA5C-4824-4300-BAD0-19B0A6DC5C39}" xr6:coauthVersionLast="47" xr6:coauthVersionMax="47" xr10:uidLastSave="{00000000-0000-0000-0000-000000000000}"/>
  <bookViews>
    <workbookView xWindow="-110" yWindow="-110" windowWidth="25820" windowHeight="15500" xr2:uid="{00000000-000D-0000-FFFF-FFFF00000000}"/>
  </bookViews>
  <sheets>
    <sheet name="sheet 1" sheetId="2" r:id="rId1"/>
  </sheets>
  <functionGroups builtInGroupCount="19"/>
  <definedNames>
    <definedName name="solver_adj" localSheetId="0" hidden="1">'sheet 1'!$C$21:$D$23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'sheet 1'!$C$21:$D$23</definedName>
    <definedName name="solver_lhs10" localSheetId="0" hidden="1">'sheet 1'!$G$22</definedName>
    <definedName name="solver_lhs11" localSheetId="0" hidden="1">'sheet 1'!$F$22</definedName>
    <definedName name="solver_lhs12" localSheetId="0" hidden="1">'sheet 1'!$G$23</definedName>
    <definedName name="solver_lhs13" localSheetId="0" hidden="1">'sheet 1'!$E$21</definedName>
    <definedName name="solver_lhs14" localSheetId="0" hidden="1">'sheet 1'!$G$23</definedName>
    <definedName name="solver_lhs15" localSheetId="0" hidden="1">'sheet 1'!$F$23</definedName>
    <definedName name="solver_lhs16" localSheetId="0" hidden="1">'sheet 1'!$F$21</definedName>
    <definedName name="solver_lhs17" localSheetId="0" hidden="1">'sheet 1'!$G$21</definedName>
    <definedName name="solver_lhs18" localSheetId="0" hidden="1">'sheet 1'!$G$21</definedName>
    <definedName name="solver_lhs19" localSheetId="0" hidden="1">'sheet 1'!$G$21</definedName>
    <definedName name="solver_lhs2" localSheetId="0" hidden="1">'sheet 1'!$D$23</definedName>
    <definedName name="solver_lhs20" localSheetId="0" hidden="1">'sheet 1'!$G$21</definedName>
    <definedName name="solver_lhs3" localSheetId="0" hidden="1">'sheet 1'!$C$21</definedName>
    <definedName name="solver_lhs4" localSheetId="0" hidden="1">'sheet 1'!$D$23</definedName>
    <definedName name="solver_lhs5" localSheetId="0" hidden="1">'sheet 1'!$E$22</definedName>
    <definedName name="solver_lhs6" localSheetId="0" hidden="1">'sheet 1'!$E$23</definedName>
    <definedName name="solver_lhs7" localSheetId="0" hidden="1">'sheet 1'!$D$21</definedName>
    <definedName name="solver_lhs8" localSheetId="0" hidden="1">'sheet 1'!$F$23</definedName>
    <definedName name="solver_lhs9" localSheetId="0" hidden="1">'sheet 1'!$E$23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2</definedName>
    <definedName name="solver_nwt" localSheetId="0" hidden="1">1</definedName>
    <definedName name="solver_opt" localSheetId="0" hidden="1">'sheet 1'!$C$33</definedName>
    <definedName name="solver_pre" localSheetId="0" hidden="1">0.000001</definedName>
    <definedName name="solver_rbv" localSheetId="0" hidden="1">1</definedName>
    <definedName name="solver_rel1" localSheetId="0" hidden="1">3</definedName>
    <definedName name="solver_rel10" localSheetId="0" hidden="1">3</definedName>
    <definedName name="solver_rel11" localSheetId="0" hidden="1">3</definedName>
    <definedName name="solver_rel12" localSheetId="0" hidden="1">1</definedName>
    <definedName name="solver_rel13" localSheetId="0" hidden="1">3</definedName>
    <definedName name="solver_rel14" localSheetId="0" hidden="1">3</definedName>
    <definedName name="solver_rel15" localSheetId="0" hidden="1">3</definedName>
    <definedName name="solver_rel16" localSheetId="0" hidden="1">3</definedName>
    <definedName name="solver_rel17" localSheetId="0" hidden="1">3</definedName>
    <definedName name="solver_rel18" localSheetId="0" hidden="1">3</definedName>
    <definedName name="solver_rel19" localSheetId="0" hidden="1">3</definedName>
    <definedName name="solver_rel2" localSheetId="0" hidden="1">1</definedName>
    <definedName name="solver_rel20" localSheetId="0" hidden="1">3</definedName>
    <definedName name="solver_rel3" localSheetId="0" hidden="1">3</definedName>
    <definedName name="solver_rel4" localSheetId="0" hidden="1">3</definedName>
    <definedName name="solver_rel5" localSheetId="0" hidden="1">3</definedName>
    <definedName name="solver_rel6" localSheetId="0" hidden="1">1</definedName>
    <definedName name="solver_rel7" localSheetId="0" hidden="1">3</definedName>
    <definedName name="solver_rel8" localSheetId="0" hidden="1">1</definedName>
    <definedName name="solver_rel9" localSheetId="0" hidden="1">3</definedName>
    <definedName name="solver_rhs1" localSheetId="0" hidden="1">0.00001</definedName>
    <definedName name="solver_rhs10" localSheetId="0" hidden="1">0</definedName>
    <definedName name="solver_rhs11" localSheetId="0" hidden="1">0</definedName>
    <definedName name="solver_rhs12" localSheetId="0" hidden="1">0.9</definedName>
    <definedName name="solver_rhs13" localSheetId="0" hidden="1">0</definedName>
    <definedName name="solver_rhs14" localSheetId="0" hidden="1">0.00001</definedName>
    <definedName name="solver_rhs15" localSheetId="0" hidden="1">0.00001</definedName>
    <definedName name="solver_rhs16" localSheetId="0" hidden="1">0</definedName>
    <definedName name="solver_rhs17" localSheetId="0" hidden="1">0</definedName>
    <definedName name="solver_rhs18" localSheetId="0" hidden="1">0</definedName>
    <definedName name="solver_rhs19" localSheetId="0" hidden="1">0</definedName>
    <definedName name="solver_rhs2" localSheetId="0" hidden="1">0.9</definedName>
    <definedName name="solver_rhs20" localSheetId="0" hidden="1">0</definedName>
    <definedName name="solver_rhs3" localSheetId="0" hidden="1">0</definedName>
    <definedName name="solver_rhs4" localSheetId="0" hidden="1">0.00001</definedName>
    <definedName name="solver_rhs5" localSheetId="0" hidden="1">0</definedName>
    <definedName name="solver_rhs6" localSheetId="0" hidden="1">0.9</definedName>
    <definedName name="solver_rhs7" localSheetId="0" hidden="1">0</definedName>
    <definedName name="solver_rhs8" localSheetId="0" hidden="1">0.9</definedName>
    <definedName name="solver_rhs9" localSheetId="0" hidden="1">0.00001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6" i="2" l="1"/>
  <c r="E26" i="2"/>
  <c r="F26" i="2"/>
  <c r="G26" i="2"/>
  <c r="C26" i="2"/>
  <c r="D25" i="2" l="1"/>
  <c r="E25" i="2"/>
  <c r="F25" i="2"/>
  <c r="G25" i="2"/>
  <c r="C25" i="2"/>
  <c r="D114" i="2"/>
  <c r="E114" i="2"/>
  <c r="F114" i="2"/>
  <c r="G114" i="2"/>
  <c r="H114" i="2"/>
  <c r="D115" i="2"/>
  <c r="E115" i="2"/>
  <c r="F115" i="2"/>
  <c r="G115" i="2"/>
  <c r="H115" i="2"/>
  <c r="D116" i="2"/>
  <c r="E116" i="2"/>
  <c r="F116" i="2"/>
  <c r="G116" i="2"/>
  <c r="H116" i="2"/>
  <c r="D117" i="2"/>
  <c r="E117" i="2"/>
  <c r="F117" i="2"/>
  <c r="G117" i="2"/>
  <c r="H117" i="2"/>
  <c r="D118" i="2"/>
  <c r="E118" i="2"/>
  <c r="F118" i="2"/>
  <c r="G118" i="2"/>
  <c r="H118" i="2"/>
  <c r="D119" i="2"/>
  <c r="E119" i="2"/>
  <c r="F119" i="2"/>
  <c r="G119" i="2"/>
  <c r="H119" i="2"/>
  <c r="D120" i="2"/>
  <c r="E120" i="2"/>
  <c r="F120" i="2"/>
  <c r="G120" i="2"/>
  <c r="H120" i="2"/>
  <c r="D121" i="2"/>
  <c r="E121" i="2"/>
  <c r="F121" i="2"/>
  <c r="G121" i="2"/>
  <c r="H121" i="2"/>
  <c r="D122" i="2"/>
  <c r="E122" i="2"/>
  <c r="F122" i="2"/>
  <c r="G122" i="2"/>
  <c r="H122" i="2"/>
  <c r="D123" i="2"/>
  <c r="E123" i="2"/>
  <c r="F123" i="2"/>
  <c r="G123" i="2"/>
  <c r="H123" i="2"/>
  <c r="D124" i="2"/>
  <c r="E124" i="2"/>
  <c r="F124" i="2"/>
  <c r="G124" i="2"/>
  <c r="H124" i="2"/>
  <c r="D125" i="2"/>
  <c r="E125" i="2"/>
  <c r="F125" i="2"/>
  <c r="G125" i="2"/>
  <c r="H125" i="2"/>
  <c r="D126" i="2"/>
  <c r="E126" i="2"/>
  <c r="F126" i="2"/>
  <c r="G126" i="2"/>
  <c r="H126" i="2"/>
  <c r="D127" i="2"/>
  <c r="E127" i="2"/>
  <c r="F127" i="2"/>
  <c r="G127" i="2"/>
  <c r="H127" i="2"/>
  <c r="D128" i="2"/>
  <c r="E128" i="2"/>
  <c r="F128" i="2"/>
  <c r="G128" i="2"/>
  <c r="H128" i="2"/>
  <c r="D129" i="2"/>
  <c r="E129" i="2"/>
  <c r="F129" i="2"/>
  <c r="G129" i="2"/>
  <c r="H129" i="2"/>
  <c r="D130" i="2"/>
  <c r="E130" i="2"/>
  <c r="F130" i="2"/>
  <c r="G130" i="2"/>
  <c r="H130" i="2"/>
  <c r="D131" i="2"/>
  <c r="E131" i="2"/>
  <c r="F131" i="2"/>
  <c r="G131" i="2"/>
  <c r="H131" i="2"/>
  <c r="D132" i="2"/>
  <c r="E132" i="2"/>
  <c r="F132" i="2"/>
  <c r="G132" i="2"/>
  <c r="H132" i="2"/>
  <c r="D133" i="2"/>
  <c r="E133" i="2"/>
  <c r="F133" i="2"/>
  <c r="G133" i="2"/>
  <c r="H133" i="2"/>
  <c r="D134" i="2"/>
  <c r="E134" i="2"/>
  <c r="F134" i="2"/>
  <c r="G134" i="2"/>
  <c r="H134" i="2"/>
  <c r="D135" i="2"/>
  <c r="E135" i="2"/>
  <c r="F135" i="2"/>
  <c r="G135" i="2"/>
  <c r="H135" i="2"/>
  <c r="D136" i="2"/>
  <c r="E136" i="2"/>
  <c r="F136" i="2"/>
  <c r="G136" i="2"/>
  <c r="H136" i="2"/>
  <c r="D137" i="2"/>
  <c r="E137" i="2"/>
  <c r="F137" i="2"/>
  <c r="G137" i="2"/>
  <c r="H137" i="2"/>
  <c r="D138" i="2"/>
  <c r="E138" i="2"/>
  <c r="F138" i="2"/>
  <c r="G138" i="2"/>
  <c r="H138" i="2"/>
  <c r="D139" i="2"/>
  <c r="E139" i="2"/>
  <c r="F139" i="2"/>
  <c r="G139" i="2"/>
  <c r="H139" i="2"/>
  <c r="D140" i="2"/>
  <c r="E140" i="2"/>
  <c r="F140" i="2"/>
  <c r="G140" i="2"/>
  <c r="H140" i="2"/>
  <c r="D141" i="2"/>
  <c r="E141" i="2"/>
  <c r="F141" i="2"/>
  <c r="G141" i="2"/>
  <c r="H141" i="2"/>
  <c r="D142" i="2"/>
  <c r="E142" i="2"/>
  <c r="F142" i="2"/>
  <c r="G142" i="2"/>
  <c r="H142" i="2"/>
  <c r="D143" i="2"/>
  <c r="E143" i="2"/>
  <c r="F143" i="2"/>
  <c r="G143" i="2"/>
  <c r="H143" i="2"/>
  <c r="D144" i="2"/>
  <c r="E144" i="2"/>
  <c r="F144" i="2"/>
  <c r="G144" i="2"/>
  <c r="H144" i="2"/>
  <c r="D145" i="2"/>
  <c r="E145" i="2"/>
  <c r="F145" i="2"/>
  <c r="G145" i="2"/>
  <c r="H145" i="2"/>
  <c r="D146" i="2"/>
  <c r="E146" i="2"/>
  <c r="F146" i="2"/>
  <c r="G146" i="2"/>
  <c r="H146" i="2"/>
  <c r="D147" i="2"/>
  <c r="E147" i="2"/>
  <c r="F147" i="2"/>
  <c r="G147" i="2"/>
  <c r="H147" i="2"/>
  <c r="D148" i="2"/>
  <c r="E148" i="2"/>
  <c r="F148" i="2"/>
  <c r="G148" i="2"/>
  <c r="H148" i="2"/>
  <c r="D149" i="2"/>
  <c r="E149" i="2"/>
  <c r="F149" i="2"/>
  <c r="G149" i="2"/>
  <c r="H149" i="2"/>
  <c r="D150" i="2"/>
  <c r="E150" i="2"/>
  <c r="F150" i="2"/>
  <c r="G150" i="2"/>
  <c r="H150" i="2"/>
  <c r="D151" i="2"/>
  <c r="E151" i="2"/>
  <c r="F151" i="2"/>
  <c r="G151" i="2"/>
  <c r="H151" i="2"/>
  <c r="D152" i="2"/>
  <c r="E152" i="2"/>
  <c r="F152" i="2"/>
  <c r="G152" i="2"/>
  <c r="H152" i="2"/>
  <c r="D153" i="2"/>
  <c r="E153" i="2"/>
  <c r="F153" i="2"/>
  <c r="G153" i="2"/>
  <c r="H153" i="2"/>
  <c r="D154" i="2"/>
  <c r="E154" i="2"/>
  <c r="F154" i="2"/>
  <c r="G154" i="2"/>
  <c r="H154" i="2"/>
  <c r="D155" i="2"/>
  <c r="E155" i="2"/>
  <c r="F155" i="2"/>
  <c r="G155" i="2"/>
  <c r="H155" i="2"/>
  <c r="D156" i="2"/>
  <c r="E156" i="2"/>
  <c r="F156" i="2"/>
  <c r="G156" i="2"/>
  <c r="H156" i="2"/>
  <c r="D157" i="2"/>
  <c r="E157" i="2"/>
  <c r="F157" i="2"/>
  <c r="G157" i="2"/>
  <c r="H157" i="2"/>
  <c r="D158" i="2"/>
  <c r="E158" i="2"/>
  <c r="F158" i="2"/>
  <c r="G158" i="2"/>
  <c r="H158" i="2"/>
  <c r="D159" i="2"/>
  <c r="E159" i="2"/>
  <c r="F159" i="2"/>
  <c r="G159" i="2"/>
  <c r="H159" i="2"/>
  <c r="D160" i="2"/>
  <c r="E160" i="2"/>
  <c r="F160" i="2"/>
  <c r="G160" i="2"/>
  <c r="H160" i="2"/>
  <c r="D161" i="2"/>
  <c r="E161" i="2"/>
  <c r="F161" i="2"/>
  <c r="G161" i="2"/>
  <c r="H161" i="2"/>
  <c r="D162" i="2"/>
  <c r="E162" i="2"/>
  <c r="F162" i="2"/>
  <c r="G162" i="2"/>
  <c r="H162" i="2"/>
  <c r="D163" i="2"/>
  <c r="E163" i="2"/>
  <c r="F163" i="2"/>
  <c r="G163" i="2"/>
  <c r="H163" i="2"/>
  <c r="D164" i="2"/>
  <c r="E164" i="2"/>
  <c r="F164" i="2"/>
  <c r="G164" i="2"/>
  <c r="H164" i="2"/>
  <c r="D165" i="2"/>
  <c r="E165" i="2"/>
  <c r="F165" i="2"/>
  <c r="G165" i="2"/>
  <c r="H165" i="2"/>
  <c r="D166" i="2"/>
  <c r="E166" i="2"/>
  <c r="F166" i="2"/>
  <c r="G166" i="2"/>
  <c r="H166" i="2"/>
  <c r="D167" i="2"/>
  <c r="E167" i="2"/>
  <c r="F167" i="2"/>
  <c r="G167" i="2"/>
  <c r="H167" i="2"/>
  <c r="D168" i="2"/>
  <c r="E168" i="2"/>
  <c r="F168" i="2"/>
  <c r="G168" i="2"/>
  <c r="H168" i="2"/>
  <c r="D169" i="2"/>
  <c r="E169" i="2"/>
  <c r="F169" i="2"/>
  <c r="G169" i="2"/>
  <c r="H169" i="2"/>
  <c r="D170" i="2"/>
  <c r="E170" i="2"/>
  <c r="F170" i="2"/>
  <c r="G170" i="2"/>
  <c r="H170" i="2"/>
  <c r="D171" i="2"/>
  <c r="E171" i="2"/>
  <c r="F171" i="2"/>
  <c r="G171" i="2"/>
  <c r="H171" i="2"/>
  <c r="D172" i="2"/>
  <c r="E172" i="2"/>
  <c r="F172" i="2"/>
  <c r="G172" i="2"/>
  <c r="H172" i="2"/>
  <c r="D173" i="2"/>
  <c r="E173" i="2"/>
  <c r="F173" i="2"/>
  <c r="G173" i="2"/>
  <c r="H173" i="2"/>
  <c r="D174" i="2"/>
  <c r="E174" i="2"/>
  <c r="F174" i="2"/>
  <c r="G174" i="2"/>
  <c r="H174" i="2"/>
  <c r="D175" i="2"/>
  <c r="E175" i="2"/>
  <c r="F175" i="2"/>
  <c r="G175" i="2"/>
  <c r="H175" i="2"/>
  <c r="D176" i="2"/>
  <c r="E176" i="2"/>
  <c r="F176" i="2"/>
  <c r="G176" i="2"/>
  <c r="H176" i="2"/>
  <c r="D177" i="2"/>
  <c r="E177" i="2"/>
  <c r="F177" i="2"/>
  <c r="G177" i="2"/>
  <c r="H177" i="2"/>
  <c r="D178" i="2"/>
  <c r="E178" i="2"/>
  <c r="F178" i="2"/>
  <c r="G178" i="2"/>
  <c r="H178" i="2"/>
  <c r="D179" i="2"/>
  <c r="E179" i="2"/>
  <c r="F179" i="2"/>
  <c r="G179" i="2"/>
  <c r="H179" i="2"/>
  <c r="D180" i="2"/>
  <c r="E180" i="2"/>
  <c r="F180" i="2"/>
  <c r="G180" i="2"/>
  <c r="H180" i="2"/>
  <c r="D181" i="2"/>
  <c r="E181" i="2"/>
  <c r="F181" i="2"/>
  <c r="G181" i="2"/>
  <c r="H181" i="2"/>
  <c r="D182" i="2"/>
  <c r="E182" i="2"/>
  <c r="F182" i="2"/>
  <c r="G182" i="2"/>
  <c r="H182" i="2"/>
  <c r="D183" i="2"/>
  <c r="E183" i="2"/>
  <c r="F183" i="2"/>
  <c r="G183" i="2"/>
  <c r="H183" i="2"/>
  <c r="D184" i="2"/>
  <c r="E184" i="2"/>
  <c r="F184" i="2"/>
  <c r="G184" i="2"/>
  <c r="H184" i="2"/>
  <c r="D185" i="2"/>
  <c r="E185" i="2"/>
  <c r="F185" i="2"/>
  <c r="G185" i="2"/>
  <c r="H185" i="2"/>
  <c r="D186" i="2"/>
  <c r="E186" i="2"/>
  <c r="F186" i="2"/>
  <c r="G186" i="2"/>
  <c r="H186" i="2"/>
  <c r="D187" i="2"/>
  <c r="E187" i="2"/>
  <c r="F187" i="2"/>
  <c r="G187" i="2"/>
  <c r="H187" i="2"/>
  <c r="D188" i="2"/>
  <c r="E188" i="2"/>
  <c r="F188" i="2"/>
  <c r="G188" i="2"/>
  <c r="H188" i="2"/>
  <c r="D189" i="2"/>
  <c r="E189" i="2"/>
  <c r="F189" i="2"/>
  <c r="G189" i="2"/>
  <c r="H189" i="2"/>
  <c r="D190" i="2"/>
  <c r="E190" i="2"/>
  <c r="F190" i="2"/>
  <c r="G190" i="2"/>
  <c r="H190" i="2"/>
  <c r="D191" i="2"/>
  <c r="E191" i="2"/>
  <c r="F191" i="2"/>
  <c r="G191" i="2"/>
  <c r="H191" i="2"/>
  <c r="D192" i="2"/>
  <c r="E192" i="2"/>
  <c r="F192" i="2"/>
  <c r="G192" i="2"/>
  <c r="H192" i="2"/>
  <c r="D193" i="2"/>
  <c r="E193" i="2"/>
  <c r="F193" i="2"/>
  <c r="G193" i="2"/>
  <c r="H193" i="2"/>
  <c r="D194" i="2"/>
  <c r="E194" i="2"/>
  <c r="F194" i="2"/>
  <c r="G194" i="2"/>
  <c r="H194" i="2"/>
  <c r="D195" i="2"/>
  <c r="E195" i="2"/>
  <c r="F195" i="2"/>
  <c r="G195" i="2"/>
  <c r="H195" i="2"/>
  <c r="D196" i="2"/>
  <c r="E196" i="2"/>
  <c r="F196" i="2"/>
  <c r="G196" i="2"/>
  <c r="H196" i="2"/>
  <c r="D197" i="2"/>
  <c r="E197" i="2"/>
  <c r="F197" i="2"/>
  <c r="G197" i="2"/>
  <c r="H197" i="2"/>
  <c r="D198" i="2"/>
  <c r="E198" i="2"/>
  <c r="F198" i="2"/>
  <c r="G198" i="2"/>
  <c r="H198" i="2"/>
  <c r="D199" i="2"/>
  <c r="E199" i="2"/>
  <c r="F199" i="2"/>
  <c r="G199" i="2"/>
  <c r="H199" i="2"/>
  <c r="D200" i="2"/>
  <c r="E200" i="2"/>
  <c r="F200" i="2"/>
  <c r="G200" i="2"/>
  <c r="H200" i="2"/>
  <c r="D201" i="2"/>
  <c r="E201" i="2"/>
  <c r="F201" i="2"/>
  <c r="G201" i="2"/>
  <c r="H201" i="2"/>
  <c r="D202" i="2"/>
  <c r="E202" i="2"/>
  <c r="F202" i="2"/>
  <c r="G202" i="2"/>
  <c r="H202" i="2"/>
  <c r="D203" i="2"/>
  <c r="E203" i="2"/>
  <c r="F203" i="2"/>
  <c r="G203" i="2"/>
  <c r="H203" i="2"/>
  <c r="D204" i="2"/>
  <c r="E204" i="2"/>
  <c r="F204" i="2"/>
  <c r="G204" i="2"/>
  <c r="H204" i="2"/>
  <c r="D205" i="2"/>
  <c r="E205" i="2"/>
  <c r="F205" i="2"/>
  <c r="G205" i="2"/>
  <c r="H205" i="2"/>
  <c r="D206" i="2"/>
  <c r="E206" i="2"/>
  <c r="F206" i="2"/>
  <c r="G206" i="2"/>
  <c r="H206" i="2"/>
  <c r="D207" i="2"/>
  <c r="E207" i="2"/>
  <c r="F207" i="2"/>
  <c r="G207" i="2"/>
  <c r="H207" i="2"/>
  <c r="D208" i="2"/>
  <c r="E208" i="2"/>
  <c r="F208" i="2"/>
  <c r="G208" i="2"/>
  <c r="H208" i="2"/>
  <c r="D209" i="2"/>
  <c r="E209" i="2"/>
  <c r="F209" i="2"/>
  <c r="G209" i="2"/>
  <c r="H209" i="2"/>
  <c r="D210" i="2"/>
  <c r="E210" i="2"/>
  <c r="F210" i="2"/>
  <c r="G210" i="2"/>
  <c r="H210" i="2"/>
  <c r="D211" i="2"/>
  <c r="E211" i="2"/>
  <c r="F211" i="2"/>
  <c r="G211" i="2"/>
  <c r="H211" i="2"/>
  <c r="D212" i="2"/>
  <c r="E212" i="2"/>
  <c r="F212" i="2"/>
  <c r="G212" i="2"/>
  <c r="H212" i="2"/>
  <c r="D213" i="2"/>
  <c r="E213" i="2"/>
  <c r="F213" i="2"/>
  <c r="G213" i="2"/>
  <c r="H213" i="2"/>
  <c r="D214" i="2"/>
  <c r="E214" i="2"/>
  <c r="F214" i="2"/>
  <c r="G214" i="2"/>
  <c r="H214" i="2"/>
  <c r="D215" i="2"/>
  <c r="E215" i="2"/>
  <c r="F215" i="2"/>
  <c r="G215" i="2"/>
  <c r="H215" i="2"/>
  <c r="D216" i="2"/>
  <c r="E216" i="2"/>
  <c r="F216" i="2"/>
  <c r="G216" i="2"/>
  <c r="H216" i="2"/>
  <c r="D217" i="2"/>
  <c r="E217" i="2"/>
  <c r="F217" i="2"/>
  <c r="G217" i="2"/>
  <c r="H217" i="2"/>
  <c r="D218" i="2"/>
  <c r="E218" i="2"/>
  <c r="F218" i="2"/>
  <c r="G218" i="2"/>
  <c r="H218" i="2"/>
  <c r="D219" i="2"/>
  <c r="E219" i="2"/>
  <c r="F219" i="2"/>
  <c r="G219" i="2"/>
  <c r="H219" i="2"/>
  <c r="D220" i="2"/>
  <c r="E220" i="2"/>
  <c r="F220" i="2"/>
  <c r="G220" i="2"/>
  <c r="H220" i="2"/>
  <c r="D221" i="2"/>
  <c r="E221" i="2"/>
  <c r="F221" i="2"/>
  <c r="G221" i="2"/>
  <c r="H221" i="2"/>
  <c r="D222" i="2"/>
  <c r="E222" i="2"/>
  <c r="F222" i="2"/>
  <c r="G222" i="2"/>
  <c r="H222" i="2"/>
  <c r="D223" i="2"/>
  <c r="E223" i="2"/>
  <c r="F223" i="2"/>
  <c r="G223" i="2"/>
  <c r="H223" i="2"/>
  <c r="D224" i="2"/>
  <c r="E224" i="2"/>
  <c r="F224" i="2"/>
  <c r="G224" i="2"/>
  <c r="H224" i="2"/>
  <c r="D225" i="2"/>
  <c r="E225" i="2"/>
  <c r="F225" i="2"/>
  <c r="G225" i="2"/>
  <c r="H225" i="2"/>
  <c r="D226" i="2"/>
  <c r="E226" i="2"/>
  <c r="F226" i="2"/>
  <c r="G226" i="2"/>
  <c r="H226" i="2"/>
  <c r="D227" i="2"/>
  <c r="E227" i="2"/>
  <c r="F227" i="2"/>
  <c r="G227" i="2"/>
  <c r="H227" i="2"/>
  <c r="D228" i="2"/>
  <c r="E228" i="2"/>
  <c r="F228" i="2"/>
  <c r="G228" i="2"/>
  <c r="H228" i="2"/>
  <c r="D229" i="2"/>
  <c r="E229" i="2"/>
  <c r="F229" i="2"/>
  <c r="G229" i="2"/>
  <c r="H229" i="2"/>
  <c r="D230" i="2"/>
  <c r="E230" i="2"/>
  <c r="F230" i="2"/>
  <c r="G230" i="2"/>
  <c r="H230" i="2"/>
  <c r="D231" i="2"/>
  <c r="E231" i="2"/>
  <c r="F231" i="2"/>
  <c r="G231" i="2"/>
  <c r="H231" i="2"/>
  <c r="D232" i="2"/>
  <c r="E232" i="2"/>
  <c r="F232" i="2"/>
  <c r="G232" i="2"/>
  <c r="H232" i="2"/>
  <c r="D233" i="2"/>
  <c r="E233" i="2"/>
  <c r="F233" i="2"/>
  <c r="G233" i="2"/>
  <c r="H233" i="2"/>
  <c r="D234" i="2"/>
  <c r="E234" i="2"/>
  <c r="F234" i="2"/>
  <c r="G234" i="2"/>
  <c r="H234" i="2"/>
  <c r="D235" i="2"/>
  <c r="E235" i="2"/>
  <c r="F235" i="2"/>
  <c r="G235" i="2"/>
  <c r="H235" i="2"/>
  <c r="D236" i="2"/>
  <c r="E236" i="2"/>
  <c r="F236" i="2"/>
  <c r="G236" i="2"/>
  <c r="H236" i="2"/>
  <c r="D237" i="2"/>
  <c r="E237" i="2"/>
  <c r="F237" i="2"/>
  <c r="G237" i="2"/>
  <c r="H237" i="2"/>
  <c r="D238" i="2"/>
  <c r="E238" i="2"/>
  <c r="F238" i="2"/>
  <c r="G238" i="2"/>
  <c r="H238" i="2"/>
  <c r="D239" i="2"/>
  <c r="E239" i="2"/>
  <c r="F239" i="2"/>
  <c r="G239" i="2"/>
  <c r="H239" i="2"/>
  <c r="D240" i="2"/>
  <c r="E240" i="2"/>
  <c r="F240" i="2"/>
  <c r="G240" i="2"/>
  <c r="H240" i="2"/>
  <c r="D241" i="2"/>
  <c r="E241" i="2"/>
  <c r="F241" i="2"/>
  <c r="G241" i="2"/>
  <c r="H241" i="2"/>
  <c r="D242" i="2"/>
  <c r="E242" i="2"/>
  <c r="F242" i="2"/>
  <c r="G242" i="2"/>
  <c r="H242" i="2"/>
  <c r="D243" i="2"/>
  <c r="E243" i="2"/>
  <c r="F243" i="2"/>
  <c r="G243" i="2"/>
  <c r="H243" i="2"/>
  <c r="D244" i="2"/>
  <c r="E244" i="2"/>
  <c r="F244" i="2"/>
  <c r="G244" i="2"/>
  <c r="H244" i="2"/>
  <c r="D245" i="2"/>
  <c r="E245" i="2"/>
  <c r="F245" i="2"/>
  <c r="G245" i="2"/>
  <c r="H245" i="2"/>
  <c r="D246" i="2"/>
  <c r="E246" i="2"/>
  <c r="F246" i="2"/>
  <c r="G246" i="2"/>
  <c r="H246" i="2"/>
  <c r="D247" i="2"/>
  <c r="E247" i="2"/>
  <c r="F247" i="2"/>
  <c r="G247" i="2"/>
  <c r="H247" i="2"/>
  <c r="D248" i="2"/>
  <c r="E248" i="2"/>
  <c r="F248" i="2"/>
  <c r="G248" i="2"/>
  <c r="H248" i="2"/>
  <c r="D249" i="2"/>
  <c r="E249" i="2"/>
  <c r="F249" i="2"/>
  <c r="G249" i="2"/>
  <c r="H249" i="2"/>
  <c r="D250" i="2"/>
  <c r="E250" i="2"/>
  <c r="F250" i="2"/>
  <c r="G250" i="2"/>
  <c r="H250" i="2"/>
  <c r="D251" i="2"/>
  <c r="E251" i="2"/>
  <c r="F251" i="2"/>
  <c r="G251" i="2"/>
  <c r="H251" i="2"/>
  <c r="D252" i="2"/>
  <c r="E252" i="2"/>
  <c r="F252" i="2"/>
  <c r="G252" i="2"/>
  <c r="H252" i="2"/>
  <c r="D253" i="2"/>
  <c r="E253" i="2"/>
  <c r="F253" i="2"/>
  <c r="G253" i="2"/>
  <c r="H253" i="2"/>
  <c r="D254" i="2"/>
  <c r="E254" i="2"/>
  <c r="F254" i="2"/>
  <c r="G254" i="2"/>
  <c r="H254" i="2"/>
  <c r="D255" i="2"/>
  <c r="E255" i="2"/>
  <c r="F255" i="2"/>
  <c r="G255" i="2"/>
  <c r="H255" i="2"/>
  <c r="D256" i="2"/>
  <c r="E256" i="2"/>
  <c r="F256" i="2"/>
  <c r="G256" i="2"/>
  <c r="H256" i="2"/>
  <c r="D257" i="2"/>
  <c r="E257" i="2"/>
  <c r="F257" i="2"/>
  <c r="G257" i="2"/>
  <c r="H257" i="2"/>
  <c r="D258" i="2"/>
  <c r="E258" i="2"/>
  <c r="F258" i="2"/>
  <c r="G258" i="2"/>
  <c r="H258" i="2"/>
  <c r="D259" i="2"/>
  <c r="E259" i="2"/>
  <c r="F259" i="2"/>
  <c r="G259" i="2"/>
  <c r="H259" i="2"/>
  <c r="D260" i="2"/>
  <c r="E260" i="2"/>
  <c r="F260" i="2"/>
  <c r="G260" i="2"/>
  <c r="H260" i="2"/>
  <c r="D261" i="2"/>
  <c r="E261" i="2"/>
  <c r="F261" i="2"/>
  <c r="G261" i="2"/>
  <c r="H261" i="2"/>
  <c r="D262" i="2"/>
  <c r="E262" i="2"/>
  <c r="F262" i="2"/>
  <c r="G262" i="2"/>
  <c r="H262" i="2"/>
  <c r="D263" i="2"/>
  <c r="E263" i="2"/>
  <c r="F263" i="2"/>
  <c r="G263" i="2"/>
  <c r="H263" i="2"/>
  <c r="D264" i="2"/>
  <c r="E264" i="2"/>
  <c r="F264" i="2"/>
  <c r="G264" i="2"/>
  <c r="H264" i="2"/>
  <c r="D265" i="2"/>
  <c r="E265" i="2"/>
  <c r="F265" i="2"/>
  <c r="G265" i="2"/>
  <c r="H265" i="2"/>
  <c r="D266" i="2"/>
  <c r="E266" i="2"/>
  <c r="F266" i="2"/>
  <c r="G266" i="2"/>
  <c r="H266" i="2"/>
  <c r="D267" i="2"/>
  <c r="E267" i="2"/>
  <c r="F267" i="2"/>
  <c r="G267" i="2"/>
  <c r="H267" i="2"/>
  <c r="D268" i="2"/>
  <c r="E268" i="2"/>
  <c r="F268" i="2"/>
  <c r="G268" i="2"/>
  <c r="H268" i="2"/>
  <c r="D269" i="2"/>
  <c r="E269" i="2"/>
  <c r="F269" i="2"/>
  <c r="G269" i="2"/>
  <c r="H269" i="2"/>
  <c r="D270" i="2"/>
  <c r="E270" i="2"/>
  <c r="F270" i="2"/>
  <c r="G270" i="2"/>
  <c r="H270" i="2"/>
  <c r="D271" i="2"/>
  <c r="E271" i="2"/>
  <c r="F271" i="2"/>
  <c r="G271" i="2"/>
  <c r="H271" i="2"/>
  <c r="D272" i="2"/>
  <c r="E272" i="2"/>
  <c r="F272" i="2"/>
  <c r="G272" i="2"/>
  <c r="H272" i="2"/>
  <c r="D273" i="2"/>
  <c r="E273" i="2"/>
  <c r="F273" i="2"/>
  <c r="G273" i="2"/>
  <c r="H273" i="2"/>
  <c r="D274" i="2"/>
  <c r="E274" i="2"/>
  <c r="F274" i="2"/>
  <c r="G274" i="2"/>
  <c r="H274" i="2"/>
  <c r="D275" i="2"/>
  <c r="E275" i="2"/>
  <c r="F275" i="2"/>
  <c r="G275" i="2"/>
  <c r="H275" i="2"/>
  <c r="D276" i="2"/>
  <c r="E276" i="2"/>
  <c r="F276" i="2"/>
  <c r="G276" i="2"/>
  <c r="H276" i="2"/>
  <c r="D277" i="2"/>
  <c r="E277" i="2"/>
  <c r="F277" i="2"/>
  <c r="G277" i="2"/>
  <c r="H277" i="2"/>
  <c r="D278" i="2"/>
  <c r="E278" i="2"/>
  <c r="F278" i="2"/>
  <c r="G278" i="2"/>
  <c r="H278" i="2"/>
  <c r="D279" i="2"/>
  <c r="E279" i="2"/>
  <c r="F279" i="2"/>
  <c r="G279" i="2"/>
  <c r="H279" i="2"/>
  <c r="D280" i="2"/>
  <c r="E280" i="2"/>
  <c r="F280" i="2"/>
  <c r="G280" i="2"/>
  <c r="H280" i="2"/>
  <c r="D281" i="2"/>
  <c r="E281" i="2"/>
  <c r="F281" i="2"/>
  <c r="G281" i="2"/>
  <c r="H281" i="2"/>
  <c r="D282" i="2"/>
  <c r="E282" i="2"/>
  <c r="F282" i="2"/>
  <c r="G282" i="2"/>
  <c r="H282" i="2"/>
  <c r="D283" i="2"/>
  <c r="E283" i="2"/>
  <c r="F283" i="2"/>
  <c r="G283" i="2"/>
  <c r="H283" i="2"/>
  <c r="D284" i="2"/>
  <c r="E284" i="2"/>
  <c r="F284" i="2"/>
  <c r="G284" i="2"/>
  <c r="H284" i="2"/>
  <c r="D285" i="2"/>
  <c r="E285" i="2"/>
  <c r="F285" i="2"/>
  <c r="G285" i="2"/>
  <c r="H285" i="2"/>
  <c r="D286" i="2"/>
  <c r="E286" i="2"/>
  <c r="F286" i="2"/>
  <c r="G286" i="2"/>
  <c r="H286" i="2"/>
  <c r="D287" i="2"/>
  <c r="E287" i="2"/>
  <c r="F287" i="2"/>
  <c r="G287" i="2"/>
  <c r="H287" i="2"/>
  <c r="D288" i="2"/>
  <c r="E288" i="2"/>
  <c r="F288" i="2"/>
  <c r="G288" i="2"/>
  <c r="H288" i="2"/>
  <c r="D289" i="2"/>
  <c r="E289" i="2"/>
  <c r="F289" i="2"/>
  <c r="G289" i="2"/>
  <c r="H289" i="2"/>
  <c r="D290" i="2"/>
  <c r="E290" i="2"/>
  <c r="F290" i="2"/>
  <c r="G290" i="2"/>
  <c r="H290" i="2"/>
  <c r="D291" i="2"/>
  <c r="E291" i="2"/>
  <c r="F291" i="2"/>
  <c r="G291" i="2"/>
  <c r="H291" i="2"/>
  <c r="D292" i="2"/>
  <c r="E292" i="2"/>
  <c r="F292" i="2"/>
  <c r="G292" i="2"/>
  <c r="H292" i="2"/>
  <c r="D293" i="2"/>
  <c r="E293" i="2"/>
  <c r="F293" i="2"/>
  <c r="G293" i="2"/>
  <c r="H293" i="2"/>
  <c r="D294" i="2"/>
  <c r="E294" i="2"/>
  <c r="F294" i="2"/>
  <c r="G294" i="2"/>
  <c r="H294" i="2"/>
  <c r="D295" i="2"/>
  <c r="E295" i="2"/>
  <c r="F295" i="2"/>
  <c r="G295" i="2"/>
  <c r="H295" i="2"/>
  <c r="D296" i="2"/>
  <c r="E296" i="2"/>
  <c r="F296" i="2"/>
  <c r="G296" i="2"/>
  <c r="H296" i="2"/>
  <c r="D297" i="2"/>
  <c r="E297" i="2"/>
  <c r="F297" i="2"/>
  <c r="G297" i="2"/>
  <c r="H297" i="2"/>
  <c r="D298" i="2"/>
  <c r="E298" i="2"/>
  <c r="F298" i="2"/>
  <c r="G298" i="2"/>
  <c r="H298" i="2"/>
  <c r="D299" i="2"/>
  <c r="E299" i="2"/>
  <c r="F299" i="2"/>
  <c r="G299" i="2"/>
  <c r="H299" i="2"/>
  <c r="D300" i="2"/>
  <c r="E300" i="2"/>
  <c r="F300" i="2"/>
  <c r="G300" i="2"/>
  <c r="H300" i="2"/>
  <c r="D301" i="2"/>
  <c r="E301" i="2"/>
  <c r="F301" i="2"/>
  <c r="G301" i="2"/>
  <c r="H301" i="2"/>
  <c r="D302" i="2"/>
  <c r="E302" i="2"/>
  <c r="F302" i="2"/>
  <c r="G302" i="2"/>
  <c r="H302" i="2"/>
  <c r="D303" i="2"/>
  <c r="E303" i="2"/>
  <c r="F303" i="2"/>
  <c r="G303" i="2"/>
  <c r="H303" i="2"/>
  <c r="D304" i="2"/>
  <c r="E304" i="2"/>
  <c r="F304" i="2"/>
  <c r="G304" i="2"/>
  <c r="H304" i="2"/>
  <c r="D305" i="2"/>
  <c r="E305" i="2"/>
  <c r="F305" i="2"/>
  <c r="G305" i="2"/>
  <c r="H305" i="2"/>
  <c r="D306" i="2"/>
  <c r="E306" i="2"/>
  <c r="F306" i="2"/>
  <c r="G306" i="2"/>
  <c r="H306" i="2"/>
  <c r="D307" i="2"/>
  <c r="E307" i="2"/>
  <c r="F307" i="2"/>
  <c r="G307" i="2"/>
  <c r="H307" i="2"/>
  <c r="D308" i="2"/>
  <c r="E308" i="2"/>
  <c r="F308" i="2"/>
  <c r="G308" i="2"/>
  <c r="H308" i="2"/>
  <c r="D309" i="2"/>
  <c r="E309" i="2"/>
  <c r="F309" i="2"/>
  <c r="G309" i="2"/>
  <c r="H309" i="2"/>
  <c r="D310" i="2"/>
  <c r="E310" i="2"/>
  <c r="F310" i="2"/>
  <c r="G310" i="2"/>
  <c r="H310" i="2"/>
  <c r="D311" i="2"/>
  <c r="E311" i="2"/>
  <c r="F311" i="2"/>
  <c r="G311" i="2"/>
  <c r="H311" i="2"/>
  <c r="D312" i="2"/>
  <c r="E312" i="2"/>
  <c r="F312" i="2"/>
  <c r="G312" i="2"/>
  <c r="H312" i="2"/>
  <c r="D313" i="2"/>
  <c r="E313" i="2"/>
  <c r="F313" i="2"/>
  <c r="G313" i="2"/>
  <c r="H313" i="2"/>
  <c r="D314" i="2"/>
  <c r="E314" i="2"/>
  <c r="F314" i="2"/>
  <c r="G314" i="2"/>
  <c r="H314" i="2"/>
  <c r="D315" i="2"/>
  <c r="E315" i="2"/>
  <c r="F315" i="2"/>
  <c r="G315" i="2"/>
  <c r="H315" i="2"/>
  <c r="D316" i="2"/>
  <c r="E316" i="2"/>
  <c r="F316" i="2"/>
  <c r="G316" i="2"/>
  <c r="H316" i="2"/>
  <c r="D317" i="2"/>
  <c r="E317" i="2"/>
  <c r="F317" i="2"/>
  <c r="G317" i="2"/>
  <c r="H317" i="2"/>
  <c r="D318" i="2"/>
  <c r="E318" i="2"/>
  <c r="F318" i="2"/>
  <c r="G318" i="2"/>
  <c r="H318" i="2"/>
  <c r="D319" i="2"/>
  <c r="E319" i="2"/>
  <c r="F319" i="2"/>
  <c r="G319" i="2"/>
  <c r="H319" i="2"/>
  <c r="D320" i="2"/>
  <c r="E320" i="2"/>
  <c r="F320" i="2"/>
  <c r="G320" i="2"/>
  <c r="H320" i="2"/>
  <c r="D321" i="2"/>
  <c r="E321" i="2"/>
  <c r="F321" i="2"/>
  <c r="G321" i="2"/>
  <c r="H321" i="2"/>
  <c r="D322" i="2"/>
  <c r="E322" i="2"/>
  <c r="F322" i="2"/>
  <c r="G322" i="2"/>
  <c r="H322" i="2"/>
  <c r="D323" i="2"/>
  <c r="E323" i="2"/>
  <c r="F323" i="2"/>
  <c r="G323" i="2"/>
  <c r="H323" i="2"/>
  <c r="D324" i="2"/>
  <c r="E324" i="2"/>
  <c r="F324" i="2"/>
  <c r="G324" i="2"/>
  <c r="H324" i="2"/>
  <c r="D325" i="2"/>
  <c r="E325" i="2"/>
  <c r="F325" i="2"/>
  <c r="G325" i="2"/>
  <c r="H325" i="2"/>
  <c r="D326" i="2"/>
  <c r="E326" i="2"/>
  <c r="F326" i="2"/>
  <c r="G326" i="2"/>
  <c r="H326" i="2"/>
  <c r="D327" i="2"/>
  <c r="E327" i="2"/>
  <c r="F327" i="2"/>
  <c r="G327" i="2"/>
  <c r="H327" i="2"/>
  <c r="D328" i="2"/>
  <c r="E328" i="2"/>
  <c r="F328" i="2"/>
  <c r="G328" i="2"/>
  <c r="H328" i="2"/>
  <c r="D329" i="2"/>
  <c r="E329" i="2"/>
  <c r="F329" i="2"/>
  <c r="G329" i="2"/>
  <c r="H329" i="2"/>
  <c r="D330" i="2"/>
  <c r="E330" i="2"/>
  <c r="F330" i="2"/>
  <c r="G330" i="2"/>
  <c r="H330" i="2"/>
  <c r="D331" i="2"/>
  <c r="E331" i="2"/>
  <c r="F331" i="2"/>
  <c r="G331" i="2"/>
  <c r="H331" i="2"/>
  <c r="D332" i="2"/>
  <c r="E332" i="2"/>
  <c r="F332" i="2"/>
  <c r="G332" i="2"/>
  <c r="H332" i="2"/>
  <c r="D333" i="2"/>
  <c r="E333" i="2"/>
  <c r="F333" i="2"/>
  <c r="G333" i="2"/>
  <c r="H333" i="2"/>
  <c r="D334" i="2"/>
  <c r="E334" i="2"/>
  <c r="F334" i="2"/>
  <c r="G334" i="2"/>
  <c r="H334" i="2"/>
  <c r="D335" i="2"/>
  <c r="E335" i="2"/>
  <c r="F335" i="2"/>
  <c r="G335" i="2"/>
  <c r="H335" i="2"/>
  <c r="D336" i="2"/>
  <c r="E336" i="2"/>
  <c r="F336" i="2"/>
  <c r="G336" i="2"/>
  <c r="H336" i="2"/>
  <c r="D337" i="2"/>
  <c r="E337" i="2"/>
  <c r="F337" i="2"/>
  <c r="G337" i="2"/>
  <c r="H337" i="2"/>
  <c r="D338" i="2"/>
  <c r="E338" i="2"/>
  <c r="F338" i="2"/>
  <c r="G338" i="2"/>
  <c r="H338" i="2"/>
  <c r="D339" i="2"/>
  <c r="E339" i="2"/>
  <c r="F339" i="2"/>
  <c r="G339" i="2"/>
  <c r="H339" i="2"/>
  <c r="D340" i="2"/>
  <c r="E340" i="2"/>
  <c r="F340" i="2"/>
  <c r="G340" i="2"/>
  <c r="H340" i="2"/>
  <c r="D341" i="2"/>
  <c r="E341" i="2"/>
  <c r="F341" i="2"/>
  <c r="G341" i="2"/>
  <c r="H341" i="2"/>
  <c r="D342" i="2"/>
  <c r="E342" i="2"/>
  <c r="F342" i="2"/>
  <c r="G342" i="2"/>
  <c r="H342" i="2"/>
  <c r="D343" i="2"/>
  <c r="E343" i="2"/>
  <c r="F343" i="2"/>
  <c r="G343" i="2"/>
  <c r="H343" i="2"/>
  <c r="D344" i="2"/>
  <c r="E344" i="2"/>
  <c r="F344" i="2"/>
  <c r="G344" i="2"/>
  <c r="H344" i="2"/>
  <c r="D345" i="2"/>
  <c r="E345" i="2"/>
  <c r="F345" i="2"/>
  <c r="G345" i="2"/>
  <c r="H345" i="2"/>
  <c r="D346" i="2"/>
  <c r="E346" i="2"/>
  <c r="F346" i="2"/>
  <c r="G346" i="2"/>
  <c r="H346" i="2"/>
  <c r="D347" i="2"/>
  <c r="E347" i="2"/>
  <c r="F347" i="2"/>
  <c r="G347" i="2"/>
  <c r="H347" i="2"/>
  <c r="D348" i="2"/>
  <c r="E348" i="2"/>
  <c r="F348" i="2"/>
  <c r="G348" i="2"/>
  <c r="H348" i="2"/>
  <c r="D349" i="2"/>
  <c r="E349" i="2"/>
  <c r="F349" i="2"/>
  <c r="G349" i="2"/>
  <c r="H349" i="2"/>
  <c r="D350" i="2"/>
  <c r="E350" i="2"/>
  <c r="F350" i="2"/>
  <c r="G350" i="2"/>
  <c r="H350" i="2"/>
  <c r="D351" i="2"/>
  <c r="E351" i="2"/>
  <c r="F351" i="2"/>
  <c r="G351" i="2"/>
  <c r="H351" i="2"/>
  <c r="D352" i="2"/>
  <c r="E352" i="2"/>
  <c r="F352" i="2"/>
  <c r="G352" i="2"/>
  <c r="H352" i="2"/>
  <c r="D353" i="2"/>
  <c r="E353" i="2"/>
  <c r="F353" i="2"/>
  <c r="G353" i="2"/>
  <c r="H353" i="2"/>
  <c r="D354" i="2"/>
  <c r="E354" i="2"/>
  <c r="F354" i="2"/>
  <c r="G354" i="2"/>
  <c r="H354" i="2"/>
  <c r="D355" i="2"/>
  <c r="E355" i="2"/>
  <c r="F355" i="2"/>
  <c r="G355" i="2"/>
  <c r="H355" i="2"/>
  <c r="D356" i="2"/>
  <c r="E356" i="2"/>
  <c r="F356" i="2"/>
  <c r="G356" i="2"/>
  <c r="H356" i="2"/>
  <c r="D357" i="2"/>
  <c r="E357" i="2"/>
  <c r="F357" i="2"/>
  <c r="G357" i="2"/>
  <c r="H357" i="2"/>
  <c r="D358" i="2"/>
  <c r="E358" i="2"/>
  <c r="F358" i="2"/>
  <c r="G358" i="2"/>
  <c r="H358" i="2"/>
  <c r="D359" i="2"/>
  <c r="E359" i="2"/>
  <c r="F359" i="2"/>
  <c r="G359" i="2"/>
  <c r="H359" i="2"/>
  <c r="D360" i="2"/>
  <c r="E360" i="2"/>
  <c r="F360" i="2"/>
  <c r="G360" i="2"/>
  <c r="H360" i="2"/>
  <c r="D361" i="2"/>
  <c r="E361" i="2"/>
  <c r="F361" i="2"/>
  <c r="G361" i="2"/>
  <c r="H361" i="2"/>
  <c r="D362" i="2"/>
  <c r="E362" i="2"/>
  <c r="F362" i="2"/>
  <c r="G362" i="2"/>
  <c r="H362" i="2"/>
  <c r="D363" i="2"/>
  <c r="E363" i="2"/>
  <c r="F363" i="2"/>
  <c r="G363" i="2"/>
  <c r="H363" i="2"/>
  <c r="D364" i="2"/>
  <c r="E364" i="2"/>
  <c r="F364" i="2"/>
  <c r="G364" i="2"/>
  <c r="H364" i="2"/>
  <c r="D365" i="2"/>
  <c r="E365" i="2"/>
  <c r="F365" i="2"/>
  <c r="G365" i="2"/>
  <c r="H365" i="2"/>
  <c r="D366" i="2"/>
  <c r="E366" i="2"/>
  <c r="F366" i="2"/>
  <c r="G366" i="2"/>
  <c r="H366" i="2"/>
  <c r="D367" i="2"/>
  <c r="E367" i="2"/>
  <c r="F367" i="2"/>
  <c r="G367" i="2"/>
  <c r="H367" i="2"/>
  <c r="D368" i="2"/>
  <c r="E368" i="2"/>
  <c r="F368" i="2"/>
  <c r="G368" i="2"/>
  <c r="H368" i="2"/>
  <c r="D369" i="2"/>
  <c r="E369" i="2"/>
  <c r="F369" i="2"/>
  <c r="G369" i="2"/>
  <c r="H369" i="2"/>
  <c r="D370" i="2"/>
  <c r="E370" i="2"/>
  <c r="F370" i="2"/>
  <c r="G370" i="2"/>
  <c r="H370" i="2"/>
  <c r="D371" i="2"/>
  <c r="E371" i="2"/>
  <c r="F371" i="2"/>
  <c r="G371" i="2"/>
  <c r="H371" i="2"/>
  <c r="D372" i="2"/>
  <c r="E372" i="2"/>
  <c r="F372" i="2"/>
  <c r="G372" i="2"/>
  <c r="H372" i="2"/>
  <c r="D373" i="2"/>
  <c r="E373" i="2"/>
  <c r="F373" i="2"/>
  <c r="G373" i="2"/>
  <c r="H373" i="2"/>
  <c r="D374" i="2"/>
  <c r="E374" i="2"/>
  <c r="F374" i="2"/>
  <c r="G374" i="2"/>
  <c r="H374" i="2"/>
  <c r="D375" i="2"/>
  <c r="E375" i="2"/>
  <c r="F375" i="2"/>
  <c r="G375" i="2"/>
  <c r="H375" i="2"/>
  <c r="D376" i="2"/>
  <c r="E376" i="2"/>
  <c r="F376" i="2"/>
  <c r="G376" i="2"/>
  <c r="H376" i="2"/>
  <c r="D377" i="2"/>
  <c r="E377" i="2"/>
  <c r="F377" i="2"/>
  <c r="G377" i="2"/>
  <c r="H377" i="2"/>
  <c r="D378" i="2"/>
  <c r="E378" i="2"/>
  <c r="F378" i="2"/>
  <c r="G378" i="2"/>
  <c r="H378" i="2"/>
  <c r="D379" i="2"/>
  <c r="E379" i="2"/>
  <c r="F379" i="2"/>
  <c r="G379" i="2"/>
  <c r="H379" i="2"/>
  <c r="D380" i="2"/>
  <c r="E380" i="2"/>
  <c r="F380" i="2"/>
  <c r="G380" i="2"/>
  <c r="H380" i="2"/>
  <c r="D381" i="2"/>
  <c r="E381" i="2"/>
  <c r="F381" i="2"/>
  <c r="G381" i="2"/>
  <c r="H381" i="2"/>
  <c r="D382" i="2"/>
  <c r="E382" i="2"/>
  <c r="F382" i="2"/>
  <c r="G382" i="2"/>
  <c r="H382" i="2"/>
  <c r="D383" i="2"/>
  <c r="E383" i="2"/>
  <c r="F383" i="2"/>
  <c r="G383" i="2"/>
  <c r="H383" i="2"/>
  <c r="D384" i="2"/>
  <c r="E384" i="2"/>
  <c r="F384" i="2"/>
  <c r="G384" i="2"/>
  <c r="H384" i="2"/>
  <c r="D385" i="2"/>
  <c r="E385" i="2"/>
  <c r="F385" i="2"/>
  <c r="G385" i="2"/>
  <c r="H385" i="2"/>
  <c r="D386" i="2"/>
  <c r="E386" i="2"/>
  <c r="F386" i="2"/>
  <c r="G386" i="2"/>
  <c r="H386" i="2"/>
  <c r="D387" i="2"/>
  <c r="E387" i="2"/>
  <c r="F387" i="2"/>
  <c r="G387" i="2"/>
  <c r="H387" i="2"/>
  <c r="D388" i="2"/>
  <c r="E388" i="2"/>
  <c r="F388" i="2"/>
  <c r="G388" i="2"/>
  <c r="H388" i="2"/>
  <c r="D389" i="2"/>
  <c r="E389" i="2"/>
  <c r="F389" i="2"/>
  <c r="G389" i="2"/>
  <c r="H389" i="2"/>
  <c r="D390" i="2"/>
  <c r="E390" i="2"/>
  <c r="F390" i="2"/>
  <c r="G390" i="2"/>
  <c r="H390" i="2"/>
  <c r="D391" i="2"/>
  <c r="E391" i="2"/>
  <c r="F391" i="2"/>
  <c r="G391" i="2"/>
  <c r="H391" i="2"/>
  <c r="D392" i="2"/>
  <c r="E392" i="2"/>
  <c r="F392" i="2"/>
  <c r="G392" i="2"/>
  <c r="H392" i="2"/>
  <c r="D393" i="2"/>
  <c r="E393" i="2"/>
  <c r="F393" i="2"/>
  <c r="G393" i="2"/>
  <c r="H393" i="2"/>
  <c r="D394" i="2"/>
  <c r="E394" i="2"/>
  <c r="F394" i="2"/>
  <c r="G394" i="2"/>
  <c r="H394" i="2"/>
  <c r="D395" i="2"/>
  <c r="E395" i="2"/>
  <c r="F395" i="2"/>
  <c r="G395" i="2"/>
  <c r="H395" i="2"/>
  <c r="D396" i="2"/>
  <c r="E396" i="2"/>
  <c r="F396" i="2"/>
  <c r="G396" i="2"/>
  <c r="H396" i="2"/>
  <c r="D397" i="2"/>
  <c r="E397" i="2"/>
  <c r="F397" i="2"/>
  <c r="G397" i="2"/>
  <c r="H397" i="2"/>
  <c r="D398" i="2"/>
  <c r="E398" i="2"/>
  <c r="F398" i="2"/>
  <c r="G398" i="2"/>
  <c r="H398" i="2"/>
  <c r="D399" i="2"/>
  <c r="E399" i="2"/>
  <c r="F399" i="2"/>
  <c r="G399" i="2"/>
  <c r="H399" i="2"/>
  <c r="D400" i="2"/>
  <c r="E400" i="2"/>
  <c r="F400" i="2"/>
  <c r="G400" i="2"/>
  <c r="H400" i="2"/>
  <c r="D401" i="2"/>
  <c r="E401" i="2"/>
  <c r="F401" i="2"/>
  <c r="G401" i="2"/>
  <c r="H401" i="2"/>
  <c r="D402" i="2"/>
  <c r="E402" i="2"/>
  <c r="F402" i="2"/>
  <c r="G402" i="2"/>
  <c r="H402" i="2"/>
  <c r="D403" i="2"/>
  <c r="E403" i="2"/>
  <c r="F403" i="2"/>
  <c r="G403" i="2"/>
  <c r="H403" i="2"/>
  <c r="D404" i="2"/>
  <c r="E404" i="2"/>
  <c r="F404" i="2"/>
  <c r="G404" i="2"/>
  <c r="H404" i="2"/>
  <c r="D405" i="2"/>
  <c r="E405" i="2"/>
  <c r="F405" i="2"/>
  <c r="G405" i="2"/>
  <c r="H405" i="2"/>
  <c r="D406" i="2"/>
  <c r="E406" i="2"/>
  <c r="F406" i="2"/>
  <c r="G406" i="2"/>
  <c r="H406" i="2"/>
  <c r="D407" i="2"/>
  <c r="E407" i="2"/>
  <c r="F407" i="2"/>
  <c r="G407" i="2"/>
  <c r="H407" i="2"/>
  <c r="D408" i="2"/>
  <c r="E408" i="2"/>
  <c r="F408" i="2"/>
  <c r="G408" i="2"/>
  <c r="H408" i="2"/>
  <c r="D409" i="2"/>
  <c r="E409" i="2"/>
  <c r="F409" i="2"/>
  <c r="G409" i="2"/>
  <c r="H409" i="2"/>
  <c r="D410" i="2"/>
  <c r="E410" i="2"/>
  <c r="F410" i="2"/>
  <c r="G410" i="2"/>
  <c r="H410" i="2"/>
  <c r="D411" i="2"/>
  <c r="E411" i="2"/>
  <c r="F411" i="2"/>
  <c r="G411" i="2"/>
  <c r="H411" i="2"/>
  <c r="D412" i="2"/>
  <c r="E412" i="2"/>
  <c r="F412" i="2"/>
  <c r="G412" i="2"/>
  <c r="H412" i="2"/>
  <c r="D413" i="2"/>
  <c r="E413" i="2"/>
  <c r="F413" i="2"/>
  <c r="G413" i="2"/>
  <c r="H413" i="2"/>
  <c r="D414" i="2"/>
  <c r="E414" i="2"/>
  <c r="F414" i="2"/>
  <c r="G414" i="2"/>
  <c r="H414" i="2"/>
  <c r="D415" i="2"/>
  <c r="E415" i="2"/>
  <c r="F415" i="2"/>
  <c r="G415" i="2"/>
  <c r="H415" i="2"/>
  <c r="D416" i="2"/>
  <c r="E416" i="2"/>
  <c r="F416" i="2"/>
  <c r="G416" i="2"/>
  <c r="H416" i="2"/>
  <c r="D417" i="2"/>
  <c r="E417" i="2"/>
  <c r="F417" i="2"/>
  <c r="G417" i="2"/>
  <c r="H417" i="2"/>
  <c r="D418" i="2"/>
  <c r="E418" i="2"/>
  <c r="F418" i="2"/>
  <c r="G418" i="2"/>
  <c r="H418" i="2"/>
  <c r="D419" i="2"/>
  <c r="E419" i="2"/>
  <c r="F419" i="2"/>
  <c r="G419" i="2"/>
  <c r="H419" i="2"/>
  <c r="D420" i="2"/>
  <c r="E420" i="2"/>
  <c r="F420" i="2"/>
  <c r="G420" i="2"/>
  <c r="H420" i="2"/>
  <c r="D421" i="2"/>
  <c r="E421" i="2"/>
  <c r="F421" i="2"/>
  <c r="G421" i="2"/>
  <c r="H421" i="2"/>
  <c r="D422" i="2"/>
  <c r="E422" i="2"/>
  <c r="F422" i="2"/>
  <c r="G422" i="2"/>
  <c r="H422" i="2"/>
  <c r="D423" i="2"/>
  <c r="E423" i="2"/>
  <c r="F423" i="2"/>
  <c r="G423" i="2"/>
  <c r="H423" i="2"/>
  <c r="D424" i="2"/>
  <c r="E424" i="2"/>
  <c r="F424" i="2"/>
  <c r="G424" i="2"/>
  <c r="H424" i="2"/>
  <c r="D425" i="2"/>
  <c r="E425" i="2"/>
  <c r="F425" i="2"/>
  <c r="G425" i="2"/>
  <c r="H425" i="2"/>
  <c r="D426" i="2"/>
  <c r="E426" i="2"/>
  <c r="F426" i="2"/>
  <c r="G426" i="2"/>
  <c r="H426" i="2"/>
  <c r="D427" i="2"/>
  <c r="E427" i="2"/>
  <c r="F427" i="2"/>
  <c r="G427" i="2"/>
  <c r="H427" i="2"/>
  <c r="D428" i="2"/>
  <c r="E428" i="2"/>
  <c r="F428" i="2"/>
  <c r="G428" i="2"/>
  <c r="H428" i="2"/>
  <c r="D429" i="2"/>
  <c r="E429" i="2"/>
  <c r="F429" i="2"/>
  <c r="G429" i="2"/>
  <c r="H429" i="2"/>
  <c r="D430" i="2"/>
  <c r="E430" i="2"/>
  <c r="F430" i="2"/>
  <c r="G430" i="2"/>
  <c r="H430" i="2"/>
  <c r="D431" i="2"/>
  <c r="E431" i="2"/>
  <c r="F431" i="2"/>
  <c r="G431" i="2"/>
  <c r="H431" i="2"/>
  <c r="D432" i="2"/>
  <c r="E432" i="2"/>
  <c r="F432" i="2"/>
  <c r="G432" i="2"/>
  <c r="H432" i="2"/>
  <c r="D433" i="2"/>
  <c r="E433" i="2"/>
  <c r="F433" i="2"/>
  <c r="G433" i="2"/>
  <c r="H433" i="2"/>
  <c r="D434" i="2"/>
  <c r="E434" i="2"/>
  <c r="F434" i="2"/>
  <c r="G434" i="2"/>
  <c r="H434" i="2"/>
  <c r="D435" i="2"/>
  <c r="E435" i="2"/>
  <c r="F435" i="2"/>
  <c r="G435" i="2"/>
  <c r="H435" i="2"/>
  <c r="D436" i="2"/>
  <c r="E436" i="2"/>
  <c r="F436" i="2"/>
  <c r="G436" i="2"/>
  <c r="H436" i="2"/>
  <c r="D437" i="2"/>
  <c r="E437" i="2"/>
  <c r="F437" i="2"/>
  <c r="G437" i="2"/>
  <c r="H437" i="2"/>
  <c r="D438" i="2"/>
  <c r="E438" i="2"/>
  <c r="F438" i="2"/>
  <c r="G438" i="2"/>
  <c r="H438" i="2"/>
  <c r="D439" i="2"/>
  <c r="E439" i="2"/>
  <c r="F439" i="2"/>
  <c r="G439" i="2"/>
  <c r="H439" i="2"/>
  <c r="D440" i="2"/>
  <c r="E440" i="2"/>
  <c r="F440" i="2"/>
  <c r="G440" i="2"/>
  <c r="H440" i="2"/>
  <c r="D441" i="2"/>
  <c r="E441" i="2"/>
  <c r="F441" i="2"/>
  <c r="G441" i="2"/>
  <c r="H441" i="2"/>
  <c r="D442" i="2"/>
  <c r="E442" i="2"/>
  <c r="F442" i="2"/>
  <c r="G442" i="2"/>
  <c r="H442" i="2"/>
  <c r="D443" i="2"/>
  <c r="E443" i="2"/>
  <c r="F443" i="2"/>
  <c r="G443" i="2"/>
  <c r="H443" i="2"/>
  <c r="D444" i="2"/>
  <c r="E444" i="2"/>
  <c r="F444" i="2"/>
  <c r="G444" i="2"/>
  <c r="H444" i="2"/>
  <c r="D445" i="2"/>
  <c r="E445" i="2"/>
  <c r="F445" i="2"/>
  <c r="G445" i="2"/>
  <c r="H445" i="2"/>
  <c r="D446" i="2"/>
  <c r="E446" i="2"/>
  <c r="F446" i="2"/>
  <c r="G446" i="2"/>
  <c r="H446" i="2"/>
  <c r="D447" i="2"/>
  <c r="E447" i="2"/>
  <c r="F447" i="2"/>
  <c r="G447" i="2"/>
  <c r="H447" i="2"/>
  <c r="D448" i="2"/>
  <c r="E448" i="2"/>
  <c r="F448" i="2"/>
  <c r="G448" i="2"/>
  <c r="H448" i="2"/>
  <c r="D449" i="2"/>
  <c r="E449" i="2"/>
  <c r="F449" i="2"/>
  <c r="G449" i="2"/>
  <c r="H449" i="2"/>
  <c r="D450" i="2"/>
  <c r="E450" i="2"/>
  <c r="F450" i="2"/>
  <c r="G450" i="2"/>
  <c r="H450" i="2"/>
  <c r="D451" i="2"/>
  <c r="E451" i="2"/>
  <c r="F451" i="2"/>
  <c r="G451" i="2"/>
  <c r="H451" i="2"/>
  <c r="D452" i="2"/>
  <c r="E452" i="2"/>
  <c r="F452" i="2"/>
  <c r="G452" i="2"/>
  <c r="H452" i="2"/>
  <c r="D453" i="2"/>
  <c r="E453" i="2"/>
  <c r="F453" i="2"/>
  <c r="G453" i="2"/>
  <c r="H453" i="2"/>
  <c r="D454" i="2"/>
  <c r="E454" i="2"/>
  <c r="F454" i="2"/>
  <c r="G454" i="2"/>
  <c r="H454" i="2"/>
  <c r="D455" i="2"/>
  <c r="E455" i="2"/>
  <c r="F455" i="2"/>
  <c r="G455" i="2"/>
  <c r="H455" i="2"/>
  <c r="D456" i="2"/>
  <c r="E456" i="2"/>
  <c r="F456" i="2"/>
  <c r="G456" i="2"/>
  <c r="H456" i="2"/>
  <c r="D457" i="2"/>
  <c r="E457" i="2"/>
  <c r="F457" i="2"/>
  <c r="G457" i="2"/>
  <c r="H457" i="2"/>
  <c r="D458" i="2"/>
  <c r="E458" i="2"/>
  <c r="F458" i="2"/>
  <c r="G458" i="2"/>
  <c r="H458" i="2"/>
  <c r="D459" i="2"/>
  <c r="E459" i="2"/>
  <c r="F459" i="2"/>
  <c r="G459" i="2"/>
  <c r="H459" i="2"/>
  <c r="D460" i="2"/>
  <c r="E460" i="2"/>
  <c r="F460" i="2"/>
  <c r="G460" i="2"/>
  <c r="H460" i="2"/>
  <c r="D461" i="2"/>
  <c r="E461" i="2"/>
  <c r="F461" i="2"/>
  <c r="G461" i="2"/>
  <c r="H461" i="2"/>
  <c r="D462" i="2"/>
  <c r="E462" i="2"/>
  <c r="F462" i="2"/>
  <c r="G462" i="2"/>
  <c r="H462" i="2"/>
  <c r="D463" i="2"/>
  <c r="E463" i="2"/>
  <c r="F463" i="2"/>
  <c r="G463" i="2"/>
  <c r="H463" i="2"/>
  <c r="D464" i="2"/>
  <c r="E464" i="2"/>
  <c r="F464" i="2"/>
  <c r="G464" i="2"/>
  <c r="H464" i="2"/>
  <c r="D465" i="2"/>
  <c r="E465" i="2"/>
  <c r="F465" i="2"/>
  <c r="G465" i="2"/>
  <c r="H465" i="2"/>
  <c r="D466" i="2"/>
  <c r="E466" i="2"/>
  <c r="F466" i="2"/>
  <c r="G466" i="2"/>
  <c r="H466" i="2"/>
  <c r="D467" i="2"/>
  <c r="E467" i="2"/>
  <c r="F467" i="2"/>
  <c r="G467" i="2"/>
  <c r="H467" i="2"/>
  <c r="D468" i="2"/>
  <c r="E468" i="2"/>
  <c r="F468" i="2"/>
  <c r="G468" i="2"/>
  <c r="H468" i="2"/>
  <c r="D469" i="2"/>
  <c r="E469" i="2"/>
  <c r="F469" i="2"/>
  <c r="G469" i="2"/>
  <c r="H469" i="2"/>
  <c r="D470" i="2"/>
  <c r="E470" i="2"/>
  <c r="F470" i="2"/>
  <c r="G470" i="2"/>
  <c r="H470" i="2"/>
  <c r="D471" i="2"/>
  <c r="E471" i="2"/>
  <c r="F471" i="2"/>
  <c r="G471" i="2"/>
  <c r="H471" i="2"/>
  <c r="D472" i="2"/>
  <c r="E472" i="2"/>
  <c r="F472" i="2"/>
  <c r="G472" i="2"/>
  <c r="H472" i="2"/>
  <c r="D473" i="2"/>
  <c r="E473" i="2"/>
  <c r="F473" i="2"/>
  <c r="G473" i="2"/>
  <c r="H473" i="2"/>
  <c r="D474" i="2"/>
  <c r="E474" i="2"/>
  <c r="F474" i="2"/>
  <c r="G474" i="2"/>
  <c r="H474" i="2"/>
  <c r="D475" i="2"/>
  <c r="E475" i="2"/>
  <c r="F475" i="2"/>
  <c r="G475" i="2"/>
  <c r="H475" i="2"/>
  <c r="D476" i="2"/>
  <c r="E476" i="2"/>
  <c r="F476" i="2"/>
  <c r="G476" i="2"/>
  <c r="H476" i="2"/>
  <c r="D477" i="2"/>
  <c r="E477" i="2"/>
  <c r="F477" i="2"/>
  <c r="G477" i="2"/>
  <c r="H477" i="2"/>
  <c r="D478" i="2"/>
  <c r="E478" i="2"/>
  <c r="F478" i="2"/>
  <c r="G478" i="2"/>
  <c r="H478" i="2"/>
  <c r="D479" i="2"/>
  <c r="E479" i="2"/>
  <c r="F479" i="2"/>
  <c r="G479" i="2"/>
  <c r="H479" i="2"/>
  <c r="D480" i="2"/>
  <c r="E480" i="2"/>
  <c r="F480" i="2"/>
  <c r="G480" i="2"/>
  <c r="H480" i="2"/>
  <c r="D481" i="2"/>
  <c r="E481" i="2"/>
  <c r="F481" i="2"/>
  <c r="G481" i="2"/>
  <c r="H481" i="2"/>
  <c r="D482" i="2"/>
  <c r="E482" i="2"/>
  <c r="F482" i="2"/>
  <c r="G482" i="2"/>
  <c r="H482" i="2"/>
  <c r="D483" i="2"/>
  <c r="E483" i="2"/>
  <c r="F483" i="2"/>
  <c r="G483" i="2"/>
  <c r="H483" i="2"/>
  <c r="D484" i="2"/>
  <c r="E484" i="2"/>
  <c r="F484" i="2"/>
  <c r="G484" i="2"/>
  <c r="H484" i="2"/>
  <c r="D485" i="2"/>
  <c r="E485" i="2"/>
  <c r="F485" i="2"/>
  <c r="G485" i="2"/>
  <c r="H485" i="2"/>
  <c r="D486" i="2"/>
  <c r="E486" i="2"/>
  <c r="F486" i="2"/>
  <c r="G486" i="2"/>
  <c r="H486" i="2"/>
  <c r="D487" i="2"/>
  <c r="E487" i="2"/>
  <c r="F487" i="2"/>
  <c r="G487" i="2"/>
  <c r="H487" i="2"/>
  <c r="D488" i="2"/>
  <c r="E488" i="2"/>
  <c r="F488" i="2"/>
  <c r="G488" i="2"/>
  <c r="H488" i="2"/>
  <c r="D489" i="2"/>
  <c r="E489" i="2"/>
  <c r="F489" i="2"/>
  <c r="G489" i="2"/>
  <c r="H489" i="2"/>
  <c r="D490" i="2"/>
  <c r="E490" i="2"/>
  <c r="F490" i="2"/>
  <c r="G490" i="2"/>
  <c r="H490" i="2"/>
  <c r="D491" i="2"/>
  <c r="E491" i="2"/>
  <c r="F491" i="2"/>
  <c r="G491" i="2"/>
  <c r="H491" i="2"/>
  <c r="D492" i="2"/>
  <c r="E492" i="2"/>
  <c r="F492" i="2"/>
  <c r="G492" i="2"/>
  <c r="H492" i="2"/>
  <c r="D493" i="2"/>
  <c r="E493" i="2"/>
  <c r="F493" i="2"/>
  <c r="G493" i="2"/>
  <c r="H493" i="2"/>
  <c r="D494" i="2"/>
  <c r="E494" i="2"/>
  <c r="F494" i="2"/>
  <c r="G494" i="2"/>
  <c r="H494" i="2"/>
  <c r="D495" i="2"/>
  <c r="E495" i="2"/>
  <c r="F495" i="2"/>
  <c r="G495" i="2"/>
  <c r="H495" i="2"/>
  <c r="D496" i="2"/>
  <c r="E496" i="2"/>
  <c r="F496" i="2"/>
  <c r="G496" i="2"/>
  <c r="H496" i="2"/>
  <c r="D497" i="2"/>
  <c r="E497" i="2"/>
  <c r="F497" i="2"/>
  <c r="G497" i="2"/>
  <c r="H497" i="2"/>
  <c r="D498" i="2"/>
  <c r="E498" i="2"/>
  <c r="F498" i="2"/>
  <c r="G498" i="2"/>
  <c r="H498" i="2"/>
  <c r="D499" i="2"/>
  <c r="E499" i="2"/>
  <c r="F499" i="2"/>
  <c r="G499" i="2"/>
  <c r="H499" i="2"/>
  <c r="D500" i="2"/>
  <c r="E500" i="2"/>
  <c r="F500" i="2"/>
  <c r="G500" i="2"/>
  <c r="H500" i="2"/>
  <c r="D501" i="2"/>
  <c r="E501" i="2"/>
  <c r="F501" i="2"/>
  <c r="G501" i="2"/>
  <c r="H501" i="2"/>
  <c r="D502" i="2"/>
  <c r="E502" i="2"/>
  <c r="F502" i="2"/>
  <c r="G502" i="2"/>
  <c r="H502" i="2"/>
  <c r="D503" i="2"/>
  <c r="E503" i="2"/>
  <c r="F503" i="2"/>
  <c r="G503" i="2"/>
  <c r="H503" i="2"/>
  <c r="D504" i="2"/>
  <c r="E504" i="2"/>
  <c r="F504" i="2"/>
  <c r="G504" i="2"/>
  <c r="H504" i="2"/>
  <c r="D505" i="2"/>
  <c r="E505" i="2"/>
  <c r="F505" i="2"/>
  <c r="G505" i="2"/>
  <c r="H505" i="2"/>
  <c r="D506" i="2"/>
  <c r="E506" i="2"/>
  <c r="F506" i="2"/>
  <c r="G506" i="2"/>
  <c r="H506" i="2"/>
  <c r="D507" i="2"/>
  <c r="E507" i="2"/>
  <c r="F507" i="2"/>
  <c r="G507" i="2"/>
  <c r="H507" i="2"/>
  <c r="D508" i="2"/>
  <c r="E508" i="2"/>
  <c r="F508" i="2"/>
  <c r="G508" i="2"/>
  <c r="H508" i="2"/>
  <c r="D509" i="2"/>
  <c r="E509" i="2"/>
  <c r="F509" i="2"/>
  <c r="G509" i="2"/>
  <c r="H509" i="2"/>
  <c r="D510" i="2"/>
  <c r="E510" i="2"/>
  <c r="F510" i="2"/>
  <c r="G510" i="2"/>
  <c r="H510" i="2"/>
  <c r="D511" i="2"/>
  <c r="E511" i="2"/>
  <c r="F511" i="2"/>
  <c r="G511" i="2"/>
  <c r="H511" i="2"/>
  <c r="D512" i="2"/>
  <c r="E512" i="2"/>
  <c r="F512" i="2"/>
  <c r="G512" i="2"/>
  <c r="H512" i="2"/>
  <c r="D513" i="2"/>
  <c r="E513" i="2"/>
  <c r="F513" i="2"/>
  <c r="G513" i="2"/>
  <c r="H513" i="2"/>
  <c r="D514" i="2"/>
  <c r="E514" i="2"/>
  <c r="F514" i="2"/>
  <c r="G514" i="2"/>
  <c r="H514" i="2"/>
  <c r="D515" i="2"/>
  <c r="E515" i="2"/>
  <c r="F515" i="2"/>
  <c r="G515" i="2"/>
  <c r="H515" i="2"/>
  <c r="D516" i="2"/>
  <c r="E516" i="2"/>
  <c r="F516" i="2"/>
  <c r="G516" i="2"/>
  <c r="H516" i="2"/>
  <c r="D517" i="2"/>
  <c r="E517" i="2"/>
  <c r="F517" i="2"/>
  <c r="G517" i="2"/>
  <c r="H517" i="2"/>
  <c r="D518" i="2"/>
  <c r="E518" i="2"/>
  <c r="F518" i="2"/>
  <c r="G518" i="2"/>
  <c r="H518" i="2"/>
  <c r="D519" i="2"/>
  <c r="E519" i="2"/>
  <c r="F519" i="2"/>
  <c r="G519" i="2"/>
  <c r="H519" i="2"/>
  <c r="D520" i="2"/>
  <c r="E520" i="2"/>
  <c r="F520" i="2"/>
  <c r="G520" i="2"/>
  <c r="H520" i="2"/>
  <c r="D521" i="2"/>
  <c r="E521" i="2"/>
  <c r="F521" i="2"/>
  <c r="G521" i="2"/>
  <c r="H521" i="2"/>
  <c r="D522" i="2"/>
  <c r="E522" i="2"/>
  <c r="F522" i="2"/>
  <c r="G522" i="2"/>
  <c r="H522" i="2"/>
  <c r="D523" i="2"/>
  <c r="E523" i="2"/>
  <c r="F523" i="2"/>
  <c r="G523" i="2"/>
  <c r="H523" i="2"/>
  <c r="D524" i="2"/>
  <c r="E524" i="2"/>
  <c r="F524" i="2"/>
  <c r="G524" i="2"/>
  <c r="H524" i="2"/>
  <c r="D525" i="2"/>
  <c r="E525" i="2"/>
  <c r="F525" i="2"/>
  <c r="G525" i="2"/>
  <c r="H525" i="2"/>
  <c r="D526" i="2"/>
  <c r="E526" i="2"/>
  <c r="F526" i="2"/>
  <c r="G526" i="2"/>
  <c r="H526" i="2"/>
  <c r="D527" i="2"/>
  <c r="E527" i="2"/>
  <c r="F527" i="2"/>
  <c r="G527" i="2"/>
  <c r="H527" i="2"/>
  <c r="D528" i="2"/>
  <c r="E528" i="2"/>
  <c r="F528" i="2"/>
  <c r="G528" i="2"/>
  <c r="H528" i="2"/>
  <c r="D529" i="2"/>
  <c r="E529" i="2"/>
  <c r="F529" i="2"/>
  <c r="G529" i="2"/>
  <c r="H529" i="2"/>
  <c r="D530" i="2"/>
  <c r="E530" i="2"/>
  <c r="F530" i="2"/>
  <c r="G530" i="2"/>
  <c r="H530" i="2"/>
  <c r="D531" i="2"/>
  <c r="E531" i="2"/>
  <c r="F531" i="2"/>
  <c r="G531" i="2"/>
  <c r="H531" i="2"/>
  <c r="D532" i="2"/>
  <c r="E532" i="2"/>
  <c r="F532" i="2"/>
  <c r="G532" i="2"/>
  <c r="H532" i="2"/>
  <c r="D533" i="2"/>
  <c r="E533" i="2"/>
  <c r="F533" i="2"/>
  <c r="G533" i="2"/>
  <c r="H533" i="2"/>
  <c r="D534" i="2"/>
  <c r="E534" i="2"/>
  <c r="F534" i="2"/>
  <c r="G534" i="2"/>
  <c r="H534" i="2"/>
  <c r="D535" i="2"/>
  <c r="E535" i="2"/>
  <c r="F535" i="2"/>
  <c r="G535" i="2"/>
  <c r="H535" i="2"/>
  <c r="D536" i="2"/>
  <c r="E536" i="2"/>
  <c r="F536" i="2"/>
  <c r="G536" i="2"/>
  <c r="H536" i="2"/>
  <c r="D537" i="2"/>
  <c r="E537" i="2"/>
  <c r="F537" i="2"/>
  <c r="G537" i="2"/>
  <c r="H537" i="2"/>
  <c r="D538" i="2"/>
  <c r="E538" i="2"/>
  <c r="F538" i="2"/>
  <c r="G538" i="2"/>
  <c r="H538" i="2"/>
  <c r="D539" i="2"/>
  <c r="E539" i="2"/>
  <c r="F539" i="2"/>
  <c r="G539" i="2"/>
  <c r="H539" i="2"/>
  <c r="D540" i="2"/>
  <c r="E540" i="2"/>
  <c r="F540" i="2"/>
  <c r="G540" i="2"/>
  <c r="H540" i="2"/>
  <c r="D541" i="2"/>
  <c r="E541" i="2"/>
  <c r="F541" i="2"/>
  <c r="G541" i="2"/>
  <c r="H541" i="2"/>
  <c r="D542" i="2"/>
  <c r="E542" i="2"/>
  <c r="F542" i="2"/>
  <c r="G542" i="2"/>
  <c r="H542" i="2"/>
  <c r="D543" i="2"/>
  <c r="E543" i="2"/>
  <c r="F543" i="2"/>
  <c r="G543" i="2"/>
  <c r="H543" i="2"/>
  <c r="D544" i="2"/>
  <c r="E544" i="2"/>
  <c r="F544" i="2"/>
  <c r="G544" i="2"/>
  <c r="H544" i="2"/>
  <c r="D545" i="2"/>
  <c r="E545" i="2"/>
  <c r="F545" i="2"/>
  <c r="G545" i="2"/>
  <c r="H545" i="2"/>
  <c r="D546" i="2"/>
  <c r="E546" i="2"/>
  <c r="F546" i="2"/>
  <c r="G546" i="2"/>
  <c r="H546" i="2"/>
  <c r="D547" i="2"/>
  <c r="E547" i="2"/>
  <c r="F547" i="2"/>
  <c r="G547" i="2"/>
  <c r="H547" i="2"/>
  <c r="D548" i="2"/>
  <c r="E548" i="2"/>
  <c r="F548" i="2"/>
  <c r="G548" i="2"/>
  <c r="H548" i="2"/>
  <c r="D549" i="2"/>
  <c r="E549" i="2"/>
  <c r="F549" i="2"/>
  <c r="G549" i="2"/>
  <c r="H549" i="2"/>
  <c r="D550" i="2"/>
  <c r="E550" i="2"/>
  <c r="F550" i="2"/>
  <c r="G550" i="2"/>
  <c r="H550" i="2"/>
  <c r="D551" i="2"/>
  <c r="E551" i="2"/>
  <c r="F551" i="2"/>
  <c r="G551" i="2"/>
  <c r="H551" i="2"/>
  <c r="D552" i="2"/>
  <c r="E552" i="2"/>
  <c r="F552" i="2"/>
  <c r="G552" i="2"/>
  <c r="H552" i="2"/>
  <c r="D553" i="2"/>
  <c r="E553" i="2"/>
  <c r="F553" i="2"/>
  <c r="G553" i="2"/>
  <c r="H553" i="2"/>
  <c r="D554" i="2"/>
  <c r="E554" i="2"/>
  <c r="F554" i="2"/>
  <c r="G554" i="2"/>
  <c r="H554" i="2"/>
  <c r="D555" i="2"/>
  <c r="E555" i="2"/>
  <c r="F555" i="2"/>
  <c r="G555" i="2"/>
  <c r="H555" i="2"/>
  <c r="D556" i="2"/>
  <c r="E556" i="2"/>
  <c r="F556" i="2"/>
  <c r="G556" i="2"/>
  <c r="H556" i="2"/>
  <c r="D557" i="2"/>
  <c r="E557" i="2"/>
  <c r="F557" i="2"/>
  <c r="G557" i="2"/>
  <c r="H557" i="2"/>
  <c r="D558" i="2"/>
  <c r="E558" i="2"/>
  <c r="F558" i="2"/>
  <c r="G558" i="2"/>
  <c r="H558" i="2"/>
  <c r="D559" i="2"/>
  <c r="E559" i="2"/>
  <c r="F559" i="2"/>
  <c r="G559" i="2"/>
  <c r="H559" i="2"/>
  <c r="D560" i="2"/>
  <c r="E560" i="2"/>
  <c r="F560" i="2"/>
  <c r="G560" i="2"/>
  <c r="H560" i="2"/>
  <c r="D561" i="2"/>
  <c r="E561" i="2"/>
  <c r="F561" i="2"/>
  <c r="G561" i="2"/>
  <c r="H561" i="2"/>
  <c r="D562" i="2"/>
  <c r="E562" i="2"/>
  <c r="F562" i="2"/>
  <c r="G562" i="2"/>
  <c r="H562" i="2"/>
  <c r="D563" i="2"/>
  <c r="E563" i="2"/>
  <c r="F563" i="2"/>
  <c r="G563" i="2"/>
  <c r="H563" i="2"/>
  <c r="D564" i="2"/>
  <c r="E564" i="2"/>
  <c r="F564" i="2"/>
  <c r="G564" i="2"/>
  <c r="H564" i="2"/>
  <c r="D565" i="2"/>
  <c r="E565" i="2"/>
  <c r="F565" i="2"/>
  <c r="G565" i="2"/>
  <c r="H565" i="2"/>
  <c r="D566" i="2"/>
  <c r="E566" i="2"/>
  <c r="F566" i="2"/>
  <c r="G566" i="2"/>
  <c r="H566" i="2"/>
  <c r="D567" i="2"/>
  <c r="E567" i="2"/>
  <c r="F567" i="2"/>
  <c r="G567" i="2"/>
  <c r="H567" i="2"/>
  <c r="D568" i="2"/>
  <c r="E568" i="2"/>
  <c r="F568" i="2"/>
  <c r="G568" i="2"/>
  <c r="H568" i="2"/>
  <c r="D569" i="2"/>
  <c r="E569" i="2"/>
  <c r="F569" i="2"/>
  <c r="G569" i="2"/>
  <c r="H569" i="2"/>
  <c r="D570" i="2"/>
  <c r="E570" i="2"/>
  <c r="F570" i="2"/>
  <c r="G570" i="2"/>
  <c r="H570" i="2"/>
  <c r="D571" i="2"/>
  <c r="E571" i="2"/>
  <c r="F571" i="2"/>
  <c r="G571" i="2"/>
  <c r="H571" i="2"/>
  <c r="D572" i="2"/>
  <c r="E572" i="2"/>
  <c r="F572" i="2"/>
  <c r="G572" i="2"/>
  <c r="H572" i="2"/>
  <c r="D573" i="2"/>
  <c r="E573" i="2"/>
  <c r="F573" i="2"/>
  <c r="G573" i="2"/>
  <c r="H573" i="2"/>
  <c r="D574" i="2"/>
  <c r="E574" i="2"/>
  <c r="F574" i="2"/>
  <c r="G574" i="2"/>
  <c r="H574" i="2"/>
  <c r="D575" i="2"/>
  <c r="E575" i="2"/>
  <c r="F575" i="2"/>
  <c r="G575" i="2"/>
  <c r="H575" i="2"/>
  <c r="D576" i="2"/>
  <c r="E576" i="2"/>
  <c r="F576" i="2"/>
  <c r="G576" i="2"/>
  <c r="H576" i="2"/>
  <c r="D577" i="2"/>
  <c r="E577" i="2"/>
  <c r="F577" i="2"/>
  <c r="G577" i="2"/>
  <c r="H577" i="2"/>
  <c r="D578" i="2"/>
  <c r="E578" i="2"/>
  <c r="F578" i="2"/>
  <c r="G578" i="2"/>
  <c r="H578" i="2"/>
  <c r="D579" i="2"/>
  <c r="E579" i="2"/>
  <c r="F579" i="2"/>
  <c r="G579" i="2"/>
  <c r="H579" i="2"/>
  <c r="D580" i="2"/>
  <c r="E580" i="2"/>
  <c r="F580" i="2"/>
  <c r="G580" i="2"/>
  <c r="H580" i="2"/>
  <c r="D581" i="2"/>
  <c r="E581" i="2"/>
  <c r="F581" i="2"/>
  <c r="G581" i="2"/>
  <c r="H581" i="2"/>
  <c r="D582" i="2"/>
  <c r="E582" i="2"/>
  <c r="F582" i="2"/>
  <c r="G582" i="2"/>
  <c r="H582" i="2"/>
  <c r="D583" i="2"/>
  <c r="E583" i="2"/>
  <c r="F583" i="2"/>
  <c r="G583" i="2"/>
  <c r="H583" i="2"/>
  <c r="D584" i="2"/>
  <c r="E584" i="2"/>
  <c r="F584" i="2"/>
  <c r="G584" i="2"/>
  <c r="H584" i="2"/>
  <c r="D585" i="2"/>
  <c r="E585" i="2"/>
  <c r="F585" i="2"/>
  <c r="G585" i="2"/>
  <c r="H585" i="2"/>
  <c r="D586" i="2"/>
  <c r="E586" i="2"/>
  <c r="F586" i="2"/>
  <c r="G586" i="2"/>
  <c r="H586" i="2"/>
  <c r="D587" i="2"/>
  <c r="E587" i="2"/>
  <c r="F587" i="2"/>
  <c r="G587" i="2"/>
  <c r="H587" i="2"/>
  <c r="D588" i="2"/>
  <c r="E588" i="2"/>
  <c r="F588" i="2"/>
  <c r="G588" i="2"/>
  <c r="H588" i="2"/>
  <c r="D589" i="2"/>
  <c r="E589" i="2"/>
  <c r="F589" i="2"/>
  <c r="G589" i="2"/>
  <c r="H589" i="2"/>
  <c r="D590" i="2"/>
  <c r="E590" i="2"/>
  <c r="F590" i="2"/>
  <c r="G590" i="2"/>
  <c r="H590" i="2"/>
  <c r="D591" i="2"/>
  <c r="E591" i="2"/>
  <c r="F591" i="2"/>
  <c r="G591" i="2"/>
  <c r="H591" i="2"/>
  <c r="D592" i="2"/>
  <c r="E592" i="2"/>
  <c r="F592" i="2"/>
  <c r="G592" i="2"/>
  <c r="H592" i="2"/>
  <c r="D593" i="2"/>
  <c r="E593" i="2"/>
  <c r="F593" i="2"/>
  <c r="G593" i="2"/>
  <c r="H593" i="2"/>
  <c r="D594" i="2"/>
  <c r="E594" i="2"/>
  <c r="F594" i="2"/>
  <c r="G594" i="2"/>
  <c r="H594" i="2"/>
  <c r="D595" i="2"/>
  <c r="E595" i="2"/>
  <c r="F595" i="2"/>
  <c r="G595" i="2"/>
  <c r="H595" i="2"/>
  <c r="D596" i="2"/>
  <c r="E596" i="2"/>
  <c r="F596" i="2"/>
  <c r="G596" i="2"/>
  <c r="H596" i="2"/>
  <c r="D597" i="2"/>
  <c r="E597" i="2"/>
  <c r="F597" i="2"/>
  <c r="G597" i="2"/>
  <c r="H597" i="2"/>
  <c r="D598" i="2"/>
  <c r="E598" i="2"/>
  <c r="F598" i="2"/>
  <c r="G598" i="2"/>
  <c r="H598" i="2"/>
  <c r="D599" i="2"/>
  <c r="E599" i="2"/>
  <c r="F599" i="2"/>
  <c r="G599" i="2"/>
  <c r="H599" i="2"/>
  <c r="D600" i="2"/>
  <c r="E600" i="2"/>
  <c r="F600" i="2"/>
  <c r="G600" i="2"/>
  <c r="H600" i="2"/>
  <c r="D601" i="2"/>
  <c r="E601" i="2"/>
  <c r="F601" i="2"/>
  <c r="G601" i="2"/>
  <c r="H601" i="2"/>
  <c r="D602" i="2"/>
  <c r="E602" i="2"/>
  <c r="F602" i="2"/>
  <c r="G602" i="2"/>
  <c r="H602" i="2"/>
  <c r="D603" i="2"/>
  <c r="E603" i="2"/>
  <c r="F603" i="2"/>
  <c r="G603" i="2"/>
  <c r="H603" i="2"/>
  <c r="D604" i="2"/>
  <c r="E604" i="2"/>
  <c r="F604" i="2"/>
  <c r="G604" i="2"/>
  <c r="H604" i="2"/>
  <c r="D605" i="2"/>
  <c r="E605" i="2"/>
  <c r="F605" i="2"/>
  <c r="G605" i="2"/>
  <c r="H605" i="2"/>
  <c r="D606" i="2"/>
  <c r="E606" i="2"/>
  <c r="F606" i="2"/>
  <c r="G606" i="2"/>
  <c r="H606" i="2"/>
  <c r="D607" i="2"/>
  <c r="E607" i="2"/>
  <c r="F607" i="2"/>
  <c r="G607" i="2"/>
  <c r="H607" i="2"/>
  <c r="D608" i="2"/>
  <c r="E608" i="2"/>
  <c r="F608" i="2"/>
  <c r="G608" i="2"/>
  <c r="H608" i="2"/>
  <c r="D609" i="2"/>
  <c r="E609" i="2"/>
  <c r="F609" i="2"/>
  <c r="G609" i="2"/>
  <c r="H609" i="2"/>
  <c r="D610" i="2"/>
  <c r="E610" i="2"/>
  <c r="F610" i="2"/>
  <c r="G610" i="2"/>
  <c r="H610" i="2"/>
  <c r="D611" i="2"/>
  <c r="E611" i="2"/>
  <c r="F611" i="2"/>
  <c r="G611" i="2"/>
  <c r="H611" i="2"/>
  <c r="D612" i="2"/>
  <c r="E612" i="2"/>
  <c r="F612" i="2"/>
  <c r="G612" i="2"/>
  <c r="H612" i="2"/>
  <c r="D613" i="2"/>
  <c r="E613" i="2"/>
  <c r="F613" i="2"/>
  <c r="G613" i="2"/>
  <c r="H613" i="2"/>
  <c r="D614" i="2"/>
  <c r="E614" i="2"/>
  <c r="F614" i="2"/>
  <c r="G614" i="2"/>
  <c r="H614" i="2"/>
  <c r="D615" i="2"/>
  <c r="E615" i="2"/>
  <c r="F615" i="2"/>
  <c r="G615" i="2"/>
  <c r="H615" i="2"/>
  <c r="D616" i="2"/>
  <c r="E616" i="2"/>
  <c r="F616" i="2"/>
  <c r="G616" i="2"/>
  <c r="H616" i="2"/>
  <c r="D617" i="2"/>
  <c r="E617" i="2"/>
  <c r="F617" i="2"/>
  <c r="G617" i="2"/>
  <c r="H617" i="2"/>
  <c r="D618" i="2"/>
  <c r="E618" i="2"/>
  <c r="F618" i="2"/>
  <c r="G618" i="2"/>
  <c r="H618" i="2"/>
  <c r="D619" i="2"/>
  <c r="E619" i="2"/>
  <c r="F619" i="2"/>
  <c r="G619" i="2"/>
  <c r="H619" i="2"/>
  <c r="D620" i="2"/>
  <c r="E620" i="2"/>
  <c r="F620" i="2"/>
  <c r="G620" i="2"/>
  <c r="H620" i="2"/>
  <c r="D621" i="2"/>
  <c r="E621" i="2"/>
  <c r="F621" i="2"/>
  <c r="G621" i="2"/>
  <c r="H621" i="2"/>
  <c r="D622" i="2"/>
  <c r="E622" i="2"/>
  <c r="F622" i="2"/>
  <c r="G622" i="2"/>
  <c r="H622" i="2"/>
  <c r="D623" i="2"/>
  <c r="E623" i="2"/>
  <c r="F623" i="2"/>
  <c r="G623" i="2"/>
  <c r="H623" i="2"/>
  <c r="D624" i="2"/>
  <c r="E624" i="2"/>
  <c r="F624" i="2"/>
  <c r="G624" i="2"/>
  <c r="H624" i="2"/>
  <c r="D625" i="2"/>
  <c r="E625" i="2"/>
  <c r="F625" i="2"/>
  <c r="G625" i="2"/>
  <c r="H625" i="2"/>
  <c r="D626" i="2"/>
  <c r="E626" i="2"/>
  <c r="F626" i="2"/>
  <c r="G626" i="2"/>
  <c r="H626" i="2"/>
  <c r="D627" i="2"/>
  <c r="E627" i="2"/>
  <c r="F627" i="2"/>
  <c r="G627" i="2"/>
  <c r="H627" i="2"/>
  <c r="D628" i="2"/>
  <c r="E628" i="2"/>
  <c r="F628" i="2"/>
  <c r="G628" i="2"/>
  <c r="H628" i="2"/>
  <c r="D629" i="2"/>
  <c r="E629" i="2"/>
  <c r="F629" i="2"/>
  <c r="G629" i="2"/>
  <c r="H629" i="2"/>
  <c r="D630" i="2"/>
  <c r="E630" i="2"/>
  <c r="F630" i="2"/>
  <c r="G630" i="2"/>
  <c r="H630" i="2"/>
  <c r="D631" i="2"/>
  <c r="E631" i="2"/>
  <c r="F631" i="2"/>
  <c r="G631" i="2"/>
  <c r="H631" i="2"/>
  <c r="D632" i="2"/>
  <c r="E632" i="2"/>
  <c r="F632" i="2"/>
  <c r="G632" i="2"/>
  <c r="H632" i="2"/>
  <c r="D633" i="2"/>
  <c r="E633" i="2"/>
  <c r="F633" i="2"/>
  <c r="G633" i="2"/>
  <c r="H633" i="2"/>
  <c r="D634" i="2"/>
  <c r="E634" i="2"/>
  <c r="F634" i="2"/>
  <c r="G634" i="2"/>
  <c r="H634" i="2"/>
  <c r="D635" i="2"/>
  <c r="E635" i="2"/>
  <c r="F635" i="2"/>
  <c r="G635" i="2"/>
  <c r="H635" i="2"/>
  <c r="D636" i="2"/>
  <c r="E636" i="2"/>
  <c r="F636" i="2"/>
  <c r="G636" i="2"/>
  <c r="H636" i="2"/>
  <c r="D637" i="2"/>
  <c r="E637" i="2"/>
  <c r="F637" i="2"/>
  <c r="G637" i="2"/>
  <c r="H637" i="2"/>
  <c r="D638" i="2"/>
  <c r="E638" i="2"/>
  <c r="F638" i="2"/>
  <c r="G638" i="2"/>
  <c r="H638" i="2"/>
  <c r="D639" i="2"/>
  <c r="E639" i="2"/>
  <c r="F639" i="2"/>
  <c r="G639" i="2"/>
  <c r="H639" i="2"/>
  <c r="D640" i="2"/>
  <c r="E640" i="2"/>
  <c r="F640" i="2"/>
  <c r="G640" i="2"/>
  <c r="H640" i="2"/>
  <c r="D641" i="2"/>
  <c r="E641" i="2"/>
  <c r="F641" i="2"/>
  <c r="G641" i="2"/>
  <c r="H641" i="2"/>
  <c r="D642" i="2"/>
  <c r="E642" i="2"/>
  <c r="F642" i="2"/>
  <c r="G642" i="2"/>
  <c r="H642" i="2"/>
  <c r="D643" i="2"/>
  <c r="E643" i="2"/>
  <c r="F643" i="2"/>
  <c r="G643" i="2"/>
  <c r="H643" i="2"/>
  <c r="D644" i="2"/>
  <c r="E644" i="2"/>
  <c r="F644" i="2"/>
  <c r="G644" i="2"/>
  <c r="H644" i="2"/>
  <c r="D645" i="2"/>
  <c r="E645" i="2"/>
  <c r="F645" i="2"/>
  <c r="G645" i="2"/>
  <c r="H645" i="2"/>
  <c r="D646" i="2"/>
  <c r="E646" i="2"/>
  <c r="F646" i="2"/>
  <c r="G646" i="2"/>
  <c r="H646" i="2"/>
  <c r="D647" i="2"/>
  <c r="E647" i="2"/>
  <c r="F647" i="2"/>
  <c r="G647" i="2"/>
  <c r="H647" i="2"/>
  <c r="D648" i="2"/>
  <c r="E648" i="2"/>
  <c r="F648" i="2"/>
  <c r="G648" i="2"/>
  <c r="H648" i="2"/>
  <c r="D649" i="2"/>
  <c r="E649" i="2"/>
  <c r="F649" i="2"/>
  <c r="G649" i="2"/>
  <c r="H649" i="2"/>
  <c r="D650" i="2"/>
  <c r="E650" i="2"/>
  <c r="F650" i="2"/>
  <c r="G650" i="2"/>
  <c r="H650" i="2"/>
  <c r="D651" i="2"/>
  <c r="E651" i="2"/>
  <c r="F651" i="2"/>
  <c r="G651" i="2"/>
  <c r="H651" i="2"/>
  <c r="D652" i="2"/>
  <c r="E652" i="2"/>
  <c r="F652" i="2"/>
  <c r="G652" i="2"/>
  <c r="H652" i="2"/>
  <c r="D653" i="2"/>
  <c r="E653" i="2"/>
  <c r="F653" i="2"/>
  <c r="G653" i="2"/>
  <c r="H653" i="2"/>
  <c r="D654" i="2"/>
  <c r="E654" i="2"/>
  <c r="F654" i="2"/>
  <c r="G654" i="2"/>
  <c r="H654" i="2"/>
  <c r="D655" i="2"/>
  <c r="E655" i="2"/>
  <c r="F655" i="2"/>
  <c r="G655" i="2"/>
  <c r="H655" i="2"/>
  <c r="D656" i="2"/>
  <c r="E656" i="2"/>
  <c r="F656" i="2"/>
  <c r="G656" i="2"/>
  <c r="H656" i="2"/>
  <c r="D657" i="2"/>
  <c r="E657" i="2"/>
  <c r="F657" i="2"/>
  <c r="G657" i="2"/>
  <c r="H657" i="2"/>
  <c r="D658" i="2"/>
  <c r="E658" i="2"/>
  <c r="F658" i="2"/>
  <c r="G658" i="2"/>
  <c r="H658" i="2"/>
  <c r="D659" i="2"/>
  <c r="E659" i="2"/>
  <c r="F659" i="2"/>
  <c r="G659" i="2"/>
  <c r="H659" i="2"/>
  <c r="D660" i="2"/>
  <c r="E660" i="2"/>
  <c r="F660" i="2"/>
  <c r="G660" i="2"/>
  <c r="H660" i="2"/>
  <c r="D661" i="2"/>
  <c r="E661" i="2"/>
  <c r="F661" i="2"/>
  <c r="G661" i="2"/>
  <c r="H661" i="2"/>
  <c r="D662" i="2"/>
  <c r="E662" i="2"/>
  <c r="F662" i="2"/>
  <c r="G662" i="2"/>
  <c r="H662" i="2"/>
  <c r="D663" i="2"/>
  <c r="E663" i="2"/>
  <c r="F663" i="2"/>
  <c r="G663" i="2"/>
  <c r="H663" i="2"/>
  <c r="D664" i="2"/>
  <c r="E664" i="2"/>
  <c r="F664" i="2"/>
  <c r="G664" i="2"/>
  <c r="H664" i="2"/>
  <c r="D665" i="2"/>
  <c r="E665" i="2"/>
  <c r="F665" i="2"/>
  <c r="G665" i="2"/>
  <c r="H665" i="2"/>
  <c r="D666" i="2"/>
  <c r="E666" i="2"/>
  <c r="F666" i="2"/>
  <c r="G666" i="2"/>
  <c r="H666" i="2"/>
  <c r="D667" i="2"/>
  <c r="E667" i="2"/>
  <c r="F667" i="2"/>
  <c r="G667" i="2"/>
  <c r="H667" i="2"/>
  <c r="D668" i="2"/>
  <c r="E668" i="2"/>
  <c r="F668" i="2"/>
  <c r="G668" i="2"/>
  <c r="H668" i="2"/>
  <c r="D669" i="2"/>
  <c r="E669" i="2"/>
  <c r="F669" i="2"/>
  <c r="G669" i="2"/>
  <c r="H669" i="2"/>
  <c r="D670" i="2"/>
  <c r="E670" i="2"/>
  <c r="F670" i="2"/>
  <c r="G670" i="2"/>
  <c r="H670" i="2"/>
  <c r="D671" i="2"/>
  <c r="E671" i="2"/>
  <c r="F671" i="2"/>
  <c r="G671" i="2"/>
  <c r="H671" i="2"/>
  <c r="D672" i="2"/>
  <c r="E672" i="2"/>
  <c r="F672" i="2"/>
  <c r="G672" i="2"/>
  <c r="H672" i="2"/>
  <c r="D673" i="2"/>
  <c r="E673" i="2"/>
  <c r="F673" i="2"/>
  <c r="G673" i="2"/>
  <c r="H673" i="2"/>
  <c r="D674" i="2"/>
  <c r="E674" i="2"/>
  <c r="F674" i="2"/>
  <c r="G674" i="2"/>
  <c r="H674" i="2"/>
  <c r="D675" i="2"/>
  <c r="E675" i="2"/>
  <c r="F675" i="2"/>
  <c r="G675" i="2"/>
  <c r="H675" i="2"/>
  <c r="D676" i="2"/>
  <c r="E676" i="2"/>
  <c r="F676" i="2"/>
  <c r="G676" i="2"/>
  <c r="H676" i="2"/>
  <c r="D677" i="2"/>
  <c r="E677" i="2"/>
  <c r="F677" i="2"/>
  <c r="G677" i="2"/>
  <c r="H677" i="2"/>
  <c r="D678" i="2"/>
  <c r="E678" i="2"/>
  <c r="F678" i="2"/>
  <c r="G678" i="2"/>
  <c r="H678" i="2"/>
  <c r="D679" i="2"/>
  <c r="E679" i="2"/>
  <c r="F679" i="2"/>
  <c r="G679" i="2"/>
  <c r="H679" i="2"/>
  <c r="D680" i="2"/>
  <c r="E680" i="2"/>
  <c r="F680" i="2"/>
  <c r="G680" i="2"/>
  <c r="H680" i="2"/>
  <c r="D681" i="2"/>
  <c r="E681" i="2"/>
  <c r="F681" i="2"/>
  <c r="G681" i="2"/>
  <c r="H681" i="2"/>
  <c r="D682" i="2"/>
  <c r="E682" i="2"/>
  <c r="F682" i="2"/>
  <c r="G682" i="2"/>
  <c r="H682" i="2"/>
  <c r="D683" i="2"/>
  <c r="E683" i="2"/>
  <c r="F683" i="2"/>
  <c r="G683" i="2"/>
  <c r="H683" i="2"/>
  <c r="D684" i="2"/>
  <c r="E684" i="2"/>
  <c r="F684" i="2"/>
  <c r="G684" i="2"/>
  <c r="H684" i="2"/>
  <c r="D685" i="2"/>
  <c r="E685" i="2"/>
  <c r="F685" i="2"/>
  <c r="G685" i="2"/>
  <c r="H685" i="2"/>
  <c r="D686" i="2"/>
  <c r="E686" i="2"/>
  <c r="F686" i="2"/>
  <c r="G686" i="2"/>
  <c r="H686" i="2"/>
  <c r="D687" i="2"/>
  <c r="E687" i="2"/>
  <c r="F687" i="2"/>
  <c r="G687" i="2"/>
  <c r="H687" i="2"/>
  <c r="D688" i="2"/>
  <c r="E688" i="2"/>
  <c r="F688" i="2"/>
  <c r="G688" i="2"/>
  <c r="H688" i="2"/>
  <c r="D689" i="2"/>
  <c r="E689" i="2"/>
  <c r="F689" i="2"/>
  <c r="G689" i="2"/>
  <c r="H689" i="2"/>
  <c r="D690" i="2"/>
  <c r="E690" i="2"/>
  <c r="F690" i="2"/>
  <c r="G690" i="2"/>
  <c r="H690" i="2"/>
  <c r="D691" i="2"/>
  <c r="E691" i="2"/>
  <c r="F691" i="2"/>
  <c r="G691" i="2"/>
  <c r="H691" i="2"/>
  <c r="D692" i="2"/>
  <c r="E692" i="2"/>
  <c r="F692" i="2"/>
  <c r="G692" i="2"/>
  <c r="H692" i="2"/>
  <c r="D693" i="2"/>
  <c r="E693" i="2"/>
  <c r="F693" i="2"/>
  <c r="G693" i="2"/>
  <c r="H693" i="2"/>
  <c r="D694" i="2"/>
  <c r="E694" i="2"/>
  <c r="F694" i="2"/>
  <c r="G694" i="2"/>
  <c r="H694" i="2"/>
  <c r="D695" i="2"/>
  <c r="E695" i="2"/>
  <c r="F695" i="2"/>
  <c r="G695" i="2"/>
  <c r="H695" i="2"/>
  <c r="D696" i="2"/>
  <c r="E696" i="2"/>
  <c r="F696" i="2"/>
  <c r="G696" i="2"/>
  <c r="H696" i="2"/>
  <c r="D697" i="2"/>
  <c r="E697" i="2"/>
  <c r="F697" i="2"/>
  <c r="G697" i="2"/>
  <c r="H697" i="2"/>
  <c r="D698" i="2"/>
  <c r="E698" i="2"/>
  <c r="F698" i="2"/>
  <c r="G698" i="2"/>
  <c r="H698" i="2"/>
  <c r="D699" i="2"/>
  <c r="E699" i="2"/>
  <c r="F699" i="2"/>
  <c r="G699" i="2"/>
  <c r="H699" i="2"/>
  <c r="D700" i="2"/>
  <c r="E700" i="2"/>
  <c r="F700" i="2"/>
  <c r="G700" i="2"/>
  <c r="H700" i="2"/>
  <c r="D701" i="2"/>
  <c r="E701" i="2"/>
  <c r="F701" i="2"/>
  <c r="G701" i="2"/>
  <c r="H701" i="2"/>
  <c r="D702" i="2"/>
  <c r="E702" i="2"/>
  <c r="F702" i="2"/>
  <c r="G702" i="2"/>
  <c r="H702" i="2"/>
  <c r="D703" i="2"/>
  <c r="E703" i="2"/>
  <c r="F703" i="2"/>
  <c r="G703" i="2"/>
  <c r="H703" i="2"/>
  <c r="D704" i="2"/>
  <c r="E704" i="2"/>
  <c r="F704" i="2"/>
  <c r="G704" i="2"/>
  <c r="H704" i="2"/>
  <c r="D705" i="2"/>
  <c r="E705" i="2"/>
  <c r="F705" i="2"/>
  <c r="G705" i="2"/>
  <c r="H705" i="2"/>
  <c r="D706" i="2"/>
  <c r="E706" i="2"/>
  <c r="F706" i="2"/>
  <c r="G706" i="2"/>
  <c r="H706" i="2"/>
  <c r="D707" i="2"/>
  <c r="E707" i="2"/>
  <c r="F707" i="2"/>
  <c r="G707" i="2"/>
  <c r="H707" i="2"/>
  <c r="D708" i="2"/>
  <c r="E708" i="2"/>
  <c r="F708" i="2"/>
  <c r="G708" i="2"/>
  <c r="H708" i="2"/>
  <c r="D709" i="2"/>
  <c r="E709" i="2"/>
  <c r="F709" i="2"/>
  <c r="G709" i="2"/>
  <c r="H709" i="2"/>
  <c r="D710" i="2"/>
  <c r="E710" i="2"/>
  <c r="F710" i="2"/>
  <c r="G710" i="2"/>
  <c r="H710" i="2"/>
  <c r="D711" i="2"/>
  <c r="E711" i="2"/>
  <c r="F711" i="2"/>
  <c r="G711" i="2"/>
  <c r="H711" i="2"/>
  <c r="D712" i="2"/>
  <c r="E712" i="2"/>
  <c r="F712" i="2"/>
  <c r="G712" i="2"/>
  <c r="H712" i="2"/>
  <c r="D713" i="2"/>
  <c r="E713" i="2"/>
  <c r="F713" i="2"/>
  <c r="G713" i="2"/>
  <c r="H713" i="2"/>
  <c r="D714" i="2"/>
  <c r="E714" i="2"/>
  <c r="F714" i="2"/>
  <c r="G714" i="2"/>
  <c r="H714" i="2"/>
  <c r="D715" i="2"/>
  <c r="E715" i="2"/>
  <c r="F715" i="2"/>
  <c r="G715" i="2"/>
  <c r="H715" i="2"/>
  <c r="D716" i="2"/>
  <c r="E716" i="2"/>
  <c r="F716" i="2"/>
  <c r="G716" i="2"/>
  <c r="H716" i="2"/>
  <c r="D717" i="2"/>
  <c r="E717" i="2"/>
  <c r="F717" i="2"/>
  <c r="G717" i="2"/>
  <c r="H717" i="2"/>
  <c r="D718" i="2"/>
  <c r="E718" i="2"/>
  <c r="F718" i="2"/>
  <c r="G718" i="2"/>
  <c r="H718" i="2"/>
  <c r="D719" i="2"/>
  <c r="E719" i="2"/>
  <c r="F719" i="2"/>
  <c r="G719" i="2"/>
  <c r="H719" i="2"/>
  <c r="D720" i="2"/>
  <c r="E720" i="2"/>
  <c r="F720" i="2"/>
  <c r="G720" i="2"/>
  <c r="H720" i="2"/>
  <c r="D721" i="2"/>
  <c r="E721" i="2"/>
  <c r="F721" i="2"/>
  <c r="G721" i="2"/>
  <c r="H721" i="2"/>
  <c r="D722" i="2"/>
  <c r="E722" i="2"/>
  <c r="F722" i="2"/>
  <c r="G722" i="2"/>
  <c r="H722" i="2"/>
  <c r="D723" i="2"/>
  <c r="E723" i="2"/>
  <c r="F723" i="2"/>
  <c r="G723" i="2"/>
  <c r="H723" i="2"/>
  <c r="D724" i="2"/>
  <c r="E724" i="2"/>
  <c r="F724" i="2"/>
  <c r="G724" i="2"/>
  <c r="H724" i="2"/>
  <c r="D725" i="2"/>
  <c r="E725" i="2"/>
  <c r="F725" i="2"/>
  <c r="G725" i="2"/>
  <c r="H725" i="2"/>
  <c r="D726" i="2"/>
  <c r="E726" i="2"/>
  <c r="F726" i="2"/>
  <c r="G726" i="2"/>
  <c r="H726" i="2"/>
  <c r="D727" i="2"/>
  <c r="E727" i="2"/>
  <c r="F727" i="2"/>
  <c r="G727" i="2"/>
  <c r="H727" i="2"/>
  <c r="D728" i="2"/>
  <c r="E728" i="2"/>
  <c r="F728" i="2"/>
  <c r="G728" i="2"/>
  <c r="H728" i="2"/>
  <c r="D729" i="2"/>
  <c r="E729" i="2"/>
  <c r="F729" i="2"/>
  <c r="G729" i="2"/>
  <c r="H729" i="2"/>
  <c r="D730" i="2"/>
  <c r="E730" i="2"/>
  <c r="F730" i="2"/>
  <c r="G730" i="2"/>
  <c r="H730" i="2"/>
  <c r="D731" i="2"/>
  <c r="E731" i="2"/>
  <c r="F731" i="2"/>
  <c r="G731" i="2"/>
  <c r="H731" i="2"/>
  <c r="D732" i="2"/>
  <c r="E732" i="2"/>
  <c r="F732" i="2"/>
  <c r="G732" i="2"/>
  <c r="H732" i="2"/>
  <c r="D733" i="2"/>
  <c r="E733" i="2"/>
  <c r="F733" i="2"/>
  <c r="G733" i="2"/>
  <c r="H733" i="2"/>
  <c r="D734" i="2"/>
  <c r="E734" i="2"/>
  <c r="F734" i="2"/>
  <c r="G734" i="2"/>
  <c r="H734" i="2"/>
  <c r="D735" i="2"/>
  <c r="E735" i="2"/>
  <c r="F735" i="2"/>
  <c r="G735" i="2"/>
  <c r="H735" i="2"/>
  <c r="D736" i="2"/>
  <c r="E736" i="2"/>
  <c r="F736" i="2"/>
  <c r="G736" i="2"/>
  <c r="H736" i="2"/>
  <c r="D737" i="2"/>
  <c r="E737" i="2"/>
  <c r="F737" i="2"/>
  <c r="G737" i="2"/>
  <c r="H737" i="2"/>
  <c r="D738" i="2"/>
  <c r="E738" i="2"/>
  <c r="F738" i="2"/>
  <c r="G738" i="2"/>
  <c r="H738" i="2"/>
  <c r="D739" i="2"/>
  <c r="E739" i="2"/>
  <c r="F739" i="2"/>
  <c r="G739" i="2"/>
  <c r="H739" i="2"/>
  <c r="D740" i="2"/>
  <c r="E740" i="2"/>
  <c r="F740" i="2"/>
  <c r="G740" i="2"/>
  <c r="H740" i="2"/>
  <c r="D741" i="2"/>
  <c r="E741" i="2"/>
  <c r="F741" i="2"/>
  <c r="G741" i="2"/>
  <c r="H741" i="2"/>
  <c r="D742" i="2"/>
  <c r="E742" i="2"/>
  <c r="F742" i="2"/>
  <c r="G742" i="2"/>
  <c r="H742" i="2"/>
  <c r="D743" i="2"/>
  <c r="E743" i="2"/>
  <c r="F743" i="2"/>
  <c r="G743" i="2"/>
  <c r="H743" i="2"/>
  <c r="D744" i="2"/>
  <c r="E744" i="2"/>
  <c r="F744" i="2"/>
  <c r="G744" i="2"/>
  <c r="H744" i="2"/>
  <c r="D745" i="2"/>
  <c r="E745" i="2"/>
  <c r="F745" i="2"/>
  <c r="G745" i="2"/>
  <c r="H745" i="2"/>
  <c r="D746" i="2"/>
  <c r="E746" i="2"/>
  <c r="F746" i="2"/>
  <c r="G746" i="2"/>
  <c r="H746" i="2"/>
  <c r="D747" i="2"/>
  <c r="E747" i="2"/>
  <c r="F747" i="2"/>
  <c r="G747" i="2"/>
  <c r="H747" i="2"/>
  <c r="D748" i="2"/>
  <c r="E748" i="2"/>
  <c r="F748" i="2"/>
  <c r="G748" i="2"/>
  <c r="H748" i="2"/>
  <c r="D749" i="2"/>
  <c r="E749" i="2"/>
  <c r="F749" i="2"/>
  <c r="G749" i="2"/>
  <c r="H749" i="2"/>
  <c r="D750" i="2"/>
  <c r="E750" i="2"/>
  <c r="F750" i="2"/>
  <c r="G750" i="2"/>
  <c r="H750" i="2"/>
  <c r="D751" i="2"/>
  <c r="E751" i="2"/>
  <c r="F751" i="2"/>
  <c r="G751" i="2"/>
  <c r="H751" i="2"/>
  <c r="D752" i="2"/>
  <c r="E752" i="2"/>
  <c r="F752" i="2"/>
  <c r="G752" i="2"/>
  <c r="H752" i="2"/>
  <c r="D753" i="2"/>
  <c r="E753" i="2"/>
  <c r="F753" i="2"/>
  <c r="G753" i="2"/>
  <c r="H753" i="2"/>
  <c r="D754" i="2"/>
  <c r="E754" i="2"/>
  <c r="F754" i="2"/>
  <c r="G754" i="2"/>
  <c r="H754" i="2"/>
  <c r="D755" i="2"/>
  <c r="E755" i="2"/>
  <c r="F755" i="2"/>
  <c r="G755" i="2"/>
  <c r="H755" i="2"/>
  <c r="D756" i="2"/>
  <c r="E756" i="2"/>
  <c r="F756" i="2"/>
  <c r="G756" i="2"/>
  <c r="H756" i="2"/>
  <c r="D757" i="2"/>
  <c r="E757" i="2"/>
  <c r="F757" i="2"/>
  <c r="G757" i="2"/>
  <c r="H757" i="2"/>
  <c r="D758" i="2"/>
  <c r="E758" i="2"/>
  <c r="F758" i="2"/>
  <c r="G758" i="2"/>
  <c r="H758" i="2"/>
  <c r="D759" i="2"/>
  <c r="E759" i="2"/>
  <c r="F759" i="2"/>
  <c r="G759" i="2"/>
  <c r="H759" i="2"/>
  <c r="D760" i="2"/>
  <c r="E760" i="2"/>
  <c r="F760" i="2"/>
  <c r="G760" i="2"/>
  <c r="H760" i="2"/>
  <c r="D761" i="2"/>
  <c r="E761" i="2"/>
  <c r="F761" i="2"/>
  <c r="G761" i="2"/>
  <c r="H761" i="2"/>
  <c r="D762" i="2"/>
  <c r="E762" i="2"/>
  <c r="F762" i="2"/>
  <c r="G762" i="2"/>
  <c r="H762" i="2"/>
  <c r="D763" i="2"/>
  <c r="E763" i="2"/>
  <c r="F763" i="2"/>
  <c r="G763" i="2"/>
  <c r="H763" i="2"/>
  <c r="D764" i="2"/>
  <c r="E764" i="2"/>
  <c r="F764" i="2"/>
  <c r="G764" i="2"/>
  <c r="H764" i="2"/>
  <c r="D765" i="2"/>
  <c r="E765" i="2"/>
  <c r="F765" i="2"/>
  <c r="G765" i="2"/>
  <c r="H765" i="2"/>
  <c r="D766" i="2"/>
  <c r="E766" i="2"/>
  <c r="F766" i="2"/>
  <c r="G766" i="2"/>
  <c r="H766" i="2"/>
  <c r="D767" i="2"/>
  <c r="E767" i="2"/>
  <c r="F767" i="2"/>
  <c r="G767" i="2"/>
  <c r="H767" i="2"/>
  <c r="D768" i="2"/>
  <c r="E768" i="2"/>
  <c r="F768" i="2"/>
  <c r="G768" i="2"/>
  <c r="H768" i="2"/>
  <c r="D769" i="2"/>
  <c r="E769" i="2"/>
  <c r="F769" i="2"/>
  <c r="G769" i="2"/>
  <c r="H769" i="2"/>
  <c r="D770" i="2"/>
  <c r="E770" i="2"/>
  <c r="F770" i="2"/>
  <c r="G770" i="2"/>
  <c r="H770" i="2"/>
  <c r="D771" i="2"/>
  <c r="E771" i="2"/>
  <c r="F771" i="2"/>
  <c r="G771" i="2"/>
  <c r="H771" i="2"/>
  <c r="D772" i="2"/>
  <c r="E772" i="2"/>
  <c r="F772" i="2"/>
  <c r="G772" i="2"/>
  <c r="H772" i="2"/>
  <c r="D773" i="2"/>
  <c r="E773" i="2"/>
  <c r="F773" i="2"/>
  <c r="G773" i="2"/>
  <c r="H773" i="2"/>
  <c r="D774" i="2"/>
  <c r="E774" i="2"/>
  <c r="F774" i="2"/>
  <c r="G774" i="2"/>
  <c r="H774" i="2"/>
  <c r="D775" i="2"/>
  <c r="E775" i="2"/>
  <c r="F775" i="2"/>
  <c r="G775" i="2"/>
  <c r="H775" i="2"/>
  <c r="D776" i="2"/>
  <c r="E776" i="2"/>
  <c r="F776" i="2"/>
  <c r="G776" i="2"/>
  <c r="H776" i="2"/>
  <c r="D777" i="2"/>
  <c r="E777" i="2"/>
  <c r="F777" i="2"/>
  <c r="G777" i="2"/>
  <c r="H777" i="2"/>
  <c r="D778" i="2"/>
  <c r="E778" i="2"/>
  <c r="F778" i="2"/>
  <c r="G778" i="2"/>
  <c r="H778" i="2"/>
  <c r="D779" i="2"/>
  <c r="E779" i="2"/>
  <c r="F779" i="2"/>
  <c r="G779" i="2"/>
  <c r="H779" i="2"/>
  <c r="D780" i="2"/>
  <c r="E780" i="2"/>
  <c r="F780" i="2"/>
  <c r="G780" i="2"/>
  <c r="H780" i="2"/>
  <c r="D781" i="2"/>
  <c r="E781" i="2"/>
  <c r="F781" i="2"/>
  <c r="G781" i="2"/>
  <c r="H781" i="2"/>
  <c r="D782" i="2"/>
  <c r="E782" i="2"/>
  <c r="F782" i="2"/>
  <c r="G782" i="2"/>
  <c r="H782" i="2"/>
  <c r="D783" i="2"/>
  <c r="E783" i="2"/>
  <c r="F783" i="2"/>
  <c r="G783" i="2"/>
  <c r="H783" i="2"/>
  <c r="D784" i="2"/>
  <c r="E784" i="2"/>
  <c r="F784" i="2"/>
  <c r="G784" i="2"/>
  <c r="H784" i="2"/>
  <c r="D785" i="2"/>
  <c r="E785" i="2"/>
  <c r="F785" i="2"/>
  <c r="G785" i="2"/>
  <c r="H785" i="2"/>
  <c r="D786" i="2"/>
  <c r="E786" i="2"/>
  <c r="F786" i="2"/>
  <c r="G786" i="2"/>
  <c r="H786" i="2"/>
  <c r="D787" i="2"/>
  <c r="E787" i="2"/>
  <c r="F787" i="2"/>
  <c r="G787" i="2"/>
  <c r="H787" i="2"/>
  <c r="D788" i="2"/>
  <c r="E788" i="2"/>
  <c r="F788" i="2"/>
  <c r="G788" i="2"/>
  <c r="H788" i="2"/>
  <c r="F40" i="2"/>
  <c r="H40" i="2" l="1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39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39" i="2"/>
  <c r="L427" i="2"/>
  <c r="N153" i="2"/>
  <c r="N403" i="2"/>
  <c r="L455" i="2"/>
  <c r="M458" i="2"/>
  <c r="L528" i="2"/>
  <c r="M432" i="2"/>
  <c r="L618" i="2"/>
  <c r="M214" i="2"/>
  <c r="L202" i="2"/>
  <c r="N355" i="2"/>
  <c r="L584" i="2"/>
  <c r="M266" i="2"/>
  <c r="L369" i="2"/>
  <c r="N197" i="2"/>
  <c r="L421" i="2"/>
  <c r="L130" i="2"/>
  <c r="M353" i="2"/>
  <c r="N260" i="2"/>
  <c r="N539" i="2"/>
  <c r="N196" i="2"/>
  <c r="M186" i="2"/>
  <c r="L247" i="2"/>
  <c r="M173" i="2"/>
  <c r="L120" i="2"/>
  <c r="M679" i="2"/>
  <c r="L249" i="2"/>
  <c r="L158" i="2"/>
  <c r="N238" i="2"/>
  <c r="M179" i="2"/>
  <c r="N249" i="2"/>
  <c r="L370" i="2"/>
  <c r="L185" i="2"/>
  <c r="L373" i="2"/>
  <c r="L306" i="2"/>
  <c r="N427" i="2"/>
  <c r="L201" i="2"/>
  <c r="M336" i="2"/>
  <c r="N512" i="2"/>
  <c r="L293" i="2"/>
  <c r="M386" i="2"/>
  <c r="N291" i="2"/>
  <c r="N276" i="2"/>
  <c r="N491" i="2"/>
  <c r="M492" i="2"/>
  <c r="M650" i="2"/>
  <c r="N536" i="2"/>
  <c r="N450" i="2"/>
  <c r="M502" i="2"/>
  <c r="L734" i="2"/>
  <c r="L562" i="2"/>
  <c r="L270" i="2"/>
  <c r="N698" i="2"/>
  <c r="N285" i="2"/>
  <c r="N244" i="2"/>
  <c r="L478" i="2"/>
  <c r="M615" i="2"/>
  <c r="N219" i="2"/>
  <c r="M229" i="2"/>
  <c r="L482" i="2"/>
  <c r="N370" i="2"/>
  <c r="L445" i="2"/>
  <c r="L605" i="2"/>
  <c r="L560" i="2"/>
  <c r="L633" i="2"/>
  <c r="M322" i="2"/>
  <c r="N449" i="2"/>
  <c r="N451" i="2"/>
  <c r="M303" i="2"/>
  <c r="N138" i="2"/>
  <c r="N326" i="2"/>
  <c r="N581" i="2"/>
  <c r="N217" i="2"/>
  <c r="N320" i="2"/>
  <c r="M197" i="2"/>
  <c r="L114" i="2"/>
  <c r="L204" i="2"/>
  <c r="L124" i="2"/>
  <c r="L334" i="2"/>
  <c r="M748" i="2"/>
  <c r="M471" i="2"/>
  <c r="M383" i="2"/>
  <c r="M528" i="2"/>
  <c r="M166" i="2"/>
  <c r="L706" i="2"/>
  <c r="L358" i="2"/>
  <c r="L372" i="2"/>
  <c r="M785" i="2"/>
  <c r="N546" i="2"/>
  <c r="L651" i="2"/>
  <c r="L231" i="2"/>
  <c r="L365" i="2"/>
  <c r="L331" i="2"/>
  <c r="L518" i="2"/>
  <c r="L142" i="2"/>
  <c r="L699" i="2"/>
  <c r="M309" i="2"/>
  <c r="M508" i="2"/>
  <c r="N141" i="2"/>
  <c r="L479" i="2"/>
  <c r="N545" i="2"/>
  <c r="N303" i="2"/>
  <c r="M297" i="2"/>
  <c r="M243" i="2"/>
  <c r="M489" i="2"/>
  <c r="M559" i="2"/>
  <c r="N594" i="2"/>
  <c r="L339" i="2"/>
  <c r="M712" i="2"/>
  <c r="M156" i="2"/>
  <c r="L681" i="2"/>
  <c r="N375" i="2"/>
  <c r="N366" i="2"/>
  <c r="N605" i="2"/>
  <c r="M675" i="2"/>
  <c r="M170" i="2"/>
  <c r="M572" i="2"/>
  <c r="M710" i="2"/>
  <c r="L345" i="2"/>
  <c r="N692" i="2"/>
  <c r="M307" i="2"/>
  <c r="L787" i="2"/>
  <c r="M555" i="2"/>
  <c r="N761" i="2"/>
  <c r="L297" i="2"/>
  <c r="L764" i="2"/>
  <c r="M746" i="2"/>
  <c r="L188" i="2"/>
  <c r="M394" i="2"/>
  <c r="N228" i="2"/>
  <c r="M629" i="2"/>
  <c r="N258" i="2"/>
  <c r="M357" i="2"/>
  <c r="M756" i="2"/>
  <c r="L512" i="2"/>
  <c r="L449" i="2"/>
  <c r="M725" i="2"/>
  <c r="L471" i="2"/>
  <c r="M452" i="2"/>
  <c r="N338" i="2"/>
  <c r="M654" i="2"/>
  <c r="M236" i="2"/>
  <c r="M216" i="2"/>
  <c r="M611" i="2"/>
  <c r="M633" i="2"/>
  <c r="N274" i="2"/>
  <c r="L388" i="2"/>
  <c r="L486" i="2"/>
  <c r="N389" i="2"/>
  <c r="N348" i="2"/>
  <c r="N119" i="2"/>
  <c r="N319" i="2"/>
  <c r="N247" i="2"/>
  <c r="M536" i="2"/>
  <c r="M237" i="2"/>
  <c r="M567" i="2"/>
  <c r="N492" i="2"/>
  <c r="L228" i="2"/>
  <c r="L751" i="2"/>
  <c r="N527" i="2"/>
  <c r="M562" i="2"/>
  <c r="M736" i="2"/>
  <c r="L66" i="2"/>
  <c r="N95" i="2"/>
  <c r="M751" i="2"/>
  <c r="M737" i="2"/>
  <c r="L776" i="2"/>
  <c r="L525" i="2"/>
  <c r="L154" i="2"/>
  <c r="M45" i="2"/>
  <c r="L593" i="2"/>
  <c r="M478" i="2"/>
  <c r="L517" i="2"/>
  <c r="L195" i="2"/>
  <c r="L786" i="2"/>
  <c r="L210" i="2"/>
  <c r="L128" i="2"/>
  <c r="N439" i="2"/>
  <c r="L286" i="2"/>
  <c r="M604" i="2"/>
  <c r="L139" i="2"/>
  <c r="L278" i="2"/>
  <c r="M299" i="2"/>
  <c r="L462" i="2"/>
  <c r="M460" i="2"/>
  <c r="L159" i="2"/>
  <c r="L431" i="2"/>
  <c r="L170" i="2"/>
  <c r="M595" i="2"/>
  <c r="N515" i="2"/>
  <c r="M375" i="2"/>
  <c r="L160" i="2"/>
  <c r="L199" i="2"/>
  <c r="M461" i="2"/>
  <c r="M507" i="2"/>
  <c r="M649" i="2"/>
  <c r="N632" i="2"/>
  <c r="L390" i="2"/>
  <c r="N205" i="2"/>
  <c r="L347" i="2"/>
  <c r="M345" i="2"/>
  <c r="N383" i="2"/>
  <c r="L500" i="2"/>
  <c r="L566" i="2"/>
  <c r="L285" i="2"/>
  <c r="M167" i="2"/>
  <c r="N275" i="2"/>
  <c r="M215" i="2"/>
  <c r="M424" i="2"/>
  <c r="M168" i="2"/>
  <c r="L367" i="2"/>
  <c r="N623" i="2"/>
  <c r="N585" i="2"/>
  <c r="N464" i="2"/>
  <c r="L296" i="2"/>
  <c r="N148" i="2"/>
  <c r="M121" i="2"/>
  <c r="L416" i="2"/>
  <c r="N253" i="2"/>
  <c r="M231" i="2"/>
  <c r="L392" i="2"/>
  <c r="M369" i="2"/>
  <c r="M765" i="2"/>
  <c r="M205" i="2"/>
  <c r="N428" i="2"/>
  <c r="M254" i="2"/>
  <c r="L382" i="2"/>
  <c r="M150" i="2"/>
  <c r="M682" i="2"/>
  <c r="L767" i="2"/>
  <c r="L646" i="2"/>
  <c r="M136" i="2"/>
  <c r="M728" i="2"/>
  <c r="L337" i="2"/>
  <c r="N327" i="2"/>
  <c r="M354" i="2"/>
  <c r="L118" i="2"/>
  <c r="L424" i="2"/>
  <c r="L750" i="2"/>
  <c r="M436" i="2"/>
  <c r="M154" i="2"/>
  <c r="M142" i="2"/>
  <c r="M296" i="2"/>
  <c r="L343" i="2"/>
  <c r="M207" i="2"/>
  <c r="M284" i="2"/>
  <c r="N566" i="2"/>
  <c r="L302" i="2"/>
  <c r="N481" i="2"/>
  <c r="M362" i="2"/>
  <c r="M630" i="2"/>
  <c r="N745" i="2"/>
  <c r="M414" i="2"/>
  <c r="N397" i="2"/>
  <c r="L224" i="2"/>
  <c r="L475" i="2"/>
  <c r="N290" i="2"/>
  <c r="M596" i="2"/>
  <c r="N255" i="2"/>
  <c r="N359" i="2"/>
  <c r="L165" i="2"/>
  <c r="L226" i="2"/>
  <c r="L695" i="2"/>
  <c r="N252" i="2"/>
  <c r="N306" i="2"/>
  <c r="N710" i="2"/>
  <c r="N221" i="2"/>
  <c r="N615" i="2"/>
  <c r="N580" i="2"/>
  <c r="M430" i="2"/>
  <c r="M148" i="2"/>
  <c r="M123" i="2"/>
  <c r="N183" i="2"/>
  <c r="N222" i="2"/>
  <c r="L336" i="2"/>
  <c r="L377" i="2"/>
  <c r="N506" i="2"/>
  <c r="M624" i="2"/>
  <c r="L395" i="2"/>
  <c r="M462" i="2"/>
  <c r="N563" i="2"/>
  <c r="N218" i="2"/>
  <c r="L274" i="2"/>
  <c r="L552" i="2"/>
  <c r="L565" i="2"/>
  <c r="L483" i="2"/>
  <c r="N655" i="2"/>
  <c r="M757" i="2"/>
  <c r="N443" i="2"/>
  <c r="M392" i="2"/>
  <c r="N266" i="2"/>
  <c r="M637" i="2"/>
  <c r="M621" i="2"/>
  <c r="L406" i="2"/>
  <c r="L312" i="2"/>
  <c r="M671" i="2"/>
  <c r="M332" i="2"/>
  <c r="N437" i="2"/>
  <c r="M771" i="2"/>
  <c r="L132" i="2"/>
  <c r="M187" i="2"/>
  <c r="N334" i="2"/>
  <c r="L245" i="2"/>
  <c r="N635" i="2"/>
  <c r="L434" i="2"/>
  <c r="N575" i="2"/>
  <c r="M768" i="2"/>
  <c r="M490" i="2"/>
  <c r="M622" i="2"/>
  <c r="N308" i="2"/>
  <c r="N446" i="2"/>
  <c r="N271" i="2"/>
  <c r="M726" i="2"/>
  <c r="L713" i="2"/>
  <c r="N101" i="2"/>
  <c r="L72" i="2"/>
  <c r="M203" i="2"/>
  <c r="M747" i="2"/>
  <c r="L458" i="2"/>
  <c r="L638" i="2"/>
  <c r="N125" i="2"/>
  <c r="N117" i="2"/>
  <c r="M223" i="2"/>
  <c r="N171" i="2"/>
  <c r="M202" i="2"/>
  <c r="N233" i="2"/>
  <c r="M302" i="2"/>
  <c r="M192" i="2"/>
  <c r="M224" i="2"/>
  <c r="L655" i="2"/>
  <c r="L284" i="2"/>
  <c r="M395" i="2"/>
  <c r="M370" i="2"/>
  <c r="N240" i="2"/>
  <c r="M337" i="2"/>
  <c r="L322" i="2"/>
  <c r="M126" i="2"/>
  <c r="M268" i="2"/>
  <c r="L657" i="2"/>
  <c r="N669" i="2"/>
  <c r="M198" i="2"/>
  <c r="M145" i="2"/>
  <c r="M364" i="2"/>
  <c r="L592" i="2"/>
  <c r="M184" i="2"/>
  <c r="M264" i="2"/>
  <c r="N530" i="2"/>
  <c r="L627" i="2"/>
  <c r="N313" i="2"/>
  <c r="M328" i="2"/>
  <c r="M169" i="2"/>
  <c r="N454" i="2"/>
  <c r="M551" i="2"/>
  <c r="N162" i="2"/>
  <c r="N733" i="2"/>
  <c r="M135" i="2"/>
  <c r="L222" i="2"/>
  <c r="M195" i="2"/>
  <c r="N445" i="2"/>
  <c r="M592" i="2"/>
  <c r="N440" i="2"/>
  <c r="N168" i="2"/>
  <c r="M547" i="2"/>
  <c r="M162" i="2"/>
  <c r="N380" i="2"/>
  <c r="L192" i="2"/>
  <c r="N505" i="2"/>
  <c r="M275" i="2"/>
  <c r="N765" i="2"/>
  <c r="L615" i="2"/>
  <c r="N532" i="2"/>
  <c r="M348" i="2"/>
  <c r="L205" i="2"/>
  <c r="M691" i="2"/>
  <c r="N486" i="2"/>
  <c r="M360" i="2"/>
  <c r="M702" i="2"/>
  <c r="M644" i="2"/>
  <c r="L452" i="2"/>
  <c r="M685" i="2"/>
  <c r="L729" i="2"/>
  <c r="L122" i="2"/>
  <c r="N763" i="2"/>
  <c r="L781" i="2"/>
  <c r="M407" i="2"/>
  <c r="N718" i="2"/>
  <c r="N337" i="2"/>
  <c r="L384" i="2"/>
  <c r="L364" i="2"/>
  <c r="N345" i="2"/>
  <c r="M764" i="2"/>
  <c r="L282" i="2"/>
  <c r="N417" i="2"/>
  <c r="L587" i="2"/>
  <c r="M576" i="2"/>
  <c r="L490" i="2"/>
  <c r="L273" i="2"/>
  <c r="L419" i="2"/>
  <c r="N583" i="2"/>
  <c r="N405" i="2"/>
  <c r="N695" i="2"/>
  <c r="M494" i="2"/>
  <c r="L630" i="2"/>
  <c r="M456" i="2"/>
  <c r="M609" i="2"/>
  <c r="L350" i="2"/>
  <c r="N201" i="2"/>
  <c r="M319" i="2"/>
  <c r="L413" i="2"/>
  <c r="M164" i="2"/>
  <c r="M537" i="2"/>
  <c r="M137" i="2"/>
  <c r="L116" i="2"/>
  <c r="N167" i="2"/>
  <c r="N310" i="2"/>
  <c r="L604" i="2"/>
  <c r="M119" i="2"/>
  <c r="M382" i="2"/>
  <c r="N184" i="2"/>
  <c r="L313" i="2"/>
  <c r="L357" i="2"/>
  <c r="M366" i="2"/>
  <c r="L177" i="2"/>
  <c r="N245" i="2"/>
  <c r="M491" i="2"/>
  <c r="L354" i="2"/>
  <c r="L119" i="2"/>
  <c r="M568" i="2"/>
  <c r="L333" i="2"/>
  <c r="N135" i="2"/>
  <c r="M132" i="2"/>
  <c r="L320" i="2"/>
  <c r="N251" i="2"/>
  <c r="M340" i="2"/>
  <c r="M538" i="2"/>
  <c r="L645" i="2"/>
  <c r="L184" i="2"/>
  <c r="M291" i="2"/>
  <c r="M261" i="2"/>
  <c r="L473" i="2"/>
  <c r="M339" i="2"/>
  <c r="L208" i="2"/>
  <c r="N190" i="2"/>
  <c r="N185" i="2"/>
  <c r="N363" i="2"/>
  <c r="L391" i="2"/>
  <c r="M434" i="2"/>
  <c r="N701" i="2"/>
  <c r="M130" i="2"/>
  <c r="M744" i="2"/>
  <c r="N379" i="2"/>
  <c r="L433" i="2"/>
  <c r="L664" i="2"/>
  <c r="M775" i="2"/>
  <c r="L653" i="2"/>
  <c r="L397" i="2"/>
  <c r="M234" i="2"/>
  <c r="L394" i="2"/>
  <c r="L748" i="2"/>
  <c r="L484" i="2"/>
  <c r="N356" i="2"/>
  <c r="N381" i="2"/>
  <c r="M323" i="2"/>
  <c r="L423" i="2"/>
  <c r="N775" i="2"/>
  <c r="N223" i="2"/>
  <c r="N576" i="2"/>
  <c r="N717" i="2"/>
  <c r="L644" i="2"/>
  <c r="M239" i="2"/>
  <c r="L447" i="2"/>
  <c r="M399" i="2"/>
  <c r="L728" i="2"/>
  <c r="M199" i="2"/>
  <c r="N286" i="2"/>
  <c r="L330" i="2"/>
  <c r="L577" i="2"/>
  <c r="M531" i="2"/>
  <c r="N421" i="2"/>
  <c r="N649" i="2"/>
  <c r="M610" i="2"/>
  <c r="N254" i="2"/>
  <c r="L332" i="2"/>
  <c r="M734" i="2"/>
  <c r="L393" i="2"/>
  <c r="N372" i="2"/>
  <c r="N351" i="2"/>
  <c r="N304" i="2"/>
  <c r="L743" i="2"/>
  <c r="L590" i="2"/>
  <c r="M219" i="2"/>
  <c r="M788" i="2"/>
  <c r="L493" i="2"/>
  <c r="N298" i="2"/>
  <c r="N250" i="2"/>
  <c r="L307" i="2"/>
  <c r="M368" i="2"/>
  <c r="L730" i="2"/>
  <c r="N462" i="2"/>
  <c r="L448" i="2"/>
  <c r="L465" i="2"/>
  <c r="N239" i="2"/>
  <c r="L542" i="2"/>
  <c r="M41" i="2"/>
  <c r="N265" i="2"/>
  <c r="L141" i="2"/>
  <c r="L700" i="2"/>
  <c r="N764" i="2"/>
  <c r="N614" i="2"/>
  <c r="N105" i="2"/>
  <c r="N98" i="2"/>
  <c r="M334" i="2"/>
  <c r="N697" i="2"/>
  <c r="L506" i="2"/>
  <c r="L712" i="2"/>
  <c r="M412" i="2"/>
  <c r="M274" i="2"/>
  <c r="M230" i="2"/>
  <c r="M542" i="2"/>
  <c r="L147" i="2"/>
  <c r="L240" i="2"/>
  <c r="L408" i="2"/>
  <c r="L494" i="2"/>
  <c r="N738" i="2"/>
  <c r="L324" i="2"/>
  <c r="M286" i="2"/>
  <c r="M235" i="2"/>
  <c r="M120" i="2"/>
  <c r="N555" i="2"/>
  <c r="N140" i="2"/>
  <c r="M267" i="2"/>
  <c r="M244" i="2"/>
  <c r="L271" i="2"/>
  <c r="L380" i="2"/>
  <c r="L440" i="2"/>
  <c r="L768" i="2"/>
  <c r="M521" i="2"/>
  <c r="L152" i="2"/>
  <c r="N150" i="2"/>
  <c r="N595" i="2"/>
  <c r="N361" i="2"/>
  <c r="L292" i="2"/>
  <c r="N627" i="2"/>
  <c r="L573" i="2"/>
  <c r="N653" i="2"/>
  <c r="M114" i="2"/>
  <c r="M188" i="2"/>
  <c r="L263" i="2"/>
  <c r="M367" i="2"/>
  <c r="M265" i="2"/>
  <c r="L253" i="2"/>
  <c r="L238" i="2"/>
  <c r="L442" i="2"/>
  <c r="N426" i="2"/>
  <c r="N597" i="2"/>
  <c r="N478" i="2"/>
  <c r="L536" i="2"/>
  <c r="N402" i="2"/>
  <c r="L578" i="2"/>
  <c r="N467" i="2"/>
  <c r="M210" i="2"/>
  <c r="M402" i="2"/>
  <c r="L759" i="2"/>
  <c r="M512" i="2"/>
  <c r="M645" i="2"/>
  <c r="N166" i="2"/>
  <c r="N414" i="2"/>
  <c r="N362" i="2"/>
  <c r="N281" i="2"/>
  <c r="M174" i="2"/>
  <c r="L242" i="2"/>
  <c r="N625" i="2"/>
  <c r="L530" i="2"/>
  <c r="N557" i="2"/>
  <c r="L745" i="2"/>
  <c r="L378" i="2"/>
  <c r="L772" i="2"/>
  <c r="N637" i="2"/>
  <c r="L403" i="2"/>
  <c r="M526" i="2"/>
  <c r="N619" i="2"/>
  <c r="M281" i="2"/>
  <c r="L178" i="2"/>
  <c r="M486" i="2"/>
  <c r="N468" i="2"/>
  <c r="M754" i="2"/>
  <c r="N396" i="2"/>
  <c r="M317" i="2"/>
  <c r="N293" i="2"/>
  <c r="M539" i="2"/>
  <c r="M681" i="2"/>
  <c r="N757" i="2"/>
  <c r="M209" i="2"/>
  <c r="L207" i="2"/>
  <c r="M544" i="2"/>
  <c r="N208" i="2"/>
  <c r="M463" i="2"/>
  <c r="M301" i="2"/>
  <c r="M481" i="2"/>
  <c r="L371" i="2"/>
  <c r="L686" i="2"/>
  <c r="L129" i="2"/>
  <c r="L287" i="2"/>
  <c r="L710" i="2"/>
  <c r="L546" i="2"/>
  <c r="N567" i="2"/>
  <c r="N164" i="2"/>
  <c r="M449" i="2"/>
  <c r="L668" i="2"/>
  <c r="L496" i="2"/>
  <c r="M782" i="2"/>
  <c r="L85" i="2"/>
  <c r="M289" i="2"/>
  <c r="L563" i="2"/>
  <c r="N582" i="2"/>
  <c r="M519" i="2"/>
  <c r="L460" i="2"/>
  <c r="N112" i="2"/>
  <c r="N99" i="2"/>
  <c r="N118" i="2"/>
  <c r="L598" i="2"/>
  <c r="L726" i="2"/>
  <c r="N489" i="2"/>
  <c r="L84" i="2"/>
  <c r="M50" i="2"/>
  <c r="L779" i="2"/>
  <c r="M543" i="2"/>
  <c r="L519" i="2"/>
  <c r="M566" i="2"/>
  <c r="L75" i="2"/>
  <c r="N104" i="2"/>
  <c r="L762" i="2"/>
  <c r="M619" i="2"/>
  <c r="N787" i="2"/>
  <c r="L435" i="2"/>
  <c r="N80" i="2"/>
  <c r="N89" i="2"/>
  <c r="M321" i="2"/>
  <c r="M719" i="2"/>
  <c r="M371" i="2"/>
  <c r="M476" i="2"/>
  <c r="L93" i="2"/>
  <c r="L125" i="2"/>
  <c r="M391" i="2"/>
  <c r="M372" i="2"/>
  <c r="M226" i="2"/>
  <c r="M271" i="2"/>
  <c r="N318" i="2"/>
  <c r="L626" i="2"/>
  <c r="N114" i="2"/>
  <c r="L173" i="2"/>
  <c r="L266" i="2"/>
  <c r="L480" i="2"/>
  <c r="N230" i="2"/>
  <c r="L163" i="2"/>
  <c r="M151" i="2"/>
  <c r="M482" i="2"/>
  <c r="M172" i="2"/>
  <c r="N225" i="2"/>
  <c r="L511" i="2"/>
  <c r="M333" i="2"/>
  <c r="M178" i="2"/>
  <c r="N682" i="2"/>
  <c r="N287" i="2"/>
  <c r="N459" i="2"/>
  <c r="N542" i="2"/>
  <c r="N586" i="2"/>
  <c r="L135" i="2"/>
  <c r="N691" i="2"/>
  <c r="L193" i="2"/>
  <c r="M443" i="2"/>
  <c r="M753" i="2"/>
  <c r="M401" i="2"/>
  <c r="L209" i="2"/>
  <c r="M740" i="2"/>
  <c r="N147" i="2"/>
  <c r="N660" i="2"/>
  <c r="L505" i="2"/>
  <c r="N434" i="2"/>
  <c r="M400" i="2"/>
  <c r="N613" i="2"/>
  <c r="M548" i="2"/>
  <c r="L497" i="2"/>
  <c r="N170" i="2"/>
  <c r="L774" i="2"/>
  <c r="L291" i="2"/>
  <c r="N295" i="2"/>
  <c r="M117" i="2"/>
  <c r="L235" i="2"/>
  <c r="L236" i="2"/>
  <c r="M118" i="2"/>
  <c r="L569" i="2"/>
  <c r="L399" i="2"/>
  <c r="L722" i="2"/>
  <c r="L685" i="2"/>
  <c r="M144" i="2"/>
  <c r="N475" i="2"/>
  <c r="M413" i="2"/>
  <c r="L756" i="2"/>
  <c r="L682" i="2"/>
  <c r="N483" i="2"/>
  <c r="M759" i="2"/>
  <c r="L69" i="2"/>
  <c r="L499" i="2"/>
  <c r="M157" i="2"/>
  <c r="M439" i="2"/>
  <c r="L721" i="2"/>
  <c r="L40" i="2"/>
  <c r="N342" i="2"/>
  <c r="M776" i="2"/>
  <c r="L466" i="2"/>
  <c r="L777" i="2"/>
  <c r="L59" i="2"/>
  <c r="M326" i="2"/>
  <c r="L689" i="2"/>
  <c r="L446" i="2"/>
  <c r="N607" i="2"/>
  <c r="L89" i="2"/>
  <c r="M96" i="2"/>
  <c r="M724" i="2"/>
  <c r="L351" i="2"/>
  <c r="N628" i="2"/>
  <c r="M750" i="2"/>
  <c r="N62" i="2"/>
  <c r="M69" i="2"/>
  <c r="M564" i="2"/>
  <c r="L467" i="2"/>
  <c r="L667" i="2"/>
  <c r="M447" i="2"/>
  <c r="N54" i="2"/>
  <c r="L78" i="2"/>
  <c r="N429" i="2"/>
  <c r="M687" i="2"/>
  <c r="N333" i="2"/>
  <c r="N711" i="2"/>
  <c r="M83" i="2"/>
  <c r="N43" i="2"/>
  <c r="L87" i="2"/>
  <c r="N754" i="2"/>
  <c r="L747" i="2"/>
  <c r="N413" i="2"/>
  <c r="N488" i="2"/>
  <c r="L658" i="2"/>
  <c r="K241" i="2"/>
  <c r="K142" i="2"/>
  <c r="K331" i="2"/>
  <c r="K243" i="2"/>
  <c r="K354" i="2"/>
  <c r="K415" i="2"/>
  <c r="K194" i="2"/>
  <c r="K217" i="2"/>
  <c r="K696" i="2"/>
  <c r="K310" i="2"/>
  <c r="K69" i="2"/>
  <c r="K179" i="2"/>
  <c r="K628" i="2"/>
  <c r="N270" i="2"/>
  <c r="N600" i="2"/>
  <c r="M324" i="2"/>
  <c r="L290" i="2"/>
  <c r="M124" i="2"/>
  <c r="M233" i="2"/>
  <c r="M715" i="2"/>
  <c r="N156" i="2"/>
  <c r="N544" i="2"/>
  <c r="L267" i="2"/>
  <c r="L541" i="2"/>
  <c r="M320" i="2"/>
  <c r="N277" i="2"/>
  <c r="L166" i="2"/>
  <c r="N773" i="2"/>
  <c r="L304" i="2"/>
  <c r="N665" i="2"/>
  <c r="N297" i="2"/>
  <c r="N172" i="2"/>
  <c r="L420" i="2"/>
  <c r="M259" i="2"/>
  <c r="M255" i="2"/>
  <c r="M696" i="2"/>
  <c r="N463" i="2"/>
  <c r="M287" i="2"/>
  <c r="L705" i="2"/>
  <c r="M714" i="2"/>
  <c r="L151" i="2"/>
  <c r="M758" i="2"/>
  <c r="M470" i="2"/>
  <c r="M707" i="2"/>
  <c r="L194" i="2"/>
  <c r="N661" i="2"/>
  <c r="N236" i="2"/>
  <c r="N469" i="2"/>
  <c r="N465" i="2"/>
  <c r="N777" i="2"/>
  <c r="N786" i="2"/>
  <c r="L782" i="2"/>
  <c r="N690" i="2"/>
  <c r="M636" i="2"/>
  <c r="M706" i="2"/>
  <c r="L217" i="2"/>
  <c r="N561" i="2"/>
  <c r="L155" i="2"/>
  <c r="M729" i="2"/>
  <c r="L248" i="2"/>
  <c r="M579" i="2"/>
  <c r="N636" i="2"/>
  <c r="N416" i="2"/>
  <c r="L625" i="2"/>
  <c r="L275" i="2"/>
  <c r="M316" i="2"/>
  <c r="M552" i="2"/>
  <c r="L694" i="2"/>
  <c r="N195" i="2"/>
  <c r="N442" i="2"/>
  <c r="N612" i="2"/>
  <c r="M598" i="2"/>
  <c r="L770" i="2"/>
  <c r="M53" i="2"/>
  <c r="M343" i="2"/>
  <c r="L666" i="2"/>
  <c r="M484" i="2"/>
  <c r="M652" i="2"/>
  <c r="M55" i="2"/>
  <c r="N560" i="2"/>
  <c r="L788" i="2"/>
  <c r="L679" i="2"/>
  <c r="L472" i="2"/>
  <c r="M52" i="2"/>
  <c r="M529" i="2"/>
  <c r="M656" i="2"/>
  <c r="L385" i="2"/>
  <c r="N519" i="2"/>
  <c r="M74" i="2"/>
  <c r="L102" i="2"/>
  <c r="L401" i="2"/>
  <c r="M698" i="2"/>
  <c r="N686" i="2"/>
  <c r="M493" i="2"/>
  <c r="M81" i="2"/>
  <c r="N64" i="2"/>
  <c r="L720" i="2"/>
  <c r="L531" i="2"/>
  <c r="M533" i="2"/>
  <c r="M475" i="2"/>
  <c r="N72" i="2"/>
  <c r="L76" i="2"/>
  <c r="L680" i="2"/>
  <c r="M277" i="2"/>
  <c r="L574" i="2"/>
  <c r="N558" i="2"/>
  <c r="L107" i="2"/>
  <c r="M108" i="2"/>
  <c r="N49" i="2"/>
  <c r="M657" i="2"/>
  <c r="L636" i="2"/>
  <c r="M60" i="2"/>
  <c r="N321" i="2"/>
  <c r="M451" i="2"/>
  <c r="K538" i="2"/>
  <c r="K752" i="2"/>
  <c r="K409" i="2"/>
  <c r="K121" i="2"/>
  <c r="K680" i="2"/>
  <c r="K175" i="2"/>
  <c r="K141" i="2"/>
  <c r="K417" i="2"/>
  <c r="K577" i="2"/>
  <c r="K685" i="2"/>
  <c r="K258" i="2"/>
  <c r="K291" i="2"/>
  <c r="L144" i="2"/>
  <c r="N120" i="2"/>
  <c r="N269" i="2"/>
  <c r="N268" i="2"/>
  <c r="M182" i="2"/>
  <c r="N229" i="2"/>
  <c r="N779" i="2"/>
  <c r="M421" i="2"/>
  <c r="M155" i="2"/>
  <c r="L190" i="2"/>
  <c r="N175" i="2"/>
  <c r="N273" i="2"/>
  <c r="N181" i="2"/>
  <c r="M581" i="2"/>
  <c r="L379" i="2"/>
  <c r="N152" i="2"/>
  <c r="M329" i="2"/>
  <c r="N577" i="2"/>
  <c r="M181" i="2"/>
  <c r="M405" i="2"/>
  <c r="L522" i="2"/>
  <c r="M153" i="2"/>
  <c r="L671" i="2"/>
  <c r="L631" i="2"/>
  <c r="N329" i="2"/>
  <c r="L295" i="2"/>
  <c r="N599" i="2"/>
  <c r="M278" i="2"/>
  <c r="L558" i="2"/>
  <c r="M761" i="2"/>
  <c r="N116" i="2"/>
  <c r="N436" i="2"/>
  <c r="L126" i="2"/>
  <c r="M563" i="2"/>
  <c r="M466" i="2"/>
  <c r="M772" i="2"/>
  <c r="L326" i="2"/>
  <c r="M431" i="2"/>
  <c r="N407" i="2"/>
  <c r="M713" i="2"/>
  <c r="N783" i="2"/>
  <c r="L115" i="2"/>
  <c r="L648" i="2"/>
  <c r="L221" i="2"/>
  <c r="M420" i="2"/>
  <c r="M575" i="2"/>
  <c r="N137" i="2"/>
  <c r="M603" i="2"/>
  <c r="M614" i="2"/>
  <c r="N504" i="2"/>
  <c r="L451" i="2"/>
  <c r="M212" i="2"/>
  <c r="M442" i="2"/>
  <c r="L187" i="2"/>
  <c r="M608" i="2"/>
  <c r="M247" i="2"/>
  <c r="M648" i="2"/>
  <c r="L244" i="2"/>
  <c r="M606" i="2"/>
  <c r="L622" i="2"/>
  <c r="N92" i="2"/>
  <c r="N257" i="2"/>
  <c r="L463" i="2"/>
  <c r="L564" i="2"/>
  <c r="N83" i="2"/>
  <c r="N73" i="2"/>
  <c r="N537" i="2"/>
  <c r="M660" i="2"/>
  <c r="L674" i="2"/>
  <c r="L533" i="2"/>
  <c r="M61" i="2"/>
  <c r="N553" i="2"/>
  <c r="M721" i="2"/>
  <c r="L579" i="2"/>
  <c r="N780" i="2"/>
  <c r="N113" i="2"/>
  <c r="L113" i="2"/>
  <c r="N579" i="2"/>
  <c r="L647" i="2"/>
  <c r="N766" i="2"/>
  <c r="N364" i="2"/>
  <c r="L82" i="2"/>
  <c r="L106" i="2"/>
  <c r="N657" i="2"/>
  <c r="N659" i="2"/>
  <c r="L515" i="2"/>
  <c r="M661" i="2"/>
  <c r="N74" i="2"/>
  <c r="M100" i="2"/>
  <c r="N529" i="2"/>
  <c r="L611" i="2"/>
  <c r="N316" i="2"/>
  <c r="L727" i="2"/>
  <c r="M66" i="2"/>
  <c r="L100" i="2"/>
  <c r="N772" i="2"/>
  <c r="L663" i="2"/>
  <c r="N663" i="2"/>
  <c r="L51" i="2"/>
  <c r="L755" i="2"/>
  <c r="M778" i="2"/>
  <c r="K775" i="2"/>
  <c r="K788" i="2"/>
  <c r="K390" i="2"/>
  <c r="K68" i="2"/>
  <c r="K143" i="2"/>
  <c r="K129" i="2"/>
  <c r="K220" i="2"/>
  <c r="K528" i="2"/>
  <c r="K327" i="2"/>
  <c r="K60" i="2"/>
  <c r="K441" i="2"/>
  <c r="K271" i="2"/>
  <c r="K594" i="2"/>
  <c r="K296" i="2"/>
  <c r="K407" i="2"/>
  <c r="K63" i="2"/>
  <c r="K486" i="2"/>
  <c r="K364" i="2"/>
  <c r="K633" i="2"/>
  <c r="K219" i="2"/>
  <c r="K539" i="2"/>
  <c r="K595" i="2"/>
  <c r="K251" i="2"/>
  <c r="K335" i="2"/>
  <c r="K110" i="2"/>
  <c r="K350" i="2"/>
  <c r="K261" i="2"/>
  <c r="N155" i="2"/>
  <c r="N115" i="2"/>
  <c r="N242" i="2"/>
  <c r="L215" i="2"/>
  <c r="N160" i="2"/>
  <c r="L308" i="2"/>
  <c r="N671" i="2"/>
  <c r="M250" i="2"/>
  <c r="L606" i="2"/>
  <c r="L127" i="2"/>
  <c r="N732" i="2"/>
  <c r="L196" i="2"/>
  <c r="M138" i="2"/>
  <c r="L609" i="2"/>
  <c r="N267" i="2"/>
  <c r="N352" i="2"/>
  <c r="N305" i="2"/>
  <c r="M288" i="2"/>
  <c r="M147" i="2"/>
  <c r="L548" i="2"/>
  <c r="M532" i="2"/>
  <c r="L737" i="2"/>
  <c r="N617" i="2"/>
  <c r="M709" i="2"/>
  <c r="L571" i="2"/>
  <c r="M627" i="2"/>
  <c r="N725" i="2"/>
  <c r="N678" i="2"/>
  <c r="M465" i="2"/>
  <c r="N461" i="2"/>
  <c r="N726" i="2"/>
  <c r="M139" i="2"/>
  <c r="M211" i="2"/>
  <c r="N272" i="2"/>
  <c r="N188" i="2"/>
  <c r="L629" i="2"/>
  <c r="N517" i="2"/>
  <c r="N472" i="2"/>
  <c r="M583" i="2"/>
  <c r="M232" i="2"/>
  <c r="N323" i="2"/>
  <c r="L276" i="2"/>
  <c r="N704" i="2"/>
  <c r="M720" i="2"/>
  <c r="N294" i="2"/>
  <c r="L464" i="2"/>
  <c r="N136" i="2"/>
  <c r="N705" i="2"/>
  <c r="N565" i="2"/>
  <c r="L535" i="2"/>
  <c r="N452" i="2"/>
  <c r="M505" i="2"/>
  <c r="M459" i="2"/>
  <c r="N767" i="2"/>
  <c r="L739" i="2"/>
  <c r="M450" i="2"/>
  <c r="N626" i="2"/>
  <c r="M695" i="2"/>
  <c r="L623" i="2"/>
  <c r="L586" i="2"/>
  <c r="N47" i="2"/>
  <c r="L665" i="2"/>
  <c r="M473" i="2"/>
  <c r="N502" i="2"/>
  <c r="M97" i="2"/>
  <c r="M89" i="2"/>
  <c r="L363" i="2"/>
  <c r="M703" i="2"/>
  <c r="L353" i="2"/>
  <c r="M107" i="2"/>
  <c r="M39" i="2"/>
  <c r="M662" i="2"/>
  <c r="M755" i="2"/>
  <c r="N648" i="2"/>
  <c r="N673" i="2"/>
  <c r="M101" i="2"/>
  <c r="M47" i="2"/>
  <c r="N523" i="2"/>
  <c r="N699" i="2"/>
  <c r="L254" i="2"/>
  <c r="L741" i="2"/>
  <c r="M73" i="2"/>
  <c r="M103" i="2"/>
  <c r="M591" i="2"/>
  <c r="N419" i="2"/>
  <c r="N435" i="2"/>
  <c r="M580" i="2"/>
  <c r="N108" i="2"/>
  <c r="L450" i="2"/>
  <c r="L524" i="2"/>
  <c r="M497" i="2"/>
  <c r="N280" i="2"/>
  <c r="L634" i="2"/>
  <c r="M43" i="2"/>
  <c r="N109" i="2"/>
  <c r="N676" i="2"/>
  <c r="N477" i="2"/>
  <c r="M304" i="2"/>
  <c r="L53" i="2"/>
  <c r="N747" i="2"/>
  <c r="N401" i="2"/>
  <c r="K382" i="2"/>
  <c r="K66" i="2"/>
  <c r="K394" i="2"/>
  <c r="K510" i="2"/>
  <c r="K314" i="2"/>
  <c r="K436" i="2"/>
  <c r="K338" i="2"/>
  <c r="K358" i="2"/>
  <c r="K575" i="2"/>
  <c r="K211" i="2"/>
  <c r="K453" i="2"/>
  <c r="K270" i="2"/>
  <c r="N411" i="2"/>
  <c r="L230" i="2"/>
  <c r="L405" i="2"/>
  <c r="L214" i="2"/>
  <c r="N215" i="2"/>
  <c r="N387" i="2"/>
  <c r="N371" i="2"/>
  <c r="N212" i="2"/>
  <c r="L310" i="2"/>
  <c r="L692" i="2"/>
  <c r="N460" i="2"/>
  <c r="M292" i="2"/>
  <c r="L191" i="2"/>
  <c r="N430" i="2"/>
  <c r="L323" i="2"/>
  <c r="N227" i="2"/>
  <c r="L134" i="2"/>
  <c r="L432" i="2"/>
  <c r="N161" i="2"/>
  <c r="L298" i="2"/>
  <c r="N666" i="2"/>
  <c r="L389" i="2"/>
  <c r="N444" i="2"/>
  <c r="M635" i="2"/>
  <c r="M397" i="2"/>
  <c r="L438" i="2"/>
  <c r="L175" i="2"/>
  <c r="N317" i="2"/>
  <c r="L417" i="2"/>
  <c r="M134" i="2"/>
  <c r="N354" i="2"/>
  <c r="M227" i="2"/>
  <c r="M393" i="2"/>
  <c r="M429" i="2"/>
  <c r="L704" i="2"/>
  <c r="M515" i="2"/>
  <c r="M667" i="2"/>
  <c r="L436" i="2"/>
  <c r="N471" i="2"/>
  <c r="L561" i="2"/>
  <c r="M628" i="2"/>
  <c r="N216" i="2"/>
  <c r="M183" i="2"/>
  <c r="N639" i="2"/>
  <c r="N584" i="2"/>
  <c r="L328" i="2"/>
  <c r="L138" i="2"/>
  <c r="N412" i="2"/>
  <c r="N706" i="2"/>
  <c r="N307" i="2"/>
  <c r="M640" i="2"/>
  <c r="N479" i="2"/>
  <c r="M415" i="2"/>
  <c r="L589" i="2"/>
  <c r="M694" i="2"/>
  <c r="M444" i="2"/>
  <c r="N559" i="2"/>
  <c r="M647" i="2"/>
  <c r="L140" i="2"/>
  <c r="N722" i="2"/>
  <c r="L52" i="2"/>
  <c r="N608" i="2"/>
  <c r="L437" i="2"/>
  <c r="N550" i="2"/>
  <c r="M46" i="2"/>
  <c r="N59" i="2"/>
  <c r="N350" i="2"/>
  <c r="N547" i="2"/>
  <c r="L305" i="2"/>
  <c r="M77" i="2"/>
  <c r="L86" i="2"/>
  <c r="L555" i="2"/>
  <c r="L281" i="2"/>
  <c r="M522" i="2"/>
  <c r="M722" i="2"/>
  <c r="M57" i="2"/>
  <c r="N93" i="2"/>
  <c r="N684" i="2"/>
  <c r="M730" i="2"/>
  <c r="N324" i="2"/>
  <c r="L738" i="2"/>
  <c r="N82" i="2"/>
  <c r="L77" i="2"/>
  <c r="L407" i="2"/>
  <c r="M594" i="2"/>
  <c r="N210" i="2"/>
  <c r="L352" i="2"/>
  <c r="N84" i="2"/>
  <c r="L761" i="2"/>
  <c r="N384" i="2"/>
  <c r="M705" i="2"/>
  <c r="N353" i="2"/>
  <c r="N482" i="2"/>
  <c r="M82" i="2"/>
  <c r="N56" i="2"/>
  <c r="L553" i="2"/>
  <c r="N759" i="2"/>
  <c r="M752" i="2"/>
  <c r="N667" i="2"/>
  <c r="L775" i="2"/>
  <c r="L65" i="2"/>
  <c r="K307" i="2"/>
  <c r="K198" i="2"/>
  <c r="K303" i="2"/>
  <c r="K300" i="2"/>
  <c r="K410" i="2"/>
  <c r="K123" i="2"/>
  <c r="K438" i="2"/>
  <c r="K461" i="2"/>
  <c r="K397" i="2"/>
  <c r="K735" i="2"/>
  <c r="K144" i="2"/>
  <c r="K686" i="2"/>
  <c r="K430" i="2"/>
  <c r="K234" i="2"/>
  <c r="L294" i="2"/>
  <c r="N714" i="2"/>
  <c r="N288" i="2"/>
  <c r="N134" i="2"/>
  <c r="L608" i="2"/>
  <c r="L153" i="2"/>
  <c r="M469" i="2"/>
  <c r="N133" i="2"/>
  <c r="L443" i="2"/>
  <c r="N231" i="2"/>
  <c r="L239" i="2"/>
  <c r="L162" i="2"/>
  <c r="M129" i="2"/>
  <c r="M116" i="2"/>
  <c r="M290" i="2"/>
  <c r="N675" i="2"/>
  <c r="L227" i="2"/>
  <c r="N336" i="2"/>
  <c r="N243" i="2"/>
  <c r="L149" i="2"/>
  <c r="M464" i="2"/>
  <c r="L396" i="2"/>
  <c r="N638" i="2"/>
  <c r="N730" i="2"/>
  <c r="L146" i="2"/>
  <c r="M523" i="2"/>
  <c r="N592" i="2"/>
  <c r="N647" i="2"/>
  <c r="L669" i="2"/>
  <c r="N528" i="2"/>
  <c r="M545" i="2"/>
  <c r="M668" i="2"/>
  <c r="N476" i="2"/>
  <c r="N237" i="2"/>
  <c r="N322" i="2"/>
  <c r="M498" i="2"/>
  <c r="N670" i="2"/>
  <c r="N415" i="2"/>
  <c r="M699" i="2"/>
  <c r="M589" i="2"/>
  <c r="L503" i="2"/>
  <c r="M659" i="2"/>
  <c r="N392" i="2"/>
  <c r="L676" i="2"/>
  <c r="M350" i="2"/>
  <c r="M605" i="2"/>
  <c r="N702" i="2"/>
  <c r="M208" i="2"/>
  <c r="N448" i="2"/>
  <c r="L547" i="2"/>
  <c r="L189" i="2"/>
  <c r="M749" i="2"/>
  <c r="N672" i="2"/>
  <c r="L588" i="2"/>
  <c r="N728" i="2"/>
  <c r="L520" i="2"/>
  <c r="N776" i="2"/>
  <c r="N248" i="2"/>
  <c r="N524" i="2"/>
  <c r="M517" i="2"/>
  <c r="M40" i="2"/>
  <c r="M501" i="2"/>
  <c r="N591" i="2"/>
  <c r="M683" i="2"/>
  <c r="M59" i="2"/>
  <c r="L90" i="2"/>
  <c r="L527" i="2"/>
  <c r="L661" i="2"/>
  <c r="M356" i="2"/>
  <c r="M87" i="2"/>
  <c r="L97" i="2"/>
  <c r="N564" i="2"/>
  <c r="N526" i="2"/>
  <c r="L476" i="2"/>
  <c r="N400" i="2"/>
  <c r="M51" i="2"/>
  <c r="N103" i="2"/>
  <c r="N703" i="2"/>
  <c r="M663" i="2"/>
  <c r="L596" i="2"/>
  <c r="N514" i="2"/>
  <c r="L111" i="2"/>
  <c r="L64" i="2"/>
  <c r="L559" i="2"/>
  <c r="N664" i="2"/>
  <c r="M554" i="2"/>
  <c r="M467" i="2"/>
  <c r="L54" i="2"/>
  <c r="M735" i="2"/>
  <c r="N204" i="2"/>
  <c r="N386" i="2"/>
  <c r="N458" i="2"/>
  <c r="L701" i="2"/>
  <c r="L71" i="2"/>
  <c r="L453" i="2"/>
  <c r="M300" i="2"/>
  <c r="L659" i="2"/>
  <c r="L80" i="2"/>
  <c r="L672" i="2"/>
  <c r="N200" i="2"/>
  <c r="L58" i="2"/>
  <c r="K182" i="2"/>
  <c r="K178" i="2"/>
  <c r="K518" i="2"/>
  <c r="K324" i="2"/>
  <c r="K468" i="2"/>
  <c r="K683" i="2"/>
  <c r="K301" i="2"/>
  <c r="K743" i="2"/>
  <c r="K764" i="2"/>
  <c r="K748" i="2"/>
  <c r="K290" i="2"/>
  <c r="K201" i="2"/>
  <c r="K464" i="2"/>
  <c r="K520" i="2"/>
  <c r="L545" i="2"/>
  <c r="N423" i="2"/>
  <c r="L171" i="2"/>
  <c r="L418" i="2"/>
  <c r="N192" i="2"/>
  <c r="N409" i="2"/>
  <c r="L597" i="2"/>
  <c r="L264" i="2"/>
  <c r="N656" i="2"/>
  <c r="L213" i="2"/>
  <c r="N399" i="2"/>
  <c r="N180" i="2"/>
  <c r="N643" i="2"/>
  <c r="M160" i="2"/>
  <c r="L360" i="2"/>
  <c r="M131" i="2"/>
  <c r="L381" i="2"/>
  <c r="L523" i="2"/>
  <c r="M225" i="2"/>
  <c r="M378" i="2"/>
  <c r="L259" i="2"/>
  <c r="M479" i="2"/>
  <c r="N142" i="2"/>
  <c r="M574" i="2"/>
  <c r="M477" i="2"/>
  <c r="L168" i="2"/>
  <c r="M314" i="2"/>
  <c r="L580" i="2"/>
  <c r="L219" i="2"/>
  <c r="L635" i="2"/>
  <c r="N538" i="2"/>
  <c r="L211" i="2"/>
  <c r="N390" i="2"/>
  <c r="M549" i="2"/>
  <c r="N778" i="2"/>
  <c r="N644" i="2"/>
  <c r="N554" i="2"/>
  <c r="M385" i="2"/>
  <c r="N144" i="2"/>
  <c r="M620" i="2"/>
  <c r="M341" i="2"/>
  <c r="N391" i="2"/>
  <c r="N213" i="2"/>
  <c r="M651" i="2"/>
  <c r="M455" i="2"/>
  <c r="L785" i="2"/>
  <c r="L410" i="2"/>
  <c r="M388" i="2"/>
  <c r="M487" i="2"/>
  <c r="N433" i="2"/>
  <c r="N541" i="2"/>
  <c r="L258" i="2"/>
  <c r="L731" i="2"/>
  <c r="N518" i="2"/>
  <c r="L174" i="2"/>
  <c r="N309" i="2"/>
  <c r="L250" i="2"/>
  <c r="M298" i="2"/>
  <c r="L338" i="2"/>
  <c r="N629" i="2"/>
  <c r="N111" i="2"/>
  <c r="L642" i="2"/>
  <c r="N548" i="2"/>
  <c r="N768" i="2"/>
  <c r="M93" i="2"/>
  <c r="N66" i="2"/>
  <c r="N498" i="2"/>
  <c r="L439" i="2"/>
  <c r="L744" i="2"/>
  <c r="M94" i="2"/>
  <c r="M42" i="2"/>
  <c r="M586" i="2"/>
  <c r="N642" i="2"/>
  <c r="M269" i="2"/>
  <c r="N727" i="2"/>
  <c r="N76" i="2"/>
  <c r="N67" i="2"/>
  <c r="N589" i="2"/>
  <c r="M220" i="2"/>
  <c r="M616" i="2"/>
  <c r="L595" i="2"/>
  <c r="M90" i="2"/>
  <c r="M672" i="2"/>
  <c r="L736" i="2"/>
  <c r="L707" i="2"/>
  <c r="L757" i="2"/>
  <c r="M787" i="2"/>
  <c r="M109" i="2"/>
  <c r="N609" i="2"/>
  <c r="L760" i="2"/>
  <c r="L702" i="2"/>
  <c r="N630" i="2"/>
  <c r="N525" i="2"/>
  <c r="M88" i="2"/>
  <c r="L510" i="2"/>
  <c r="M612" i="2"/>
  <c r="M540" i="2"/>
  <c r="M70" i="2"/>
  <c r="M305" i="2"/>
  <c r="M658" i="2"/>
  <c r="M95" i="2"/>
  <c r="K260" i="2"/>
  <c r="K197" i="2"/>
  <c r="K627" i="2"/>
  <c r="K322" i="2"/>
  <c r="K240" i="2"/>
  <c r="K767" i="2"/>
  <c r="K149" i="2"/>
  <c r="K546" i="2"/>
  <c r="K650" i="2"/>
  <c r="K474" i="2"/>
  <c r="K698" i="2"/>
  <c r="K137" i="2"/>
  <c r="N420" i="2"/>
  <c r="M558" i="2"/>
  <c r="M294" i="2"/>
  <c r="M128" i="2"/>
  <c r="M140" i="2"/>
  <c r="M384" i="2"/>
  <c r="M201" i="2"/>
  <c r="M270" i="2"/>
  <c r="N301" i="2"/>
  <c r="N598" i="2"/>
  <c r="M582" i="2"/>
  <c r="M248" i="2"/>
  <c r="L487" i="2"/>
  <c r="N500" i="2"/>
  <c r="L540" i="2"/>
  <c r="L280" i="2"/>
  <c r="L288" i="2"/>
  <c r="N325" i="2"/>
  <c r="L376" i="2"/>
  <c r="L172" i="2"/>
  <c r="L386" i="2"/>
  <c r="M534" i="2"/>
  <c r="L677" i="2"/>
  <c r="M741" i="2"/>
  <c r="M590" i="2"/>
  <c r="N235" i="2"/>
  <c r="N743" i="2"/>
  <c r="N573" i="2"/>
  <c r="N377" i="2"/>
  <c r="L319" i="2"/>
  <c r="N501" i="2"/>
  <c r="M495" i="2"/>
  <c r="L656" i="2"/>
  <c r="N300" i="2"/>
  <c r="M185" i="2"/>
  <c r="L169" i="2"/>
  <c r="M435" i="2"/>
  <c r="M573" i="2"/>
  <c r="N207" i="2"/>
  <c r="L383" i="2"/>
  <c r="N774" i="2"/>
  <c r="N263" i="2"/>
  <c r="N179" i="2"/>
  <c r="L599" i="2"/>
  <c r="N378" i="2"/>
  <c r="L724" i="2"/>
  <c r="L251" i="2"/>
  <c r="N394" i="2"/>
  <c r="N283" i="2"/>
  <c r="L444" i="2"/>
  <c r="M349" i="2"/>
  <c r="N618" i="2"/>
  <c r="N729" i="2"/>
  <c r="L430" i="2"/>
  <c r="M618" i="2"/>
  <c r="M723" i="2"/>
  <c r="N259" i="2"/>
  <c r="N744" i="2"/>
  <c r="N441" i="2"/>
  <c r="L752" i="2"/>
  <c r="L73" i="2"/>
  <c r="N624" i="2"/>
  <c r="M453" i="2"/>
  <c r="L233" i="2"/>
  <c r="N86" i="2"/>
  <c r="N106" i="2"/>
  <c r="M381" i="2"/>
  <c r="L303" i="2"/>
  <c r="M678" i="2"/>
  <c r="N97" i="2"/>
  <c r="M92" i="2"/>
  <c r="L570" i="2"/>
  <c r="M674" i="2"/>
  <c r="M578" i="2"/>
  <c r="M653" i="2"/>
  <c r="M75" i="2"/>
  <c r="L101" i="2"/>
  <c r="L521" i="2"/>
  <c r="L241" i="2"/>
  <c r="L143" i="2"/>
  <c r="N588" i="2"/>
  <c r="N52" i="2"/>
  <c r="M646" i="2"/>
  <c r="L718" i="2"/>
  <c r="M379" i="2"/>
  <c r="M472" i="2"/>
  <c r="L277" i="2"/>
  <c r="L105" i="2"/>
  <c r="L491" i="2"/>
  <c r="N568" i="2"/>
  <c r="N645" i="2"/>
  <c r="L749" i="2"/>
  <c r="M711" i="2"/>
  <c r="L95" i="2"/>
  <c r="L678" i="2"/>
  <c r="M680" i="2"/>
  <c r="N549" i="2"/>
  <c r="N48" i="2"/>
  <c r="N631" i="2"/>
  <c r="N746" i="2"/>
  <c r="N77" i="2"/>
  <c r="K737" i="2"/>
  <c r="K222" i="2"/>
  <c r="K560" i="2"/>
  <c r="K262" i="2"/>
  <c r="K371" i="2"/>
  <c r="K318" i="2"/>
  <c r="K787" i="2"/>
  <c r="K480" i="2"/>
  <c r="K663" i="2"/>
  <c r="K304" i="2"/>
  <c r="K40" i="2"/>
  <c r="K103" i="2"/>
  <c r="K699" i="2"/>
  <c r="K284" i="2"/>
  <c r="M742" i="2"/>
  <c r="N165" i="2"/>
  <c r="N578" i="2"/>
  <c r="N262" i="2"/>
  <c r="N349" i="2"/>
  <c r="M276" i="2"/>
  <c r="N687" i="2"/>
  <c r="M306" i="2"/>
  <c r="M550" i="2"/>
  <c r="L355" i="2"/>
  <c r="L711" i="2"/>
  <c r="N347" i="2"/>
  <c r="M310" i="2"/>
  <c r="L223" i="2"/>
  <c r="M468" i="2"/>
  <c r="N202" i="2"/>
  <c r="L771" i="2"/>
  <c r="M257" i="2"/>
  <c r="M282" i="2"/>
  <c r="L572" i="2"/>
  <c r="L400" i="2"/>
  <c r="M206" i="2"/>
  <c r="M283" i="2"/>
  <c r="M701" i="2"/>
  <c r="M454" i="2"/>
  <c r="L538" i="2"/>
  <c r="L697" i="2"/>
  <c r="M200" i="2"/>
  <c r="M599" i="2"/>
  <c r="M727" i="2"/>
  <c r="N358" i="2"/>
  <c r="M697" i="2"/>
  <c r="N762" i="2"/>
  <c r="L182" i="2"/>
  <c r="L534" i="2"/>
  <c r="N132" i="2"/>
  <c r="L362" i="2"/>
  <c r="M411" i="2"/>
  <c r="L594" i="2"/>
  <c r="L198" i="2"/>
  <c r="L703" i="2"/>
  <c r="L502" i="2"/>
  <c r="M688" i="2"/>
  <c r="N456" i="2"/>
  <c r="L356" i="2"/>
  <c r="L568" i="2"/>
  <c r="N470" i="2"/>
  <c r="M693" i="2"/>
  <c r="N302" i="2"/>
  <c r="M146" i="2"/>
  <c r="L543" i="2"/>
  <c r="N431" i="2"/>
  <c r="N360" i="2"/>
  <c r="L539" i="2"/>
  <c r="L602" i="2"/>
  <c r="N174" i="2"/>
  <c r="N611" i="2"/>
  <c r="N593" i="2"/>
  <c r="L675" i="2"/>
  <c r="L91" i="2"/>
  <c r="L41" i="2"/>
  <c r="M311" i="2"/>
  <c r="M665" i="2"/>
  <c r="N534" i="2"/>
  <c r="L55" i="2"/>
  <c r="N44" i="2"/>
  <c r="N734" i="2"/>
  <c r="M773" i="2"/>
  <c r="M285" i="2"/>
  <c r="L83" i="2"/>
  <c r="L92" i="2"/>
  <c r="M602" i="2"/>
  <c r="M524" i="2"/>
  <c r="N658" i="2"/>
  <c r="N572" i="2"/>
  <c r="M44" i="2"/>
  <c r="N102" i="2"/>
  <c r="L498" i="2"/>
  <c r="N284" i="2"/>
  <c r="M141" i="2"/>
  <c r="N683" i="2"/>
  <c r="L81" i="2"/>
  <c r="M158" i="2"/>
  <c r="L766" i="2"/>
  <c r="L733" i="2"/>
  <c r="N574" i="2"/>
  <c r="L57" i="2"/>
  <c r="N110" i="2"/>
  <c r="N146" i="2"/>
  <c r="M762" i="2"/>
  <c r="M704" i="2"/>
  <c r="N282" i="2"/>
  <c r="N712" i="2"/>
  <c r="N79" i="2"/>
  <c r="L740" i="2"/>
  <c r="N510" i="2"/>
  <c r="M54" i="2"/>
  <c r="M280" i="2"/>
  <c r="M777" i="2"/>
  <c r="M98" i="2"/>
  <c r="K673" i="2"/>
  <c r="K459" i="2"/>
  <c r="K559" i="2"/>
  <c r="K379" i="2"/>
  <c r="K478" i="2"/>
  <c r="K152" i="2"/>
  <c r="K509" i="2"/>
  <c r="K239" i="2"/>
  <c r="K687" i="2"/>
  <c r="K299" i="2"/>
  <c r="K339" i="2"/>
  <c r="K647" i="2"/>
  <c r="K233" i="2"/>
  <c r="K414" i="2"/>
  <c r="M500" i="2"/>
  <c r="N149" i="2"/>
  <c r="N760" i="2"/>
  <c r="L167" i="2"/>
  <c r="N299" i="2"/>
  <c r="N418" i="2"/>
  <c r="L243" i="2"/>
  <c r="L516" i="2"/>
  <c r="L117" i="2"/>
  <c r="M125" i="2"/>
  <c r="L348" i="2"/>
  <c r="M238" i="2"/>
  <c r="N693" i="2"/>
  <c r="M423" i="2"/>
  <c r="L619" i="2"/>
  <c r="M245" i="2"/>
  <c r="N447" i="2"/>
  <c r="L148" i="2"/>
  <c r="M115" i="2"/>
  <c r="N199" i="2"/>
  <c r="N194" i="2"/>
  <c r="L206" i="2"/>
  <c r="L508" i="2"/>
  <c r="L489" i="2"/>
  <c r="N570" i="2"/>
  <c r="N128" i="2"/>
  <c r="N522" i="2"/>
  <c r="L183" i="2"/>
  <c r="M643" i="2"/>
  <c r="N234" i="2"/>
  <c r="L585" i="2"/>
  <c r="N616" i="2"/>
  <c r="L495" i="2"/>
  <c r="N408" i="2"/>
  <c r="L474" i="2"/>
  <c r="L341" i="2"/>
  <c r="N571" i="2"/>
  <c r="M330" i="2"/>
  <c r="M293" i="2"/>
  <c r="M331" i="2"/>
  <c r="N373" i="2"/>
  <c r="M601" i="2"/>
  <c r="L156" i="2"/>
  <c r="L366" i="2"/>
  <c r="N652" i="2"/>
  <c r="M565" i="2"/>
  <c r="N493" i="2"/>
  <c r="M617" i="2"/>
  <c r="L583" i="2"/>
  <c r="M441" i="2"/>
  <c r="L257" i="2"/>
  <c r="N724" i="2"/>
  <c r="L683" i="2"/>
  <c r="N651" i="2"/>
  <c r="N604" i="2"/>
  <c r="M272" i="2"/>
  <c r="L145" i="2"/>
  <c r="M496" i="2"/>
  <c r="L179" i="2"/>
  <c r="N45" i="2"/>
  <c r="N50" i="2"/>
  <c r="L261" i="2"/>
  <c r="N784" i="2"/>
  <c r="L696" i="2"/>
  <c r="N55" i="2"/>
  <c r="L581" i="2"/>
  <c r="M204" i="2"/>
  <c r="M448" i="2"/>
  <c r="L624" i="2"/>
  <c r="N63" i="2"/>
  <c r="M91" i="2"/>
  <c r="M520" i="2"/>
  <c r="N769" i="2"/>
  <c r="N731" i="2"/>
  <c r="L660" i="2"/>
  <c r="N60" i="2"/>
  <c r="M228" i="2"/>
  <c r="L260" i="2"/>
  <c r="L268" i="2"/>
  <c r="M422" i="2"/>
  <c r="M426" i="2"/>
  <c r="N39" i="2"/>
  <c r="L746" i="2"/>
  <c r="N633" i="2"/>
  <c r="L461" i="2"/>
  <c r="N432" i="2"/>
  <c r="L70" i="2"/>
  <c r="M72" i="2"/>
  <c r="M180" i="2"/>
  <c r="L551" i="2"/>
  <c r="M733" i="2"/>
  <c r="M631" i="2"/>
  <c r="N71" i="2"/>
  <c r="M102" i="2"/>
  <c r="N740" i="2"/>
  <c r="N562" i="2"/>
  <c r="M64" i="2"/>
  <c r="N404" i="2"/>
  <c r="N224" i="2"/>
  <c r="M79" i="2"/>
  <c r="K252" i="2"/>
  <c r="K369" i="2"/>
  <c r="K664" i="2"/>
  <c r="K674" i="2"/>
  <c r="K228" i="2"/>
  <c r="K280" i="2"/>
  <c r="K109" i="2"/>
  <c r="K180" i="2"/>
  <c r="K147" i="2"/>
  <c r="K505" i="2"/>
  <c r="K370" i="2"/>
  <c r="K691" i="2"/>
  <c r="K565" i="2"/>
  <c r="L575" i="2"/>
  <c r="M344" i="2"/>
  <c r="M561" i="2"/>
  <c r="M143" i="2"/>
  <c r="M518" i="2"/>
  <c r="N279" i="2"/>
  <c r="L123" i="2"/>
  <c r="N151" i="2"/>
  <c r="L481" i="2"/>
  <c r="N715" i="2"/>
  <c r="M570" i="2"/>
  <c r="N189" i="2"/>
  <c r="L327" i="2"/>
  <c r="L485" i="2"/>
  <c r="M417" i="2"/>
  <c r="M213" i="2"/>
  <c r="N395" i="2"/>
  <c r="N499" i="2"/>
  <c r="N466" i="2"/>
  <c r="L742" i="2"/>
  <c r="L428" i="2"/>
  <c r="L690" i="2"/>
  <c r="M191" i="2"/>
  <c r="L415" i="2"/>
  <c r="N770" i="2"/>
  <c r="L765" i="2"/>
  <c r="M666" i="2"/>
  <c r="M506" i="2"/>
  <c r="L232" i="2"/>
  <c r="N681" i="2"/>
  <c r="N720" i="2"/>
  <c r="N677" i="2"/>
  <c r="N679" i="2"/>
  <c r="M365" i="2"/>
  <c r="N685" i="2"/>
  <c r="M175" i="2"/>
  <c r="N508" i="2"/>
  <c r="M638" i="2"/>
  <c r="M218" i="2"/>
  <c r="M222" i="2"/>
  <c r="M513" i="2"/>
  <c r="N187" i="2"/>
  <c r="M242" i="2"/>
  <c r="M190" i="2"/>
  <c r="N621" i="2"/>
  <c r="L229" i="2"/>
  <c r="N457" i="2"/>
  <c r="M587" i="2"/>
  <c r="N182" i="2"/>
  <c r="L289" i="2"/>
  <c r="N543" i="2"/>
  <c r="N735" i="2"/>
  <c r="M240" i="2"/>
  <c r="L176" i="2"/>
  <c r="N193" i="2"/>
  <c r="M249" i="2"/>
  <c r="M738" i="2"/>
  <c r="L567" i="2"/>
  <c r="L621" i="2"/>
  <c r="N78" i="2"/>
  <c r="M56" i="2"/>
  <c r="M541" i="2"/>
  <c r="M739" i="2"/>
  <c r="L591" i="2"/>
  <c r="M76" i="2"/>
  <c r="L509" i="2"/>
  <c r="M732" i="2"/>
  <c r="M669" i="2"/>
  <c r="N339" i="2"/>
  <c r="L60" i="2"/>
  <c r="M67" i="2"/>
  <c r="L514" i="2"/>
  <c r="N311" i="2"/>
  <c r="N741" i="2"/>
  <c r="M509" i="2"/>
  <c r="M78" i="2"/>
  <c r="N511" i="2"/>
  <c r="M571" i="2"/>
  <c r="L459" i="2"/>
  <c r="L368" i="2"/>
  <c r="L769" i="2"/>
  <c r="N42" i="2"/>
  <c r="L670" i="2"/>
  <c r="L780" i="2"/>
  <c r="L717" i="2"/>
  <c r="N750" i="2"/>
  <c r="L98" i="2"/>
  <c r="N65" i="2"/>
  <c r="N214" i="2"/>
  <c r="L684" i="2"/>
  <c r="L778" i="2"/>
  <c r="M483" i="2"/>
  <c r="M62" i="2"/>
  <c r="L110" i="2"/>
  <c r="M634" i="2"/>
  <c r="L325" i="2"/>
  <c r="L63" i="2"/>
  <c r="L279" i="2"/>
  <c r="L504" i="2"/>
  <c r="M84" i="2"/>
  <c r="K507" i="2"/>
  <c r="K501" i="2"/>
  <c r="K192" i="2"/>
  <c r="K749" i="2"/>
  <c r="K166" i="2"/>
  <c r="K169" i="2"/>
  <c r="K259" i="2"/>
  <c r="K537" i="2"/>
  <c r="K108" i="2"/>
  <c r="K342" i="2"/>
  <c r="K72" i="2"/>
  <c r="M176" i="2"/>
  <c r="M335" i="2"/>
  <c r="L225" i="2"/>
  <c r="M418" i="2"/>
  <c r="M511" i="2"/>
  <c r="M177" i="2"/>
  <c r="M149" i="2"/>
  <c r="N535" i="2"/>
  <c r="N634" i="2"/>
  <c r="M312" i="2"/>
  <c r="L691" i="2"/>
  <c r="L246" i="2"/>
  <c r="N314" i="2"/>
  <c r="M256" i="2"/>
  <c r="N668" i="2"/>
  <c r="M163" i="2"/>
  <c r="L457" i="2"/>
  <c r="N516" i="2"/>
  <c r="M457" i="2"/>
  <c r="L425" i="2"/>
  <c r="M438" i="2"/>
  <c r="N782" i="2"/>
  <c r="M193" i="2"/>
  <c r="L181" i="2"/>
  <c r="L607" i="2"/>
  <c r="M380" i="2"/>
  <c r="N531" i="2"/>
  <c r="L349" i="2"/>
  <c r="N490" i="2"/>
  <c r="N127" i="2"/>
  <c r="N716" i="2"/>
  <c r="N601" i="2"/>
  <c r="N721" i="2"/>
  <c r="N388" i="2"/>
  <c r="N261" i="2"/>
  <c r="N292" i="2"/>
  <c r="L197" i="2"/>
  <c r="M159" i="2"/>
  <c r="L576" i="2"/>
  <c r="N312" i="2"/>
  <c r="M641" i="2"/>
  <c r="N473" i="2"/>
  <c r="M632" i="2"/>
  <c r="M584" i="2"/>
  <c r="M780" i="2"/>
  <c r="M585" i="2"/>
  <c r="M359" i="2"/>
  <c r="N689" i="2"/>
  <c r="N453" i="2"/>
  <c r="L662" i="2"/>
  <c r="N335" i="2"/>
  <c r="L554" i="2"/>
  <c r="N781" i="2"/>
  <c r="M769" i="2"/>
  <c r="L652" i="2"/>
  <c r="L673" i="2"/>
  <c r="N650" i="2"/>
  <c r="M535" i="2"/>
  <c r="L614" i="2"/>
  <c r="M111" i="2"/>
  <c r="M80" i="2"/>
  <c r="M655" i="2"/>
  <c r="N296" i="2"/>
  <c r="M358" i="2"/>
  <c r="M86" i="2"/>
  <c r="N719" i="2"/>
  <c r="M717" i="2"/>
  <c r="L632" i="2"/>
  <c r="N785" i="2"/>
  <c r="L96" i="2"/>
  <c r="L47" i="2"/>
  <c r="L272" i="2"/>
  <c r="M514" i="2"/>
  <c r="M625" i="2"/>
  <c r="N723" i="2"/>
  <c r="L112" i="2"/>
  <c r="M419" i="2"/>
  <c r="M440" i="2"/>
  <c r="L639" i="2"/>
  <c r="N497" i="2"/>
  <c r="M68" i="2"/>
  <c r="M99" i="2"/>
  <c r="M279" i="2"/>
  <c r="L556" i="2"/>
  <c r="N756" i="2"/>
  <c r="N708" i="2"/>
  <c r="L103" i="2"/>
  <c r="M106" i="2"/>
  <c r="N154" i="2"/>
  <c r="L256" i="2"/>
  <c r="L150" i="2"/>
  <c r="M670" i="2"/>
  <c r="M49" i="2"/>
  <c r="N90" i="2"/>
  <c r="M488" i="2"/>
  <c r="N53" i="2"/>
  <c r="N69" i="2"/>
  <c r="N346" i="2"/>
  <c r="N122" i="2"/>
  <c r="L108" i="2"/>
  <c r="K708" i="2"/>
  <c r="K778" i="2"/>
  <c r="K526" i="2"/>
  <c r="K249" i="2"/>
  <c r="K592" i="2"/>
  <c r="K208" i="2"/>
  <c r="K392" i="2"/>
  <c r="K218" i="2"/>
  <c r="K145" i="2"/>
  <c r="K416" i="2"/>
  <c r="K257" i="2"/>
  <c r="K391" i="2"/>
  <c r="K49" i="2"/>
  <c r="K428" i="2"/>
  <c r="K596" i="2"/>
  <c r="K73" i="2"/>
  <c r="K545" i="2"/>
  <c r="K343" i="2"/>
  <c r="K89" i="2"/>
  <c r="K124" i="2"/>
  <c r="K139" i="2"/>
  <c r="K224" i="2"/>
  <c r="K541" i="2"/>
  <c r="K156" i="2"/>
  <c r="K363" i="2"/>
  <c r="K599" i="2"/>
  <c r="K326" i="2"/>
  <c r="L374" i="2"/>
  <c r="M165" i="2"/>
  <c r="M251" i="2"/>
  <c r="N315" i="2"/>
  <c r="M325" i="2"/>
  <c r="L404" i="2"/>
  <c r="N406" i="2"/>
  <c r="N158" i="2"/>
  <c r="M171" i="2"/>
  <c r="M295" i="2"/>
  <c r="M241" i="2"/>
  <c r="L544" i="2"/>
  <c r="L212" i="2"/>
  <c r="N343" i="2"/>
  <c r="L414" i="2"/>
  <c r="L361" i="2"/>
  <c r="M410" i="2"/>
  <c r="L346" i="2"/>
  <c r="M416" i="2"/>
  <c r="M474" i="2"/>
  <c r="L422" i="2"/>
  <c r="N191" i="2"/>
  <c r="N606" i="2"/>
  <c r="N480" i="2"/>
  <c r="M626" i="2"/>
  <c r="M664" i="2"/>
  <c r="M376" i="2"/>
  <c r="N139" i="2"/>
  <c r="N398" i="2"/>
  <c r="M597" i="2"/>
  <c r="L637" i="2"/>
  <c r="N367" i="2"/>
  <c r="N410" i="2"/>
  <c r="N696" i="2"/>
  <c r="M642" i="2"/>
  <c r="N159" i="2"/>
  <c r="M527" i="2"/>
  <c r="L641" i="2"/>
  <c r="N124" i="2"/>
  <c r="L318" i="2"/>
  <c r="M783" i="2"/>
  <c r="N341" i="2"/>
  <c r="M760" i="2"/>
  <c r="L501" i="2"/>
  <c r="M387" i="2"/>
  <c r="M689" i="2"/>
  <c r="L218" i="2"/>
  <c r="N503" i="2"/>
  <c r="L649" i="2"/>
  <c r="L136" i="2"/>
  <c r="M308" i="2"/>
  <c r="L753" i="2"/>
  <c r="M390" i="2"/>
  <c r="L723" i="2"/>
  <c r="M196" i="2"/>
  <c r="N256" i="2"/>
  <c r="N496" i="2"/>
  <c r="L628" i="2"/>
  <c r="L612" i="2"/>
  <c r="M105" i="2"/>
  <c r="N70" i="2"/>
  <c r="L340" i="2"/>
  <c r="N422" i="2"/>
  <c r="L687" i="2"/>
  <c r="N41" i="2"/>
  <c r="L643" i="2"/>
  <c r="N569" i="2"/>
  <c r="L716" i="2"/>
  <c r="M623" i="2"/>
  <c r="N40" i="2"/>
  <c r="L532" i="2"/>
  <c r="M770" i="2"/>
  <c r="N198" i="2"/>
  <c r="M569" i="2"/>
  <c r="M588" i="2"/>
  <c r="M85" i="2"/>
  <c r="N438" i="2"/>
  <c r="N788" i="2"/>
  <c r="M127" i="2"/>
  <c r="N176" i="2"/>
  <c r="N91" i="2"/>
  <c r="M58" i="2"/>
  <c r="L237" i="2"/>
  <c r="M639" i="2"/>
  <c r="L131" i="2"/>
  <c r="N425" i="2"/>
  <c r="N57" i="2"/>
  <c r="L79" i="2"/>
  <c r="N131" i="2"/>
  <c r="N178" i="2"/>
  <c r="L537" i="2"/>
  <c r="M546" i="2"/>
  <c r="L74" i="2"/>
  <c r="N94" i="2"/>
  <c r="M351" i="2"/>
  <c r="L61" i="2"/>
  <c r="L309" i="2"/>
  <c r="N737" i="2"/>
  <c r="L610" i="2"/>
  <c r="M784" i="2"/>
  <c r="K576" i="2"/>
  <c r="K315" i="2"/>
  <c r="K356" i="2"/>
  <c r="K629" i="2"/>
  <c r="K677" i="2"/>
  <c r="K387" i="2"/>
  <c r="K150" i="2"/>
  <c r="K285" i="2"/>
  <c r="K623" i="2"/>
  <c r="K376" i="2"/>
  <c r="K80" i="2"/>
  <c r="K77" i="2"/>
  <c r="N368" i="2"/>
  <c r="N163" i="2"/>
  <c r="L398" i="2"/>
  <c r="L269" i="2"/>
  <c r="M355" i="2"/>
  <c r="M398" i="2"/>
  <c r="M253" i="2"/>
  <c r="M252" i="2"/>
  <c r="M262" i="2"/>
  <c r="M346" i="2"/>
  <c r="L200" i="2"/>
  <c r="N344" i="2"/>
  <c r="M389" i="2"/>
  <c r="M485" i="2"/>
  <c r="M396" i="2"/>
  <c r="M403" i="2"/>
  <c r="M152" i="2"/>
  <c r="M273" i="2"/>
  <c r="N143" i="2"/>
  <c r="M361" i="2"/>
  <c r="L488" i="2"/>
  <c r="N130" i="2"/>
  <c r="M743" i="2"/>
  <c r="L299" i="2"/>
  <c r="L688" i="2"/>
  <c r="N654" i="2"/>
  <c r="N123" i="2"/>
  <c r="N169" i="2"/>
  <c r="L783" i="2"/>
  <c r="L708" i="2"/>
  <c r="M560" i="2"/>
  <c r="N385" i="2"/>
  <c r="N424" i="2"/>
  <c r="L456" i="2"/>
  <c r="L719" i="2"/>
  <c r="N484" i="2"/>
  <c r="N509" i="2"/>
  <c r="L387" i="2"/>
  <c r="L582" i="2"/>
  <c r="N376" i="2"/>
  <c r="L470" i="2"/>
  <c r="L603" i="2"/>
  <c r="M363" i="2"/>
  <c r="N495" i="2"/>
  <c r="L220" i="2"/>
  <c r="L650" i="2"/>
  <c r="N203" i="2"/>
  <c r="N736" i="2"/>
  <c r="L640" i="2"/>
  <c r="M377" i="2"/>
  <c r="L526" i="2"/>
  <c r="N520" i="2"/>
  <c r="M318" i="2"/>
  <c r="N173" i="2"/>
  <c r="L234" i="2"/>
  <c r="L252" i="2"/>
  <c r="N752" i="2"/>
  <c r="N551" i="2"/>
  <c r="L402" i="2"/>
  <c r="N85" i="2"/>
  <c r="L50" i="2"/>
  <c r="M763" i="2"/>
  <c r="M731" i="2"/>
  <c r="L725" i="2"/>
  <c r="L99" i="2"/>
  <c r="N751" i="2"/>
  <c r="N640" i="2"/>
  <c r="L492" i="2"/>
  <c r="N680" i="2"/>
  <c r="L44" i="2"/>
  <c r="L411" i="2"/>
  <c r="M766" i="2"/>
  <c r="N264" i="2"/>
  <c r="L429" i="2"/>
  <c r="N596" i="2"/>
  <c r="N61" i="2"/>
  <c r="N177" i="2"/>
  <c r="N739" i="2"/>
  <c r="M556" i="2"/>
  <c r="L137" i="2"/>
  <c r="M71" i="2"/>
  <c r="M48" i="2"/>
  <c r="L375" i="2"/>
  <c r="N521" i="2"/>
  <c r="M263" i="2"/>
  <c r="L550" i="2"/>
  <c r="N88" i="2"/>
  <c r="L109" i="2"/>
  <c r="L714" i="2"/>
  <c r="L426" i="2"/>
  <c r="L732" i="2"/>
  <c r="L754" i="2"/>
  <c r="L88" i="2"/>
  <c r="N100" i="2"/>
  <c r="L529" i="2"/>
  <c r="N96" i="2"/>
  <c r="N226" i="2"/>
  <c r="N369" i="2"/>
  <c r="L104" i="2"/>
  <c r="L469" i="2"/>
  <c r="K620" i="2"/>
  <c r="K293" i="2"/>
  <c r="K643" i="2"/>
  <c r="K84" i="2"/>
  <c r="K74" i="2"/>
  <c r="K130" i="2"/>
  <c r="K442" i="2"/>
  <c r="K267" i="2"/>
  <c r="K287" i="2"/>
  <c r="K741" i="2"/>
  <c r="K465" i="2"/>
  <c r="K227" i="2"/>
  <c r="K385" i="2"/>
  <c r="K662" i="2"/>
  <c r="K413" i="2"/>
  <c r="L342" i="2"/>
  <c r="M221" i="2"/>
  <c r="N129" i="2"/>
  <c r="N603" i="2"/>
  <c r="M530" i="2"/>
  <c r="L513" i="2"/>
  <c r="N494" i="2"/>
  <c r="N758" i="2"/>
  <c r="M110" i="2"/>
  <c r="N455" i="2"/>
  <c r="L68" i="2"/>
  <c r="M613" i="2"/>
  <c r="M246" i="2"/>
  <c r="K399" i="2"/>
  <c r="K214" i="2"/>
  <c r="K720" i="2"/>
  <c r="K279" i="2"/>
  <c r="K611" i="2"/>
  <c r="K700" i="2"/>
  <c r="K462" i="2"/>
  <c r="K378" i="2"/>
  <c r="K311" i="2"/>
  <c r="K762" i="2"/>
  <c r="K282" i="2"/>
  <c r="K612" i="2"/>
  <c r="K195" i="2"/>
  <c r="K678" i="2"/>
  <c r="K99" i="2"/>
  <c r="K120" i="2"/>
  <c r="K466" i="2"/>
  <c r="K460" i="2"/>
  <c r="K277" i="2"/>
  <c r="K111" i="2"/>
  <c r="K502" i="2"/>
  <c r="K313" i="2"/>
  <c r="K653" i="2"/>
  <c r="K351" i="2"/>
  <c r="K750" i="2"/>
  <c r="K615" i="2"/>
  <c r="K624" i="2"/>
  <c r="K102" i="2"/>
  <c r="K375" i="2"/>
  <c r="K738" i="2"/>
  <c r="K718" i="2"/>
  <c r="K671" i="2"/>
  <c r="K493" i="2"/>
  <c r="K319" i="2"/>
  <c r="J117" i="2"/>
  <c r="J350" i="2"/>
  <c r="J626" i="2"/>
  <c r="J615" i="2"/>
  <c r="J676" i="2"/>
  <c r="J344" i="2"/>
  <c r="J499" i="2"/>
  <c r="J687" i="2"/>
  <c r="J534" i="2"/>
  <c r="J375" i="2"/>
  <c r="J61" i="2"/>
  <c r="J707" i="2"/>
  <c r="J580" i="2"/>
  <c r="J421" i="2"/>
  <c r="J339" i="2"/>
  <c r="J772" i="2"/>
  <c r="J298" i="2"/>
  <c r="J248" i="2"/>
  <c r="J496" i="2"/>
  <c r="J140" i="2"/>
  <c r="J63" i="2"/>
  <c r="J577" i="2"/>
  <c r="J530" i="2"/>
  <c r="J731" i="2"/>
  <c r="J192" i="2"/>
  <c r="J174" i="2"/>
  <c r="J335" i="2"/>
  <c r="J100" i="2"/>
  <c r="J588" i="2"/>
  <c r="J79" i="2"/>
  <c r="J429" i="2"/>
  <c r="J378" i="2"/>
  <c r="J722" i="2"/>
  <c r="J415" i="2"/>
  <c r="J388" i="2"/>
  <c r="J781" i="2"/>
  <c r="J662" i="2"/>
  <c r="J558" i="2"/>
  <c r="J671" i="2"/>
  <c r="J726" i="2"/>
  <c r="J150" i="2"/>
  <c r="J241" i="2"/>
  <c r="J75" i="2"/>
  <c r="J764" i="2"/>
  <c r="J641" i="2"/>
  <c r="J581" i="2"/>
  <c r="J74" i="2"/>
  <c r="J145" i="2"/>
  <c r="J500" i="2"/>
  <c r="J283" i="2"/>
  <c r="J374" i="2"/>
  <c r="J424" i="2"/>
  <c r="J177" i="2"/>
  <c r="K529" i="2"/>
  <c r="J570" i="2"/>
  <c r="J653" i="2"/>
  <c r="N58" i="2"/>
  <c r="K772" i="2"/>
  <c r="K500" i="2"/>
  <c r="J246" i="2"/>
  <c r="J720" i="2"/>
  <c r="J369" i="2"/>
  <c r="L180" i="2"/>
  <c r="N357" i="2"/>
  <c r="L454" i="2"/>
  <c r="N331" i="2"/>
  <c r="N622" i="2"/>
  <c r="M347" i="2"/>
  <c r="M686" i="2"/>
  <c r="N748" i="2"/>
  <c r="L62" i="2"/>
  <c r="N540" i="2"/>
  <c r="N46" i="2"/>
  <c r="M425" i="2"/>
  <c r="L262" i="2"/>
  <c r="K348" i="2"/>
  <c r="K255" i="2"/>
  <c r="K672" i="2"/>
  <c r="K479" i="2"/>
  <c r="K334" i="2"/>
  <c r="K246" i="2"/>
  <c r="K53" i="2"/>
  <c r="K146" i="2"/>
  <c r="K702" i="2"/>
  <c r="K50" i="2"/>
  <c r="K332" i="2"/>
  <c r="K709" i="2"/>
  <c r="K136" i="2"/>
  <c r="K632" i="2"/>
  <c r="K83" i="2"/>
  <c r="K405" i="2"/>
  <c r="K101" i="2"/>
  <c r="K504" i="2"/>
  <c r="K135" i="2"/>
  <c r="K437" i="2"/>
  <c r="K726" i="2"/>
  <c r="K458" i="2"/>
  <c r="K278" i="2"/>
  <c r="K158" i="2"/>
  <c r="K44" i="2"/>
  <c r="K649" i="2"/>
  <c r="K448" i="2"/>
  <c r="K710" i="2"/>
  <c r="K766" i="2"/>
  <c r="K753" i="2"/>
  <c r="K232" i="2"/>
  <c r="K97" i="2"/>
  <c r="K276" i="2"/>
  <c r="K607" i="2"/>
  <c r="J636" i="2"/>
  <c r="J244" i="2"/>
  <c r="J523" i="2"/>
  <c r="J399" i="2"/>
  <c r="J509" i="2"/>
  <c r="J572" i="2"/>
  <c r="J365" i="2"/>
  <c r="J393" i="2"/>
  <c r="J650" i="2"/>
  <c r="J698" i="2"/>
  <c r="J329" i="2"/>
  <c r="J134" i="2"/>
  <c r="J275" i="2"/>
  <c r="J83" i="2"/>
  <c r="J200" i="2"/>
  <c r="J441" i="2"/>
  <c r="J519" i="2"/>
  <c r="J407" i="2"/>
  <c r="J512" i="2"/>
  <c r="J367" i="2"/>
  <c r="J547" i="2"/>
  <c r="J224" i="2"/>
  <c r="J44" i="2"/>
  <c r="J550" i="2"/>
  <c r="J668" i="2"/>
  <c r="J730" i="2"/>
  <c r="J287" i="2"/>
  <c r="J468" i="2"/>
  <c r="J763" i="2"/>
  <c r="J78" i="2"/>
  <c r="J373" i="2"/>
  <c r="J411" i="2"/>
  <c r="J786" i="2"/>
  <c r="J86" i="2"/>
  <c r="J355" i="2"/>
  <c r="J155" i="2"/>
  <c r="J351" i="2"/>
  <c r="J527" i="2"/>
  <c r="J196" i="2"/>
  <c r="J376" i="2"/>
  <c r="J114" i="2"/>
  <c r="J766" i="2"/>
  <c r="J708" i="2"/>
  <c r="J725" i="2"/>
  <c r="J472" i="2"/>
  <c r="J294" i="2"/>
  <c r="M437" i="2"/>
  <c r="K52" i="2"/>
  <c r="J601" i="2"/>
  <c r="J526" i="2"/>
  <c r="J554" i="2"/>
  <c r="L121" i="2"/>
  <c r="K125" i="2"/>
  <c r="K588" i="2"/>
  <c r="K768" i="2"/>
  <c r="J342" i="2"/>
  <c r="J600" i="2"/>
  <c r="J95" i="2"/>
  <c r="J219" i="2"/>
  <c r="L344" i="2"/>
  <c r="N552" i="2"/>
  <c r="M433" i="2"/>
  <c r="L735" i="2"/>
  <c r="N332" i="2"/>
  <c r="N694" i="2"/>
  <c r="L157" i="2"/>
  <c r="M373" i="2"/>
  <c r="M577" i="2"/>
  <c r="M445" i="2"/>
  <c r="N68" i="2"/>
  <c r="L601" i="2"/>
  <c r="L709" i="2"/>
  <c r="K274" i="2"/>
  <c r="K625" i="2"/>
  <c r="K584" i="2"/>
  <c r="K494" i="2"/>
  <c r="K94" i="2"/>
  <c r="K420" i="2"/>
  <c r="K711" i="2"/>
  <c r="K476" i="2"/>
  <c r="K578" i="2"/>
  <c r="K581" i="2"/>
  <c r="K719" i="2"/>
  <c r="K731" i="2"/>
  <c r="K666" i="2"/>
  <c r="K412" i="2"/>
  <c r="K104" i="2"/>
  <c r="K536" i="2"/>
  <c r="K602" i="2"/>
  <c r="K116" i="2"/>
  <c r="K309" i="2"/>
  <c r="K605" i="2"/>
  <c r="K196" i="2"/>
  <c r="K138" i="2"/>
  <c r="K604" i="2"/>
  <c r="K321" i="2"/>
  <c r="K477" i="2"/>
  <c r="K512" i="2"/>
  <c r="K783" i="2"/>
  <c r="K118" i="2"/>
  <c r="K593" i="2"/>
  <c r="K586" i="2"/>
  <c r="K552" i="2"/>
  <c r="K661" i="2"/>
  <c r="K439" i="2"/>
  <c r="K482" i="2"/>
  <c r="J504" i="2"/>
  <c r="J770" i="2"/>
  <c r="J290" i="2"/>
  <c r="J105" i="2"/>
  <c r="J457" i="2"/>
  <c r="J416" i="2"/>
  <c r="J431" i="2"/>
  <c r="J661" i="2"/>
  <c r="J612" i="2"/>
  <c r="J324" i="2"/>
  <c r="J247" i="2"/>
  <c r="J163" i="2"/>
  <c r="J776" i="2"/>
  <c r="J147" i="2"/>
  <c r="J348" i="2"/>
  <c r="J160" i="2"/>
  <c r="J231" i="2"/>
  <c r="J712" i="2"/>
  <c r="J427" i="2"/>
  <c r="J235" i="2"/>
  <c r="J693" i="2"/>
  <c r="J706" i="2"/>
  <c r="J360" i="2"/>
  <c r="J762" i="2"/>
  <c r="J327" i="2"/>
  <c r="J328" i="2"/>
  <c r="J528" i="2"/>
  <c r="J566" i="2"/>
  <c r="J584" i="2"/>
  <c r="J464" i="2"/>
  <c r="J245" i="2"/>
  <c r="J595" i="2"/>
  <c r="J67" i="2"/>
  <c r="J433" i="2"/>
  <c r="J672" i="2"/>
  <c r="J694" i="2"/>
  <c r="J289" i="2"/>
  <c r="J45" i="2"/>
  <c r="J632" i="2"/>
  <c r="J491" i="2"/>
  <c r="J486" i="2"/>
  <c r="J774" i="2"/>
  <c r="J175" i="2"/>
  <c r="J54" i="2"/>
  <c r="J222" i="2"/>
  <c r="J149" i="2"/>
  <c r="J49" i="2"/>
  <c r="J420" i="2"/>
  <c r="J165" i="2"/>
  <c r="J714" i="2"/>
  <c r="L43" i="2"/>
  <c r="K580" i="2"/>
  <c r="K751" i="2"/>
  <c r="K297" i="2"/>
  <c r="J395" i="2"/>
  <c r="J771" i="2"/>
  <c r="J488" i="2"/>
  <c r="J109" i="2"/>
  <c r="J497" i="2"/>
  <c r="J476" i="2"/>
  <c r="N753" i="2"/>
  <c r="K406" i="2"/>
  <c r="K345" i="2"/>
  <c r="K496" i="2"/>
  <c r="J402" i="2"/>
  <c r="J101" i="2"/>
  <c r="J171" i="2"/>
  <c r="J111" i="2"/>
  <c r="N330" i="2"/>
  <c r="L654" i="2"/>
  <c r="M122" i="2"/>
  <c r="N662" i="2"/>
  <c r="M258" i="2"/>
  <c r="M409" i="2"/>
  <c r="M374" i="2"/>
  <c r="M525" i="2"/>
  <c r="L409" i="2"/>
  <c r="N602" i="2"/>
  <c r="L46" i="2"/>
  <c r="L335" i="2"/>
  <c r="L507" i="2"/>
  <c r="K637" i="2"/>
  <c r="K734" i="2"/>
  <c r="K349" i="2"/>
  <c r="K229" i="2"/>
  <c r="K168" i="2"/>
  <c r="K67" i="2"/>
  <c r="K248" i="2"/>
  <c r="K491" i="2"/>
  <c r="K247" i="2"/>
  <c r="K555" i="2"/>
  <c r="K98" i="2"/>
  <c r="K728" i="2"/>
  <c r="K742" i="2"/>
  <c r="K312" i="2"/>
  <c r="K646" i="2"/>
  <c r="K231" i="2"/>
  <c r="K140" i="2"/>
  <c r="K340" i="2"/>
  <c r="K525" i="2"/>
  <c r="K463" i="2"/>
  <c r="K582" i="2"/>
  <c r="K42" i="2"/>
  <c r="K368" i="2"/>
  <c r="K521" i="2"/>
  <c r="K707" i="2"/>
  <c r="K171" i="2"/>
  <c r="K117" i="2"/>
  <c r="K419" i="2"/>
  <c r="K724" i="2"/>
  <c r="K78" i="2"/>
  <c r="K703" i="2"/>
  <c r="K373" i="2"/>
  <c r="K489" i="2"/>
  <c r="K589" i="2"/>
  <c r="J314" i="2"/>
  <c r="J466" i="2"/>
  <c r="J659" i="2"/>
  <c r="J55" i="2"/>
  <c r="J122" i="2"/>
  <c r="J627" i="2"/>
  <c r="J738" i="2"/>
  <c r="J170" i="2"/>
  <c r="J640" i="2"/>
  <c r="J501" i="2"/>
  <c r="J345" i="2"/>
  <c r="J208" i="2"/>
  <c r="J745" i="2"/>
  <c r="J403" i="2"/>
  <c r="J193" i="2"/>
  <c r="J777" i="2"/>
  <c r="J543" i="2"/>
  <c r="J173" i="2"/>
  <c r="J556" i="2"/>
  <c r="J634" i="2"/>
  <c r="J129" i="2"/>
  <c r="J617" i="2"/>
  <c r="J303" i="2"/>
  <c r="J323" i="2"/>
  <c r="J594" i="2"/>
  <c r="J237" i="2"/>
  <c r="J123" i="2"/>
  <c r="J87" i="2"/>
  <c r="J408" i="2"/>
  <c r="J333" i="2"/>
  <c r="J487" i="2"/>
  <c r="J648" i="2"/>
  <c r="J630" i="2"/>
  <c r="J139" i="2"/>
  <c r="J410" i="2"/>
  <c r="J132" i="2"/>
  <c r="J660" i="2"/>
  <c r="J473" i="2"/>
  <c r="J510" i="2"/>
  <c r="J522" i="2"/>
  <c r="J481" i="2"/>
  <c r="J478" i="2"/>
  <c r="J460" i="2"/>
  <c r="J647" i="2"/>
  <c r="J266" i="2"/>
  <c r="J692" i="2"/>
  <c r="J591" i="2"/>
  <c r="J724" i="2"/>
  <c r="J379" i="2"/>
  <c r="J356" i="2"/>
  <c r="J695" i="2"/>
  <c r="J780" i="2"/>
  <c r="J506" i="2"/>
  <c r="N587" i="2"/>
  <c r="J576" i="2"/>
  <c r="J57" i="2"/>
  <c r="K706" i="2"/>
  <c r="K579" i="2"/>
  <c r="K165" i="2"/>
  <c r="J336" i="2"/>
  <c r="J721" i="2"/>
  <c r="J242" i="2"/>
  <c r="M480" i="2"/>
  <c r="N157" i="2"/>
  <c r="L265" i="2"/>
  <c r="N340" i="2"/>
  <c r="N641" i="2"/>
  <c r="N474" i="2"/>
  <c r="L133" i="2"/>
  <c r="M774" i="2"/>
  <c r="N145" i="2"/>
  <c r="N328" i="2"/>
  <c r="L412" i="2"/>
  <c r="L693" i="2"/>
  <c r="N51" i="2"/>
  <c r="K535" i="2"/>
  <c r="K648" i="2"/>
  <c r="K230" i="2"/>
  <c r="K550" i="2"/>
  <c r="K497" i="2"/>
  <c r="K190" i="2"/>
  <c r="K159" i="2"/>
  <c r="K635" i="2"/>
  <c r="K289" i="2"/>
  <c r="K693" i="2"/>
  <c r="K187" i="2"/>
  <c r="K651" i="2"/>
  <c r="K306" i="2"/>
  <c r="K81" i="2"/>
  <c r="K600" i="2"/>
  <c r="K475" i="2"/>
  <c r="K54" i="2"/>
  <c r="K634" i="2"/>
  <c r="K263" i="2"/>
  <c r="K587" i="2"/>
  <c r="K659" i="2"/>
  <c r="K769" i="2"/>
  <c r="K336" i="2"/>
  <c r="K739" i="2"/>
  <c r="K785" i="2"/>
  <c r="K508" i="2"/>
  <c r="K341" i="2"/>
  <c r="K295" i="2"/>
  <c r="K631" i="2"/>
  <c r="K583" i="2"/>
  <c r="K730" i="2"/>
  <c r="K57" i="2"/>
  <c r="K517" i="2"/>
  <c r="J582" i="2"/>
  <c r="J85" i="2"/>
  <c r="J432" i="2"/>
  <c r="J463" i="2"/>
  <c r="J619" i="2"/>
  <c r="J320" i="2"/>
  <c r="J326" i="2"/>
  <c r="J544" i="2"/>
  <c r="J756" i="2"/>
  <c r="J620" i="2"/>
  <c r="J265" i="2"/>
  <c r="J153" i="2"/>
  <c r="J167" i="2"/>
  <c r="J761" i="2"/>
  <c r="J240" i="2"/>
  <c r="J161" i="2"/>
  <c r="J82" i="2"/>
  <c r="J537" i="2"/>
  <c r="J675" i="2"/>
  <c r="J59" i="2"/>
  <c r="J321" i="2"/>
  <c r="J452" i="2"/>
  <c r="J50" i="2"/>
  <c r="J524" i="2"/>
  <c r="J390" i="2"/>
  <c r="J164" i="2"/>
  <c r="J293" i="2"/>
  <c r="J142" i="2"/>
  <c r="J230" i="2"/>
  <c r="J214" i="2"/>
  <c r="J180" i="2"/>
  <c r="J448" i="2"/>
  <c r="J383" i="2"/>
  <c r="J599" i="2"/>
  <c r="J682" i="2"/>
  <c r="J685" i="2"/>
  <c r="J414" i="2"/>
  <c r="J392" i="2"/>
  <c r="J469" i="2"/>
  <c r="J70" i="2"/>
  <c r="J286" i="2"/>
  <c r="J274" i="2"/>
  <c r="J389" i="2"/>
  <c r="J583" i="2"/>
  <c r="J39" i="2"/>
  <c r="J121" i="2"/>
  <c r="J520" i="2"/>
  <c r="J112" i="2"/>
  <c r="M516" i="2"/>
  <c r="K204" i="2"/>
  <c r="J221" i="2"/>
  <c r="M673" i="2"/>
  <c r="K288" i="2"/>
  <c r="K524" i="2"/>
  <c r="J92" i="2"/>
  <c r="J299" i="2"/>
  <c r="J717" i="2"/>
  <c r="J106" i="2"/>
  <c r="N211" i="2"/>
  <c r="N507" i="2"/>
  <c r="L164" i="2"/>
  <c r="M404" i="2"/>
  <c r="M684" i="2"/>
  <c r="M217" i="2"/>
  <c r="M504" i="2"/>
  <c r="M779" i="2"/>
  <c r="L557" i="2"/>
  <c r="L45" i="2"/>
  <c r="M690" i="2"/>
  <c r="N742" i="2"/>
  <c r="L49" i="2"/>
  <c r="K713" i="2"/>
  <c r="K569" i="2"/>
  <c r="K449" i="2"/>
  <c r="K585" i="2"/>
  <c r="K784" i="2"/>
  <c r="K221" i="2"/>
  <c r="K483" i="2"/>
  <c r="K86" i="2"/>
  <c r="K352" i="2"/>
  <c r="K424" i="2"/>
  <c r="K556" i="2"/>
  <c r="K616" i="2"/>
  <c r="K388" i="2"/>
  <c r="K432" i="2"/>
  <c r="K679" i="2"/>
  <c r="K213" i="2"/>
  <c r="K503" i="2"/>
  <c r="K644" i="2"/>
  <c r="K455" i="2"/>
  <c r="K305" i="2"/>
  <c r="K160" i="2"/>
  <c r="K205" i="2"/>
  <c r="K435" i="2"/>
  <c r="K444" i="2"/>
  <c r="K488" i="2"/>
  <c r="K532" i="2"/>
  <c r="K609" i="2"/>
  <c r="K265" i="2"/>
  <c r="K515" i="2"/>
  <c r="K186" i="2"/>
  <c r="K225" i="2"/>
  <c r="K281" i="2"/>
  <c r="K733" i="2"/>
  <c r="J179" i="2"/>
  <c r="J787" i="2"/>
  <c r="J439" i="2"/>
  <c r="J440" i="2"/>
  <c r="J69" i="2"/>
  <c r="J655" i="2"/>
  <c r="J233" i="2"/>
  <c r="J120" i="2"/>
  <c r="J674" i="2"/>
  <c r="J206" i="2"/>
  <c r="J130" i="2"/>
  <c r="J748" i="2"/>
  <c r="J43" i="2"/>
  <c r="J511" i="2"/>
  <c r="J616" i="2"/>
  <c r="J268" i="2"/>
  <c r="J631" i="2"/>
  <c r="J622" i="2"/>
  <c r="J490" i="2"/>
  <c r="J736" i="2"/>
  <c r="J516" i="2"/>
  <c r="J446" i="2"/>
  <c r="J199" i="2"/>
  <c r="J465" i="2"/>
  <c r="J449" i="2"/>
  <c r="J269" i="2"/>
  <c r="J412" i="2"/>
  <c r="J84" i="2"/>
  <c r="J371" i="2"/>
  <c r="J565" i="2"/>
  <c r="J280" i="2"/>
  <c r="J349" i="2"/>
  <c r="J56" i="2"/>
  <c r="J438" i="2"/>
  <c r="J204" i="2"/>
  <c r="J288" i="2"/>
  <c r="J259" i="2"/>
  <c r="J744" i="2"/>
  <c r="J679" i="2"/>
  <c r="J258" i="2"/>
  <c r="J316" i="2"/>
  <c r="J426" i="2"/>
  <c r="J613" i="2"/>
  <c r="J517" i="2"/>
  <c r="J419" i="2"/>
  <c r="J574" i="2"/>
  <c r="J568" i="2"/>
  <c r="J767" i="2"/>
  <c r="J148" i="2"/>
  <c r="J635" i="2"/>
  <c r="J195" i="2"/>
  <c r="J567" i="2"/>
  <c r="J152" i="2"/>
  <c r="J305" i="2"/>
  <c r="J281" i="2"/>
  <c r="L773" i="2"/>
  <c r="K359" i="2"/>
  <c r="K722" i="2"/>
  <c r="J357" i="2"/>
  <c r="J309" i="2"/>
  <c r="J271" i="2"/>
  <c r="J681" i="2"/>
  <c r="J417" i="2"/>
  <c r="J709" i="2"/>
  <c r="J536" i="2"/>
  <c r="M352" i="2"/>
  <c r="K96" i="2"/>
  <c r="K426" i="2"/>
  <c r="J592" i="2"/>
  <c r="J341" i="2"/>
  <c r="J107" i="2"/>
  <c r="M189" i="2"/>
  <c r="N220" i="2"/>
  <c r="L301" i="2"/>
  <c r="M553" i="2"/>
  <c r="N246" i="2"/>
  <c r="M593" i="2"/>
  <c r="N206" i="2"/>
  <c r="M112" i="2"/>
  <c r="N713" i="2"/>
  <c r="L42" i="2"/>
  <c r="M342" i="2"/>
  <c r="M446" i="2"/>
  <c r="N289" i="2"/>
  <c r="K330" i="2"/>
  <c r="K161" i="2"/>
  <c r="K427" i="2"/>
  <c r="K325" i="2"/>
  <c r="K71" i="2"/>
  <c r="K253" i="2"/>
  <c r="K740" i="2"/>
  <c r="K188" i="2"/>
  <c r="K209" i="2"/>
  <c r="K445" i="2"/>
  <c r="K665" i="2"/>
  <c r="K675" i="2"/>
  <c r="K115" i="2"/>
  <c r="K440" i="2"/>
  <c r="K337" i="2"/>
  <c r="K481" i="2"/>
  <c r="K564" i="2"/>
  <c r="K513" i="2"/>
  <c r="K603" i="2"/>
  <c r="K59" i="2"/>
  <c r="K657" i="2"/>
  <c r="K236" i="2"/>
  <c r="K367" i="2"/>
  <c r="K729" i="2"/>
  <c r="K495" i="2"/>
  <c r="K610" i="2"/>
  <c r="K547" i="2"/>
  <c r="K572" i="2"/>
  <c r="K403" i="2"/>
  <c r="K148" i="2"/>
  <c r="K176" i="2"/>
  <c r="K654" i="2"/>
  <c r="K570" i="2"/>
  <c r="J482" i="2"/>
  <c r="J610" i="2"/>
  <c r="J338" i="2"/>
  <c r="J225" i="2"/>
  <c r="J666" i="2"/>
  <c r="J541" i="2"/>
  <c r="J331" i="2"/>
  <c r="J300" i="2"/>
  <c r="J77" i="2"/>
  <c r="J115" i="2"/>
  <c r="J645" i="2"/>
  <c r="J212" i="2"/>
  <c r="J549" i="2"/>
  <c r="J735" i="2"/>
  <c r="J479" i="2"/>
  <c r="J434" i="2"/>
  <c r="J96" i="2"/>
  <c r="J654" i="2"/>
  <c r="J151" i="2"/>
  <c r="J646" i="2"/>
  <c r="J358" i="2"/>
  <c r="J189" i="2"/>
  <c r="J366" i="2"/>
  <c r="J425" i="2"/>
  <c r="J503" i="2"/>
  <c r="J94" i="2"/>
  <c r="J508" i="2"/>
  <c r="J270" i="2"/>
  <c r="J569" i="2"/>
  <c r="J611" i="2"/>
  <c r="J363" i="2"/>
  <c r="J651" i="2"/>
  <c r="J41" i="2"/>
  <c r="J98" i="2"/>
  <c r="J396" i="2"/>
  <c r="J663" i="2"/>
  <c r="J176" i="2"/>
  <c r="J638" i="2"/>
  <c r="J337" i="2"/>
  <c r="J239" i="2"/>
  <c r="J257" i="2"/>
  <c r="J51" i="2"/>
  <c r="J252" i="2"/>
  <c r="J728" i="2"/>
  <c r="J311" i="2"/>
  <c r="J555" i="2"/>
  <c r="J217" i="2"/>
  <c r="J447" i="2"/>
  <c r="J297" i="2"/>
  <c r="J260" i="2"/>
  <c r="J752" i="2"/>
  <c r="J368" i="2"/>
  <c r="J471" i="2"/>
  <c r="J315" i="2"/>
  <c r="J498" i="2"/>
  <c r="M408" i="2"/>
  <c r="J542" i="2"/>
  <c r="L359" i="2"/>
  <c r="K87" i="2"/>
  <c r="J211" i="2"/>
  <c r="J340" i="2"/>
  <c r="J518" i="2"/>
  <c r="J493" i="2"/>
  <c r="M133" i="2"/>
  <c r="N126" i="2"/>
  <c r="L316" i="2"/>
  <c r="L468" i="2"/>
  <c r="M427" i="2"/>
  <c r="N707" i="2"/>
  <c r="N700" i="2"/>
  <c r="M104" i="2"/>
  <c r="N646" i="2"/>
  <c r="N81" i="2"/>
  <c r="L763" i="2"/>
  <c r="M767" i="2"/>
  <c r="M676" i="2"/>
  <c r="K422" i="2"/>
  <c r="K56" i="2"/>
  <c r="K684" i="2"/>
  <c r="K692" i="2"/>
  <c r="K323" i="2"/>
  <c r="K630" i="2"/>
  <c r="K250" i="2"/>
  <c r="K418" i="2"/>
  <c r="K485" i="2"/>
  <c r="K516" i="2"/>
  <c r="K193" i="2"/>
  <c r="K744" i="2"/>
  <c r="K551" i="2"/>
  <c r="K308" i="2"/>
  <c r="K608" i="2"/>
  <c r="K717" i="2"/>
  <c r="K470" i="2"/>
  <c r="K45" i="2"/>
  <c r="K780" i="2"/>
  <c r="K425" i="2"/>
  <c r="K776" i="2"/>
  <c r="K667" i="2"/>
  <c r="K128" i="2"/>
  <c r="K499" i="2"/>
  <c r="K676" i="2"/>
  <c r="K347" i="2"/>
  <c r="K401" i="2"/>
  <c r="K43" i="2"/>
  <c r="K423" i="2"/>
  <c r="K200" i="2"/>
  <c r="K561" i="2"/>
  <c r="K617" i="2"/>
  <c r="K765" i="2"/>
  <c r="J691" i="2"/>
  <c r="J697" i="2"/>
  <c r="J146" i="2"/>
  <c r="J284" i="2"/>
  <c r="J52" i="2"/>
  <c r="J665" i="2"/>
  <c r="J435" i="2"/>
  <c r="J131" i="2"/>
  <c r="J458" i="2"/>
  <c r="J450" i="2"/>
  <c r="J73" i="2"/>
  <c r="J137" i="2"/>
  <c r="J99" i="2"/>
  <c r="J278" i="2"/>
  <c r="J71" i="2"/>
  <c r="J62" i="2"/>
  <c r="J202" i="2"/>
  <c r="J743" i="2"/>
  <c r="J658" i="2"/>
  <c r="J489" i="2"/>
  <c r="J548" i="2"/>
  <c r="J529" i="2"/>
  <c r="J162" i="2"/>
  <c r="J285" i="2"/>
  <c r="J456" i="2"/>
  <c r="J639" i="2"/>
  <c r="J734" i="2"/>
  <c r="J715" i="2"/>
  <c r="J406" i="2"/>
  <c r="J564" i="2"/>
  <c r="J579" i="2"/>
  <c r="J215" i="2"/>
  <c r="J557" i="2"/>
  <c r="J185" i="2"/>
  <c r="J210" i="2"/>
  <c r="J66" i="2"/>
  <c r="J644" i="2"/>
  <c r="J385" i="2"/>
  <c r="J409" i="2"/>
  <c r="J702" i="2"/>
  <c r="J455" i="2"/>
  <c r="J689" i="2"/>
  <c r="J590" i="2"/>
  <c r="M600" i="2"/>
  <c r="K563" i="2"/>
  <c r="J667" i="2"/>
  <c r="N674" i="2"/>
  <c r="K177" i="2"/>
  <c r="K283" i="2"/>
  <c r="J216" i="2"/>
  <c r="J318" i="2"/>
  <c r="J127" i="2"/>
  <c r="J751" i="2"/>
  <c r="J251" i="2"/>
  <c r="N209" i="2"/>
  <c r="N590" i="2"/>
  <c r="N382" i="2"/>
  <c r="M718" i="2"/>
  <c r="L203" i="2"/>
  <c r="L617" i="2"/>
  <c r="M745" i="2"/>
  <c r="M313" i="2"/>
  <c r="M428" i="2"/>
  <c r="L329" i="2"/>
  <c r="M557" i="2"/>
  <c r="L94" i="2"/>
  <c r="K41" i="2"/>
  <c r="K216" i="2"/>
  <c r="K756" i="2"/>
  <c r="K658" i="2"/>
  <c r="K690" i="2"/>
  <c r="K223" i="2"/>
  <c r="K451" i="2"/>
  <c r="K681" i="2"/>
  <c r="K573" i="2"/>
  <c r="K511" i="2"/>
  <c r="K467" i="2"/>
  <c r="K286" i="2"/>
  <c r="K568" i="2"/>
  <c r="K506" i="2"/>
  <c r="K360" i="2"/>
  <c r="K381" i="2"/>
  <c r="K454" i="2"/>
  <c r="K292" i="2"/>
  <c r="K492" i="2"/>
  <c r="K429" i="2"/>
  <c r="K203" i="2"/>
  <c r="K316" i="2"/>
  <c r="K747" i="2"/>
  <c r="K786" i="2"/>
  <c r="K411" i="2"/>
  <c r="K705" i="2"/>
  <c r="K522" i="2"/>
  <c r="K746" i="2"/>
  <c r="K760" i="2"/>
  <c r="K626" i="2"/>
  <c r="K91" i="2"/>
  <c r="K238" i="2"/>
  <c r="K571" i="2"/>
  <c r="K389" i="2"/>
  <c r="J445" i="2"/>
  <c r="J234" i="2"/>
  <c r="J609" i="2"/>
  <c r="J213" i="2"/>
  <c r="J605" i="2"/>
  <c r="J607" i="2"/>
  <c r="J119" i="2"/>
  <c r="J587" i="2"/>
  <c r="J703" i="2"/>
  <c r="J118" i="2"/>
  <c r="J168" i="2"/>
  <c r="J295" i="2"/>
  <c r="J783" i="2"/>
  <c r="J256" i="2"/>
  <c r="J716" i="2"/>
  <c r="J304" i="2"/>
  <c r="J768" i="2"/>
  <c r="J585" i="2"/>
  <c r="J737" i="2"/>
  <c r="J755" i="2"/>
  <c r="J158" i="2"/>
  <c r="J64" i="2"/>
  <c r="J60" i="2"/>
  <c r="J533" i="2"/>
  <c r="J277" i="2"/>
  <c r="J649" i="2"/>
  <c r="J729" i="2"/>
  <c r="J346" i="2"/>
  <c r="J711" i="2"/>
  <c r="J157" i="2"/>
  <c r="J42" i="2"/>
  <c r="J669" i="2"/>
  <c r="J182" i="2"/>
  <c r="J397" i="2"/>
  <c r="J313" i="2"/>
  <c r="J88" i="2"/>
  <c r="J765" i="2"/>
  <c r="J779" i="2"/>
  <c r="J267" i="2"/>
  <c r="J699" i="2"/>
  <c r="J322" i="2"/>
  <c r="J462" i="2"/>
  <c r="J317" i="2"/>
  <c r="J401" i="2"/>
  <c r="J291" i="2"/>
  <c r="J652" i="2"/>
  <c r="J552" i="2"/>
  <c r="J104" i="2"/>
  <c r="J398" i="2"/>
  <c r="J236" i="2"/>
  <c r="J733" i="2"/>
  <c r="J209" i="2"/>
  <c r="J467" i="2"/>
  <c r="L56" i="2"/>
  <c r="J678" i="2"/>
  <c r="M786" i="2"/>
  <c r="K329" i="2"/>
  <c r="K398" i="2"/>
  <c r="J143" i="2"/>
  <c r="J126" i="2"/>
  <c r="N232" i="2"/>
  <c r="L441" i="2"/>
  <c r="N688" i="2"/>
  <c r="N374" i="2"/>
  <c r="L715" i="2"/>
  <c r="N771" i="2"/>
  <c r="M781" i="2"/>
  <c r="L613" i="2"/>
  <c r="N533" i="2"/>
  <c r="N610" i="2"/>
  <c r="L616" i="2"/>
  <c r="L39" i="2"/>
  <c r="K244" i="2"/>
  <c r="K62" i="2"/>
  <c r="K715" i="2"/>
  <c r="K606" i="2"/>
  <c r="K736" i="2"/>
  <c r="K355" i="2"/>
  <c r="K353" i="2"/>
  <c r="K70" i="2"/>
  <c r="K408" i="2"/>
  <c r="K598" i="2"/>
  <c r="K660" i="2"/>
  <c r="K333" i="2"/>
  <c r="K174" i="2"/>
  <c r="K39" i="2"/>
  <c r="K763" i="2"/>
  <c r="K519" i="2"/>
  <c r="K548" i="2"/>
  <c r="K682" i="2"/>
  <c r="K226" i="2"/>
  <c r="K639" i="2"/>
  <c r="K558" i="2"/>
  <c r="K254" i="2"/>
  <c r="K113" i="2"/>
  <c r="K242" i="2"/>
  <c r="K712" i="2"/>
  <c r="K642" i="2"/>
  <c r="K79" i="2"/>
  <c r="K384" i="2"/>
  <c r="K170" i="2"/>
  <c r="K732" i="2"/>
  <c r="K614" i="2"/>
  <c r="K574" i="2"/>
  <c r="K75" i="2"/>
  <c r="K202" i="2"/>
  <c r="J413" i="2"/>
  <c r="J133" i="2"/>
  <c r="J48" i="2"/>
  <c r="J754" i="2"/>
  <c r="J484" i="2"/>
  <c r="J436" i="2"/>
  <c r="J116" i="2"/>
  <c r="J380" i="2"/>
  <c r="J593" i="2"/>
  <c r="J773" i="2"/>
  <c r="J589" i="2"/>
  <c r="J228" i="2"/>
  <c r="J633" i="2"/>
  <c r="J250" i="2"/>
  <c r="J531" i="2"/>
  <c r="J758" i="2"/>
  <c r="J614" i="2"/>
  <c r="J422" i="2"/>
  <c r="J642" i="2"/>
  <c r="J76" i="2"/>
  <c r="J546" i="2"/>
  <c r="J535" i="2"/>
  <c r="J624" i="2"/>
  <c r="J723" i="2"/>
  <c r="J749" i="2"/>
  <c r="J197" i="2"/>
  <c r="J753" i="2"/>
  <c r="J713" i="2"/>
  <c r="J625" i="2"/>
  <c r="J229" i="2"/>
  <c r="J538" i="2"/>
  <c r="J657" i="2"/>
  <c r="J680" i="2"/>
  <c r="J307" i="2"/>
  <c r="J608" i="2"/>
  <c r="J308" i="2"/>
  <c r="J760" i="2"/>
  <c r="J352" i="2"/>
  <c r="J382" i="2"/>
  <c r="J404" i="2"/>
  <c r="J68" i="2"/>
  <c r="J604" i="2"/>
  <c r="J220" i="2"/>
  <c r="J387" i="2"/>
  <c r="J690" i="2"/>
  <c r="M503" i="2"/>
  <c r="K404" i="2"/>
  <c r="J451" i="2"/>
  <c r="J391" i="2"/>
  <c r="J492" i="2"/>
  <c r="L321" i="2"/>
  <c r="K298" i="2"/>
  <c r="K694" i="2"/>
  <c r="K514" i="2"/>
  <c r="K566" i="2"/>
  <c r="J255" i="2"/>
  <c r="J597" i="2"/>
  <c r="J205" i="2"/>
  <c r="J384" i="2"/>
  <c r="L317" i="2"/>
  <c r="M260" i="2"/>
  <c r="L300" i="2"/>
  <c r="N365" i="2"/>
  <c r="L255" i="2"/>
  <c r="L600" i="2"/>
  <c r="M315" i="2"/>
  <c r="L784" i="2"/>
  <c r="M65" i="2"/>
  <c r="M607" i="2"/>
  <c r="M499" i="2"/>
  <c r="L67" i="2"/>
  <c r="K498" i="2"/>
  <c r="K210" i="2"/>
  <c r="K638" i="2"/>
  <c r="K395" i="2"/>
  <c r="K777" i="2"/>
  <c r="K163" i="2"/>
  <c r="K119" i="2"/>
  <c r="K93" i="2"/>
  <c r="K400" i="2"/>
  <c r="K471" i="2"/>
  <c r="K162" i="2"/>
  <c r="K613" i="2"/>
  <c r="K590" i="2"/>
  <c r="K652" i="2"/>
  <c r="K361" i="2"/>
  <c r="K490" i="2"/>
  <c r="K597" i="2"/>
  <c r="K346" i="2"/>
  <c r="K431" i="2"/>
  <c r="K773" i="2"/>
  <c r="K688" i="2"/>
  <c r="K781" i="2"/>
  <c r="K779" i="2"/>
  <c r="K215" i="2"/>
  <c r="K237" i="2"/>
  <c r="K745" i="2"/>
  <c r="K275" i="2"/>
  <c r="K540" i="2"/>
  <c r="K167" i="2"/>
  <c r="K542" i="2"/>
  <c r="K48" i="2"/>
  <c r="K151" i="2"/>
  <c r="K374" i="2"/>
  <c r="K402" i="2"/>
  <c r="J172" i="2"/>
  <c r="J437" i="2"/>
  <c r="J186" i="2"/>
  <c r="J623" i="2"/>
  <c r="J442" i="2"/>
  <c r="J505" i="2"/>
  <c r="J276" i="2"/>
  <c r="J423" i="2"/>
  <c r="J741" i="2"/>
  <c r="J362" i="2"/>
  <c r="J727" i="2"/>
  <c r="J643" i="2"/>
  <c r="J207" i="2"/>
  <c r="J710" i="2"/>
  <c r="N186" i="2"/>
  <c r="N241" i="2"/>
  <c r="L314" i="2"/>
  <c r="M338" i="2"/>
  <c r="M677" i="2"/>
  <c r="M406" i="2"/>
  <c r="M510" i="2"/>
  <c r="N278" i="2"/>
  <c r="N107" i="2"/>
  <c r="L620" i="2"/>
  <c r="M716" i="2"/>
  <c r="L48" i="2"/>
  <c r="K365" i="2"/>
  <c r="K544" i="2"/>
  <c r="K256" i="2"/>
  <c r="K173" i="2"/>
  <c r="K443" i="2"/>
  <c r="K328" i="2"/>
  <c r="K487" i="2"/>
  <c r="K46" i="2"/>
  <c r="K473" i="2"/>
  <c r="K782" i="2"/>
  <c r="K245" i="2"/>
  <c r="K153" i="2"/>
  <c r="K689" i="2"/>
  <c r="K396" i="2"/>
  <c r="K302" i="2"/>
  <c r="K357" i="2"/>
  <c r="K184" i="2"/>
  <c r="K58" i="2"/>
  <c r="K164" i="2"/>
  <c r="K761" i="2"/>
  <c r="K645" i="2"/>
  <c r="K90" i="2"/>
  <c r="K212" i="2"/>
  <c r="K320" i="2"/>
  <c r="K199" i="2"/>
  <c r="K344" i="2"/>
  <c r="K95" i="2"/>
  <c r="K377" i="2"/>
  <c r="K266" i="2"/>
  <c r="K770" i="2"/>
  <c r="K527" i="2"/>
  <c r="K557" i="2"/>
  <c r="K716" i="2"/>
  <c r="K533" i="2"/>
  <c r="J688" i="2"/>
  <c r="J178" i="2"/>
  <c r="J545" i="2"/>
  <c r="J757" i="2"/>
  <c r="J319" i="2"/>
  <c r="J138" i="2"/>
  <c r="J364" i="2"/>
  <c r="J347" i="2"/>
  <c r="J108" i="2"/>
  <c r="J769" i="2"/>
  <c r="J310" i="2"/>
  <c r="J292" i="2"/>
  <c r="J683" i="2"/>
  <c r="J93" i="2"/>
  <c r="J144" i="2"/>
  <c r="J525" i="2"/>
  <c r="J296" i="2"/>
  <c r="J718" i="2"/>
  <c r="J629" i="2"/>
  <c r="J759" i="2"/>
  <c r="J521" i="2"/>
  <c r="J201" i="2"/>
  <c r="J381" i="2"/>
  <c r="J578" i="2"/>
  <c r="J169" i="2"/>
  <c r="J513" i="2"/>
  <c r="J474" i="2"/>
  <c r="J125" i="2"/>
  <c r="J560" i="2"/>
  <c r="J184" i="2"/>
  <c r="J353" i="2"/>
  <c r="J354" i="2"/>
  <c r="J562" i="2"/>
  <c r="J778" i="2"/>
  <c r="J514" i="2"/>
  <c r="J136" i="2"/>
  <c r="J301" i="2"/>
  <c r="J156" i="2"/>
  <c r="J677" i="2"/>
  <c r="J573" i="2"/>
  <c r="J306" i="2"/>
  <c r="J575" i="2"/>
  <c r="J673" i="2"/>
  <c r="J232" i="2"/>
  <c r="J124" i="2"/>
  <c r="J90" i="2"/>
  <c r="J596" i="2"/>
  <c r="J272" i="2"/>
  <c r="J656" i="2"/>
  <c r="J540" i="2"/>
  <c r="J480" i="2"/>
  <c r="M327" i="2"/>
  <c r="K714" i="2"/>
  <c r="K154" i="2"/>
  <c r="K534" i="2"/>
  <c r="K85" i="2"/>
  <c r="J559" i="2"/>
  <c r="J359" i="2"/>
  <c r="J686" i="2"/>
  <c r="J788" i="2"/>
  <c r="J775" i="2"/>
  <c r="J47" i="2"/>
  <c r="N556" i="2"/>
  <c r="K172" i="2"/>
  <c r="K697" i="2"/>
  <c r="K433" i="2"/>
  <c r="J684" i="2"/>
  <c r="J80" i="2"/>
  <c r="J507" i="2"/>
  <c r="M161" i="2"/>
  <c r="L311" i="2"/>
  <c r="L698" i="2"/>
  <c r="M692" i="2"/>
  <c r="N749" i="2"/>
  <c r="N755" i="2"/>
  <c r="L477" i="2"/>
  <c r="L186" i="2"/>
  <c r="L549" i="2"/>
  <c r="M708" i="2"/>
  <c r="N87" i="2"/>
  <c r="N75" i="2"/>
  <c r="K469" i="2"/>
  <c r="K549" i="2"/>
  <c r="K380" i="2"/>
  <c r="K621" i="2"/>
  <c r="K55" i="2"/>
  <c r="K727" i="2"/>
  <c r="K723" i="2"/>
  <c r="K618" i="2"/>
  <c r="K61" i="2"/>
  <c r="K76" i="2"/>
  <c r="K269" i="2"/>
  <c r="K264" i="2"/>
  <c r="K531" i="2"/>
  <c r="K366" i="2"/>
  <c r="K640" i="2"/>
  <c r="K591" i="2"/>
  <c r="K434" i="2"/>
  <c r="K446" i="2"/>
  <c r="K759" i="2"/>
  <c r="K457" i="2"/>
  <c r="K134" i="2"/>
  <c r="K725" i="2"/>
  <c r="K362" i="2"/>
  <c r="K622" i="2"/>
  <c r="K122" i="2"/>
  <c r="K105" i="2"/>
  <c r="K132" i="2"/>
  <c r="K47" i="2"/>
  <c r="K82" i="2"/>
  <c r="K273" i="2"/>
  <c r="K721" i="2"/>
  <c r="K452" i="2"/>
  <c r="K704" i="2"/>
  <c r="K207" i="2"/>
  <c r="J218" i="2"/>
  <c r="J370" i="2"/>
  <c r="J203" i="2"/>
  <c r="J705" i="2"/>
  <c r="J312" i="2"/>
  <c r="J261" i="2"/>
  <c r="J191" i="2"/>
  <c r="J621" i="2"/>
  <c r="J515" i="2"/>
  <c r="J628" i="2"/>
  <c r="J40" i="2"/>
  <c r="J571" i="2"/>
  <c r="J495" i="2"/>
  <c r="J618" i="2"/>
  <c r="J188" i="2"/>
  <c r="J102" i="2"/>
  <c r="J386" i="2"/>
  <c r="J747" i="2"/>
  <c r="J198" i="2"/>
  <c r="J700" i="2"/>
  <c r="J372" i="2"/>
  <c r="J262" i="2"/>
  <c r="J470" i="2"/>
  <c r="J459" i="2"/>
  <c r="J46" i="2"/>
  <c r="J453" i="2"/>
  <c r="J249" i="2"/>
  <c r="J454" i="2"/>
  <c r="J263" i="2"/>
  <c r="J279" i="2"/>
  <c r="J282" i="2"/>
  <c r="J53" i="2"/>
  <c r="J539" i="2"/>
  <c r="J485" i="2"/>
  <c r="J330" i="2"/>
  <c r="J785" i="2"/>
  <c r="J784" i="2"/>
  <c r="J637" i="2"/>
  <c r="J664" i="2"/>
  <c r="J183" i="2"/>
  <c r="J72" i="2"/>
  <c r="J586" i="2"/>
  <c r="J343" i="2"/>
  <c r="N487" i="2"/>
  <c r="K758" i="2"/>
  <c r="K106" i="2"/>
  <c r="K235" i="2"/>
  <c r="K530" i="2"/>
  <c r="K421" i="2"/>
  <c r="K554" i="2"/>
  <c r="K484" i="2"/>
  <c r="K51" i="2"/>
  <c r="K88" i="2"/>
  <c r="K317" i="2"/>
  <c r="K701" i="2"/>
  <c r="K126" i="2"/>
  <c r="K619" i="2"/>
  <c r="K393" i="2"/>
  <c r="J223" i="2"/>
  <c r="J58" i="2"/>
  <c r="J742" i="2"/>
  <c r="J361" i="2"/>
  <c r="J159" i="2"/>
  <c r="J704" i="2"/>
  <c r="J227" i="2"/>
  <c r="L283" i="2"/>
  <c r="K372" i="2"/>
  <c r="K543" i="2"/>
  <c r="K100" i="2"/>
  <c r="K268" i="2"/>
  <c r="K181" i="2"/>
  <c r="J532" i="2"/>
  <c r="J750" i="2"/>
  <c r="J746" i="2"/>
  <c r="J187" i="2"/>
  <c r="J603" i="2"/>
  <c r="N121" i="2"/>
  <c r="L161" i="2"/>
  <c r="L216" i="2"/>
  <c r="L315" i="2"/>
  <c r="M700" i="2"/>
  <c r="M194" i="2"/>
  <c r="N393" i="2"/>
  <c r="N709" i="2"/>
  <c r="N620" i="2"/>
  <c r="N513" i="2"/>
  <c r="M113" i="2"/>
  <c r="M63" i="2"/>
  <c r="K155" i="2"/>
  <c r="K386" i="2"/>
  <c r="K456" i="2"/>
  <c r="K294" i="2"/>
  <c r="K65" i="2"/>
  <c r="K272" i="2"/>
  <c r="K183" i="2"/>
  <c r="K450" i="2"/>
  <c r="K157" i="2"/>
  <c r="K189" i="2"/>
  <c r="K774" i="2"/>
  <c r="K636" i="2"/>
  <c r="K383" i="2"/>
  <c r="K185" i="2"/>
  <c r="K206" i="2"/>
  <c r="K523" i="2"/>
  <c r="K755" i="2"/>
  <c r="K114" i="2"/>
  <c r="K754" i="2"/>
  <c r="K191" i="2"/>
  <c r="K133" i="2"/>
  <c r="K472" i="2"/>
  <c r="K670" i="2"/>
  <c r="K112" i="2"/>
  <c r="K656" i="2"/>
  <c r="K92" i="2"/>
  <c r="K655" i="2"/>
  <c r="K127" i="2"/>
  <c r="K757" i="2"/>
  <c r="K562" i="2"/>
  <c r="K131" i="2"/>
  <c r="K64" i="2"/>
  <c r="K553" i="2"/>
  <c r="K567" i="2"/>
  <c r="J563" i="2"/>
  <c r="J400" i="2"/>
  <c r="J325" i="2"/>
  <c r="J103" i="2"/>
  <c r="J740" i="2"/>
  <c r="J418" i="2"/>
  <c r="J190" i="2"/>
  <c r="J561" i="2"/>
  <c r="J444" i="2"/>
  <c r="J110" i="2"/>
  <c r="J154" i="2"/>
  <c r="J253" i="2"/>
  <c r="J475" i="2"/>
  <c r="J461" i="2"/>
  <c r="J405" i="2"/>
  <c r="J394" i="2"/>
  <c r="J135" i="2"/>
  <c r="J238" i="2"/>
  <c r="J273" i="2"/>
  <c r="J166" i="2"/>
  <c r="J194" i="2"/>
  <c r="J430" i="2"/>
  <c r="J97" i="2"/>
  <c r="J782" i="2"/>
  <c r="J243" i="2"/>
  <c r="J553" i="2"/>
  <c r="J428" i="2"/>
  <c r="J81" i="2"/>
  <c r="J598" i="2"/>
  <c r="J332" i="2"/>
  <c r="J254" i="2"/>
  <c r="J264" i="2"/>
  <c r="J732" i="2"/>
  <c r="J302" i="2"/>
  <c r="J128" i="2"/>
  <c r="J141" i="2"/>
  <c r="J483" i="2"/>
  <c r="J494" i="2"/>
  <c r="J334" i="2"/>
  <c r="J502" i="2"/>
  <c r="J226" i="2"/>
  <c r="J602" i="2"/>
  <c r="J701" i="2"/>
  <c r="J696" i="2"/>
  <c r="J377" i="2"/>
  <c r="J551" i="2"/>
  <c r="J443" i="2"/>
  <c r="L758" i="2"/>
  <c r="K669" i="2"/>
  <c r="K107" i="2"/>
  <c r="K447" i="2"/>
  <c r="K771" i="2"/>
  <c r="K641" i="2"/>
  <c r="K668" i="2"/>
  <c r="J91" i="2"/>
  <c r="J719" i="2"/>
  <c r="J113" i="2"/>
  <c r="J477" i="2"/>
  <c r="J606" i="2"/>
  <c r="J670" i="2"/>
  <c r="J181" i="2"/>
  <c r="N485" i="2"/>
  <c r="K601" i="2"/>
  <c r="K695" i="2"/>
  <c r="J739" i="2"/>
  <c r="J89" i="2"/>
  <c r="J65" i="2"/>
  <c r="P65" i="2" l="1"/>
  <c r="P89" i="2"/>
  <c r="P739" i="2"/>
  <c r="Q695" i="2"/>
  <c r="Q601" i="2"/>
  <c r="T485" i="2"/>
  <c r="P181" i="2"/>
  <c r="P670" i="2"/>
  <c r="P606" i="2"/>
  <c r="P477" i="2"/>
  <c r="P113" i="2"/>
  <c r="P719" i="2"/>
  <c r="P91" i="2"/>
  <c r="Q668" i="2"/>
  <c r="Q641" i="2"/>
  <c r="Q771" i="2"/>
  <c r="Q447" i="2"/>
  <c r="Q107" i="2"/>
  <c r="Q669" i="2"/>
  <c r="R758" i="2"/>
  <c r="P443" i="2"/>
  <c r="P551" i="2"/>
  <c r="P377" i="2"/>
  <c r="P696" i="2"/>
  <c r="P701" i="2"/>
  <c r="P602" i="2"/>
  <c r="P226" i="2"/>
  <c r="P502" i="2"/>
  <c r="P334" i="2"/>
  <c r="P494" i="2"/>
  <c r="P483" i="2"/>
  <c r="P141" i="2"/>
  <c r="P128" i="2"/>
  <c r="P302" i="2"/>
  <c r="P732" i="2"/>
  <c r="P264" i="2"/>
  <c r="P254" i="2"/>
  <c r="P332" i="2"/>
  <c r="P598" i="2"/>
  <c r="P81" i="2"/>
  <c r="P428" i="2"/>
  <c r="P553" i="2"/>
  <c r="P243" i="2"/>
  <c r="P782" i="2"/>
  <c r="P97" i="2"/>
  <c r="P430" i="2"/>
  <c r="P194" i="2"/>
  <c r="P166" i="2"/>
  <c r="P273" i="2"/>
  <c r="P238" i="2"/>
  <c r="P135" i="2"/>
  <c r="P394" i="2"/>
  <c r="P405" i="2"/>
  <c r="P461" i="2"/>
  <c r="P475" i="2"/>
  <c r="P253" i="2"/>
  <c r="P154" i="2"/>
  <c r="P110" i="2"/>
  <c r="P444" i="2"/>
  <c r="P561" i="2"/>
  <c r="P190" i="2"/>
  <c r="P418" i="2"/>
  <c r="P740" i="2"/>
  <c r="P103" i="2"/>
  <c r="P325" i="2"/>
  <c r="P400" i="2"/>
  <c r="P563" i="2"/>
  <c r="Q567" i="2"/>
  <c r="Q553" i="2"/>
  <c r="Q64" i="2"/>
  <c r="Q131" i="2"/>
  <c r="Q562" i="2"/>
  <c r="Q757" i="2"/>
  <c r="Q127" i="2"/>
  <c r="Q655" i="2"/>
  <c r="Q92" i="2"/>
  <c r="Q656" i="2"/>
  <c r="Q112" i="2"/>
  <c r="Q670" i="2"/>
  <c r="Q472" i="2"/>
  <c r="Q133" i="2"/>
  <c r="Q191" i="2"/>
  <c r="Q754" i="2"/>
  <c r="Q114" i="2"/>
  <c r="Q755" i="2"/>
  <c r="Q523" i="2"/>
  <c r="Q206" i="2"/>
  <c r="Q185" i="2"/>
  <c r="Q383" i="2"/>
  <c r="Q636" i="2"/>
  <c r="Q774" i="2"/>
  <c r="Q189" i="2"/>
  <c r="Q157" i="2"/>
  <c r="Q450" i="2"/>
  <c r="Q183" i="2"/>
  <c r="Q272" i="2"/>
  <c r="Q65" i="2"/>
  <c r="Q294" i="2"/>
  <c r="Q456" i="2"/>
  <c r="Q386" i="2"/>
  <c r="Q155" i="2"/>
  <c r="S63" i="2"/>
  <c r="S113" i="2"/>
  <c r="T513" i="2"/>
  <c r="T620" i="2"/>
  <c r="T709" i="2"/>
  <c r="T393" i="2"/>
  <c r="S194" i="2"/>
  <c r="S700" i="2"/>
  <c r="R315" i="2"/>
  <c r="R216" i="2"/>
  <c r="R161" i="2"/>
  <c r="T121" i="2"/>
  <c r="P603" i="2"/>
  <c r="P187" i="2"/>
  <c r="P746" i="2"/>
  <c r="P750" i="2"/>
  <c r="P532" i="2"/>
  <c r="Q181" i="2"/>
  <c r="Q268" i="2"/>
  <c r="Q100" i="2"/>
  <c r="Q543" i="2"/>
  <c r="Q372" i="2"/>
  <c r="R283" i="2"/>
  <c r="P227" i="2"/>
  <c r="P704" i="2"/>
  <c r="P159" i="2"/>
  <c r="P361" i="2"/>
  <c r="P742" i="2"/>
  <c r="P58" i="2"/>
  <c r="P223" i="2"/>
  <c r="Q393" i="2"/>
  <c r="Q619" i="2"/>
  <c r="Q126" i="2"/>
  <c r="Q701" i="2"/>
  <c r="Q317" i="2"/>
  <c r="Q88" i="2"/>
  <c r="Q51" i="2"/>
  <c r="Q484" i="2"/>
  <c r="Q554" i="2"/>
  <c r="Q421" i="2"/>
  <c r="Q530" i="2"/>
  <c r="Q235" i="2"/>
  <c r="Q106" i="2"/>
  <c r="Q758" i="2"/>
  <c r="T487" i="2"/>
  <c r="P343" i="2"/>
  <c r="P586" i="2"/>
  <c r="P72" i="2"/>
  <c r="P183" i="2"/>
  <c r="P664" i="2"/>
  <c r="P637" i="2"/>
  <c r="P784" i="2"/>
  <c r="P785" i="2"/>
  <c r="P330" i="2"/>
  <c r="P485" i="2"/>
  <c r="P539" i="2"/>
  <c r="P53" i="2"/>
  <c r="P282" i="2"/>
  <c r="P279" i="2"/>
  <c r="P263" i="2"/>
  <c r="P454" i="2"/>
  <c r="P249" i="2"/>
  <c r="P453" i="2"/>
  <c r="P46" i="2"/>
  <c r="P459" i="2"/>
  <c r="P470" i="2"/>
  <c r="P262" i="2"/>
  <c r="P372" i="2"/>
  <c r="P700" i="2"/>
  <c r="P198" i="2"/>
  <c r="P747" i="2"/>
  <c r="P386" i="2"/>
  <c r="P102" i="2"/>
  <c r="P188" i="2"/>
  <c r="P618" i="2"/>
  <c r="P495" i="2"/>
  <c r="P571" i="2"/>
  <c r="P40" i="2"/>
  <c r="P628" i="2"/>
  <c r="P515" i="2"/>
  <c r="P621" i="2"/>
  <c r="P191" i="2"/>
  <c r="P261" i="2"/>
  <c r="P312" i="2"/>
  <c r="P705" i="2"/>
  <c r="P203" i="2"/>
  <c r="P370" i="2"/>
  <c r="P218" i="2"/>
  <c r="Q207" i="2"/>
  <c r="Q704" i="2"/>
  <c r="Q452" i="2"/>
  <c r="Q721" i="2"/>
  <c r="Q273" i="2"/>
  <c r="Q82" i="2"/>
  <c r="Q47" i="2"/>
  <c r="Q132" i="2"/>
  <c r="Q105" i="2"/>
  <c r="Q122" i="2"/>
  <c r="Q622" i="2"/>
  <c r="Q362" i="2"/>
  <c r="Q725" i="2"/>
  <c r="Q134" i="2"/>
  <c r="Q457" i="2"/>
  <c r="Q759" i="2"/>
  <c r="Q446" i="2"/>
  <c r="Q434" i="2"/>
  <c r="Q591" i="2"/>
  <c r="Q640" i="2"/>
  <c r="Q366" i="2"/>
  <c r="Q531" i="2"/>
  <c r="Q264" i="2"/>
  <c r="Q269" i="2"/>
  <c r="Q76" i="2"/>
  <c r="Q61" i="2"/>
  <c r="Q618" i="2"/>
  <c r="Q723" i="2"/>
  <c r="Q727" i="2"/>
  <c r="Q55" i="2"/>
  <c r="Q621" i="2"/>
  <c r="Q380" i="2"/>
  <c r="Q549" i="2"/>
  <c r="Q469" i="2"/>
  <c r="T75" i="2"/>
  <c r="T87" i="2"/>
  <c r="S708" i="2"/>
  <c r="R549" i="2"/>
  <c r="R186" i="2"/>
  <c r="R477" i="2"/>
  <c r="T755" i="2"/>
  <c r="T749" i="2"/>
  <c r="S692" i="2"/>
  <c r="R698" i="2"/>
  <c r="R311" i="2"/>
  <c r="S161" i="2"/>
  <c r="P507" i="2"/>
  <c r="P80" i="2"/>
  <c r="P684" i="2"/>
  <c r="Q433" i="2"/>
  <c r="Q697" i="2"/>
  <c r="Q172" i="2"/>
  <c r="T556" i="2"/>
  <c r="P47" i="2"/>
  <c r="P775" i="2"/>
  <c r="P788" i="2"/>
  <c r="P686" i="2"/>
  <c r="P359" i="2"/>
  <c r="P559" i="2"/>
  <c r="Q85" i="2"/>
  <c r="Q534" i="2"/>
  <c r="Q154" i="2"/>
  <c r="Q714" i="2"/>
  <c r="S327" i="2"/>
  <c r="P480" i="2"/>
  <c r="P540" i="2"/>
  <c r="P656" i="2"/>
  <c r="P272" i="2"/>
  <c r="P596" i="2"/>
  <c r="P90" i="2"/>
  <c r="P124" i="2"/>
  <c r="P232" i="2"/>
  <c r="P673" i="2"/>
  <c r="P575" i="2"/>
  <c r="P306" i="2"/>
  <c r="P573" i="2"/>
  <c r="P677" i="2"/>
  <c r="P156" i="2"/>
  <c r="P301" i="2"/>
  <c r="P136" i="2"/>
  <c r="P514" i="2"/>
  <c r="P778" i="2"/>
  <c r="P562" i="2"/>
  <c r="P354" i="2"/>
  <c r="P353" i="2"/>
  <c r="P184" i="2"/>
  <c r="P560" i="2"/>
  <c r="P125" i="2"/>
  <c r="P474" i="2"/>
  <c r="P513" i="2"/>
  <c r="P169" i="2"/>
  <c r="P578" i="2"/>
  <c r="P381" i="2"/>
  <c r="P201" i="2"/>
  <c r="P521" i="2"/>
  <c r="P759" i="2"/>
  <c r="P629" i="2"/>
  <c r="P718" i="2"/>
  <c r="P296" i="2"/>
  <c r="P525" i="2"/>
  <c r="P144" i="2"/>
  <c r="P93" i="2"/>
  <c r="P683" i="2"/>
  <c r="P292" i="2"/>
  <c r="P310" i="2"/>
  <c r="P769" i="2"/>
  <c r="P108" i="2"/>
  <c r="P347" i="2"/>
  <c r="P364" i="2"/>
  <c r="P138" i="2"/>
  <c r="P319" i="2"/>
  <c r="P757" i="2"/>
  <c r="P545" i="2"/>
  <c r="P178" i="2"/>
  <c r="P688" i="2"/>
  <c r="Q533" i="2"/>
  <c r="Q716" i="2"/>
  <c r="Q557" i="2"/>
  <c r="Q527" i="2"/>
  <c r="Q770" i="2"/>
  <c r="Q266" i="2"/>
  <c r="Q377" i="2"/>
  <c r="Q95" i="2"/>
  <c r="Q344" i="2"/>
  <c r="Q199" i="2"/>
  <c r="Q320" i="2"/>
  <c r="Q212" i="2"/>
  <c r="Q90" i="2"/>
  <c r="Q645" i="2"/>
  <c r="Q761" i="2"/>
  <c r="Q164" i="2"/>
  <c r="Q58" i="2"/>
  <c r="Q184" i="2"/>
  <c r="Q357" i="2"/>
  <c r="Q302" i="2"/>
  <c r="Q396" i="2"/>
  <c r="Q689" i="2"/>
  <c r="Q153" i="2"/>
  <c r="Q245" i="2"/>
  <c r="Q782" i="2"/>
  <c r="Q473" i="2"/>
  <c r="Q46" i="2"/>
  <c r="Q487" i="2"/>
  <c r="Q328" i="2"/>
  <c r="Q443" i="2"/>
  <c r="Q173" i="2"/>
  <c r="Q256" i="2"/>
  <c r="Q544" i="2"/>
  <c r="Q365" i="2"/>
  <c r="R48" i="2"/>
  <c r="S716" i="2"/>
  <c r="R620" i="2"/>
  <c r="T107" i="2"/>
  <c r="T278" i="2"/>
  <c r="S510" i="2"/>
  <c r="S406" i="2"/>
  <c r="S677" i="2"/>
  <c r="S338" i="2"/>
  <c r="R314" i="2"/>
  <c r="T241" i="2"/>
  <c r="T186" i="2"/>
  <c r="P710" i="2"/>
  <c r="P207" i="2"/>
  <c r="P643" i="2"/>
  <c r="P727" i="2"/>
  <c r="P362" i="2"/>
  <c r="P741" i="2"/>
  <c r="P423" i="2"/>
  <c r="P276" i="2"/>
  <c r="P505" i="2"/>
  <c r="P442" i="2"/>
  <c r="P623" i="2"/>
  <c r="P186" i="2"/>
  <c r="P437" i="2"/>
  <c r="P172" i="2"/>
  <c r="Q402" i="2"/>
  <c r="Q374" i="2"/>
  <c r="Q151" i="2"/>
  <c r="Q48" i="2"/>
  <c r="Q542" i="2"/>
  <c r="Q167" i="2"/>
  <c r="Q540" i="2"/>
  <c r="Q275" i="2"/>
  <c r="Q745" i="2"/>
  <c r="Q237" i="2"/>
  <c r="Q215" i="2"/>
  <c r="Q779" i="2"/>
  <c r="Q781" i="2"/>
  <c r="Q688" i="2"/>
  <c r="Q773" i="2"/>
  <c r="Q431" i="2"/>
  <c r="Q346" i="2"/>
  <c r="Q597" i="2"/>
  <c r="Q490" i="2"/>
  <c r="Q361" i="2"/>
  <c r="Q652" i="2"/>
  <c r="Q590" i="2"/>
  <c r="Q613" i="2"/>
  <c r="Q162" i="2"/>
  <c r="Q471" i="2"/>
  <c r="Q400" i="2"/>
  <c r="Q93" i="2"/>
  <c r="Q119" i="2"/>
  <c r="Q163" i="2"/>
  <c r="Q777" i="2"/>
  <c r="Q395" i="2"/>
  <c r="Q638" i="2"/>
  <c r="Q210" i="2"/>
  <c r="Q498" i="2"/>
  <c r="R67" i="2"/>
  <c r="S499" i="2"/>
  <c r="S607" i="2"/>
  <c r="S65" i="2"/>
  <c r="R784" i="2"/>
  <c r="S315" i="2"/>
  <c r="R600" i="2"/>
  <c r="R255" i="2"/>
  <c r="T365" i="2"/>
  <c r="R300" i="2"/>
  <c r="S260" i="2"/>
  <c r="R317" i="2"/>
  <c r="P384" i="2"/>
  <c r="P205" i="2"/>
  <c r="P597" i="2"/>
  <c r="P255" i="2"/>
  <c r="Q566" i="2"/>
  <c r="Q514" i="2"/>
  <c r="Q694" i="2"/>
  <c r="Q298" i="2"/>
  <c r="R321" i="2"/>
  <c r="P492" i="2"/>
  <c r="P391" i="2"/>
  <c r="P451" i="2"/>
  <c r="Q404" i="2"/>
  <c r="S503" i="2"/>
  <c r="P690" i="2"/>
  <c r="P387" i="2"/>
  <c r="P220" i="2"/>
  <c r="P604" i="2"/>
  <c r="P68" i="2"/>
  <c r="P404" i="2"/>
  <c r="P382" i="2"/>
  <c r="P352" i="2"/>
  <c r="P760" i="2"/>
  <c r="P308" i="2"/>
  <c r="P608" i="2"/>
  <c r="P307" i="2"/>
  <c r="P680" i="2"/>
  <c r="P657" i="2"/>
  <c r="P538" i="2"/>
  <c r="P229" i="2"/>
  <c r="P625" i="2"/>
  <c r="P713" i="2"/>
  <c r="P753" i="2"/>
  <c r="P197" i="2"/>
  <c r="P749" i="2"/>
  <c r="P723" i="2"/>
  <c r="P624" i="2"/>
  <c r="P535" i="2"/>
  <c r="P546" i="2"/>
  <c r="P76" i="2"/>
  <c r="P642" i="2"/>
  <c r="P422" i="2"/>
  <c r="P614" i="2"/>
  <c r="P758" i="2"/>
  <c r="P531" i="2"/>
  <c r="P250" i="2"/>
  <c r="P633" i="2"/>
  <c r="P228" i="2"/>
  <c r="P589" i="2"/>
  <c r="P773" i="2"/>
  <c r="P593" i="2"/>
  <c r="P380" i="2"/>
  <c r="P116" i="2"/>
  <c r="P436" i="2"/>
  <c r="P484" i="2"/>
  <c r="P754" i="2"/>
  <c r="P48" i="2"/>
  <c r="P133" i="2"/>
  <c r="P413" i="2"/>
  <c r="Q202" i="2"/>
  <c r="Q75" i="2"/>
  <c r="Q574" i="2"/>
  <c r="Q614" i="2"/>
  <c r="Q732" i="2"/>
  <c r="Q170" i="2"/>
  <c r="Q384" i="2"/>
  <c r="Q79" i="2"/>
  <c r="Q642" i="2"/>
  <c r="Q712" i="2"/>
  <c r="Q242" i="2"/>
  <c r="Q113" i="2"/>
  <c r="Q254" i="2"/>
  <c r="Q558" i="2"/>
  <c r="Q639" i="2"/>
  <c r="Q226" i="2"/>
  <c r="Q682" i="2"/>
  <c r="Q548" i="2"/>
  <c r="Q519" i="2"/>
  <c r="Q763" i="2"/>
  <c r="Q39" i="2"/>
  <c r="Q174" i="2"/>
  <c r="Q333" i="2"/>
  <c r="Q660" i="2"/>
  <c r="Q598" i="2"/>
  <c r="Q408" i="2"/>
  <c r="Q70" i="2"/>
  <c r="Q353" i="2"/>
  <c r="Q355" i="2"/>
  <c r="Q736" i="2"/>
  <c r="Q606" i="2"/>
  <c r="Q715" i="2"/>
  <c r="Q62" i="2"/>
  <c r="Q244" i="2"/>
  <c r="R39" i="2"/>
  <c r="R616" i="2"/>
  <c r="T610" i="2"/>
  <c r="T533" i="2"/>
  <c r="R613" i="2"/>
  <c r="S781" i="2"/>
  <c r="T771" i="2"/>
  <c r="R715" i="2"/>
  <c r="T374" i="2"/>
  <c r="T688" i="2"/>
  <c r="R441" i="2"/>
  <c r="T232" i="2"/>
  <c r="P126" i="2"/>
  <c r="P143" i="2"/>
  <c r="Q398" i="2"/>
  <c r="Q329" i="2"/>
  <c r="S786" i="2"/>
  <c r="P678" i="2"/>
  <c r="R56" i="2"/>
  <c r="P467" i="2"/>
  <c r="P209" i="2"/>
  <c r="P733" i="2"/>
  <c r="P236" i="2"/>
  <c r="P398" i="2"/>
  <c r="P104" i="2"/>
  <c r="P552" i="2"/>
  <c r="P652" i="2"/>
  <c r="P291" i="2"/>
  <c r="P401" i="2"/>
  <c r="P317" i="2"/>
  <c r="P462" i="2"/>
  <c r="P322" i="2"/>
  <c r="P699" i="2"/>
  <c r="P267" i="2"/>
  <c r="P779" i="2"/>
  <c r="P765" i="2"/>
  <c r="P88" i="2"/>
  <c r="P313" i="2"/>
  <c r="P397" i="2"/>
  <c r="P182" i="2"/>
  <c r="P669" i="2"/>
  <c r="P42" i="2"/>
  <c r="P157" i="2"/>
  <c r="P711" i="2"/>
  <c r="P346" i="2"/>
  <c r="P729" i="2"/>
  <c r="P649" i="2"/>
  <c r="P277" i="2"/>
  <c r="P533" i="2"/>
  <c r="P60" i="2"/>
  <c r="P64" i="2"/>
  <c r="P158" i="2"/>
  <c r="P755" i="2"/>
  <c r="P737" i="2"/>
  <c r="P585" i="2"/>
  <c r="P768" i="2"/>
  <c r="P304" i="2"/>
  <c r="P716" i="2"/>
  <c r="P256" i="2"/>
  <c r="P783" i="2"/>
  <c r="P295" i="2"/>
  <c r="P168" i="2"/>
  <c r="P118" i="2"/>
  <c r="P703" i="2"/>
  <c r="P587" i="2"/>
  <c r="P119" i="2"/>
  <c r="P607" i="2"/>
  <c r="P605" i="2"/>
  <c r="P213" i="2"/>
  <c r="P609" i="2"/>
  <c r="P234" i="2"/>
  <c r="P445" i="2"/>
  <c r="Q389" i="2"/>
  <c r="Q571" i="2"/>
  <c r="Q238" i="2"/>
  <c r="Q91" i="2"/>
  <c r="Q626" i="2"/>
  <c r="Q760" i="2"/>
  <c r="Q746" i="2"/>
  <c r="Q522" i="2"/>
  <c r="Q705" i="2"/>
  <c r="Q411" i="2"/>
  <c r="Q786" i="2"/>
  <c r="Q747" i="2"/>
  <c r="Q316" i="2"/>
  <c r="Q203" i="2"/>
  <c r="Q429" i="2"/>
  <c r="Q492" i="2"/>
  <c r="Q292" i="2"/>
  <c r="Q454" i="2"/>
  <c r="Q381" i="2"/>
  <c r="Q360" i="2"/>
  <c r="Q506" i="2"/>
  <c r="Q568" i="2"/>
  <c r="Q286" i="2"/>
  <c r="Q467" i="2"/>
  <c r="Q511" i="2"/>
  <c r="Q573" i="2"/>
  <c r="Q681" i="2"/>
  <c r="Q451" i="2"/>
  <c r="Q223" i="2"/>
  <c r="Q690" i="2"/>
  <c r="Q658" i="2"/>
  <c r="Q756" i="2"/>
  <c r="Q216" i="2"/>
  <c r="Q41" i="2"/>
  <c r="R94" i="2"/>
  <c r="S557" i="2"/>
  <c r="R329" i="2"/>
  <c r="S428" i="2"/>
  <c r="S313" i="2"/>
  <c r="S745" i="2"/>
  <c r="R617" i="2"/>
  <c r="R203" i="2"/>
  <c r="S718" i="2"/>
  <c r="T382" i="2"/>
  <c r="T590" i="2"/>
  <c r="T209" i="2"/>
  <c r="P251" i="2"/>
  <c r="P751" i="2"/>
  <c r="P127" i="2"/>
  <c r="P318" i="2"/>
  <c r="P216" i="2"/>
  <c r="Q283" i="2"/>
  <c r="Q177" i="2"/>
  <c r="T674" i="2"/>
  <c r="P667" i="2"/>
  <c r="Q563" i="2"/>
  <c r="S600" i="2"/>
  <c r="P590" i="2"/>
  <c r="P689" i="2"/>
  <c r="P455" i="2"/>
  <c r="P702" i="2"/>
  <c r="P409" i="2"/>
  <c r="P385" i="2"/>
  <c r="P644" i="2"/>
  <c r="P66" i="2"/>
  <c r="P210" i="2"/>
  <c r="P185" i="2"/>
  <c r="P557" i="2"/>
  <c r="P215" i="2"/>
  <c r="P579" i="2"/>
  <c r="P564" i="2"/>
  <c r="P406" i="2"/>
  <c r="P715" i="2"/>
  <c r="P734" i="2"/>
  <c r="P639" i="2"/>
  <c r="P456" i="2"/>
  <c r="P285" i="2"/>
  <c r="P162" i="2"/>
  <c r="P529" i="2"/>
  <c r="P548" i="2"/>
  <c r="P489" i="2"/>
  <c r="P658" i="2"/>
  <c r="P743" i="2"/>
  <c r="P202" i="2"/>
  <c r="P62" i="2"/>
  <c r="P71" i="2"/>
  <c r="P278" i="2"/>
  <c r="P99" i="2"/>
  <c r="P137" i="2"/>
  <c r="P73" i="2"/>
  <c r="P450" i="2"/>
  <c r="P458" i="2"/>
  <c r="P131" i="2"/>
  <c r="P435" i="2"/>
  <c r="P665" i="2"/>
  <c r="P52" i="2"/>
  <c r="P284" i="2"/>
  <c r="P146" i="2"/>
  <c r="P697" i="2"/>
  <c r="P691" i="2"/>
  <c r="Q765" i="2"/>
  <c r="Q617" i="2"/>
  <c r="Q561" i="2"/>
  <c r="Q200" i="2"/>
  <c r="Q423" i="2"/>
  <c r="Q43" i="2"/>
  <c r="Q401" i="2"/>
  <c r="Q347" i="2"/>
  <c r="Q676" i="2"/>
  <c r="Q499" i="2"/>
  <c r="Q128" i="2"/>
  <c r="Q667" i="2"/>
  <c r="Q776" i="2"/>
  <c r="Q425" i="2"/>
  <c r="Q780" i="2"/>
  <c r="Q45" i="2"/>
  <c r="Q470" i="2"/>
  <c r="Q717" i="2"/>
  <c r="Q608" i="2"/>
  <c r="Q308" i="2"/>
  <c r="Q551" i="2"/>
  <c r="Q744" i="2"/>
  <c r="Q193" i="2"/>
  <c r="Q516" i="2"/>
  <c r="Q485" i="2"/>
  <c r="Q418" i="2"/>
  <c r="Q250" i="2"/>
  <c r="Q630" i="2"/>
  <c r="Q323" i="2"/>
  <c r="Q692" i="2"/>
  <c r="Q684" i="2"/>
  <c r="Q56" i="2"/>
  <c r="Q422" i="2"/>
  <c r="S676" i="2"/>
  <c r="S767" i="2"/>
  <c r="R763" i="2"/>
  <c r="T81" i="2"/>
  <c r="T646" i="2"/>
  <c r="S104" i="2"/>
  <c r="T700" i="2"/>
  <c r="T707" i="2"/>
  <c r="S427" i="2"/>
  <c r="R468" i="2"/>
  <c r="R316" i="2"/>
  <c r="T126" i="2"/>
  <c r="S133" i="2"/>
  <c r="P493" i="2"/>
  <c r="P518" i="2"/>
  <c r="P340" i="2"/>
  <c r="P211" i="2"/>
  <c r="Q87" i="2"/>
  <c r="R359" i="2"/>
  <c r="P542" i="2"/>
  <c r="S408" i="2"/>
  <c r="P498" i="2"/>
  <c r="P315" i="2"/>
  <c r="P471" i="2"/>
  <c r="P368" i="2"/>
  <c r="P752" i="2"/>
  <c r="P260" i="2"/>
  <c r="P297" i="2"/>
  <c r="P447" i="2"/>
  <c r="P217" i="2"/>
  <c r="P555" i="2"/>
  <c r="P311" i="2"/>
  <c r="P728" i="2"/>
  <c r="P252" i="2"/>
  <c r="P51" i="2"/>
  <c r="P257" i="2"/>
  <c r="P239" i="2"/>
  <c r="P337" i="2"/>
  <c r="P638" i="2"/>
  <c r="P176" i="2"/>
  <c r="P663" i="2"/>
  <c r="P396" i="2"/>
  <c r="P98" i="2"/>
  <c r="P41" i="2"/>
  <c r="P651" i="2"/>
  <c r="P363" i="2"/>
  <c r="P611" i="2"/>
  <c r="P569" i="2"/>
  <c r="P270" i="2"/>
  <c r="P508" i="2"/>
  <c r="P94" i="2"/>
  <c r="P503" i="2"/>
  <c r="P425" i="2"/>
  <c r="P366" i="2"/>
  <c r="P189" i="2"/>
  <c r="P358" i="2"/>
  <c r="P646" i="2"/>
  <c r="P151" i="2"/>
  <c r="P654" i="2"/>
  <c r="P96" i="2"/>
  <c r="P434" i="2"/>
  <c r="P479" i="2"/>
  <c r="P735" i="2"/>
  <c r="P549" i="2"/>
  <c r="P212" i="2"/>
  <c r="P645" i="2"/>
  <c r="P115" i="2"/>
  <c r="P77" i="2"/>
  <c r="P300" i="2"/>
  <c r="P331" i="2"/>
  <c r="P541" i="2"/>
  <c r="P666" i="2"/>
  <c r="P225" i="2"/>
  <c r="P338" i="2"/>
  <c r="P610" i="2"/>
  <c r="P482" i="2"/>
  <c r="Q570" i="2"/>
  <c r="Q654" i="2"/>
  <c r="Q176" i="2"/>
  <c r="Q148" i="2"/>
  <c r="Q403" i="2"/>
  <c r="Q572" i="2"/>
  <c r="Q547" i="2"/>
  <c r="Q610" i="2"/>
  <c r="Q495" i="2"/>
  <c r="Q729" i="2"/>
  <c r="Q367" i="2"/>
  <c r="Q236" i="2"/>
  <c r="Q657" i="2"/>
  <c r="Q59" i="2"/>
  <c r="Q603" i="2"/>
  <c r="Q513" i="2"/>
  <c r="Q564" i="2"/>
  <c r="Q481" i="2"/>
  <c r="Q337" i="2"/>
  <c r="Q440" i="2"/>
  <c r="Q115" i="2"/>
  <c r="Q675" i="2"/>
  <c r="Q665" i="2"/>
  <c r="Q445" i="2"/>
  <c r="Q209" i="2"/>
  <c r="Q188" i="2"/>
  <c r="Q740" i="2"/>
  <c r="Q253" i="2"/>
  <c r="Q71" i="2"/>
  <c r="Q325" i="2"/>
  <c r="Q427" i="2"/>
  <c r="Q161" i="2"/>
  <c r="Q330" i="2"/>
  <c r="T289" i="2"/>
  <c r="S446" i="2"/>
  <c r="S342" i="2"/>
  <c r="R42" i="2"/>
  <c r="T713" i="2"/>
  <c r="S112" i="2"/>
  <c r="T206" i="2"/>
  <c r="S593" i="2"/>
  <c r="T246" i="2"/>
  <c r="S553" i="2"/>
  <c r="R301" i="2"/>
  <c r="T220" i="2"/>
  <c r="S189" i="2"/>
  <c r="P107" i="2"/>
  <c r="P341" i="2"/>
  <c r="P592" i="2"/>
  <c r="Q426" i="2"/>
  <c r="Q96" i="2"/>
  <c r="S352" i="2"/>
  <c r="P536" i="2"/>
  <c r="P709" i="2"/>
  <c r="P417" i="2"/>
  <c r="P681" i="2"/>
  <c r="P271" i="2"/>
  <c r="P309" i="2"/>
  <c r="P357" i="2"/>
  <c r="Q722" i="2"/>
  <c r="Q359" i="2"/>
  <c r="R773" i="2"/>
  <c r="P281" i="2"/>
  <c r="P305" i="2"/>
  <c r="P152" i="2"/>
  <c r="P567" i="2"/>
  <c r="P195" i="2"/>
  <c r="P635" i="2"/>
  <c r="P148" i="2"/>
  <c r="P767" i="2"/>
  <c r="P568" i="2"/>
  <c r="P574" i="2"/>
  <c r="P419" i="2"/>
  <c r="P517" i="2"/>
  <c r="P613" i="2"/>
  <c r="P426" i="2"/>
  <c r="P316" i="2"/>
  <c r="P258" i="2"/>
  <c r="P679" i="2"/>
  <c r="P744" i="2"/>
  <c r="P259" i="2"/>
  <c r="P288" i="2"/>
  <c r="P204" i="2"/>
  <c r="P438" i="2"/>
  <c r="P56" i="2"/>
  <c r="P349" i="2"/>
  <c r="P280" i="2"/>
  <c r="P565" i="2"/>
  <c r="P371" i="2"/>
  <c r="P84" i="2"/>
  <c r="P412" i="2"/>
  <c r="P269" i="2"/>
  <c r="P449" i="2"/>
  <c r="P465" i="2"/>
  <c r="P199" i="2"/>
  <c r="P446" i="2"/>
  <c r="P516" i="2"/>
  <c r="P736" i="2"/>
  <c r="P490" i="2"/>
  <c r="P622" i="2"/>
  <c r="P631" i="2"/>
  <c r="P268" i="2"/>
  <c r="P616" i="2"/>
  <c r="P511" i="2"/>
  <c r="P43" i="2"/>
  <c r="P748" i="2"/>
  <c r="P130" i="2"/>
  <c r="P206" i="2"/>
  <c r="P674" i="2"/>
  <c r="P120" i="2"/>
  <c r="P233" i="2"/>
  <c r="P655" i="2"/>
  <c r="P69" i="2"/>
  <c r="P440" i="2"/>
  <c r="P439" i="2"/>
  <c r="P787" i="2"/>
  <c r="P179" i="2"/>
  <c r="Q733" i="2"/>
  <c r="Q281" i="2"/>
  <c r="Q225" i="2"/>
  <c r="Q186" i="2"/>
  <c r="Q515" i="2"/>
  <c r="Q265" i="2"/>
  <c r="Q609" i="2"/>
  <c r="Q532" i="2"/>
  <c r="Q488" i="2"/>
  <c r="Q444" i="2"/>
  <c r="Q435" i="2"/>
  <c r="Q205" i="2"/>
  <c r="Q160" i="2"/>
  <c r="Q305" i="2"/>
  <c r="Q455" i="2"/>
  <c r="Q644" i="2"/>
  <c r="Q503" i="2"/>
  <c r="Q213" i="2"/>
  <c r="Q679" i="2"/>
  <c r="Q432" i="2"/>
  <c r="Q388" i="2"/>
  <c r="Q616" i="2"/>
  <c r="Q556" i="2"/>
  <c r="Q424" i="2"/>
  <c r="Q352" i="2"/>
  <c r="Q86" i="2"/>
  <c r="Q483" i="2"/>
  <c r="Q221" i="2"/>
  <c r="Q784" i="2"/>
  <c r="Q585" i="2"/>
  <c r="Q449" i="2"/>
  <c r="Q569" i="2"/>
  <c r="Q713" i="2"/>
  <c r="R49" i="2"/>
  <c r="T742" i="2"/>
  <c r="S690" i="2"/>
  <c r="R45" i="2"/>
  <c r="R557" i="2"/>
  <c r="S779" i="2"/>
  <c r="S504" i="2"/>
  <c r="S217" i="2"/>
  <c r="S684" i="2"/>
  <c r="S404" i="2"/>
  <c r="R164" i="2"/>
  <c r="T507" i="2"/>
  <c r="T211" i="2"/>
  <c r="P106" i="2"/>
  <c r="P717" i="2"/>
  <c r="P299" i="2"/>
  <c r="P92" i="2"/>
  <c r="Q524" i="2"/>
  <c r="Q288" i="2"/>
  <c r="S673" i="2"/>
  <c r="P221" i="2"/>
  <c r="Q204" i="2"/>
  <c r="S516" i="2"/>
  <c r="P112" i="2"/>
  <c r="P520" i="2"/>
  <c r="P121" i="2"/>
  <c r="P39" i="2"/>
  <c r="P583" i="2"/>
  <c r="P389" i="2"/>
  <c r="P274" i="2"/>
  <c r="P286" i="2"/>
  <c r="P70" i="2"/>
  <c r="P469" i="2"/>
  <c r="P392" i="2"/>
  <c r="P414" i="2"/>
  <c r="P685" i="2"/>
  <c r="P682" i="2"/>
  <c r="P599" i="2"/>
  <c r="P383" i="2"/>
  <c r="P448" i="2"/>
  <c r="P180" i="2"/>
  <c r="P214" i="2"/>
  <c r="P230" i="2"/>
  <c r="P142" i="2"/>
  <c r="P293" i="2"/>
  <c r="P164" i="2"/>
  <c r="P390" i="2"/>
  <c r="P524" i="2"/>
  <c r="P50" i="2"/>
  <c r="P452" i="2"/>
  <c r="P321" i="2"/>
  <c r="P59" i="2"/>
  <c r="P675" i="2"/>
  <c r="P537" i="2"/>
  <c r="P82" i="2"/>
  <c r="P161" i="2"/>
  <c r="P240" i="2"/>
  <c r="P761" i="2"/>
  <c r="P167" i="2"/>
  <c r="P153" i="2"/>
  <c r="P265" i="2"/>
  <c r="P620" i="2"/>
  <c r="P756" i="2"/>
  <c r="P544" i="2"/>
  <c r="P326" i="2"/>
  <c r="P320" i="2"/>
  <c r="P619" i="2"/>
  <c r="P463" i="2"/>
  <c r="P432" i="2"/>
  <c r="P85" i="2"/>
  <c r="P582" i="2"/>
  <c r="Q517" i="2"/>
  <c r="Q57" i="2"/>
  <c r="Q730" i="2"/>
  <c r="Q583" i="2"/>
  <c r="Q631" i="2"/>
  <c r="Q295" i="2"/>
  <c r="Q341" i="2"/>
  <c r="Q508" i="2"/>
  <c r="Q785" i="2"/>
  <c r="Q739" i="2"/>
  <c r="Q336" i="2"/>
  <c r="Q769" i="2"/>
  <c r="Q659" i="2"/>
  <c r="Q587" i="2"/>
  <c r="Q263" i="2"/>
  <c r="Q634" i="2"/>
  <c r="Q54" i="2"/>
  <c r="Q475" i="2"/>
  <c r="Q600" i="2"/>
  <c r="Q81" i="2"/>
  <c r="Q306" i="2"/>
  <c r="Q651" i="2"/>
  <c r="Q187" i="2"/>
  <c r="Q693" i="2"/>
  <c r="Q289" i="2"/>
  <c r="Q635" i="2"/>
  <c r="Q159" i="2"/>
  <c r="Q190" i="2"/>
  <c r="Q497" i="2"/>
  <c r="Q550" i="2"/>
  <c r="Q230" i="2"/>
  <c r="Q648" i="2"/>
  <c r="Q535" i="2"/>
  <c r="T51" i="2"/>
  <c r="R693" i="2"/>
  <c r="R412" i="2"/>
  <c r="T328" i="2"/>
  <c r="T145" i="2"/>
  <c r="S774" i="2"/>
  <c r="R133" i="2"/>
  <c r="T474" i="2"/>
  <c r="T641" i="2"/>
  <c r="T340" i="2"/>
  <c r="R265" i="2"/>
  <c r="T157" i="2"/>
  <c r="S480" i="2"/>
  <c r="P242" i="2"/>
  <c r="P721" i="2"/>
  <c r="P336" i="2"/>
  <c r="Q165" i="2"/>
  <c r="Q579" i="2"/>
  <c r="Q706" i="2"/>
  <c r="P57" i="2"/>
  <c r="P576" i="2"/>
  <c r="T587" i="2"/>
  <c r="P506" i="2"/>
  <c r="P780" i="2"/>
  <c r="P695" i="2"/>
  <c r="P356" i="2"/>
  <c r="P379" i="2"/>
  <c r="P724" i="2"/>
  <c r="P591" i="2"/>
  <c r="P692" i="2"/>
  <c r="P266" i="2"/>
  <c r="P647" i="2"/>
  <c r="P460" i="2"/>
  <c r="P478" i="2"/>
  <c r="P481" i="2"/>
  <c r="P522" i="2"/>
  <c r="P510" i="2"/>
  <c r="P473" i="2"/>
  <c r="P660" i="2"/>
  <c r="P132" i="2"/>
  <c r="P410" i="2"/>
  <c r="P139" i="2"/>
  <c r="P630" i="2"/>
  <c r="P648" i="2"/>
  <c r="P487" i="2"/>
  <c r="P333" i="2"/>
  <c r="P408" i="2"/>
  <c r="P87" i="2"/>
  <c r="P123" i="2"/>
  <c r="P237" i="2"/>
  <c r="P594" i="2"/>
  <c r="P323" i="2"/>
  <c r="P303" i="2"/>
  <c r="P617" i="2"/>
  <c r="P129" i="2"/>
  <c r="P634" i="2"/>
  <c r="P556" i="2"/>
  <c r="P173" i="2"/>
  <c r="P543" i="2"/>
  <c r="P777" i="2"/>
  <c r="P193" i="2"/>
  <c r="P403" i="2"/>
  <c r="P745" i="2"/>
  <c r="P208" i="2"/>
  <c r="P345" i="2"/>
  <c r="P501" i="2"/>
  <c r="P640" i="2"/>
  <c r="P170" i="2"/>
  <c r="P738" i="2"/>
  <c r="P627" i="2"/>
  <c r="P122" i="2"/>
  <c r="P55" i="2"/>
  <c r="P659" i="2"/>
  <c r="P466" i="2"/>
  <c r="P314" i="2"/>
  <c r="Q589" i="2"/>
  <c r="Q489" i="2"/>
  <c r="Q373" i="2"/>
  <c r="Q703" i="2"/>
  <c r="Q78" i="2"/>
  <c r="Q724" i="2"/>
  <c r="Q419" i="2"/>
  <c r="Q117" i="2"/>
  <c r="Q171" i="2"/>
  <c r="Q707" i="2"/>
  <c r="Q521" i="2"/>
  <c r="Q368" i="2"/>
  <c r="Q42" i="2"/>
  <c r="Q582" i="2"/>
  <c r="Q463" i="2"/>
  <c r="Q525" i="2"/>
  <c r="Q340" i="2"/>
  <c r="Q140" i="2"/>
  <c r="Q231" i="2"/>
  <c r="Q646" i="2"/>
  <c r="Q312" i="2"/>
  <c r="Q742" i="2"/>
  <c r="Q728" i="2"/>
  <c r="Q98" i="2"/>
  <c r="Q555" i="2"/>
  <c r="Q247" i="2"/>
  <c r="Q491" i="2"/>
  <c r="Q248" i="2"/>
  <c r="Q67" i="2"/>
  <c r="Q168" i="2"/>
  <c r="Q229" i="2"/>
  <c r="Q349" i="2"/>
  <c r="Q734" i="2"/>
  <c r="Q637" i="2"/>
  <c r="R507" i="2"/>
  <c r="R335" i="2"/>
  <c r="R46" i="2"/>
  <c r="T602" i="2"/>
  <c r="R409" i="2"/>
  <c r="S525" i="2"/>
  <c r="S374" i="2"/>
  <c r="S409" i="2"/>
  <c r="S258" i="2"/>
  <c r="T662" i="2"/>
  <c r="S122" i="2"/>
  <c r="R654" i="2"/>
  <c r="T330" i="2"/>
  <c r="P111" i="2"/>
  <c r="P171" i="2"/>
  <c r="P101" i="2"/>
  <c r="P402" i="2"/>
  <c r="Q496" i="2"/>
  <c r="Q345" i="2"/>
  <c r="Q406" i="2"/>
  <c r="T753" i="2"/>
  <c r="P476" i="2"/>
  <c r="P497" i="2"/>
  <c r="P109" i="2"/>
  <c r="P488" i="2"/>
  <c r="P771" i="2"/>
  <c r="P395" i="2"/>
  <c r="Q297" i="2"/>
  <c r="Q751" i="2"/>
  <c r="Q580" i="2"/>
  <c r="R43" i="2"/>
  <c r="P714" i="2"/>
  <c r="P165" i="2"/>
  <c r="P420" i="2"/>
  <c r="P49" i="2"/>
  <c r="P149" i="2"/>
  <c r="P222" i="2"/>
  <c r="P54" i="2"/>
  <c r="P175" i="2"/>
  <c r="P774" i="2"/>
  <c r="P486" i="2"/>
  <c r="P491" i="2"/>
  <c r="P632" i="2"/>
  <c r="P45" i="2"/>
  <c r="P289" i="2"/>
  <c r="P694" i="2"/>
  <c r="P672" i="2"/>
  <c r="P433" i="2"/>
  <c r="P67" i="2"/>
  <c r="P595" i="2"/>
  <c r="P245" i="2"/>
  <c r="P464" i="2"/>
  <c r="P584" i="2"/>
  <c r="P566" i="2"/>
  <c r="P528" i="2"/>
  <c r="P328" i="2"/>
  <c r="P327" i="2"/>
  <c r="P762" i="2"/>
  <c r="P360" i="2"/>
  <c r="P706" i="2"/>
  <c r="P693" i="2"/>
  <c r="P235" i="2"/>
  <c r="P427" i="2"/>
  <c r="P712" i="2"/>
  <c r="P231" i="2"/>
  <c r="P160" i="2"/>
  <c r="P348" i="2"/>
  <c r="P147" i="2"/>
  <c r="P776" i="2"/>
  <c r="P163" i="2"/>
  <c r="P247" i="2"/>
  <c r="P324" i="2"/>
  <c r="P612" i="2"/>
  <c r="P661" i="2"/>
  <c r="P431" i="2"/>
  <c r="P416" i="2"/>
  <c r="P457" i="2"/>
  <c r="P105" i="2"/>
  <c r="P290" i="2"/>
  <c r="P770" i="2"/>
  <c r="P504" i="2"/>
  <c r="Q482" i="2"/>
  <c r="Q439" i="2"/>
  <c r="Q661" i="2"/>
  <c r="Q552" i="2"/>
  <c r="Q586" i="2"/>
  <c r="Q593" i="2"/>
  <c r="Q118" i="2"/>
  <c r="Q783" i="2"/>
  <c r="Q512" i="2"/>
  <c r="Q477" i="2"/>
  <c r="Q321" i="2"/>
  <c r="Q604" i="2"/>
  <c r="Q138" i="2"/>
  <c r="Q196" i="2"/>
  <c r="Q605" i="2"/>
  <c r="Q309" i="2"/>
  <c r="Q116" i="2"/>
  <c r="Q602" i="2"/>
  <c r="Q536" i="2"/>
  <c r="Q104" i="2"/>
  <c r="Q412" i="2"/>
  <c r="Q666" i="2"/>
  <c r="Q731" i="2"/>
  <c r="Q719" i="2"/>
  <c r="Q581" i="2"/>
  <c r="Q578" i="2"/>
  <c r="Q476" i="2"/>
  <c r="Q711" i="2"/>
  <c r="Q420" i="2"/>
  <c r="Q94" i="2"/>
  <c r="Q494" i="2"/>
  <c r="Q584" i="2"/>
  <c r="Q625" i="2"/>
  <c r="Q274" i="2"/>
  <c r="R709" i="2"/>
  <c r="R601" i="2"/>
  <c r="T68" i="2"/>
  <c r="S445" i="2"/>
  <c r="S577" i="2"/>
  <c r="S373" i="2"/>
  <c r="R157" i="2"/>
  <c r="T694" i="2"/>
  <c r="T332" i="2"/>
  <c r="R735" i="2"/>
  <c r="S433" i="2"/>
  <c r="T552" i="2"/>
  <c r="R344" i="2"/>
  <c r="P219" i="2"/>
  <c r="P95" i="2"/>
  <c r="P600" i="2"/>
  <c r="P342" i="2"/>
  <c r="Q768" i="2"/>
  <c r="Q588" i="2"/>
  <c r="Q125" i="2"/>
  <c r="R121" i="2"/>
  <c r="P554" i="2"/>
  <c r="P526" i="2"/>
  <c r="P601" i="2"/>
  <c r="Q52" i="2"/>
  <c r="S437" i="2"/>
  <c r="P294" i="2"/>
  <c r="P472" i="2"/>
  <c r="P725" i="2"/>
  <c r="P708" i="2"/>
  <c r="P766" i="2"/>
  <c r="P114" i="2"/>
  <c r="P376" i="2"/>
  <c r="P196" i="2"/>
  <c r="P527" i="2"/>
  <c r="P351" i="2"/>
  <c r="P155" i="2"/>
  <c r="P355" i="2"/>
  <c r="P86" i="2"/>
  <c r="P786" i="2"/>
  <c r="P411" i="2"/>
  <c r="P373" i="2"/>
  <c r="P78" i="2"/>
  <c r="P763" i="2"/>
  <c r="P468" i="2"/>
  <c r="P287" i="2"/>
  <c r="P730" i="2"/>
  <c r="P668" i="2"/>
  <c r="P550" i="2"/>
  <c r="P44" i="2"/>
  <c r="P224" i="2"/>
  <c r="P547" i="2"/>
  <c r="P367" i="2"/>
  <c r="P512" i="2"/>
  <c r="P407" i="2"/>
  <c r="P519" i="2"/>
  <c r="P441" i="2"/>
  <c r="P200" i="2"/>
  <c r="P83" i="2"/>
  <c r="P275" i="2"/>
  <c r="P134" i="2"/>
  <c r="P329" i="2"/>
  <c r="P698" i="2"/>
  <c r="P650" i="2"/>
  <c r="P393" i="2"/>
  <c r="P365" i="2"/>
  <c r="P572" i="2"/>
  <c r="P509" i="2"/>
  <c r="P399" i="2"/>
  <c r="P523" i="2"/>
  <c r="P244" i="2"/>
  <c r="P636" i="2"/>
  <c r="Q607" i="2"/>
  <c r="Q276" i="2"/>
  <c r="Q97" i="2"/>
  <c r="Q232" i="2"/>
  <c r="Q753" i="2"/>
  <c r="Q766" i="2"/>
  <c r="Q710" i="2"/>
  <c r="Q448" i="2"/>
  <c r="Q649" i="2"/>
  <c r="Q44" i="2"/>
  <c r="Q158" i="2"/>
  <c r="Q278" i="2"/>
  <c r="Q458" i="2"/>
  <c r="Q726" i="2"/>
  <c r="Q437" i="2"/>
  <c r="Q135" i="2"/>
  <c r="Q504" i="2"/>
  <c r="Q101" i="2"/>
  <c r="Q405" i="2"/>
  <c r="Q83" i="2"/>
  <c r="Q632" i="2"/>
  <c r="Q136" i="2"/>
  <c r="Q709" i="2"/>
  <c r="Q332" i="2"/>
  <c r="Q50" i="2"/>
  <c r="Q702" i="2"/>
  <c r="Q146" i="2"/>
  <c r="Q53" i="2"/>
  <c r="Q246" i="2"/>
  <c r="Q334" i="2"/>
  <c r="Q479" i="2"/>
  <c r="Q672" i="2"/>
  <c r="Q255" i="2"/>
  <c r="Q348" i="2"/>
  <c r="R262" i="2"/>
  <c r="S425" i="2"/>
  <c r="T46" i="2"/>
  <c r="T540" i="2"/>
  <c r="R62" i="2"/>
  <c r="T748" i="2"/>
  <c r="S686" i="2"/>
  <c r="S347" i="2"/>
  <c r="T622" i="2"/>
  <c r="T331" i="2"/>
  <c r="R454" i="2"/>
  <c r="T357" i="2"/>
  <c r="R180" i="2"/>
  <c r="P369" i="2"/>
  <c r="P720" i="2"/>
  <c r="P246" i="2"/>
  <c r="Q500" i="2"/>
  <c r="Q772" i="2"/>
  <c r="T58" i="2"/>
  <c r="P653" i="2"/>
  <c r="P570" i="2"/>
  <c r="Q529" i="2"/>
  <c r="P177" i="2"/>
  <c r="P424" i="2"/>
  <c r="P374" i="2"/>
  <c r="P283" i="2"/>
  <c r="P500" i="2"/>
  <c r="P145" i="2"/>
  <c r="P74" i="2"/>
  <c r="P581" i="2"/>
  <c r="P641" i="2"/>
  <c r="P764" i="2"/>
  <c r="P75" i="2"/>
  <c r="P241" i="2"/>
  <c r="P150" i="2"/>
  <c r="P726" i="2"/>
  <c r="P671" i="2"/>
  <c r="P558" i="2"/>
  <c r="P662" i="2"/>
  <c r="P781" i="2"/>
  <c r="P388" i="2"/>
  <c r="P415" i="2"/>
  <c r="P722" i="2"/>
  <c r="P378" i="2"/>
  <c r="P429" i="2"/>
  <c r="P79" i="2"/>
  <c r="P588" i="2"/>
  <c r="P100" i="2"/>
  <c r="P335" i="2"/>
  <c r="P174" i="2"/>
  <c r="P192" i="2"/>
  <c r="P731" i="2"/>
  <c r="P530" i="2"/>
  <c r="P577" i="2"/>
  <c r="P63" i="2"/>
  <c r="P140" i="2"/>
  <c r="P496" i="2"/>
  <c r="P248" i="2"/>
  <c r="P298" i="2"/>
  <c r="P772" i="2"/>
  <c r="P339" i="2"/>
  <c r="P421" i="2"/>
  <c r="P580" i="2"/>
  <c r="P707" i="2"/>
  <c r="P61" i="2"/>
  <c r="P375" i="2"/>
  <c r="P534" i="2"/>
  <c r="P687" i="2"/>
  <c r="P499" i="2"/>
  <c r="P344" i="2"/>
  <c r="P676" i="2"/>
  <c r="P615" i="2"/>
  <c r="P626" i="2"/>
  <c r="P350" i="2"/>
  <c r="P117" i="2"/>
  <c r="Q319" i="2"/>
  <c r="Q493" i="2"/>
  <c r="Q671" i="2"/>
  <c r="Q718" i="2"/>
  <c r="Q738" i="2"/>
  <c r="Q375" i="2"/>
  <c r="Q102" i="2"/>
  <c r="Q624" i="2"/>
  <c r="Q615" i="2"/>
  <c r="Q750" i="2"/>
  <c r="Q351" i="2"/>
  <c r="Q653" i="2"/>
  <c r="Q313" i="2"/>
  <c r="Q502" i="2"/>
  <c r="Q111" i="2"/>
  <c r="Q277" i="2"/>
  <c r="Q460" i="2"/>
  <c r="Q466" i="2"/>
  <c r="Q120" i="2"/>
  <c r="Q99" i="2"/>
  <c r="Q678" i="2"/>
  <c r="Q195" i="2"/>
  <c r="Q612" i="2"/>
  <c r="Q282" i="2"/>
  <c r="Q762" i="2"/>
  <c r="Q311" i="2"/>
  <c r="Q378" i="2"/>
  <c r="Q462" i="2"/>
  <c r="Q700" i="2"/>
  <c r="Q611" i="2"/>
  <c r="Q279" i="2"/>
  <c r="Q720" i="2"/>
  <c r="Q214" i="2"/>
  <c r="Q399" i="2"/>
  <c r="S246" i="2"/>
  <c r="S613" i="2"/>
  <c r="R68" i="2"/>
  <c r="T455" i="2"/>
  <c r="S110" i="2"/>
  <c r="T758" i="2"/>
  <c r="T494" i="2"/>
  <c r="R513" i="2"/>
  <c r="S530" i="2"/>
  <c r="T603" i="2"/>
  <c r="T129" i="2"/>
  <c r="S221" i="2"/>
  <c r="R342" i="2"/>
  <c r="Q413" i="2"/>
  <c r="Q662" i="2"/>
  <c r="Q385" i="2"/>
  <c r="Q227" i="2"/>
  <c r="Q465" i="2"/>
  <c r="Q741" i="2"/>
  <c r="Q287" i="2"/>
  <c r="Q267" i="2"/>
  <c r="Q442" i="2"/>
  <c r="Q130" i="2"/>
  <c r="Q74" i="2"/>
  <c r="Q84" i="2"/>
  <c r="Q643" i="2"/>
  <c r="Q293" i="2"/>
  <c r="Q620" i="2"/>
  <c r="R469" i="2"/>
  <c r="R104" i="2"/>
  <c r="T369" i="2"/>
  <c r="T226" i="2"/>
  <c r="T96" i="2"/>
  <c r="R529" i="2"/>
  <c r="T100" i="2"/>
  <c r="R88" i="2"/>
  <c r="R754" i="2"/>
  <c r="R732" i="2"/>
  <c r="R426" i="2"/>
  <c r="R714" i="2"/>
  <c r="R109" i="2"/>
  <c r="T88" i="2"/>
  <c r="R550" i="2"/>
  <c r="S263" i="2"/>
  <c r="T521" i="2"/>
  <c r="R375" i="2"/>
  <c r="S48" i="2"/>
  <c r="S71" i="2"/>
  <c r="R137" i="2"/>
  <c r="S556" i="2"/>
  <c r="T739" i="2"/>
  <c r="T177" i="2"/>
  <c r="T61" i="2"/>
  <c r="T596" i="2"/>
  <c r="R429" i="2"/>
  <c r="T264" i="2"/>
  <c r="S766" i="2"/>
  <c r="R411" i="2"/>
  <c r="R44" i="2"/>
  <c r="T680" i="2"/>
  <c r="R492" i="2"/>
  <c r="T640" i="2"/>
  <c r="T751" i="2"/>
  <c r="R99" i="2"/>
  <c r="R725" i="2"/>
  <c r="S731" i="2"/>
  <c r="S763" i="2"/>
  <c r="R50" i="2"/>
  <c r="T85" i="2"/>
  <c r="R402" i="2"/>
  <c r="T551" i="2"/>
  <c r="T752" i="2"/>
  <c r="R252" i="2"/>
  <c r="R234" i="2"/>
  <c r="T173" i="2"/>
  <c r="S318" i="2"/>
  <c r="T520" i="2"/>
  <c r="R526" i="2"/>
  <c r="S377" i="2"/>
  <c r="R640" i="2"/>
  <c r="T736" i="2"/>
  <c r="T203" i="2"/>
  <c r="R650" i="2"/>
  <c r="R220" i="2"/>
  <c r="T495" i="2"/>
  <c r="S363" i="2"/>
  <c r="R603" i="2"/>
  <c r="R470" i="2"/>
  <c r="T376" i="2"/>
  <c r="R582" i="2"/>
  <c r="R387" i="2"/>
  <c r="T509" i="2"/>
  <c r="T484" i="2"/>
  <c r="R719" i="2"/>
  <c r="R456" i="2"/>
  <c r="T424" i="2"/>
  <c r="T385" i="2"/>
  <c r="S560" i="2"/>
  <c r="R708" i="2"/>
  <c r="R783" i="2"/>
  <c r="T169" i="2"/>
  <c r="T123" i="2"/>
  <c r="T654" i="2"/>
  <c r="R688" i="2"/>
  <c r="R299" i="2"/>
  <c r="S743" i="2"/>
  <c r="T130" i="2"/>
  <c r="R488" i="2"/>
  <c r="S361" i="2"/>
  <c r="T143" i="2"/>
  <c r="S273" i="2"/>
  <c r="S152" i="2"/>
  <c r="S403" i="2"/>
  <c r="S396" i="2"/>
  <c r="S485" i="2"/>
  <c r="S389" i="2"/>
  <c r="T344" i="2"/>
  <c r="R200" i="2"/>
  <c r="S346" i="2"/>
  <c r="S262" i="2"/>
  <c r="S252" i="2"/>
  <c r="S253" i="2"/>
  <c r="S398" i="2"/>
  <c r="S355" i="2"/>
  <c r="R269" i="2"/>
  <c r="R398" i="2"/>
  <c r="T163" i="2"/>
  <c r="T368" i="2"/>
  <c r="Q77" i="2"/>
  <c r="Q80" i="2"/>
  <c r="Q376" i="2"/>
  <c r="Q623" i="2"/>
  <c r="Q285" i="2"/>
  <c r="Q150" i="2"/>
  <c r="Q387" i="2"/>
  <c r="Q677" i="2"/>
  <c r="Q629" i="2"/>
  <c r="Q356" i="2"/>
  <c r="Q315" i="2"/>
  <c r="Q576" i="2"/>
  <c r="S784" i="2"/>
  <c r="R610" i="2"/>
  <c r="T737" i="2"/>
  <c r="R309" i="2"/>
  <c r="R61" i="2"/>
  <c r="S351" i="2"/>
  <c r="T94" i="2"/>
  <c r="R74" i="2"/>
  <c r="S546" i="2"/>
  <c r="R537" i="2"/>
  <c r="T178" i="2"/>
  <c r="T131" i="2"/>
  <c r="R79" i="2"/>
  <c r="T57" i="2"/>
  <c r="T425" i="2"/>
  <c r="R131" i="2"/>
  <c r="S639" i="2"/>
  <c r="R237" i="2"/>
  <c r="S58" i="2"/>
  <c r="T91" i="2"/>
  <c r="T176" i="2"/>
  <c r="S127" i="2"/>
  <c r="T788" i="2"/>
  <c r="T438" i="2"/>
  <c r="S85" i="2"/>
  <c r="S588" i="2"/>
  <c r="S569" i="2"/>
  <c r="T198" i="2"/>
  <c r="S770" i="2"/>
  <c r="R532" i="2"/>
  <c r="T40" i="2"/>
  <c r="S623" i="2"/>
  <c r="R716" i="2"/>
  <c r="T569" i="2"/>
  <c r="R643" i="2"/>
  <c r="T41" i="2"/>
  <c r="R687" i="2"/>
  <c r="T422" i="2"/>
  <c r="R340" i="2"/>
  <c r="T70" i="2"/>
  <c r="S105" i="2"/>
  <c r="R612" i="2"/>
  <c r="R628" i="2"/>
  <c r="T496" i="2"/>
  <c r="T256" i="2"/>
  <c r="S196" i="2"/>
  <c r="R723" i="2"/>
  <c r="S390" i="2"/>
  <c r="R753" i="2"/>
  <c r="S308" i="2"/>
  <c r="R136" i="2"/>
  <c r="R649" i="2"/>
  <c r="T503" i="2"/>
  <c r="R218" i="2"/>
  <c r="S689" i="2"/>
  <c r="S387" i="2"/>
  <c r="R501" i="2"/>
  <c r="S760" i="2"/>
  <c r="T341" i="2"/>
  <c r="S783" i="2"/>
  <c r="R318" i="2"/>
  <c r="T124" i="2"/>
  <c r="R641" i="2"/>
  <c r="S527" i="2"/>
  <c r="T159" i="2"/>
  <c r="S642" i="2"/>
  <c r="T696" i="2"/>
  <c r="T410" i="2"/>
  <c r="T367" i="2"/>
  <c r="R637" i="2"/>
  <c r="S597" i="2"/>
  <c r="T398" i="2"/>
  <c r="T139" i="2"/>
  <c r="S376" i="2"/>
  <c r="S664" i="2"/>
  <c r="S626" i="2"/>
  <c r="T480" i="2"/>
  <c r="T606" i="2"/>
  <c r="T191" i="2"/>
  <c r="R422" i="2"/>
  <c r="S474" i="2"/>
  <c r="S416" i="2"/>
  <c r="R346" i="2"/>
  <c r="S410" i="2"/>
  <c r="R361" i="2"/>
  <c r="R414" i="2"/>
  <c r="T343" i="2"/>
  <c r="R212" i="2"/>
  <c r="R544" i="2"/>
  <c r="S241" i="2"/>
  <c r="S295" i="2"/>
  <c r="S171" i="2"/>
  <c r="T158" i="2"/>
  <c r="T406" i="2"/>
  <c r="R404" i="2"/>
  <c r="S325" i="2"/>
  <c r="T315" i="2"/>
  <c r="S251" i="2"/>
  <c r="S165" i="2"/>
  <c r="R374" i="2"/>
  <c r="Q326" i="2"/>
  <c r="Q599" i="2"/>
  <c r="Q363" i="2"/>
  <c r="Q156" i="2"/>
  <c r="Q541" i="2"/>
  <c r="Q224" i="2"/>
  <c r="Q139" i="2"/>
  <c r="Q124" i="2"/>
  <c r="Q89" i="2"/>
  <c r="Q343" i="2"/>
  <c r="Q545" i="2"/>
  <c r="Q73" i="2"/>
  <c r="Q596" i="2"/>
  <c r="Q428" i="2"/>
  <c r="Q49" i="2"/>
  <c r="Q391" i="2"/>
  <c r="Q257" i="2"/>
  <c r="Q416" i="2"/>
  <c r="Q145" i="2"/>
  <c r="Q218" i="2"/>
  <c r="Q392" i="2"/>
  <c r="Q208" i="2"/>
  <c r="Q592" i="2"/>
  <c r="Q249" i="2"/>
  <c r="Q526" i="2"/>
  <c r="Q778" i="2"/>
  <c r="Q708" i="2"/>
  <c r="R108" i="2"/>
  <c r="T122" i="2"/>
  <c r="T346" i="2"/>
  <c r="T69" i="2"/>
  <c r="T53" i="2"/>
  <c r="S488" i="2"/>
  <c r="T90" i="2"/>
  <c r="S49" i="2"/>
  <c r="S670" i="2"/>
  <c r="R150" i="2"/>
  <c r="R256" i="2"/>
  <c r="T154" i="2"/>
  <c r="S106" i="2"/>
  <c r="R103" i="2"/>
  <c r="T708" i="2"/>
  <c r="T756" i="2"/>
  <c r="R556" i="2"/>
  <c r="S279" i="2"/>
  <c r="S99" i="2"/>
  <c r="S68" i="2"/>
  <c r="T497" i="2"/>
  <c r="R639" i="2"/>
  <c r="S440" i="2"/>
  <c r="S419" i="2"/>
  <c r="R112" i="2"/>
  <c r="T723" i="2"/>
  <c r="S625" i="2"/>
  <c r="S514" i="2"/>
  <c r="R272" i="2"/>
  <c r="R47" i="2"/>
  <c r="R96" i="2"/>
  <c r="T785" i="2"/>
  <c r="R632" i="2"/>
  <c r="S717" i="2"/>
  <c r="T719" i="2"/>
  <c r="S86" i="2"/>
  <c r="S358" i="2"/>
  <c r="T296" i="2"/>
  <c r="S655" i="2"/>
  <c r="S80" i="2"/>
  <c r="S111" i="2"/>
  <c r="R614" i="2"/>
  <c r="S535" i="2"/>
  <c r="T650" i="2"/>
  <c r="R673" i="2"/>
  <c r="R652" i="2"/>
  <c r="S769" i="2"/>
  <c r="T781" i="2"/>
  <c r="R554" i="2"/>
  <c r="T335" i="2"/>
  <c r="R662" i="2"/>
  <c r="T453" i="2"/>
  <c r="T689" i="2"/>
  <c r="S359" i="2"/>
  <c r="S585" i="2"/>
  <c r="S780" i="2"/>
  <c r="S584" i="2"/>
  <c r="S632" i="2"/>
  <c r="T473" i="2"/>
  <c r="S641" i="2"/>
  <c r="T312" i="2"/>
  <c r="R576" i="2"/>
  <c r="S159" i="2"/>
  <c r="R197" i="2"/>
  <c r="T292" i="2"/>
  <c r="T261" i="2"/>
  <c r="T388" i="2"/>
  <c r="T721" i="2"/>
  <c r="T601" i="2"/>
  <c r="T716" i="2"/>
  <c r="T127" i="2"/>
  <c r="T490" i="2"/>
  <c r="R349" i="2"/>
  <c r="T531" i="2"/>
  <c r="S380" i="2"/>
  <c r="R607" i="2"/>
  <c r="R181" i="2"/>
  <c r="S193" i="2"/>
  <c r="T782" i="2"/>
  <c r="S438" i="2"/>
  <c r="R425" i="2"/>
  <c r="S457" i="2"/>
  <c r="T516" i="2"/>
  <c r="R457" i="2"/>
  <c r="S163" i="2"/>
  <c r="T668" i="2"/>
  <c r="S256" i="2"/>
  <c r="T314" i="2"/>
  <c r="R246" i="2"/>
  <c r="R691" i="2"/>
  <c r="S312" i="2"/>
  <c r="T634" i="2"/>
  <c r="T535" i="2"/>
  <c r="S149" i="2"/>
  <c r="S177" i="2"/>
  <c r="S511" i="2"/>
  <c r="S418" i="2"/>
  <c r="R225" i="2"/>
  <c r="S335" i="2"/>
  <c r="S176" i="2"/>
  <c r="Q72" i="2"/>
  <c r="Q342" i="2"/>
  <c r="Q108" i="2"/>
  <c r="Q537" i="2"/>
  <c r="Q259" i="2"/>
  <c r="Q169" i="2"/>
  <c r="Q166" i="2"/>
  <c r="Q749" i="2"/>
  <c r="Q192" i="2"/>
  <c r="Q501" i="2"/>
  <c r="Q507" i="2"/>
  <c r="S84" i="2"/>
  <c r="R504" i="2"/>
  <c r="R279" i="2"/>
  <c r="R63" i="2"/>
  <c r="R325" i="2"/>
  <c r="S634" i="2"/>
  <c r="R110" i="2"/>
  <c r="S62" i="2"/>
  <c r="S483" i="2"/>
  <c r="R778" i="2"/>
  <c r="R684" i="2"/>
  <c r="T214" i="2"/>
  <c r="T65" i="2"/>
  <c r="R98" i="2"/>
  <c r="T750" i="2"/>
  <c r="R717" i="2"/>
  <c r="R780" i="2"/>
  <c r="R670" i="2"/>
  <c r="T42" i="2"/>
  <c r="R769" i="2"/>
  <c r="R368" i="2"/>
  <c r="R459" i="2"/>
  <c r="S571" i="2"/>
  <c r="T511" i="2"/>
  <c r="S78" i="2"/>
  <c r="S509" i="2"/>
  <c r="T741" i="2"/>
  <c r="T311" i="2"/>
  <c r="R514" i="2"/>
  <c r="S67" i="2"/>
  <c r="R60" i="2"/>
  <c r="T339" i="2"/>
  <c r="S669" i="2"/>
  <c r="S732" i="2"/>
  <c r="R509" i="2"/>
  <c r="S76" i="2"/>
  <c r="R591" i="2"/>
  <c r="S739" i="2"/>
  <c r="S541" i="2"/>
  <c r="S56" i="2"/>
  <c r="T78" i="2"/>
  <c r="R621" i="2"/>
  <c r="R567" i="2"/>
  <c r="S738" i="2"/>
  <c r="S249" i="2"/>
  <c r="T193" i="2"/>
  <c r="R176" i="2"/>
  <c r="S240" i="2"/>
  <c r="T735" i="2"/>
  <c r="T543" i="2"/>
  <c r="R289" i="2"/>
  <c r="T182" i="2"/>
  <c r="S587" i="2"/>
  <c r="T457" i="2"/>
  <c r="R229" i="2"/>
  <c r="T621" i="2"/>
  <c r="S190" i="2"/>
  <c r="S242" i="2"/>
  <c r="T187" i="2"/>
  <c r="S513" i="2"/>
  <c r="S222" i="2"/>
  <c r="S218" i="2"/>
  <c r="S638" i="2"/>
  <c r="T508" i="2"/>
  <c r="S175" i="2"/>
  <c r="T685" i="2"/>
  <c r="S365" i="2"/>
  <c r="T679" i="2"/>
  <c r="T677" i="2"/>
  <c r="T720" i="2"/>
  <c r="T681" i="2"/>
  <c r="R232" i="2"/>
  <c r="S506" i="2"/>
  <c r="S666" i="2"/>
  <c r="R765" i="2"/>
  <c r="T770" i="2"/>
  <c r="R415" i="2"/>
  <c r="S191" i="2"/>
  <c r="R690" i="2"/>
  <c r="R428" i="2"/>
  <c r="R742" i="2"/>
  <c r="T466" i="2"/>
  <c r="T499" i="2"/>
  <c r="T395" i="2"/>
  <c r="S213" i="2"/>
  <c r="S417" i="2"/>
  <c r="R485" i="2"/>
  <c r="R327" i="2"/>
  <c r="T189" i="2"/>
  <c r="S570" i="2"/>
  <c r="T715" i="2"/>
  <c r="R481" i="2"/>
  <c r="T151" i="2"/>
  <c r="R123" i="2"/>
  <c r="T279" i="2"/>
  <c r="S518" i="2"/>
  <c r="S143" i="2"/>
  <c r="S561" i="2"/>
  <c r="S344" i="2"/>
  <c r="R575" i="2"/>
  <c r="Q565" i="2"/>
  <c r="Q691" i="2"/>
  <c r="Q370" i="2"/>
  <c r="Q505" i="2"/>
  <c r="Q147" i="2"/>
  <c r="Q180" i="2"/>
  <c r="Q109" i="2"/>
  <c r="Q280" i="2"/>
  <c r="Q228" i="2"/>
  <c r="Q674" i="2"/>
  <c r="Q664" i="2"/>
  <c r="Q369" i="2"/>
  <c r="Q252" i="2"/>
  <c r="S79" i="2"/>
  <c r="T224" i="2"/>
  <c r="T404" i="2"/>
  <c r="S64" i="2"/>
  <c r="T562" i="2"/>
  <c r="T740" i="2"/>
  <c r="S102" i="2"/>
  <c r="T71" i="2"/>
  <c r="S631" i="2"/>
  <c r="S733" i="2"/>
  <c r="R551" i="2"/>
  <c r="S180" i="2"/>
  <c r="S72" i="2"/>
  <c r="R70" i="2"/>
  <c r="T432" i="2"/>
  <c r="R461" i="2"/>
  <c r="T633" i="2"/>
  <c r="R746" i="2"/>
  <c r="T39" i="2"/>
  <c r="S426" i="2"/>
  <c r="S422" i="2"/>
  <c r="R268" i="2"/>
  <c r="R260" i="2"/>
  <c r="S228" i="2"/>
  <c r="T60" i="2"/>
  <c r="R660" i="2"/>
  <c r="T731" i="2"/>
  <c r="T769" i="2"/>
  <c r="S520" i="2"/>
  <c r="S91" i="2"/>
  <c r="T63" i="2"/>
  <c r="R624" i="2"/>
  <c r="S448" i="2"/>
  <c r="S204" i="2"/>
  <c r="R581" i="2"/>
  <c r="T55" i="2"/>
  <c r="R696" i="2"/>
  <c r="T784" i="2"/>
  <c r="R261" i="2"/>
  <c r="T50" i="2"/>
  <c r="T45" i="2"/>
  <c r="R179" i="2"/>
  <c r="S496" i="2"/>
  <c r="R145" i="2"/>
  <c r="S272" i="2"/>
  <c r="T604" i="2"/>
  <c r="T651" i="2"/>
  <c r="R683" i="2"/>
  <c r="T724" i="2"/>
  <c r="R257" i="2"/>
  <c r="S441" i="2"/>
  <c r="R583" i="2"/>
  <c r="S617" i="2"/>
  <c r="T493" i="2"/>
  <c r="S565" i="2"/>
  <c r="T652" i="2"/>
  <c r="R366" i="2"/>
  <c r="R156" i="2"/>
  <c r="S601" i="2"/>
  <c r="T373" i="2"/>
  <c r="S331" i="2"/>
  <c r="S293" i="2"/>
  <c r="S330" i="2"/>
  <c r="T571" i="2"/>
  <c r="R341" i="2"/>
  <c r="R474" i="2"/>
  <c r="T408" i="2"/>
  <c r="R495" i="2"/>
  <c r="T616" i="2"/>
  <c r="R585" i="2"/>
  <c r="T234" i="2"/>
  <c r="S643" i="2"/>
  <c r="R183" i="2"/>
  <c r="T522" i="2"/>
  <c r="T128" i="2"/>
  <c r="T570" i="2"/>
  <c r="R489" i="2"/>
  <c r="R508" i="2"/>
  <c r="R206" i="2"/>
  <c r="T194" i="2"/>
  <c r="T199" i="2"/>
  <c r="S115" i="2"/>
  <c r="R148" i="2"/>
  <c r="T447" i="2"/>
  <c r="S245" i="2"/>
  <c r="R619" i="2"/>
  <c r="S423" i="2"/>
  <c r="T693" i="2"/>
  <c r="S238" i="2"/>
  <c r="R348" i="2"/>
  <c r="S125" i="2"/>
  <c r="R117" i="2"/>
  <c r="R516" i="2"/>
  <c r="R243" i="2"/>
  <c r="T418" i="2"/>
  <c r="T299" i="2"/>
  <c r="R167" i="2"/>
  <c r="T760" i="2"/>
  <c r="T149" i="2"/>
  <c r="S500" i="2"/>
  <c r="Q414" i="2"/>
  <c r="Q233" i="2"/>
  <c r="Q647" i="2"/>
  <c r="Q339" i="2"/>
  <c r="Q299" i="2"/>
  <c r="Q687" i="2"/>
  <c r="Q239" i="2"/>
  <c r="Q509" i="2"/>
  <c r="Q152" i="2"/>
  <c r="Q478" i="2"/>
  <c r="Q379" i="2"/>
  <c r="Q559" i="2"/>
  <c r="Q459" i="2"/>
  <c r="Q673" i="2"/>
  <c r="S98" i="2"/>
  <c r="S777" i="2"/>
  <c r="S280" i="2"/>
  <c r="S54" i="2"/>
  <c r="T510" i="2"/>
  <c r="R740" i="2"/>
  <c r="T79" i="2"/>
  <c r="T712" i="2"/>
  <c r="T282" i="2"/>
  <c r="S704" i="2"/>
  <c r="S762" i="2"/>
  <c r="T146" i="2"/>
  <c r="T110" i="2"/>
  <c r="R57" i="2"/>
  <c r="T574" i="2"/>
  <c r="R733" i="2"/>
  <c r="R766" i="2"/>
  <c r="S158" i="2"/>
  <c r="R81" i="2"/>
  <c r="T683" i="2"/>
  <c r="S141" i="2"/>
  <c r="T284" i="2"/>
  <c r="R498" i="2"/>
  <c r="T102" i="2"/>
  <c r="S44" i="2"/>
  <c r="T572" i="2"/>
  <c r="T658" i="2"/>
  <c r="S524" i="2"/>
  <c r="S602" i="2"/>
  <c r="R92" i="2"/>
  <c r="R83" i="2"/>
  <c r="S285" i="2"/>
  <c r="S773" i="2"/>
  <c r="T734" i="2"/>
  <c r="T44" i="2"/>
  <c r="R55" i="2"/>
  <c r="T534" i="2"/>
  <c r="S665" i="2"/>
  <c r="S311" i="2"/>
  <c r="R41" i="2"/>
  <c r="R91" i="2"/>
  <c r="R675" i="2"/>
  <c r="T593" i="2"/>
  <c r="T611" i="2"/>
  <c r="T174" i="2"/>
  <c r="R602" i="2"/>
  <c r="R539" i="2"/>
  <c r="T360" i="2"/>
  <c r="T431" i="2"/>
  <c r="R543" i="2"/>
  <c r="S146" i="2"/>
  <c r="T302" i="2"/>
  <c r="S693" i="2"/>
  <c r="T470" i="2"/>
  <c r="R568" i="2"/>
  <c r="R356" i="2"/>
  <c r="T456" i="2"/>
  <c r="S688" i="2"/>
  <c r="R502" i="2"/>
  <c r="R703" i="2"/>
  <c r="R198" i="2"/>
  <c r="R594" i="2"/>
  <c r="S411" i="2"/>
  <c r="R362" i="2"/>
  <c r="T132" i="2"/>
  <c r="R534" i="2"/>
  <c r="R182" i="2"/>
  <c r="T762" i="2"/>
  <c r="S697" i="2"/>
  <c r="T358" i="2"/>
  <c r="S727" i="2"/>
  <c r="S599" i="2"/>
  <c r="S200" i="2"/>
  <c r="R697" i="2"/>
  <c r="R538" i="2"/>
  <c r="S454" i="2"/>
  <c r="S701" i="2"/>
  <c r="S283" i="2"/>
  <c r="S206" i="2"/>
  <c r="R400" i="2"/>
  <c r="R572" i="2"/>
  <c r="S282" i="2"/>
  <c r="S257" i="2"/>
  <c r="R771" i="2"/>
  <c r="T202" i="2"/>
  <c r="S468" i="2"/>
  <c r="R223" i="2"/>
  <c r="S310" i="2"/>
  <c r="T347" i="2"/>
  <c r="R711" i="2"/>
  <c r="R355" i="2"/>
  <c r="S550" i="2"/>
  <c r="S306" i="2"/>
  <c r="T687" i="2"/>
  <c r="S276" i="2"/>
  <c r="T349" i="2"/>
  <c r="T262" i="2"/>
  <c r="T578" i="2"/>
  <c r="T165" i="2"/>
  <c r="S742" i="2"/>
  <c r="Q284" i="2"/>
  <c r="Q699" i="2"/>
  <c r="Q103" i="2"/>
  <c r="Q40" i="2"/>
  <c r="Q304" i="2"/>
  <c r="Q663" i="2"/>
  <c r="Q480" i="2"/>
  <c r="Q787" i="2"/>
  <c r="Q318" i="2"/>
  <c r="Q371" i="2"/>
  <c r="Q262" i="2"/>
  <c r="Q560" i="2"/>
  <c r="Q222" i="2"/>
  <c r="Q737" i="2"/>
  <c r="T77" i="2"/>
  <c r="T746" i="2"/>
  <c r="T631" i="2"/>
  <c r="T48" i="2"/>
  <c r="T549" i="2"/>
  <c r="S680" i="2"/>
  <c r="R678" i="2"/>
  <c r="R95" i="2"/>
  <c r="S711" i="2"/>
  <c r="R749" i="2"/>
  <c r="T645" i="2"/>
  <c r="T568" i="2"/>
  <c r="R491" i="2"/>
  <c r="R105" i="2"/>
  <c r="R277" i="2"/>
  <c r="S472" i="2"/>
  <c r="S379" i="2"/>
  <c r="R718" i="2"/>
  <c r="S646" i="2"/>
  <c r="T52" i="2"/>
  <c r="T588" i="2"/>
  <c r="R143" i="2"/>
  <c r="R241" i="2"/>
  <c r="R521" i="2"/>
  <c r="R101" i="2"/>
  <c r="S75" i="2"/>
  <c r="S653" i="2"/>
  <c r="S578" i="2"/>
  <c r="S674" i="2"/>
  <c r="R570" i="2"/>
  <c r="S92" i="2"/>
  <c r="T97" i="2"/>
  <c r="S678" i="2"/>
  <c r="R303" i="2"/>
  <c r="S381" i="2"/>
  <c r="T106" i="2"/>
  <c r="T86" i="2"/>
  <c r="R233" i="2"/>
  <c r="S453" i="2"/>
  <c r="T624" i="2"/>
  <c r="R73" i="2"/>
  <c r="R752" i="2"/>
  <c r="T441" i="2"/>
  <c r="T744" i="2"/>
  <c r="T259" i="2"/>
  <c r="S723" i="2"/>
  <c r="S618" i="2"/>
  <c r="R430" i="2"/>
  <c r="T729" i="2"/>
  <c r="T618" i="2"/>
  <c r="S349" i="2"/>
  <c r="R444" i="2"/>
  <c r="T283" i="2"/>
  <c r="T394" i="2"/>
  <c r="R251" i="2"/>
  <c r="R724" i="2"/>
  <c r="T378" i="2"/>
  <c r="R599" i="2"/>
  <c r="T179" i="2"/>
  <c r="T263" i="2"/>
  <c r="T774" i="2"/>
  <c r="R383" i="2"/>
  <c r="T207" i="2"/>
  <c r="S573" i="2"/>
  <c r="S435" i="2"/>
  <c r="R169" i="2"/>
  <c r="S185" i="2"/>
  <c r="T300" i="2"/>
  <c r="R656" i="2"/>
  <c r="S495" i="2"/>
  <c r="T501" i="2"/>
  <c r="R319" i="2"/>
  <c r="T377" i="2"/>
  <c r="T573" i="2"/>
  <c r="T743" i="2"/>
  <c r="T235" i="2"/>
  <c r="S590" i="2"/>
  <c r="S741" i="2"/>
  <c r="R677" i="2"/>
  <c r="S534" i="2"/>
  <c r="R386" i="2"/>
  <c r="R172" i="2"/>
  <c r="R376" i="2"/>
  <c r="T325" i="2"/>
  <c r="R288" i="2"/>
  <c r="R280" i="2"/>
  <c r="R540" i="2"/>
  <c r="T500" i="2"/>
  <c r="R487" i="2"/>
  <c r="S248" i="2"/>
  <c r="S582" i="2"/>
  <c r="T598" i="2"/>
  <c r="T301" i="2"/>
  <c r="S270" i="2"/>
  <c r="S201" i="2"/>
  <c r="S384" i="2"/>
  <c r="S140" i="2"/>
  <c r="S128" i="2"/>
  <c r="S294" i="2"/>
  <c r="S558" i="2"/>
  <c r="T420" i="2"/>
  <c r="Q137" i="2"/>
  <c r="Q698" i="2"/>
  <c r="Q474" i="2"/>
  <c r="Q650" i="2"/>
  <c r="Q546" i="2"/>
  <c r="Q149" i="2"/>
  <c r="Q767" i="2"/>
  <c r="Q240" i="2"/>
  <c r="Q322" i="2"/>
  <c r="Q627" i="2"/>
  <c r="Q197" i="2"/>
  <c r="Q260" i="2"/>
  <c r="S95" i="2"/>
  <c r="S658" i="2"/>
  <c r="S305" i="2"/>
  <c r="S70" i="2"/>
  <c r="S540" i="2"/>
  <c r="S612" i="2"/>
  <c r="R510" i="2"/>
  <c r="S88" i="2"/>
  <c r="T525" i="2"/>
  <c r="T630" i="2"/>
  <c r="R702" i="2"/>
  <c r="R760" i="2"/>
  <c r="T609" i="2"/>
  <c r="S109" i="2"/>
  <c r="S787" i="2"/>
  <c r="R757" i="2"/>
  <c r="R707" i="2"/>
  <c r="R736" i="2"/>
  <c r="S672" i="2"/>
  <c r="S90" i="2"/>
  <c r="R595" i="2"/>
  <c r="S616" i="2"/>
  <c r="S220" i="2"/>
  <c r="T589" i="2"/>
  <c r="T67" i="2"/>
  <c r="T76" i="2"/>
  <c r="T727" i="2"/>
  <c r="S269" i="2"/>
  <c r="T642" i="2"/>
  <c r="S586" i="2"/>
  <c r="S42" i="2"/>
  <c r="S94" i="2"/>
  <c r="R744" i="2"/>
  <c r="R439" i="2"/>
  <c r="T498" i="2"/>
  <c r="T66" i="2"/>
  <c r="S93" i="2"/>
  <c r="T768" i="2"/>
  <c r="T548" i="2"/>
  <c r="R642" i="2"/>
  <c r="T111" i="2"/>
  <c r="T629" i="2"/>
  <c r="R338" i="2"/>
  <c r="S298" i="2"/>
  <c r="R250" i="2"/>
  <c r="T309" i="2"/>
  <c r="R174" i="2"/>
  <c r="T518" i="2"/>
  <c r="R731" i="2"/>
  <c r="R258" i="2"/>
  <c r="T541" i="2"/>
  <c r="T433" i="2"/>
  <c r="S487" i="2"/>
  <c r="S388" i="2"/>
  <c r="R410" i="2"/>
  <c r="R785" i="2"/>
  <c r="S455" i="2"/>
  <c r="S651" i="2"/>
  <c r="T213" i="2"/>
  <c r="T391" i="2"/>
  <c r="S341" i="2"/>
  <c r="S620" i="2"/>
  <c r="T144" i="2"/>
  <c r="S385" i="2"/>
  <c r="T554" i="2"/>
  <c r="T644" i="2"/>
  <c r="T778" i="2"/>
  <c r="S549" i="2"/>
  <c r="T390" i="2"/>
  <c r="R211" i="2"/>
  <c r="T538" i="2"/>
  <c r="R635" i="2"/>
  <c r="R219" i="2"/>
  <c r="R580" i="2"/>
  <c r="S314" i="2"/>
  <c r="R168" i="2"/>
  <c r="S477" i="2"/>
  <c r="S574" i="2"/>
  <c r="T142" i="2"/>
  <c r="S479" i="2"/>
  <c r="R259" i="2"/>
  <c r="S378" i="2"/>
  <c r="S225" i="2"/>
  <c r="R523" i="2"/>
  <c r="R381" i="2"/>
  <c r="S131" i="2"/>
  <c r="R360" i="2"/>
  <c r="S160" i="2"/>
  <c r="T643" i="2"/>
  <c r="T180" i="2"/>
  <c r="T399" i="2"/>
  <c r="R213" i="2"/>
  <c r="T656" i="2"/>
  <c r="R264" i="2"/>
  <c r="R597" i="2"/>
  <c r="T409" i="2"/>
  <c r="T192" i="2"/>
  <c r="R418" i="2"/>
  <c r="R171" i="2"/>
  <c r="T423" i="2"/>
  <c r="R545" i="2"/>
  <c r="Q520" i="2"/>
  <c r="Q464" i="2"/>
  <c r="Q201" i="2"/>
  <c r="Q290" i="2"/>
  <c r="Q748" i="2"/>
  <c r="Q764" i="2"/>
  <c r="Q743" i="2"/>
  <c r="Q301" i="2"/>
  <c r="Q683" i="2"/>
  <c r="Q468" i="2"/>
  <c r="Q324" i="2"/>
  <c r="Q518" i="2"/>
  <c r="Q178" i="2"/>
  <c r="Q182" i="2"/>
  <c r="R58" i="2"/>
  <c r="T200" i="2"/>
  <c r="R672" i="2"/>
  <c r="R80" i="2"/>
  <c r="R659" i="2"/>
  <c r="S300" i="2"/>
  <c r="R453" i="2"/>
  <c r="R71" i="2"/>
  <c r="R701" i="2"/>
  <c r="T458" i="2"/>
  <c r="T386" i="2"/>
  <c r="T204" i="2"/>
  <c r="S735" i="2"/>
  <c r="R54" i="2"/>
  <c r="S467" i="2"/>
  <c r="S554" i="2"/>
  <c r="T664" i="2"/>
  <c r="R559" i="2"/>
  <c r="R64" i="2"/>
  <c r="R111" i="2"/>
  <c r="T514" i="2"/>
  <c r="R596" i="2"/>
  <c r="S663" i="2"/>
  <c r="T703" i="2"/>
  <c r="T103" i="2"/>
  <c r="S51" i="2"/>
  <c r="T400" i="2"/>
  <c r="R476" i="2"/>
  <c r="T526" i="2"/>
  <c r="T564" i="2"/>
  <c r="R97" i="2"/>
  <c r="S87" i="2"/>
  <c r="S356" i="2"/>
  <c r="R661" i="2"/>
  <c r="R527" i="2"/>
  <c r="R90" i="2"/>
  <c r="S59" i="2"/>
  <c r="S683" i="2"/>
  <c r="T591" i="2"/>
  <c r="S501" i="2"/>
  <c r="S40" i="2"/>
  <c r="S517" i="2"/>
  <c r="T524" i="2"/>
  <c r="T248" i="2"/>
  <c r="T776" i="2"/>
  <c r="R520" i="2"/>
  <c r="T728" i="2"/>
  <c r="R588" i="2"/>
  <c r="T672" i="2"/>
  <c r="S749" i="2"/>
  <c r="R189" i="2"/>
  <c r="R547" i="2"/>
  <c r="T448" i="2"/>
  <c r="S208" i="2"/>
  <c r="T702" i="2"/>
  <c r="S605" i="2"/>
  <c r="S350" i="2"/>
  <c r="R676" i="2"/>
  <c r="T392" i="2"/>
  <c r="S659" i="2"/>
  <c r="R503" i="2"/>
  <c r="S589" i="2"/>
  <c r="S699" i="2"/>
  <c r="T415" i="2"/>
  <c r="T670" i="2"/>
  <c r="S498" i="2"/>
  <c r="T322" i="2"/>
  <c r="T237" i="2"/>
  <c r="T476" i="2"/>
  <c r="S668" i="2"/>
  <c r="S545" i="2"/>
  <c r="T528" i="2"/>
  <c r="R669" i="2"/>
  <c r="T647" i="2"/>
  <c r="T592" i="2"/>
  <c r="S523" i="2"/>
  <c r="R146" i="2"/>
  <c r="T730" i="2"/>
  <c r="T638" i="2"/>
  <c r="R396" i="2"/>
  <c r="S464" i="2"/>
  <c r="R149" i="2"/>
  <c r="T243" i="2"/>
  <c r="T336" i="2"/>
  <c r="R227" i="2"/>
  <c r="T675" i="2"/>
  <c r="S290" i="2"/>
  <c r="S116" i="2"/>
  <c r="S129" i="2"/>
  <c r="R162" i="2"/>
  <c r="R239" i="2"/>
  <c r="T231" i="2"/>
  <c r="R443" i="2"/>
  <c r="T133" i="2"/>
  <c r="S469" i="2"/>
  <c r="R153" i="2"/>
  <c r="R608" i="2"/>
  <c r="T134" i="2"/>
  <c r="T288" i="2"/>
  <c r="T714" i="2"/>
  <c r="R294" i="2"/>
  <c r="Q234" i="2"/>
  <c r="Q430" i="2"/>
  <c r="Q686" i="2"/>
  <c r="Q144" i="2"/>
  <c r="Q735" i="2"/>
  <c r="Q397" i="2"/>
  <c r="Q461" i="2"/>
  <c r="Q438" i="2"/>
  <c r="Q123" i="2"/>
  <c r="Q410" i="2"/>
  <c r="Q300" i="2"/>
  <c r="Q303" i="2"/>
  <c r="Q198" i="2"/>
  <c r="Q307" i="2"/>
  <c r="R65" i="2"/>
  <c r="R775" i="2"/>
  <c r="T667" i="2"/>
  <c r="S752" i="2"/>
  <c r="T759" i="2"/>
  <c r="R553" i="2"/>
  <c r="T56" i="2"/>
  <c r="S82" i="2"/>
  <c r="T482" i="2"/>
  <c r="T353" i="2"/>
  <c r="S705" i="2"/>
  <c r="T384" i="2"/>
  <c r="R761" i="2"/>
  <c r="T84" i="2"/>
  <c r="R352" i="2"/>
  <c r="T210" i="2"/>
  <c r="S594" i="2"/>
  <c r="R407" i="2"/>
  <c r="R77" i="2"/>
  <c r="T82" i="2"/>
  <c r="R738" i="2"/>
  <c r="T324" i="2"/>
  <c r="S730" i="2"/>
  <c r="T684" i="2"/>
  <c r="T93" i="2"/>
  <c r="S57" i="2"/>
  <c r="S722" i="2"/>
  <c r="S522" i="2"/>
  <c r="R281" i="2"/>
  <c r="R555" i="2"/>
  <c r="R86" i="2"/>
  <c r="S77" i="2"/>
  <c r="R305" i="2"/>
  <c r="T547" i="2"/>
  <c r="T350" i="2"/>
  <c r="T59" i="2"/>
  <c r="S46" i="2"/>
  <c r="T550" i="2"/>
  <c r="R437" i="2"/>
  <c r="T608" i="2"/>
  <c r="R52" i="2"/>
  <c r="T722" i="2"/>
  <c r="R140" i="2"/>
  <c r="S647" i="2"/>
  <c r="T559" i="2"/>
  <c r="S444" i="2"/>
  <c r="S694" i="2"/>
  <c r="R589" i="2"/>
  <c r="S415" i="2"/>
  <c r="T479" i="2"/>
  <c r="S640" i="2"/>
  <c r="T307" i="2"/>
  <c r="T706" i="2"/>
  <c r="T412" i="2"/>
  <c r="R138" i="2"/>
  <c r="R328" i="2"/>
  <c r="T584" i="2"/>
  <c r="T639" i="2"/>
  <c r="S183" i="2"/>
  <c r="T216" i="2"/>
  <c r="S628" i="2"/>
  <c r="R561" i="2"/>
  <c r="T471" i="2"/>
  <c r="R436" i="2"/>
  <c r="S667" i="2"/>
  <c r="S515" i="2"/>
  <c r="R704" i="2"/>
  <c r="S429" i="2"/>
  <c r="S393" i="2"/>
  <c r="S227" i="2"/>
  <c r="T354" i="2"/>
  <c r="S134" i="2"/>
  <c r="R417" i="2"/>
  <c r="T317" i="2"/>
  <c r="R175" i="2"/>
  <c r="R438" i="2"/>
  <c r="S397" i="2"/>
  <c r="S635" i="2"/>
  <c r="T444" i="2"/>
  <c r="R389" i="2"/>
  <c r="T666" i="2"/>
  <c r="R298" i="2"/>
  <c r="T161" i="2"/>
  <c r="R432" i="2"/>
  <c r="R134" i="2"/>
  <c r="T227" i="2"/>
  <c r="R323" i="2"/>
  <c r="T430" i="2"/>
  <c r="R191" i="2"/>
  <c r="S292" i="2"/>
  <c r="T460" i="2"/>
  <c r="R692" i="2"/>
  <c r="R310" i="2"/>
  <c r="T212" i="2"/>
  <c r="T371" i="2"/>
  <c r="T387" i="2"/>
  <c r="T215" i="2"/>
  <c r="R214" i="2"/>
  <c r="R405" i="2"/>
  <c r="R230" i="2"/>
  <c r="T411" i="2"/>
  <c r="Q270" i="2"/>
  <c r="Q453" i="2"/>
  <c r="Q211" i="2"/>
  <c r="Q575" i="2"/>
  <c r="Q358" i="2"/>
  <c r="Q338" i="2"/>
  <c r="Q436" i="2"/>
  <c r="Q314" i="2"/>
  <c r="Q510" i="2"/>
  <c r="Q394" i="2"/>
  <c r="Q66" i="2"/>
  <c r="Q382" i="2"/>
  <c r="T401" i="2"/>
  <c r="T747" i="2"/>
  <c r="R53" i="2"/>
  <c r="S304" i="2"/>
  <c r="T477" i="2"/>
  <c r="T676" i="2"/>
  <c r="T109" i="2"/>
  <c r="S43" i="2"/>
  <c r="R634" i="2"/>
  <c r="T280" i="2"/>
  <c r="S497" i="2"/>
  <c r="R524" i="2"/>
  <c r="R450" i="2"/>
  <c r="T108" i="2"/>
  <c r="S580" i="2"/>
  <c r="T435" i="2"/>
  <c r="T419" i="2"/>
  <c r="S591" i="2"/>
  <c r="S103" i="2"/>
  <c r="S73" i="2"/>
  <c r="R741" i="2"/>
  <c r="R254" i="2"/>
  <c r="T699" i="2"/>
  <c r="T523" i="2"/>
  <c r="S47" i="2"/>
  <c r="S101" i="2"/>
  <c r="T673" i="2"/>
  <c r="T648" i="2"/>
  <c r="S755" i="2"/>
  <c r="S662" i="2"/>
  <c r="S39" i="2"/>
  <c r="S107" i="2"/>
  <c r="R353" i="2"/>
  <c r="S703" i="2"/>
  <c r="R363" i="2"/>
  <c r="S89" i="2"/>
  <c r="S97" i="2"/>
  <c r="T502" i="2"/>
  <c r="S473" i="2"/>
  <c r="R665" i="2"/>
  <c r="T47" i="2"/>
  <c r="R586" i="2"/>
  <c r="R623" i="2"/>
  <c r="S695" i="2"/>
  <c r="T626" i="2"/>
  <c r="S450" i="2"/>
  <c r="R739" i="2"/>
  <c r="T767" i="2"/>
  <c r="S459" i="2"/>
  <c r="S505" i="2"/>
  <c r="T452" i="2"/>
  <c r="R535" i="2"/>
  <c r="T565" i="2"/>
  <c r="T705" i="2"/>
  <c r="T136" i="2"/>
  <c r="R464" i="2"/>
  <c r="T294" i="2"/>
  <c r="S720" i="2"/>
  <c r="T704" i="2"/>
  <c r="R276" i="2"/>
  <c r="T323" i="2"/>
  <c r="S232" i="2"/>
  <c r="S583" i="2"/>
  <c r="T472" i="2"/>
  <c r="T517" i="2"/>
  <c r="R629" i="2"/>
  <c r="T188" i="2"/>
  <c r="T272" i="2"/>
  <c r="S211" i="2"/>
  <c r="S139" i="2"/>
  <c r="T726" i="2"/>
  <c r="T461" i="2"/>
  <c r="S465" i="2"/>
  <c r="T678" i="2"/>
  <c r="T725" i="2"/>
  <c r="S627" i="2"/>
  <c r="R571" i="2"/>
  <c r="S709" i="2"/>
  <c r="T617" i="2"/>
  <c r="R737" i="2"/>
  <c r="S532" i="2"/>
  <c r="R548" i="2"/>
  <c r="S147" i="2"/>
  <c r="S288" i="2"/>
  <c r="T305" i="2"/>
  <c r="T352" i="2"/>
  <c r="T267" i="2"/>
  <c r="R609" i="2"/>
  <c r="S138" i="2"/>
  <c r="R196" i="2"/>
  <c r="T732" i="2"/>
  <c r="R127" i="2"/>
  <c r="R606" i="2"/>
  <c r="S250" i="2"/>
  <c r="T671" i="2"/>
  <c r="R308" i="2"/>
  <c r="T160" i="2"/>
  <c r="R215" i="2"/>
  <c r="T242" i="2"/>
  <c r="T115" i="2"/>
  <c r="T155" i="2"/>
  <c r="Q261" i="2"/>
  <c r="Q350" i="2"/>
  <c r="Q110" i="2"/>
  <c r="Q335" i="2"/>
  <c r="Q251" i="2"/>
  <c r="Q595" i="2"/>
  <c r="Q539" i="2"/>
  <c r="Q219" i="2"/>
  <c r="Q633" i="2"/>
  <c r="Q364" i="2"/>
  <c r="Q486" i="2"/>
  <c r="Q63" i="2"/>
  <c r="Q407" i="2"/>
  <c r="Q296" i="2"/>
  <c r="Q594" i="2"/>
  <c r="Q271" i="2"/>
  <c r="Q441" i="2"/>
  <c r="Q60" i="2"/>
  <c r="Q327" i="2"/>
  <c r="Q528" i="2"/>
  <c r="Q220" i="2"/>
  <c r="Q129" i="2"/>
  <c r="Q143" i="2"/>
  <c r="Q68" i="2"/>
  <c r="Q390" i="2"/>
  <c r="Q788" i="2"/>
  <c r="Q775" i="2"/>
  <c r="S778" i="2"/>
  <c r="R755" i="2"/>
  <c r="R51" i="2"/>
  <c r="T663" i="2"/>
  <c r="R663" i="2"/>
  <c r="T772" i="2"/>
  <c r="R100" i="2"/>
  <c r="S66" i="2"/>
  <c r="R727" i="2"/>
  <c r="T316" i="2"/>
  <c r="R611" i="2"/>
  <c r="T529" i="2"/>
  <c r="S100" i="2"/>
  <c r="T74" i="2"/>
  <c r="S661" i="2"/>
  <c r="R515" i="2"/>
  <c r="T659" i="2"/>
  <c r="T657" i="2"/>
  <c r="R106" i="2"/>
  <c r="R82" i="2"/>
  <c r="T364" i="2"/>
  <c r="T766" i="2"/>
  <c r="R647" i="2"/>
  <c r="T579" i="2"/>
  <c r="R113" i="2"/>
  <c r="T113" i="2"/>
  <c r="T780" i="2"/>
  <c r="R579" i="2"/>
  <c r="S721" i="2"/>
  <c r="T553" i="2"/>
  <c r="S61" i="2"/>
  <c r="R533" i="2"/>
  <c r="R674" i="2"/>
  <c r="S660" i="2"/>
  <c r="T537" i="2"/>
  <c r="T73" i="2"/>
  <c r="T83" i="2"/>
  <c r="R564" i="2"/>
  <c r="R463" i="2"/>
  <c r="T257" i="2"/>
  <c r="T92" i="2"/>
  <c r="R622" i="2"/>
  <c r="S606" i="2"/>
  <c r="R244" i="2"/>
  <c r="S648" i="2"/>
  <c r="S247" i="2"/>
  <c r="S608" i="2"/>
  <c r="R187" i="2"/>
  <c r="S442" i="2"/>
  <c r="S212" i="2"/>
  <c r="R451" i="2"/>
  <c r="T504" i="2"/>
  <c r="S614" i="2"/>
  <c r="S603" i="2"/>
  <c r="T137" i="2"/>
  <c r="S575" i="2"/>
  <c r="S420" i="2"/>
  <c r="R221" i="2"/>
  <c r="R648" i="2"/>
  <c r="R115" i="2"/>
  <c r="T783" i="2"/>
  <c r="S713" i="2"/>
  <c r="T407" i="2"/>
  <c r="S431" i="2"/>
  <c r="R326" i="2"/>
  <c r="S772" i="2"/>
  <c r="S466" i="2"/>
  <c r="S563" i="2"/>
  <c r="R126" i="2"/>
  <c r="T436" i="2"/>
  <c r="T116" i="2"/>
  <c r="S761" i="2"/>
  <c r="R558" i="2"/>
  <c r="S278" i="2"/>
  <c r="T599" i="2"/>
  <c r="R295" i="2"/>
  <c r="T329" i="2"/>
  <c r="R631" i="2"/>
  <c r="R671" i="2"/>
  <c r="S153" i="2"/>
  <c r="R522" i="2"/>
  <c r="S405" i="2"/>
  <c r="S181" i="2"/>
  <c r="T577" i="2"/>
  <c r="S329" i="2"/>
  <c r="T152" i="2"/>
  <c r="R379" i="2"/>
  <c r="S581" i="2"/>
  <c r="T181" i="2"/>
  <c r="T273" i="2"/>
  <c r="T175" i="2"/>
  <c r="R190" i="2"/>
  <c r="S155" i="2"/>
  <c r="S421" i="2"/>
  <c r="T779" i="2"/>
  <c r="T229" i="2"/>
  <c r="S182" i="2"/>
  <c r="T268" i="2"/>
  <c r="T269" i="2"/>
  <c r="T120" i="2"/>
  <c r="R144" i="2"/>
  <c r="Q291" i="2"/>
  <c r="Q258" i="2"/>
  <c r="Q685" i="2"/>
  <c r="Q577" i="2"/>
  <c r="Q417" i="2"/>
  <c r="Q141" i="2"/>
  <c r="Q175" i="2"/>
  <c r="Q680" i="2"/>
  <c r="Q121" i="2"/>
  <c r="Q409" i="2"/>
  <c r="Q752" i="2"/>
  <c r="Q538" i="2"/>
  <c r="S451" i="2"/>
  <c r="T321" i="2"/>
  <c r="S60" i="2"/>
  <c r="R636" i="2"/>
  <c r="S657" i="2"/>
  <c r="T49" i="2"/>
  <c r="S108" i="2"/>
  <c r="R107" i="2"/>
  <c r="T558" i="2"/>
  <c r="R574" i="2"/>
  <c r="S277" i="2"/>
  <c r="R680" i="2"/>
  <c r="R76" i="2"/>
  <c r="T72" i="2"/>
  <c r="S475" i="2"/>
  <c r="S533" i="2"/>
  <c r="R531" i="2"/>
  <c r="R720" i="2"/>
  <c r="T64" i="2"/>
  <c r="S81" i="2"/>
  <c r="S493" i="2"/>
  <c r="T686" i="2"/>
  <c r="S698" i="2"/>
  <c r="R401" i="2"/>
  <c r="R102" i="2"/>
  <c r="S74" i="2"/>
  <c r="T519" i="2"/>
  <c r="R385" i="2"/>
  <c r="S656" i="2"/>
  <c r="S529" i="2"/>
  <c r="S52" i="2"/>
  <c r="R472" i="2"/>
  <c r="R679" i="2"/>
  <c r="R788" i="2"/>
  <c r="T560" i="2"/>
  <c r="S55" i="2"/>
  <c r="S652" i="2"/>
  <c r="S484" i="2"/>
  <c r="R666" i="2"/>
  <c r="S343" i="2"/>
  <c r="S53" i="2"/>
  <c r="R770" i="2"/>
  <c r="S598" i="2"/>
  <c r="T612" i="2"/>
  <c r="T442" i="2"/>
  <c r="T195" i="2"/>
  <c r="R694" i="2"/>
  <c r="S552" i="2"/>
  <c r="S316" i="2"/>
  <c r="R275" i="2"/>
  <c r="R625" i="2"/>
  <c r="T416" i="2"/>
  <c r="T636" i="2"/>
  <c r="S579" i="2"/>
  <c r="R248" i="2"/>
  <c r="S729" i="2"/>
  <c r="R155" i="2"/>
  <c r="T561" i="2"/>
  <c r="R217" i="2"/>
  <c r="S706" i="2"/>
  <c r="S636" i="2"/>
  <c r="T690" i="2"/>
  <c r="R782" i="2"/>
  <c r="T786" i="2"/>
  <c r="T777" i="2"/>
  <c r="T465" i="2"/>
  <c r="T469" i="2"/>
  <c r="T236" i="2"/>
  <c r="T661" i="2"/>
  <c r="R194" i="2"/>
  <c r="S707" i="2"/>
  <c r="S470" i="2"/>
  <c r="S758" i="2"/>
  <c r="R151" i="2"/>
  <c r="S714" i="2"/>
  <c r="R705" i="2"/>
  <c r="S287" i="2"/>
  <c r="T463" i="2"/>
  <c r="S696" i="2"/>
  <c r="S255" i="2"/>
  <c r="S259" i="2"/>
  <c r="R420" i="2"/>
  <c r="T172" i="2"/>
  <c r="T297" i="2"/>
  <c r="T665" i="2"/>
  <c r="R304" i="2"/>
  <c r="T773" i="2"/>
  <c r="R166" i="2"/>
  <c r="T277" i="2"/>
  <c r="S320" i="2"/>
  <c r="R541" i="2"/>
  <c r="R267" i="2"/>
  <c r="T544" i="2"/>
  <c r="T156" i="2"/>
  <c r="S715" i="2"/>
  <c r="S233" i="2"/>
  <c r="S124" i="2"/>
  <c r="R290" i="2"/>
  <c r="S324" i="2"/>
  <c r="T600" i="2"/>
  <c r="T270" i="2"/>
  <c r="Q628" i="2"/>
  <c r="Q179" i="2"/>
  <c r="Q69" i="2"/>
  <c r="Q310" i="2"/>
  <c r="Q696" i="2"/>
  <c r="Q217" i="2"/>
  <c r="Q194" i="2"/>
  <c r="Q415" i="2"/>
  <c r="Q354" i="2"/>
  <c r="Q243" i="2"/>
  <c r="Q331" i="2"/>
  <c r="Q142" i="2"/>
  <c r="Q241" i="2"/>
  <c r="R658" i="2"/>
  <c r="T488" i="2"/>
  <c r="T413" i="2"/>
  <c r="R747" i="2"/>
  <c r="T754" i="2"/>
  <c r="R87" i="2"/>
  <c r="T43" i="2"/>
  <c r="S83" i="2"/>
  <c r="T711" i="2"/>
  <c r="T333" i="2"/>
  <c r="S687" i="2"/>
  <c r="T429" i="2"/>
  <c r="R78" i="2"/>
  <c r="T54" i="2"/>
  <c r="S447" i="2"/>
  <c r="R667" i="2"/>
  <c r="R467" i="2"/>
  <c r="S564" i="2"/>
  <c r="S69" i="2"/>
  <c r="T62" i="2"/>
  <c r="S750" i="2"/>
  <c r="T628" i="2"/>
  <c r="R351" i="2"/>
  <c r="S724" i="2"/>
  <c r="S96" i="2"/>
  <c r="R89" i="2"/>
  <c r="T607" i="2"/>
  <c r="R446" i="2"/>
  <c r="R689" i="2"/>
  <c r="S326" i="2"/>
  <c r="R59" i="2"/>
  <c r="R777" i="2"/>
  <c r="R466" i="2"/>
  <c r="S776" i="2"/>
  <c r="T342" i="2"/>
  <c r="R40" i="2"/>
  <c r="R721" i="2"/>
  <c r="S439" i="2"/>
  <c r="S157" i="2"/>
  <c r="R499" i="2"/>
  <c r="R69" i="2"/>
  <c r="S759" i="2"/>
  <c r="T483" i="2"/>
  <c r="R682" i="2"/>
  <c r="R756" i="2"/>
  <c r="S413" i="2"/>
  <c r="T475" i="2"/>
  <c r="S144" i="2"/>
  <c r="R685" i="2"/>
  <c r="R722" i="2"/>
  <c r="R399" i="2"/>
  <c r="R569" i="2"/>
  <c r="S118" i="2"/>
  <c r="R236" i="2"/>
  <c r="R235" i="2"/>
  <c r="S117" i="2"/>
  <c r="T295" i="2"/>
  <c r="R291" i="2"/>
  <c r="R774" i="2"/>
  <c r="T170" i="2"/>
  <c r="R497" i="2"/>
  <c r="S548" i="2"/>
  <c r="T613" i="2"/>
  <c r="S400" i="2"/>
  <c r="T434" i="2"/>
  <c r="R505" i="2"/>
  <c r="T660" i="2"/>
  <c r="T147" i="2"/>
  <c r="S740" i="2"/>
  <c r="R209" i="2"/>
  <c r="S401" i="2"/>
  <c r="S753" i="2"/>
  <c r="S443" i="2"/>
  <c r="R193" i="2"/>
  <c r="T691" i="2"/>
  <c r="R135" i="2"/>
  <c r="T586" i="2"/>
  <c r="T542" i="2"/>
  <c r="T459" i="2"/>
  <c r="T287" i="2"/>
  <c r="T682" i="2"/>
  <c r="S178" i="2"/>
  <c r="S333" i="2"/>
  <c r="R511" i="2"/>
  <c r="T225" i="2"/>
  <c r="S172" i="2"/>
  <c r="S482" i="2"/>
  <c r="S151" i="2"/>
  <c r="R163" i="2"/>
  <c r="T230" i="2"/>
  <c r="R480" i="2"/>
  <c r="R266" i="2"/>
  <c r="R173" i="2"/>
  <c r="T114" i="2"/>
  <c r="R626" i="2"/>
  <c r="T318" i="2"/>
  <c r="S271" i="2"/>
  <c r="S226" i="2"/>
  <c r="S372" i="2"/>
  <c r="S391" i="2"/>
  <c r="R125" i="2"/>
  <c r="R93" i="2"/>
  <c r="S476" i="2"/>
  <c r="S371" i="2"/>
  <c r="S719" i="2"/>
  <c r="S321" i="2"/>
  <c r="T89" i="2"/>
  <c r="T80" i="2"/>
  <c r="R435" i="2"/>
  <c r="T787" i="2"/>
  <c r="S619" i="2"/>
  <c r="R762" i="2"/>
  <c r="T104" i="2"/>
  <c r="R75" i="2"/>
  <c r="S566" i="2"/>
  <c r="R519" i="2"/>
  <c r="S543" i="2"/>
  <c r="R779" i="2"/>
  <c r="S50" i="2"/>
  <c r="R84" i="2"/>
  <c r="T489" i="2"/>
  <c r="R726" i="2"/>
  <c r="R598" i="2"/>
  <c r="T118" i="2"/>
  <c r="T99" i="2"/>
  <c r="T112" i="2"/>
  <c r="R460" i="2"/>
  <c r="S519" i="2"/>
  <c r="T582" i="2"/>
  <c r="R563" i="2"/>
  <c r="S289" i="2"/>
  <c r="R85" i="2"/>
  <c r="S782" i="2"/>
  <c r="R496" i="2"/>
  <c r="R668" i="2"/>
  <c r="S449" i="2"/>
  <c r="T164" i="2"/>
  <c r="T567" i="2"/>
  <c r="R546" i="2"/>
  <c r="R710" i="2"/>
  <c r="R287" i="2"/>
  <c r="R129" i="2"/>
  <c r="R686" i="2"/>
  <c r="R371" i="2"/>
  <c r="S481" i="2"/>
  <c r="S301" i="2"/>
  <c r="S463" i="2"/>
  <c r="T208" i="2"/>
  <c r="S544" i="2"/>
  <c r="R207" i="2"/>
  <c r="S209" i="2"/>
  <c r="T757" i="2"/>
  <c r="S681" i="2"/>
  <c r="S539" i="2"/>
  <c r="T293" i="2"/>
  <c r="S317" i="2"/>
  <c r="T396" i="2"/>
  <c r="S754" i="2"/>
  <c r="T468" i="2"/>
  <c r="S486" i="2"/>
  <c r="R178" i="2"/>
  <c r="S281" i="2"/>
  <c r="T619" i="2"/>
  <c r="S526" i="2"/>
  <c r="R403" i="2"/>
  <c r="T637" i="2"/>
  <c r="R772" i="2"/>
  <c r="R378" i="2"/>
  <c r="R745" i="2"/>
  <c r="T557" i="2"/>
  <c r="R530" i="2"/>
  <c r="T625" i="2"/>
  <c r="R242" i="2"/>
  <c r="S174" i="2"/>
  <c r="T281" i="2"/>
  <c r="T362" i="2"/>
  <c r="T414" i="2"/>
  <c r="T166" i="2"/>
  <c r="S645" i="2"/>
  <c r="S512" i="2"/>
  <c r="R759" i="2"/>
  <c r="S402" i="2"/>
  <c r="S210" i="2"/>
  <c r="T467" i="2"/>
  <c r="R578" i="2"/>
  <c r="T402" i="2"/>
  <c r="R536" i="2"/>
  <c r="T478" i="2"/>
  <c r="T597" i="2"/>
  <c r="T426" i="2"/>
  <c r="R442" i="2"/>
  <c r="R238" i="2"/>
  <c r="R253" i="2"/>
  <c r="S265" i="2"/>
  <c r="S367" i="2"/>
  <c r="R263" i="2"/>
  <c r="S188" i="2"/>
  <c r="S114" i="2"/>
  <c r="T653" i="2"/>
  <c r="R573" i="2"/>
  <c r="T627" i="2"/>
  <c r="R292" i="2"/>
  <c r="T361" i="2"/>
  <c r="T595" i="2"/>
  <c r="T150" i="2"/>
  <c r="R152" i="2"/>
  <c r="S521" i="2"/>
  <c r="R768" i="2"/>
  <c r="R440" i="2"/>
  <c r="R380" i="2"/>
  <c r="R271" i="2"/>
  <c r="S244" i="2"/>
  <c r="S267" i="2"/>
  <c r="T140" i="2"/>
  <c r="T555" i="2"/>
  <c r="S120" i="2"/>
  <c r="S235" i="2"/>
  <c r="S286" i="2"/>
  <c r="R324" i="2"/>
  <c r="T738" i="2"/>
  <c r="R494" i="2"/>
  <c r="R408" i="2"/>
  <c r="R240" i="2"/>
  <c r="R147" i="2"/>
  <c r="S542" i="2"/>
  <c r="S230" i="2"/>
  <c r="S274" i="2"/>
  <c r="S412" i="2"/>
  <c r="R712" i="2"/>
  <c r="R506" i="2"/>
  <c r="T697" i="2"/>
  <c r="S334" i="2"/>
  <c r="T98" i="2"/>
  <c r="T105" i="2"/>
  <c r="T614" i="2"/>
  <c r="T764" i="2"/>
  <c r="R700" i="2"/>
  <c r="R141" i="2"/>
  <c r="T265" i="2"/>
  <c r="S41" i="2"/>
  <c r="R542" i="2"/>
  <c r="T239" i="2"/>
  <c r="R465" i="2"/>
  <c r="R448" i="2"/>
  <c r="T462" i="2"/>
  <c r="R730" i="2"/>
  <c r="S368" i="2"/>
  <c r="R307" i="2"/>
  <c r="T250" i="2"/>
  <c r="T298" i="2"/>
  <c r="R493" i="2"/>
  <c r="S788" i="2"/>
  <c r="S219" i="2"/>
  <c r="R590" i="2"/>
  <c r="R743" i="2"/>
  <c r="T304" i="2"/>
  <c r="T351" i="2"/>
  <c r="T372" i="2"/>
  <c r="R393" i="2"/>
  <c r="S734" i="2"/>
  <c r="R332" i="2"/>
  <c r="T254" i="2"/>
  <c r="S610" i="2"/>
  <c r="T649" i="2"/>
  <c r="T421" i="2"/>
  <c r="S531" i="2"/>
  <c r="R577" i="2"/>
  <c r="R330" i="2"/>
  <c r="T286" i="2"/>
  <c r="S199" i="2"/>
  <c r="R728" i="2"/>
  <c r="S399" i="2"/>
  <c r="R447" i="2"/>
  <c r="S239" i="2"/>
  <c r="R644" i="2"/>
  <c r="T717" i="2"/>
  <c r="T576" i="2"/>
  <c r="T223" i="2"/>
  <c r="T775" i="2"/>
  <c r="R423" i="2"/>
  <c r="S323" i="2"/>
  <c r="T381" i="2"/>
  <c r="T356" i="2"/>
  <c r="R484" i="2"/>
  <c r="R748" i="2"/>
  <c r="R394" i="2"/>
  <c r="S234" i="2"/>
  <c r="R397" i="2"/>
  <c r="R653" i="2"/>
  <c r="S775" i="2"/>
  <c r="R664" i="2"/>
  <c r="R433" i="2"/>
  <c r="T379" i="2"/>
  <c r="S744" i="2"/>
  <c r="S130" i="2"/>
  <c r="T701" i="2"/>
  <c r="S434" i="2"/>
  <c r="R391" i="2"/>
  <c r="T363" i="2"/>
  <c r="T185" i="2"/>
  <c r="T190" i="2"/>
  <c r="R208" i="2"/>
  <c r="S339" i="2"/>
  <c r="R473" i="2"/>
  <c r="S261" i="2"/>
  <c r="S291" i="2"/>
  <c r="R184" i="2"/>
  <c r="R645" i="2"/>
  <c r="S538" i="2"/>
  <c r="S340" i="2"/>
  <c r="T251" i="2"/>
  <c r="R320" i="2"/>
  <c r="S132" i="2"/>
  <c r="T135" i="2"/>
  <c r="R333" i="2"/>
  <c r="S568" i="2"/>
  <c r="R119" i="2"/>
  <c r="R354" i="2"/>
  <c r="S491" i="2"/>
  <c r="T245" i="2"/>
  <c r="R177" i="2"/>
  <c r="S366" i="2"/>
  <c r="R357" i="2"/>
  <c r="R313" i="2"/>
  <c r="T184" i="2"/>
  <c r="S382" i="2"/>
  <c r="S119" i="2"/>
  <c r="R604" i="2"/>
  <c r="T310" i="2"/>
  <c r="T167" i="2"/>
  <c r="R116" i="2"/>
  <c r="S137" i="2"/>
  <c r="S537" i="2"/>
  <c r="S164" i="2"/>
  <c r="R413" i="2"/>
  <c r="S319" i="2"/>
  <c r="T201" i="2"/>
  <c r="R350" i="2"/>
  <c r="S609" i="2"/>
  <c r="S456" i="2"/>
  <c r="R630" i="2"/>
  <c r="S494" i="2"/>
  <c r="T695" i="2"/>
  <c r="T405" i="2"/>
  <c r="T583" i="2"/>
  <c r="R419" i="2"/>
  <c r="R273" i="2"/>
  <c r="R490" i="2"/>
  <c r="S576" i="2"/>
  <c r="R587" i="2"/>
  <c r="T417" i="2"/>
  <c r="R282" i="2"/>
  <c r="S764" i="2"/>
  <c r="T345" i="2"/>
  <c r="R364" i="2"/>
  <c r="R384" i="2"/>
  <c r="T337" i="2"/>
  <c r="T718" i="2"/>
  <c r="S407" i="2"/>
  <c r="R781" i="2"/>
  <c r="T763" i="2"/>
  <c r="R122" i="2"/>
  <c r="R729" i="2"/>
  <c r="S685" i="2"/>
  <c r="R452" i="2"/>
  <c r="S644" i="2"/>
  <c r="S702" i="2"/>
  <c r="S360" i="2"/>
  <c r="T486" i="2"/>
  <c r="S691" i="2"/>
  <c r="R205" i="2"/>
  <c r="S348" i="2"/>
  <c r="T532" i="2"/>
  <c r="R615" i="2"/>
  <c r="T765" i="2"/>
  <c r="S275" i="2"/>
  <c r="T505" i="2"/>
  <c r="R192" i="2"/>
  <c r="T380" i="2"/>
  <c r="S162" i="2"/>
  <c r="S547" i="2"/>
  <c r="T168" i="2"/>
  <c r="T440" i="2"/>
  <c r="S592" i="2"/>
  <c r="T445" i="2"/>
  <c r="S195" i="2"/>
  <c r="R222" i="2"/>
  <c r="S135" i="2"/>
  <c r="T733" i="2"/>
  <c r="T162" i="2"/>
  <c r="S551" i="2"/>
  <c r="T454" i="2"/>
  <c r="S169" i="2"/>
  <c r="S328" i="2"/>
  <c r="T313" i="2"/>
  <c r="R627" i="2"/>
  <c r="T530" i="2"/>
  <c r="S264" i="2"/>
  <c r="S184" i="2"/>
  <c r="R592" i="2"/>
  <c r="S364" i="2"/>
  <c r="S145" i="2"/>
  <c r="S198" i="2"/>
  <c r="T669" i="2"/>
  <c r="R657" i="2"/>
  <c r="S268" i="2"/>
  <c r="S126" i="2"/>
  <c r="R322" i="2"/>
  <c r="S337" i="2"/>
  <c r="T240" i="2"/>
  <c r="S370" i="2"/>
  <c r="S395" i="2"/>
  <c r="R284" i="2"/>
  <c r="R655" i="2"/>
  <c r="S224" i="2"/>
  <c r="S192" i="2"/>
  <c r="S302" i="2"/>
  <c r="T233" i="2"/>
  <c r="S202" i="2"/>
  <c r="T171" i="2"/>
  <c r="S223" i="2"/>
  <c r="T117" i="2"/>
  <c r="T125" i="2"/>
  <c r="R638" i="2"/>
  <c r="R458" i="2"/>
  <c r="S747" i="2"/>
  <c r="S203" i="2"/>
  <c r="R72" i="2"/>
  <c r="T101" i="2"/>
  <c r="R713" i="2"/>
  <c r="S726" i="2"/>
  <c r="T271" i="2"/>
  <c r="T446" i="2"/>
  <c r="T308" i="2"/>
  <c r="S622" i="2"/>
  <c r="S490" i="2"/>
  <c r="S768" i="2"/>
  <c r="T575" i="2"/>
  <c r="R434" i="2"/>
  <c r="T635" i="2"/>
  <c r="R245" i="2"/>
  <c r="T334" i="2"/>
  <c r="S187" i="2"/>
  <c r="R132" i="2"/>
  <c r="S771" i="2"/>
  <c r="T437" i="2"/>
  <c r="S332" i="2"/>
  <c r="S671" i="2"/>
  <c r="R312" i="2"/>
  <c r="R406" i="2"/>
  <c r="S621" i="2"/>
  <c r="S637" i="2"/>
  <c r="T266" i="2"/>
  <c r="S392" i="2"/>
  <c r="T443" i="2"/>
  <c r="S757" i="2"/>
  <c r="T655" i="2"/>
  <c r="R483" i="2"/>
  <c r="R565" i="2"/>
  <c r="R552" i="2"/>
  <c r="R274" i="2"/>
  <c r="T218" i="2"/>
  <c r="T563" i="2"/>
  <c r="S462" i="2"/>
  <c r="R395" i="2"/>
  <c r="S624" i="2"/>
  <c r="T506" i="2"/>
  <c r="R377" i="2"/>
  <c r="R336" i="2"/>
  <c r="T222" i="2"/>
  <c r="T183" i="2"/>
  <c r="S123" i="2"/>
  <c r="S148" i="2"/>
  <c r="S430" i="2"/>
  <c r="T580" i="2"/>
  <c r="T615" i="2"/>
  <c r="T221" i="2"/>
  <c r="T710" i="2"/>
  <c r="T306" i="2"/>
  <c r="T252" i="2"/>
  <c r="R695" i="2"/>
  <c r="R226" i="2"/>
  <c r="R165" i="2"/>
  <c r="T359" i="2"/>
  <c r="T255" i="2"/>
  <c r="S596" i="2"/>
  <c r="T290" i="2"/>
  <c r="R475" i="2"/>
  <c r="R224" i="2"/>
  <c r="T397" i="2"/>
  <c r="S414" i="2"/>
  <c r="T745" i="2"/>
  <c r="S630" i="2"/>
  <c r="S362" i="2"/>
  <c r="T481" i="2"/>
  <c r="R302" i="2"/>
  <c r="T566" i="2"/>
  <c r="S284" i="2"/>
  <c r="S207" i="2"/>
  <c r="R343" i="2"/>
  <c r="S296" i="2"/>
  <c r="S142" i="2"/>
  <c r="S154" i="2"/>
  <c r="S436" i="2"/>
  <c r="R750" i="2"/>
  <c r="R424" i="2"/>
  <c r="R118" i="2"/>
  <c r="S354" i="2"/>
  <c r="T327" i="2"/>
  <c r="R337" i="2"/>
  <c r="S728" i="2"/>
  <c r="S136" i="2"/>
  <c r="R646" i="2"/>
  <c r="R767" i="2"/>
  <c r="S682" i="2"/>
  <c r="S150" i="2"/>
  <c r="R382" i="2"/>
  <c r="S254" i="2"/>
  <c r="T428" i="2"/>
  <c r="S205" i="2"/>
  <c r="S765" i="2"/>
  <c r="S369" i="2"/>
  <c r="R392" i="2"/>
  <c r="S231" i="2"/>
  <c r="T253" i="2"/>
  <c r="R416" i="2"/>
  <c r="S121" i="2"/>
  <c r="T148" i="2"/>
  <c r="R296" i="2"/>
  <c r="T464" i="2"/>
  <c r="T585" i="2"/>
  <c r="T623" i="2"/>
  <c r="R367" i="2"/>
  <c r="S168" i="2"/>
  <c r="S424" i="2"/>
  <c r="S215" i="2"/>
  <c r="T275" i="2"/>
  <c r="S167" i="2"/>
  <c r="R285" i="2"/>
  <c r="R566" i="2"/>
  <c r="R500" i="2"/>
  <c r="T383" i="2"/>
  <c r="S345" i="2"/>
  <c r="R347" i="2"/>
  <c r="T205" i="2"/>
  <c r="R390" i="2"/>
  <c r="T632" i="2"/>
  <c r="S649" i="2"/>
  <c r="S507" i="2"/>
  <c r="S461" i="2"/>
  <c r="R199" i="2"/>
  <c r="R160" i="2"/>
  <c r="S375" i="2"/>
  <c r="T515" i="2"/>
  <c r="S595" i="2"/>
  <c r="R170" i="2"/>
  <c r="R431" i="2"/>
  <c r="R159" i="2"/>
  <c r="S460" i="2"/>
  <c r="R462" i="2"/>
  <c r="S299" i="2"/>
  <c r="R278" i="2"/>
  <c r="R139" i="2"/>
  <c r="S604" i="2"/>
  <c r="R286" i="2"/>
  <c r="T439" i="2"/>
  <c r="R128" i="2"/>
  <c r="R210" i="2"/>
  <c r="R786" i="2"/>
  <c r="R195" i="2"/>
  <c r="R517" i="2"/>
  <c r="S478" i="2"/>
  <c r="R593" i="2"/>
  <c r="S45" i="2"/>
  <c r="R154" i="2"/>
  <c r="R525" i="2"/>
  <c r="R776" i="2"/>
  <c r="S737" i="2"/>
  <c r="S751" i="2"/>
  <c r="T95" i="2"/>
  <c r="R66" i="2"/>
  <c r="S736" i="2"/>
  <c r="S562" i="2"/>
  <c r="T527" i="2"/>
  <c r="R751" i="2"/>
  <c r="R228" i="2"/>
  <c r="T492" i="2"/>
  <c r="S567" i="2"/>
  <c r="S237" i="2"/>
  <c r="S536" i="2"/>
  <c r="T247" i="2"/>
  <c r="T319" i="2"/>
  <c r="T119" i="2"/>
  <c r="T348" i="2"/>
  <c r="T389" i="2"/>
  <c r="R486" i="2"/>
  <c r="R388" i="2"/>
  <c r="T274" i="2"/>
  <c r="S633" i="2"/>
  <c r="S611" i="2"/>
  <c r="S216" i="2"/>
  <c r="S236" i="2"/>
  <c r="S654" i="2"/>
  <c r="T338" i="2"/>
  <c r="S452" i="2"/>
  <c r="R471" i="2"/>
  <c r="S725" i="2"/>
  <c r="R449" i="2"/>
  <c r="R512" i="2"/>
  <c r="S756" i="2"/>
  <c r="S357" i="2"/>
  <c r="T258" i="2"/>
  <c r="S629" i="2"/>
  <c r="T228" i="2"/>
  <c r="S394" i="2"/>
  <c r="R188" i="2"/>
  <c r="S746" i="2"/>
  <c r="R764" i="2"/>
  <c r="R297" i="2"/>
  <c r="T761" i="2"/>
  <c r="S555" i="2"/>
  <c r="R787" i="2"/>
  <c r="S307" i="2"/>
  <c r="T692" i="2"/>
  <c r="R345" i="2"/>
  <c r="S710" i="2"/>
  <c r="S572" i="2"/>
  <c r="S170" i="2"/>
  <c r="S675" i="2"/>
  <c r="T605" i="2"/>
  <c r="T366" i="2"/>
  <c r="T375" i="2"/>
  <c r="R681" i="2"/>
  <c r="S156" i="2"/>
  <c r="S712" i="2"/>
  <c r="R339" i="2"/>
  <c r="T594" i="2"/>
  <c r="S559" i="2"/>
  <c r="S489" i="2"/>
  <c r="S243" i="2"/>
  <c r="S297" i="2"/>
  <c r="T303" i="2"/>
  <c r="T545" i="2"/>
  <c r="R479" i="2"/>
  <c r="T141" i="2"/>
  <c r="S508" i="2"/>
  <c r="S309" i="2"/>
  <c r="R699" i="2"/>
  <c r="R142" i="2"/>
  <c r="R518" i="2"/>
  <c r="R331" i="2"/>
  <c r="R365" i="2"/>
  <c r="R231" i="2"/>
  <c r="R651" i="2"/>
  <c r="T546" i="2"/>
  <c r="S785" i="2"/>
  <c r="R372" i="2"/>
  <c r="R358" i="2"/>
  <c r="R706" i="2"/>
  <c r="S166" i="2"/>
  <c r="S528" i="2"/>
  <c r="S383" i="2"/>
  <c r="S471" i="2"/>
  <c r="S748" i="2"/>
  <c r="R334" i="2"/>
  <c r="R124" i="2"/>
  <c r="R204" i="2"/>
  <c r="R114" i="2"/>
  <c r="S197" i="2"/>
  <c r="T320" i="2"/>
  <c r="T217" i="2"/>
  <c r="T581" i="2"/>
  <c r="T326" i="2"/>
  <c r="T138" i="2"/>
  <c r="S303" i="2"/>
  <c r="T451" i="2"/>
  <c r="T449" i="2"/>
  <c r="S322" i="2"/>
  <c r="R633" i="2"/>
  <c r="R560" i="2"/>
  <c r="R605" i="2"/>
  <c r="R445" i="2"/>
  <c r="T370" i="2"/>
  <c r="R482" i="2"/>
  <c r="S229" i="2"/>
  <c r="T219" i="2"/>
  <c r="S615" i="2"/>
  <c r="R478" i="2"/>
  <c r="T244" i="2"/>
  <c r="T285" i="2"/>
  <c r="T698" i="2"/>
  <c r="R270" i="2"/>
  <c r="R562" i="2"/>
  <c r="R734" i="2"/>
  <c r="S502" i="2"/>
  <c r="T450" i="2"/>
  <c r="T536" i="2"/>
  <c r="S650" i="2"/>
  <c r="S492" i="2"/>
  <c r="T491" i="2"/>
  <c r="T276" i="2"/>
  <c r="T291" i="2"/>
  <c r="S386" i="2"/>
  <c r="R293" i="2"/>
  <c r="T512" i="2"/>
  <c r="S336" i="2"/>
  <c r="R201" i="2"/>
  <c r="T427" i="2"/>
  <c r="R306" i="2"/>
  <c r="R373" i="2"/>
  <c r="R185" i="2"/>
  <c r="R370" i="2"/>
  <c r="T249" i="2"/>
  <c r="S179" i="2"/>
  <c r="T238" i="2"/>
  <c r="R158" i="2"/>
  <c r="R249" i="2"/>
  <c r="S679" i="2"/>
  <c r="R120" i="2"/>
  <c r="S173" i="2"/>
  <c r="R247" i="2"/>
  <c r="S186" i="2"/>
  <c r="T196" i="2"/>
  <c r="T539" i="2"/>
  <c r="T260" i="2"/>
  <c r="S353" i="2"/>
  <c r="R130" i="2"/>
  <c r="R421" i="2"/>
  <c r="T197" i="2"/>
  <c r="R369" i="2"/>
  <c r="S266" i="2"/>
  <c r="R584" i="2"/>
  <c r="T355" i="2"/>
  <c r="R202" i="2"/>
  <c r="S214" i="2"/>
  <c r="R618" i="2"/>
  <c r="S432" i="2"/>
  <c r="R528" i="2"/>
  <c r="S458" i="2"/>
  <c r="R455" i="2"/>
  <c r="T403" i="2"/>
  <c r="T153" i="2"/>
  <c r="R427" i="2"/>
  <c r="V615" i="2" l="1"/>
  <c r="V140" i="2"/>
  <c r="V781" i="2"/>
  <c r="V424" i="2"/>
  <c r="V365" i="2"/>
  <c r="V44" i="2"/>
  <c r="V196" i="2"/>
  <c r="V776" i="2"/>
  <c r="V584" i="2"/>
  <c r="V222" i="2"/>
  <c r="V501" i="2"/>
  <c r="V237" i="2"/>
  <c r="V478" i="2"/>
  <c r="V761" i="2"/>
  <c r="V214" i="2"/>
  <c r="V121" i="2"/>
  <c r="V655" i="2"/>
  <c r="V446" i="2"/>
  <c r="V744" i="2"/>
  <c r="V305" i="2"/>
  <c r="V341" i="2"/>
  <c r="V482" i="2"/>
  <c r="V96" i="2"/>
  <c r="V41" i="2"/>
  <c r="V297" i="2"/>
  <c r="V284" i="2"/>
  <c r="V489" i="2"/>
  <c r="V66" i="2"/>
  <c r="V127" i="2"/>
  <c r="V304" i="2"/>
  <c r="V669" i="2"/>
  <c r="V104" i="2"/>
  <c r="V436" i="2"/>
  <c r="V535" i="2"/>
  <c r="V352" i="2"/>
  <c r="V207" i="2"/>
  <c r="V688" i="2"/>
  <c r="V296" i="2"/>
  <c r="V562" i="2"/>
  <c r="V656" i="2"/>
  <c r="V618" i="2"/>
  <c r="V279" i="2"/>
  <c r="V361" i="2"/>
  <c r="V103" i="2"/>
  <c r="V166" i="2"/>
  <c r="V141" i="2"/>
  <c r="V676" i="2"/>
  <c r="V63" i="2"/>
  <c r="V662" i="2"/>
  <c r="V177" i="2"/>
  <c r="V393" i="2"/>
  <c r="V550" i="2"/>
  <c r="V376" i="2"/>
  <c r="V342" i="2"/>
  <c r="V147" i="2"/>
  <c r="V464" i="2"/>
  <c r="V149" i="2"/>
  <c r="V345" i="2"/>
  <c r="V123" i="2"/>
  <c r="V460" i="2"/>
  <c r="V240" i="2"/>
  <c r="V180" i="2"/>
  <c r="V520" i="2"/>
  <c r="V233" i="2"/>
  <c r="V199" i="2"/>
  <c r="V679" i="2"/>
  <c r="V281" i="2"/>
  <c r="V107" i="2"/>
  <c r="V610" i="2"/>
  <c r="V654" i="2"/>
  <c r="V98" i="2"/>
  <c r="V260" i="2"/>
  <c r="V52" i="2"/>
  <c r="V548" i="2"/>
  <c r="V644" i="2"/>
  <c r="V751" i="2"/>
  <c r="V445" i="2"/>
  <c r="V768" i="2"/>
  <c r="V182" i="2"/>
  <c r="V398" i="2"/>
  <c r="V116" i="2"/>
  <c r="V624" i="2"/>
  <c r="V382" i="2"/>
  <c r="V710" i="2"/>
  <c r="V178" i="2"/>
  <c r="V718" i="2"/>
  <c r="V778" i="2"/>
  <c r="V540" i="2"/>
  <c r="V188" i="2"/>
  <c r="V282" i="2"/>
  <c r="V159" i="2"/>
  <c r="V740" i="2"/>
  <c r="V194" i="2"/>
  <c r="V483" i="2"/>
  <c r="V344" i="2"/>
  <c r="V577" i="2"/>
  <c r="V558" i="2"/>
  <c r="V650" i="2"/>
  <c r="V668" i="2"/>
  <c r="V114" i="2"/>
  <c r="V600" i="2"/>
  <c r="V348" i="2"/>
  <c r="V245" i="2"/>
  <c r="V49" i="2"/>
  <c r="V208" i="2"/>
  <c r="V87" i="2"/>
  <c r="V647" i="2"/>
  <c r="V336" i="2"/>
  <c r="V161" i="2"/>
  <c r="V448" i="2"/>
  <c r="V112" i="2"/>
  <c r="V120" i="2"/>
  <c r="V465" i="2"/>
  <c r="V258" i="2"/>
  <c r="V338" i="2"/>
  <c r="V151" i="2"/>
  <c r="V396" i="2"/>
  <c r="V752" i="2"/>
  <c r="V665" i="2"/>
  <c r="V529" i="2"/>
  <c r="V385" i="2"/>
  <c r="V251" i="2"/>
  <c r="V234" i="2"/>
  <c r="V585" i="2"/>
  <c r="V397" i="2"/>
  <c r="V236" i="2"/>
  <c r="V380" i="2"/>
  <c r="V723" i="2"/>
  <c r="V404" i="2"/>
  <c r="V255" i="2"/>
  <c r="V545" i="2"/>
  <c r="V629" i="2"/>
  <c r="V514" i="2"/>
  <c r="V480" i="2"/>
  <c r="V684" i="2"/>
  <c r="V102" i="2"/>
  <c r="V53" i="2"/>
  <c r="V704" i="2"/>
  <c r="V418" i="2"/>
  <c r="V430" i="2"/>
  <c r="V494" i="2"/>
  <c r="V499" i="2"/>
  <c r="V530" i="2"/>
  <c r="V671" i="2"/>
  <c r="V570" i="2"/>
  <c r="V698" i="2"/>
  <c r="V730" i="2"/>
  <c r="V766" i="2"/>
  <c r="V95" i="2"/>
  <c r="V160" i="2"/>
  <c r="V595" i="2"/>
  <c r="V420" i="2"/>
  <c r="V745" i="2"/>
  <c r="V408" i="2"/>
  <c r="V266" i="2"/>
  <c r="V721" i="2"/>
  <c r="V582" i="2"/>
  <c r="V82" i="2"/>
  <c r="V383" i="2"/>
  <c r="V674" i="2"/>
  <c r="V449" i="2"/>
  <c r="V316" i="2"/>
  <c r="V225" i="2"/>
  <c r="V646" i="2"/>
  <c r="V663" i="2"/>
  <c r="V368" i="2"/>
  <c r="V435" i="2"/>
  <c r="V162" i="2"/>
  <c r="V409" i="2"/>
  <c r="V609" i="2"/>
  <c r="V737" i="2"/>
  <c r="V313" i="2"/>
  <c r="V733" i="2"/>
  <c r="V593" i="2"/>
  <c r="V749" i="2"/>
  <c r="V68" i="2"/>
  <c r="V597" i="2"/>
  <c r="V757" i="2"/>
  <c r="V759" i="2"/>
  <c r="V136" i="2"/>
  <c r="V80" i="2"/>
  <c r="V218" i="2"/>
  <c r="V386" i="2"/>
  <c r="V539" i="2"/>
  <c r="V227" i="2"/>
  <c r="V190" i="2"/>
  <c r="V97" i="2"/>
  <c r="V334" i="2"/>
  <c r="V91" i="2"/>
  <c r="V687" i="2"/>
  <c r="V731" i="2"/>
  <c r="V726" i="2"/>
  <c r="V653" i="2"/>
  <c r="V329" i="2"/>
  <c r="V287" i="2"/>
  <c r="V708" i="2"/>
  <c r="V219" i="2"/>
  <c r="V504" i="2"/>
  <c r="V231" i="2"/>
  <c r="V67" i="2"/>
  <c r="V165" i="2"/>
  <c r="V402" i="2"/>
  <c r="V403" i="2"/>
  <c r="V333" i="2"/>
  <c r="V692" i="2"/>
  <c r="V242" i="2"/>
  <c r="V85" i="2"/>
  <c r="V537" i="2"/>
  <c r="V599" i="2"/>
  <c r="V206" i="2"/>
  <c r="V269" i="2"/>
  <c r="V426" i="2"/>
  <c r="V666" i="2"/>
  <c r="V358" i="2"/>
  <c r="V176" i="2"/>
  <c r="V471" i="2"/>
  <c r="V131" i="2"/>
  <c r="V285" i="2"/>
  <c r="V702" i="2"/>
  <c r="V213" i="2"/>
  <c r="V755" i="2"/>
  <c r="V88" i="2"/>
  <c r="V209" i="2"/>
  <c r="V773" i="2"/>
  <c r="V197" i="2"/>
  <c r="V604" i="2"/>
  <c r="V205" i="2"/>
  <c r="V172" i="2"/>
  <c r="V319" i="2"/>
  <c r="V521" i="2"/>
  <c r="V301" i="2"/>
  <c r="V507" i="2"/>
  <c r="V370" i="2"/>
  <c r="V747" i="2"/>
  <c r="V485" i="2"/>
  <c r="V561" i="2"/>
  <c r="V782" i="2"/>
  <c r="V502" i="2"/>
  <c r="V719" i="2"/>
  <c r="F29" i="2"/>
  <c r="V534" i="2"/>
  <c r="V192" i="2"/>
  <c r="V150" i="2"/>
  <c r="V134" i="2"/>
  <c r="V468" i="2"/>
  <c r="V725" i="2"/>
  <c r="V770" i="2"/>
  <c r="V712" i="2"/>
  <c r="V433" i="2"/>
  <c r="V714" i="2"/>
  <c r="V101" i="2"/>
  <c r="V193" i="2"/>
  <c r="V487" i="2"/>
  <c r="V591" i="2"/>
  <c r="V432" i="2"/>
  <c r="V675" i="2"/>
  <c r="V682" i="2"/>
  <c r="V221" i="2"/>
  <c r="V130" i="2"/>
  <c r="V412" i="2"/>
  <c r="V613" i="2"/>
  <c r="V357" i="2"/>
  <c r="V541" i="2"/>
  <c r="V189" i="2"/>
  <c r="V638" i="2"/>
  <c r="V315" i="2"/>
  <c r="V458" i="2"/>
  <c r="V456" i="2"/>
  <c r="V455" i="2"/>
  <c r="V605" i="2"/>
  <c r="V158" i="2"/>
  <c r="V765" i="2"/>
  <c r="V467" i="2"/>
  <c r="V589" i="2"/>
  <c r="V753" i="2"/>
  <c r="V220" i="2"/>
  <c r="V384" i="2"/>
  <c r="V437" i="2"/>
  <c r="V138" i="2"/>
  <c r="V201" i="2"/>
  <c r="V156" i="2"/>
  <c r="V203" i="2"/>
  <c r="V198" i="2"/>
  <c r="V330" i="2"/>
  <c r="V444" i="2"/>
  <c r="V243" i="2"/>
  <c r="V226" i="2"/>
  <c r="V113" i="2"/>
  <c r="V375" i="2"/>
  <c r="V174" i="2"/>
  <c r="V241" i="2"/>
  <c r="V275" i="2"/>
  <c r="V763" i="2"/>
  <c r="V472" i="2"/>
  <c r="V290" i="2"/>
  <c r="V427" i="2"/>
  <c r="V672" i="2"/>
  <c r="V171" i="2"/>
  <c r="V777" i="2"/>
  <c r="V648" i="2"/>
  <c r="V724" i="2"/>
  <c r="V463" i="2"/>
  <c r="V59" i="2"/>
  <c r="V685" i="2"/>
  <c r="V748" i="2"/>
  <c r="V84" i="2"/>
  <c r="V517" i="2"/>
  <c r="V309" i="2"/>
  <c r="V331" i="2"/>
  <c r="V366" i="2"/>
  <c r="V337" i="2"/>
  <c r="V498" i="2"/>
  <c r="V450" i="2"/>
  <c r="V639" i="2"/>
  <c r="V689" i="2"/>
  <c r="V607" i="2"/>
  <c r="V64" i="2"/>
  <c r="V779" i="2"/>
  <c r="D29" i="2"/>
  <c r="V228" i="2"/>
  <c r="V713" i="2"/>
  <c r="V387" i="2"/>
  <c r="V186" i="2"/>
  <c r="V364" i="2"/>
  <c r="V381" i="2"/>
  <c r="V677" i="2"/>
  <c r="V705" i="2"/>
  <c r="V700" i="2"/>
  <c r="V785" i="2"/>
  <c r="V110" i="2"/>
  <c r="V553" i="2"/>
  <c r="V602" i="2"/>
  <c r="V477" i="2"/>
  <c r="V61" i="2"/>
  <c r="V335" i="2"/>
  <c r="V75" i="2"/>
  <c r="V83" i="2"/>
  <c r="V78" i="2"/>
  <c r="V294" i="2"/>
  <c r="V105" i="2"/>
  <c r="V235" i="2"/>
  <c r="V694" i="2"/>
  <c r="V111" i="2"/>
  <c r="V314" i="2"/>
  <c r="V543" i="2"/>
  <c r="V630" i="2"/>
  <c r="V379" i="2"/>
  <c r="V619" i="2"/>
  <c r="V321" i="2"/>
  <c r="V414" i="2"/>
  <c r="V43" i="2"/>
  <c r="V371" i="2"/>
  <c r="V419" i="2"/>
  <c r="V271" i="2"/>
  <c r="V300" i="2"/>
  <c r="V425" i="2"/>
  <c r="V239" i="2"/>
  <c r="V73" i="2"/>
  <c r="V734" i="2"/>
  <c r="V590" i="2"/>
  <c r="V119" i="2"/>
  <c r="V60" i="2"/>
  <c r="V267" i="2"/>
  <c r="V678" i="2"/>
  <c r="V633" i="2"/>
  <c r="V625" i="2"/>
  <c r="V690" i="2"/>
  <c r="V623" i="2"/>
  <c r="V347" i="2"/>
  <c r="V578" i="2"/>
  <c r="V573" i="2"/>
  <c r="V312" i="2"/>
  <c r="V372" i="2"/>
  <c r="V784" i="2"/>
  <c r="V154" i="2"/>
  <c r="V428" i="2"/>
  <c r="V701" i="2"/>
  <c r="V606" i="2"/>
  <c r="V707" i="2"/>
  <c r="V100" i="2"/>
  <c r="V764" i="2"/>
  <c r="V246" i="2"/>
  <c r="V200" i="2"/>
  <c r="V373" i="2"/>
  <c r="V457" i="2"/>
  <c r="V693" i="2"/>
  <c r="V289" i="2"/>
  <c r="V466" i="2"/>
  <c r="V173" i="2"/>
  <c r="V139" i="2"/>
  <c r="V356" i="2"/>
  <c r="V320" i="2"/>
  <c r="V452" i="2"/>
  <c r="V392" i="2"/>
  <c r="V511" i="2"/>
  <c r="V565" i="2"/>
  <c r="V574" i="2"/>
  <c r="V681" i="2"/>
  <c r="V77" i="2"/>
  <c r="V503" i="2"/>
  <c r="V257" i="2"/>
  <c r="V542" i="2"/>
  <c r="V137" i="2"/>
  <c r="V715" i="2"/>
  <c r="V587" i="2"/>
  <c r="V533" i="2"/>
  <c r="V699" i="2"/>
  <c r="E29" i="2"/>
  <c r="V250" i="2"/>
  <c r="V229" i="2"/>
  <c r="V442" i="2"/>
  <c r="V108" i="2"/>
  <c r="V169" i="2"/>
  <c r="V306" i="2"/>
  <c r="V559" i="2"/>
  <c r="V261" i="2"/>
  <c r="V262" i="2"/>
  <c r="V637" i="2"/>
  <c r="V253" i="2"/>
  <c r="V81" i="2"/>
  <c r="V696" i="2"/>
  <c r="V670" i="2"/>
  <c r="V580" i="2"/>
  <c r="V588" i="2"/>
  <c r="V641" i="2"/>
  <c r="V720" i="2"/>
  <c r="V441" i="2"/>
  <c r="V411" i="2"/>
  <c r="V416" i="2"/>
  <c r="V706" i="2"/>
  <c r="V45" i="2"/>
  <c r="V659" i="2"/>
  <c r="V556" i="2"/>
  <c r="V410" i="2"/>
  <c r="V695" i="2"/>
  <c r="V326" i="2"/>
  <c r="V50" i="2"/>
  <c r="V469" i="2"/>
  <c r="V92" i="2"/>
  <c r="V616" i="2"/>
  <c r="V280" i="2"/>
  <c r="V568" i="2"/>
  <c r="V417" i="2"/>
  <c r="V115" i="2"/>
  <c r="V94" i="2"/>
  <c r="V51" i="2"/>
  <c r="V99" i="2"/>
  <c r="V406" i="2"/>
  <c r="V703" i="2"/>
  <c r="V277" i="2"/>
  <c r="V322" i="2"/>
  <c r="V531" i="2"/>
  <c r="V538" i="2"/>
  <c r="V505" i="2"/>
  <c r="V769" i="2"/>
  <c r="V513" i="2"/>
  <c r="V575" i="2"/>
  <c r="V359" i="2"/>
  <c r="V191" i="2"/>
  <c r="V470" i="2"/>
  <c r="V664" i="2"/>
  <c r="V475" i="2"/>
  <c r="V598" i="2"/>
  <c r="V377" i="2"/>
  <c r="V181" i="2"/>
  <c r="V421" i="2"/>
  <c r="V79" i="2"/>
  <c r="V581" i="2"/>
  <c r="V369" i="2"/>
  <c r="V636" i="2"/>
  <c r="V519" i="2"/>
  <c r="V786" i="2"/>
  <c r="V601" i="2"/>
  <c r="V431" i="2"/>
  <c r="V360" i="2"/>
  <c r="V632" i="2"/>
  <c r="V395" i="2"/>
  <c r="V55" i="2"/>
  <c r="V634" i="2"/>
  <c r="V132" i="2"/>
  <c r="V780" i="2"/>
  <c r="V544" i="2"/>
  <c r="V524" i="2"/>
  <c r="V70" i="2"/>
  <c r="V299" i="2"/>
  <c r="V268" i="2"/>
  <c r="V349" i="2"/>
  <c r="V767" i="2"/>
  <c r="V709" i="2"/>
  <c r="V645" i="2"/>
  <c r="V508" i="2"/>
  <c r="V252" i="2"/>
  <c r="V278" i="2"/>
  <c r="V564" i="2"/>
  <c r="V667" i="2"/>
  <c r="V118" i="2"/>
  <c r="V649" i="2"/>
  <c r="V462" i="2"/>
  <c r="V758" i="2"/>
  <c r="V657" i="2"/>
  <c r="V451" i="2"/>
  <c r="V276" i="2"/>
  <c r="V310" i="2"/>
  <c r="V474" i="2"/>
  <c r="V673" i="2"/>
  <c r="V686" i="2"/>
  <c r="V621" i="2"/>
  <c r="V459" i="2"/>
  <c r="V183" i="2"/>
  <c r="V532" i="2"/>
  <c r="V461" i="2"/>
  <c r="V332" i="2"/>
  <c r="V551" i="2"/>
  <c r="V339" i="2"/>
  <c r="V429" i="2"/>
  <c r="V74" i="2"/>
  <c r="V244" i="2"/>
  <c r="V407" i="2"/>
  <c r="V86" i="2"/>
  <c r="V526" i="2"/>
  <c r="V661" i="2"/>
  <c r="V762" i="2"/>
  <c r="V491" i="2"/>
  <c r="V771" i="2"/>
  <c r="V122" i="2"/>
  <c r="V129" i="2"/>
  <c r="V660" i="2"/>
  <c r="V506" i="2"/>
  <c r="V756" i="2"/>
  <c r="V390" i="2"/>
  <c r="V286" i="2"/>
  <c r="V717" i="2"/>
  <c r="V179" i="2"/>
  <c r="V631" i="2"/>
  <c r="V56" i="2"/>
  <c r="V148" i="2"/>
  <c r="V536" i="2"/>
  <c r="V212" i="2"/>
  <c r="V270" i="2"/>
  <c r="V728" i="2"/>
  <c r="V211" i="2"/>
  <c r="V71" i="2"/>
  <c r="V579" i="2"/>
  <c r="V168" i="2"/>
  <c r="V729" i="2"/>
  <c r="V317" i="2"/>
  <c r="V143" i="2"/>
  <c r="V413" i="2"/>
  <c r="V614" i="2"/>
  <c r="V680" i="2"/>
  <c r="V391" i="2"/>
  <c r="V423" i="2"/>
  <c r="V292" i="2"/>
  <c r="V125" i="2"/>
  <c r="V232" i="2"/>
  <c r="V788" i="2"/>
  <c r="V515" i="2"/>
  <c r="V46" i="2"/>
  <c r="V72" i="2"/>
  <c r="V750" i="2"/>
  <c r="V405" i="2"/>
  <c r="V254" i="2"/>
  <c r="V443" i="2"/>
  <c r="V772" i="2"/>
  <c r="V378" i="2"/>
  <c r="V145" i="2"/>
  <c r="V523" i="2"/>
  <c r="V512" i="2"/>
  <c r="V355" i="2"/>
  <c r="V554" i="2"/>
  <c r="V612" i="2"/>
  <c r="V327" i="2"/>
  <c r="V486" i="2"/>
  <c r="V488" i="2"/>
  <c r="V627" i="2"/>
  <c r="V617" i="2"/>
  <c r="V473" i="2"/>
  <c r="V620" i="2"/>
  <c r="V164" i="2"/>
  <c r="V274" i="2"/>
  <c r="V106" i="2"/>
  <c r="V787" i="2"/>
  <c r="V622" i="2"/>
  <c r="V438" i="2"/>
  <c r="V635" i="2"/>
  <c r="V549" i="2"/>
  <c r="V569" i="2"/>
  <c r="V311" i="2"/>
  <c r="V340" i="2"/>
  <c r="V62" i="2"/>
  <c r="V215" i="2"/>
  <c r="V295" i="2"/>
  <c r="V346" i="2"/>
  <c r="V401" i="2"/>
  <c r="V126" i="2"/>
  <c r="V133" i="2"/>
  <c r="V422" i="2"/>
  <c r="V307" i="2"/>
  <c r="V492" i="2"/>
  <c r="V741" i="2"/>
  <c r="V683" i="2"/>
  <c r="V560" i="2"/>
  <c r="V124" i="2"/>
  <c r="V775" i="2"/>
  <c r="V628" i="2"/>
  <c r="V453" i="2"/>
  <c r="V586" i="2"/>
  <c r="V746" i="2"/>
  <c r="V394" i="2"/>
  <c r="V264" i="2"/>
  <c r="G29" i="2"/>
  <c r="V117" i="2"/>
  <c r="V298" i="2"/>
  <c r="V722" i="2"/>
  <c r="V500" i="2"/>
  <c r="V399" i="2"/>
  <c r="V367" i="2"/>
  <c r="V155" i="2"/>
  <c r="V324" i="2"/>
  <c r="V328" i="2"/>
  <c r="V774" i="2"/>
  <c r="V109" i="2"/>
  <c r="V738" i="2"/>
  <c r="V303" i="2"/>
  <c r="V510" i="2"/>
  <c r="V576" i="2"/>
  <c r="V265" i="2"/>
  <c r="V293" i="2"/>
  <c r="V389" i="2"/>
  <c r="V439" i="2"/>
  <c r="V490" i="2"/>
  <c r="V204" i="2"/>
  <c r="V195" i="2"/>
  <c r="V735" i="2"/>
  <c r="V611" i="2"/>
  <c r="V555" i="2"/>
  <c r="V518" i="2"/>
  <c r="V691" i="2"/>
  <c r="V202" i="2"/>
  <c r="V557" i="2"/>
  <c r="V783" i="2"/>
  <c r="V711" i="2"/>
  <c r="V291" i="2"/>
  <c r="V48" i="2"/>
  <c r="V642" i="2"/>
  <c r="V608" i="2"/>
  <c r="V362" i="2"/>
  <c r="V93" i="2"/>
  <c r="V184" i="2"/>
  <c r="V90" i="2"/>
  <c r="V47" i="2"/>
  <c r="V40" i="2"/>
  <c r="V249" i="2"/>
  <c r="V343" i="2"/>
  <c r="V223" i="2"/>
  <c r="V187" i="2"/>
  <c r="V563" i="2"/>
  <c r="V135" i="2"/>
  <c r="V732" i="2"/>
  <c r="V739" i="2"/>
  <c r="V350" i="2"/>
  <c r="V248" i="2"/>
  <c r="V415" i="2"/>
  <c r="V283" i="2"/>
  <c r="V509" i="2"/>
  <c r="V547" i="2"/>
  <c r="V351" i="2"/>
  <c r="V247" i="2"/>
  <c r="V528" i="2"/>
  <c r="V175" i="2"/>
  <c r="V497" i="2"/>
  <c r="V170" i="2"/>
  <c r="V323" i="2"/>
  <c r="V522" i="2"/>
  <c r="V57" i="2"/>
  <c r="V153" i="2"/>
  <c r="V142" i="2"/>
  <c r="V583" i="2"/>
  <c r="V440" i="2"/>
  <c r="V736" i="2"/>
  <c r="V288" i="2"/>
  <c r="V567" i="2"/>
  <c r="V479" i="2"/>
  <c r="V363" i="2"/>
  <c r="V217" i="2"/>
  <c r="V493" i="2"/>
  <c r="V697" i="2"/>
  <c r="V743" i="2"/>
  <c r="V185" i="2"/>
  <c r="V216" i="2"/>
  <c r="V256" i="2"/>
  <c r="V157" i="2"/>
  <c r="V652" i="2"/>
  <c r="V754" i="2"/>
  <c r="V76" i="2"/>
  <c r="V308" i="2"/>
  <c r="V727" i="2"/>
  <c r="V144" i="2"/>
  <c r="V353" i="2"/>
  <c r="V596" i="2"/>
  <c r="V571" i="2"/>
  <c r="V454" i="2"/>
  <c r="V58" i="2"/>
  <c r="V603" i="2"/>
  <c r="V400" i="2"/>
  <c r="V238" i="2"/>
  <c r="V302" i="2"/>
  <c r="V89" i="2"/>
  <c r="V626" i="2"/>
  <c r="V496" i="2"/>
  <c r="V388" i="2"/>
  <c r="V374" i="2"/>
  <c r="V572" i="2"/>
  <c r="V224" i="2"/>
  <c r="V527" i="2"/>
  <c r="V163" i="2"/>
  <c r="V566" i="2"/>
  <c r="V54" i="2"/>
  <c r="V476" i="2"/>
  <c r="V640" i="2"/>
  <c r="V594" i="2"/>
  <c r="V481" i="2"/>
  <c r="V167" i="2"/>
  <c r="V230" i="2"/>
  <c r="C29" i="2"/>
  <c r="V39" i="2"/>
  <c r="V69" i="2"/>
  <c r="V516" i="2"/>
  <c r="V259" i="2"/>
  <c r="V152" i="2"/>
  <c r="V592" i="2"/>
  <c r="V434" i="2"/>
  <c r="V651" i="2"/>
  <c r="V447" i="2"/>
  <c r="V146" i="2"/>
  <c r="V658" i="2"/>
  <c r="V210" i="2"/>
  <c r="V318" i="2"/>
  <c r="V716" i="2"/>
  <c r="V42" i="2"/>
  <c r="V552" i="2"/>
  <c r="V484" i="2"/>
  <c r="V546" i="2"/>
  <c r="V760" i="2"/>
  <c r="V643" i="2"/>
  <c r="V525" i="2"/>
  <c r="V354" i="2"/>
  <c r="V272" i="2"/>
  <c r="V495" i="2"/>
  <c r="V263" i="2"/>
  <c r="V742" i="2"/>
  <c r="V325" i="2"/>
  <c r="V273" i="2"/>
  <c r="V128" i="2"/>
  <c r="V65" i="2"/>
  <c r="C30" i="2" l="1"/>
  <c r="Y739" i="2"/>
  <c r="X739" i="2"/>
  <c r="Y772" i="2"/>
  <c r="X772" i="2"/>
  <c r="X581" i="2"/>
  <c r="Y581" i="2"/>
  <c r="Y312" i="2"/>
  <c r="X312" i="2"/>
  <c r="X309" i="2"/>
  <c r="Y309" i="2"/>
  <c r="X708" i="2"/>
  <c r="Y708" i="2"/>
  <c r="X207" i="2"/>
  <c r="Y207" i="2"/>
  <c r="Y325" i="2"/>
  <c r="X325" i="2"/>
  <c r="X658" i="2"/>
  <c r="Y658" i="2"/>
  <c r="X640" i="2"/>
  <c r="Y640" i="2"/>
  <c r="X603" i="2"/>
  <c r="Y603" i="2"/>
  <c r="Y743" i="2"/>
  <c r="X743" i="2"/>
  <c r="Y170" i="2"/>
  <c r="X170" i="2"/>
  <c r="Y187" i="2"/>
  <c r="X187" i="2"/>
  <c r="Y557" i="2"/>
  <c r="X557" i="2"/>
  <c r="X303" i="2"/>
  <c r="Y303" i="2"/>
  <c r="Y746" i="2"/>
  <c r="X746" i="2"/>
  <c r="Y295" i="2"/>
  <c r="X295" i="2"/>
  <c r="X617" i="2"/>
  <c r="Y617" i="2"/>
  <c r="X750" i="2"/>
  <c r="Y750" i="2"/>
  <c r="X168" i="2"/>
  <c r="Y168" i="2"/>
  <c r="X506" i="2"/>
  <c r="Y506" i="2"/>
  <c r="Y332" i="2"/>
  <c r="X332" i="2"/>
  <c r="X118" i="2"/>
  <c r="Y118" i="2"/>
  <c r="X132" i="2"/>
  <c r="Y132" i="2"/>
  <c r="Y377" i="2"/>
  <c r="X377" i="2"/>
  <c r="X406" i="2"/>
  <c r="Y406" i="2"/>
  <c r="Y659" i="2"/>
  <c r="X659" i="2"/>
  <c r="Y261" i="2"/>
  <c r="X261" i="2"/>
  <c r="Y503" i="2"/>
  <c r="X503" i="2"/>
  <c r="X373" i="2"/>
  <c r="Y373" i="2"/>
  <c r="X623" i="2"/>
  <c r="Y623" i="2"/>
  <c r="Y371" i="2"/>
  <c r="X371" i="2"/>
  <c r="Y75" i="2"/>
  <c r="X75" i="2"/>
  <c r="X228" i="2"/>
  <c r="Y228" i="2"/>
  <c r="Y685" i="2"/>
  <c r="X685" i="2"/>
  <c r="Y113" i="2"/>
  <c r="X113" i="2"/>
  <c r="X765" i="2"/>
  <c r="Y765" i="2"/>
  <c r="Y675" i="2"/>
  <c r="X675" i="2"/>
  <c r="F30" i="2"/>
  <c r="Y773" i="2"/>
  <c r="X773" i="2"/>
  <c r="X537" i="2"/>
  <c r="Y537" i="2"/>
  <c r="X726" i="2"/>
  <c r="Y726" i="2"/>
  <c r="X68" i="2"/>
  <c r="Y68" i="2"/>
  <c r="Y674" i="2"/>
  <c r="X674" i="2"/>
  <c r="Y671" i="2"/>
  <c r="X671" i="2"/>
  <c r="X723" i="2"/>
  <c r="Y723" i="2"/>
  <c r="X120" i="2"/>
  <c r="Y120" i="2"/>
  <c r="X577" i="2"/>
  <c r="Y577" i="2"/>
  <c r="X398" i="2"/>
  <c r="Y398" i="2"/>
  <c r="X233" i="2"/>
  <c r="Y233" i="2"/>
  <c r="X63" i="2"/>
  <c r="Y63" i="2"/>
  <c r="X104" i="2"/>
  <c r="Y104" i="2"/>
  <c r="X121" i="2"/>
  <c r="Y121" i="2"/>
  <c r="Y48" i="2"/>
  <c r="X48" i="2"/>
  <c r="Y81" i="2"/>
  <c r="X81" i="2"/>
  <c r="X710" i="2"/>
  <c r="Y710" i="2"/>
  <c r="X223" i="2"/>
  <c r="Y223" i="2"/>
  <c r="Y586" i="2"/>
  <c r="X586" i="2"/>
  <c r="Y72" i="2"/>
  <c r="X72" i="2"/>
  <c r="Y660" i="2"/>
  <c r="X660" i="2"/>
  <c r="Y461" i="2"/>
  <c r="X461" i="2"/>
  <c r="X667" i="2"/>
  <c r="Y667" i="2"/>
  <c r="Y598" i="2"/>
  <c r="X598" i="2"/>
  <c r="Y99" i="2"/>
  <c r="X99" i="2"/>
  <c r="X559" i="2"/>
  <c r="Y559" i="2"/>
  <c r="Y77" i="2"/>
  <c r="X77" i="2"/>
  <c r="X200" i="2"/>
  <c r="Y200" i="2"/>
  <c r="X690" i="2"/>
  <c r="Y690" i="2"/>
  <c r="Y43" i="2"/>
  <c r="X43" i="2"/>
  <c r="X335" i="2"/>
  <c r="Y335" i="2"/>
  <c r="D30" i="2"/>
  <c r="Y59" i="2"/>
  <c r="X59" i="2"/>
  <c r="Y226" i="2"/>
  <c r="X226" i="2"/>
  <c r="X158" i="2"/>
  <c r="Y158" i="2"/>
  <c r="Y432" i="2"/>
  <c r="X432" i="2"/>
  <c r="Y719" i="2"/>
  <c r="X719" i="2"/>
  <c r="X209" i="2"/>
  <c r="Y209" i="2"/>
  <c r="Y85" i="2"/>
  <c r="X85" i="2"/>
  <c r="X731" i="2"/>
  <c r="Y731" i="2"/>
  <c r="Y749" i="2"/>
  <c r="X749" i="2"/>
  <c r="X383" i="2"/>
  <c r="Y383" i="2"/>
  <c r="Y530" i="2"/>
  <c r="X530" i="2"/>
  <c r="Y380" i="2"/>
  <c r="X380" i="2"/>
  <c r="X112" i="2"/>
  <c r="Y112" i="2"/>
  <c r="Y344" i="2"/>
  <c r="X344" i="2"/>
  <c r="Y182" i="2"/>
  <c r="X182" i="2"/>
  <c r="X520" i="2"/>
  <c r="Y520" i="2"/>
  <c r="Y676" i="2"/>
  <c r="X676" i="2"/>
  <c r="Y669" i="2"/>
  <c r="X669" i="2"/>
  <c r="X214" i="2"/>
  <c r="Y214" i="2"/>
  <c r="Y153" i="2"/>
  <c r="X153" i="2"/>
  <c r="Y657" i="2"/>
  <c r="X657" i="2"/>
  <c r="Y425" i="2"/>
  <c r="X425" i="2"/>
  <c r="X412" i="2"/>
  <c r="Y412" i="2"/>
  <c r="Y107" i="2"/>
  <c r="X107" i="2"/>
  <c r="X58" i="2"/>
  <c r="Y58" i="2"/>
  <c r="Y202" i="2"/>
  <c r="X202" i="2"/>
  <c r="X627" i="2"/>
  <c r="Y627" i="2"/>
  <c r="Y45" i="2"/>
  <c r="X45" i="2"/>
  <c r="X263" i="2"/>
  <c r="Y263" i="2"/>
  <c r="Y447" i="2"/>
  <c r="X447" i="2"/>
  <c r="X54" i="2"/>
  <c r="Y54" i="2"/>
  <c r="Y454" i="2"/>
  <c r="X454" i="2"/>
  <c r="Y493" i="2"/>
  <c r="X493" i="2"/>
  <c r="X175" i="2"/>
  <c r="Y175" i="2"/>
  <c r="X343" i="2"/>
  <c r="Y343" i="2"/>
  <c r="Y691" i="2"/>
  <c r="X691" i="2"/>
  <c r="Y109" i="2"/>
  <c r="X109" i="2"/>
  <c r="Y453" i="2"/>
  <c r="X453" i="2"/>
  <c r="Y62" i="2"/>
  <c r="X62" i="2"/>
  <c r="X488" i="2"/>
  <c r="Y488" i="2"/>
  <c r="X46" i="2"/>
  <c r="Y46" i="2"/>
  <c r="X71" i="2"/>
  <c r="Y71" i="2"/>
  <c r="X129" i="2"/>
  <c r="Y129" i="2"/>
  <c r="Y532" i="2"/>
  <c r="X532" i="2"/>
  <c r="X564" i="2"/>
  <c r="Y564" i="2"/>
  <c r="Y55" i="2"/>
  <c r="X55" i="2"/>
  <c r="X475" i="2"/>
  <c r="Y475" i="2"/>
  <c r="Y51" i="2"/>
  <c r="X51" i="2"/>
  <c r="X706" i="2"/>
  <c r="Y706" i="2"/>
  <c r="Y306" i="2"/>
  <c r="X306" i="2"/>
  <c r="X681" i="2"/>
  <c r="Y681" i="2"/>
  <c r="X246" i="2"/>
  <c r="Y246" i="2"/>
  <c r="Y625" i="2"/>
  <c r="X625" i="2"/>
  <c r="X414" i="2"/>
  <c r="Y414" i="2"/>
  <c r="Y61" i="2"/>
  <c r="X61" i="2"/>
  <c r="Y779" i="2"/>
  <c r="X779" i="2"/>
  <c r="X463" i="2"/>
  <c r="Y463" i="2"/>
  <c r="Y243" i="2"/>
  <c r="X243" i="2"/>
  <c r="Y605" i="2"/>
  <c r="X605" i="2"/>
  <c r="X591" i="2"/>
  <c r="Y591" i="2"/>
  <c r="X502" i="2"/>
  <c r="Y502" i="2"/>
  <c r="X88" i="2"/>
  <c r="Y88" i="2"/>
  <c r="X242" i="2"/>
  <c r="Y242" i="2"/>
  <c r="Y687" i="2"/>
  <c r="X687" i="2"/>
  <c r="X593" i="2"/>
  <c r="Y593" i="2"/>
  <c r="Y82" i="2"/>
  <c r="X82" i="2"/>
  <c r="Y499" i="2"/>
  <c r="X499" i="2"/>
  <c r="Y236" i="2"/>
  <c r="X236" i="2"/>
  <c r="X448" i="2"/>
  <c r="Y448" i="2"/>
  <c r="X483" i="2"/>
  <c r="Y483" i="2"/>
  <c r="X768" i="2"/>
  <c r="Y768" i="2"/>
  <c r="X180" i="2"/>
  <c r="Y180" i="2"/>
  <c r="X141" i="2"/>
  <c r="Y141" i="2"/>
  <c r="X304" i="2"/>
  <c r="Y304" i="2"/>
  <c r="X761" i="2"/>
  <c r="Y761" i="2"/>
  <c r="X230" i="2"/>
  <c r="Y230" i="2"/>
  <c r="X133" i="2"/>
  <c r="Y133" i="2"/>
  <c r="X70" i="2"/>
  <c r="Y70" i="2"/>
  <c r="Y715" i="2"/>
  <c r="X715" i="2"/>
  <c r="Y275" i="2"/>
  <c r="X275" i="2"/>
  <c r="X136" i="2"/>
  <c r="Y136" i="2"/>
  <c r="X550" i="2"/>
  <c r="Y550" i="2"/>
  <c r="X742" i="2"/>
  <c r="Y742" i="2"/>
  <c r="Y146" i="2"/>
  <c r="X146" i="2"/>
  <c r="X476" i="2"/>
  <c r="Y476" i="2"/>
  <c r="X697" i="2"/>
  <c r="Y697" i="2"/>
  <c r="X497" i="2"/>
  <c r="Y497" i="2"/>
  <c r="X738" i="2"/>
  <c r="Y738" i="2"/>
  <c r="Y215" i="2"/>
  <c r="X215" i="2"/>
  <c r="X579" i="2"/>
  <c r="Y579" i="2"/>
  <c r="X634" i="2"/>
  <c r="Y634" i="2"/>
  <c r="Y495" i="2"/>
  <c r="X495" i="2"/>
  <c r="X651" i="2"/>
  <c r="Y651" i="2"/>
  <c r="Y566" i="2"/>
  <c r="X566" i="2"/>
  <c r="X571" i="2"/>
  <c r="Y571" i="2"/>
  <c r="Y217" i="2"/>
  <c r="X217" i="2"/>
  <c r="Y528" i="2"/>
  <c r="X528" i="2"/>
  <c r="X249" i="2"/>
  <c r="Y249" i="2"/>
  <c r="X518" i="2"/>
  <c r="Y518" i="2"/>
  <c r="Y774" i="2"/>
  <c r="X774" i="2"/>
  <c r="X628" i="2"/>
  <c r="Y628" i="2"/>
  <c r="Y340" i="2"/>
  <c r="X340" i="2"/>
  <c r="X486" i="2"/>
  <c r="Y486" i="2"/>
  <c r="Y515" i="2"/>
  <c r="X515" i="2"/>
  <c r="X211" i="2"/>
  <c r="Y211" i="2"/>
  <c r="X122" i="2"/>
  <c r="Y122" i="2"/>
  <c r="X183" i="2"/>
  <c r="Y183" i="2"/>
  <c r="X278" i="2"/>
  <c r="Y278" i="2"/>
  <c r="X395" i="2"/>
  <c r="Y395" i="2"/>
  <c r="X664" i="2"/>
  <c r="Y664" i="2"/>
  <c r="X94" i="2"/>
  <c r="Y94" i="2"/>
  <c r="Y416" i="2"/>
  <c r="X416" i="2"/>
  <c r="Y169" i="2"/>
  <c r="X169" i="2"/>
  <c r="Y574" i="2"/>
  <c r="X574" i="2"/>
  <c r="X764" i="2"/>
  <c r="Y764" i="2"/>
  <c r="Y633" i="2"/>
  <c r="X633" i="2"/>
  <c r="X321" i="2"/>
  <c r="Y321" i="2"/>
  <c r="Y477" i="2"/>
  <c r="X477" i="2"/>
  <c r="X64" i="2"/>
  <c r="Y64" i="2"/>
  <c r="Y724" i="2"/>
  <c r="X724" i="2"/>
  <c r="X444" i="2"/>
  <c r="Y444" i="2"/>
  <c r="X455" i="2"/>
  <c r="Y455" i="2"/>
  <c r="X487" i="2"/>
  <c r="Y487" i="2"/>
  <c r="Y782" i="2"/>
  <c r="X782" i="2"/>
  <c r="X755" i="2"/>
  <c r="Y755" i="2"/>
  <c r="Y692" i="2"/>
  <c r="X692" i="2"/>
  <c r="Y91" i="2"/>
  <c r="X91" i="2"/>
  <c r="Y733" i="2"/>
  <c r="X733" i="2"/>
  <c r="X582" i="2"/>
  <c r="Y582" i="2"/>
  <c r="Y494" i="2"/>
  <c r="X494" i="2"/>
  <c r="Y397" i="2"/>
  <c r="X397" i="2"/>
  <c r="X161" i="2"/>
  <c r="Y161" i="2"/>
  <c r="X194" i="2"/>
  <c r="Y194" i="2"/>
  <c r="X445" i="2"/>
  <c r="Y445" i="2"/>
  <c r="Y240" i="2"/>
  <c r="X240" i="2"/>
  <c r="X166" i="2"/>
  <c r="Y166" i="2"/>
  <c r="X127" i="2"/>
  <c r="Y127" i="2"/>
  <c r="X478" i="2"/>
  <c r="Y478" i="2"/>
  <c r="X40" i="2"/>
  <c r="Y40" i="2"/>
  <c r="Y771" i="2"/>
  <c r="X771" i="2"/>
  <c r="X565" i="2"/>
  <c r="Y565" i="2"/>
  <c r="Y193" i="2"/>
  <c r="X193" i="2"/>
  <c r="Y103" i="2"/>
  <c r="X103" i="2"/>
  <c r="X354" i="2"/>
  <c r="Y354" i="2"/>
  <c r="Y592" i="2"/>
  <c r="X592" i="2"/>
  <c r="X527" i="2"/>
  <c r="Y527" i="2"/>
  <c r="X353" i="2"/>
  <c r="Y353" i="2"/>
  <c r="Y479" i="2"/>
  <c r="X479" i="2"/>
  <c r="X351" i="2"/>
  <c r="Y351" i="2"/>
  <c r="Y47" i="2"/>
  <c r="X47" i="2"/>
  <c r="X611" i="2"/>
  <c r="Y611" i="2"/>
  <c r="Y324" i="2"/>
  <c r="X324" i="2"/>
  <c r="Y124" i="2"/>
  <c r="X124" i="2"/>
  <c r="X569" i="2"/>
  <c r="Y569" i="2"/>
  <c r="X612" i="2"/>
  <c r="Y612" i="2"/>
  <c r="X232" i="2"/>
  <c r="Y232" i="2"/>
  <c r="X270" i="2"/>
  <c r="Y270" i="2"/>
  <c r="X491" i="2"/>
  <c r="Y491" i="2"/>
  <c r="Y621" i="2"/>
  <c r="X621" i="2"/>
  <c r="Y508" i="2"/>
  <c r="X508" i="2"/>
  <c r="X360" i="2"/>
  <c r="Y360" i="2"/>
  <c r="X191" i="2"/>
  <c r="Y191" i="2"/>
  <c r="X417" i="2"/>
  <c r="Y417" i="2"/>
  <c r="Y441" i="2"/>
  <c r="X441" i="2"/>
  <c r="X442" i="2"/>
  <c r="Y442" i="2"/>
  <c r="X511" i="2"/>
  <c r="Y511" i="2"/>
  <c r="X707" i="2"/>
  <c r="Y707" i="2"/>
  <c r="Y267" i="2"/>
  <c r="X267" i="2"/>
  <c r="Y379" i="2"/>
  <c r="X379" i="2"/>
  <c r="X553" i="2"/>
  <c r="Y553" i="2"/>
  <c r="X689" i="2"/>
  <c r="Y689" i="2"/>
  <c r="X777" i="2"/>
  <c r="Y777" i="2"/>
  <c r="X198" i="2"/>
  <c r="Y198" i="2"/>
  <c r="X458" i="2"/>
  <c r="Y458" i="2"/>
  <c r="X101" i="2"/>
  <c r="Y101" i="2"/>
  <c r="Y485" i="2"/>
  <c r="X485" i="2"/>
  <c r="Y702" i="2"/>
  <c r="X702" i="2"/>
  <c r="X403" i="2"/>
  <c r="Y403" i="2"/>
  <c r="Y97" i="2"/>
  <c r="X97" i="2"/>
  <c r="X737" i="2"/>
  <c r="Y737" i="2"/>
  <c r="Y266" i="2"/>
  <c r="X266" i="2"/>
  <c r="Y418" i="2"/>
  <c r="X418" i="2"/>
  <c r="Y234" i="2"/>
  <c r="X234" i="2"/>
  <c r="X647" i="2"/>
  <c r="Y647" i="2"/>
  <c r="Y159" i="2"/>
  <c r="X159" i="2"/>
  <c r="Y644" i="2"/>
  <c r="X644" i="2"/>
  <c r="X123" i="2"/>
  <c r="Y123" i="2"/>
  <c r="Y361" i="2"/>
  <c r="X361" i="2"/>
  <c r="X489" i="2"/>
  <c r="Y489" i="2"/>
  <c r="X501" i="2"/>
  <c r="Y501" i="2"/>
  <c r="Y163" i="2"/>
  <c r="X163" i="2"/>
  <c r="X788" i="2"/>
  <c r="Y788" i="2"/>
  <c r="X411" i="2"/>
  <c r="Y411" i="2"/>
  <c r="X607" i="2"/>
  <c r="Y607" i="2"/>
  <c r="X333" i="2"/>
  <c r="Y333" i="2"/>
  <c r="Y66" i="2"/>
  <c r="X66" i="2"/>
  <c r="Y525" i="2"/>
  <c r="X525" i="2"/>
  <c r="X152" i="2"/>
  <c r="Y152" i="2"/>
  <c r="Y224" i="2"/>
  <c r="X224" i="2"/>
  <c r="Y144" i="2"/>
  <c r="X144" i="2"/>
  <c r="Y567" i="2"/>
  <c r="X567" i="2"/>
  <c r="X547" i="2"/>
  <c r="Y547" i="2"/>
  <c r="Y90" i="2"/>
  <c r="X90" i="2"/>
  <c r="Y735" i="2"/>
  <c r="X735" i="2"/>
  <c r="X155" i="2"/>
  <c r="Y155" i="2"/>
  <c r="Y560" i="2"/>
  <c r="X560" i="2"/>
  <c r="X549" i="2"/>
  <c r="Y549" i="2"/>
  <c r="X554" i="2"/>
  <c r="Y554" i="2"/>
  <c r="X125" i="2"/>
  <c r="Y125" i="2"/>
  <c r="Y212" i="2"/>
  <c r="X212" i="2"/>
  <c r="X762" i="2"/>
  <c r="Y762" i="2"/>
  <c r="Y686" i="2"/>
  <c r="X686" i="2"/>
  <c r="X645" i="2"/>
  <c r="Y645" i="2"/>
  <c r="Y431" i="2"/>
  <c r="X431" i="2"/>
  <c r="Y359" i="2"/>
  <c r="X359" i="2"/>
  <c r="X568" i="2"/>
  <c r="Y568" i="2"/>
  <c r="X720" i="2"/>
  <c r="Y720" i="2"/>
  <c r="X229" i="2"/>
  <c r="Y229" i="2"/>
  <c r="Y392" i="2"/>
  <c r="X392" i="2"/>
  <c r="Y606" i="2"/>
  <c r="X606" i="2"/>
  <c r="X60" i="2"/>
  <c r="Y60" i="2"/>
  <c r="X630" i="2"/>
  <c r="Y630" i="2"/>
  <c r="Y110" i="2"/>
  <c r="X110" i="2"/>
  <c r="Y639" i="2"/>
  <c r="X639" i="2"/>
  <c r="Y171" i="2"/>
  <c r="X171" i="2"/>
  <c r="X203" i="2"/>
  <c r="Y203" i="2"/>
  <c r="Y315" i="2"/>
  <c r="X315" i="2"/>
  <c r="X714" i="2"/>
  <c r="Y714" i="2"/>
  <c r="Y747" i="2"/>
  <c r="X747" i="2"/>
  <c r="Y285" i="2"/>
  <c r="X285" i="2"/>
  <c r="Y402" i="2"/>
  <c r="X402" i="2"/>
  <c r="Y190" i="2"/>
  <c r="X190" i="2"/>
  <c r="X609" i="2"/>
  <c r="Y609" i="2"/>
  <c r="Y408" i="2"/>
  <c r="X408" i="2"/>
  <c r="X704" i="2"/>
  <c r="Y704" i="2"/>
  <c r="X251" i="2"/>
  <c r="Y251" i="2"/>
  <c r="X87" i="2"/>
  <c r="Y87" i="2"/>
  <c r="X282" i="2"/>
  <c r="Y282" i="2"/>
  <c r="X548" i="2"/>
  <c r="Y548" i="2"/>
  <c r="Y345" i="2"/>
  <c r="X345" i="2"/>
  <c r="Y279" i="2"/>
  <c r="X279" i="2"/>
  <c r="X284" i="2"/>
  <c r="Y284" i="2"/>
  <c r="X222" i="2"/>
  <c r="Y222" i="2"/>
  <c r="X555" i="2"/>
  <c r="Y555" i="2"/>
  <c r="X252" i="2"/>
  <c r="Y252" i="2"/>
  <c r="Y678" i="2"/>
  <c r="X678" i="2"/>
  <c r="X213" i="2"/>
  <c r="Y213" i="2"/>
  <c r="Y237" i="2"/>
  <c r="X237" i="2"/>
  <c r="X643" i="2"/>
  <c r="Y643" i="2"/>
  <c r="Y259" i="2"/>
  <c r="X259" i="2"/>
  <c r="X572" i="2"/>
  <c r="Y572" i="2"/>
  <c r="Y727" i="2"/>
  <c r="X727" i="2"/>
  <c r="X288" i="2"/>
  <c r="Y288" i="2"/>
  <c r="Y509" i="2"/>
  <c r="X509" i="2"/>
  <c r="X184" i="2"/>
  <c r="Y184" i="2"/>
  <c r="Y195" i="2"/>
  <c r="X195" i="2"/>
  <c r="X367" i="2"/>
  <c r="Y367" i="2"/>
  <c r="X683" i="2"/>
  <c r="Y683" i="2"/>
  <c r="X635" i="2"/>
  <c r="Y635" i="2"/>
  <c r="Y355" i="2"/>
  <c r="X355" i="2"/>
  <c r="X292" i="2"/>
  <c r="Y292" i="2"/>
  <c r="Y536" i="2"/>
  <c r="X536" i="2"/>
  <c r="X661" i="2"/>
  <c r="Y661" i="2"/>
  <c r="X673" i="2"/>
  <c r="Y673" i="2"/>
  <c r="Y709" i="2"/>
  <c r="X709" i="2"/>
  <c r="X601" i="2"/>
  <c r="Y601" i="2"/>
  <c r="Y575" i="2"/>
  <c r="X575" i="2"/>
  <c r="Y280" i="2"/>
  <c r="X280" i="2"/>
  <c r="X641" i="2"/>
  <c r="Y641" i="2"/>
  <c r="Y250" i="2"/>
  <c r="X250" i="2"/>
  <c r="Y452" i="2"/>
  <c r="X452" i="2"/>
  <c r="X701" i="2"/>
  <c r="Y701" i="2"/>
  <c r="X119" i="2"/>
  <c r="Y119" i="2"/>
  <c r="X543" i="2"/>
  <c r="Y543" i="2"/>
  <c r="Y785" i="2"/>
  <c r="X785" i="2"/>
  <c r="X450" i="2"/>
  <c r="Y450" i="2"/>
  <c r="Y672" i="2"/>
  <c r="X672" i="2"/>
  <c r="Y156" i="2"/>
  <c r="X156" i="2"/>
  <c r="Y638" i="2"/>
  <c r="X638" i="2"/>
  <c r="X433" i="2"/>
  <c r="Y433" i="2"/>
  <c r="Y370" i="2"/>
  <c r="X370" i="2"/>
  <c r="X131" i="2"/>
  <c r="Y131" i="2"/>
  <c r="X165" i="2"/>
  <c r="Y165" i="2"/>
  <c r="X227" i="2"/>
  <c r="Y227" i="2"/>
  <c r="Y409" i="2"/>
  <c r="X409" i="2"/>
  <c r="X745" i="2"/>
  <c r="Y745" i="2"/>
  <c r="X53" i="2"/>
  <c r="Y53" i="2"/>
  <c r="Y385" i="2"/>
  <c r="X385" i="2"/>
  <c r="X208" i="2"/>
  <c r="Y208" i="2"/>
  <c r="X188" i="2"/>
  <c r="Y188" i="2"/>
  <c r="X52" i="2"/>
  <c r="Y52" i="2"/>
  <c r="X149" i="2"/>
  <c r="Y149" i="2"/>
  <c r="Y618" i="2"/>
  <c r="X618" i="2"/>
  <c r="Y297" i="2"/>
  <c r="X297" i="2"/>
  <c r="Y584" i="2"/>
  <c r="X584" i="2"/>
  <c r="Y42" i="2"/>
  <c r="X42" i="2"/>
  <c r="X596" i="2"/>
  <c r="Y596" i="2"/>
  <c r="Y775" i="2"/>
  <c r="X775" i="2"/>
  <c r="X459" i="2"/>
  <c r="Y459" i="2"/>
  <c r="X108" i="2"/>
  <c r="Y108" i="2"/>
  <c r="X330" i="2"/>
  <c r="Y330" i="2"/>
  <c r="Y460" i="2"/>
  <c r="X460" i="2"/>
  <c r="Y374" i="2"/>
  <c r="X374" i="2"/>
  <c r="X736" i="2"/>
  <c r="Y736" i="2"/>
  <c r="X204" i="2"/>
  <c r="Y204" i="2"/>
  <c r="Y399" i="2"/>
  <c r="X399" i="2"/>
  <c r="X741" i="2"/>
  <c r="Y741" i="2"/>
  <c r="Y438" i="2"/>
  <c r="X438" i="2"/>
  <c r="Y148" i="2"/>
  <c r="X148" i="2"/>
  <c r="X526" i="2"/>
  <c r="Y526" i="2"/>
  <c r="X474" i="2"/>
  <c r="Y474" i="2"/>
  <c r="X767" i="2"/>
  <c r="Y767" i="2"/>
  <c r="Y786" i="2"/>
  <c r="X786" i="2"/>
  <c r="Y513" i="2"/>
  <c r="X513" i="2"/>
  <c r="X616" i="2"/>
  <c r="Y616" i="2"/>
  <c r="X588" i="2"/>
  <c r="Y588" i="2"/>
  <c r="E30" i="2"/>
  <c r="X320" i="2"/>
  <c r="Y320" i="2"/>
  <c r="X428" i="2"/>
  <c r="Y428" i="2"/>
  <c r="Y590" i="2"/>
  <c r="X590" i="2"/>
  <c r="Y314" i="2"/>
  <c r="X314" i="2"/>
  <c r="Y700" i="2"/>
  <c r="X700" i="2"/>
  <c r="X498" i="2"/>
  <c r="Y498" i="2"/>
  <c r="X427" i="2"/>
  <c r="Y427" i="2"/>
  <c r="X201" i="2"/>
  <c r="Y201" i="2"/>
  <c r="X189" i="2"/>
  <c r="Y189" i="2"/>
  <c r="Y712" i="2"/>
  <c r="X712" i="2"/>
  <c r="X507" i="2"/>
  <c r="Y507" i="2"/>
  <c r="X471" i="2"/>
  <c r="Y471" i="2"/>
  <c r="X67" i="2"/>
  <c r="Y67" i="2"/>
  <c r="X539" i="2"/>
  <c r="Y539" i="2"/>
  <c r="X162" i="2"/>
  <c r="Y162" i="2"/>
  <c r="X420" i="2"/>
  <c r="Y420" i="2"/>
  <c r="Y102" i="2"/>
  <c r="X102" i="2"/>
  <c r="Y529" i="2"/>
  <c r="X529" i="2"/>
  <c r="X49" i="2"/>
  <c r="Y49" i="2"/>
  <c r="Y540" i="2"/>
  <c r="X540" i="2"/>
  <c r="X260" i="2"/>
  <c r="Y260" i="2"/>
  <c r="X464" i="2"/>
  <c r="Y464" i="2"/>
  <c r="X656" i="2"/>
  <c r="Y656" i="2"/>
  <c r="Y41" i="2"/>
  <c r="X41" i="2"/>
  <c r="Y776" i="2"/>
  <c r="X776" i="2"/>
  <c r="X434" i="2"/>
  <c r="Y434" i="2"/>
  <c r="Y328" i="2"/>
  <c r="X328" i="2"/>
  <c r="Y728" i="2"/>
  <c r="X728" i="2"/>
  <c r="Y470" i="2"/>
  <c r="X470" i="2"/>
  <c r="Y619" i="2"/>
  <c r="X619" i="2"/>
  <c r="X456" i="2"/>
  <c r="Y456" i="2"/>
  <c r="Y751" i="2"/>
  <c r="X751" i="2"/>
  <c r="X760" i="2"/>
  <c r="Y760" i="2"/>
  <c r="Y308" i="2"/>
  <c r="X308" i="2"/>
  <c r="X93" i="2"/>
  <c r="Y93" i="2"/>
  <c r="Y423" i="2"/>
  <c r="X423" i="2"/>
  <c r="X546" i="2"/>
  <c r="Y546" i="2"/>
  <c r="Y69" i="2"/>
  <c r="X69" i="2"/>
  <c r="Y388" i="2"/>
  <c r="X388" i="2"/>
  <c r="Y76" i="2"/>
  <c r="X76" i="2"/>
  <c r="Y440" i="2"/>
  <c r="X440" i="2"/>
  <c r="Y415" i="2"/>
  <c r="X415" i="2"/>
  <c r="Y362" i="2"/>
  <c r="X362" i="2"/>
  <c r="Y490" i="2"/>
  <c r="X490" i="2"/>
  <c r="X500" i="2"/>
  <c r="Y500" i="2"/>
  <c r="Y492" i="2"/>
  <c r="X492" i="2"/>
  <c r="Y622" i="2"/>
  <c r="X622" i="2"/>
  <c r="X523" i="2"/>
  <c r="Y523" i="2"/>
  <c r="Y391" i="2"/>
  <c r="X391" i="2"/>
  <c r="X56" i="2"/>
  <c r="Y56" i="2"/>
  <c r="Y86" i="2"/>
  <c r="X86" i="2"/>
  <c r="Y310" i="2"/>
  <c r="X310" i="2"/>
  <c r="Y349" i="2"/>
  <c r="X349" i="2"/>
  <c r="X519" i="2"/>
  <c r="Y519" i="2"/>
  <c r="Y769" i="2"/>
  <c r="X769" i="2"/>
  <c r="X92" i="2"/>
  <c r="Y92" i="2"/>
  <c r="Y580" i="2"/>
  <c r="X580" i="2"/>
  <c r="Y699" i="2"/>
  <c r="X699" i="2"/>
  <c r="Y356" i="2"/>
  <c r="X356" i="2"/>
  <c r="Y154" i="2"/>
  <c r="X154" i="2"/>
  <c r="X734" i="2"/>
  <c r="Y734" i="2"/>
  <c r="Y111" i="2"/>
  <c r="X111" i="2"/>
  <c r="Y705" i="2"/>
  <c r="X705" i="2"/>
  <c r="X337" i="2"/>
  <c r="Y337" i="2"/>
  <c r="X290" i="2"/>
  <c r="Y290" i="2"/>
  <c r="X138" i="2"/>
  <c r="Y138" i="2"/>
  <c r="X541" i="2"/>
  <c r="Y541" i="2"/>
  <c r="X770" i="2"/>
  <c r="Y770" i="2"/>
  <c r="X301" i="2"/>
  <c r="Y301" i="2"/>
  <c r="Y176" i="2"/>
  <c r="X176" i="2"/>
  <c r="Y231" i="2"/>
  <c r="X231" i="2"/>
  <c r="Y386" i="2"/>
  <c r="X386" i="2"/>
  <c r="Y435" i="2"/>
  <c r="X435" i="2"/>
  <c r="Y595" i="2"/>
  <c r="X595" i="2"/>
  <c r="Y684" i="2"/>
  <c r="X684" i="2"/>
  <c r="Y665" i="2"/>
  <c r="X665" i="2"/>
  <c r="X245" i="2"/>
  <c r="Y245" i="2"/>
  <c r="X778" i="2"/>
  <c r="Y778" i="2"/>
  <c r="X98" i="2"/>
  <c r="Y98" i="2"/>
  <c r="X147" i="2"/>
  <c r="Y147" i="2"/>
  <c r="X562" i="2"/>
  <c r="Y562" i="2"/>
  <c r="X96" i="2"/>
  <c r="Y96" i="2"/>
  <c r="X196" i="2"/>
  <c r="Y196" i="2"/>
  <c r="X272" i="2"/>
  <c r="Y272" i="2"/>
  <c r="X247" i="2"/>
  <c r="Y247" i="2"/>
  <c r="Y327" i="2"/>
  <c r="X327" i="2"/>
  <c r="X632" i="2"/>
  <c r="Y632" i="2"/>
  <c r="Y115" i="2"/>
  <c r="X115" i="2"/>
  <c r="Y100" i="2"/>
  <c r="X100" i="2"/>
  <c r="X602" i="2"/>
  <c r="Y602" i="2"/>
  <c r="X648" i="2"/>
  <c r="Y648" i="2"/>
  <c r="X561" i="2"/>
  <c r="Y561" i="2"/>
  <c r="X334" i="2"/>
  <c r="Y334" i="2"/>
  <c r="Y313" i="2"/>
  <c r="X313" i="2"/>
  <c r="X721" i="2"/>
  <c r="Y721" i="2"/>
  <c r="X430" i="2"/>
  <c r="Y430" i="2"/>
  <c r="X585" i="2"/>
  <c r="Y585" i="2"/>
  <c r="Y336" i="2"/>
  <c r="X336" i="2"/>
  <c r="Y740" i="2"/>
  <c r="X740" i="2"/>
  <c r="Y516" i="2"/>
  <c r="X516" i="2"/>
  <c r="Y283" i="2"/>
  <c r="X283" i="2"/>
  <c r="Y512" i="2"/>
  <c r="X512" i="2"/>
  <c r="Y484" i="2"/>
  <c r="X484" i="2"/>
  <c r="Z39" i="2"/>
  <c r="X39" i="2"/>
  <c r="Y39" i="2"/>
  <c r="Y496" i="2"/>
  <c r="X496" i="2"/>
  <c r="X754" i="2"/>
  <c r="Y754" i="2"/>
  <c r="Y583" i="2"/>
  <c r="X583" i="2"/>
  <c r="X248" i="2"/>
  <c r="Y248" i="2"/>
  <c r="Y608" i="2"/>
  <c r="X608" i="2"/>
  <c r="X439" i="2"/>
  <c r="Y439" i="2"/>
  <c r="Y722" i="2"/>
  <c r="X722" i="2"/>
  <c r="X307" i="2"/>
  <c r="Y307" i="2"/>
  <c r="X787" i="2"/>
  <c r="Y787" i="2"/>
  <c r="X145" i="2"/>
  <c r="Y145" i="2"/>
  <c r="Y680" i="2"/>
  <c r="X680" i="2"/>
  <c r="Y631" i="2"/>
  <c r="X631" i="2"/>
  <c r="Y407" i="2"/>
  <c r="X407" i="2"/>
  <c r="Y276" i="2"/>
  <c r="X276" i="2"/>
  <c r="X268" i="2"/>
  <c r="Y268" i="2"/>
  <c r="X636" i="2"/>
  <c r="Y636" i="2"/>
  <c r="Y505" i="2"/>
  <c r="X505" i="2"/>
  <c r="Y469" i="2"/>
  <c r="X469" i="2"/>
  <c r="X670" i="2"/>
  <c r="Y670" i="2"/>
  <c r="X533" i="2"/>
  <c r="Y533" i="2"/>
  <c r="X139" i="2"/>
  <c r="Y139" i="2"/>
  <c r="X784" i="2"/>
  <c r="Y784" i="2"/>
  <c r="X73" i="2"/>
  <c r="Y73" i="2"/>
  <c r="X694" i="2"/>
  <c r="Y694" i="2"/>
  <c r="Y677" i="2"/>
  <c r="X677" i="2"/>
  <c r="X366" i="2"/>
  <c r="Y366" i="2"/>
  <c r="X472" i="2"/>
  <c r="Y472" i="2"/>
  <c r="X437" i="2"/>
  <c r="Y437" i="2"/>
  <c r="X357" i="2"/>
  <c r="Y357" i="2"/>
  <c r="X725" i="2"/>
  <c r="Y725" i="2"/>
  <c r="X521" i="2"/>
  <c r="Y521" i="2"/>
  <c r="Y358" i="2"/>
  <c r="X358" i="2"/>
  <c r="Y504" i="2"/>
  <c r="X504" i="2"/>
  <c r="X218" i="2"/>
  <c r="Y218" i="2"/>
  <c r="X368" i="2"/>
  <c r="Y368" i="2"/>
  <c r="X160" i="2"/>
  <c r="Y160" i="2"/>
  <c r="Y480" i="2"/>
  <c r="X480" i="2"/>
  <c r="X752" i="2"/>
  <c r="Y752" i="2"/>
  <c r="Y348" i="2"/>
  <c r="X348" i="2"/>
  <c r="X718" i="2"/>
  <c r="Y718" i="2"/>
  <c r="X654" i="2"/>
  <c r="Y654" i="2"/>
  <c r="X342" i="2"/>
  <c r="Y342" i="2"/>
  <c r="X296" i="2"/>
  <c r="Y296" i="2"/>
  <c r="X482" i="2"/>
  <c r="Y482" i="2"/>
  <c r="X44" i="2"/>
  <c r="Y44" i="2"/>
  <c r="Y89" i="2"/>
  <c r="X89" i="2"/>
  <c r="Y363" i="2"/>
  <c r="X363" i="2"/>
  <c r="X311" i="2"/>
  <c r="Y311" i="2"/>
  <c r="Y552" i="2"/>
  <c r="X552" i="2"/>
  <c r="Y626" i="2"/>
  <c r="X626" i="2"/>
  <c r="X652" i="2"/>
  <c r="Y652" i="2"/>
  <c r="X142" i="2"/>
  <c r="Y142" i="2"/>
  <c r="Y350" i="2"/>
  <c r="X350" i="2"/>
  <c r="Y642" i="2"/>
  <c r="X642" i="2"/>
  <c r="Y389" i="2"/>
  <c r="X389" i="2"/>
  <c r="X298" i="2"/>
  <c r="Y298" i="2"/>
  <c r="Y422" i="2"/>
  <c r="X422" i="2"/>
  <c r="Y106" i="2"/>
  <c r="X106" i="2"/>
  <c r="Y378" i="2"/>
  <c r="X378" i="2"/>
  <c r="Y614" i="2"/>
  <c r="X614" i="2"/>
  <c r="X179" i="2"/>
  <c r="Y179" i="2"/>
  <c r="X244" i="2"/>
  <c r="Y244" i="2"/>
  <c r="X451" i="2"/>
  <c r="Y451" i="2"/>
  <c r="X299" i="2"/>
  <c r="Y299" i="2"/>
  <c r="X369" i="2"/>
  <c r="Y369" i="2"/>
  <c r="Y538" i="2"/>
  <c r="X538" i="2"/>
  <c r="Y50" i="2"/>
  <c r="X50" i="2"/>
  <c r="X696" i="2"/>
  <c r="Y696" i="2"/>
  <c r="X587" i="2"/>
  <c r="Y587" i="2"/>
  <c r="Y173" i="2"/>
  <c r="X173" i="2"/>
  <c r="Y372" i="2"/>
  <c r="X372" i="2"/>
  <c r="Y239" i="2"/>
  <c r="X239" i="2"/>
  <c r="Y235" i="2"/>
  <c r="X235" i="2"/>
  <c r="X381" i="2"/>
  <c r="Y381" i="2"/>
  <c r="Y331" i="2"/>
  <c r="X331" i="2"/>
  <c r="Y763" i="2"/>
  <c r="X763" i="2"/>
  <c r="X384" i="2"/>
  <c r="Y384" i="2"/>
  <c r="X613" i="2"/>
  <c r="Y613" i="2"/>
  <c r="Y468" i="2"/>
  <c r="X468" i="2"/>
  <c r="Y319" i="2"/>
  <c r="X319" i="2"/>
  <c r="Y666" i="2"/>
  <c r="X666" i="2"/>
  <c r="X219" i="2"/>
  <c r="Y219" i="2"/>
  <c r="Y80" i="2"/>
  <c r="X80" i="2"/>
  <c r="X663" i="2"/>
  <c r="Y663" i="2"/>
  <c r="Y95" i="2"/>
  <c r="X95" i="2"/>
  <c r="X514" i="2"/>
  <c r="Y514" i="2"/>
  <c r="X396" i="2"/>
  <c r="Y396" i="2"/>
  <c r="Y600" i="2"/>
  <c r="X600" i="2"/>
  <c r="Y178" i="2"/>
  <c r="X178" i="2"/>
  <c r="Y610" i="2"/>
  <c r="X610" i="2"/>
  <c r="X376" i="2"/>
  <c r="Y376" i="2"/>
  <c r="Y688" i="2"/>
  <c r="X688" i="2"/>
  <c r="Y341" i="2"/>
  <c r="X341" i="2"/>
  <c r="X365" i="2"/>
  <c r="Y365" i="2"/>
  <c r="Y717" i="2"/>
  <c r="X717" i="2"/>
  <c r="Y426" i="2"/>
  <c r="X426" i="2"/>
  <c r="G30" i="2"/>
  <c r="X126" i="2"/>
  <c r="Y126" i="2"/>
  <c r="X164" i="2"/>
  <c r="Y164" i="2"/>
  <c r="X443" i="2"/>
  <c r="Y443" i="2"/>
  <c r="X143" i="2"/>
  <c r="Y143" i="2"/>
  <c r="X286" i="2"/>
  <c r="Y286" i="2"/>
  <c r="X429" i="2"/>
  <c r="Y429" i="2"/>
  <c r="X758" i="2"/>
  <c r="Y758" i="2"/>
  <c r="Y524" i="2"/>
  <c r="X524" i="2"/>
  <c r="X79" i="2"/>
  <c r="Y79" i="2"/>
  <c r="X322" i="2"/>
  <c r="Y322" i="2"/>
  <c r="Y695" i="2"/>
  <c r="X695" i="2"/>
  <c r="Y253" i="2"/>
  <c r="X253" i="2"/>
  <c r="Y137" i="2"/>
  <c r="X137" i="2"/>
  <c r="Y289" i="2"/>
  <c r="X289" i="2"/>
  <c r="X573" i="2"/>
  <c r="Y573" i="2"/>
  <c r="Y300" i="2"/>
  <c r="X300" i="2"/>
  <c r="X294" i="2"/>
  <c r="Y294" i="2"/>
  <c r="X186" i="2"/>
  <c r="Y186" i="2"/>
  <c r="Y517" i="2"/>
  <c r="X517" i="2"/>
  <c r="Y241" i="2"/>
  <c r="X241" i="2"/>
  <c r="X753" i="2"/>
  <c r="Y753" i="2"/>
  <c r="X130" i="2"/>
  <c r="Y130" i="2"/>
  <c r="Y150" i="2"/>
  <c r="X150" i="2"/>
  <c r="Y205" i="2"/>
  <c r="X205" i="2"/>
  <c r="X269" i="2"/>
  <c r="Y269" i="2"/>
  <c r="X287" i="2"/>
  <c r="Y287" i="2"/>
  <c r="Y759" i="2"/>
  <c r="X759" i="2"/>
  <c r="Y225" i="2"/>
  <c r="X225" i="2"/>
  <c r="Y730" i="2"/>
  <c r="X730" i="2"/>
  <c r="X545" i="2"/>
  <c r="Y545" i="2"/>
  <c r="X338" i="2"/>
  <c r="Y338" i="2"/>
  <c r="X668" i="2"/>
  <c r="Y668" i="2"/>
  <c r="X382" i="2"/>
  <c r="Y382" i="2"/>
  <c r="X281" i="2"/>
  <c r="Y281" i="2"/>
  <c r="X393" i="2"/>
  <c r="Y393" i="2"/>
  <c r="Y352" i="2"/>
  <c r="X352" i="2"/>
  <c r="Y744" i="2"/>
  <c r="X744" i="2"/>
  <c r="X781" i="2"/>
  <c r="Y781" i="2"/>
  <c r="X117" i="2"/>
  <c r="Y117" i="2"/>
  <c r="X413" i="2"/>
  <c r="Y413" i="2"/>
  <c r="X531" i="2"/>
  <c r="Y531" i="2"/>
  <c r="X466" i="2"/>
  <c r="Y466" i="2"/>
  <c r="Y364" i="2"/>
  <c r="X364" i="2"/>
  <c r="X134" i="2"/>
  <c r="Y134" i="2"/>
  <c r="X646" i="2"/>
  <c r="Y646" i="2"/>
  <c r="Y629" i="2"/>
  <c r="X629" i="2"/>
  <c r="X114" i="2"/>
  <c r="Y114" i="2"/>
  <c r="X305" i="2"/>
  <c r="Y305" i="2"/>
  <c r="X65" i="2"/>
  <c r="Y65" i="2"/>
  <c r="X167" i="2"/>
  <c r="Y167" i="2"/>
  <c r="Y256" i="2"/>
  <c r="X256" i="2"/>
  <c r="X732" i="2"/>
  <c r="Y732" i="2"/>
  <c r="Y291" i="2"/>
  <c r="X291" i="2"/>
  <c r="X128" i="2"/>
  <c r="Y128" i="2"/>
  <c r="X318" i="2"/>
  <c r="Y318" i="2"/>
  <c r="X481" i="2"/>
  <c r="Y481" i="2"/>
  <c r="X238" i="2"/>
  <c r="Y238" i="2"/>
  <c r="X216" i="2"/>
  <c r="Y216" i="2"/>
  <c r="Y522" i="2"/>
  <c r="X522" i="2"/>
  <c r="X135" i="2"/>
  <c r="Y135" i="2"/>
  <c r="Y711" i="2"/>
  <c r="X711" i="2"/>
  <c r="X576" i="2"/>
  <c r="Y576" i="2"/>
  <c r="X264" i="2"/>
  <c r="Y264" i="2"/>
  <c r="X401" i="2"/>
  <c r="Y401" i="2"/>
  <c r="X620" i="2"/>
  <c r="Y620" i="2"/>
  <c r="X254" i="2"/>
  <c r="Y254" i="2"/>
  <c r="Y317" i="2"/>
  <c r="X317" i="2"/>
  <c r="X390" i="2"/>
  <c r="Y390" i="2"/>
  <c r="Y339" i="2"/>
  <c r="X339" i="2"/>
  <c r="X462" i="2"/>
  <c r="Y462" i="2"/>
  <c r="Y544" i="2"/>
  <c r="X544" i="2"/>
  <c r="Y421" i="2"/>
  <c r="X421" i="2"/>
  <c r="X277" i="2"/>
  <c r="Y277" i="2"/>
  <c r="X410" i="2"/>
  <c r="Y410" i="2"/>
  <c r="Y637" i="2"/>
  <c r="X637" i="2"/>
  <c r="X542" i="2"/>
  <c r="Y542" i="2"/>
  <c r="Y693" i="2"/>
  <c r="X693" i="2"/>
  <c r="Y578" i="2"/>
  <c r="X578" i="2"/>
  <c r="X271" i="2"/>
  <c r="Y271" i="2"/>
  <c r="Y78" i="2"/>
  <c r="X78" i="2"/>
  <c r="X387" i="2"/>
  <c r="Y387" i="2"/>
  <c r="Y84" i="2"/>
  <c r="X84" i="2"/>
  <c r="Y174" i="2"/>
  <c r="X174" i="2"/>
  <c r="X589" i="2"/>
  <c r="Y589" i="2"/>
  <c r="X221" i="2"/>
  <c r="Y221" i="2"/>
  <c r="Y192" i="2"/>
  <c r="X192" i="2"/>
  <c r="Y604" i="2"/>
  <c r="X604" i="2"/>
  <c r="X206" i="2"/>
  <c r="Y206" i="2"/>
  <c r="X329" i="2"/>
  <c r="Y329" i="2"/>
  <c r="Y757" i="2"/>
  <c r="X757" i="2"/>
  <c r="Y316" i="2"/>
  <c r="X316" i="2"/>
  <c r="X698" i="2"/>
  <c r="Y698" i="2"/>
  <c r="X255" i="2"/>
  <c r="Y255" i="2"/>
  <c r="Y258" i="2"/>
  <c r="X258" i="2"/>
  <c r="X650" i="2"/>
  <c r="Y650" i="2"/>
  <c r="Y624" i="2"/>
  <c r="X624" i="2"/>
  <c r="Y679" i="2"/>
  <c r="X679" i="2"/>
  <c r="Y177" i="2"/>
  <c r="X177" i="2"/>
  <c r="X535" i="2"/>
  <c r="Y535" i="2"/>
  <c r="X446" i="2"/>
  <c r="Y446" i="2"/>
  <c r="X140" i="2"/>
  <c r="Y140" i="2"/>
  <c r="X157" i="2"/>
  <c r="Y157" i="2"/>
  <c r="X293" i="2"/>
  <c r="Y293" i="2"/>
  <c r="X274" i="2"/>
  <c r="Y274" i="2"/>
  <c r="Y74" i="2"/>
  <c r="X74" i="2"/>
  <c r="X326" i="2"/>
  <c r="Y326" i="2"/>
  <c r="Y105" i="2"/>
  <c r="X105" i="2"/>
  <c r="X220" i="2"/>
  <c r="Y220" i="2"/>
  <c r="Y172" i="2"/>
  <c r="X172" i="2"/>
  <c r="X766" i="2"/>
  <c r="Y766" i="2"/>
  <c r="X151" i="2"/>
  <c r="Y151" i="2"/>
  <c r="X424" i="2"/>
  <c r="Y424" i="2"/>
  <c r="Y716" i="2"/>
  <c r="X716" i="2"/>
  <c r="X302" i="2"/>
  <c r="Y302" i="2"/>
  <c r="Y57" i="2"/>
  <c r="X57" i="2"/>
  <c r="X265" i="2"/>
  <c r="Y265" i="2"/>
  <c r="Y273" i="2"/>
  <c r="X273" i="2"/>
  <c r="X210" i="2"/>
  <c r="Y210" i="2"/>
  <c r="Y594" i="2"/>
  <c r="X594" i="2"/>
  <c r="X400" i="2"/>
  <c r="Y400" i="2"/>
  <c r="Y185" i="2"/>
  <c r="X185" i="2"/>
  <c r="X323" i="2"/>
  <c r="Y323" i="2"/>
  <c r="X563" i="2"/>
  <c r="Y563" i="2"/>
  <c r="X783" i="2"/>
  <c r="Y783" i="2"/>
  <c r="Y510" i="2"/>
  <c r="X510" i="2"/>
  <c r="X394" i="2"/>
  <c r="Y394" i="2"/>
  <c r="X346" i="2"/>
  <c r="Y346" i="2"/>
  <c r="Y473" i="2"/>
  <c r="X473" i="2"/>
  <c r="X405" i="2"/>
  <c r="Y405" i="2"/>
  <c r="X729" i="2"/>
  <c r="Y729" i="2"/>
  <c r="Y756" i="2"/>
  <c r="X756" i="2"/>
  <c r="X551" i="2"/>
  <c r="Y551" i="2"/>
  <c r="Y649" i="2"/>
  <c r="X649" i="2"/>
  <c r="X780" i="2"/>
  <c r="Y780" i="2"/>
  <c r="X181" i="2"/>
  <c r="Y181" i="2"/>
  <c r="X703" i="2"/>
  <c r="Y703" i="2"/>
  <c r="X556" i="2"/>
  <c r="Y556" i="2"/>
  <c r="Y262" i="2"/>
  <c r="X262" i="2"/>
  <c r="X257" i="2"/>
  <c r="Y257" i="2"/>
  <c r="Y457" i="2"/>
  <c r="X457" i="2"/>
  <c r="Y347" i="2"/>
  <c r="X347" i="2"/>
  <c r="X419" i="2"/>
  <c r="Y419" i="2"/>
  <c r="X83" i="2"/>
  <c r="Y83" i="2"/>
  <c r="X713" i="2"/>
  <c r="Y713" i="2"/>
  <c r="X748" i="2"/>
  <c r="Y748" i="2"/>
  <c r="X375" i="2"/>
  <c r="Y375" i="2"/>
  <c r="Y467" i="2"/>
  <c r="X467" i="2"/>
  <c r="X682" i="2"/>
  <c r="Y682" i="2"/>
  <c r="Y534" i="2"/>
  <c r="X534" i="2"/>
  <c r="X197" i="2"/>
  <c r="Y197" i="2"/>
  <c r="Y599" i="2"/>
  <c r="X599" i="2"/>
  <c r="Y653" i="2"/>
  <c r="X653" i="2"/>
  <c r="X597" i="2"/>
  <c r="Y597" i="2"/>
  <c r="Y449" i="2"/>
  <c r="X449" i="2"/>
  <c r="X570" i="2"/>
  <c r="Y570" i="2"/>
  <c r="Y404" i="2"/>
  <c r="X404" i="2"/>
  <c r="Y465" i="2"/>
  <c r="X465" i="2"/>
  <c r="Y558" i="2"/>
  <c r="X558" i="2"/>
  <c r="Y116" i="2"/>
  <c r="X116" i="2"/>
  <c r="X199" i="2"/>
  <c r="Y199" i="2"/>
  <c r="Y662" i="2"/>
  <c r="X662" i="2"/>
  <c r="X436" i="2"/>
  <c r="Y436" i="2"/>
  <c r="Y655" i="2"/>
  <c r="X655" i="2"/>
  <c r="X615" i="2"/>
  <c r="Y615" i="2"/>
  <c r="AA206" i="2" l="1"/>
  <c r="AA615" i="2"/>
  <c r="AA682" i="2"/>
  <c r="AA783" i="2"/>
  <c r="AA220" i="2"/>
  <c r="AA589" i="2"/>
  <c r="AA135" i="2"/>
  <c r="AA404" i="2"/>
  <c r="AA457" i="2"/>
  <c r="AA352" i="2"/>
  <c r="AA400" i="2"/>
  <c r="AA599" i="2"/>
  <c r="AA265" i="2"/>
  <c r="AA446" i="2"/>
  <c r="AA542" i="2"/>
  <c r="AA732" i="2"/>
  <c r="AA563" i="2"/>
  <c r="AA535" i="2"/>
  <c r="AA393" i="2"/>
  <c r="AA424" i="2"/>
  <c r="AA551" i="2"/>
  <c r="AA698" i="2"/>
  <c r="AA134" i="2"/>
  <c r="AA570" i="2"/>
  <c r="AA257" i="2"/>
  <c r="AA655" i="2"/>
  <c r="AA467" i="2"/>
  <c r="AA756" i="2"/>
  <c r="AA57" i="2"/>
  <c r="AA105" i="2"/>
  <c r="AA316" i="2"/>
  <c r="AA174" i="2"/>
  <c r="AA637" i="2"/>
  <c r="AA317" i="2"/>
  <c r="AA522" i="2"/>
  <c r="AA256" i="2"/>
  <c r="AA364" i="2"/>
  <c r="AA436" i="2"/>
  <c r="AA323" i="2"/>
  <c r="AA216" i="2"/>
  <c r="AA281" i="2"/>
  <c r="AA262" i="2"/>
  <c r="AA177" i="2"/>
  <c r="AA757" i="2"/>
  <c r="AA84" i="2"/>
  <c r="AA219" i="2"/>
  <c r="AA381" i="2"/>
  <c r="AA342" i="2"/>
  <c r="AA218" i="2"/>
  <c r="AA366" i="2"/>
  <c r="AA145" i="2"/>
  <c r="AA375" i="2"/>
  <c r="AA302" i="2"/>
  <c r="AA410" i="2"/>
  <c r="AA466" i="2"/>
  <c r="AA597" i="2"/>
  <c r="AA748" i="2"/>
  <c r="AA556" i="2"/>
  <c r="AA405" i="2"/>
  <c r="AA329" i="2"/>
  <c r="AA387" i="2"/>
  <c r="AA277" i="2"/>
  <c r="AA620" i="2"/>
  <c r="AA238" i="2"/>
  <c r="AA65" i="2"/>
  <c r="AA531" i="2"/>
  <c r="AA729" i="2"/>
  <c r="AA326" i="2"/>
  <c r="AA254" i="2"/>
  <c r="AA167" i="2"/>
  <c r="AA449" i="2"/>
  <c r="AA662" i="2"/>
  <c r="AA185" i="2"/>
  <c r="AA716" i="2"/>
  <c r="AA74" i="2"/>
  <c r="AA703" i="2"/>
  <c r="AA481" i="2"/>
  <c r="AA413" i="2"/>
  <c r="AA653" i="2"/>
  <c r="AA473" i="2"/>
  <c r="AA624" i="2"/>
  <c r="AA78" i="2"/>
  <c r="AA421" i="2"/>
  <c r="AA274" i="2"/>
  <c r="AA401" i="2"/>
  <c r="AA305" i="2"/>
  <c r="AA668" i="2"/>
  <c r="AA83" i="2"/>
  <c r="AA181" i="2"/>
  <c r="AA346" i="2"/>
  <c r="AA151" i="2"/>
  <c r="AA293" i="2"/>
  <c r="AA650" i="2"/>
  <c r="AA271" i="2"/>
  <c r="AA264" i="2"/>
  <c r="AA318" i="2"/>
  <c r="AA114" i="2"/>
  <c r="AA117" i="2"/>
  <c r="AA199" i="2"/>
  <c r="AA594" i="2"/>
  <c r="AA604" i="2"/>
  <c r="AA150" i="2"/>
  <c r="AA268" i="2"/>
  <c r="AA197" i="2"/>
  <c r="AA419" i="2"/>
  <c r="AA780" i="2"/>
  <c r="AA394" i="2"/>
  <c r="AA210" i="2"/>
  <c r="AA766" i="2"/>
  <c r="AA157" i="2"/>
  <c r="AA462" i="2"/>
  <c r="AA116" i="2"/>
  <c r="AA544" i="2"/>
  <c r="AA396" i="2"/>
  <c r="AA451" i="2"/>
  <c r="AA73" i="2"/>
  <c r="AA258" i="2"/>
  <c r="AA192" i="2"/>
  <c r="AA629" i="2"/>
  <c r="AA289" i="2"/>
  <c r="AA365" i="2"/>
  <c r="AA514" i="2"/>
  <c r="AA613" i="2"/>
  <c r="AA244" i="2"/>
  <c r="AA578" i="2"/>
  <c r="AA140" i="2"/>
  <c r="AA713" i="2"/>
  <c r="AA521" i="2"/>
  <c r="AA558" i="2"/>
  <c r="AA465" i="2"/>
  <c r="AA534" i="2"/>
  <c r="AA347" i="2"/>
  <c r="AA649" i="2"/>
  <c r="AA510" i="2"/>
  <c r="AA273" i="2"/>
  <c r="AA172" i="2"/>
  <c r="AA390" i="2"/>
  <c r="AA754" i="2"/>
  <c r="AA740" i="2"/>
  <c r="AA684" i="2"/>
  <c r="AA356" i="2"/>
  <c r="AA86" i="2"/>
  <c r="AA362" i="2"/>
  <c r="AA328" i="2"/>
  <c r="AA590" i="2"/>
  <c r="AA474" i="2"/>
  <c r="AA53" i="2"/>
  <c r="AA661" i="2"/>
  <c r="AA184" i="2"/>
  <c r="AA213" i="2"/>
  <c r="AA548" i="2"/>
  <c r="AA549" i="2"/>
  <c r="AA101" i="2"/>
  <c r="AA707" i="2"/>
  <c r="AA611" i="2"/>
  <c r="AA64" i="2"/>
  <c r="AA382" i="2"/>
  <c r="AA679" i="2"/>
  <c r="AA576" i="2"/>
  <c r="AA128" i="2"/>
  <c r="AA781" i="2"/>
  <c r="AA752" i="2"/>
  <c r="AA725" i="2"/>
  <c r="AA784" i="2"/>
  <c r="AA439" i="2"/>
  <c r="AA484" i="2"/>
  <c r="AA231" i="2"/>
  <c r="AA705" i="2"/>
  <c r="AA769" i="2"/>
  <c r="AA622" i="2"/>
  <c r="AA388" i="2"/>
  <c r="AA616" i="2"/>
  <c r="AA741" i="2"/>
  <c r="AA459" i="2"/>
  <c r="AA52" i="2"/>
  <c r="AA165" i="2"/>
  <c r="AA635" i="2"/>
  <c r="AA572" i="2"/>
  <c r="AA222" i="2"/>
  <c r="AA704" i="2"/>
  <c r="AA762" i="2"/>
  <c r="AA333" i="2"/>
  <c r="AA123" i="2"/>
  <c r="AA689" i="2"/>
  <c r="AA417" i="2"/>
  <c r="AA612" i="2"/>
  <c r="AA353" i="2"/>
  <c r="AA40" i="2"/>
  <c r="AA487" i="2"/>
  <c r="AA764" i="2"/>
  <c r="AA255" i="2"/>
  <c r="AA221" i="2"/>
  <c r="AA646" i="2"/>
  <c r="AA693" i="2"/>
  <c r="AA339" i="2"/>
  <c r="AA711" i="2"/>
  <c r="AA291" i="2"/>
  <c r="AA225" i="2"/>
  <c r="AA241" i="2"/>
  <c r="AA253" i="2"/>
  <c r="AA663" i="2"/>
  <c r="AA696" i="2"/>
  <c r="AA142" i="2"/>
  <c r="AA482" i="2"/>
  <c r="AA160" i="2"/>
  <c r="AA437" i="2"/>
  <c r="AA533" i="2"/>
  <c r="AA248" i="2"/>
  <c r="AA283" i="2"/>
  <c r="AA349" i="2"/>
  <c r="AA470" i="2"/>
  <c r="AA700" i="2"/>
  <c r="AA204" i="2"/>
  <c r="AA596" i="2"/>
  <c r="AA208" i="2"/>
  <c r="AA119" i="2"/>
  <c r="AA367" i="2"/>
  <c r="AA643" i="2"/>
  <c r="AA609" i="2"/>
  <c r="AA720" i="2"/>
  <c r="AA125" i="2"/>
  <c r="AA411" i="2"/>
  <c r="AA360" i="2"/>
  <c r="AA127" i="2"/>
  <c r="AA582" i="2"/>
  <c r="AA444" i="2"/>
  <c r="AA211" i="2"/>
  <c r="AA136" i="2"/>
  <c r="AA141" i="2"/>
  <c r="AA593" i="2"/>
  <c r="AA463" i="2"/>
  <c r="AA706" i="2"/>
  <c r="AA46" i="2"/>
  <c r="AA58" i="2"/>
  <c r="AA99" i="2"/>
  <c r="AA773" i="2"/>
  <c r="AA623" i="2"/>
  <c r="AA118" i="2"/>
  <c r="AA303" i="2"/>
  <c r="AA443" i="2"/>
  <c r="AA688" i="2"/>
  <c r="AA763" i="2"/>
  <c r="AA614" i="2"/>
  <c r="AA631" i="2"/>
  <c r="AA561" i="2"/>
  <c r="AA272" i="2"/>
  <c r="AA770" i="2"/>
  <c r="AA471" i="2"/>
  <c r="AA786" i="2"/>
  <c r="AA370" i="2"/>
  <c r="AA709" i="2"/>
  <c r="AA279" i="2"/>
  <c r="AA171" i="2"/>
  <c r="AA567" i="2"/>
  <c r="AA159" i="2"/>
  <c r="AA702" i="2"/>
  <c r="AA379" i="2"/>
  <c r="AA124" i="2"/>
  <c r="AA592" i="2"/>
  <c r="AA169" i="2"/>
  <c r="AA528" i="2"/>
  <c r="AA215" i="2"/>
  <c r="AA493" i="2"/>
  <c r="AA676" i="2"/>
  <c r="AA749" i="2"/>
  <c r="AA59" i="2"/>
  <c r="AA120" i="2"/>
  <c r="AA325" i="2"/>
  <c r="AA759" i="2"/>
  <c r="AA517" i="2"/>
  <c r="AA695" i="2"/>
  <c r="AA376" i="2"/>
  <c r="AA652" i="2"/>
  <c r="AA296" i="2"/>
  <c r="AA368" i="2"/>
  <c r="AA472" i="2"/>
  <c r="AA670" i="2"/>
  <c r="AA516" i="2"/>
  <c r="AA665" i="2"/>
  <c r="AA154" i="2"/>
  <c r="AA310" i="2"/>
  <c r="AA490" i="2"/>
  <c r="AA423" i="2"/>
  <c r="AA728" i="2"/>
  <c r="AA540" i="2"/>
  <c r="AA314" i="2"/>
  <c r="AA767" i="2"/>
  <c r="AA736" i="2"/>
  <c r="AA433" i="2"/>
  <c r="AA701" i="2"/>
  <c r="AA673" i="2"/>
  <c r="AA568" i="2"/>
  <c r="AA554" i="2"/>
  <c r="AA788" i="2"/>
  <c r="AA647" i="2"/>
  <c r="AA354" i="2"/>
  <c r="AA166" i="2"/>
  <c r="AA738" i="2"/>
  <c r="AA180" i="2"/>
  <c r="AA488" i="2"/>
  <c r="AA520" i="2"/>
  <c r="AA731" i="2"/>
  <c r="AA598" i="2"/>
  <c r="AA81" i="2"/>
  <c r="AA373" i="2"/>
  <c r="AA207" i="2"/>
  <c r="AA287" i="2"/>
  <c r="AA186" i="2"/>
  <c r="AA322" i="2"/>
  <c r="AA164" i="2"/>
  <c r="AA80" i="2"/>
  <c r="AA331" i="2"/>
  <c r="AA50" i="2"/>
  <c r="AA378" i="2"/>
  <c r="AA680" i="2"/>
  <c r="AA583" i="2"/>
  <c r="AA648" i="2"/>
  <c r="AA196" i="2"/>
  <c r="AA541" i="2"/>
  <c r="AA93" i="2"/>
  <c r="AA49" i="2"/>
  <c r="AA507" i="2"/>
  <c r="AA42" i="2"/>
  <c r="AA385" i="2"/>
  <c r="AA195" i="2"/>
  <c r="AA237" i="2"/>
  <c r="AA345" i="2"/>
  <c r="AA190" i="2"/>
  <c r="AA639" i="2"/>
  <c r="AA144" i="2"/>
  <c r="AA485" i="2"/>
  <c r="AA267" i="2"/>
  <c r="AA508" i="2"/>
  <c r="AA324" i="2"/>
  <c r="AA733" i="2"/>
  <c r="AA724" i="2"/>
  <c r="AA416" i="2"/>
  <c r="AA515" i="2"/>
  <c r="AA217" i="2"/>
  <c r="AA275" i="2"/>
  <c r="AA687" i="2"/>
  <c r="AA779" i="2"/>
  <c r="AA51" i="2"/>
  <c r="AA454" i="2"/>
  <c r="AA107" i="2"/>
  <c r="AA335" i="2"/>
  <c r="AA667" i="2"/>
  <c r="AA723" i="2"/>
  <c r="AA675" i="2"/>
  <c r="AA332" i="2"/>
  <c r="AA557" i="2"/>
  <c r="AA94" i="2"/>
  <c r="AA486" i="2"/>
  <c r="AA571" i="2"/>
  <c r="AA497" i="2"/>
  <c r="AA768" i="2"/>
  <c r="AA242" i="2"/>
  <c r="AA475" i="2"/>
  <c r="AA54" i="2"/>
  <c r="AA412" i="2"/>
  <c r="AA48" i="2"/>
  <c r="AA765" i="2"/>
  <c r="AA506" i="2"/>
  <c r="AA708" i="2"/>
  <c r="AA269" i="2"/>
  <c r="AA294" i="2"/>
  <c r="AA79" i="2"/>
  <c r="AA126" i="2"/>
  <c r="AA610" i="2"/>
  <c r="AA538" i="2"/>
  <c r="AA106" i="2"/>
  <c r="AA626" i="2"/>
  <c r="AA469" i="2"/>
  <c r="AA602" i="2"/>
  <c r="AA96" i="2"/>
  <c r="AA138" i="2"/>
  <c r="AA56" i="2"/>
  <c r="AA434" i="2"/>
  <c r="AA428" i="2"/>
  <c r="AA374" i="2"/>
  <c r="AA584" i="2"/>
  <c r="AA638" i="2"/>
  <c r="AA452" i="2"/>
  <c r="AA402" i="2"/>
  <c r="AA110" i="2"/>
  <c r="AA359" i="2"/>
  <c r="AA224" i="2"/>
  <c r="AA163" i="2"/>
  <c r="AA234" i="2"/>
  <c r="AA621" i="2"/>
  <c r="AA103" i="2"/>
  <c r="AA240" i="2"/>
  <c r="AA91" i="2"/>
  <c r="AA715" i="2"/>
  <c r="AA61" i="2"/>
  <c r="AA62" i="2"/>
  <c r="AA182" i="2"/>
  <c r="AA85" i="2"/>
  <c r="AA121" i="2"/>
  <c r="AA503" i="2"/>
  <c r="AA187" i="2"/>
  <c r="AA369" i="2"/>
  <c r="AA654" i="2"/>
  <c r="AA787" i="2"/>
  <c r="AA336" i="2"/>
  <c r="AA595" i="2"/>
  <c r="AA699" i="2"/>
  <c r="AA415" i="2"/>
  <c r="AA308" i="2"/>
  <c r="AA529" i="2"/>
  <c r="AA712" i="2"/>
  <c r="AA526" i="2"/>
  <c r="AA745" i="2"/>
  <c r="AA282" i="2"/>
  <c r="AA630" i="2"/>
  <c r="AA152" i="2"/>
  <c r="AA501" i="2"/>
  <c r="AA458" i="2"/>
  <c r="AA511" i="2"/>
  <c r="AA491" i="2"/>
  <c r="AA445" i="2"/>
  <c r="AA664" i="2"/>
  <c r="AA697" i="2"/>
  <c r="AA70" i="2"/>
  <c r="AA483" i="2"/>
  <c r="AA88" i="2"/>
  <c r="AA414" i="2"/>
  <c r="AA209" i="2"/>
  <c r="AA43" i="2"/>
  <c r="AA461" i="2"/>
  <c r="AA671" i="2"/>
  <c r="AA168" i="2"/>
  <c r="AA309" i="2"/>
  <c r="AA178" i="2"/>
  <c r="AA666" i="2"/>
  <c r="AA235" i="2"/>
  <c r="AA422" i="2"/>
  <c r="AA552" i="2"/>
  <c r="AA504" i="2"/>
  <c r="AA677" i="2"/>
  <c r="AA505" i="2"/>
  <c r="AA496" i="2"/>
  <c r="AA585" i="2"/>
  <c r="AA562" i="2"/>
  <c r="AA290" i="2"/>
  <c r="AA760" i="2"/>
  <c r="AA189" i="2"/>
  <c r="AA320" i="2"/>
  <c r="AA460" i="2"/>
  <c r="AA297" i="2"/>
  <c r="AA156" i="2"/>
  <c r="AA250" i="2"/>
  <c r="AA536" i="2"/>
  <c r="AA509" i="2"/>
  <c r="AA678" i="2"/>
  <c r="AA285" i="2"/>
  <c r="AA431" i="2"/>
  <c r="AA560" i="2"/>
  <c r="AA418" i="2"/>
  <c r="AA47" i="2"/>
  <c r="AA193" i="2"/>
  <c r="AA692" i="2"/>
  <c r="AA477" i="2"/>
  <c r="AA340" i="2"/>
  <c r="AA566" i="2"/>
  <c r="AA55" i="2"/>
  <c r="AA453" i="2"/>
  <c r="AA447" i="2"/>
  <c r="AA425" i="2"/>
  <c r="AA344" i="2"/>
  <c r="AA690" i="2"/>
  <c r="AA104" i="2"/>
  <c r="AA113" i="2"/>
  <c r="AA261" i="2"/>
  <c r="AA170" i="2"/>
  <c r="AA205" i="2"/>
  <c r="AA300" i="2"/>
  <c r="AA524" i="2"/>
  <c r="AA299" i="2"/>
  <c r="AA298" i="2"/>
  <c r="AA311" i="2"/>
  <c r="AA718" i="2"/>
  <c r="AA694" i="2"/>
  <c r="AA636" i="2"/>
  <c r="AA307" i="2"/>
  <c r="AA39" i="2"/>
  <c r="AA100" i="2"/>
  <c r="AA435" i="2"/>
  <c r="AA580" i="2"/>
  <c r="AA391" i="2"/>
  <c r="AA440" i="2"/>
  <c r="AA776" i="2"/>
  <c r="AA102" i="2"/>
  <c r="AA330" i="2"/>
  <c r="AA641" i="2"/>
  <c r="AA292" i="2"/>
  <c r="AA288" i="2"/>
  <c r="AA252" i="2"/>
  <c r="AA87" i="2"/>
  <c r="AA60" i="2"/>
  <c r="AA645" i="2"/>
  <c r="AA155" i="2"/>
  <c r="AA489" i="2"/>
  <c r="AA198" i="2"/>
  <c r="AA442" i="2"/>
  <c r="AA270" i="2"/>
  <c r="AA351" i="2"/>
  <c r="AA565" i="2"/>
  <c r="AA194" i="2"/>
  <c r="AA755" i="2"/>
  <c r="AA321" i="2"/>
  <c r="AA395" i="2"/>
  <c r="AA628" i="2"/>
  <c r="AA651" i="2"/>
  <c r="AA476" i="2"/>
  <c r="AA133" i="2"/>
  <c r="AA448" i="2"/>
  <c r="AA502" i="2"/>
  <c r="AA564" i="2"/>
  <c r="AA263" i="2"/>
  <c r="AA112" i="2"/>
  <c r="AA660" i="2"/>
  <c r="AA674" i="2"/>
  <c r="AA750" i="2"/>
  <c r="AA338" i="2"/>
  <c r="AA573" i="2"/>
  <c r="AA758" i="2"/>
  <c r="AA426" i="2"/>
  <c r="AA600" i="2"/>
  <c r="AA319" i="2"/>
  <c r="AA239" i="2"/>
  <c r="AA358" i="2"/>
  <c r="C32" i="2"/>
  <c r="AA430" i="2"/>
  <c r="AA147" i="2"/>
  <c r="AA337" i="2"/>
  <c r="AA92" i="2"/>
  <c r="AA523" i="2"/>
  <c r="AA420" i="2"/>
  <c r="AA201" i="2"/>
  <c r="AA148" i="2"/>
  <c r="AA618" i="2"/>
  <c r="AA409" i="2"/>
  <c r="AA672" i="2"/>
  <c r="AA747" i="2"/>
  <c r="AA525" i="2"/>
  <c r="AA266" i="2"/>
  <c r="AA625" i="2"/>
  <c r="AA109" i="2"/>
  <c r="AA657" i="2"/>
  <c r="AA719" i="2"/>
  <c r="AA200" i="2"/>
  <c r="AA63" i="2"/>
  <c r="AA68" i="2"/>
  <c r="AA685" i="2"/>
  <c r="AA659" i="2"/>
  <c r="AA743" i="2"/>
  <c r="AA312" i="2"/>
  <c r="AA115" i="2"/>
  <c r="AA386" i="2"/>
  <c r="AA76" i="2"/>
  <c r="AA751" i="2"/>
  <c r="AA41" i="2"/>
  <c r="AA588" i="2"/>
  <c r="AA108" i="2"/>
  <c r="AA149" i="2"/>
  <c r="AA227" i="2"/>
  <c r="AA450" i="2"/>
  <c r="AA555" i="2"/>
  <c r="AA251" i="2"/>
  <c r="AA714" i="2"/>
  <c r="AA737" i="2"/>
  <c r="AA777" i="2"/>
  <c r="AA232" i="2"/>
  <c r="AA161" i="2"/>
  <c r="AA278" i="2"/>
  <c r="AA230" i="2"/>
  <c r="AA591" i="2"/>
  <c r="AA246" i="2"/>
  <c r="AA72" i="2"/>
  <c r="AA228" i="2"/>
  <c r="AA406" i="2"/>
  <c r="AA617" i="2"/>
  <c r="AA603" i="2"/>
  <c r="AA581" i="2"/>
  <c r="AA545" i="2"/>
  <c r="AA130" i="2"/>
  <c r="AA429" i="2"/>
  <c r="AA717" i="2"/>
  <c r="AA468" i="2"/>
  <c r="AA372" i="2"/>
  <c r="AA389" i="2"/>
  <c r="AA363" i="2"/>
  <c r="AA348" i="2"/>
  <c r="AA722" i="2"/>
  <c r="AA721" i="2"/>
  <c r="AA632" i="2"/>
  <c r="AA98" i="2"/>
  <c r="AA456" i="2"/>
  <c r="AA656" i="2"/>
  <c r="AA162" i="2"/>
  <c r="AA427" i="2"/>
  <c r="AA438" i="2"/>
  <c r="AA280" i="2"/>
  <c r="AA355" i="2"/>
  <c r="AA727" i="2"/>
  <c r="AA606" i="2"/>
  <c r="AA686" i="2"/>
  <c r="AA735" i="2"/>
  <c r="AA66" i="2"/>
  <c r="AA361" i="2"/>
  <c r="AA441" i="2"/>
  <c r="AA479" i="2"/>
  <c r="AA771" i="2"/>
  <c r="AA782" i="2"/>
  <c r="AA633" i="2"/>
  <c r="AA774" i="2"/>
  <c r="AA495" i="2"/>
  <c r="AA146" i="2"/>
  <c r="AA236" i="2"/>
  <c r="AA532" i="2"/>
  <c r="AA691" i="2"/>
  <c r="AA45" i="2"/>
  <c r="AA153" i="2"/>
  <c r="AA380" i="2"/>
  <c r="AA432" i="2"/>
  <c r="AA233" i="2"/>
  <c r="AA726" i="2"/>
  <c r="AA183" i="2"/>
  <c r="AA518" i="2"/>
  <c r="AA634" i="2"/>
  <c r="AA742" i="2"/>
  <c r="AA761" i="2"/>
  <c r="AA681" i="2"/>
  <c r="AA129" i="2"/>
  <c r="AA343" i="2"/>
  <c r="AA627" i="2"/>
  <c r="AA214" i="2"/>
  <c r="AA158" i="2"/>
  <c r="AA77" i="2"/>
  <c r="AA586" i="2"/>
  <c r="AA640" i="2"/>
  <c r="AA753" i="2"/>
  <c r="AA286" i="2"/>
  <c r="AA173" i="2"/>
  <c r="AA642" i="2"/>
  <c r="AA89" i="2"/>
  <c r="AA276" i="2"/>
  <c r="AA778" i="2"/>
  <c r="AA519" i="2"/>
  <c r="AA464" i="2"/>
  <c r="AA539" i="2"/>
  <c r="AA498" i="2"/>
  <c r="AA785" i="2"/>
  <c r="AA575" i="2"/>
  <c r="AA315" i="2"/>
  <c r="AA392" i="2"/>
  <c r="AA90" i="2"/>
  <c r="AA97" i="2"/>
  <c r="AA397" i="2"/>
  <c r="AA499" i="2"/>
  <c r="AA605" i="2"/>
  <c r="AA530" i="2"/>
  <c r="AA559" i="2"/>
  <c r="AA223" i="2"/>
  <c r="AA398" i="2"/>
  <c r="AA537" i="2"/>
  <c r="AA75" i="2"/>
  <c r="AA377" i="2"/>
  <c r="AA295" i="2"/>
  <c r="AA772" i="2"/>
  <c r="AA744" i="2"/>
  <c r="AA730" i="2"/>
  <c r="AA137" i="2"/>
  <c r="AA384" i="2"/>
  <c r="AA587" i="2"/>
  <c r="AA179" i="2"/>
  <c r="AA44" i="2"/>
  <c r="AA357" i="2"/>
  <c r="AA139" i="2"/>
  <c r="AA512" i="2"/>
  <c r="AA313" i="2"/>
  <c r="AA327" i="2"/>
  <c r="AA176" i="2"/>
  <c r="AA111" i="2"/>
  <c r="AA492" i="2"/>
  <c r="AA69" i="2"/>
  <c r="AA619" i="2"/>
  <c r="AA188" i="2"/>
  <c r="AA131" i="2"/>
  <c r="AA543" i="2"/>
  <c r="AA601" i="2"/>
  <c r="AA683" i="2"/>
  <c r="AA284" i="2"/>
  <c r="AA203" i="2"/>
  <c r="AA229" i="2"/>
  <c r="AA547" i="2"/>
  <c r="AA607" i="2"/>
  <c r="AA403" i="2"/>
  <c r="AA553" i="2"/>
  <c r="AA191" i="2"/>
  <c r="AA569" i="2"/>
  <c r="AA527" i="2"/>
  <c r="AA478" i="2"/>
  <c r="AA455" i="2"/>
  <c r="AA122" i="2"/>
  <c r="AA249" i="2"/>
  <c r="AA579" i="2"/>
  <c r="AA550" i="2"/>
  <c r="AA304" i="2"/>
  <c r="AA71" i="2"/>
  <c r="AA175" i="2"/>
  <c r="AA383" i="2"/>
  <c r="AA132" i="2"/>
  <c r="AA658" i="2"/>
  <c r="AA143" i="2"/>
  <c r="AA341" i="2"/>
  <c r="AA95" i="2"/>
  <c r="AA350" i="2"/>
  <c r="AA480" i="2"/>
  <c r="AA407" i="2"/>
  <c r="AA608" i="2"/>
  <c r="AA334" i="2"/>
  <c r="AA247" i="2"/>
  <c r="AA245" i="2"/>
  <c r="AA301" i="2"/>
  <c r="AA734" i="2"/>
  <c r="AA500" i="2"/>
  <c r="AA546" i="2"/>
  <c r="AA260" i="2"/>
  <c r="AA67" i="2"/>
  <c r="AA513" i="2"/>
  <c r="AA399" i="2"/>
  <c r="AA775" i="2"/>
  <c r="AA259" i="2"/>
  <c r="AA408" i="2"/>
  <c r="AA212" i="2"/>
  <c r="AA644" i="2"/>
  <c r="AA494" i="2"/>
  <c r="AA574" i="2"/>
  <c r="AA82" i="2"/>
  <c r="AA243" i="2"/>
  <c r="AA306" i="2"/>
  <c r="AA202" i="2"/>
  <c r="AA669" i="2"/>
  <c r="AA226" i="2"/>
  <c r="AA710" i="2"/>
  <c r="AA577" i="2"/>
  <c r="AA371" i="2"/>
  <c r="AA746" i="2"/>
  <c r="AA739" i="2"/>
  <c r="C33" i="2" l="1"/>
</calcChain>
</file>

<file path=xl/sharedStrings.xml><?xml version="1.0" encoding="utf-8"?>
<sst xmlns="http://schemas.openxmlformats.org/spreadsheetml/2006/main" count="40" uniqueCount="40">
  <si>
    <t>λ</t>
  </si>
  <si>
    <t>R</t>
  </si>
  <si>
    <t>EXPERIMENTAL</t>
  </si>
  <si>
    <t>time (t)</t>
  </si>
  <si>
    <t>I(t)</t>
  </si>
  <si>
    <t>z1</t>
  </si>
  <si>
    <t>z2</t>
  </si>
  <si>
    <t>z3</t>
  </si>
  <si>
    <t>z4</t>
  </si>
  <si>
    <t>z5</t>
  </si>
  <si>
    <t>W(e^z1)</t>
  </si>
  <si>
    <t>W(e^z2)</t>
  </si>
  <si>
    <t>W(e^z3)</t>
  </si>
  <si>
    <t>W(e^z4)</t>
  </si>
  <si>
    <t>W(e^z5)</t>
  </si>
  <si>
    <t>SUMS</t>
  </si>
  <si>
    <t>Least squares</t>
  </si>
  <si>
    <t>FOM(%)</t>
  </si>
  <si>
    <t>I1</t>
  </si>
  <si>
    <t>I2</t>
  </si>
  <si>
    <t>I3</t>
  </si>
  <si>
    <t>I4</t>
  </si>
  <si>
    <t>I5</t>
  </si>
  <si>
    <t>Itot</t>
  </si>
  <si>
    <t>Theoretical</t>
  </si>
  <si>
    <t>Afit</t>
  </si>
  <si>
    <t>FOM</t>
  </si>
  <si>
    <t>(EXPER. - THEOR.)^2</t>
  </si>
  <si>
    <t>ABS(EXPER. - THEOR)</t>
  </si>
  <si>
    <t>Παράμετροι:</t>
  </si>
  <si>
    <r>
      <t>Im &gt;= 0</t>
    </r>
    <r>
      <rPr>
        <sz val="11"/>
        <color rgb="FF000000"/>
        <rFont val="Calibri"/>
        <family val="2"/>
        <scheme val="minor"/>
      </rPr>
      <t xml:space="preserve">  </t>
    </r>
  </si>
  <si>
    <r>
      <t>Tm &gt;= 273</t>
    </r>
    <r>
      <rPr>
        <sz val="11"/>
        <color rgb="FF000000"/>
        <rFont val="Calibri"/>
        <family val="2"/>
        <scheme val="minor"/>
      </rPr>
      <t xml:space="preserve">  </t>
    </r>
  </si>
  <si>
    <r>
      <t>0,3 =&lt; E =&lt; 2,5</t>
    </r>
    <r>
      <rPr>
        <sz val="11"/>
        <color rgb="FF000000"/>
        <rFont val="Calibri"/>
        <family val="2"/>
        <scheme val="minor"/>
      </rPr>
      <t xml:space="preserve">  </t>
    </r>
  </si>
  <si>
    <r>
      <t>0,00001 =&lt; R =&lt; 0,9</t>
    </r>
    <r>
      <rPr>
        <sz val="11"/>
        <color rgb="FF000000"/>
        <rFont val="Calibri"/>
        <family val="2"/>
        <scheme val="minor"/>
      </rPr>
      <t xml:space="preserve">  </t>
    </r>
  </si>
  <si>
    <t>factor</t>
  </si>
  <si>
    <t>Components</t>
  </si>
  <si>
    <t>τ</t>
  </si>
  <si>
    <t>Contribution %</t>
  </si>
  <si>
    <t>σ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</si>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</sst>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charset val="161"/>
      <scheme val="minor"/>
    </font>
    <font>
      <sz val="11"/>
      <color theme="1"/>
      <name val="Calibri"/>
      <family val="2"/>
      <charset val="161"/>
      <scheme val="minor"/>
    </font>
    <font>
      <b/>
      <sz val="18"/>
      <color theme="3"/>
      <name val="Cambria"/>
      <family val="2"/>
      <charset val="161"/>
      <scheme val="major"/>
    </font>
    <font>
      <b/>
      <sz val="15"/>
      <color theme="3"/>
      <name val="Calibri"/>
      <family val="2"/>
      <charset val="161"/>
      <scheme val="minor"/>
    </font>
    <font>
      <b/>
      <sz val="13"/>
      <color theme="3"/>
      <name val="Calibri"/>
      <family val="2"/>
      <charset val="161"/>
      <scheme val="minor"/>
    </font>
    <font>
      <b/>
      <sz val="11"/>
      <color theme="3"/>
      <name val="Calibri"/>
      <family val="2"/>
      <charset val="161"/>
      <scheme val="minor"/>
    </font>
    <font>
      <sz val="11"/>
      <color rgb="FF006100"/>
      <name val="Calibri"/>
      <family val="2"/>
      <charset val="161"/>
      <scheme val="minor"/>
    </font>
    <font>
      <sz val="11"/>
      <color rgb="FF9C0006"/>
      <name val="Calibri"/>
      <family val="2"/>
      <charset val="161"/>
      <scheme val="minor"/>
    </font>
    <font>
      <sz val="11"/>
      <color rgb="FF9C6500"/>
      <name val="Calibri"/>
      <family val="2"/>
      <charset val="161"/>
      <scheme val="minor"/>
    </font>
    <font>
      <sz val="11"/>
      <color rgb="FF3F3F76"/>
      <name val="Calibri"/>
      <family val="2"/>
      <charset val="161"/>
      <scheme val="minor"/>
    </font>
    <font>
      <b/>
      <sz val="11"/>
      <color rgb="FF3F3F3F"/>
      <name val="Calibri"/>
      <family val="2"/>
      <charset val="161"/>
      <scheme val="minor"/>
    </font>
    <font>
      <b/>
      <sz val="11"/>
      <color rgb="FFFA7D00"/>
      <name val="Calibri"/>
      <family val="2"/>
      <charset val="161"/>
      <scheme val="minor"/>
    </font>
    <font>
      <sz val="11"/>
      <color rgb="FFFA7D00"/>
      <name val="Calibri"/>
      <family val="2"/>
      <charset val="161"/>
      <scheme val="minor"/>
    </font>
    <font>
      <b/>
      <sz val="11"/>
      <color theme="0"/>
      <name val="Calibri"/>
      <family val="2"/>
      <charset val="161"/>
      <scheme val="minor"/>
    </font>
    <font>
      <sz val="11"/>
      <color rgb="FFFF0000"/>
      <name val="Calibri"/>
      <family val="2"/>
      <charset val="161"/>
      <scheme val="minor"/>
    </font>
    <font>
      <i/>
      <sz val="11"/>
      <color rgb="FF7F7F7F"/>
      <name val="Calibri"/>
      <family val="2"/>
      <charset val="161"/>
      <scheme val="minor"/>
    </font>
    <font>
      <b/>
      <sz val="11"/>
      <color theme="1"/>
      <name val="Calibri"/>
      <family val="2"/>
      <charset val="161"/>
      <scheme val="minor"/>
    </font>
    <font>
      <sz val="11"/>
      <color theme="0"/>
      <name val="Calibri"/>
      <family val="2"/>
      <charset val="161"/>
      <scheme val="minor"/>
    </font>
    <font>
      <b/>
      <sz val="11"/>
      <color theme="1"/>
      <name val="Calibri"/>
      <family val="2"/>
      <scheme val="minor"/>
    </font>
    <font>
      <b/>
      <u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4"/>
      <name val="Times New Roman"/>
      <family val="1"/>
      <charset val="161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2" fillId="0" borderId="0"/>
    <xf numFmtId="0" fontId="1" fillId="0" borderId="0"/>
  </cellStyleXfs>
  <cellXfs count="29">
    <xf numFmtId="0" fontId="0" fillId="0" borderId="0" xfId="0"/>
    <xf numFmtId="0" fontId="0" fillId="35" borderId="0" xfId="0" applyFill="1" applyAlignment="1">
      <alignment horizontal="center"/>
    </xf>
    <xf numFmtId="0" fontId="18" fillId="34" borderId="0" xfId="0" applyFont="1" applyFill="1" applyAlignment="1">
      <alignment horizontal="center"/>
    </xf>
    <xf numFmtId="0" fontId="0" fillId="38" borderId="0" xfId="0" applyFill="1"/>
    <xf numFmtId="0" fontId="16" fillId="37" borderId="0" xfId="0" applyFont="1" applyFill="1" applyAlignment="1">
      <alignment horizontal="center"/>
    </xf>
    <xf numFmtId="0" fontId="16" fillId="0" borderId="10" xfId="0" applyFont="1" applyFill="1" applyBorder="1" applyAlignment="1"/>
    <xf numFmtId="0" fontId="14" fillId="35" borderId="0" xfId="0" applyFont="1" applyFill="1" applyAlignment="1">
      <alignment horizontal="center"/>
    </xf>
    <xf numFmtId="0" fontId="16" fillId="34" borderId="10" xfId="0" applyFont="1" applyFill="1" applyBorder="1" applyAlignment="1"/>
    <xf numFmtId="0" fontId="0" fillId="35" borderId="0" xfId="0" applyFill="1"/>
    <xf numFmtId="0" fontId="0" fillId="0" borderId="0" xfId="0"/>
    <xf numFmtId="0" fontId="16" fillId="36" borderId="0" xfId="0" applyFont="1" applyFill="1" applyAlignment="1">
      <alignment horizontal="center"/>
    </xf>
    <xf numFmtId="0" fontId="16" fillId="0" borderId="0" xfId="0" applyFont="1" applyAlignment="1">
      <alignment horizontal="center"/>
    </xf>
    <xf numFmtId="0" fontId="0" fillId="0" borderId="0" xfId="0"/>
    <xf numFmtId="0" fontId="16" fillId="34" borderId="0" xfId="0" applyFont="1" applyFill="1" applyAlignment="1">
      <alignment horizontal="center"/>
    </xf>
    <xf numFmtId="0" fontId="16" fillId="0" borderId="0" xfId="0" applyFont="1" applyAlignment="1">
      <alignment horizontal="center"/>
    </xf>
    <xf numFmtId="0" fontId="0" fillId="0" borderId="0" xfId="0"/>
    <xf numFmtId="0" fontId="16" fillId="33" borderId="0" xfId="0" applyFont="1" applyFill="1" applyAlignment="1">
      <alignment horizontal="center"/>
    </xf>
    <xf numFmtId="0" fontId="0" fillId="38" borderId="0" xfId="0" applyFill="1"/>
    <xf numFmtId="0" fontId="0" fillId="0" borderId="0" xfId="0"/>
    <xf numFmtId="0" fontId="0" fillId="0" borderId="0" xfId="0"/>
    <xf numFmtId="0" fontId="16" fillId="34" borderId="0" xfId="0" applyFont="1" applyFill="1" applyAlignment="1">
      <alignment horizontal="center"/>
    </xf>
    <xf numFmtId="0" fontId="16" fillId="0" borderId="0" xfId="0" applyFont="1" applyAlignment="1">
      <alignment horizontal="center"/>
    </xf>
    <xf numFmtId="0" fontId="19" fillId="0" borderId="0" xfId="0" applyFont="1"/>
    <xf numFmtId="0" fontId="21" fillId="0" borderId="0" xfId="0" applyFont="1"/>
    <xf numFmtId="0" fontId="18" fillId="0" borderId="0" xfId="0" applyFont="1"/>
    <xf numFmtId="0" fontId="18" fillId="0" borderId="0" xfId="0" applyFont="1" applyAlignment="1">
      <alignment horizontal="center"/>
    </xf>
    <xf numFmtId="0" fontId="18" fillId="35" borderId="0" xfId="0" applyFont="1" applyFill="1" applyAlignment="1">
      <alignment horizontal="center"/>
    </xf>
    <xf numFmtId="0" fontId="1" fillId="0" borderId="0" xfId="43"/>
    <xf numFmtId="11" fontId="1" fillId="0" borderId="0" xfId="43" applyNumberForma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3" xr:uid="{80AEE85D-C399-474A-951D-0EC5A3C06178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  <cellStyle name="Κανονικό 7" xfId="42" xr:uid="{6A6E8B7A-2BA3-4CC1-A3F3-B9E03E74A7D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CW</a:t>
            </a:r>
            <a:r>
              <a:rPr lang="en-US" baseline="0"/>
              <a:t> </a:t>
            </a:r>
            <a:r>
              <a:rPr lang="en-US"/>
              <a:t>OSL </a:t>
            </a:r>
            <a:endParaRPr lang="el-GR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932370694675005"/>
          <c:y val="9.52333147100589E-2"/>
          <c:w val="0.7125089565761501"/>
          <c:h val="0.76682558804651824"/>
        </c:manualLayout>
      </c:layout>
      <c:scatterChart>
        <c:scatterStyle val="lineMarker"/>
        <c:varyColors val="0"/>
        <c:ser>
          <c:idx val="0"/>
          <c:order val="0"/>
          <c:tx>
            <c:v>Experimental</c:v>
          </c:tx>
          <c:spPr>
            <a:ln w="28575">
              <a:noFill/>
            </a:ln>
          </c:spPr>
          <c:marker>
            <c:symbol val="diamond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'sheet 1'!$B$39:$B$788</c:f>
              <c:numCache>
                <c:formatCode>General</c:formatCode>
                <c:ptCount val="7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  <c:pt idx="79">
                  <c:v>8</c:v>
                </c:pt>
                <c:pt idx="80">
                  <c:v>8.1</c:v>
                </c:pt>
                <c:pt idx="81">
                  <c:v>8.1999999999999993</c:v>
                </c:pt>
                <c:pt idx="82">
                  <c:v>8.3000000000000007</c:v>
                </c:pt>
                <c:pt idx="83">
                  <c:v>8.4</c:v>
                </c:pt>
                <c:pt idx="84">
                  <c:v>8.5</c:v>
                </c:pt>
                <c:pt idx="85">
                  <c:v>8.6</c:v>
                </c:pt>
                <c:pt idx="86">
                  <c:v>8.6999999999999993</c:v>
                </c:pt>
                <c:pt idx="87">
                  <c:v>8.8000000000000007</c:v>
                </c:pt>
                <c:pt idx="88">
                  <c:v>8.9</c:v>
                </c:pt>
                <c:pt idx="89">
                  <c:v>9</c:v>
                </c:pt>
                <c:pt idx="90">
                  <c:v>9.1</c:v>
                </c:pt>
                <c:pt idx="91">
                  <c:v>9.1999999999999993</c:v>
                </c:pt>
                <c:pt idx="92">
                  <c:v>9.3000000000000007</c:v>
                </c:pt>
                <c:pt idx="93">
                  <c:v>9.4</c:v>
                </c:pt>
                <c:pt idx="94">
                  <c:v>9.5</c:v>
                </c:pt>
                <c:pt idx="95">
                  <c:v>9.6</c:v>
                </c:pt>
                <c:pt idx="96">
                  <c:v>9.6999999999999993</c:v>
                </c:pt>
                <c:pt idx="97">
                  <c:v>9.8000000000000007</c:v>
                </c:pt>
                <c:pt idx="98">
                  <c:v>9.9</c:v>
                </c:pt>
                <c:pt idx="99">
                  <c:v>10</c:v>
                </c:pt>
                <c:pt idx="100">
                  <c:v>10.1</c:v>
                </c:pt>
                <c:pt idx="101">
                  <c:v>10.199999999999999</c:v>
                </c:pt>
                <c:pt idx="102">
                  <c:v>10.3</c:v>
                </c:pt>
                <c:pt idx="103">
                  <c:v>10.4</c:v>
                </c:pt>
                <c:pt idx="104">
                  <c:v>10.5</c:v>
                </c:pt>
                <c:pt idx="105">
                  <c:v>10.6</c:v>
                </c:pt>
                <c:pt idx="106">
                  <c:v>10.7</c:v>
                </c:pt>
                <c:pt idx="107">
                  <c:v>10.8</c:v>
                </c:pt>
                <c:pt idx="108">
                  <c:v>10.9</c:v>
                </c:pt>
                <c:pt idx="109">
                  <c:v>11</c:v>
                </c:pt>
                <c:pt idx="110">
                  <c:v>11.1</c:v>
                </c:pt>
                <c:pt idx="111">
                  <c:v>11.2</c:v>
                </c:pt>
                <c:pt idx="112">
                  <c:v>11.3</c:v>
                </c:pt>
                <c:pt idx="113">
                  <c:v>11.4</c:v>
                </c:pt>
                <c:pt idx="114">
                  <c:v>11.5</c:v>
                </c:pt>
                <c:pt idx="115">
                  <c:v>11.6</c:v>
                </c:pt>
                <c:pt idx="116">
                  <c:v>11.7</c:v>
                </c:pt>
                <c:pt idx="117">
                  <c:v>11.8</c:v>
                </c:pt>
                <c:pt idx="118">
                  <c:v>11.9</c:v>
                </c:pt>
                <c:pt idx="119">
                  <c:v>12</c:v>
                </c:pt>
                <c:pt idx="120">
                  <c:v>12.1</c:v>
                </c:pt>
                <c:pt idx="121">
                  <c:v>12.2</c:v>
                </c:pt>
                <c:pt idx="122">
                  <c:v>12.3</c:v>
                </c:pt>
                <c:pt idx="123">
                  <c:v>12.4</c:v>
                </c:pt>
                <c:pt idx="124">
                  <c:v>12.5</c:v>
                </c:pt>
                <c:pt idx="125">
                  <c:v>12.6</c:v>
                </c:pt>
                <c:pt idx="126">
                  <c:v>12.7</c:v>
                </c:pt>
                <c:pt idx="127">
                  <c:v>12.8</c:v>
                </c:pt>
                <c:pt idx="128">
                  <c:v>12.9</c:v>
                </c:pt>
                <c:pt idx="129">
                  <c:v>13</c:v>
                </c:pt>
                <c:pt idx="130">
                  <c:v>13.1</c:v>
                </c:pt>
                <c:pt idx="131">
                  <c:v>13.2</c:v>
                </c:pt>
                <c:pt idx="132">
                  <c:v>13.3</c:v>
                </c:pt>
                <c:pt idx="133">
                  <c:v>13.4</c:v>
                </c:pt>
                <c:pt idx="134">
                  <c:v>13.5</c:v>
                </c:pt>
                <c:pt idx="135">
                  <c:v>13.6</c:v>
                </c:pt>
                <c:pt idx="136">
                  <c:v>13.7</c:v>
                </c:pt>
                <c:pt idx="137">
                  <c:v>13.8</c:v>
                </c:pt>
                <c:pt idx="138">
                  <c:v>13.9</c:v>
                </c:pt>
                <c:pt idx="139">
                  <c:v>14</c:v>
                </c:pt>
                <c:pt idx="140">
                  <c:v>14.1</c:v>
                </c:pt>
                <c:pt idx="141">
                  <c:v>14.2</c:v>
                </c:pt>
                <c:pt idx="142">
                  <c:v>14.3</c:v>
                </c:pt>
                <c:pt idx="143">
                  <c:v>14.4</c:v>
                </c:pt>
                <c:pt idx="144">
                  <c:v>14.5</c:v>
                </c:pt>
                <c:pt idx="145">
                  <c:v>14.6</c:v>
                </c:pt>
                <c:pt idx="146">
                  <c:v>14.7</c:v>
                </c:pt>
                <c:pt idx="147">
                  <c:v>14.8</c:v>
                </c:pt>
                <c:pt idx="148">
                  <c:v>14.9</c:v>
                </c:pt>
                <c:pt idx="149">
                  <c:v>15</c:v>
                </c:pt>
                <c:pt idx="150">
                  <c:v>15.1</c:v>
                </c:pt>
                <c:pt idx="151">
                  <c:v>15.2</c:v>
                </c:pt>
                <c:pt idx="152">
                  <c:v>15.3</c:v>
                </c:pt>
                <c:pt idx="153">
                  <c:v>15.4</c:v>
                </c:pt>
                <c:pt idx="154">
                  <c:v>15.5</c:v>
                </c:pt>
                <c:pt idx="155">
                  <c:v>15.6</c:v>
                </c:pt>
                <c:pt idx="156">
                  <c:v>15.7</c:v>
                </c:pt>
                <c:pt idx="157">
                  <c:v>15.8</c:v>
                </c:pt>
                <c:pt idx="158">
                  <c:v>15.9</c:v>
                </c:pt>
                <c:pt idx="159">
                  <c:v>16</c:v>
                </c:pt>
                <c:pt idx="160">
                  <c:v>16.100000000000001</c:v>
                </c:pt>
                <c:pt idx="161">
                  <c:v>16.2</c:v>
                </c:pt>
                <c:pt idx="162">
                  <c:v>16.3</c:v>
                </c:pt>
                <c:pt idx="163">
                  <c:v>16.399999999999999</c:v>
                </c:pt>
                <c:pt idx="164">
                  <c:v>16.5</c:v>
                </c:pt>
                <c:pt idx="165">
                  <c:v>16.600000000000001</c:v>
                </c:pt>
                <c:pt idx="166">
                  <c:v>16.7</c:v>
                </c:pt>
                <c:pt idx="167">
                  <c:v>16.8</c:v>
                </c:pt>
                <c:pt idx="168">
                  <c:v>16.899999999999999</c:v>
                </c:pt>
                <c:pt idx="169">
                  <c:v>17</c:v>
                </c:pt>
                <c:pt idx="170">
                  <c:v>17.100000000000001</c:v>
                </c:pt>
                <c:pt idx="171">
                  <c:v>17.2</c:v>
                </c:pt>
                <c:pt idx="172">
                  <c:v>17.3</c:v>
                </c:pt>
                <c:pt idx="173">
                  <c:v>17.399999999999999</c:v>
                </c:pt>
                <c:pt idx="174">
                  <c:v>17.5</c:v>
                </c:pt>
                <c:pt idx="175">
                  <c:v>17.600000000000001</c:v>
                </c:pt>
                <c:pt idx="176">
                  <c:v>17.7</c:v>
                </c:pt>
                <c:pt idx="177">
                  <c:v>17.8</c:v>
                </c:pt>
                <c:pt idx="178">
                  <c:v>17.899999999999999</c:v>
                </c:pt>
                <c:pt idx="179">
                  <c:v>18</c:v>
                </c:pt>
                <c:pt idx="180">
                  <c:v>18.100000000000001</c:v>
                </c:pt>
                <c:pt idx="181">
                  <c:v>18.2</c:v>
                </c:pt>
                <c:pt idx="182">
                  <c:v>18.3</c:v>
                </c:pt>
                <c:pt idx="183">
                  <c:v>18.399999999999999</c:v>
                </c:pt>
                <c:pt idx="184">
                  <c:v>18.5</c:v>
                </c:pt>
                <c:pt idx="185">
                  <c:v>18.600000000000001</c:v>
                </c:pt>
                <c:pt idx="186">
                  <c:v>18.7</c:v>
                </c:pt>
                <c:pt idx="187">
                  <c:v>18.8</c:v>
                </c:pt>
                <c:pt idx="188">
                  <c:v>18.899999999999999</c:v>
                </c:pt>
                <c:pt idx="189">
                  <c:v>19</c:v>
                </c:pt>
                <c:pt idx="190">
                  <c:v>19.100000000000001</c:v>
                </c:pt>
                <c:pt idx="191">
                  <c:v>19.2</c:v>
                </c:pt>
                <c:pt idx="192">
                  <c:v>19.3</c:v>
                </c:pt>
                <c:pt idx="193">
                  <c:v>19.399999999999999</c:v>
                </c:pt>
                <c:pt idx="194">
                  <c:v>19.5</c:v>
                </c:pt>
                <c:pt idx="195">
                  <c:v>19.600000000000001</c:v>
                </c:pt>
                <c:pt idx="196">
                  <c:v>19.7</c:v>
                </c:pt>
                <c:pt idx="197">
                  <c:v>19.8</c:v>
                </c:pt>
                <c:pt idx="198">
                  <c:v>19.899999999999999</c:v>
                </c:pt>
                <c:pt idx="199">
                  <c:v>20</c:v>
                </c:pt>
                <c:pt idx="200">
                  <c:v>20.100000000000001</c:v>
                </c:pt>
                <c:pt idx="201">
                  <c:v>20.2</c:v>
                </c:pt>
                <c:pt idx="202">
                  <c:v>20.3</c:v>
                </c:pt>
                <c:pt idx="203">
                  <c:v>20.399999999999999</c:v>
                </c:pt>
                <c:pt idx="204">
                  <c:v>20.5</c:v>
                </c:pt>
                <c:pt idx="205">
                  <c:v>20.6</c:v>
                </c:pt>
                <c:pt idx="206">
                  <c:v>20.7</c:v>
                </c:pt>
                <c:pt idx="207">
                  <c:v>20.8</c:v>
                </c:pt>
                <c:pt idx="208">
                  <c:v>20.9</c:v>
                </c:pt>
                <c:pt idx="209">
                  <c:v>21</c:v>
                </c:pt>
                <c:pt idx="210">
                  <c:v>21.1</c:v>
                </c:pt>
                <c:pt idx="211">
                  <c:v>21.2</c:v>
                </c:pt>
                <c:pt idx="212">
                  <c:v>21.3</c:v>
                </c:pt>
                <c:pt idx="213">
                  <c:v>21.4</c:v>
                </c:pt>
                <c:pt idx="214">
                  <c:v>21.5</c:v>
                </c:pt>
                <c:pt idx="215">
                  <c:v>21.6</c:v>
                </c:pt>
                <c:pt idx="216">
                  <c:v>21.7</c:v>
                </c:pt>
                <c:pt idx="217">
                  <c:v>21.8</c:v>
                </c:pt>
                <c:pt idx="218">
                  <c:v>21.9</c:v>
                </c:pt>
                <c:pt idx="219">
                  <c:v>22</c:v>
                </c:pt>
                <c:pt idx="220">
                  <c:v>22.1</c:v>
                </c:pt>
                <c:pt idx="221">
                  <c:v>22.2</c:v>
                </c:pt>
                <c:pt idx="222">
                  <c:v>22.3</c:v>
                </c:pt>
                <c:pt idx="223">
                  <c:v>22.4</c:v>
                </c:pt>
                <c:pt idx="224">
                  <c:v>22.5</c:v>
                </c:pt>
                <c:pt idx="225">
                  <c:v>22.6</c:v>
                </c:pt>
                <c:pt idx="226">
                  <c:v>22.7</c:v>
                </c:pt>
                <c:pt idx="227">
                  <c:v>22.8</c:v>
                </c:pt>
                <c:pt idx="228">
                  <c:v>22.9</c:v>
                </c:pt>
                <c:pt idx="229">
                  <c:v>23</c:v>
                </c:pt>
                <c:pt idx="230">
                  <c:v>23.1</c:v>
                </c:pt>
                <c:pt idx="231">
                  <c:v>23.2</c:v>
                </c:pt>
                <c:pt idx="232">
                  <c:v>23.3</c:v>
                </c:pt>
                <c:pt idx="233">
                  <c:v>23.4</c:v>
                </c:pt>
                <c:pt idx="234">
                  <c:v>23.5</c:v>
                </c:pt>
                <c:pt idx="235">
                  <c:v>23.6</c:v>
                </c:pt>
                <c:pt idx="236">
                  <c:v>23.7</c:v>
                </c:pt>
                <c:pt idx="237">
                  <c:v>23.8</c:v>
                </c:pt>
                <c:pt idx="238">
                  <c:v>23.9</c:v>
                </c:pt>
                <c:pt idx="239">
                  <c:v>24</c:v>
                </c:pt>
                <c:pt idx="240">
                  <c:v>24.1</c:v>
                </c:pt>
                <c:pt idx="241">
                  <c:v>24.2</c:v>
                </c:pt>
                <c:pt idx="242">
                  <c:v>24.3</c:v>
                </c:pt>
                <c:pt idx="243">
                  <c:v>24.4</c:v>
                </c:pt>
                <c:pt idx="244">
                  <c:v>24.5</c:v>
                </c:pt>
                <c:pt idx="245">
                  <c:v>24.6</c:v>
                </c:pt>
                <c:pt idx="246">
                  <c:v>24.7</c:v>
                </c:pt>
                <c:pt idx="247">
                  <c:v>24.8</c:v>
                </c:pt>
                <c:pt idx="248">
                  <c:v>24.9</c:v>
                </c:pt>
                <c:pt idx="249">
                  <c:v>25</c:v>
                </c:pt>
                <c:pt idx="250">
                  <c:v>25.1</c:v>
                </c:pt>
                <c:pt idx="251">
                  <c:v>25.2</c:v>
                </c:pt>
                <c:pt idx="252">
                  <c:v>25.3</c:v>
                </c:pt>
                <c:pt idx="253">
                  <c:v>25.4</c:v>
                </c:pt>
                <c:pt idx="254">
                  <c:v>25.5</c:v>
                </c:pt>
                <c:pt idx="255">
                  <c:v>25.6</c:v>
                </c:pt>
                <c:pt idx="256">
                  <c:v>25.7</c:v>
                </c:pt>
                <c:pt idx="257">
                  <c:v>25.8</c:v>
                </c:pt>
                <c:pt idx="258">
                  <c:v>25.9</c:v>
                </c:pt>
                <c:pt idx="259">
                  <c:v>26</c:v>
                </c:pt>
                <c:pt idx="260">
                  <c:v>26.1</c:v>
                </c:pt>
                <c:pt idx="261">
                  <c:v>26.2</c:v>
                </c:pt>
                <c:pt idx="262">
                  <c:v>26.3</c:v>
                </c:pt>
                <c:pt idx="263">
                  <c:v>26.4</c:v>
                </c:pt>
                <c:pt idx="264">
                  <c:v>26.5</c:v>
                </c:pt>
                <c:pt idx="265">
                  <c:v>26.6</c:v>
                </c:pt>
                <c:pt idx="266">
                  <c:v>26.7</c:v>
                </c:pt>
                <c:pt idx="267">
                  <c:v>26.8</c:v>
                </c:pt>
                <c:pt idx="268">
                  <c:v>26.9</c:v>
                </c:pt>
                <c:pt idx="269">
                  <c:v>27</c:v>
                </c:pt>
                <c:pt idx="270">
                  <c:v>27.1</c:v>
                </c:pt>
                <c:pt idx="271">
                  <c:v>27.2</c:v>
                </c:pt>
                <c:pt idx="272">
                  <c:v>27.3</c:v>
                </c:pt>
                <c:pt idx="273">
                  <c:v>27.4</c:v>
                </c:pt>
                <c:pt idx="274">
                  <c:v>27.5</c:v>
                </c:pt>
                <c:pt idx="275">
                  <c:v>27.6</c:v>
                </c:pt>
                <c:pt idx="276">
                  <c:v>27.7</c:v>
                </c:pt>
                <c:pt idx="277">
                  <c:v>27.8</c:v>
                </c:pt>
                <c:pt idx="278">
                  <c:v>27.9</c:v>
                </c:pt>
                <c:pt idx="279">
                  <c:v>28</c:v>
                </c:pt>
                <c:pt idx="280">
                  <c:v>28.1</c:v>
                </c:pt>
                <c:pt idx="281">
                  <c:v>28.2</c:v>
                </c:pt>
                <c:pt idx="282">
                  <c:v>28.3</c:v>
                </c:pt>
                <c:pt idx="283">
                  <c:v>28.4</c:v>
                </c:pt>
                <c:pt idx="284">
                  <c:v>28.5</c:v>
                </c:pt>
                <c:pt idx="285">
                  <c:v>28.6</c:v>
                </c:pt>
                <c:pt idx="286">
                  <c:v>28.7</c:v>
                </c:pt>
                <c:pt idx="287">
                  <c:v>28.8</c:v>
                </c:pt>
                <c:pt idx="288">
                  <c:v>28.9</c:v>
                </c:pt>
                <c:pt idx="289">
                  <c:v>29</c:v>
                </c:pt>
                <c:pt idx="290">
                  <c:v>29.1</c:v>
                </c:pt>
                <c:pt idx="291">
                  <c:v>29.2</c:v>
                </c:pt>
                <c:pt idx="292">
                  <c:v>29.3</c:v>
                </c:pt>
                <c:pt idx="293">
                  <c:v>29.4</c:v>
                </c:pt>
                <c:pt idx="294">
                  <c:v>29.5</c:v>
                </c:pt>
                <c:pt idx="295">
                  <c:v>29.6</c:v>
                </c:pt>
                <c:pt idx="296">
                  <c:v>29.7</c:v>
                </c:pt>
                <c:pt idx="297">
                  <c:v>29.8</c:v>
                </c:pt>
                <c:pt idx="298">
                  <c:v>29.9</c:v>
                </c:pt>
                <c:pt idx="299">
                  <c:v>30</c:v>
                </c:pt>
                <c:pt idx="300">
                  <c:v>30.1</c:v>
                </c:pt>
                <c:pt idx="301">
                  <c:v>30.2</c:v>
                </c:pt>
                <c:pt idx="302">
                  <c:v>30.3</c:v>
                </c:pt>
                <c:pt idx="303">
                  <c:v>30.4</c:v>
                </c:pt>
                <c:pt idx="304">
                  <c:v>30.5</c:v>
                </c:pt>
                <c:pt idx="305">
                  <c:v>30.6</c:v>
                </c:pt>
                <c:pt idx="306">
                  <c:v>30.7</c:v>
                </c:pt>
                <c:pt idx="307">
                  <c:v>30.8</c:v>
                </c:pt>
                <c:pt idx="308">
                  <c:v>30.9</c:v>
                </c:pt>
                <c:pt idx="309">
                  <c:v>31</c:v>
                </c:pt>
                <c:pt idx="310">
                  <c:v>31.1</c:v>
                </c:pt>
                <c:pt idx="311">
                  <c:v>31.2</c:v>
                </c:pt>
                <c:pt idx="312">
                  <c:v>31.3</c:v>
                </c:pt>
                <c:pt idx="313">
                  <c:v>31.4</c:v>
                </c:pt>
                <c:pt idx="314">
                  <c:v>31.5</c:v>
                </c:pt>
                <c:pt idx="315">
                  <c:v>31.6</c:v>
                </c:pt>
                <c:pt idx="316">
                  <c:v>31.7</c:v>
                </c:pt>
                <c:pt idx="317">
                  <c:v>31.8</c:v>
                </c:pt>
                <c:pt idx="318">
                  <c:v>31.9</c:v>
                </c:pt>
                <c:pt idx="319">
                  <c:v>32</c:v>
                </c:pt>
                <c:pt idx="320">
                  <c:v>32.1</c:v>
                </c:pt>
                <c:pt idx="321">
                  <c:v>32.200000000000003</c:v>
                </c:pt>
                <c:pt idx="322">
                  <c:v>32.299999999999997</c:v>
                </c:pt>
                <c:pt idx="323">
                  <c:v>32.4</c:v>
                </c:pt>
                <c:pt idx="324">
                  <c:v>32.5</c:v>
                </c:pt>
                <c:pt idx="325">
                  <c:v>32.6</c:v>
                </c:pt>
                <c:pt idx="326">
                  <c:v>32.700000000000003</c:v>
                </c:pt>
                <c:pt idx="327">
                  <c:v>32.799999999999997</c:v>
                </c:pt>
                <c:pt idx="328">
                  <c:v>32.9</c:v>
                </c:pt>
                <c:pt idx="329">
                  <c:v>33</c:v>
                </c:pt>
                <c:pt idx="330">
                  <c:v>33.1</c:v>
                </c:pt>
                <c:pt idx="331">
                  <c:v>33.200000000000003</c:v>
                </c:pt>
                <c:pt idx="332">
                  <c:v>33.299999999999997</c:v>
                </c:pt>
                <c:pt idx="333">
                  <c:v>33.4</c:v>
                </c:pt>
                <c:pt idx="334">
                  <c:v>33.5</c:v>
                </c:pt>
                <c:pt idx="335">
                  <c:v>33.6</c:v>
                </c:pt>
                <c:pt idx="336">
                  <c:v>33.700000000000003</c:v>
                </c:pt>
                <c:pt idx="337">
                  <c:v>33.799999999999997</c:v>
                </c:pt>
                <c:pt idx="338">
                  <c:v>33.9</c:v>
                </c:pt>
                <c:pt idx="339">
                  <c:v>34</c:v>
                </c:pt>
                <c:pt idx="340">
                  <c:v>34.1</c:v>
                </c:pt>
                <c:pt idx="341">
                  <c:v>34.200000000000003</c:v>
                </c:pt>
                <c:pt idx="342">
                  <c:v>34.299999999999997</c:v>
                </c:pt>
                <c:pt idx="343">
                  <c:v>34.4</c:v>
                </c:pt>
                <c:pt idx="344">
                  <c:v>34.5</c:v>
                </c:pt>
                <c:pt idx="345">
                  <c:v>34.6</c:v>
                </c:pt>
                <c:pt idx="346">
                  <c:v>34.700000000000003</c:v>
                </c:pt>
                <c:pt idx="347">
                  <c:v>34.799999999999997</c:v>
                </c:pt>
                <c:pt idx="348">
                  <c:v>34.9</c:v>
                </c:pt>
                <c:pt idx="349">
                  <c:v>35</c:v>
                </c:pt>
                <c:pt idx="350">
                  <c:v>35.1</c:v>
                </c:pt>
                <c:pt idx="351">
                  <c:v>35.200000000000003</c:v>
                </c:pt>
                <c:pt idx="352">
                  <c:v>35.299999999999997</c:v>
                </c:pt>
                <c:pt idx="353">
                  <c:v>35.4</c:v>
                </c:pt>
                <c:pt idx="354">
                  <c:v>35.5</c:v>
                </c:pt>
                <c:pt idx="355">
                  <c:v>35.6</c:v>
                </c:pt>
                <c:pt idx="356">
                  <c:v>35.700000000000003</c:v>
                </c:pt>
                <c:pt idx="357">
                  <c:v>35.799999999999997</c:v>
                </c:pt>
                <c:pt idx="358">
                  <c:v>35.9</c:v>
                </c:pt>
                <c:pt idx="359">
                  <c:v>36</c:v>
                </c:pt>
                <c:pt idx="360">
                  <c:v>36.1</c:v>
                </c:pt>
                <c:pt idx="361">
                  <c:v>36.200000000000003</c:v>
                </c:pt>
                <c:pt idx="362">
                  <c:v>36.299999999999997</c:v>
                </c:pt>
                <c:pt idx="363">
                  <c:v>36.4</c:v>
                </c:pt>
                <c:pt idx="364">
                  <c:v>36.5</c:v>
                </c:pt>
                <c:pt idx="365">
                  <c:v>36.6</c:v>
                </c:pt>
                <c:pt idx="366">
                  <c:v>36.700000000000003</c:v>
                </c:pt>
                <c:pt idx="367">
                  <c:v>36.799999999999997</c:v>
                </c:pt>
                <c:pt idx="368">
                  <c:v>36.9</c:v>
                </c:pt>
                <c:pt idx="369">
                  <c:v>37</c:v>
                </c:pt>
                <c:pt idx="370">
                  <c:v>37.1</c:v>
                </c:pt>
                <c:pt idx="371">
                  <c:v>37.200000000000003</c:v>
                </c:pt>
                <c:pt idx="372">
                  <c:v>37.299999999999997</c:v>
                </c:pt>
                <c:pt idx="373">
                  <c:v>37.4</c:v>
                </c:pt>
                <c:pt idx="374">
                  <c:v>37.5</c:v>
                </c:pt>
                <c:pt idx="375">
                  <c:v>37.6</c:v>
                </c:pt>
                <c:pt idx="376">
                  <c:v>37.700000000000003</c:v>
                </c:pt>
                <c:pt idx="377">
                  <c:v>37.799999999999997</c:v>
                </c:pt>
                <c:pt idx="378">
                  <c:v>37.9</c:v>
                </c:pt>
                <c:pt idx="379">
                  <c:v>38</c:v>
                </c:pt>
                <c:pt idx="380">
                  <c:v>38.1</c:v>
                </c:pt>
                <c:pt idx="381">
                  <c:v>38.200000000000003</c:v>
                </c:pt>
                <c:pt idx="382">
                  <c:v>38.299999999999997</c:v>
                </c:pt>
                <c:pt idx="383">
                  <c:v>38.4</c:v>
                </c:pt>
                <c:pt idx="384">
                  <c:v>38.5</c:v>
                </c:pt>
                <c:pt idx="385">
                  <c:v>38.6</c:v>
                </c:pt>
                <c:pt idx="386">
                  <c:v>38.700000000000003</c:v>
                </c:pt>
                <c:pt idx="387">
                  <c:v>38.799999999999997</c:v>
                </c:pt>
                <c:pt idx="388">
                  <c:v>38.9</c:v>
                </c:pt>
                <c:pt idx="389">
                  <c:v>39</c:v>
                </c:pt>
                <c:pt idx="390">
                  <c:v>39.1</c:v>
                </c:pt>
                <c:pt idx="391">
                  <c:v>39.200000000000003</c:v>
                </c:pt>
                <c:pt idx="392">
                  <c:v>39.299999999999997</c:v>
                </c:pt>
                <c:pt idx="393">
                  <c:v>39.4</c:v>
                </c:pt>
                <c:pt idx="394">
                  <c:v>39.5</c:v>
                </c:pt>
                <c:pt idx="395">
                  <c:v>39.6</c:v>
                </c:pt>
                <c:pt idx="396">
                  <c:v>39.700000000000003</c:v>
                </c:pt>
                <c:pt idx="397">
                  <c:v>39.799999999999997</c:v>
                </c:pt>
                <c:pt idx="398">
                  <c:v>39.9</c:v>
                </c:pt>
                <c:pt idx="399">
                  <c:v>40</c:v>
                </c:pt>
                <c:pt idx="400">
                  <c:v>40.1</c:v>
                </c:pt>
                <c:pt idx="401">
                  <c:v>40.200000000000003</c:v>
                </c:pt>
                <c:pt idx="402">
                  <c:v>40.299999999999997</c:v>
                </c:pt>
                <c:pt idx="403">
                  <c:v>40.4</c:v>
                </c:pt>
                <c:pt idx="404">
                  <c:v>40.5</c:v>
                </c:pt>
                <c:pt idx="405">
                  <c:v>40.6</c:v>
                </c:pt>
                <c:pt idx="406">
                  <c:v>40.700000000000003</c:v>
                </c:pt>
                <c:pt idx="407">
                  <c:v>40.799999999999997</c:v>
                </c:pt>
                <c:pt idx="408">
                  <c:v>40.9</c:v>
                </c:pt>
                <c:pt idx="409">
                  <c:v>41</c:v>
                </c:pt>
                <c:pt idx="410">
                  <c:v>41.1</c:v>
                </c:pt>
                <c:pt idx="411">
                  <c:v>41.2</c:v>
                </c:pt>
                <c:pt idx="412">
                  <c:v>41.3</c:v>
                </c:pt>
                <c:pt idx="413">
                  <c:v>41.4</c:v>
                </c:pt>
                <c:pt idx="414">
                  <c:v>41.5</c:v>
                </c:pt>
                <c:pt idx="415">
                  <c:v>41.6</c:v>
                </c:pt>
                <c:pt idx="416">
                  <c:v>41.7</c:v>
                </c:pt>
                <c:pt idx="417">
                  <c:v>41.8</c:v>
                </c:pt>
                <c:pt idx="418">
                  <c:v>41.9</c:v>
                </c:pt>
                <c:pt idx="419">
                  <c:v>42</c:v>
                </c:pt>
                <c:pt idx="420">
                  <c:v>42.1</c:v>
                </c:pt>
                <c:pt idx="421">
                  <c:v>42.2</c:v>
                </c:pt>
                <c:pt idx="422">
                  <c:v>42.3</c:v>
                </c:pt>
                <c:pt idx="423">
                  <c:v>42.4</c:v>
                </c:pt>
                <c:pt idx="424">
                  <c:v>42.5</c:v>
                </c:pt>
                <c:pt idx="425">
                  <c:v>42.6</c:v>
                </c:pt>
                <c:pt idx="426">
                  <c:v>42.7</c:v>
                </c:pt>
                <c:pt idx="427">
                  <c:v>42.8</c:v>
                </c:pt>
                <c:pt idx="428">
                  <c:v>42.9</c:v>
                </c:pt>
                <c:pt idx="429">
                  <c:v>43</c:v>
                </c:pt>
                <c:pt idx="430">
                  <c:v>43.1</c:v>
                </c:pt>
                <c:pt idx="431">
                  <c:v>43.2</c:v>
                </c:pt>
                <c:pt idx="432">
                  <c:v>43.3</c:v>
                </c:pt>
                <c:pt idx="433">
                  <c:v>43.4</c:v>
                </c:pt>
                <c:pt idx="434">
                  <c:v>43.5</c:v>
                </c:pt>
                <c:pt idx="435">
                  <c:v>43.6</c:v>
                </c:pt>
                <c:pt idx="436">
                  <c:v>43.7</c:v>
                </c:pt>
                <c:pt idx="437">
                  <c:v>43.8</c:v>
                </c:pt>
                <c:pt idx="438">
                  <c:v>43.9</c:v>
                </c:pt>
                <c:pt idx="439">
                  <c:v>44</c:v>
                </c:pt>
                <c:pt idx="440">
                  <c:v>44.1</c:v>
                </c:pt>
                <c:pt idx="441">
                  <c:v>44.2</c:v>
                </c:pt>
                <c:pt idx="442">
                  <c:v>44.3</c:v>
                </c:pt>
                <c:pt idx="443">
                  <c:v>44.4</c:v>
                </c:pt>
                <c:pt idx="444">
                  <c:v>44.5</c:v>
                </c:pt>
                <c:pt idx="445">
                  <c:v>44.6</c:v>
                </c:pt>
                <c:pt idx="446">
                  <c:v>44.7</c:v>
                </c:pt>
                <c:pt idx="447">
                  <c:v>44.8</c:v>
                </c:pt>
                <c:pt idx="448">
                  <c:v>44.9</c:v>
                </c:pt>
                <c:pt idx="449">
                  <c:v>45</c:v>
                </c:pt>
                <c:pt idx="450">
                  <c:v>45.1</c:v>
                </c:pt>
                <c:pt idx="451">
                  <c:v>45.2</c:v>
                </c:pt>
                <c:pt idx="452">
                  <c:v>45.3</c:v>
                </c:pt>
                <c:pt idx="453">
                  <c:v>45.4</c:v>
                </c:pt>
                <c:pt idx="454">
                  <c:v>45.5</c:v>
                </c:pt>
                <c:pt idx="455">
                  <c:v>45.6</c:v>
                </c:pt>
                <c:pt idx="456">
                  <c:v>45.7</c:v>
                </c:pt>
                <c:pt idx="457">
                  <c:v>45.8</c:v>
                </c:pt>
                <c:pt idx="458">
                  <c:v>45.9</c:v>
                </c:pt>
                <c:pt idx="459">
                  <c:v>46</c:v>
                </c:pt>
                <c:pt idx="460">
                  <c:v>46.1</c:v>
                </c:pt>
                <c:pt idx="461">
                  <c:v>46.2</c:v>
                </c:pt>
                <c:pt idx="462">
                  <c:v>46.3</c:v>
                </c:pt>
                <c:pt idx="463">
                  <c:v>46.4</c:v>
                </c:pt>
                <c:pt idx="464">
                  <c:v>46.5</c:v>
                </c:pt>
                <c:pt idx="465">
                  <c:v>46.6</c:v>
                </c:pt>
                <c:pt idx="466">
                  <c:v>46.7</c:v>
                </c:pt>
                <c:pt idx="467">
                  <c:v>46.8</c:v>
                </c:pt>
                <c:pt idx="468">
                  <c:v>46.9</c:v>
                </c:pt>
                <c:pt idx="469">
                  <c:v>47</c:v>
                </c:pt>
                <c:pt idx="470">
                  <c:v>47.1</c:v>
                </c:pt>
                <c:pt idx="471">
                  <c:v>47.2</c:v>
                </c:pt>
                <c:pt idx="472">
                  <c:v>47.3</c:v>
                </c:pt>
                <c:pt idx="473">
                  <c:v>47.4</c:v>
                </c:pt>
                <c:pt idx="474">
                  <c:v>47.5</c:v>
                </c:pt>
                <c:pt idx="475">
                  <c:v>47.6</c:v>
                </c:pt>
                <c:pt idx="476">
                  <c:v>47.7</c:v>
                </c:pt>
                <c:pt idx="477">
                  <c:v>47.8</c:v>
                </c:pt>
                <c:pt idx="478">
                  <c:v>47.9</c:v>
                </c:pt>
                <c:pt idx="479">
                  <c:v>48</c:v>
                </c:pt>
                <c:pt idx="480">
                  <c:v>48.1</c:v>
                </c:pt>
                <c:pt idx="481">
                  <c:v>48.2</c:v>
                </c:pt>
                <c:pt idx="482">
                  <c:v>48.3</c:v>
                </c:pt>
                <c:pt idx="483">
                  <c:v>48.4</c:v>
                </c:pt>
                <c:pt idx="484">
                  <c:v>48.5</c:v>
                </c:pt>
                <c:pt idx="485">
                  <c:v>48.6</c:v>
                </c:pt>
                <c:pt idx="486">
                  <c:v>48.7</c:v>
                </c:pt>
                <c:pt idx="487">
                  <c:v>48.8</c:v>
                </c:pt>
                <c:pt idx="488">
                  <c:v>48.9</c:v>
                </c:pt>
                <c:pt idx="489">
                  <c:v>49</c:v>
                </c:pt>
                <c:pt idx="490">
                  <c:v>49.1</c:v>
                </c:pt>
                <c:pt idx="491">
                  <c:v>49.2</c:v>
                </c:pt>
                <c:pt idx="492">
                  <c:v>49.3</c:v>
                </c:pt>
                <c:pt idx="493">
                  <c:v>49.4</c:v>
                </c:pt>
                <c:pt idx="494">
                  <c:v>49.5</c:v>
                </c:pt>
                <c:pt idx="495">
                  <c:v>49.6</c:v>
                </c:pt>
                <c:pt idx="496">
                  <c:v>49.7</c:v>
                </c:pt>
                <c:pt idx="497">
                  <c:v>49.8</c:v>
                </c:pt>
                <c:pt idx="498">
                  <c:v>49.9</c:v>
                </c:pt>
                <c:pt idx="499">
                  <c:v>50</c:v>
                </c:pt>
                <c:pt idx="500">
                  <c:v>50.1</c:v>
                </c:pt>
                <c:pt idx="501">
                  <c:v>50.2</c:v>
                </c:pt>
                <c:pt idx="502">
                  <c:v>50.3</c:v>
                </c:pt>
                <c:pt idx="503">
                  <c:v>50.4</c:v>
                </c:pt>
                <c:pt idx="504">
                  <c:v>50.5</c:v>
                </c:pt>
                <c:pt idx="505">
                  <c:v>50.6</c:v>
                </c:pt>
                <c:pt idx="506">
                  <c:v>50.7</c:v>
                </c:pt>
                <c:pt idx="507">
                  <c:v>50.8</c:v>
                </c:pt>
                <c:pt idx="508">
                  <c:v>50.9</c:v>
                </c:pt>
                <c:pt idx="509">
                  <c:v>51</c:v>
                </c:pt>
                <c:pt idx="510">
                  <c:v>51.1</c:v>
                </c:pt>
                <c:pt idx="511">
                  <c:v>51.2</c:v>
                </c:pt>
                <c:pt idx="512">
                  <c:v>51.3</c:v>
                </c:pt>
                <c:pt idx="513">
                  <c:v>51.4</c:v>
                </c:pt>
                <c:pt idx="514">
                  <c:v>51.5</c:v>
                </c:pt>
                <c:pt idx="515">
                  <c:v>51.6</c:v>
                </c:pt>
                <c:pt idx="516">
                  <c:v>51.7</c:v>
                </c:pt>
                <c:pt idx="517">
                  <c:v>51.8</c:v>
                </c:pt>
                <c:pt idx="518">
                  <c:v>51.9</c:v>
                </c:pt>
                <c:pt idx="519">
                  <c:v>52</c:v>
                </c:pt>
                <c:pt idx="520">
                  <c:v>52.1</c:v>
                </c:pt>
                <c:pt idx="521">
                  <c:v>52.2</c:v>
                </c:pt>
                <c:pt idx="522">
                  <c:v>52.3</c:v>
                </c:pt>
                <c:pt idx="523">
                  <c:v>52.4</c:v>
                </c:pt>
                <c:pt idx="524">
                  <c:v>52.5</c:v>
                </c:pt>
                <c:pt idx="525">
                  <c:v>52.6</c:v>
                </c:pt>
                <c:pt idx="526">
                  <c:v>52.7</c:v>
                </c:pt>
                <c:pt idx="527">
                  <c:v>52.8</c:v>
                </c:pt>
                <c:pt idx="528">
                  <c:v>52.9</c:v>
                </c:pt>
                <c:pt idx="529">
                  <c:v>53</c:v>
                </c:pt>
                <c:pt idx="530">
                  <c:v>53.1</c:v>
                </c:pt>
                <c:pt idx="531">
                  <c:v>53.2</c:v>
                </c:pt>
                <c:pt idx="532">
                  <c:v>53.3</c:v>
                </c:pt>
                <c:pt idx="533">
                  <c:v>53.4</c:v>
                </c:pt>
                <c:pt idx="534">
                  <c:v>53.5</c:v>
                </c:pt>
                <c:pt idx="535">
                  <c:v>53.6</c:v>
                </c:pt>
                <c:pt idx="536">
                  <c:v>53.7</c:v>
                </c:pt>
                <c:pt idx="537">
                  <c:v>53.8</c:v>
                </c:pt>
                <c:pt idx="538">
                  <c:v>53.9</c:v>
                </c:pt>
                <c:pt idx="539">
                  <c:v>54</c:v>
                </c:pt>
                <c:pt idx="540">
                  <c:v>54.1</c:v>
                </c:pt>
                <c:pt idx="541">
                  <c:v>54.2</c:v>
                </c:pt>
                <c:pt idx="542">
                  <c:v>54.3</c:v>
                </c:pt>
                <c:pt idx="543">
                  <c:v>54.4</c:v>
                </c:pt>
                <c:pt idx="544">
                  <c:v>54.5</c:v>
                </c:pt>
                <c:pt idx="545">
                  <c:v>54.6</c:v>
                </c:pt>
                <c:pt idx="546">
                  <c:v>54.7</c:v>
                </c:pt>
                <c:pt idx="547">
                  <c:v>54.8</c:v>
                </c:pt>
                <c:pt idx="548">
                  <c:v>54.9</c:v>
                </c:pt>
                <c:pt idx="549">
                  <c:v>55</c:v>
                </c:pt>
                <c:pt idx="550">
                  <c:v>55.1</c:v>
                </c:pt>
                <c:pt idx="551">
                  <c:v>55.2</c:v>
                </c:pt>
                <c:pt idx="552">
                  <c:v>55.3</c:v>
                </c:pt>
                <c:pt idx="553">
                  <c:v>55.4</c:v>
                </c:pt>
                <c:pt idx="554">
                  <c:v>55.5</c:v>
                </c:pt>
                <c:pt idx="555">
                  <c:v>55.6</c:v>
                </c:pt>
                <c:pt idx="556">
                  <c:v>55.7</c:v>
                </c:pt>
                <c:pt idx="557">
                  <c:v>55.8</c:v>
                </c:pt>
                <c:pt idx="558">
                  <c:v>55.9</c:v>
                </c:pt>
                <c:pt idx="559">
                  <c:v>56</c:v>
                </c:pt>
                <c:pt idx="560">
                  <c:v>56.1</c:v>
                </c:pt>
                <c:pt idx="561">
                  <c:v>56.2</c:v>
                </c:pt>
                <c:pt idx="562">
                  <c:v>56.3</c:v>
                </c:pt>
                <c:pt idx="563">
                  <c:v>56.4</c:v>
                </c:pt>
                <c:pt idx="564">
                  <c:v>56.5</c:v>
                </c:pt>
                <c:pt idx="565">
                  <c:v>56.6</c:v>
                </c:pt>
                <c:pt idx="566">
                  <c:v>56.7</c:v>
                </c:pt>
                <c:pt idx="567">
                  <c:v>56.8</c:v>
                </c:pt>
                <c:pt idx="568">
                  <c:v>56.9</c:v>
                </c:pt>
                <c:pt idx="569">
                  <c:v>57</c:v>
                </c:pt>
                <c:pt idx="570">
                  <c:v>57.1</c:v>
                </c:pt>
                <c:pt idx="571">
                  <c:v>57.2</c:v>
                </c:pt>
                <c:pt idx="572">
                  <c:v>57.3</c:v>
                </c:pt>
                <c:pt idx="573">
                  <c:v>57.4</c:v>
                </c:pt>
                <c:pt idx="574">
                  <c:v>57.5</c:v>
                </c:pt>
                <c:pt idx="575">
                  <c:v>57.6</c:v>
                </c:pt>
                <c:pt idx="576">
                  <c:v>57.7</c:v>
                </c:pt>
                <c:pt idx="577">
                  <c:v>57.8</c:v>
                </c:pt>
                <c:pt idx="578">
                  <c:v>57.9</c:v>
                </c:pt>
                <c:pt idx="579">
                  <c:v>58</c:v>
                </c:pt>
                <c:pt idx="580">
                  <c:v>58.1</c:v>
                </c:pt>
                <c:pt idx="581">
                  <c:v>58.2</c:v>
                </c:pt>
                <c:pt idx="582">
                  <c:v>58.3</c:v>
                </c:pt>
                <c:pt idx="583">
                  <c:v>58.4</c:v>
                </c:pt>
                <c:pt idx="584">
                  <c:v>58.5</c:v>
                </c:pt>
                <c:pt idx="585">
                  <c:v>58.6</c:v>
                </c:pt>
                <c:pt idx="586">
                  <c:v>58.7</c:v>
                </c:pt>
                <c:pt idx="587">
                  <c:v>58.8</c:v>
                </c:pt>
                <c:pt idx="588">
                  <c:v>58.9</c:v>
                </c:pt>
                <c:pt idx="589">
                  <c:v>59</c:v>
                </c:pt>
                <c:pt idx="590">
                  <c:v>59.1</c:v>
                </c:pt>
                <c:pt idx="591">
                  <c:v>59.2</c:v>
                </c:pt>
                <c:pt idx="592">
                  <c:v>59.3</c:v>
                </c:pt>
                <c:pt idx="593">
                  <c:v>59.4</c:v>
                </c:pt>
                <c:pt idx="594">
                  <c:v>59.5</c:v>
                </c:pt>
                <c:pt idx="595">
                  <c:v>59.6</c:v>
                </c:pt>
                <c:pt idx="596">
                  <c:v>59.7</c:v>
                </c:pt>
                <c:pt idx="597">
                  <c:v>59.8</c:v>
                </c:pt>
                <c:pt idx="598">
                  <c:v>59.9</c:v>
                </c:pt>
                <c:pt idx="599">
                  <c:v>60</c:v>
                </c:pt>
                <c:pt idx="600">
                  <c:v>60.1</c:v>
                </c:pt>
                <c:pt idx="601">
                  <c:v>60.2</c:v>
                </c:pt>
                <c:pt idx="602">
                  <c:v>60.3</c:v>
                </c:pt>
                <c:pt idx="603">
                  <c:v>60.4</c:v>
                </c:pt>
                <c:pt idx="604">
                  <c:v>60.5</c:v>
                </c:pt>
                <c:pt idx="605">
                  <c:v>60.6</c:v>
                </c:pt>
                <c:pt idx="606">
                  <c:v>60.7</c:v>
                </c:pt>
                <c:pt idx="607">
                  <c:v>60.8</c:v>
                </c:pt>
                <c:pt idx="608">
                  <c:v>60.9</c:v>
                </c:pt>
                <c:pt idx="609">
                  <c:v>61</c:v>
                </c:pt>
                <c:pt idx="610">
                  <c:v>61.1</c:v>
                </c:pt>
                <c:pt idx="611">
                  <c:v>61.2</c:v>
                </c:pt>
                <c:pt idx="612">
                  <c:v>61.3</c:v>
                </c:pt>
                <c:pt idx="613">
                  <c:v>61.4</c:v>
                </c:pt>
                <c:pt idx="614">
                  <c:v>61.5</c:v>
                </c:pt>
                <c:pt idx="615">
                  <c:v>61.6</c:v>
                </c:pt>
                <c:pt idx="616">
                  <c:v>61.7</c:v>
                </c:pt>
                <c:pt idx="617">
                  <c:v>61.8</c:v>
                </c:pt>
                <c:pt idx="618">
                  <c:v>61.9</c:v>
                </c:pt>
                <c:pt idx="619">
                  <c:v>62</c:v>
                </c:pt>
                <c:pt idx="620">
                  <c:v>62.1</c:v>
                </c:pt>
                <c:pt idx="621">
                  <c:v>62.2</c:v>
                </c:pt>
                <c:pt idx="622">
                  <c:v>62.3</c:v>
                </c:pt>
                <c:pt idx="623">
                  <c:v>62.4</c:v>
                </c:pt>
                <c:pt idx="624">
                  <c:v>62.5</c:v>
                </c:pt>
                <c:pt idx="625">
                  <c:v>62.6</c:v>
                </c:pt>
                <c:pt idx="626">
                  <c:v>62.7</c:v>
                </c:pt>
                <c:pt idx="627">
                  <c:v>62.8</c:v>
                </c:pt>
                <c:pt idx="628">
                  <c:v>62.9</c:v>
                </c:pt>
                <c:pt idx="629">
                  <c:v>63</c:v>
                </c:pt>
                <c:pt idx="630">
                  <c:v>63.1</c:v>
                </c:pt>
                <c:pt idx="631">
                  <c:v>63.2</c:v>
                </c:pt>
                <c:pt idx="632">
                  <c:v>63.3</c:v>
                </c:pt>
                <c:pt idx="633">
                  <c:v>63.4</c:v>
                </c:pt>
                <c:pt idx="634">
                  <c:v>63.5</c:v>
                </c:pt>
                <c:pt idx="635">
                  <c:v>63.6</c:v>
                </c:pt>
                <c:pt idx="636">
                  <c:v>63.7</c:v>
                </c:pt>
                <c:pt idx="637">
                  <c:v>63.8</c:v>
                </c:pt>
                <c:pt idx="638">
                  <c:v>63.9</c:v>
                </c:pt>
                <c:pt idx="639">
                  <c:v>64</c:v>
                </c:pt>
                <c:pt idx="640">
                  <c:v>64.099999999999994</c:v>
                </c:pt>
                <c:pt idx="641">
                  <c:v>64.2</c:v>
                </c:pt>
                <c:pt idx="642">
                  <c:v>64.3</c:v>
                </c:pt>
                <c:pt idx="643">
                  <c:v>64.400000000000006</c:v>
                </c:pt>
                <c:pt idx="644">
                  <c:v>64.5</c:v>
                </c:pt>
                <c:pt idx="645">
                  <c:v>64.599999999999994</c:v>
                </c:pt>
                <c:pt idx="646">
                  <c:v>64.7</c:v>
                </c:pt>
                <c:pt idx="647">
                  <c:v>64.8</c:v>
                </c:pt>
                <c:pt idx="648">
                  <c:v>64.900000000000006</c:v>
                </c:pt>
                <c:pt idx="649">
                  <c:v>65</c:v>
                </c:pt>
                <c:pt idx="650">
                  <c:v>65.099999999999994</c:v>
                </c:pt>
                <c:pt idx="651">
                  <c:v>65.2</c:v>
                </c:pt>
                <c:pt idx="652">
                  <c:v>65.3</c:v>
                </c:pt>
                <c:pt idx="653">
                  <c:v>65.400000000000006</c:v>
                </c:pt>
                <c:pt idx="654">
                  <c:v>65.5</c:v>
                </c:pt>
                <c:pt idx="655">
                  <c:v>65.599999999999994</c:v>
                </c:pt>
                <c:pt idx="656">
                  <c:v>65.7</c:v>
                </c:pt>
                <c:pt idx="657">
                  <c:v>65.8</c:v>
                </c:pt>
                <c:pt idx="658">
                  <c:v>65.900000000000006</c:v>
                </c:pt>
                <c:pt idx="659">
                  <c:v>66</c:v>
                </c:pt>
                <c:pt idx="660">
                  <c:v>66.099999999999994</c:v>
                </c:pt>
                <c:pt idx="661">
                  <c:v>66.2</c:v>
                </c:pt>
                <c:pt idx="662">
                  <c:v>66.3</c:v>
                </c:pt>
                <c:pt idx="663">
                  <c:v>66.400000000000006</c:v>
                </c:pt>
                <c:pt idx="664">
                  <c:v>66.5</c:v>
                </c:pt>
                <c:pt idx="665">
                  <c:v>66.599999999999994</c:v>
                </c:pt>
                <c:pt idx="666">
                  <c:v>66.7</c:v>
                </c:pt>
                <c:pt idx="667">
                  <c:v>66.8</c:v>
                </c:pt>
                <c:pt idx="668">
                  <c:v>66.900000000000006</c:v>
                </c:pt>
                <c:pt idx="669">
                  <c:v>67</c:v>
                </c:pt>
                <c:pt idx="670">
                  <c:v>67.099999999999994</c:v>
                </c:pt>
                <c:pt idx="671">
                  <c:v>67.2</c:v>
                </c:pt>
                <c:pt idx="672">
                  <c:v>67.3</c:v>
                </c:pt>
                <c:pt idx="673">
                  <c:v>67.400000000000006</c:v>
                </c:pt>
                <c:pt idx="674">
                  <c:v>67.5</c:v>
                </c:pt>
                <c:pt idx="675">
                  <c:v>67.599999999999994</c:v>
                </c:pt>
                <c:pt idx="676">
                  <c:v>67.7</c:v>
                </c:pt>
                <c:pt idx="677">
                  <c:v>67.8</c:v>
                </c:pt>
                <c:pt idx="678">
                  <c:v>67.900000000000006</c:v>
                </c:pt>
                <c:pt idx="679">
                  <c:v>68</c:v>
                </c:pt>
                <c:pt idx="680">
                  <c:v>68.099999999999994</c:v>
                </c:pt>
                <c:pt idx="681">
                  <c:v>68.2</c:v>
                </c:pt>
                <c:pt idx="682">
                  <c:v>68.3</c:v>
                </c:pt>
                <c:pt idx="683">
                  <c:v>68.400000000000006</c:v>
                </c:pt>
                <c:pt idx="684">
                  <c:v>68.5</c:v>
                </c:pt>
                <c:pt idx="685">
                  <c:v>68.599999999999994</c:v>
                </c:pt>
                <c:pt idx="686">
                  <c:v>68.7</c:v>
                </c:pt>
                <c:pt idx="687">
                  <c:v>68.8</c:v>
                </c:pt>
                <c:pt idx="688">
                  <c:v>68.900000000000006</c:v>
                </c:pt>
                <c:pt idx="689">
                  <c:v>69</c:v>
                </c:pt>
                <c:pt idx="690">
                  <c:v>69.099999999999994</c:v>
                </c:pt>
                <c:pt idx="691">
                  <c:v>69.2</c:v>
                </c:pt>
                <c:pt idx="692">
                  <c:v>69.3</c:v>
                </c:pt>
                <c:pt idx="693">
                  <c:v>69.400000000000006</c:v>
                </c:pt>
                <c:pt idx="694">
                  <c:v>69.5</c:v>
                </c:pt>
                <c:pt idx="695">
                  <c:v>69.599999999999994</c:v>
                </c:pt>
                <c:pt idx="696">
                  <c:v>69.7</c:v>
                </c:pt>
                <c:pt idx="697">
                  <c:v>69.8</c:v>
                </c:pt>
                <c:pt idx="698">
                  <c:v>69.900000000000006</c:v>
                </c:pt>
                <c:pt idx="699">
                  <c:v>70</c:v>
                </c:pt>
                <c:pt idx="700">
                  <c:v>70.099999999999994</c:v>
                </c:pt>
                <c:pt idx="701">
                  <c:v>70.2</c:v>
                </c:pt>
                <c:pt idx="702">
                  <c:v>70.3</c:v>
                </c:pt>
                <c:pt idx="703">
                  <c:v>70.400000000000006</c:v>
                </c:pt>
                <c:pt idx="704">
                  <c:v>70.5</c:v>
                </c:pt>
                <c:pt idx="705">
                  <c:v>70.599999999999994</c:v>
                </c:pt>
                <c:pt idx="706">
                  <c:v>70.7</c:v>
                </c:pt>
                <c:pt idx="707">
                  <c:v>70.8</c:v>
                </c:pt>
                <c:pt idx="708">
                  <c:v>70.900000000000006</c:v>
                </c:pt>
                <c:pt idx="709">
                  <c:v>71</c:v>
                </c:pt>
                <c:pt idx="710">
                  <c:v>71.099999999999994</c:v>
                </c:pt>
                <c:pt idx="711">
                  <c:v>71.2</c:v>
                </c:pt>
                <c:pt idx="712">
                  <c:v>71.3</c:v>
                </c:pt>
                <c:pt idx="713">
                  <c:v>71.400000000000006</c:v>
                </c:pt>
                <c:pt idx="714">
                  <c:v>71.5</c:v>
                </c:pt>
                <c:pt idx="715">
                  <c:v>71.599999999999994</c:v>
                </c:pt>
                <c:pt idx="716">
                  <c:v>71.7</c:v>
                </c:pt>
                <c:pt idx="717">
                  <c:v>71.8</c:v>
                </c:pt>
                <c:pt idx="718">
                  <c:v>71.900000000000006</c:v>
                </c:pt>
                <c:pt idx="719">
                  <c:v>72</c:v>
                </c:pt>
                <c:pt idx="720">
                  <c:v>72.099999999999994</c:v>
                </c:pt>
                <c:pt idx="721">
                  <c:v>72.2</c:v>
                </c:pt>
                <c:pt idx="722">
                  <c:v>72.3</c:v>
                </c:pt>
                <c:pt idx="723">
                  <c:v>72.400000000000006</c:v>
                </c:pt>
                <c:pt idx="724">
                  <c:v>72.5</c:v>
                </c:pt>
                <c:pt idx="725">
                  <c:v>72.599999999999994</c:v>
                </c:pt>
                <c:pt idx="726">
                  <c:v>72.7</c:v>
                </c:pt>
                <c:pt idx="727">
                  <c:v>72.8</c:v>
                </c:pt>
                <c:pt idx="728">
                  <c:v>72.900000000000006</c:v>
                </c:pt>
                <c:pt idx="729">
                  <c:v>73</c:v>
                </c:pt>
                <c:pt idx="730">
                  <c:v>73.099999999999994</c:v>
                </c:pt>
                <c:pt idx="731">
                  <c:v>73.2</c:v>
                </c:pt>
                <c:pt idx="732">
                  <c:v>73.3</c:v>
                </c:pt>
                <c:pt idx="733">
                  <c:v>73.400000000000006</c:v>
                </c:pt>
                <c:pt idx="734">
                  <c:v>73.5</c:v>
                </c:pt>
                <c:pt idx="735">
                  <c:v>73.599999999999994</c:v>
                </c:pt>
                <c:pt idx="736">
                  <c:v>73.7</c:v>
                </c:pt>
                <c:pt idx="737">
                  <c:v>73.8</c:v>
                </c:pt>
                <c:pt idx="738">
                  <c:v>73.900000000000006</c:v>
                </c:pt>
                <c:pt idx="739">
                  <c:v>74</c:v>
                </c:pt>
                <c:pt idx="740">
                  <c:v>74.099999999999994</c:v>
                </c:pt>
                <c:pt idx="741">
                  <c:v>74.2</c:v>
                </c:pt>
                <c:pt idx="742">
                  <c:v>74.3</c:v>
                </c:pt>
                <c:pt idx="743">
                  <c:v>74.400000000000006</c:v>
                </c:pt>
                <c:pt idx="744">
                  <c:v>74.5</c:v>
                </c:pt>
                <c:pt idx="745">
                  <c:v>74.599999999999994</c:v>
                </c:pt>
                <c:pt idx="746">
                  <c:v>74.7</c:v>
                </c:pt>
                <c:pt idx="747">
                  <c:v>74.8</c:v>
                </c:pt>
                <c:pt idx="748">
                  <c:v>74.900000000000006</c:v>
                </c:pt>
                <c:pt idx="749">
                  <c:v>75</c:v>
                </c:pt>
              </c:numCache>
            </c:numRef>
          </c:xVal>
          <c:yVal>
            <c:numRef>
              <c:f>'sheet 1'!$C$39:$C$788</c:f>
              <c:numCache>
                <c:formatCode>General</c:formatCode>
                <c:ptCount val="750"/>
                <c:pt idx="0">
                  <c:v>1713.7857100000001</c:v>
                </c:pt>
                <c:pt idx="1">
                  <c:v>1908.2857200000001</c:v>
                </c:pt>
                <c:pt idx="2">
                  <c:v>1891.5357100000001</c:v>
                </c:pt>
                <c:pt idx="3">
                  <c:v>1856.5357200000001</c:v>
                </c:pt>
                <c:pt idx="4">
                  <c:v>1752.5357200000001</c:v>
                </c:pt>
                <c:pt idx="5">
                  <c:v>1711.5357200000001</c:v>
                </c:pt>
                <c:pt idx="6">
                  <c:v>1660.2857100000001</c:v>
                </c:pt>
                <c:pt idx="7">
                  <c:v>1652.0357200000001</c:v>
                </c:pt>
                <c:pt idx="8">
                  <c:v>1569.0357200000001</c:v>
                </c:pt>
                <c:pt idx="9">
                  <c:v>1515.2857200000001</c:v>
                </c:pt>
                <c:pt idx="10">
                  <c:v>1478.2857200000001</c:v>
                </c:pt>
                <c:pt idx="11">
                  <c:v>1483.7857200000001</c:v>
                </c:pt>
                <c:pt idx="12">
                  <c:v>1420.5357200000001</c:v>
                </c:pt>
                <c:pt idx="13">
                  <c:v>1413.5357200000001</c:v>
                </c:pt>
                <c:pt idx="14">
                  <c:v>1340.5357200000001</c:v>
                </c:pt>
                <c:pt idx="15">
                  <c:v>1289.5357200000001</c:v>
                </c:pt>
                <c:pt idx="16">
                  <c:v>1276.0357200000001</c:v>
                </c:pt>
                <c:pt idx="17">
                  <c:v>1279.0357200000001</c:v>
                </c:pt>
                <c:pt idx="18">
                  <c:v>1213.5357200000001</c:v>
                </c:pt>
                <c:pt idx="19">
                  <c:v>1210.0357200000001</c:v>
                </c:pt>
                <c:pt idx="20">
                  <c:v>1225.2857200000001</c:v>
                </c:pt>
                <c:pt idx="21">
                  <c:v>1162.0357200000001</c:v>
                </c:pt>
                <c:pt idx="22">
                  <c:v>1123.0357200000001</c:v>
                </c:pt>
                <c:pt idx="23">
                  <c:v>1102.2857200000001</c:v>
                </c:pt>
                <c:pt idx="24">
                  <c:v>1107.2857200000001</c:v>
                </c:pt>
                <c:pt idx="25">
                  <c:v>1038.7857200000001</c:v>
                </c:pt>
                <c:pt idx="26">
                  <c:v>1054.0357200000001</c:v>
                </c:pt>
                <c:pt idx="27">
                  <c:v>1048.2857200000001</c:v>
                </c:pt>
                <c:pt idx="28">
                  <c:v>999.03570999999999</c:v>
                </c:pt>
                <c:pt idx="29">
                  <c:v>1001.53572</c:v>
                </c:pt>
                <c:pt idx="30">
                  <c:v>991.78570999999999</c:v>
                </c:pt>
                <c:pt idx="31">
                  <c:v>945.53570999999999</c:v>
                </c:pt>
                <c:pt idx="32">
                  <c:v>980.53570999999999</c:v>
                </c:pt>
                <c:pt idx="33">
                  <c:v>941.03570999999999</c:v>
                </c:pt>
                <c:pt idx="34">
                  <c:v>909.28570999999999</c:v>
                </c:pt>
                <c:pt idx="35">
                  <c:v>907.78570999999999</c:v>
                </c:pt>
                <c:pt idx="36">
                  <c:v>896.53570999999999</c:v>
                </c:pt>
                <c:pt idx="37">
                  <c:v>882.53570999999999</c:v>
                </c:pt>
                <c:pt idx="38">
                  <c:v>849.28570999999999</c:v>
                </c:pt>
                <c:pt idx="39">
                  <c:v>827.78570999999999</c:v>
                </c:pt>
                <c:pt idx="40">
                  <c:v>807.53570999999999</c:v>
                </c:pt>
                <c:pt idx="41">
                  <c:v>810.78570999999999</c:v>
                </c:pt>
                <c:pt idx="42">
                  <c:v>821.03570999999999</c:v>
                </c:pt>
                <c:pt idx="43">
                  <c:v>847.78570999999999</c:v>
                </c:pt>
                <c:pt idx="44">
                  <c:v>778.78570999999999</c:v>
                </c:pt>
                <c:pt idx="45">
                  <c:v>772.53570999999999</c:v>
                </c:pt>
                <c:pt idx="46">
                  <c:v>730.28570999999999</c:v>
                </c:pt>
                <c:pt idx="47">
                  <c:v>772.28570999999999</c:v>
                </c:pt>
                <c:pt idx="48">
                  <c:v>731.78570999999999</c:v>
                </c:pt>
                <c:pt idx="49">
                  <c:v>740.03570999999999</c:v>
                </c:pt>
                <c:pt idx="50">
                  <c:v>730.28570999999999</c:v>
                </c:pt>
                <c:pt idx="51">
                  <c:v>712.03570999999999</c:v>
                </c:pt>
                <c:pt idx="52">
                  <c:v>692.28570999999999</c:v>
                </c:pt>
                <c:pt idx="53">
                  <c:v>736.03570999999999</c:v>
                </c:pt>
                <c:pt idx="54">
                  <c:v>692.28570999999999</c:v>
                </c:pt>
                <c:pt idx="55">
                  <c:v>699.53570999999999</c:v>
                </c:pt>
                <c:pt idx="56">
                  <c:v>649.28570999999999</c:v>
                </c:pt>
                <c:pt idx="57">
                  <c:v>666.53570999999999</c:v>
                </c:pt>
                <c:pt idx="58">
                  <c:v>675.28570999999999</c:v>
                </c:pt>
                <c:pt idx="59">
                  <c:v>639.28570999999999</c:v>
                </c:pt>
                <c:pt idx="60">
                  <c:v>660.03570999999999</c:v>
                </c:pt>
                <c:pt idx="61">
                  <c:v>641.28570999999999</c:v>
                </c:pt>
                <c:pt idx="62">
                  <c:v>600.53570999999999</c:v>
                </c:pt>
                <c:pt idx="63">
                  <c:v>607.78570999999999</c:v>
                </c:pt>
                <c:pt idx="64">
                  <c:v>627.78570999999999</c:v>
                </c:pt>
                <c:pt idx="65">
                  <c:v>588.28570999999999</c:v>
                </c:pt>
                <c:pt idx="66">
                  <c:v>602.78570999999999</c:v>
                </c:pt>
                <c:pt idx="67">
                  <c:v>577.03570999999999</c:v>
                </c:pt>
                <c:pt idx="68">
                  <c:v>599.53570999999999</c:v>
                </c:pt>
                <c:pt idx="69">
                  <c:v>597.53570999999999</c:v>
                </c:pt>
                <c:pt idx="70">
                  <c:v>573.53570999999999</c:v>
                </c:pt>
                <c:pt idx="71">
                  <c:v>574.53570999999999</c:v>
                </c:pt>
                <c:pt idx="72">
                  <c:v>546.03570999999999</c:v>
                </c:pt>
                <c:pt idx="73">
                  <c:v>564.78570999999999</c:v>
                </c:pt>
                <c:pt idx="74">
                  <c:v>582.53570999999999</c:v>
                </c:pt>
                <c:pt idx="75">
                  <c:v>531.78570999999999</c:v>
                </c:pt>
                <c:pt idx="76">
                  <c:v>546.53570999999999</c:v>
                </c:pt>
                <c:pt idx="77">
                  <c:v>517.28570999999999</c:v>
                </c:pt>
                <c:pt idx="78">
                  <c:v>527.03570999999999</c:v>
                </c:pt>
                <c:pt idx="79">
                  <c:v>513.53570999999999</c:v>
                </c:pt>
                <c:pt idx="80">
                  <c:v>509.53570999999999</c:v>
                </c:pt>
                <c:pt idx="81">
                  <c:v>514.03570999999999</c:v>
                </c:pt>
                <c:pt idx="82">
                  <c:v>503.78570999999999</c:v>
                </c:pt>
                <c:pt idx="83">
                  <c:v>506.78570999999999</c:v>
                </c:pt>
                <c:pt idx="84">
                  <c:v>489.03570999999999</c:v>
                </c:pt>
                <c:pt idx="85">
                  <c:v>485.53570999999999</c:v>
                </c:pt>
                <c:pt idx="86">
                  <c:v>492.28570999999999</c:v>
                </c:pt>
                <c:pt idx="87">
                  <c:v>482.78570999999999</c:v>
                </c:pt>
                <c:pt idx="88">
                  <c:v>467.53570999999999</c:v>
                </c:pt>
                <c:pt idx="89">
                  <c:v>485.03570999999999</c:v>
                </c:pt>
                <c:pt idx="90">
                  <c:v>491.28570999999999</c:v>
                </c:pt>
                <c:pt idx="91">
                  <c:v>454.28570999999999</c:v>
                </c:pt>
                <c:pt idx="92">
                  <c:v>457.53570999999999</c:v>
                </c:pt>
                <c:pt idx="93">
                  <c:v>451.53570999999999</c:v>
                </c:pt>
                <c:pt idx="94">
                  <c:v>489.53570999999999</c:v>
                </c:pt>
                <c:pt idx="95">
                  <c:v>441.03570999999999</c:v>
                </c:pt>
                <c:pt idx="96">
                  <c:v>446.03570999999999</c:v>
                </c:pt>
                <c:pt idx="97">
                  <c:v>439.03570999999999</c:v>
                </c:pt>
                <c:pt idx="98">
                  <c:v>438.03570999999999</c:v>
                </c:pt>
                <c:pt idx="99">
                  <c:v>418.28572000000003</c:v>
                </c:pt>
                <c:pt idx="100">
                  <c:v>423.03570999999999</c:v>
                </c:pt>
                <c:pt idx="101">
                  <c:v>432.53570999999999</c:v>
                </c:pt>
                <c:pt idx="102" formatCode="0.00E+00">
                  <c:v>416.53572000000003</c:v>
                </c:pt>
                <c:pt idx="103">
                  <c:v>416.28570999999999</c:v>
                </c:pt>
                <c:pt idx="104">
                  <c:v>383.78570999999999</c:v>
                </c:pt>
                <c:pt idx="105">
                  <c:v>403.78570999999999</c:v>
                </c:pt>
                <c:pt idx="106">
                  <c:v>407.53570999999999</c:v>
                </c:pt>
                <c:pt idx="107">
                  <c:v>415.78570999999999</c:v>
                </c:pt>
                <c:pt idx="108">
                  <c:v>409.78570999999999</c:v>
                </c:pt>
                <c:pt idx="109">
                  <c:v>411.03570999999999</c:v>
                </c:pt>
                <c:pt idx="110">
                  <c:v>397.53570999999999</c:v>
                </c:pt>
                <c:pt idx="111">
                  <c:v>382.28570999999999</c:v>
                </c:pt>
                <c:pt idx="112">
                  <c:v>369.78570999999999</c:v>
                </c:pt>
                <c:pt idx="113">
                  <c:v>399.53570999999999</c:v>
                </c:pt>
                <c:pt idx="114">
                  <c:v>384.28570999999999</c:v>
                </c:pt>
                <c:pt idx="115">
                  <c:v>379.53570999999999</c:v>
                </c:pt>
                <c:pt idx="116">
                  <c:v>361.78570999999999</c:v>
                </c:pt>
                <c:pt idx="117">
                  <c:v>394.78570999999999</c:v>
                </c:pt>
                <c:pt idx="118">
                  <c:v>364.03570999999999</c:v>
                </c:pt>
                <c:pt idx="119">
                  <c:v>371.03570999999999</c:v>
                </c:pt>
                <c:pt idx="120">
                  <c:v>347.28570999999999</c:v>
                </c:pt>
                <c:pt idx="121">
                  <c:v>354.53570999999999</c:v>
                </c:pt>
                <c:pt idx="122">
                  <c:v>345.03570999999999</c:v>
                </c:pt>
                <c:pt idx="123">
                  <c:v>356.53570999999999</c:v>
                </c:pt>
                <c:pt idx="124">
                  <c:v>342.03570999999999</c:v>
                </c:pt>
                <c:pt idx="125">
                  <c:v>348.28570999999999</c:v>
                </c:pt>
                <c:pt idx="126">
                  <c:v>343.78570999999999</c:v>
                </c:pt>
                <c:pt idx="127">
                  <c:v>337.53570999999999</c:v>
                </c:pt>
                <c:pt idx="128">
                  <c:v>337.03570999999999</c:v>
                </c:pt>
                <c:pt idx="129">
                  <c:v>320.53570999999999</c:v>
                </c:pt>
                <c:pt idx="130">
                  <c:v>352.53570999999999</c:v>
                </c:pt>
                <c:pt idx="131">
                  <c:v>318.03570999999999</c:v>
                </c:pt>
                <c:pt idx="132">
                  <c:v>319.53570999999999</c:v>
                </c:pt>
                <c:pt idx="133">
                  <c:v>333.78570999999999</c:v>
                </c:pt>
                <c:pt idx="134">
                  <c:v>325.28570999999999</c:v>
                </c:pt>
                <c:pt idx="135">
                  <c:v>302.28570999999999</c:v>
                </c:pt>
                <c:pt idx="136">
                  <c:v>344.78570999999999</c:v>
                </c:pt>
                <c:pt idx="137">
                  <c:v>319.03570999999999</c:v>
                </c:pt>
                <c:pt idx="138">
                  <c:v>300.53570999999999</c:v>
                </c:pt>
                <c:pt idx="139">
                  <c:v>318.78570999999999</c:v>
                </c:pt>
                <c:pt idx="140">
                  <c:v>288.03570999999999</c:v>
                </c:pt>
                <c:pt idx="141">
                  <c:v>310.28570999999999</c:v>
                </c:pt>
                <c:pt idx="142">
                  <c:v>306.03570999999999</c:v>
                </c:pt>
                <c:pt idx="143">
                  <c:v>318.78570999999999</c:v>
                </c:pt>
                <c:pt idx="144">
                  <c:v>281.53570999999999</c:v>
                </c:pt>
                <c:pt idx="145">
                  <c:v>299.53570999999999</c:v>
                </c:pt>
                <c:pt idx="146">
                  <c:v>282.28570999999999</c:v>
                </c:pt>
                <c:pt idx="147">
                  <c:v>293.03570999999999</c:v>
                </c:pt>
                <c:pt idx="148">
                  <c:v>261.28570999999999</c:v>
                </c:pt>
                <c:pt idx="149">
                  <c:v>273.03570999999999</c:v>
                </c:pt>
                <c:pt idx="150">
                  <c:v>297.53570999999999</c:v>
                </c:pt>
                <c:pt idx="151">
                  <c:v>289.28570999999999</c:v>
                </c:pt>
                <c:pt idx="152">
                  <c:v>291.28570999999999</c:v>
                </c:pt>
                <c:pt idx="153">
                  <c:v>280.28570999999999</c:v>
                </c:pt>
                <c:pt idx="154">
                  <c:v>291.53570999999999</c:v>
                </c:pt>
                <c:pt idx="155">
                  <c:v>285.78570999999999</c:v>
                </c:pt>
                <c:pt idx="156">
                  <c:v>259.03570999999999</c:v>
                </c:pt>
                <c:pt idx="157">
                  <c:v>267.28570999999999</c:v>
                </c:pt>
                <c:pt idx="158">
                  <c:v>269.78570999999999</c:v>
                </c:pt>
                <c:pt idx="159">
                  <c:v>278.28570999999999</c:v>
                </c:pt>
                <c:pt idx="160">
                  <c:v>239.03570999999999</c:v>
                </c:pt>
                <c:pt idx="161">
                  <c:v>287.03570999999999</c:v>
                </c:pt>
                <c:pt idx="162">
                  <c:v>263.78570999999999</c:v>
                </c:pt>
                <c:pt idx="163">
                  <c:v>230.03570999999999</c:v>
                </c:pt>
                <c:pt idx="164">
                  <c:v>266.53570999999999</c:v>
                </c:pt>
                <c:pt idx="165">
                  <c:v>260.53570999999999</c:v>
                </c:pt>
                <c:pt idx="166">
                  <c:v>243.28570999999999</c:v>
                </c:pt>
                <c:pt idx="167">
                  <c:v>245.53570999999999</c:v>
                </c:pt>
                <c:pt idx="168">
                  <c:v>275.03570999999999</c:v>
                </c:pt>
                <c:pt idx="169">
                  <c:v>240.78570999999999</c:v>
                </c:pt>
                <c:pt idx="170">
                  <c:v>260.78570999999999</c:v>
                </c:pt>
                <c:pt idx="171">
                  <c:v>260.03570999999999</c:v>
                </c:pt>
                <c:pt idx="172">
                  <c:v>222.78570999999999</c:v>
                </c:pt>
                <c:pt idx="173">
                  <c:v>237.28570999999999</c:v>
                </c:pt>
                <c:pt idx="174">
                  <c:v>242.28572</c:v>
                </c:pt>
                <c:pt idx="175">
                  <c:v>231.78572</c:v>
                </c:pt>
                <c:pt idx="176">
                  <c:v>253.03570999999999</c:v>
                </c:pt>
                <c:pt idx="177">
                  <c:v>244.03570999999999</c:v>
                </c:pt>
                <c:pt idx="178">
                  <c:v>219.28572</c:v>
                </c:pt>
                <c:pt idx="179">
                  <c:v>236.03572</c:v>
                </c:pt>
                <c:pt idx="180">
                  <c:v>246.03570999999999</c:v>
                </c:pt>
                <c:pt idx="181">
                  <c:v>238.78570999999999</c:v>
                </c:pt>
                <c:pt idx="182">
                  <c:v>206.53570999999999</c:v>
                </c:pt>
                <c:pt idx="183">
                  <c:v>248.53572</c:v>
                </c:pt>
                <c:pt idx="184">
                  <c:v>218.28570999999999</c:v>
                </c:pt>
                <c:pt idx="185">
                  <c:v>205.78570999999999</c:v>
                </c:pt>
                <c:pt idx="186">
                  <c:v>228.03570999999999</c:v>
                </c:pt>
                <c:pt idx="187">
                  <c:v>224.28570999999999</c:v>
                </c:pt>
                <c:pt idx="188">
                  <c:v>206.28570999999999</c:v>
                </c:pt>
                <c:pt idx="189">
                  <c:v>208.28570999999999</c:v>
                </c:pt>
                <c:pt idx="190">
                  <c:v>219.53572</c:v>
                </c:pt>
                <c:pt idx="191">
                  <c:v>214.28570999999999</c:v>
                </c:pt>
                <c:pt idx="192">
                  <c:v>216.28570999999999</c:v>
                </c:pt>
                <c:pt idx="193">
                  <c:v>201.53570999999999</c:v>
                </c:pt>
                <c:pt idx="194">
                  <c:v>195.03570999999999</c:v>
                </c:pt>
                <c:pt idx="195">
                  <c:v>219.28572</c:v>
                </c:pt>
                <c:pt idx="196">
                  <c:v>198.53570999999999</c:v>
                </c:pt>
                <c:pt idx="197">
                  <c:v>215.28572</c:v>
                </c:pt>
                <c:pt idx="198">
                  <c:v>208.03570999999999</c:v>
                </c:pt>
                <c:pt idx="199">
                  <c:v>202.78572</c:v>
                </c:pt>
                <c:pt idx="200">
                  <c:v>197.03570999999999</c:v>
                </c:pt>
                <c:pt idx="201">
                  <c:v>207.78570999999999</c:v>
                </c:pt>
                <c:pt idx="202">
                  <c:v>182.28570999999999</c:v>
                </c:pt>
                <c:pt idx="203">
                  <c:v>202.53570999999999</c:v>
                </c:pt>
                <c:pt idx="204">
                  <c:v>204.78572</c:v>
                </c:pt>
                <c:pt idx="205">
                  <c:v>189.78570999999999</c:v>
                </c:pt>
                <c:pt idx="206">
                  <c:v>215.78570999999999</c:v>
                </c:pt>
                <c:pt idx="207">
                  <c:v>207.03572</c:v>
                </c:pt>
                <c:pt idx="208">
                  <c:v>193.78570999999999</c:v>
                </c:pt>
                <c:pt idx="209">
                  <c:v>200.03570999999999</c:v>
                </c:pt>
                <c:pt idx="210">
                  <c:v>201.53570999999999</c:v>
                </c:pt>
                <c:pt idx="211">
                  <c:v>187.03570999999999</c:v>
                </c:pt>
                <c:pt idx="212">
                  <c:v>175.03570999999999</c:v>
                </c:pt>
                <c:pt idx="213">
                  <c:v>173.28570999999999</c:v>
                </c:pt>
                <c:pt idx="214">
                  <c:v>176.28570999999999</c:v>
                </c:pt>
                <c:pt idx="215">
                  <c:v>182.03570999999999</c:v>
                </c:pt>
                <c:pt idx="216">
                  <c:v>190.28570999999999</c:v>
                </c:pt>
                <c:pt idx="217">
                  <c:v>184.28570999999999</c:v>
                </c:pt>
                <c:pt idx="218">
                  <c:v>166.28570999999999</c:v>
                </c:pt>
                <c:pt idx="219">
                  <c:v>176.53570999999999</c:v>
                </c:pt>
                <c:pt idx="220">
                  <c:v>176.53570999999999</c:v>
                </c:pt>
                <c:pt idx="221">
                  <c:v>167.03570999999999</c:v>
                </c:pt>
                <c:pt idx="222">
                  <c:v>182.03570999999999</c:v>
                </c:pt>
                <c:pt idx="223">
                  <c:v>156.78570999999999</c:v>
                </c:pt>
                <c:pt idx="224">
                  <c:v>181.53570999999999</c:v>
                </c:pt>
                <c:pt idx="225">
                  <c:v>176.03570999999999</c:v>
                </c:pt>
                <c:pt idx="226">
                  <c:v>176.03570999999999</c:v>
                </c:pt>
                <c:pt idx="227">
                  <c:v>178.53570999999999</c:v>
                </c:pt>
                <c:pt idx="228">
                  <c:v>159.53570999999999</c:v>
                </c:pt>
                <c:pt idx="229">
                  <c:v>179.28570999999999</c:v>
                </c:pt>
                <c:pt idx="230">
                  <c:v>145.53570999999999</c:v>
                </c:pt>
                <c:pt idx="231">
                  <c:v>170.53570999999999</c:v>
                </c:pt>
                <c:pt idx="232">
                  <c:v>156.53570999999999</c:v>
                </c:pt>
                <c:pt idx="233">
                  <c:v>166.78570999999999</c:v>
                </c:pt>
                <c:pt idx="234">
                  <c:v>154.53570999999999</c:v>
                </c:pt>
                <c:pt idx="235">
                  <c:v>153.78570999999999</c:v>
                </c:pt>
                <c:pt idx="236">
                  <c:v>159.53570999999999</c:v>
                </c:pt>
                <c:pt idx="237">
                  <c:v>143.53570999999999</c:v>
                </c:pt>
                <c:pt idx="238">
                  <c:v>175.53570999999999</c:v>
                </c:pt>
                <c:pt idx="239">
                  <c:v>171.28570999999999</c:v>
                </c:pt>
                <c:pt idx="240">
                  <c:v>153.03570999999999</c:v>
                </c:pt>
                <c:pt idx="241">
                  <c:v>160.28570999999999</c:v>
                </c:pt>
                <c:pt idx="242">
                  <c:v>139.28570999999999</c:v>
                </c:pt>
                <c:pt idx="243">
                  <c:v>172.53570999999999</c:v>
                </c:pt>
                <c:pt idx="244">
                  <c:v>161.28570999999999</c:v>
                </c:pt>
                <c:pt idx="245">
                  <c:v>160.78570999999999</c:v>
                </c:pt>
                <c:pt idx="246">
                  <c:v>160.78570999999999</c:v>
                </c:pt>
                <c:pt idx="247">
                  <c:v>147.78570999999999</c:v>
                </c:pt>
                <c:pt idx="248">
                  <c:v>153.28570999999999</c:v>
                </c:pt>
                <c:pt idx="249">
                  <c:v>154.78570999999999</c:v>
                </c:pt>
                <c:pt idx="250">
                  <c:v>157.78570999999999</c:v>
                </c:pt>
                <c:pt idx="251">
                  <c:v>144.28570999999999</c:v>
                </c:pt>
                <c:pt idx="252">
                  <c:v>158.53570999999999</c:v>
                </c:pt>
                <c:pt idx="253">
                  <c:v>168.28570999999999</c:v>
                </c:pt>
                <c:pt idx="254">
                  <c:v>159.53570999999999</c:v>
                </c:pt>
                <c:pt idx="255">
                  <c:v>137.78570999999999</c:v>
                </c:pt>
                <c:pt idx="256">
                  <c:v>162.78570999999999</c:v>
                </c:pt>
                <c:pt idx="257">
                  <c:v>147.53570999999999</c:v>
                </c:pt>
                <c:pt idx="258">
                  <c:v>153.53570999999999</c:v>
                </c:pt>
                <c:pt idx="259">
                  <c:v>149.28570999999999</c:v>
                </c:pt>
                <c:pt idx="260">
                  <c:v>138.28570999999999</c:v>
                </c:pt>
                <c:pt idx="261">
                  <c:v>136.28570999999999</c:v>
                </c:pt>
                <c:pt idx="262">
                  <c:v>155.28570999999999</c:v>
                </c:pt>
                <c:pt idx="263">
                  <c:v>137.53570999999999</c:v>
                </c:pt>
                <c:pt idx="264">
                  <c:v>114.03570999999999</c:v>
                </c:pt>
                <c:pt idx="265">
                  <c:v>142.03570999999999</c:v>
                </c:pt>
                <c:pt idx="266">
                  <c:v>143.03570999999999</c:v>
                </c:pt>
                <c:pt idx="267">
                  <c:v>139.53570999999999</c:v>
                </c:pt>
                <c:pt idx="268">
                  <c:v>149.03570999999999</c:v>
                </c:pt>
                <c:pt idx="269">
                  <c:v>136.78570999999999</c:v>
                </c:pt>
                <c:pt idx="270">
                  <c:v>141.53570999999999</c:v>
                </c:pt>
                <c:pt idx="271">
                  <c:v>124.28570999999999</c:v>
                </c:pt>
                <c:pt idx="272">
                  <c:v>164.03570999999999</c:v>
                </c:pt>
                <c:pt idx="273">
                  <c:v>117.28570999999999</c:v>
                </c:pt>
                <c:pt idx="274">
                  <c:v>131.28570999999999</c:v>
                </c:pt>
                <c:pt idx="275">
                  <c:v>118.53570999999999</c:v>
                </c:pt>
                <c:pt idx="276">
                  <c:v>129.53570999999999</c:v>
                </c:pt>
                <c:pt idx="277">
                  <c:v>149.53570999999999</c:v>
                </c:pt>
                <c:pt idx="278">
                  <c:v>127.28570999999999</c:v>
                </c:pt>
                <c:pt idx="279">
                  <c:v>128.03570999999999</c:v>
                </c:pt>
                <c:pt idx="280">
                  <c:v>127.03570999999999</c:v>
                </c:pt>
                <c:pt idx="281">
                  <c:v>138.28570999999999</c:v>
                </c:pt>
                <c:pt idx="282">
                  <c:v>138.03570999999999</c:v>
                </c:pt>
                <c:pt idx="283">
                  <c:v>127.53570999999999</c:v>
                </c:pt>
                <c:pt idx="284">
                  <c:v>118.53570999999999</c:v>
                </c:pt>
                <c:pt idx="285">
                  <c:v>126.53570999999999</c:v>
                </c:pt>
                <c:pt idx="286">
                  <c:v>132.78570999999999</c:v>
                </c:pt>
                <c:pt idx="287">
                  <c:v>140.53570999999999</c:v>
                </c:pt>
                <c:pt idx="288">
                  <c:v>107.78570999999999</c:v>
                </c:pt>
                <c:pt idx="289">
                  <c:v>115.53570999999999</c:v>
                </c:pt>
                <c:pt idx="290">
                  <c:v>138.78570999999999</c:v>
                </c:pt>
                <c:pt idx="291">
                  <c:v>113.78570999999999</c:v>
                </c:pt>
                <c:pt idx="292">
                  <c:v>111.53572</c:v>
                </c:pt>
                <c:pt idx="293">
                  <c:v>140.03570999999999</c:v>
                </c:pt>
                <c:pt idx="294">
                  <c:v>118.78572</c:v>
                </c:pt>
                <c:pt idx="295">
                  <c:v>119.53570999999999</c:v>
                </c:pt>
                <c:pt idx="296">
                  <c:v>120.78570999999999</c:v>
                </c:pt>
                <c:pt idx="297">
                  <c:v>130.78570999999999</c:v>
                </c:pt>
                <c:pt idx="298">
                  <c:v>137.28570999999999</c:v>
                </c:pt>
                <c:pt idx="299">
                  <c:v>108.03570999999999</c:v>
                </c:pt>
                <c:pt idx="300">
                  <c:v>102.28570999999999</c:v>
                </c:pt>
                <c:pt idx="301">
                  <c:v>120.78570999999999</c:v>
                </c:pt>
                <c:pt idx="302">
                  <c:v>106.78570999999999</c:v>
                </c:pt>
                <c:pt idx="303">
                  <c:v>127.78570999999999</c:v>
                </c:pt>
                <c:pt idx="304">
                  <c:v>91.035709999999995</c:v>
                </c:pt>
                <c:pt idx="305">
                  <c:v>112.28570999999999</c:v>
                </c:pt>
                <c:pt idx="306">
                  <c:v>129.53570999999999</c:v>
                </c:pt>
                <c:pt idx="307">
                  <c:v>93.285709999999995</c:v>
                </c:pt>
                <c:pt idx="308">
                  <c:v>124.28570999999999</c:v>
                </c:pt>
                <c:pt idx="309">
                  <c:v>131.03570999999999</c:v>
                </c:pt>
                <c:pt idx="310">
                  <c:v>104.28572</c:v>
                </c:pt>
                <c:pt idx="311">
                  <c:v>134.03570999999999</c:v>
                </c:pt>
                <c:pt idx="312">
                  <c:v>107.53570999999999</c:v>
                </c:pt>
                <c:pt idx="313">
                  <c:v>114.03570999999999</c:v>
                </c:pt>
                <c:pt idx="314">
                  <c:v>117.28570999999999</c:v>
                </c:pt>
                <c:pt idx="315">
                  <c:v>108.28570999999999</c:v>
                </c:pt>
                <c:pt idx="316">
                  <c:v>89.035709999999995</c:v>
                </c:pt>
                <c:pt idx="317">
                  <c:v>85.035709999999995</c:v>
                </c:pt>
                <c:pt idx="318">
                  <c:v>116.53570999999999</c:v>
                </c:pt>
                <c:pt idx="319">
                  <c:v>111.03570999999999</c:v>
                </c:pt>
                <c:pt idx="320">
                  <c:v>79.535709999999995</c:v>
                </c:pt>
                <c:pt idx="321">
                  <c:v>95.285709999999995</c:v>
                </c:pt>
                <c:pt idx="322">
                  <c:v>99.535709999999995</c:v>
                </c:pt>
                <c:pt idx="323">
                  <c:v>118.53570999999999</c:v>
                </c:pt>
                <c:pt idx="324">
                  <c:v>104.03570999999999</c:v>
                </c:pt>
                <c:pt idx="325">
                  <c:v>100.78570999999999</c:v>
                </c:pt>
                <c:pt idx="326">
                  <c:v>100.03572</c:v>
                </c:pt>
                <c:pt idx="327">
                  <c:v>116.53570999999999</c:v>
                </c:pt>
                <c:pt idx="328">
                  <c:v>99.285709999999995</c:v>
                </c:pt>
                <c:pt idx="329">
                  <c:v>88.535709999999995</c:v>
                </c:pt>
                <c:pt idx="330">
                  <c:v>93.035709999999995</c:v>
                </c:pt>
                <c:pt idx="331">
                  <c:v>89.285709999999995</c:v>
                </c:pt>
                <c:pt idx="332">
                  <c:v>112.03570999999999</c:v>
                </c:pt>
                <c:pt idx="333">
                  <c:v>106.03570999999999</c:v>
                </c:pt>
                <c:pt idx="334">
                  <c:v>86.035709999999995</c:v>
                </c:pt>
                <c:pt idx="335">
                  <c:v>99.285709999999995</c:v>
                </c:pt>
                <c:pt idx="336">
                  <c:v>78.035709999999995</c:v>
                </c:pt>
                <c:pt idx="337">
                  <c:v>95.535709999999995</c:v>
                </c:pt>
                <c:pt idx="338">
                  <c:v>93.535709999999995</c:v>
                </c:pt>
                <c:pt idx="339">
                  <c:v>95.535709999999995</c:v>
                </c:pt>
                <c:pt idx="340">
                  <c:v>123.53570999999999</c:v>
                </c:pt>
                <c:pt idx="341">
                  <c:v>98.035709999999995</c:v>
                </c:pt>
                <c:pt idx="342">
                  <c:v>74.785709999999995</c:v>
                </c:pt>
                <c:pt idx="343">
                  <c:v>114.53570999999999</c:v>
                </c:pt>
                <c:pt idx="344">
                  <c:v>98.535709999999995</c:v>
                </c:pt>
                <c:pt idx="345">
                  <c:v>93.535709999999995</c:v>
                </c:pt>
                <c:pt idx="346">
                  <c:v>88.785709999999995</c:v>
                </c:pt>
                <c:pt idx="347">
                  <c:v>101.28570999999999</c:v>
                </c:pt>
                <c:pt idx="348">
                  <c:v>95.285709999999995</c:v>
                </c:pt>
                <c:pt idx="349">
                  <c:v>104.53570999999999</c:v>
                </c:pt>
                <c:pt idx="350">
                  <c:v>91.285709999999995</c:v>
                </c:pt>
                <c:pt idx="351">
                  <c:v>89.535709999999995</c:v>
                </c:pt>
                <c:pt idx="352">
                  <c:v>71.785709999999995</c:v>
                </c:pt>
                <c:pt idx="353">
                  <c:v>99.535709999999995</c:v>
                </c:pt>
                <c:pt idx="354">
                  <c:v>86.035709999999995</c:v>
                </c:pt>
                <c:pt idx="355">
                  <c:v>67.785709999999995</c:v>
                </c:pt>
                <c:pt idx="356">
                  <c:v>87.035709999999995</c:v>
                </c:pt>
                <c:pt idx="357">
                  <c:v>78.535709999999995</c:v>
                </c:pt>
                <c:pt idx="358">
                  <c:v>76.285709999999995</c:v>
                </c:pt>
                <c:pt idx="359">
                  <c:v>87.785709999999995</c:v>
                </c:pt>
                <c:pt idx="360">
                  <c:v>80.535709999999995</c:v>
                </c:pt>
                <c:pt idx="361">
                  <c:v>102.28570999999999</c:v>
                </c:pt>
                <c:pt idx="362">
                  <c:v>86.535709999999995</c:v>
                </c:pt>
                <c:pt idx="363">
                  <c:v>72.785709999999995</c:v>
                </c:pt>
                <c:pt idx="364">
                  <c:v>91.285709999999995</c:v>
                </c:pt>
                <c:pt idx="365">
                  <c:v>77.535709999999995</c:v>
                </c:pt>
                <c:pt idx="366">
                  <c:v>77.535709999999995</c:v>
                </c:pt>
                <c:pt idx="367">
                  <c:v>97.285709999999995</c:v>
                </c:pt>
                <c:pt idx="368">
                  <c:v>82.285709999999995</c:v>
                </c:pt>
                <c:pt idx="369">
                  <c:v>71.785709999999995</c:v>
                </c:pt>
                <c:pt idx="370">
                  <c:v>95.285709999999995</c:v>
                </c:pt>
                <c:pt idx="371">
                  <c:v>68.285709999999995</c:v>
                </c:pt>
                <c:pt idx="372">
                  <c:v>103.53570999999999</c:v>
                </c:pt>
                <c:pt idx="373">
                  <c:v>91.035709999999995</c:v>
                </c:pt>
                <c:pt idx="374">
                  <c:v>84.535709999999995</c:v>
                </c:pt>
                <c:pt idx="375">
                  <c:v>88.035709999999995</c:v>
                </c:pt>
                <c:pt idx="376">
                  <c:v>73.035709999999995</c:v>
                </c:pt>
                <c:pt idx="377">
                  <c:v>67.535709999999995</c:v>
                </c:pt>
                <c:pt idx="378">
                  <c:v>82.785709999999995</c:v>
                </c:pt>
                <c:pt idx="379">
                  <c:v>83.035709999999995</c:v>
                </c:pt>
                <c:pt idx="380">
                  <c:v>79.285709999999995</c:v>
                </c:pt>
                <c:pt idx="381">
                  <c:v>67.785709999999995</c:v>
                </c:pt>
                <c:pt idx="382">
                  <c:v>59.785710000000002</c:v>
                </c:pt>
                <c:pt idx="383">
                  <c:v>77.035709999999995</c:v>
                </c:pt>
                <c:pt idx="384">
                  <c:v>87.535709999999995</c:v>
                </c:pt>
                <c:pt idx="385">
                  <c:v>86.035709999999995</c:v>
                </c:pt>
                <c:pt idx="386">
                  <c:v>68.035709999999995</c:v>
                </c:pt>
                <c:pt idx="387">
                  <c:v>77.285709999999995</c:v>
                </c:pt>
                <c:pt idx="388">
                  <c:v>93.535709999999995</c:v>
                </c:pt>
                <c:pt idx="389">
                  <c:v>93.535709999999995</c:v>
                </c:pt>
                <c:pt idx="390">
                  <c:v>78.785709999999995</c:v>
                </c:pt>
                <c:pt idx="391">
                  <c:v>76.035709999999995</c:v>
                </c:pt>
                <c:pt idx="392">
                  <c:v>69.035709999999995</c:v>
                </c:pt>
                <c:pt idx="393">
                  <c:v>84.785709999999995</c:v>
                </c:pt>
                <c:pt idx="394">
                  <c:v>62.285710000000002</c:v>
                </c:pt>
                <c:pt idx="395">
                  <c:v>63.285710000000002</c:v>
                </c:pt>
                <c:pt idx="396">
                  <c:v>70.035709999999995</c:v>
                </c:pt>
                <c:pt idx="397">
                  <c:v>65.785709999999995</c:v>
                </c:pt>
                <c:pt idx="398">
                  <c:v>68.285709999999995</c:v>
                </c:pt>
                <c:pt idx="399">
                  <c:v>66.285709999999995</c:v>
                </c:pt>
                <c:pt idx="400">
                  <c:v>91.035709999999995</c:v>
                </c:pt>
                <c:pt idx="401">
                  <c:v>76.535709999999995</c:v>
                </c:pt>
                <c:pt idx="402">
                  <c:v>66.285709999999995</c:v>
                </c:pt>
                <c:pt idx="403">
                  <c:v>87.035709999999995</c:v>
                </c:pt>
                <c:pt idx="404">
                  <c:v>79.785709999999995</c:v>
                </c:pt>
                <c:pt idx="405">
                  <c:v>54.035710000000002</c:v>
                </c:pt>
                <c:pt idx="406">
                  <c:v>63.035710000000002</c:v>
                </c:pt>
                <c:pt idx="407">
                  <c:v>81.535709999999995</c:v>
                </c:pt>
                <c:pt idx="408">
                  <c:v>83.285709999999995</c:v>
                </c:pt>
                <c:pt idx="409">
                  <c:v>75.785709999999995</c:v>
                </c:pt>
                <c:pt idx="410">
                  <c:v>69.535709999999995</c:v>
                </c:pt>
                <c:pt idx="411">
                  <c:v>60.785710000000002</c:v>
                </c:pt>
                <c:pt idx="412">
                  <c:v>62.785710000000002</c:v>
                </c:pt>
                <c:pt idx="413">
                  <c:v>56.285710000000002</c:v>
                </c:pt>
                <c:pt idx="414">
                  <c:v>62.285710000000002</c:v>
                </c:pt>
                <c:pt idx="415">
                  <c:v>65.035709999999995</c:v>
                </c:pt>
                <c:pt idx="416">
                  <c:v>71.035709999999995</c:v>
                </c:pt>
                <c:pt idx="417">
                  <c:v>72.035709999999995</c:v>
                </c:pt>
                <c:pt idx="418">
                  <c:v>53.535710000000002</c:v>
                </c:pt>
                <c:pt idx="419">
                  <c:v>75.035709999999995</c:v>
                </c:pt>
                <c:pt idx="420">
                  <c:v>68.535709999999995</c:v>
                </c:pt>
                <c:pt idx="421">
                  <c:v>49.785710000000002</c:v>
                </c:pt>
                <c:pt idx="422">
                  <c:v>84.535709999999995</c:v>
                </c:pt>
                <c:pt idx="423">
                  <c:v>63.785710000000002</c:v>
                </c:pt>
                <c:pt idx="424">
                  <c:v>75.285709999999995</c:v>
                </c:pt>
                <c:pt idx="425">
                  <c:v>70.285709999999995</c:v>
                </c:pt>
                <c:pt idx="426">
                  <c:v>80.285709999999995</c:v>
                </c:pt>
                <c:pt idx="427">
                  <c:v>64.285709999999995</c:v>
                </c:pt>
                <c:pt idx="428">
                  <c:v>58.035710000000002</c:v>
                </c:pt>
                <c:pt idx="429">
                  <c:v>55.535710000000002</c:v>
                </c:pt>
                <c:pt idx="430">
                  <c:v>64.535709999999995</c:v>
                </c:pt>
                <c:pt idx="431">
                  <c:v>61.285710000000002</c:v>
                </c:pt>
                <c:pt idx="432">
                  <c:v>71.285709999999995</c:v>
                </c:pt>
                <c:pt idx="433">
                  <c:v>66.035709999999995</c:v>
                </c:pt>
                <c:pt idx="434">
                  <c:v>63.285710000000002</c:v>
                </c:pt>
                <c:pt idx="435">
                  <c:v>73.785709999999995</c:v>
                </c:pt>
                <c:pt idx="436">
                  <c:v>59.285710000000002</c:v>
                </c:pt>
                <c:pt idx="437">
                  <c:v>63.785710000000002</c:v>
                </c:pt>
                <c:pt idx="438">
                  <c:v>51.285710000000002</c:v>
                </c:pt>
                <c:pt idx="439">
                  <c:v>54.035710000000002</c:v>
                </c:pt>
                <c:pt idx="440">
                  <c:v>82.285709999999995</c:v>
                </c:pt>
                <c:pt idx="441">
                  <c:v>59.535710000000002</c:v>
                </c:pt>
                <c:pt idx="442">
                  <c:v>59.035710000000002</c:v>
                </c:pt>
                <c:pt idx="443">
                  <c:v>58.535710000000002</c:v>
                </c:pt>
                <c:pt idx="444">
                  <c:v>57.285710000000002</c:v>
                </c:pt>
                <c:pt idx="445">
                  <c:v>66.285709999999995</c:v>
                </c:pt>
                <c:pt idx="446">
                  <c:v>59.785710000000002</c:v>
                </c:pt>
                <c:pt idx="447">
                  <c:v>49.285710000000002</c:v>
                </c:pt>
                <c:pt idx="448">
                  <c:v>47.535710000000002</c:v>
                </c:pt>
                <c:pt idx="449">
                  <c:v>63.535710000000002</c:v>
                </c:pt>
                <c:pt idx="450">
                  <c:v>67.035709999999995</c:v>
                </c:pt>
                <c:pt idx="451">
                  <c:v>55.535710000000002</c:v>
                </c:pt>
                <c:pt idx="452">
                  <c:v>48.285710000000002</c:v>
                </c:pt>
                <c:pt idx="453">
                  <c:v>59.535710000000002</c:v>
                </c:pt>
                <c:pt idx="454">
                  <c:v>33.035710000000002</c:v>
                </c:pt>
                <c:pt idx="455">
                  <c:v>53.785710000000002</c:v>
                </c:pt>
                <c:pt idx="456">
                  <c:v>69.285709999999995</c:v>
                </c:pt>
                <c:pt idx="457">
                  <c:v>56.535710000000002</c:v>
                </c:pt>
                <c:pt idx="458">
                  <c:v>52.535710000000002</c:v>
                </c:pt>
                <c:pt idx="459">
                  <c:v>52.035710000000002</c:v>
                </c:pt>
                <c:pt idx="460">
                  <c:v>47.285710000000002</c:v>
                </c:pt>
                <c:pt idx="461">
                  <c:v>58.035710000000002</c:v>
                </c:pt>
                <c:pt idx="462">
                  <c:v>45.035710000000002</c:v>
                </c:pt>
                <c:pt idx="463">
                  <c:v>58.785710000000002</c:v>
                </c:pt>
                <c:pt idx="464">
                  <c:v>61.535710000000002</c:v>
                </c:pt>
                <c:pt idx="465">
                  <c:v>48.535710000000002</c:v>
                </c:pt>
                <c:pt idx="466">
                  <c:v>51.035710000000002</c:v>
                </c:pt>
                <c:pt idx="467">
                  <c:v>41.785710000000002</c:v>
                </c:pt>
                <c:pt idx="468">
                  <c:v>70.785709999999995</c:v>
                </c:pt>
                <c:pt idx="469">
                  <c:v>56.035710000000002</c:v>
                </c:pt>
                <c:pt idx="470">
                  <c:v>54.035710000000002</c:v>
                </c:pt>
                <c:pt idx="471">
                  <c:v>28.535710000000002</c:v>
                </c:pt>
                <c:pt idx="472">
                  <c:v>44.785710000000002</c:v>
                </c:pt>
                <c:pt idx="473">
                  <c:v>76.285709999999995</c:v>
                </c:pt>
                <c:pt idx="474">
                  <c:v>59.285710000000002</c:v>
                </c:pt>
                <c:pt idx="475">
                  <c:v>59.285710000000002</c:v>
                </c:pt>
                <c:pt idx="476">
                  <c:v>54.535710000000002</c:v>
                </c:pt>
                <c:pt idx="477">
                  <c:v>58.035710000000002</c:v>
                </c:pt>
                <c:pt idx="478">
                  <c:v>55.535710000000002</c:v>
                </c:pt>
                <c:pt idx="479">
                  <c:v>52.535710000000002</c:v>
                </c:pt>
                <c:pt idx="480">
                  <c:v>47.285710000000002</c:v>
                </c:pt>
                <c:pt idx="481">
                  <c:v>42.785710000000002</c:v>
                </c:pt>
                <c:pt idx="482">
                  <c:v>50.035710000000002</c:v>
                </c:pt>
                <c:pt idx="483">
                  <c:v>40.785710000000002</c:v>
                </c:pt>
                <c:pt idx="484">
                  <c:v>68.535709999999995</c:v>
                </c:pt>
                <c:pt idx="485">
                  <c:v>46.535710000000002</c:v>
                </c:pt>
                <c:pt idx="486">
                  <c:v>38.035710000000002</c:v>
                </c:pt>
                <c:pt idx="487">
                  <c:v>38.535710000000002</c:v>
                </c:pt>
                <c:pt idx="488">
                  <c:v>60.785710000000002</c:v>
                </c:pt>
                <c:pt idx="489">
                  <c:v>50.785710000000002</c:v>
                </c:pt>
                <c:pt idx="490">
                  <c:v>43.285710000000002</c:v>
                </c:pt>
                <c:pt idx="491">
                  <c:v>56.535710000000002</c:v>
                </c:pt>
                <c:pt idx="492">
                  <c:v>54.285710000000002</c:v>
                </c:pt>
                <c:pt idx="493">
                  <c:v>48.035710000000002</c:v>
                </c:pt>
                <c:pt idx="494">
                  <c:v>39.535710000000002</c:v>
                </c:pt>
                <c:pt idx="495">
                  <c:v>51.285710000000002</c:v>
                </c:pt>
                <c:pt idx="496">
                  <c:v>55.535710000000002</c:v>
                </c:pt>
                <c:pt idx="497">
                  <c:v>38.285710000000002</c:v>
                </c:pt>
                <c:pt idx="498">
                  <c:v>28.785710000000002</c:v>
                </c:pt>
                <c:pt idx="499">
                  <c:v>33.035710000000002</c:v>
                </c:pt>
                <c:pt idx="500">
                  <c:v>53.785710000000002</c:v>
                </c:pt>
                <c:pt idx="501">
                  <c:v>55.035710000000002</c:v>
                </c:pt>
                <c:pt idx="502">
                  <c:v>58.285710000000002</c:v>
                </c:pt>
                <c:pt idx="503">
                  <c:v>46.035710000000002</c:v>
                </c:pt>
                <c:pt idx="504">
                  <c:v>40.035710000000002</c:v>
                </c:pt>
                <c:pt idx="505">
                  <c:v>39.035710000000002</c:v>
                </c:pt>
                <c:pt idx="506">
                  <c:v>39.285710000000002</c:v>
                </c:pt>
                <c:pt idx="507">
                  <c:v>43.535710000000002</c:v>
                </c:pt>
                <c:pt idx="508">
                  <c:v>38.535710000000002</c:v>
                </c:pt>
                <c:pt idx="509">
                  <c:v>22.285710000000002</c:v>
                </c:pt>
                <c:pt idx="510">
                  <c:v>40.035710000000002</c:v>
                </c:pt>
                <c:pt idx="511">
                  <c:v>50.785710000000002</c:v>
                </c:pt>
                <c:pt idx="512">
                  <c:v>32.035710000000002</c:v>
                </c:pt>
                <c:pt idx="513">
                  <c:v>31.785710000000002</c:v>
                </c:pt>
                <c:pt idx="514">
                  <c:v>48.035710000000002</c:v>
                </c:pt>
                <c:pt idx="515">
                  <c:v>51.785710000000002</c:v>
                </c:pt>
                <c:pt idx="516">
                  <c:v>35.535710000000002</c:v>
                </c:pt>
                <c:pt idx="517">
                  <c:v>39.035710000000002</c:v>
                </c:pt>
                <c:pt idx="518">
                  <c:v>34.785710000000002</c:v>
                </c:pt>
                <c:pt idx="519">
                  <c:v>18.035710000000002</c:v>
                </c:pt>
                <c:pt idx="520">
                  <c:v>52.785710000000002</c:v>
                </c:pt>
                <c:pt idx="521">
                  <c:v>50.785710000000002</c:v>
                </c:pt>
                <c:pt idx="522">
                  <c:v>32.035710000000002</c:v>
                </c:pt>
                <c:pt idx="523">
                  <c:v>44.785710000000002</c:v>
                </c:pt>
                <c:pt idx="524">
                  <c:v>21.035710000000002</c:v>
                </c:pt>
                <c:pt idx="525">
                  <c:v>36.035710000000002</c:v>
                </c:pt>
                <c:pt idx="526">
                  <c:v>29.035710000000002</c:v>
                </c:pt>
                <c:pt idx="527">
                  <c:v>38.285710000000002</c:v>
                </c:pt>
                <c:pt idx="528">
                  <c:v>29.535710000000002</c:v>
                </c:pt>
                <c:pt idx="529">
                  <c:v>34.535710000000002</c:v>
                </c:pt>
                <c:pt idx="530">
                  <c:v>35.035710000000002</c:v>
                </c:pt>
                <c:pt idx="531">
                  <c:v>50.535710000000002</c:v>
                </c:pt>
                <c:pt idx="532">
                  <c:v>26.535710000000002</c:v>
                </c:pt>
                <c:pt idx="533">
                  <c:v>31.535710000000002</c:v>
                </c:pt>
                <c:pt idx="534">
                  <c:v>49.285710000000002</c:v>
                </c:pt>
                <c:pt idx="535">
                  <c:v>13.28571</c:v>
                </c:pt>
                <c:pt idx="536">
                  <c:v>42.535710000000002</c:v>
                </c:pt>
                <c:pt idx="537">
                  <c:v>31.535710000000002</c:v>
                </c:pt>
                <c:pt idx="538">
                  <c:v>37.785710000000002</c:v>
                </c:pt>
                <c:pt idx="539">
                  <c:v>44.785710000000002</c:v>
                </c:pt>
                <c:pt idx="540">
                  <c:v>25.785710000000002</c:v>
                </c:pt>
                <c:pt idx="541">
                  <c:v>21.035710000000002</c:v>
                </c:pt>
                <c:pt idx="542">
                  <c:v>65.535709999999995</c:v>
                </c:pt>
                <c:pt idx="543">
                  <c:v>36.285710000000002</c:v>
                </c:pt>
                <c:pt idx="544">
                  <c:v>43.285710000000002</c:v>
                </c:pt>
                <c:pt idx="545">
                  <c:v>33.785710000000002</c:v>
                </c:pt>
                <c:pt idx="546">
                  <c:v>40.535710000000002</c:v>
                </c:pt>
                <c:pt idx="547">
                  <c:v>29.785710000000002</c:v>
                </c:pt>
                <c:pt idx="548">
                  <c:v>27.785710000000002</c:v>
                </c:pt>
                <c:pt idx="549">
                  <c:v>36.285710000000002</c:v>
                </c:pt>
                <c:pt idx="550">
                  <c:v>41.285710000000002</c:v>
                </c:pt>
                <c:pt idx="551">
                  <c:v>39.035710000000002</c:v>
                </c:pt>
                <c:pt idx="552">
                  <c:v>33.785710000000002</c:v>
                </c:pt>
                <c:pt idx="553">
                  <c:v>17.285710000000002</c:v>
                </c:pt>
                <c:pt idx="554">
                  <c:v>37.785710000000002</c:v>
                </c:pt>
                <c:pt idx="555">
                  <c:v>41.285710000000002</c:v>
                </c:pt>
                <c:pt idx="556">
                  <c:v>53.285710000000002</c:v>
                </c:pt>
                <c:pt idx="557">
                  <c:v>41.535710000000002</c:v>
                </c:pt>
                <c:pt idx="558">
                  <c:v>47.785710000000002</c:v>
                </c:pt>
                <c:pt idx="559">
                  <c:v>27.035710000000002</c:v>
                </c:pt>
                <c:pt idx="560">
                  <c:v>33.285710000000002</c:v>
                </c:pt>
                <c:pt idx="561">
                  <c:v>27.035710000000002</c:v>
                </c:pt>
                <c:pt idx="562">
                  <c:v>44.285710000000002</c:v>
                </c:pt>
                <c:pt idx="563">
                  <c:v>35.285710000000002</c:v>
                </c:pt>
                <c:pt idx="564">
                  <c:v>21.535710000000002</c:v>
                </c:pt>
                <c:pt idx="565">
                  <c:v>42.785710000000002</c:v>
                </c:pt>
                <c:pt idx="566">
                  <c:v>31.035710000000002</c:v>
                </c:pt>
                <c:pt idx="567">
                  <c:v>23.785710000000002</c:v>
                </c:pt>
                <c:pt idx="568">
                  <c:v>38.035710000000002</c:v>
                </c:pt>
                <c:pt idx="569">
                  <c:v>31.035710000000002</c:v>
                </c:pt>
                <c:pt idx="570">
                  <c:v>50.285710000000002</c:v>
                </c:pt>
                <c:pt idx="571">
                  <c:v>41.785710000000002</c:v>
                </c:pt>
                <c:pt idx="572">
                  <c:v>29.535710000000002</c:v>
                </c:pt>
                <c:pt idx="573">
                  <c:v>16.785710000000002</c:v>
                </c:pt>
                <c:pt idx="574">
                  <c:v>21.535710000000002</c:v>
                </c:pt>
                <c:pt idx="575">
                  <c:v>38.785710000000002</c:v>
                </c:pt>
                <c:pt idx="576">
                  <c:v>29.535710000000002</c:v>
                </c:pt>
                <c:pt idx="577">
                  <c:v>34.535710000000002</c:v>
                </c:pt>
                <c:pt idx="578">
                  <c:v>34.035710000000002</c:v>
                </c:pt>
                <c:pt idx="579">
                  <c:v>22.785710000000002</c:v>
                </c:pt>
                <c:pt idx="580">
                  <c:v>17.035710000000002</c:v>
                </c:pt>
                <c:pt idx="581">
                  <c:v>26.535710000000002</c:v>
                </c:pt>
                <c:pt idx="582">
                  <c:v>31.535710000000002</c:v>
                </c:pt>
                <c:pt idx="583">
                  <c:v>25.285710000000002</c:v>
                </c:pt>
                <c:pt idx="584">
                  <c:v>52.035710000000002</c:v>
                </c:pt>
                <c:pt idx="585">
                  <c:v>17.785710000000002</c:v>
                </c:pt>
                <c:pt idx="586">
                  <c:v>33.535710000000002</c:v>
                </c:pt>
                <c:pt idx="587">
                  <c:v>31.285710000000002</c:v>
                </c:pt>
                <c:pt idx="588">
                  <c:v>9.0357099999999999</c:v>
                </c:pt>
                <c:pt idx="589">
                  <c:v>48.285710000000002</c:v>
                </c:pt>
                <c:pt idx="590">
                  <c:v>32.535710000000002</c:v>
                </c:pt>
                <c:pt idx="591">
                  <c:v>38.785710000000002</c:v>
                </c:pt>
                <c:pt idx="592">
                  <c:v>36.035710000000002</c:v>
                </c:pt>
                <c:pt idx="593">
                  <c:v>38.285710000000002</c:v>
                </c:pt>
                <c:pt idx="594">
                  <c:v>15.78571</c:v>
                </c:pt>
                <c:pt idx="595">
                  <c:v>31.535710000000002</c:v>
                </c:pt>
                <c:pt idx="596">
                  <c:v>20.035710000000002</c:v>
                </c:pt>
                <c:pt idx="597">
                  <c:v>20.285710000000002</c:v>
                </c:pt>
                <c:pt idx="598">
                  <c:v>38.535710000000002</c:v>
                </c:pt>
                <c:pt idx="599">
                  <c:v>15.28571</c:v>
                </c:pt>
                <c:pt idx="600">
                  <c:v>24.535710000000002</c:v>
                </c:pt>
                <c:pt idx="601">
                  <c:v>34.535710000000002</c:v>
                </c:pt>
                <c:pt idx="602">
                  <c:v>31.285710000000002</c:v>
                </c:pt>
                <c:pt idx="603">
                  <c:v>47.285710000000002</c:v>
                </c:pt>
                <c:pt idx="604">
                  <c:v>39.535710000000002</c:v>
                </c:pt>
                <c:pt idx="605">
                  <c:v>32.035710000000002</c:v>
                </c:pt>
                <c:pt idx="606">
                  <c:v>44.035710000000002</c:v>
                </c:pt>
                <c:pt idx="607">
                  <c:v>18.285710000000002</c:v>
                </c:pt>
                <c:pt idx="608">
                  <c:v>32.535710000000002</c:v>
                </c:pt>
                <c:pt idx="609">
                  <c:v>11.78571</c:v>
                </c:pt>
                <c:pt idx="610">
                  <c:v>35.535710000000002</c:v>
                </c:pt>
                <c:pt idx="611">
                  <c:v>40.785710000000002</c:v>
                </c:pt>
                <c:pt idx="612">
                  <c:v>12.53571</c:v>
                </c:pt>
                <c:pt idx="613">
                  <c:v>1.2857099999999999</c:v>
                </c:pt>
                <c:pt idx="614">
                  <c:v>33.035710000000002</c:v>
                </c:pt>
                <c:pt idx="615">
                  <c:v>22.535710000000002</c:v>
                </c:pt>
                <c:pt idx="616">
                  <c:v>34.785710000000002</c:v>
                </c:pt>
                <c:pt idx="617">
                  <c:v>31.285710000000002</c:v>
                </c:pt>
                <c:pt idx="618">
                  <c:v>16.785710000000002</c:v>
                </c:pt>
                <c:pt idx="619">
                  <c:v>21.035710000000002</c:v>
                </c:pt>
                <c:pt idx="620">
                  <c:v>17.535710000000002</c:v>
                </c:pt>
                <c:pt idx="621">
                  <c:v>33.285710000000002</c:v>
                </c:pt>
                <c:pt idx="622">
                  <c:v>23.535710000000002</c:v>
                </c:pt>
                <c:pt idx="623">
                  <c:v>23.035710000000002</c:v>
                </c:pt>
                <c:pt idx="624">
                  <c:v>15.53571</c:v>
                </c:pt>
                <c:pt idx="625">
                  <c:v>11.53571</c:v>
                </c:pt>
                <c:pt idx="626">
                  <c:v>30.785710000000002</c:v>
                </c:pt>
                <c:pt idx="627">
                  <c:v>20.535710000000002</c:v>
                </c:pt>
                <c:pt idx="628">
                  <c:v>8.5357099999999999</c:v>
                </c:pt>
                <c:pt idx="629">
                  <c:v>28.535710000000002</c:v>
                </c:pt>
                <c:pt idx="630">
                  <c:v>17.285710000000002</c:v>
                </c:pt>
                <c:pt idx="631">
                  <c:v>13.53571</c:v>
                </c:pt>
                <c:pt idx="632">
                  <c:v>35.535710000000002</c:v>
                </c:pt>
                <c:pt idx="633">
                  <c:v>21.035710000000002</c:v>
                </c:pt>
                <c:pt idx="634">
                  <c:v>49.535710000000002</c:v>
                </c:pt>
                <c:pt idx="635">
                  <c:v>12.78571</c:v>
                </c:pt>
                <c:pt idx="636">
                  <c:v>9.0357099999999999</c:v>
                </c:pt>
                <c:pt idx="637">
                  <c:v>18.535710000000002</c:v>
                </c:pt>
                <c:pt idx="638">
                  <c:v>5.7857099999999999</c:v>
                </c:pt>
                <c:pt idx="639">
                  <c:v>29.285710000000002</c:v>
                </c:pt>
                <c:pt idx="640">
                  <c:v>9.7857099999999999</c:v>
                </c:pt>
                <c:pt idx="641">
                  <c:v>40.785710000000002</c:v>
                </c:pt>
                <c:pt idx="642">
                  <c:v>20.035710000000002</c:v>
                </c:pt>
                <c:pt idx="643">
                  <c:v>27.785710000000002</c:v>
                </c:pt>
                <c:pt idx="644">
                  <c:v>2.5357099999999999</c:v>
                </c:pt>
                <c:pt idx="645">
                  <c:v>17.285710000000002</c:v>
                </c:pt>
                <c:pt idx="646">
                  <c:v>38.035710000000002</c:v>
                </c:pt>
                <c:pt idx="647">
                  <c:v>27.535710000000002</c:v>
                </c:pt>
                <c:pt idx="648">
                  <c:v>22.035710000000002</c:v>
                </c:pt>
                <c:pt idx="649">
                  <c:v>32.035710000000002</c:v>
                </c:pt>
                <c:pt idx="650">
                  <c:v>12.78571</c:v>
                </c:pt>
                <c:pt idx="651">
                  <c:v>29.535710000000002</c:v>
                </c:pt>
                <c:pt idx="652">
                  <c:v>17.285710000000002</c:v>
                </c:pt>
                <c:pt idx="653">
                  <c:v>14.28571</c:v>
                </c:pt>
                <c:pt idx="654">
                  <c:v>16.035710000000002</c:v>
                </c:pt>
                <c:pt idx="655">
                  <c:v>1.5357099999999999</c:v>
                </c:pt>
                <c:pt idx="656">
                  <c:v>31.035710000000002</c:v>
                </c:pt>
                <c:pt idx="657">
                  <c:v>-3.4642900000000001</c:v>
                </c:pt>
                <c:pt idx="658">
                  <c:v>33.035710000000002</c:v>
                </c:pt>
                <c:pt idx="659">
                  <c:v>22.535710000000002</c:v>
                </c:pt>
                <c:pt idx="660">
                  <c:v>20.285710000000002</c:v>
                </c:pt>
                <c:pt idx="661">
                  <c:v>3.7857099999999999</c:v>
                </c:pt>
                <c:pt idx="662">
                  <c:v>14.28571</c:v>
                </c:pt>
                <c:pt idx="663">
                  <c:v>9.2857099999999999</c:v>
                </c:pt>
                <c:pt idx="664">
                  <c:v>21.785710000000002</c:v>
                </c:pt>
                <c:pt idx="665">
                  <c:v>33.535710000000002</c:v>
                </c:pt>
                <c:pt idx="666">
                  <c:v>33.285710000000002</c:v>
                </c:pt>
                <c:pt idx="667">
                  <c:v>-1.7142900000000001</c:v>
                </c:pt>
                <c:pt idx="668">
                  <c:v>28.035710000000002</c:v>
                </c:pt>
                <c:pt idx="669">
                  <c:v>46.035710000000002</c:v>
                </c:pt>
                <c:pt idx="670">
                  <c:v>-0.71428999999999998</c:v>
                </c:pt>
                <c:pt idx="671">
                  <c:v>31.035710000000002</c:v>
                </c:pt>
                <c:pt idx="672">
                  <c:v>17.035710000000002</c:v>
                </c:pt>
                <c:pt idx="673">
                  <c:v>12.53571</c:v>
                </c:pt>
                <c:pt idx="674">
                  <c:v>21.035710000000002</c:v>
                </c:pt>
                <c:pt idx="675">
                  <c:v>3.2857099999999999</c:v>
                </c:pt>
                <c:pt idx="676">
                  <c:v>26.535710000000002</c:v>
                </c:pt>
                <c:pt idx="677">
                  <c:v>28.535710000000002</c:v>
                </c:pt>
                <c:pt idx="678">
                  <c:v>26.035710000000002</c:v>
                </c:pt>
                <c:pt idx="679">
                  <c:v>25.285710000000002</c:v>
                </c:pt>
                <c:pt idx="680">
                  <c:v>36.285710000000002</c:v>
                </c:pt>
                <c:pt idx="681">
                  <c:v>17.785710000000002</c:v>
                </c:pt>
                <c:pt idx="682">
                  <c:v>34.035710000000002</c:v>
                </c:pt>
                <c:pt idx="683">
                  <c:v>17.035710000000002</c:v>
                </c:pt>
                <c:pt idx="684">
                  <c:v>14.28571</c:v>
                </c:pt>
                <c:pt idx="685">
                  <c:v>18.285710000000002</c:v>
                </c:pt>
                <c:pt idx="686">
                  <c:v>14.03571</c:v>
                </c:pt>
                <c:pt idx="687">
                  <c:v>16.785710000000002</c:v>
                </c:pt>
                <c:pt idx="688">
                  <c:v>6.2857099999999999</c:v>
                </c:pt>
                <c:pt idx="689">
                  <c:v>27.035710000000002</c:v>
                </c:pt>
                <c:pt idx="690">
                  <c:v>13.78571</c:v>
                </c:pt>
                <c:pt idx="691">
                  <c:v>33.535710000000002</c:v>
                </c:pt>
                <c:pt idx="692">
                  <c:v>18.535710000000002</c:v>
                </c:pt>
                <c:pt idx="693">
                  <c:v>28.535710000000002</c:v>
                </c:pt>
                <c:pt idx="694">
                  <c:v>-0.96428999999999998</c:v>
                </c:pt>
                <c:pt idx="695">
                  <c:v>5.2857099999999999</c:v>
                </c:pt>
                <c:pt idx="696">
                  <c:v>6.7857099999999999</c:v>
                </c:pt>
                <c:pt idx="697">
                  <c:v>14.28571</c:v>
                </c:pt>
                <c:pt idx="698">
                  <c:v>19.285710000000002</c:v>
                </c:pt>
                <c:pt idx="699">
                  <c:v>18.785710000000002</c:v>
                </c:pt>
                <c:pt idx="700">
                  <c:v>24.285710000000002</c:v>
                </c:pt>
                <c:pt idx="701">
                  <c:v>21.035710000000002</c:v>
                </c:pt>
                <c:pt idx="702">
                  <c:v>13.78571</c:v>
                </c:pt>
                <c:pt idx="703">
                  <c:v>9.0357099999999999</c:v>
                </c:pt>
                <c:pt idx="704">
                  <c:v>11</c:v>
                </c:pt>
                <c:pt idx="705">
                  <c:v>15.78571</c:v>
                </c:pt>
                <c:pt idx="706">
                  <c:v>9.5357099999999999</c:v>
                </c:pt>
                <c:pt idx="707">
                  <c:v>-3.9642900000000001</c:v>
                </c:pt>
                <c:pt idx="708">
                  <c:v>11.03571</c:v>
                </c:pt>
                <c:pt idx="709">
                  <c:v>18.285710000000002</c:v>
                </c:pt>
                <c:pt idx="710">
                  <c:v>24.785710000000002</c:v>
                </c:pt>
                <c:pt idx="711">
                  <c:v>23.285710000000002</c:v>
                </c:pt>
                <c:pt idx="712">
                  <c:v>13.03571</c:v>
                </c:pt>
                <c:pt idx="713">
                  <c:v>22.285710000000002</c:v>
                </c:pt>
                <c:pt idx="714">
                  <c:v>5.7857099999999999</c:v>
                </c:pt>
                <c:pt idx="715">
                  <c:v>31.035710000000002</c:v>
                </c:pt>
                <c:pt idx="716">
                  <c:v>12.28571</c:v>
                </c:pt>
                <c:pt idx="717">
                  <c:v>2.2857099999999999</c:v>
                </c:pt>
                <c:pt idx="718">
                  <c:v>7.0357099999999999</c:v>
                </c:pt>
                <c:pt idx="719">
                  <c:v>26.035710000000002</c:v>
                </c:pt>
                <c:pt idx="720">
                  <c:v>3.0357099999999999</c:v>
                </c:pt>
                <c:pt idx="721">
                  <c:v>14.53571</c:v>
                </c:pt>
                <c:pt idx="722">
                  <c:v>12.28571</c:v>
                </c:pt>
                <c:pt idx="723">
                  <c:v>24.535710000000002</c:v>
                </c:pt>
                <c:pt idx="724">
                  <c:v>12.28571</c:v>
                </c:pt>
                <c:pt idx="725">
                  <c:v>2.7857099999999999</c:v>
                </c:pt>
                <c:pt idx="726">
                  <c:v>23.535710000000002</c:v>
                </c:pt>
                <c:pt idx="727">
                  <c:v>38.035710000000002</c:v>
                </c:pt>
                <c:pt idx="728">
                  <c:v>9.5357099999999999</c:v>
                </c:pt>
                <c:pt idx="729">
                  <c:v>15.78571</c:v>
                </c:pt>
                <c:pt idx="730">
                  <c:v>22.285710000000002</c:v>
                </c:pt>
                <c:pt idx="731">
                  <c:v>34.285710000000002</c:v>
                </c:pt>
                <c:pt idx="732">
                  <c:v>-3.4642900000000001</c:v>
                </c:pt>
                <c:pt idx="733">
                  <c:v>8.7857099999999999</c:v>
                </c:pt>
                <c:pt idx="734">
                  <c:v>20.285710000000002</c:v>
                </c:pt>
                <c:pt idx="735">
                  <c:v>28.785710000000002</c:v>
                </c:pt>
                <c:pt idx="736">
                  <c:v>12.03571</c:v>
                </c:pt>
                <c:pt idx="737">
                  <c:v>1.7857099999999999</c:v>
                </c:pt>
                <c:pt idx="738">
                  <c:v>2.5357099999999999</c:v>
                </c:pt>
                <c:pt idx="739">
                  <c:v>3.7857099999999999</c:v>
                </c:pt>
                <c:pt idx="740">
                  <c:v>6.2857099999999999</c:v>
                </c:pt>
                <c:pt idx="741">
                  <c:v>4.5357099999999999</c:v>
                </c:pt>
                <c:pt idx="742">
                  <c:v>15.53571</c:v>
                </c:pt>
                <c:pt idx="743">
                  <c:v>9.0357099999999999</c:v>
                </c:pt>
                <c:pt idx="744">
                  <c:v>11.78571</c:v>
                </c:pt>
                <c:pt idx="745">
                  <c:v>15.78571</c:v>
                </c:pt>
                <c:pt idx="746">
                  <c:v>16.285710000000002</c:v>
                </c:pt>
                <c:pt idx="747">
                  <c:v>16.285710000000002</c:v>
                </c:pt>
                <c:pt idx="748">
                  <c:v>10.78571</c:v>
                </c:pt>
                <c:pt idx="749">
                  <c:v>19.285710000000002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21-4875-B88C-B488B95351CA}"/>
            </c:ext>
          </c:extLst>
        </c:ser>
        <c:ser>
          <c:idx val="1"/>
          <c:order val="1"/>
          <c:tx>
            <c:strRef>
              <c:f>'sheet 1'!$V$37</c:f>
              <c:strCache>
                <c:ptCount val="1"/>
                <c:pt idx="0">
                  <c:v>Theoretical</c:v>
                </c:pt>
              </c:strCache>
            </c:strRef>
          </c:tx>
          <c:spPr>
            <a:ln w="1905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'sheet 1'!$B$39:$B$788</c:f>
              <c:numCache>
                <c:formatCode>General</c:formatCode>
                <c:ptCount val="7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  <c:pt idx="79">
                  <c:v>8</c:v>
                </c:pt>
                <c:pt idx="80">
                  <c:v>8.1</c:v>
                </c:pt>
                <c:pt idx="81">
                  <c:v>8.1999999999999993</c:v>
                </c:pt>
                <c:pt idx="82">
                  <c:v>8.3000000000000007</c:v>
                </c:pt>
                <c:pt idx="83">
                  <c:v>8.4</c:v>
                </c:pt>
                <c:pt idx="84">
                  <c:v>8.5</c:v>
                </c:pt>
                <c:pt idx="85">
                  <c:v>8.6</c:v>
                </c:pt>
                <c:pt idx="86">
                  <c:v>8.6999999999999993</c:v>
                </c:pt>
                <c:pt idx="87">
                  <c:v>8.8000000000000007</c:v>
                </c:pt>
                <c:pt idx="88">
                  <c:v>8.9</c:v>
                </c:pt>
                <c:pt idx="89">
                  <c:v>9</c:v>
                </c:pt>
                <c:pt idx="90">
                  <c:v>9.1</c:v>
                </c:pt>
                <c:pt idx="91">
                  <c:v>9.1999999999999993</c:v>
                </c:pt>
                <c:pt idx="92">
                  <c:v>9.3000000000000007</c:v>
                </c:pt>
                <c:pt idx="93">
                  <c:v>9.4</c:v>
                </c:pt>
                <c:pt idx="94">
                  <c:v>9.5</c:v>
                </c:pt>
                <c:pt idx="95">
                  <c:v>9.6</c:v>
                </c:pt>
                <c:pt idx="96">
                  <c:v>9.6999999999999993</c:v>
                </c:pt>
                <c:pt idx="97">
                  <c:v>9.8000000000000007</c:v>
                </c:pt>
                <c:pt idx="98">
                  <c:v>9.9</c:v>
                </c:pt>
                <c:pt idx="99">
                  <c:v>10</c:v>
                </c:pt>
                <c:pt idx="100">
                  <c:v>10.1</c:v>
                </c:pt>
                <c:pt idx="101">
                  <c:v>10.199999999999999</c:v>
                </c:pt>
                <c:pt idx="102">
                  <c:v>10.3</c:v>
                </c:pt>
                <c:pt idx="103">
                  <c:v>10.4</c:v>
                </c:pt>
                <c:pt idx="104">
                  <c:v>10.5</c:v>
                </c:pt>
                <c:pt idx="105">
                  <c:v>10.6</c:v>
                </c:pt>
                <c:pt idx="106">
                  <c:v>10.7</c:v>
                </c:pt>
                <c:pt idx="107">
                  <c:v>10.8</c:v>
                </c:pt>
                <c:pt idx="108">
                  <c:v>10.9</c:v>
                </c:pt>
                <c:pt idx="109">
                  <c:v>11</c:v>
                </c:pt>
                <c:pt idx="110">
                  <c:v>11.1</c:v>
                </c:pt>
                <c:pt idx="111">
                  <c:v>11.2</c:v>
                </c:pt>
                <c:pt idx="112">
                  <c:v>11.3</c:v>
                </c:pt>
                <c:pt idx="113">
                  <c:v>11.4</c:v>
                </c:pt>
                <c:pt idx="114">
                  <c:v>11.5</c:v>
                </c:pt>
                <c:pt idx="115">
                  <c:v>11.6</c:v>
                </c:pt>
                <c:pt idx="116">
                  <c:v>11.7</c:v>
                </c:pt>
                <c:pt idx="117">
                  <c:v>11.8</c:v>
                </c:pt>
                <c:pt idx="118">
                  <c:v>11.9</c:v>
                </c:pt>
                <c:pt idx="119">
                  <c:v>12</c:v>
                </c:pt>
                <c:pt idx="120">
                  <c:v>12.1</c:v>
                </c:pt>
                <c:pt idx="121">
                  <c:v>12.2</c:v>
                </c:pt>
                <c:pt idx="122">
                  <c:v>12.3</c:v>
                </c:pt>
                <c:pt idx="123">
                  <c:v>12.4</c:v>
                </c:pt>
                <c:pt idx="124">
                  <c:v>12.5</c:v>
                </c:pt>
                <c:pt idx="125">
                  <c:v>12.6</c:v>
                </c:pt>
                <c:pt idx="126">
                  <c:v>12.7</c:v>
                </c:pt>
                <c:pt idx="127">
                  <c:v>12.8</c:v>
                </c:pt>
                <c:pt idx="128">
                  <c:v>12.9</c:v>
                </c:pt>
                <c:pt idx="129">
                  <c:v>13</c:v>
                </c:pt>
                <c:pt idx="130">
                  <c:v>13.1</c:v>
                </c:pt>
                <c:pt idx="131">
                  <c:v>13.2</c:v>
                </c:pt>
                <c:pt idx="132">
                  <c:v>13.3</c:v>
                </c:pt>
                <c:pt idx="133">
                  <c:v>13.4</c:v>
                </c:pt>
                <c:pt idx="134">
                  <c:v>13.5</c:v>
                </c:pt>
                <c:pt idx="135">
                  <c:v>13.6</c:v>
                </c:pt>
                <c:pt idx="136">
                  <c:v>13.7</c:v>
                </c:pt>
                <c:pt idx="137">
                  <c:v>13.8</c:v>
                </c:pt>
                <c:pt idx="138">
                  <c:v>13.9</c:v>
                </c:pt>
                <c:pt idx="139">
                  <c:v>14</c:v>
                </c:pt>
                <c:pt idx="140">
                  <c:v>14.1</c:v>
                </c:pt>
                <c:pt idx="141">
                  <c:v>14.2</c:v>
                </c:pt>
                <c:pt idx="142">
                  <c:v>14.3</c:v>
                </c:pt>
                <c:pt idx="143">
                  <c:v>14.4</c:v>
                </c:pt>
                <c:pt idx="144">
                  <c:v>14.5</c:v>
                </c:pt>
                <c:pt idx="145">
                  <c:v>14.6</c:v>
                </c:pt>
                <c:pt idx="146">
                  <c:v>14.7</c:v>
                </c:pt>
                <c:pt idx="147">
                  <c:v>14.8</c:v>
                </c:pt>
                <c:pt idx="148">
                  <c:v>14.9</c:v>
                </c:pt>
                <c:pt idx="149">
                  <c:v>15</c:v>
                </c:pt>
                <c:pt idx="150">
                  <c:v>15.1</c:v>
                </c:pt>
                <c:pt idx="151">
                  <c:v>15.2</c:v>
                </c:pt>
                <c:pt idx="152">
                  <c:v>15.3</c:v>
                </c:pt>
                <c:pt idx="153">
                  <c:v>15.4</c:v>
                </c:pt>
                <c:pt idx="154">
                  <c:v>15.5</c:v>
                </c:pt>
                <c:pt idx="155">
                  <c:v>15.6</c:v>
                </c:pt>
                <c:pt idx="156">
                  <c:v>15.7</c:v>
                </c:pt>
                <c:pt idx="157">
                  <c:v>15.8</c:v>
                </c:pt>
                <c:pt idx="158">
                  <c:v>15.9</c:v>
                </c:pt>
                <c:pt idx="159">
                  <c:v>16</c:v>
                </c:pt>
                <c:pt idx="160">
                  <c:v>16.100000000000001</c:v>
                </c:pt>
                <c:pt idx="161">
                  <c:v>16.2</c:v>
                </c:pt>
                <c:pt idx="162">
                  <c:v>16.3</c:v>
                </c:pt>
                <c:pt idx="163">
                  <c:v>16.399999999999999</c:v>
                </c:pt>
                <c:pt idx="164">
                  <c:v>16.5</c:v>
                </c:pt>
                <c:pt idx="165">
                  <c:v>16.600000000000001</c:v>
                </c:pt>
                <c:pt idx="166">
                  <c:v>16.7</c:v>
                </c:pt>
                <c:pt idx="167">
                  <c:v>16.8</c:v>
                </c:pt>
                <c:pt idx="168">
                  <c:v>16.899999999999999</c:v>
                </c:pt>
                <c:pt idx="169">
                  <c:v>17</c:v>
                </c:pt>
                <c:pt idx="170">
                  <c:v>17.100000000000001</c:v>
                </c:pt>
                <c:pt idx="171">
                  <c:v>17.2</c:v>
                </c:pt>
                <c:pt idx="172">
                  <c:v>17.3</c:v>
                </c:pt>
                <c:pt idx="173">
                  <c:v>17.399999999999999</c:v>
                </c:pt>
                <c:pt idx="174">
                  <c:v>17.5</c:v>
                </c:pt>
                <c:pt idx="175">
                  <c:v>17.600000000000001</c:v>
                </c:pt>
                <c:pt idx="176">
                  <c:v>17.7</c:v>
                </c:pt>
                <c:pt idx="177">
                  <c:v>17.8</c:v>
                </c:pt>
                <c:pt idx="178">
                  <c:v>17.899999999999999</c:v>
                </c:pt>
                <c:pt idx="179">
                  <c:v>18</c:v>
                </c:pt>
                <c:pt idx="180">
                  <c:v>18.100000000000001</c:v>
                </c:pt>
                <c:pt idx="181">
                  <c:v>18.2</c:v>
                </c:pt>
                <c:pt idx="182">
                  <c:v>18.3</c:v>
                </c:pt>
                <c:pt idx="183">
                  <c:v>18.399999999999999</c:v>
                </c:pt>
                <c:pt idx="184">
                  <c:v>18.5</c:v>
                </c:pt>
                <c:pt idx="185">
                  <c:v>18.600000000000001</c:v>
                </c:pt>
                <c:pt idx="186">
                  <c:v>18.7</c:v>
                </c:pt>
                <c:pt idx="187">
                  <c:v>18.8</c:v>
                </c:pt>
                <c:pt idx="188">
                  <c:v>18.899999999999999</c:v>
                </c:pt>
                <c:pt idx="189">
                  <c:v>19</c:v>
                </c:pt>
                <c:pt idx="190">
                  <c:v>19.100000000000001</c:v>
                </c:pt>
                <c:pt idx="191">
                  <c:v>19.2</c:v>
                </c:pt>
                <c:pt idx="192">
                  <c:v>19.3</c:v>
                </c:pt>
                <c:pt idx="193">
                  <c:v>19.399999999999999</c:v>
                </c:pt>
                <c:pt idx="194">
                  <c:v>19.5</c:v>
                </c:pt>
                <c:pt idx="195">
                  <c:v>19.600000000000001</c:v>
                </c:pt>
                <c:pt idx="196">
                  <c:v>19.7</c:v>
                </c:pt>
                <c:pt idx="197">
                  <c:v>19.8</c:v>
                </c:pt>
                <c:pt idx="198">
                  <c:v>19.899999999999999</c:v>
                </c:pt>
                <c:pt idx="199">
                  <c:v>20</c:v>
                </c:pt>
                <c:pt idx="200">
                  <c:v>20.100000000000001</c:v>
                </c:pt>
                <c:pt idx="201">
                  <c:v>20.2</c:v>
                </c:pt>
                <c:pt idx="202">
                  <c:v>20.3</c:v>
                </c:pt>
                <c:pt idx="203">
                  <c:v>20.399999999999999</c:v>
                </c:pt>
                <c:pt idx="204">
                  <c:v>20.5</c:v>
                </c:pt>
                <c:pt idx="205">
                  <c:v>20.6</c:v>
                </c:pt>
                <c:pt idx="206">
                  <c:v>20.7</c:v>
                </c:pt>
                <c:pt idx="207">
                  <c:v>20.8</c:v>
                </c:pt>
                <c:pt idx="208">
                  <c:v>20.9</c:v>
                </c:pt>
                <c:pt idx="209">
                  <c:v>21</c:v>
                </c:pt>
                <c:pt idx="210">
                  <c:v>21.1</c:v>
                </c:pt>
                <c:pt idx="211">
                  <c:v>21.2</c:v>
                </c:pt>
                <c:pt idx="212">
                  <c:v>21.3</c:v>
                </c:pt>
                <c:pt idx="213">
                  <c:v>21.4</c:v>
                </c:pt>
                <c:pt idx="214">
                  <c:v>21.5</c:v>
                </c:pt>
                <c:pt idx="215">
                  <c:v>21.6</c:v>
                </c:pt>
                <c:pt idx="216">
                  <c:v>21.7</c:v>
                </c:pt>
                <c:pt idx="217">
                  <c:v>21.8</c:v>
                </c:pt>
                <c:pt idx="218">
                  <c:v>21.9</c:v>
                </c:pt>
                <c:pt idx="219">
                  <c:v>22</c:v>
                </c:pt>
                <c:pt idx="220">
                  <c:v>22.1</c:v>
                </c:pt>
                <c:pt idx="221">
                  <c:v>22.2</c:v>
                </c:pt>
                <c:pt idx="222">
                  <c:v>22.3</c:v>
                </c:pt>
                <c:pt idx="223">
                  <c:v>22.4</c:v>
                </c:pt>
                <c:pt idx="224">
                  <c:v>22.5</c:v>
                </c:pt>
                <c:pt idx="225">
                  <c:v>22.6</c:v>
                </c:pt>
                <c:pt idx="226">
                  <c:v>22.7</c:v>
                </c:pt>
                <c:pt idx="227">
                  <c:v>22.8</c:v>
                </c:pt>
                <c:pt idx="228">
                  <c:v>22.9</c:v>
                </c:pt>
                <c:pt idx="229">
                  <c:v>23</c:v>
                </c:pt>
                <c:pt idx="230">
                  <c:v>23.1</c:v>
                </c:pt>
                <c:pt idx="231">
                  <c:v>23.2</c:v>
                </c:pt>
                <c:pt idx="232">
                  <c:v>23.3</c:v>
                </c:pt>
                <c:pt idx="233">
                  <c:v>23.4</c:v>
                </c:pt>
                <c:pt idx="234">
                  <c:v>23.5</c:v>
                </c:pt>
                <c:pt idx="235">
                  <c:v>23.6</c:v>
                </c:pt>
                <c:pt idx="236">
                  <c:v>23.7</c:v>
                </c:pt>
                <c:pt idx="237">
                  <c:v>23.8</c:v>
                </c:pt>
                <c:pt idx="238">
                  <c:v>23.9</c:v>
                </c:pt>
                <c:pt idx="239">
                  <c:v>24</c:v>
                </c:pt>
                <c:pt idx="240">
                  <c:v>24.1</c:v>
                </c:pt>
                <c:pt idx="241">
                  <c:v>24.2</c:v>
                </c:pt>
                <c:pt idx="242">
                  <c:v>24.3</c:v>
                </c:pt>
                <c:pt idx="243">
                  <c:v>24.4</c:v>
                </c:pt>
                <c:pt idx="244">
                  <c:v>24.5</c:v>
                </c:pt>
                <c:pt idx="245">
                  <c:v>24.6</c:v>
                </c:pt>
                <c:pt idx="246">
                  <c:v>24.7</c:v>
                </c:pt>
                <c:pt idx="247">
                  <c:v>24.8</c:v>
                </c:pt>
                <c:pt idx="248">
                  <c:v>24.9</c:v>
                </c:pt>
                <c:pt idx="249">
                  <c:v>25</c:v>
                </c:pt>
                <c:pt idx="250">
                  <c:v>25.1</c:v>
                </c:pt>
                <c:pt idx="251">
                  <c:v>25.2</c:v>
                </c:pt>
                <c:pt idx="252">
                  <c:v>25.3</c:v>
                </c:pt>
                <c:pt idx="253">
                  <c:v>25.4</c:v>
                </c:pt>
                <c:pt idx="254">
                  <c:v>25.5</c:v>
                </c:pt>
                <c:pt idx="255">
                  <c:v>25.6</c:v>
                </c:pt>
                <c:pt idx="256">
                  <c:v>25.7</c:v>
                </c:pt>
                <c:pt idx="257">
                  <c:v>25.8</c:v>
                </c:pt>
                <c:pt idx="258">
                  <c:v>25.9</c:v>
                </c:pt>
                <c:pt idx="259">
                  <c:v>26</c:v>
                </c:pt>
                <c:pt idx="260">
                  <c:v>26.1</c:v>
                </c:pt>
                <c:pt idx="261">
                  <c:v>26.2</c:v>
                </c:pt>
                <c:pt idx="262">
                  <c:v>26.3</c:v>
                </c:pt>
                <c:pt idx="263">
                  <c:v>26.4</c:v>
                </c:pt>
                <c:pt idx="264">
                  <c:v>26.5</c:v>
                </c:pt>
                <c:pt idx="265">
                  <c:v>26.6</c:v>
                </c:pt>
                <c:pt idx="266">
                  <c:v>26.7</c:v>
                </c:pt>
                <c:pt idx="267">
                  <c:v>26.8</c:v>
                </c:pt>
                <c:pt idx="268">
                  <c:v>26.9</c:v>
                </c:pt>
                <c:pt idx="269">
                  <c:v>27</c:v>
                </c:pt>
                <c:pt idx="270">
                  <c:v>27.1</c:v>
                </c:pt>
                <c:pt idx="271">
                  <c:v>27.2</c:v>
                </c:pt>
                <c:pt idx="272">
                  <c:v>27.3</c:v>
                </c:pt>
                <c:pt idx="273">
                  <c:v>27.4</c:v>
                </c:pt>
                <c:pt idx="274">
                  <c:v>27.5</c:v>
                </c:pt>
                <c:pt idx="275">
                  <c:v>27.6</c:v>
                </c:pt>
                <c:pt idx="276">
                  <c:v>27.7</c:v>
                </c:pt>
                <c:pt idx="277">
                  <c:v>27.8</c:v>
                </c:pt>
                <c:pt idx="278">
                  <c:v>27.9</c:v>
                </c:pt>
                <c:pt idx="279">
                  <c:v>28</c:v>
                </c:pt>
                <c:pt idx="280">
                  <c:v>28.1</c:v>
                </c:pt>
                <c:pt idx="281">
                  <c:v>28.2</c:v>
                </c:pt>
                <c:pt idx="282">
                  <c:v>28.3</c:v>
                </c:pt>
                <c:pt idx="283">
                  <c:v>28.4</c:v>
                </c:pt>
                <c:pt idx="284">
                  <c:v>28.5</c:v>
                </c:pt>
                <c:pt idx="285">
                  <c:v>28.6</c:v>
                </c:pt>
                <c:pt idx="286">
                  <c:v>28.7</c:v>
                </c:pt>
                <c:pt idx="287">
                  <c:v>28.8</c:v>
                </c:pt>
                <c:pt idx="288">
                  <c:v>28.9</c:v>
                </c:pt>
                <c:pt idx="289">
                  <c:v>29</c:v>
                </c:pt>
                <c:pt idx="290">
                  <c:v>29.1</c:v>
                </c:pt>
                <c:pt idx="291">
                  <c:v>29.2</c:v>
                </c:pt>
                <c:pt idx="292">
                  <c:v>29.3</c:v>
                </c:pt>
                <c:pt idx="293">
                  <c:v>29.4</c:v>
                </c:pt>
                <c:pt idx="294">
                  <c:v>29.5</c:v>
                </c:pt>
                <c:pt idx="295">
                  <c:v>29.6</c:v>
                </c:pt>
                <c:pt idx="296">
                  <c:v>29.7</c:v>
                </c:pt>
                <c:pt idx="297">
                  <c:v>29.8</c:v>
                </c:pt>
                <c:pt idx="298">
                  <c:v>29.9</c:v>
                </c:pt>
                <c:pt idx="299">
                  <c:v>30</c:v>
                </c:pt>
                <c:pt idx="300">
                  <c:v>30.1</c:v>
                </c:pt>
                <c:pt idx="301">
                  <c:v>30.2</c:v>
                </c:pt>
                <c:pt idx="302">
                  <c:v>30.3</c:v>
                </c:pt>
                <c:pt idx="303">
                  <c:v>30.4</c:v>
                </c:pt>
                <c:pt idx="304">
                  <c:v>30.5</c:v>
                </c:pt>
                <c:pt idx="305">
                  <c:v>30.6</c:v>
                </c:pt>
                <c:pt idx="306">
                  <c:v>30.7</c:v>
                </c:pt>
                <c:pt idx="307">
                  <c:v>30.8</c:v>
                </c:pt>
                <c:pt idx="308">
                  <c:v>30.9</c:v>
                </c:pt>
                <c:pt idx="309">
                  <c:v>31</c:v>
                </c:pt>
                <c:pt idx="310">
                  <c:v>31.1</c:v>
                </c:pt>
                <c:pt idx="311">
                  <c:v>31.2</c:v>
                </c:pt>
                <c:pt idx="312">
                  <c:v>31.3</c:v>
                </c:pt>
                <c:pt idx="313">
                  <c:v>31.4</c:v>
                </c:pt>
                <c:pt idx="314">
                  <c:v>31.5</c:v>
                </c:pt>
                <c:pt idx="315">
                  <c:v>31.6</c:v>
                </c:pt>
                <c:pt idx="316">
                  <c:v>31.7</c:v>
                </c:pt>
                <c:pt idx="317">
                  <c:v>31.8</c:v>
                </c:pt>
                <c:pt idx="318">
                  <c:v>31.9</c:v>
                </c:pt>
                <c:pt idx="319">
                  <c:v>32</c:v>
                </c:pt>
                <c:pt idx="320">
                  <c:v>32.1</c:v>
                </c:pt>
                <c:pt idx="321">
                  <c:v>32.200000000000003</c:v>
                </c:pt>
                <c:pt idx="322">
                  <c:v>32.299999999999997</c:v>
                </c:pt>
                <c:pt idx="323">
                  <c:v>32.4</c:v>
                </c:pt>
                <c:pt idx="324">
                  <c:v>32.5</c:v>
                </c:pt>
                <c:pt idx="325">
                  <c:v>32.6</c:v>
                </c:pt>
                <c:pt idx="326">
                  <c:v>32.700000000000003</c:v>
                </c:pt>
                <c:pt idx="327">
                  <c:v>32.799999999999997</c:v>
                </c:pt>
                <c:pt idx="328">
                  <c:v>32.9</c:v>
                </c:pt>
                <c:pt idx="329">
                  <c:v>33</c:v>
                </c:pt>
                <c:pt idx="330">
                  <c:v>33.1</c:v>
                </c:pt>
                <c:pt idx="331">
                  <c:v>33.200000000000003</c:v>
                </c:pt>
                <c:pt idx="332">
                  <c:v>33.299999999999997</c:v>
                </c:pt>
                <c:pt idx="333">
                  <c:v>33.4</c:v>
                </c:pt>
                <c:pt idx="334">
                  <c:v>33.5</c:v>
                </c:pt>
                <c:pt idx="335">
                  <c:v>33.6</c:v>
                </c:pt>
                <c:pt idx="336">
                  <c:v>33.700000000000003</c:v>
                </c:pt>
                <c:pt idx="337">
                  <c:v>33.799999999999997</c:v>
                </c:pt>
                <c:pt idx="338">
                  <c:v>33.9</c:v>
                </c:pt>
                <c:pt idx="339">
                  <c:v>34</c:v>
                </c:pt>
                <c:pt idx="340">
                  <c:v>34.1</c:v>
                </c:pt>
                <c:pt idx="341">
                  <c:v>34.200000000000003</c:v>
                </c:pt>
                <c:pt idx="342">
                  <c:v>34.299999999999997</c:v>
                </c:pt>
                <c:pt idx="343">
                  <c:v>34.4</c:v>
                </c:pt>
                <c:pt idx="344">
                  <c:v>34.5</c:v>
                </c:pt>
                <c:pt idx="345">
                  <c:v>34.6</c:v>
                </c:pt>
                <c:pt idx="346">
                  <c:v>34.700000000000003</c:v>
                </c:pt>
                <c:pt idx="347">
                  <c:v>34.799999999999997</c:v>
                </c:pt>
                <c:pt idx="348">
                  <c:v>34.9</c:v>
                </c:pt>
                <c:pt idx="349">
                  <c:v>35</c:v>
                </c:pt>
                <c:pt idx="350">
                  <c:v>35.1</c:v>
                </c:pt>
                <c:pt idx="351">
                  <c:v>35.200000000000003</c:v>
                </c:pt>
                <c:pt idx="352">
                  <c:v>35.299999999999997</c:v>
                </c:pt>
                <c:pt idx="353">
                  <c:v>35.4</c:v>
                </c:pt>
                <c:pt idx="354">
                  <c:v>35.5</c:v>
                </c:pt>
                <c:pt idx="355">
                  <c:v>35.6</c:v>
                </c:pt>
                <c:pt idx="356">
                  <c:v>35.700000000000003</c:v>
                </c:pt>
                <c:pt idx="357">
                  <c:v>35.799999999999997</c:v>
                </c:pt>
                <c:pt idx="358">
                  <c:v>35.9</c:v>
                </c:pt>
                <c:pt idx="359">
                  <c:v>36</c:v>
                </c:pt>
                <c:pt idx="360">
                  <c:v>36.1</c:v>
                </c:pt>
                <c:pt idx="361">
                  <c:v>36.200000000000003</c:v>
                </c:pt>
                <c:pt idx="362">
                  <c:v>36.299999999999997</c:v>
                </c:pt>
                <c:pt idx="363">
                  <c:v>36.4</c:v>
                </c:pt>
                <c:pt idx="364">
                  <c:v>36.5</c:v>
                </c:pt>
                <c:pt idx="365">
                  <c:v>36.6</c:v>
                </c:pt>
                <c:pt idx="366">
                  <c:v>36.700000000000003</c:v>
                </c:pt>
                <c:pt idx="367">
                  <c:v>36.799999999999997</c:v>
                </c:pt>
                <c:pt idx="368">
                  <c:v>36.9</c:v>
                </c:pt>
                <c:pt idx="369">
                  <c:v>37</c:v>
                </c:pt>
                <c:pt idx="370">
                  <c:v>37.1</c:v>
                </c:pt>
                <c:pt idx="371">
                  <c:v>37.200000000000003</c:v>
                </c:pt>
                <c:pt idx="372">
                  <c:v>37.299999999999997</c:v>
                </c:pt>
                <c:pt idx="373">
                  <c:v>37.4</c:v>
                </c:pt>
                <c:pt idx="374">
                  <c:v>37.5</c:v>
                </c:pt>
                <c:pt idx="375">
                  <c:v>37.6</c:v>
                </c:pt>
                <c:pt idx="376">
                  <c:v>37.700000000000003</c:v>
                </c:pt>
                <c:pt idx="377">
                  <c:v>37.799999999999997</c:v>
                </c:pt>
                <c:pt idx="378">
                  <c:v>37.9</c:v>
                </c:pt>
                <c:pt idx="379">
                  <c:v>38</c:v>
                </c:pt>
                <c:pt idx="380">
                  <c:v>38.1</c:v>
                </c:pt>
                <c:pt idx="381">
                  <c:v>38.200000000000003</c:v>
                </c:pt>
                <c:pt idx="382">
                  <c:v>38.299999999999997</c:v>
                </c:pt>
                <c:pt idx="383">
                  <c:v>38.4</c:v>
                </c:pt>
                <c:pt idx="384">
                  <c:v>38.5</c:v>
                </c:pt>
                <c:pt idx="385">
                  <c:v>38.6</c:v>
                </c:pt>
                <c:pt idx="386">
                  <c:v>38.700000000000003</c:v>
                </c:pt>
                <c:pt idx="387">
                  <c:v>38.799999999999997</c:v>
                </c:pt>
                <c:pt idx="388">
                  <c:v>38.9</c:v>
                </c:pt>
                <c:pt idx="389">
                  <c:v>39</c:v>
                </c:pt>
                <c:pt idx="390">
                  <c:v>39.1</c:v>
                </c:pt>
                <c:pt idx="391">
                  <c:v>39.200000000000003</c:v>
                </c:pt>
                <c:pt idx="392">
                  <c:v>39.299999999999997</c:v>
                </c:pt>
                <c:pt idx="393">
                  <c:v>39.4</c:v>
                </c:pt>
                <c:pt idx="394">
                  <c:v>39.5</c:v>
                </c:pt>
                <c:pt idx="395">
                  <c:v>39.6</c:v>
                </c:pt>
                <c:pt idx="396">
                  <c:v>39.700000000000003</c:v>
                </c:pt>
                <c:pt idx="397">
                  <c:v>39.799999999999997</c:v>
                </c:pt>
                <c:pt idx="398">
                  <c:v>39.9</c:v>
                </c:pt>
                <c:pt idx="399">
                  <c:v>40</c:v>
                </c:pt>
                <c:pt idx="400">
                  <c:v>40.1</c:v>
                </c:pt>
                <c:pt idx="401">
                  <c:v>40.200000000000003</c:v>
                </c:pt>
                <c:pt idx="402">
                  <c:v>40.299999999999997</c:v>
                </c:pt>
                <c:pt idx="403">
                  <c:v>40.4</c:v>
                </c:pt>
                <c:pt idx="404">
                  <c:v>40.5</c:v>
                </c:pt>
                <c:pt idx="405">
                  <c:v>40.6</c:v>
                </c:pt>
                <c:pt idx="406">
                  <c:v>40.700000000000003</c:v>
                </c:pt>
                <c:pt idx="407">
                  <c:v>40.799999999999997</c:v>
                </c:pt>
                <c:pt idx="408">
                  <c:v>40.9</c:v>
                </c:pt>
                <c:pt idx="409">
                  <c:v>41</c:v>
                </c:pt>
                <c:pt idx="410">
                  <c:v>41.1</c:v>
                </c:pt>
                <c:pt idx="411">
                  <c:v>41.2</c:v>
                </c:pt>
                <c:pt idx="412">
                  <c:v>41.3</c:v>
                </c:pt>
                <c:pt idx="413">
                  <c:v>41.4</c:v>
                </c:pt>
                <c:pt idx="414">
                  <c:v>41.5</c:v>
                </c:pt>
                <c:pt idx="415">
                  <c:v>41.6</c:v>
                </c:pt>
                <c:pt idx="416">
                  <c:v>41.7</c:v>
                </c:pt>
                <c:pt idx="417">
                  <c:v>41.8</c:v>
                </c:pt>
                <c:pt idx="418">
                  <c:v>41.9</c:v>
                </c:pt>
                <c:pt idx="419">
                  <c:v>42</c:v>
                </c:pt>
                <c:pt idx="420">
                  <c:v>42.1</c:v>
                </c:pt>
                <c:pt idx="421">
                  <c:v>42.2</c:v>
                </c:pt>
                <c:pt idx="422">
                  <c:v>42.3</c:v>
                </c:pt>
                <c:pt idx="423">
                  <c:v>42.4</c:v>
                </c:pt>
                <c:pt idx="424">
                  <c:v>42.5</c:v>
                </c:pt>
                <c:pt idx="425">
                  <c:v>42.6</c:v>
                </c:pt>
                <c:pt idx="426">
                  <c:v>42.7</c:v>
                </c:pt>
                <c:pt idx="427">
                  <c:v>42.8</c:v>
                </c:pt>
                <c:pt idx="428">
                  <c:v>42.9</c:v>
                </c:pt>
                <c:pt idx="429">
                  <c:v>43</c:v>
                </c:pt>
                <c:pt idx="430">
                  <c:v>43.1</c:v>
                </c:pt>
                <c:pt idx="431">
                  <c:v>43.2</c:v>
                </c:pt>
                <c:pt idx="432">
                  <c:v>43.3</c:v>
                </c:pt>
                <c:pt idx="433">
                  <c:v>43.4</c:v>
                </c:pt>
                <c:pt idx="434">
                  <c:v>43.5</c:v>
                </c:pt>
                <c:pt idx="435">
                  <c:v>43.6</c:v>
                </c:pt>
                <c:pt idx="436">
                  <c:v>43.7</c:v>
                </c:pt>
                <c:pt idx="437">
                  <c:v>43.8</c:v>
                </c:pt>
                <c:pt idx="438">
                  <c:v>43.9</c:v>
                </c:pt>
                <c:pt idx="439">
                  <c:v>44</c:v>
                </c:pt>
                <c:pt idx="440">
                  <c:v>44.1</c:v>
                </c:pt>
                <c:pt idx="441">
                  <c:v>44.2</c:v>
                </c:pt>
                <c:pt idx="442">
                  <c:v>44.3</c:v>
                </c:pt>
                <c:pt idx="443">
                  <c:v>44.4</c:v>
                </c:pt>
                <c:pt idx="444">
                  <c:v>44.5</c:v>
                </c:pt>
                <c:pt idx="445">
                  <c:v>44.6</c:v>
                </c:pt>
                <c:pt idx="446">
                  <c:v>44.7</c:v>
                </c:pt>
                <c:pt idx="447">
                  <c:v>44.8</c:v>
                </c:pt>
                <c:pt idx="448">
                  <c:v>44.9</c:v>
                </c:pt>
                <c:pt idx="449">
                  <c:v>45</c:v>
                </c:pt>
                <c:pt idx="450">
                  <c:v>45.1</c:v>
                </c:pt>
                <c:pt idx="451">
                  <c:v>45.2</c:v>
                </c:pt>
                <c:pt idx="452">
                  <c:v>45.3</c:v>
                </c:pt>
                <c:pt idx="453">
                  <c:v>45.4</c:v>
                </c:pt>
                <c:pt idx="454">
                  <c:v>45.5</c:v>
                </c:pt>
                <c:pt idx="455">
                  <c:v>45.6</c:v>
                </c:pt>
                <c:pt idx="456">
                  <c:v>45.7</c:v>
                </c:pt>
                <c:pt idx="457">
                  <c:v>45.8</c:v>
                </c:pt>
                <c:pt idx="458">
                  <c:v>45.9</c:v>
                </c:pt>
                <c:pt idx="459">
                  <c:v>46</c:v>
                </c:pt>
                <c:pt idx="460">
                  <c:v>46.1</c:v>
                </c:pt>
                <c:pt idx="461">
                  <c:v>46.2</c:v>
                </c:pt>
                <c:pt idx="462">
                  <c:v>46.3</c:v>
                </c:pt>
                <c:pt idx="463">
                  <c:v>46.4</c:v>
                </c:pt>
                <c:pt idx="464">
                  <c:v>46.5</c:v>
                </c:pt>
                <c:pt idx="465">
                  <c:v>46.6</c:v>
                </c:pt>
                <c:pt idx="466">
                  <c:v>46.7</c:v>
                </c:pt>
                <c:pt idx="467">
                  <c:v>46.8</c:v>
                </c:pt>
                <c:pt idx="468">
                  <c:v>46.9</c:v>
                </c:pt>
                <c:pt idx="469">
                  <c:v>47</c:v>
                </c:pt>
                <c:pt idx="470">
                  <c:v>47.1</c:v>
                </c:pt>
                <c:pt idx="471">
                  <c:v>47.2</c:v>
                </c:pt>
                <c:pt idx="472">
                  <c:v>47.3</c:v>
                </c:pt>
                <c:pt idx="473">
                  <c:v>47.4</c:v>
                </c:pt>
                <c:pt idx="474">
                  <c:v>47.5</c:v>
                </c:pt>
                <c:pt idx="475">
                  <c:v>47.6</c:v>
                </c:pt>
                <c:pt idx="476">
                  <c:v>47.7</c:v>
                </c:pt>
                <c:pt idx="477">
                  <c:v>47.8</c:v>
                </c:pt>
                <c:pt idx="478">
                  <c:v>47.9</c:v>
                </c:pt>
                <c:pt idx="479">
                  <c:v>48</c:v>
                </c:pt>
                <c:pt idx="480">
                  <c:v>48.1</c:v>
                </c:pt>
                <c:pt idx="481">
                  <c:v>48.2</c:v>
                </c:pt>
                <c:pt idx="482">
                  <c:v>48.3</c:v>
                </c:pt>
                <c:pt idx="483">
                  <c:v>48.4</c:v>
                </c:pt>
                <c:pt idx="484">
                  <c:v>48.5</c:v>
                </c:pt>
                <c:pt idx="485">
                  <c:v>48.6</c:v>
                </c:pt>
                <c:pt idx="486">
                  <c:v>48.7</c:v>
                </c:pt>
                <c:pt idx="487">
                  <c:v>48.8</c:v>
                </c:pt>
                <c:pt idx="488">
                  <c:v>48.9</c:v>
                </c:pt>
                <c:pt idx="489">
                  <c:v>49</c:v>
                </c:pt>
                <c:pt idx="490">
                  <c:v>49.1</c:v>
                </c:pt>
                <c:pt idx="491">
                  <c:v>49.2</c:v>
                </c:pt>
                <c:pt idx="492">
                  <c:v>49.3</c:v>
                </c:pt>
                <c:pt idx="493">
                  <c:v>49.4</c:v>
                </c:pt>
                <c:pt idx="494">
                  <c:v>49.5</c:v>
                </c:pt>
                <c:pt idx="495">
                  <c:v>49.6</c:v>
                </c:pt>
                <c:pt idx="496">
                  <c:v>49.7</c:v>
                </c:pt>
                <c:pt idx="497">
                  <c:v>49.8</c:v>
                </c:pt>
                <c:pt idx="498">
                  <c:v>49.9</c:v>
                </c:pt>
                <c:pt idx="499">
                  <c:v>50</c:v>
                </c:pt>
                <c:pt idx="500">
                  <c:v>50.1</c:v>
                </c:pt>
                <c:pt idx="501">
                  <c:v>50.2</c:v>
                </c:pt>
                <c:pt idx="502">
                  <c:v>50.3</c:v>
                </c:pt>
                <c:pt idx="503">
                  <c:v>50.4</c:v>
                </c:pt>
                <c:pt idx="504">
                  <c:v>50.5</c:v>
                </c:pt>
                <c:pt idx="505">
                  <c:v>50.6</c:v>
                </c:pt>
                <c:pt idx="506">
                  <c:v>50.7</c:v>
                </c:pt>
                <c:pt idx="507">
                  <c:v>50.8</c:v>
                </c:pt>
                <c:pt idx="508">
                  <c:v>50.9</c:v>
                </c:pt>
                <c:pt idx="509">
                  <c:v>51</c:v>
                </c:pt>
                <c:pt idx="510">
                  <c:v>51.1</c:v>
                </c:pt>
                <c:pt idx="511">
                  <c:v>51.2</c:v>
                </c:pt>
                <c:pt idx="512">
                  <c:v>51.3</c:v>
                </c:pt>
                <c:pt idx="513">
                  <c:v>51.4</c:v>
                </c:pt>
                <c:pt idx="514">
                  <c:v>51.5</c:v>
                </c:pt>
                <c:pt idx="515">
                  <c:v>51.6</c:v>
                </c:pt>
                <c:pt idx="516">
                  <c:v>51.7</c:v>
                </c:pt>
                <c:pt idx="517">
                  <c:v>51.8</c:v>
                </c:pt>
                <c:pt idx="518">
                  <c:v>51.9</c:v>
                </c:pt>
                <c:pt idx="519">
                  <c:v>52</c:v>
                </c:pt>
                <c:pt idx="520">
                  <c:v>52.1</c:v>
                </c:pt>
                <c:pt idx="521">
                  <c:v>52.2</c:v>
                </c:pt>
                <c:pt idx="522">
                  <c:v>52.3</c:v>
                </c:pt>
                <c:pt idx="523">
                  <c:v>52.4</c:v>
                </c:pt>
                <c:pt idx="524">
                  <c:v>52.5</c:v>
                </c:pt>
                <c:pt idx="525">
                  <c:v>52.6</c:v>
                </c:pt>
                <c:pt idx="526">
                  <c:v>52.7</c:v>
                </c:pt>
                <c:pt idx="527">
                  <c:v>52.8</c:v>
                </c:pt>
                <c:pt idx="528">
                  <c:v>52.9</c:v>
                </c:pt>
                <c:pt idx="529">
                  <c:v>53</c:v>
                </c:pt>
                <c:pt idx="530">
                  <c:v>53.1</c:v>
                </c:pt>
                <c:pt idx="531">
                  <c:v>53.2</c:v>
                </c:pt>
                <c:pt idx="532">
                  <c:v>53.3</c:v>
                </c:pt>
                <c:pt idx="533">
                  <c:v>53.4</c:v>
                </c:pt>
                <c:pt idx="534">
                  <c:v>53.5</c:v>
                </c:pt>
                <c:pt idx="535">
                  <c:v>53.6</c:v>
                </c:pt>
                <c:pt idx="536">
                  <c:v>53.7</c:v>
                </c:pt>
                <c:pt idx="537">
                  <c:v>53.8</c:v>
                </c:pt>
                <c:pt idx="538">
                  <c:v>53.9</c:v>
                </c:pt>
                <c:pt idx="539">
                  <c:v>54</c:v>
                </c:pt>
                <c:pt idx="540">
                  <c:v>54.1</c:v>
                </c:pt>
                <c:pt idx="541">
                  <c:v>54.2</c:v>
                </c:pt>
                <c:pt idx="542">
                  <c:v>54.3</c:v>
                </c:pt>
                <c:pt idx="543">
                  <c:v>54.4</c:v>
                </c:pt>
                <c:pt idx="544">
                  <c:v>54.5</c:v>
                </c:pt>
                <c:pt idx="545">
                  <c:v>54.6</c:v>
                </c:pt>
                <c:pt idx="546">
                  <c:v>54.7</c:v>
                </c:pt>
                <c:pt idx="547">
                  <c:v>54.8</c:v>
                </c:pt>
                <c:pt idx="548">
                  <c:v>54.9</c:v>
                </c:pt>
                <c:pt idx="549">
                  <c:v>55</c:v>
                </c:pt>
                <c:pt idx="550">
                  <c:v>55.1</c:v>
                </c:pt>
                <c:pt idx="551">
                  <c:v>55.2</c:v>
                </c:pt>
                <c:pt idx="552">
                  <c:v>55.3</c:v>
                </c:pt>
                <c:pt idx="553">
                  <c:v>55.4</c:v>
                </c:pt>
                <c:pt idx="554">
                  <c:v>55.5</c:v>
                </c:pt>
                <c:pt idx="555">
                  <c:v>55.6</c:v>
                </c:pt>
                <c:pt idx="556">
                  <c:v>55.7</c:v>
                </c:pt>
                <c:pt idx="557">
                  <c:v>55.8</c:v>
                </c:pt>
                <c:pt idx="558">
                  <c:v>55.9</c:v>
                </c:pt>
                <c:pt idx="559">
                  <c:v>56</c:v>
                </c:pt>
                <c:pt idx="560">
                  <c:v>56.1</c:v>
                </c:pt>
                <c:pt idx="561">
                  <c:v>56.2</c:v>
                </c:pt>
                <c:pt idx="562">
                  <c:v>56.3</c:v>
                </c:pt>
                <c:pt idx="563">
                  <c:v>56.4</c:v>
                </c:pt>
                <c:pt idx="564">
                  <c:v>56.5</c:v>
                </c:pt>
                <c:pt idx="565">
                  <c:v>56.6</c:v>
                </c:pt>
                <c:pt idx="566">
                  <c:v>56.7</c:v>
                </c:pt>
                <c:pt idx="567">
                  <c:v>56.8</c:v>
                </c:pt>
                <c:pt idx="568">
                  <c:v>56.9</c:v>
                </c:pt>
                <c:pt idx="569">
                  <c:v>57</c:v>
                </c:pt>
                <c:pt idx="570">
                  <c:v>57.1</c:v>
                </c:pt>
                <c:pt idx="571">
                  <c:v>57.2</c:v>
                </c:pt>
                <c:pt idx="572">
                  <c:v>57.3</c:v>
                </c:pt>
                <c:pt idx="573">
                  <c:v>57.4</c:v>
                </c:pt>
                <c:pt idx="574">
                  <c:v>57.5</c:v>
                </c:pt>
                <c:pt idx="575">
                  <c:v>57.6</c:v>
                </c:pt>
                <c:pt idx="576">
                  <c:v>57.7</c:v>
                </c:pt>
                <c:pt idx="577">
                  <c:v>57.8</c:v>
                </c:pt>
                <c:pt idx="578">
                  <c:v>57.9</c:v>
                </c:pt>
                <c:pt idx="579">
                  <c:v>58</c:v>
                </c:pt>
                <c:pt idx="580">
                  <c:v>58.1</c:v>
                </c:pt>
                <c:pt idx="581">
                  <c:v>58.2</c:v>
                </c:pt>
                <c:pt idx="582">
                  <c:v>58.3</c:v>
                </c:pt>
                <c:pt idx="583">
                  <c:v>58.4</c:v>
                </c:pt>
                <c:pt idx="584">
                  <c:v>58.5</c:v>
                </c:pt>
                <c:pt idx="585">
                  <c:v>58.6</c:v>
                </c:pt>
                <c:pt idx="586">
                  <c:v>58.7</c:v>
                </c:pt>
                <c:pt idx="587">
                  <c:v>58.8</c:v>
                </c:pt>
                <c:pt idx="588">
                  <c:v>58.9</c:v>
                </c:pt>
                <c:pt idx="589">
                  <c:v>59</c:v>
                </c:pt>
                <c:pt idx="590">
                  <c:v>59.1</c:v>
                </c:pt>
                <c:pt idx="591">
                  <c:v>59.2</c:v>
                </c:pt>
                <c:pt idx="592">
                  <c:v>59.3</c:v>
                </c:pt>
                <c:pt idx="593">
                  <c:v>59.4</c:v>
                </c:pt>
                <c:pt idx="594">
                  <c:v>59.5</c:v>
                </c:pt>
                <c:pt idx="595">
                  <c:v>59.6</c:v>
                </c:pt>
                <c:pt idx="596">
                  <c:v>59.7</c:v>
                </c:pt>
                <c:pt idx="597">
                  <c:v>59.8</c:v>
                </c:pt>
                <c:pt idx="598">
                  <c:v>59.9</c:v>
                </c:pt>
                <c:pt idx="599">
                  <c:v>60</c:v>
                </c:pt>
                <c:pt idx="600">
                  <c:v>60.1</c:v>
                </c:pt>
                <c:pt idx="601">
                  <c:v>60.2</c:v>
                </c:pt>
                <c:pt idx="602">
                  <c:v>60.3</c:v>
                </c:pt>
                <c:pt idx="603">
                  <c:v>60.4</c:v>
                </c:pt>
                <c:pt idx="604">
                  <c:v>60.5</c:v>
                </c:pt>
                <c:pt idx="605">
                  <c:v>60.6</c:v>
                </c:pt>
                <c:pt idx="606">
                  <c:v>60.7</c:v>
                </c:pt>
                <c:pt idx="607">
                  <c:v>60.8</c:v>
                </c:pt>
                <c:pt idx="608">
                  <c:v>60.9</c:v>
                </c:pt>
                <c:pt idx="609">
                  <c:v>61</c:v>
                </c:pt>
                <c:pt idx="610">
                  <c:v>61.1</c:v>
                </c:pt>
                <c:pt idx="611">
                  <c:v>61.2</c:v>
                </c:pt>
                <c:pt idx="612">
                  <c:v>61.3</c:v>
                </c:pt>
                <c:pt idx="613">
                  <c:v>61.4</c:v>
                </c:pt>
                <c:pt idx="614">
                  <c:v>61.5</c:v>
                </c:pt>
                <c:pt idx="615">
                  <c:v>61.6</c:v>
                </c:pt>
                <c:pt idx="616">
                  <c:v>61.7</c:v>
                </c:pt>
                <c:pt idx="617">
                  <c:v>61.8</c:v>
                </c:pt>
                <c:pt idx="618">
                  <c:v>61.9</c:v>
                </c:pt>
                <c:pt idx="619">
                  <c:v>62</c:v>
                </c:pt>
                <c:pt idx="620">
                  <c:v>62.1</c:v>
                </c:pt>
                <c:pt idx="621">
                  <c:v>62.2</c:v>
                </c:pt>
                <c:pt idx="622">
                  <c:v>62.3</c:v>
                </c:pt>
                <c:pt idx="623">
                  <c:v>62.4</c:v>
                </c:pt>
                <c:pt idx="624">
                  <c:v>62.5</c:v>
                </c:pt>
                <c:pt idx="625">
                  <c:v>62.6</c:v>
                </c:pt>
                <c:pt idx="626">
                  <c:v>62.7</c:v>
                </c:pt>
                <c:pt idx="627">
                  <c:v>62.8</c:v>
                </c:pt>
                <c:pt idx="628">
                  <c:v>62.9</c:v>
                </c:pt>
                <c:pt idx="629">
                  <c:v>63</c:v>
                </c:pt>
                <c:pt idx="630">
                  <c:v>63.1</c:v>
                </c:pt>
                <c:pt idx="631">
                  <c:v>63.2</c:v>
                </c:pt>
                <c:pt idx="632">
                  <c:v>63.3</c:v>
                </c:pt>
                <c:pt idx="633">
                  <c:v>63.4</c:v>
                </c:pt>
                <c:pt idx="634">
                  <c:v>63.5</c:v>
                </c:pt>
                <c:pt idx="635">
                  <c:v>63.6</c:v>
                </c:pt>
                <c:pt idx="636">
                  <c:v>63.7</c:v>
                </c:pt>
                <c:pt idx="637">
                  <c:v>63.8</c:v>
                </c:pt>
                <c:pt idx="638">
                  <c:v>63.9</c:v>
                </c:pt>
                <c:pt idx="639">
                  <c:v>64</c:v>
                </c:pt>
                <c:pt idx="640">
                  <c:v>64.099999999999994</c:v>
                </c:pt>
                <c:pt idx="641">
                  <c:v>64.2</c:v>
                </c:pt>
                <c:pt idx="642">
                  <c:v>64.3</c:v>
                </c:pt>
                <c:pt idx="643">
                  <c:v>64.400000000000006</c:v>
                </c:pt>
                <c:pt idx="644">
                  <c:v>64.5</c:v>
                </c:pt>
                <c:pt idx="645">
                  <c:v>64.599999999999994</c:v>
                </c:pt>
                <c:pt idx="646">
                  <c:v>64.7</c:v>
                </c:pt>
                <c:pt idx="647">
                  <c:v>64.8</c:v>
                </c:pt>
                <c:pt idx="648">
                  <c:v>64.900000000000006</c:v>
                </c:pt>
                <c:pt idx="649">
                  <c:v>65</c:v>
                </c:pt>
                <c:pt idx="650">
                  <c:v>65.099999999999994</c:v>
                </c:pt>
                <c:pt idx="651">
                  <c:v>65.2</c:v>
                </c:pt>
                <c:pt idx="652">
                  <c:v>65.3</c:v>
                </c:pt>
                <c:pt idx="653">
                  <c:v>65.400000000000006</c:v>
                </c:pt>
                <c:pt idx="654">
                  <c:v>65.5</c:v>
                </c:pt>
                <c:pt idx="655">
                  <c:v>65.599999999999994</c:v>
                </c:pt>
                <c:pt idx="656">
                  <c:v>65.7</c:v>
                </c:pt>
                <c:pt idx="657">
                  <c:v>65.8</c:v>
                </c:pt>
                <c:pt idx="658">
                  <c:v>65.900000000000006</c:v>
                </c:pt>
                <c:pt idx="659">
                  <c:v>66</c:v>
                </c:pt>
                <c:pt idx="660">
                  <c:v>66.099999999999994</c:v>
                </c:pt>
                <c:pt idx="661">
                  <c:v>66.2</c:v>
                </c:pt>
                <c:pt idx="662">
                  <c:v>66.3</c:v>
                </c:pt>
                <c:pt idx="663">
                  <c:v>66.400000000000006</c:v>
                </c:pt>
                <c:pt idx="664">
                  <c:v>66.5</c:v>
                </c:pt>
                <c:pt idx="665">
                  <c:v>66.599999999999994</c:v>
                </c:pt>
                <c:pt idx="666">
                  <c:v>66.7</c:v>
                </c:pt>
                <c:pt idx="667">
                  <c:v>66.8</c:v>
                </c:pt>
                <c:pt idx="668">
                  <c:v>66.900000000000006</c:v>
                </c:pt>
                <c:pt idx="669">
                  <c:v>67</c:v>
                </c:pt>
                <c:pt idx="670">
                  <c:v>67.099999999999994</c:v>
                </c:pt>
                <c:pt idx="671">
                  <c:v>67.2</c:v>
                </c:pt>
                <c:pt idx="672">
                  <c:v>67.3</c:v>
                </c:pt>
                <c:pt idx="673">
                  <c:v>67.400000000000006</c:v>
                </c:pt>
                <c:pt idx="674">
                  <c:v>67.5</c:v>
                </c:pt>
                <c:pt idx="675">
                  <c:v>67.599999999999994</c:v>
                </c:pt>
                <c:pt idx="676">
                  <c:v>67.7</c:v>
                </c:pt>
                <c:pt idx="677">
                  <c:v>67.8</c:v>
                </c:pt>
                <c:pt idx="678">
                  <c:v>67.900000000000006</c:v>
                </c:pt>
                <c:pt idx="679">
                  <c:v>68</c:v>
                </c:pt>
                <c:pt idx="680">
                  <c:v>68.099999999999994</c:v>
                </c:pt>
                <c:pt idx="681">
                  <c:v>68.2</c:v>
                </c:pt>
                <c:pt idx="682">
                  <c:v>68.3</c:v>
                </c:pt>
                <c:pt idx="683">
                  <c:v>68.400000000000006</c:v>
                </c:pt>
                <c:pt idx="684">
                  <c:v>68.5</c:v>
                </c:pt>
                <c:pt idx="685">
                  <c:v>68.599999999999994</c:v>
                </c:pt>
                <c:pt idx="686">
                  <c:v>68.7</c:v>
                </c:pt>
                <c:pt idx="687">
                  <c:v>68.8</c:v>
                </c:pt>
                <c:pt idx="688">
                  <c:v>68.900000000000006</c:v>
                </c:pt>
                <c:pt idx="689">
                  <c:v>69</c:v>
                </c:pt>
                <c:pt idx="690">
                  <c:v>69.099999999999994</c:v>
                </c:pt>
                <c:pt idx="691">
                  <c:v>69.2</c:v>
                </c:pt>
                <c:pt idx="692">
                  <c:v>69.3</c:v>
                </c:pt>
                <c:pt idx="693">
                  <c:v>69.400000000000006</c:v>
                </c:pt>
                <c:pt idx="694">
                  <c:v>69.5</c:v>
                </c:pt>
                <c:pt idx="695">
                  <c:v>69.599999999999994</c:v>
                </c:pt>
                <c:pt idx="696">
                  <c:v>69.7</c:v>
                </c:pt>
                <c:pt idx="697">
                  <c:v>69.8</c:v>
                </c:pt>
                <c:pt idx="698">
                  <c:v>69.900000000000006</c:v>
                </c:pt>
                <c:pt idx="699">
                  <c:v>70</c:v>
                </c:pt>
                <c:pt idx="700">
                  <c:v>70.099999999999994</c:v>
                </c:pt>
                <c:pt idx="701">
                  <c:v>70.2</c:v>
                </c:pt>
                <c:pt idx="702">
                  <c:v>70.3</c:v>
                </c:pt>
                <c:pt idx="703">
                  <c:v>70.400000000000006</c:v>
                </c:pt>
                <c:pt idx="704">
                  <c:v>70.5</c:v>
                </c:pt>
                <c:pt idx="705">
                  <c:v>70.599999999999994</c:v>
                </c:pt>
                <c:pt idx="706">
                  <c:v>70.7</c:v>
                </c:pt>
                <c:pt idx="707">
                  <c:v>70.8</c:v>
                </c:pt>
                <c:pt idx="708">
                  <c:v>70.900000000000006</c:v>
                </c:pt>
                <c:pt idx="709">
                  <c:v>71</c:v>
                </c:pt>
                <c:pt idx="710">
                  <c:v>71.099999999999994</c:v>
                </c:pt>
                <c:pt idx="711">
                  <c:v>71.2</c:v>
                </c:pt>
                <c:pt idx="712">
                  <c:v>71.3</c:v>
                </c:pt>
                <c:pt idx="713">
                  <c:v>71.400000000000006</c:v>
                </c:pt>
                <c:pt idx="714">
                  <c:v>71.5</c:v>
                </c:pt>
                <c:pt idx="715">
                  <c:v>71.599999999999994</c:v>
                </c:pt>
                <c:pt idx="716">
                  <c:v>71.7</c:v>
                </c:pt>
                <c:pt idx="717">
                  <c:v>71.8</c:v>
                </c:pt>
                <c:pt idx="718">
                  <c:v>71.900000000000006</c:v>
                </c:pt>
                <c:pt idx="719">
                  <c:v>72</c:v>
                </c:pt>
                <c:pt idx="720">
                  <c:v>72.099999999999994</c:v>
                </c:pt>
                <c:pt idx="721">
                  <c:v>72.2</c:v>
                </c:pt>
                <c:pt idx="722">
                  <c:v>72.3</c:v>
                </c:pt>
                <c:pt idx="723">
                  <c:v>72.400000000000006</c:v>
                </c:pt>
                <c:pt idx="724">
                  <c:v>72.5</c:v>
                </c:pt>
                <c:pt idx="725">
                  <c:v>72.599999999999994</c:v>
                </c:pt>
                <c:pt idx="726">
                  <c:v>72.7</c:v>
                </c:pt>
                <c:pt idx="727">
                  <c:v>72.8</c:v>
                </c:pt>
                <c:pt idx="728">
                  <c:v>72.900000000000006</c:v>
                </c:pt>
                <c:pt idx="729">
                  <c:v>73</c:v>
                </c:pt>
                <c:pt idx="730">
                  <c:v>73.099999999999994</c:v>
                </c:pt>
                <c:pt idx="731">
                  <c:v>73.2</c:v>
                </c:pt>
                <c:pt idx="732">
                  <c:v>73.3</c:v>
                </c:pt>
                <c:pt idx="733">
                  <c:v>73.400000000000006</c:v>
                </c:pt>
                <c:pt idx="734">
                  <c:v>73.5</c:v>
                </c:pt>
                <c:pt idx="735">
                  <c:v>73.599999999999994</c:v>
                </c:pt>
                <c:pt idx="736">
                  <c:v>73.7</c:v>
                </c:pt>
                <c:pt idx="737">
                  <c:v>73.8</c:v>
                </c:pt>
                <c:pt idx="738">
                  <c:v>73.900000000000006</c:v>
                </c:pt>
                <c:pt idx="739">
                  <c:v>74</c:v>
                </c:pt>
                <c:pt idx="740">
                  <c:v>74.099999999999994</c:v>
                </c:pt>
                <c:pt idx="741">
                  <c:v>74.2</c:v>
                </c:pt>
                <c:pt idx="742">
                  <c:v>74.3</c:v>
                </c:pt>
                <c:pt idx="743">
                  <c:v>74.400000000000006</c:v>
                </c:pt>
                <c:pt idx="744">
                  <c:v>74.5</c:v>
                </c:pt>
                <c:pt idx="745">
                  <c:v>74.599999999999994</c:v>
                </c:pt>
                <c:pt idx="746">
                  <c:v>74.7</c:v>
                </c:pt>
                <c:pt idx="747">
                  <c:v>74.8</c:v>
                </c:pt>
                <c:pt idx="748">
                  <c:v>74.900000000000006</c:v>
                </c:pt>
                <c:pt idx="749">
                  <c:v>75</c:v>
                </c:pt>
              </c:numCache>
            </c:numRef>
          </c:xVal>
          <c:yVal>
            <c:numRef>
              <c:f>'sheet 1'!$V$39:$V$788</c:f>
              <c:numCache>
                <c:formatCode>General</c:formatCode>
                <c:ptCount val="750"/>
                <c:pt idx="0">
                  <c:v>1973.8790119424825</c:v>
                </c:pt>
                <c:pt idx="1">
                  <c:v>1914.1142226778709</c:v>
                </c:pt>
                <c:pt idx="2">
                  <c:v>1857.4350964720225</c:v>
                </c:pt>
                <c:pt idx="3">
                  <c:v>1803.6326143511214</c:v>
                </c:pt>
                <c:pt idx="4">
                  <c:v>1752.5146915248099</c:v>
                </c:pt>
                <c:pt idx="5">
                  <c:v>1703.9046017700439</c:v>
                </c:pt>
                <c:pt idx="6">
                  <c:v>1657.6395659550515</c:v>
                </c:pt>
                <c:pt idx="7">
                  <c:v>1613.5694859088212</c:v>
                </c:pt>
                <c:pt idx="8">
                  <c:v>1571.555807173313</c:v>
                </c:pt>
                <c:pt idx="9">
                  <c:v>1531.470496197458</c:v>
                </c:pt>
                <c:pt idx="10">
                  <c:v>1493.1951192877918</c:v>
                </c:pt>
                <c:pt idx="11">
                  <c:v>1456.6200121573495</c:v>
                </c:pt>
                <c:pt idx="12">
                  <c:v>1421.6435302439454</c:v>
                </c:pt>
                <c:pt idx="13">
                  <c:v>1388.1713711283799</c:v>
                </c:pt>
                <c:pt idx="14">
                  <c:v>1356.1159613954521</c:v>
                </c:pt>
                <c:pt idx="15">
                  <c:v>1325.3959011659122</c:v>
                </c:pt>
                <c:pt idx="16">
                  <c:v>1295.9354603025681</c:v>
                </c:pt>
                <c:pt idx="17">
                  <c:v>1267.6641209733282</c:v>
                </c:pt>
                <c:pt idx="18">
                  <c:v>1240.5161618505485</c:v>
                </c:pt>
                <c:pt idx="19">
                  <c:v>1214.4302797504956</c:v>
                </c:pt>
                <c:pt idx="20">
                  <c:v>1189.3492449783164</c:v>
                </c:pt>
                <c:pt idx="21">
                  <c:v>1165.2195870507192</c:v>
                </c:pt>
                <c:pt idx="22">
                  <c:v>1141.9913078275283</c:v>
                </c:pt>
                <c:pt idx="23">
                  <c:v>1119.6176194004042</c:v>
                </c:pt>
                <c:pt idx="24">
                  <c:v>1098.054704367562</c:v>
                </c:pt>
                <c:pt idx="25">
                  <c:v>1077.261496371754</c:v>
                </c:pt>
                <c:pt idx="26">
                  <c:v>1057.1994789990852</c:v>
                </c:pt>
                <c:pt idx="27">
                  <c:v>1037.8325013317667</c:v>
                </c:pt>
                <c:pt idx="28">
                  <c:v>1019.1266086217331</c:v>
                </c:pt>
                <c:pt idx="29">
                  <c:v>1001.0498867066559</c:v>
                </c:pt>
                <c:pt idx="30">
                  <c:v>983.5723189276498</c:v>
                </c:pt>
                <c:pt idx="31">
                  <c:v>966.66565443076979</c:v>
                </c:pt>
                <c:pt idx="32">
                  <c:v>950.30328684406345</c:v>
                </c:pt>
                <c:pt idx="33">
                  <c:v>934.4601424199036</c:v>
                </c:pt>
                <c:pt idx="34">
                  <c:v>919.11257681998836</c:v>
                </c:pt>
                <c:pt idx="35">
                  <c:v>904.23827979890098</c:v>
                </c:pt>
                <c:pt idx="36">
                  <c:v>889.81618711246347</c:v>
                </c:pt>
                <c:pt idx="37">
                  <c:v>875.82639904027451</c:v>
                </c:pt>
                <c:pt idx="38">
                  <c:v>862.25010496853463</c:v>
                </c:pt>
                <c:pt idx="39">
                  <c:v>849.06951353023885</c:v>
                </c:pt>
                <c:pt idx="40">
                  <c:v>836.26778784572753</c:v>
                </c:pt>
                <c:pt idx="41">
                  <c:v>823.828985447901</c:v>
                </c:pt>
                <c:pt idx="42">
                  <c:v>811.73800251369539</c:v>
                </c:pt>
                <c:pt idx="43">
                  <c:v>799.98052205704039</c:v>
                </c:pt>
                <c:pt idx="44">
                  <c:v>788.54296576891511</c:v>
                </c:pt>
                <c:pt idx="45">
                  <c:v>777.41244921757936</c:v>
                </c:pt>
                <c:pt idx="46">
                  <c:v>766.57674014692134</c:v>
                </c:pt>
                <c:pt idx="47">
                  <c:v>756.02421963337861</c:v>
                </c:pt>
                <c:pt idx="48">
                  <c:v>745.74384588228918</c:v>
                </c:pt>
                <c:pt idx="49">
                  <c:v>735.72512046304928</c:v>
                </c:pt>
                <c:pt idx="50">
                  <c:v>725.95805679926298</c:v>
                </c:pt>
                <c:pt idx="51">
                  <c:v>716.43315074534121</c:v>
                </c:pt>
                <c:pt idx="52">
                  <c:v>707.14135309490564</c:v>
                </c:pt>
                <c:pt idx="53">
                  <c:v>698.07404387898714</c:v>
                </c:pt>
                <c:pt idx="54">
                  <c:v>689.22300832353346</c:v>
                </c:pt>
                <c:pt idx="55">
                  <c:v>680.58041434623544</c:v>
                </c:pt>
                <c:pt idx="56">
                  <c:v>672.13879148225521</c:v>
                </c:pt>
                <c:pt idx="57">
                  <c:v>663.89101113718823</c:v>
                </c:pt>
                <c:pt idx="58">
                  <c:v>655.83026807357078</c:v>
                </c:pt>
                <c:pt idx="59">
                  <c:v>647.9500630445566</c:v>
                </c:pt>
                <c:pt idx="60">
                  <c:v>640.24418649505901</c:v>
                </c:pt>
                <c:pt idx="61">
                  <c:v>632.70670325677656</c:v>
                </c:pt>
                <c:pt idx="62">
                  <c:v>625.3319381691249</c:v>
                </c:pt>
                <c:pt idx="63">
                  <c:v>618.11446256322938</c:v>
                </c:pt>
                <c:pt idx="64">
                  <c:v>611.04908155086048</c:v>
                </c:pt>
                <c:pt idx="65">
                  <c:v>604.1308220645036</c:v>
                </c:pt>
                <c:pt idx="66">
                  <c:v>597.35492159874798</c:v>
                </c:pt>
                <c:pt idx="67">
                  <c:v>590.71681760682065</c:v>
                </c:pt>
                <c:pt idx="68">
                  <c:v>584.21213750946026</c:v>
                </c:pt>
                <c:pt idx="69">
                  <c:v>577.83668927641884</c:v>
                </c:pt>
                <c:pt idx="70">
                  <c:v>571.58645254372573</c:v>
                </c:pt>
                <c:pt idx="71">
                  <c:v>565.45757023247575</c:v>
                </c:pt>
                <c:pt idx="72">
                  <c:v>559.44634063732815</c:v>
                </c:pt>
                <c:pt idx="73">
                  <c:v>553.54920995513044</c:v>
                </c:pt>
                <c:pt idx="74">
                  <c:v>547.76276522614762</c:v>
                </c:pt>
                <c:pt idx="75">
                  <c:v>542.08372766228695</c:v>
                </c:pt>
                <c:pt idx="76">
                  <c:v>536.50894633845508</c:v>
                </c:pt>
                <c:pt idx="77">
                  <c:v>531.03539222483141</c:v>
                </c:pt>
                <c:pt idx="78">
                  <c:v>525.66015253933165</c:v>
                </c:pt>
                <c:pt idx="79">
                  <c:v>520.38042540094193</c:v>
                </c:pt>
                <c:pt idx="80">
                  <c:v>515.19351476588849</c:v>
                </c:pt>
                <c:pt idx="81">
                  <c:v>510.09682562980959</c:v>
                </c:pt>
                <c:pt idx="82">
                  <c:v>505.08785948020648</c:v>
                </c:pt>
                <c:pt idx="83">
                  <c:v>500.16420998447666</c:v>
                </c:pt>
                <c:pt idx="84">
                  <c:v>495.32355889979419</c:v>
                </c:pt>
                <c:pt idx="85">
                  <c:v>490.56367219198711</c:v>
                </c:pt>
                <c:pt idx="86">
                  <c:v>485.88239635138461</c:v>
                </c:pt>
                <c:pt idx="87">
                  <c:v>481.27765489438093</c:v>
                </c:pt>
                <c:pt idx="88">
                  <c:v>476.7474450401694</c:v>
                </c:pt>
                <c:pt idx="89">
                  <c:v>472.28983455276523</c:v>
                </c:pt>
                <c:pt idx="90">
                  <c:v>467.9029587390603</c:v>
                </c:pt>
                <c:pt idx="91">
                  <c:v>463.58501759421756</c:v>
                </c:pt>
                <c:pt idx="92">
                  <c:v>459.33427308626023</c:v>
                </c:pt>
                <c:pt idx="93">
                  <c:v>455.14904657220416</c:v>
                </c:pt>
                <c:pt idx="94">
                  <c:v>451.02771633854991</c:v>
                </c:pt>
                <c:pt idx="95">
                  <c:v>446.96871525938843</c:v>
                </c:pt>
                <c:pt idx="96">
                  <c:v>442.9705285657783</c:v>
                </c:pt>
                <c:pt idx="97">
                  <c:v>439.0316917204317</c:v>
                </c:pt>
                <c:pt idx="98">
                  <c:v>435.15078839210418</c:v>
                </c:pt>
                <c:pt idx="99">
                  <c:v>431.32644852441018</c:v>
                </c:pt>
                <c:pt idx="100">
                  <c:v>427.55734649409959</c:v>
                </c:pt>
                <c:pt idx="101">
                  <c:v>423.84219935412136</c:v>
                </c:pt>
                <c:pt idx="102">
                  <c:v>420.17976515706505</c:v>
                </c:pt>
                <c:pt idx="103">
                  <c:v>416.5688413548371</c:v>
                </c:pt>
                <c:pt idx="104">
                  <c:v>413.0082632706513</c:v>
                </c:pt>
                <c:pt idx="105">
                  <c:v>409.49690263965192</c:v>
                </c:pt>
                <c:pt idx="106">
                  <c:v>406.03366621468604</c:v>
                </c:pt>
                <c:pt idx="107">
                  <c:v>402.61749443393938</c:v>
                </c:pt>
                <c:pt idx="108">
                  <c:v>399.24736014733878</c:v>
                </c:pt>
                <c:pt idx="109">
                  <c:v>395.92226739879351</c:v>
                </c:pt>
                <c:pt idx="110">
                  <c:v>392.64125026150691</c:v>
                </c:pt>
                <c:pt idx="111">
                  <c:v>389.40337172374973</c:v>
                </c:pt>
                <c:pt idx="112">
                  <c:v>386.20772262262193</c:v>
                </c:pt>
                <c:pt idx="113">
                  <c:v>383.05342062346858</c:v>
                </c:pt>
                <c:pt idx="114">
                  <c:v>379.93960924273995</c:v>
                </c:pt>
                <c:pt idx="115">
                  <c:v>376.8654569122059</c:v>
                </c:pt>
                <c:pt idx="116">
                  <c:v>373.83015608254652</c:v>
                </c:pt>
                <c:pt idx="117">
                  <c:v>370.83292236444356</c:v>
                </c:pt>
                <c:pt idx="118">
                  <c:v>367.87299370540171</c:v>
                </c:pt>
                <c:pt idx="119">
                  <c:v>364.94962960061639</c:v>
                </c:pt>
                <c:pt idx="120">
                  <c:v>362.06211033629501</c:v>
                </c:pt>
                <c:pt idx="121">
                  <c:v>359.20973626392583</c:v>
                </c:pt>
                <c:pt idx="122">
                  <c:v>356.39182710405555</c:v>
                </c:pt>
                <c:pt idx="123">
                  <c:v>353.60772127822514</c:v>
                </c:pt>
                <c:pt idx="124">
                  <c:v>350.8567752677701</c:v>
                </c:pt>
                <c:pt idx="125">
                  <c:v>348.13836299826329</c:v>
                </c:pt>
                <c:pt idx="126">
                  <c:v>345.45187524844272</c:v>
                </c:pt>
                <c:pt idx="127">
                  <c:v>342.79671908251566</c:v>
                </c:pt>
                <c:pt idx="128">
                  <c:v>340.1723173047983</c:v>
                </c:pt>
                <c:pt idx="129">
                  <c:v>337.57810793569149</c:v>
                </c:pt>
                <c:pt idx="130">
                  <c:v>335.01354370804887</c:v>
                </c:pt>
                <c:pt idx="131">
                  <c:v>332.47809158303829</c:v>
                </c:pt>
                <c:pt idx="132">
                  <c:v>329.97123228464079</c:v>
                </c:pt>
                <c:pt idx="133">
                  <c:v>327.49245985197507</c:v>
                </c:pt>
                <c:pt idx="134">
                  <c:v>325.04128120867381</c:v>
                </c:pt>
                <c:pt idx="135">
                  <c:v>322.61721574857415</c:v>
                </c:pt>
                <c:pt idx="136">
                  <c:v>320.21979493702383</c:v>
                </c:pt>
                <c:pt idx="137">
                  <c:v>317.84856192713323</c:v>
                </c:pt>
                <c:pt idx="138">
                  <c:v>315.50307119034079</c:v>
                </c:pt>
                <c:pt idx="139">
                  <c:v>313.18288816068264</c:v>
                </c:pt>
                <c:pt idx="140">
                  <c:v>310.88758889219309</c:v>
                </c:pt>
                <c:pt idx="141">
                  <c:v>308.61675972888452</c:v>
                </c:pt>
                <c:pt idx="142">
                  <c:v>306.3699969867813</c:v>
                </c:pt>
                <c:pt idx="143">
                  <c:v>304.14690664751174</c:v>
                </c:pt>
                <c:pt idx="144">
                  <c:v>301.94710406297588</c:v>
                </c:pt>
                <c:pt idx="145">
                  <c:v>299.77021367063998</c:v>
                </c:pt>
                <c:pt idx="146">
                  <c:v>297.61586871901937</c:v>
                </c:pt>
                <c:pt idx="147">
                  <c:v>295.48371100293741</c:v>
                </c:pt>
                <c:pt idx="148">
                  <c:v>293.37339060816572</c:v>
                </c:pt>
                <c:pt idx="149">
                  <c:v>291.28456566506497</c:v>
                </c:pt>
                <c:pt idx="150">
                  <c:v>289.21690211087025</c:v>
                </c:pt>
                <c:pt idx="151">
                  <c:v>287.17007346027185</c:v>
                </c:pt>
                <c:pt idx="152">
                  <c:v>285.14376058396562</c:v>
                </c:pt>
                <c:pt idx="153">
                  <c:v>283.1376514948555</c:v>
                </c:pt>
                <c:pt idx="154">
                  <c:v>281.15144114161012</c:v>
                </c:pt>
                <c:pt idx="155">
                  <c:v>279.18483120928397</c:v>
                </c:pt>
                <c:pt idx="156">
                  <c:v>277.23752992672763</c:v>
                </c:pt>
                <c:pt idx="157">
                  <c:v>275.30925188052674</c:v>
                </c:pt>
                <c:pt idx="158">
                  <c:v>273.39971783521446</c:v>
                </c:pt>
                <c:pt idx="159">
                  <c:v>271.5086545595189</c:v>
                </c:pt>
                <c:pt idx="160">
                  <c:v>269.63579465841417</c:v>
                </c:pt>
                <c:pt idx="161">
                  <c:v>267.78087641075399</c:v>
                </c:pt>
                <c:pt idx="162">
                  <c:v>265.9436436122769</c:v>
                </c:pt>
                <c:pt idx="163">
                  <c:v>264.12384542378066</c:v>
                </c:pt>
                <c:pt idx="164">
                  <c:v>262.32123622427127</c:v>
                </c:pt>
                <c:pt idx="165">
                  <c:v>260.53557546890175</c:v>
                </c:pt>
                <c:pt idx="166">
                  <c:v>258.76662755152199</c:v>
                </c:pt>
                <c:pt idx="167">
                  <c:v>257.01416167166826</c:v>
                </c:pt>
                <c:pt idx="168">
                  <c:v>255.27795170583119</c:v>
                </c:pt>
                <c:pt idx="169">
                  <c:v>253.55777608284217</c:v>
                </c:pt>
                <c:pt idx="170">
                  <c:v>251.85341766323072</c:v>
                </c:pt>
                <c:pt idx="171">
                  <c:v>250.16466362240544</c:v>
                </c:pt>
                <c:pt idx="172">
                  <c:v>248.49130533752299</c:v>
                </c:pt>
                <c:pt idx="173">
                  <c:v>246.83313827791071</c:v>
                </c:pt>
                <c:pt idx="174">
                  <c:v>245.18996189891499</c:v>
                </c:pt>
                <c:pt idx="175">
                  <c:v>243.56157953905421</c:v>
                </c:pt>
                <c:pt idx="176">
                  <c:v>241.94779832035766</c:v>
                </c:pt>
                <c:pt idx="177">
                  <c:v>240.34842905177854</c:v>
                </c:pt>
                <c:pt idx="178">
                  <c:v>238.76328613557166</c:v>
                </c:pt>
                <c:pt idx="179">
                  <c:v>237.1921874765323</c:v>
                </c:pt>
                <c:pt idx="180">
                  <c:v>235.63495439399679</c:v>
                </c:pt>
                <c:pt idx="181">
                  <c:v>234.09141153650671</c:v>
                </c:pt>
                <c:pt idx="182">
                  <c:v>232.56138679904706</c:v>
                </c:pt>
                <c:pt idx="183">
                  <c:v>231.04471124276728</c:v>
                </c:pt>
                <c:pt idx="184">
                  <c:v>229.54121901710093</c:v>
                </c:pt>
                <c:pt idx="185">
                  <c:v>228.05074728420186</c:v>
                </c:pt>
                <c:pt idx="186">
                  <c:v>226.5731361456175</c:v>
                </c:pt>
                <c:pt idx="187">
                  <c:v>225.10822857112365</c:v>
                </c:pt>
                <c:pt idx="188">
                  <c:v>223.6558703296476</c:v>
                </c:pt>
                <c:pt idx="189">
                  <c:v>222.21590992220962</c:v>
                </c:pt>
                <c:pt idx="190">
                  <c:v>220.78819851681428</c:v>
                </c:pt>
                <c:pt idx="191">
                  <c:v>219.37258988522768</c:v>
                </c:pt>
                <c:pt idx="192">
                  <c:v>217.96894034157737</c:v>
                </c:pt>
                <c:pt idx="193">
                  <c:v>216.57710868271369</c:v>
                </c:pt>
                <c:pt idx="194">
                  <c:v>215.19695613027636</c:v>
                </c:pt>
                <c:pt idx="195">
                  <c:v>213.82834627440903</c:v>
                </c:pt>
                <c:pt idx="196">
                  <c:v>212.47114501906759</c:v>
                </c:pt>
                <c:pt idx="197">
                  <c:v>211.12522052887135</c:v>
                </c:pt>
                <c:pt idx="198">
                  <c:v>209.790443177447</c:v>
                </c:pt>
                <c:pt idx="199">
                  <c:v>208.46668549721545</c:v>
                </c:pt>
                <c:pt idx="200">
                  <c:v>207.15382213057762</c:v>
                </c:pt>
                <c:pt idx="201">
                  <c:v>205.85172978245259</c:v>
                </c:pt>
                <c:pt idx="202">
                  <c:v>204.56028717412497</c:v>
                </c:pt>
                <c:pt idx="203">
                  <c:v>203.27937499836105</c:v>
                </c:pt>
                <c:pt idx="204">
                  <c:v>202.00887587575207</c:v>
                </c:pt>
                <c:pt idx="205">
                  <c:v>200.74867431224757</c:v>
                </c:pt>
                <c:pt idx="206">
                  <c:v>199.49865665783932</c:v>
                </c:pt>
                <c:pt idx="207">
                  <c:v>198.25871106636174</c:v>
                </c:pt>
                <c:pt idx="208">
                  <c:v>197.02872745637296</c:v>
                </c:pt>
                <c:pt idx="209">
                  <c:v>195.80859747308335</c:v>
                </c:pt>
                <c:pt idx="210">
                  <c:v>194.59821445129865</c:v>
                </c:pt>
                <c:pt idx="211">
                  <c:v>193.39747337934719</c:v>
                </c:pt>
                <c:pt idx="212">
                  <c:v>192.2062708639603</c:v>
                </c:pt>
                <c:pt idx="213">
                  <c:v>191.02450509607695</c:v>
                </c:pt>
                <c:pt idx="214">
                  <c:v>189.8520758175446</c:v>
                </c:pt>
                <c:pt idx="215">
                  <c:v>188.68888428868956</c:v>
                </c:pt>
                <c:pt idx="216">
                  <c:v>187.53483325672869</c:v>
                </c:pt>
                <c:pt idx="217">
                  <c:v>186.38982692499971</c:v>
                </c:pt>
                <c:pt idx="218">
                  <c:v>185.25377092298373</c:v>
                </c:pt>
                <c:pt idx="219">
                  <c:v>184.12657227709684</c:v>
                </c:pt>
                <c:pt idx="220">
                  <c:v>183.00813938222791</c:v>
                </c:pt>
                <c:pt idx="221">
                  <c:v>181.89838197400042</c:v>
                </c:pt>
                <c:pt idx="222">
                  <c:v>180.79721110173716</c:v>
                </c:pt>
                <c:pt idx="223">
                  <c:v>179.70453910210682</c:v>
                </c:pt>
                <c:pt idx="224">
                  <c:v>178.6202795734319</c:v>
                </c:pt>
                <c:pt idx="225">
                  <c:v>177.54434735064032</c:v>
                </c:pt>
                <c:pt idx="226">
                  <c:v>176.47665848084037</c:v>
                </c:pt>
                <c:pt idx="227">
                  <c:v>175.41713019950095</c:v>
                </c:pt>
                <c:pt idx="228">
                  <c:v>174.36568090722142</c:v>
                </c:pt>
                <c:pt idx="229">
                  <c:v>173.32223014707148</c:v>
                </c:pt>
                <c:pt idx="230">
                  <c:v>172.28669858248685</c:v>
                </c:pt>
                <c:pt idx="231">
                  <c:v>171.25900797570384</c:v>
                </c:pt>
                <c:pt idx="232">
                  <c:v>170.23908116671757</c:v>
                </c:pt>
                <c:pt idx="233">
                  <c:v>169.22684205274916</c:v>
                </c:pt>
                <c:pt idx="234">
                  <c:v>168.22221556820767</c:v>
                </c:pt>
                <c:pt idx="235">
                  <c:v>167.22512766513219</c:v>
                </c:pt>
                <c:pt idx="236">
                  <c:v>166.23550529410139</c:v>
                </c:pt>
                <c:pt idx="237">
                  <c:v>165.2532763855971</c:v>
                </c:pt>
                <c:pt idx="238">
                  <c:v>164.2783698318091</c:v>
                </c:pt>
                <c:pt idx="239">
                  <c:v>163.31071546886895</c:v>
                </c:pt>
                <c:pt idx="240">
                  <c:v>162.35024405950173</c:v>
                </c:pt>
                <c:pt idx="241">
                  <c:v>161.39688727608274</c:v>
                </c:pt>
                <c:pt idx="242">
                  <c:v>160.4505776840893</c:v>
                </c:pt>
                <c:pt idx="243">
                  <c:v>159.5112487259365</c:v>
                </c:pt>
                <c:pt idx="244">
                  <c:v>158.57883470518564</c:v>
                </c:pt>
                <c:pt idx="245">
                  <c:v>157.65327077111698</c:v>
                </c:pt>
                <c:pt idx="246">
                  <c:v>156.73449290365474</c:v>
                </c:pt>
                <c:pt idx="247">
                  <c:v>155.82243789863671</c:v>
                </c:pt>
                <c:pt idx="248">
                  <c:v>154.91704335341831</c:v>
                </c:pt>
                <c:pt idx="249">
                  <c:v>154.01824765280222</c:v>
                </c:pt>
                <c:pt idx="250">
                  <c:v>153.12598995528472</c:v>
                </c:pt>
                <c:pt idx="251">
                  <c:v>152.24021017961152</c:v>
                </c:pt>
                <c:pt idx="252">
                  <c:v>151.36084899163245</c:v>
                </c:pt>
                <c:pt idx="253">
                  <c:v>150.48784779145001</c:v>
                </c:pt>
                <c:pt idx="254">
                  <c:v>149.62114870085182</c:v>
                </c:pt>
                <c:pt idx="255">
                  <c:v>148.76069455102058</c:v>
                </c:pt>
                <c:pt idx="256">
                  <c:v>147.90642887051405</c:v>
                </c:pt>
                <c:pt idx="257">
                  <c:v>147.05829587350797</c:v>
                </c:pt>
                <c:pt idx="258">
                  <c:v>146.21624044829511</c:v>
                </c:pt>
                <c:pt idx="259">
                  <c:v>145.38020814603416</c:v>
                </c:pt>
                <c:pt idx="260">
                  <c:v>144.55014516974109</c:v>
                </c:pt>
                <c:pt idx="261">
                  <c:v>143.72599836351813</c:v>
                </c:pt>
                <c:pt idx="262">
                  <c:v>142.90771520201301</c:v>
                </c:pt>
                <c:pt idx="263">
                  <c:v>142.09524378010337</c:v>
                </c:pt>
                <c:pt idx="264">
                  <c:v>141.28853280280012</c:v>
                </c:pt>
                <c:pt idx="265">
                  <c:v>140.48753157536501</c:v>
                </c:pt>
                <c:pt idx="266">
                  <c:v>139.69218999363565</c:v>
                </c:pt>
                <c:pt idx="267">
                  <c:v>138.90245853455423</c:v>
                </c:pt>
                <c:pt idx="268">
                  <c:v>138.11828824689397</c:v>
                </c:pt>
                <c:pt idx="269">
                  <c:v>137.33963074217812</c:v>
                </c:pt>
                <c:pt idx="270">
                  <c:v>136.56643818578794</c:v>
                </c:pt>
                <c:pt idx="271">
                  <c:v>135.79866328825364</c:v>
                </c:pt>
                <c:pt idx="272">
                  <c:v>135.03625929672424</c:v>
                </c:pt>
                <c:pt idx="273">
                  <c:v>134.27917998661249</c:v>
                </c:pt>
                <c:pt idx="274">
                  <c:v>133.5273796534095</c:v>
                </c:pt>
                <c:pt idx="275">
                  <c:v>132.7808131046659</c:v>
                </c:pt>
                <c:pt idx="276">
                  <c:v>132.03943565213476</c:v>
                </c:pt>
                <c:pt idx="277">
                  <c:v>131.30320310407294</c:v>
                </c:pt>
                <c:pt idx="278">
                  <c:v>130.57207175769642</c:v>
                </c:pt>
                <c:pt idx="279">
                  <c:v>129.8459983917864</c:v>
                </c:pt>
                <c:pt idx="280">
                  <c:v>129.12494025944218</c:v>
                </c:pt>
                <c:pt idx="281">
                  <c:v>128.4088550809779</c:v>
                </c:pt>
                <c:pt idx="282">
                  <c:v>127.69770103695839</c:v>
                </c:pt>
                <c:pt idx="283">
                  <c:v>126.99143676137268</c:v>
                </c:pt>
                <c:pt idx="284">
                  <c:v>126.29002133494022</c:v>
                </c:pt>
                <c:pt idx="285">
                  <c:v>125.59341427854778</c:v>
                </c:pt>
                <c:pt idx="286">
                  <c:v>124.90157554681323</c:v>
                </c:pt>
                <c:pt idx="287">
                  <c:v>124.21446552177375</c:v>
                </c:pt>
                <c:pt idx="288">
                  <c:v>123.53204500669513</c:v>
                </c:pt>
                <c:pt idx="289">
                  <c:v>122.85427521999974</c:v>
                </c:pt>
                <c:pt idx="290">
                  <c:v>122.18111778931014</c:v>
                </c:pt>
                <c:pt idx="291">
                  <c:v>121.51253474560566</c:v>
                </c:pt>
                <c:pt idx="292">
                  <c:v>120.84848851748927</c:v>
                </c:pt>
                <c:pt idx="293">
                  <c:v>120.18894192556266</c:v>
                </c:pt>
                <c:pt idx="294">
                  <c:v>119.53385817690648</c:v>
                </c:pt>
                <c:pt idx="295">
                  <c:v>118.88320085966372</c:v>
                </c:pt>
                <c:pt idx="296">
                  <c:v>118.23693393772329</c:v>
                </c:pt>
                <c:pt idx="297">
                  <c:v>117.59502174550269</c:v>
                </c:pt>
                <c:pt idx="298">
                  <c:v>116.95742898282627</c:v>
                </c:pt>
                <c:pt idx="299">
                  <c:v>116.32412070989746</c:v>
                </c:pt>
                <c:pt idx="300">
                  <c:v>115.69506234236306</c:v>
                </c:pt>
                <c:pt idx="301">
                  <c:v>115.07021964646748</c:v>
                </c:pt>
                <c:pt idx="302">
                  <c:v>114.44955873429396</c:v>
                </c:pt>
                <c:pt idx="303">
                  <c:v>113.83304605909284</c:v>
                </c:pt>
                <c:pt idx="304">
                  <c:v>113.22064841069252</c:v>
                </c:pt>
                <c:pt idx="305">
                  <c:v>112.61233291099347</c:v>
                </c:pt>
                <c:pt idx="306">
                  <c:v>112.0080670095418</c:v>
                </c:pt>
                <c:pt idx="307">
                  <c:v>111.40781847918188</c:v>
                </c:pt>
                <c:pt idx="308">
                  <c:v>110.81155541178528</c:v>
                </c:pt>
                <c:pt idx="309">
                  <c:v>110.219246214055</c:v>
                </c:pt>
                <c:pt idx="310">
                  <c:v>109.63085960340351</c:v>
                </c:pt>
                <c:pt idx="311">
                  <c:v>109.04636460390199</c:v>
                </c:pt>
                <c:pt idx="312">
                  <c:v>108.46573054230035</c:v>
                </c:pt>
                <c:pt idx="313">
                  <c:v>107.88892704411616</c:v>
                </c:pt>
                <c:pt idx="314">
                  <c:v>107.31592402979045</c:v>
                </c:pt>
                <c:pt idx="315">
                  <c:v>106.74669171091003</c:v>
                </c:pt>
                <c:pt idx="316">
                  <c:v>106.1812005864937</c:v>
                </c:pt>
                <c:pt idx="317">
                  <c:v>105.61942143934196</c:v>
                </c:pt>
                <c:pt idx="318">
                  <c:v>105.06132533244852</c:v>
                </c:pt>
                <c:pt idx="319">
                  <c:v>104.50688360547193</c:v>
                </c:pt>
                <c:pt idx="320">
                  <c:v>103.956067871267</c:v>
                </c:pt>
                <c:pt idx="321">
                  <c:v>103.40885001247369</c:v>
                </c:pt>
                <c:pt idx="322">
                  <c:v>102.86520217816314</c:v>
                </c:pt>
                <c:pt idx="323">
                  <c:v>102.32509678053877</c:v>
                </c:pt>
                <c:pt idx="324">
                  <c:v>101.78850649169266</c:v>
                </c:pt>
                <c:pt idx="325">
                  <c:v>101.25540424041424</c:v>
                </c:pt>
                <c:pt idx="326">
                  <c:v>100.72576320905208</c:v>
                </c:pt>
                <c:pt idx="327">
                  <c:v>100.19955683042629</c:v>
                </c:pt>
                <c:pt idx="328">
                  <c:v>99.676758784790906</c:v>
                </c:pt>
                <c:pt idx="329">
                  <c:v>99.157342996846026</c:v>
                </c:pt>
                <c:pt idx="330">
                  <c:v>98.641283632797425</c:v>
                </c:pt>
                <c:pt idx="331">
                  <c:v>98.128555097463334</c:v>
                </c:pt>
                <c:pt idx="332">
                  <c:v>97.619132031427583</c:v>
                </c:pt>
                <c:pt idx="333">
                  <c:v>97.112989308237744</c:v>
                </c:pt>
                <c:pt idx="334">
                  <c:v>96.610102031648012</c:v>
                </c:pt>
                <c:pt idx="335">
                  <c:v>96.110445532904947</c:v>
                </c:pt>
                <c:pt idx="336">
                  <c:v>95.613995368076218</c:v>
                </c:pt>
                <c:pt idx="337">
                  <c:v>95.120727315420879</c:v>
                </c:pt>
                <c:pt idx="338">
                  <c:v>94.630617372800316</c:v>
                </c:pt>
                <c:pt idx="339">
                  <c:v>94.14364175513029</c:v>
                </c:pt>
                <c:pt idx="340">
                  <c:v>93.659776891870663</c:v>
                </c:pt>
                <c:pt idx="341">
                  <c:v>93.178999424555343</c:v>
                </c:pt>
                <c:pt idx="342">
                  <c:v>92.701286204358667</c:v>
                </c:pt>
                <c:pt idx="343">
                  <c:v>92.226614289699725</c:v>
                </c:pt>
                <c:pt idx="344">
                  <c:v>91.754960943882651</c:v>
                </c:pt>
                <c:pt idx="345">
                  <c:v>91.286303632772658</c:v>
                </c:pt>
                <c:pt idx="346">
                  <c:v>90.820620022506702</c:v>
                </c:pt>
                <c:pt idx="347">
                  <c:v>90.357887977239187</c:v>
                </c:pt>
                <c:pt idx="348">
                  <c:v>89.898085556920336</c:v>
                </c:pt>
                <c:pt idx="349">
                  <c:v>89.44119101510833</c:v>
                </c:pt>
                <c:pt idx="350">
                  <c:v>88.987182796813457</c:v>
                </c:pt>
                <c:pt idx="351">
                  <c:v>88.536039536373949</c:v>
                </c:pt>
                <c:pt idx="352">
                  <c:v>88.08774005536327</c:v>
                </c:pt>
                <c:pt idx="353">
                  <c:v>87.642263360527579</c:v>
                </c:pt>
                <c:pt idx="354">
                  <c:v>87.199588641753749</c:v>
                </c:pt>
                <c:pt idx="355">
                  <c:v>86.759695270066004</c:v>
                </c:pt>
                <c:pt idx="356">
                  <c:v>86.322562795652487</c:v>
                </c:pt>
                <c:pt idx="357">
                  <c:v>85.888170945919128</c:v>
                </c:pt>
                <c:pt idx="358">
                  <c:v>85.456499623572256</c:v>
                </c:pt>
                <c:pt idx="359">
                  <c:v>85.027528904727774</c:v>
                </c:pt>
                <c:pt idx="360">
                  <c:v>84.601239037047833</c:v>
                </c:pt>
                <c:pt idx="361">
                  <c:v>84.177610437903439</c:v>
                </c:pt>
                <c:pt idx="362">
                  <c:v>83.756623692562826</c:v>
                </c:pt>
                <c:pt idx="363">
                  <c:v>83.338259552405617</c:v>
                </c:pt>
                <c:pt idx="364">
                  <c:v>82.922498933161634</c:v>
                </c:pt>
                <c:pt idx="365">
                  <c:v>82.509322913174273</c:v>
                </c:pt>
                <c:pt idx="366">
                  <c:v>82.09871273168784</c:v>
                </c:pt>
                <c:pt idx="367">
                  <c:v>81.690649787158648</c:v>
                </c:pt>
                <c:pt idx="368">
                  <c:v>81.285115635589207</c:v>
                </c:pt>
                <c:pt idx="369">
                  <c:v>80.882091988885165</c:v>
                </c:pt>
                <c:pt idx="370">
                  <c:v>80.481560713234828</c:v>
                </c:pt>
                <c:pt idx="371">
                  <c:v>80.083503827510356</c:v>
                </c:pt>
                <c:pt idx="372">
                  <c:v>79.687903501690982</c:v>
                </c:pt>
                <c:pt idx="373">
                  <c:v>79.294742055306898</c:v>
                </c:pt>
                <c:pt idx="374">
                  <c:v>78.904001955904533</c:v>
                </c:pt>
                <c:pt idx="375">
                  <c:v>78.515665817532067</c:v>
                </c:pt>
                <c:pt idx="376">
                  <c:v>78.129716399245083</c:v>
                </c:pt>
                <c:pt idx="377">
                  <c:v>77.746136603632067</c:v>
                </c:pt>
                <c:pt idx="378">
                  <c:v>77.364909475359326</c:v>
                </c:pt>
                <c:pt idx="379">
                  <c:v>76.986018199735</c:v>
                </c:pt>
                <c:pt idx="380">
                  <c:v>76.60944610129215</c:v>
                </c:pt>
                <c:pt idx="381">
                  <c:v>76.23517664238976</c:v>
                </c:pt>
                <c:pt idx="382">
                  <c:v>75.863193421832506</c:v>
                </c:pt>
                <c:pt idx="383">
                  <c:v>75.493480173507834</c:v>
                </c:pt>
                <c:pt idx="384">
                  <c:v>75.126020765041261</c:v>
                </c:pt>
                <c:pt idx="385">
                  <c:v>74.760799196468113</c:v>
                </c:pt>
                <c:pt idx="386">
                  <c:v>74.397799598922987</c:v>
                </c:pt>
                <c:pt idx="387">
                  <c:v>74.037006233345537</c:v>
                </c:pt>
                <c:pt idx="388">
                  <c:v>73.678403489202594</c:v>
                </c:pt>
                <c:pt idx="389">
                  <c:v>73.321975883226798</c:v>
                </c:pt>
                <c:pt idx="390">
                  <c:v>72.967708058170786</c:v>
                </c:pt>
                <c:pt idx="391">
                  <c:v>72.615584781577098</c:v>
                </c:pt>
                <c:pt idx="392">
                  <c:v>72.265590944563527</c:v>
                </c:pt>
                <c:pt idx="393">
                  <c:v>71.917711560623459</c:v>
                </c:pt>
                <c:pt idx="394">
                  <c:v>71.571931764441246</c:v>
                </c:pt>
                <c:pt idx="395">
                  <c:v>71.228236810722095</c:v>
                </c:pt>
                <c:pt idx="396">
                  <c:v>70.886612073036375</c:v>
                </c:pt>
                <c:pt idx="397">
                  <c:v>70.547043042678141</c:v>
                </c:pt>
                <c:pt idx="398">
                  <c:v>70.209515327537446</c:v>
                </c:pt>
                <c:pt idx="399">
                  <c:v>69.874014650986723</c:v>
                </c:pt>
                <c:pt idx="400">
                  <c:v>69.540526850780225</c:v>
                </c:pt>
                <c:pt idx="401">
                  <c:v>69.20903787796712</c:v>
                </c:pt>
                <c:pt idx="402">
                  <c:v>68.879533795817522</c:v>
                </c:pt>
                <c:pt idx="403">
                  <c:v>68.552000778761254</c:v>
                </c:pt>
                <c:pt idx="404">
                  <c:v>68.226425111339623</c:v>
                </c:pt>
                <c:pt idx="405">
                  <c:v>67.902793187169465</c:v>
                </c:pt>
                <c:pt idx="406">
                  <c:v>67.581091507919382</c:v>
                </c:pt>
                <c:pt idx="407">
                  <c:v>67.261306682298326</c:v>
                </c:pt>
                <c:pt idx="408">
                  <c:v>66.943425425055892</c:v>
                </c:pt>
                <c:pt idx="409">
                  <c:v>66.627434555994526</c:v>
                </c:pt>
                <c:pt idx="410">
                  <c:v>66.313320998993049</c:v>
                </c:pt>
                <c:pt idx="411">
                  <c:v>66.001071781041787</c:v>
                </c:pt>
                <c:pt idx="412">
                  <c:v>65.690674031288708</c:v>
                </c:pt>
                <c:pt idx="413">
                  <c:v>65.382114980096745</c:v>
                </c:pt>
                <c:pt idx="414">
                  <c:v>65.075381958112004</c:v>
                </c:pt>
                <c:pt idx="415">
                  <c:v>64.770462395342449</c:v>
                </c:pt>
                <c:pt idx="416">
                  <c:v>64.467343820247379</c:v>
                </c:pt>
                <c:pt idx="417">
                  <c:v>64.16601385883726</c:v>
                </c:pt>
                <c:pt idx="418">
                  <c:v>63.866460233783592</c:v>
                </c:pt>
                <c:pt idx="419">
                  <c:v>63.568670763539131</c:v>
                </c:pt>
                <c:pt idx="420">
                  <c:v>63.272633361467868</c:v>
                </c:pt>
                <c:pt idx="421">
                  <c:v>62.978336034984913</c:v>
                </c:pt>
                <c:pt idx="422">
                  <c:v>62.685766884705906</c:v>
                </c:pt>
                <c:pt idx="423">
                  <c:v>62.394914103606027</c:v>
                </c:pt>
                <c:pt idx="424">
                  <c:v>62.105765976188351</c:v>
                </c:pt>
                <c:pt idx="425">
                  <c:v>61.81831087766151</c:v>
                </c:pt>
                <c:pt idx="426">
                  <c:v>61.532537273126188</c:v>
                </c:pt>
                <c:pt idx="427">
                  <c:v>61.248433716771103</c:v>
                </c:pt>
                <c:pt idx="428">
                  <c:v>60.965988851077185</c:v>
                </c:pt>
                <c:pt idx="429">
                  <c:v>60.68519140603108</c:v>
                </c:pt>
                <c:pt idx="430">
                  <c:v>60.406030198346848</c:v>
                </c:pt>
                <c:pt idx="431">
                  <c:v>60.128494130696296</c:v>
                </c:pt>
                <c:pt idx="432">
                  <c:v>59.852572190947598</c:v>
                </c:pt>
                <c:pt idx="433">
                  <c:v>59.578253451412259</c:v>
                </c:pt>
                <c:pt idx="434">
                  <c:v>59.30552706810014</c:v>
                </c:pt>
                <c:pt idx="435">
                  <c:v>59.034382279982452</c:v>
                </c:pt>
                <c:pt idx="436">
                  <c:v>58.764808408262681</c:v>
                </c:pt>
                <c:pt idx="437">
                  <c:v>58.496794855655466</c:v>
                </c:pt>
                <c:pt idx="438">
                  <c:v>58.230331105672697</c:v>
                </c:pt>
                <c:pt idx="439">
                  <c:v>57.965406721917816</c:v>
                </c:pt>
                <c:pt idx="440">
                  <c:v>57.702011347387234</c:v>
                </c:pt>
                <c:pt idx="441">
                  <c:v>57.44013470377898</c:v>
                </c:pt>
                <c:pt idx="442">
                  <c:v>57.179766590809045</c:v>
                </c:pt>
                <c:pt idx="443">
                  <c:v>56.920896885534525</c:v>
                </c:pt>
                <c:pt idx="444">
                  <c:v>56.663515541684077</c:v>
                </c:pt>
                <c:pt idx="445">
                  <c:v>56.407612588995242</c:v>
                </c:pt>
                <c:pt idx="446">
                  <c:v>56.153178132558729</c:v>
                </c:pt>
                <c:pt idx="447">
                  <c:v>55.900202352169416</c:v>
                </c:pt>
                <c:pt idx="448">
                  <c:v>55.648675501684131</c:v>
                </c:pt>
                <c:pt idx="449">
                  <c:v>55.398587908386105</c:v>
                </c:pt>
                <c:pt idx="450">
                  <c:v>55.149929972355764</c:v>
                </c:pt>
                <c:pt idx="451">
                  <c:v>54.902692165848244</c:v>
                </c:pt>
                <c:pt idx="452">
                  <c:v>54.656865032676976</c:v>
                </c:pt>
                <c:pt idx="453">
                  <c:v>54.412439187603802</c:v>
                </c:pt>
                <c:pt idx="454">
                  <c:v>54.16940531573519</c:v>
                </c:pt>
                <c:pt idx="455">
                  <c:v>53.927754171924533</c:v>
                </c:pt>
                <c:pt idx="456">
                  <c:v>53.687476580180544</c:v>
                </c:pt>
                <c:pt idx="457">
                  <c:v>53.448563433081624</c:v>
                </c:pt>
                <c:pt idx="458">
                  <c:v>53.211005691196057</c:v>
                </c:pt>
                <c:pt idx="459">
                  <c:v>52.974794382508101</c:v>
                </c:pt>
                <c:pt idx="460">
                  <c:v>52.739920601849704</c:v>
                </c:pt>
                <c:pt idx="461">
                  <c:v>52.506375510338117</c:v>
                </c:pt>
                <c:pt idx="462">
                  <c:v>52.274150334818756</c:v>
                </c:pt>
                <c:pt idx="463">
                  <c:v>52.043236367313909</c:v>
                </c:pt>
                <c:pt idx="464">
                  <c:v>51.813624964476681</c:v>
                </c:pt>
                <c:pt idx="465">
                  <c:v>51.585307547050554</c:v>
                </c:pt>
                <c:pt idx="466">
                  <c:v>51.358275599333965</c:v>
                </c:pt>
                <c:pt idx="467">
                  <c:v>51.13252066865045</c:v>
                </c:pt>
                <c:pt idx="468">
                  <c:v>50.908034364823763</c:v>
                </c:pt>
                <c:pt idx="469">
                  <c:v>50.684808359658177</c:v>
                </c:pt>
                <c:pt idx="470">
                  <c:v>50.462834386423999</c:v>
                </c:pt>
                <c:pt idx="471">
                  <c:v>50.242104239347817</c:v>
                </c:pt>
                <c:pt idx="472">
                  <c:v>50.022609773107867</c:v>
                </c:pt>
                <c:pt idx="473">
                  <c:v>49.804342902334305</c:v>
                </c:pt>
                <c:pt idx="474">
                  <c:v>49.587295601114242</c:v>
                </c:pt>
                <c:pt idx="475">
                  <c:v>49.371459902501449</c:v>
                </c:pt>
                <c:pt idx="476">
                  <c:v>49.156827898030997</c:v>
                </c:pt>
                <c:pt idx="477">
                  <c:v>48.943391737238358</c:v>
                </c:pt>
                <c:pt idx="478">
                  <c:v>48.73114362718313</c:v>
                </c:pt>
                <c:pt idx="479">
                  <c:v>48.520075831977408</c:v>
                </c:pt>
                <c:pt idx="480">
                  <c:v>48.310180672318594</c:v>
                </c:pt>
                <c:pt idx="481">
                  <c:v>48.10145052502655</c:v>
                </c:pt>
                <c:pt idx="482">
                  <c:v>47.893877822585267</c:v>
                </c:pt>
                <c:pt idx="483">
                  <c:v>47.687455052688748</c:v>
                </c:pt>
                <c:pt idx="484">
                  <c:v>47.482174757791341</c:v>
                </c:pt>
                <c:pt idx="485">
                  <c:v>47.278029534662039</c:v>
                </c:pt>
                <c:pt idx="486">
                  <c:v>47.075012033943274</c:v>
                </c:pt>
                <c:pt idx="487">
                  <c:v>46.873114959713668</c:v>
                </c:pt>
                <c:pt idx="488">
                  <c:v>46.672331069054742</c:v>
                </c:pt>
                <c:pt idx="489">
                  <c:v>46.472653171622014</c:v>
                </c:pt>
                <c:pt idx="490">
                  <c:v>46.274074129219819</c:v>
                </c:pt>
                <c:pt idx="491">
                  <c:v>46.076586855380071</c:v>
                </c:pt>
                <c:pt idx="492">
                  <c:v>45.880184314945154</c:v>
                </c:pt>
                <c:pt idx="493">
                  <c:v>45.684859523654438</c:v>
                </c:pt>
                <c:pt idx="494">
                  <c:v>45.490605547734646</c:v>
                </c:pt>
                <c:pt idx="495">
                  <c:v>45.29741550349425</c:v>
                </c:pt>
                <c:pt idx="496">
                  <c:v>45.105282556921146</c:v>
                </c:pt>
                <c:pt idx="497">
                  <c:v>44.914199923284428</c:v>
                </c:pt>
                <c:pt idx="498">
                  <c:v>44.724160866739609</c:v>
                </c:pt>
                <c:pt idx="499">
                  <c:v>44.535158699937462</c:v>
                </c:pt>
                <c:pt idx="500">
                  <c:v>44.347186783636467</c:v>
                </c:pt>
                <c:pt idx="501">
                  <c:v>44.160238526318736</c:v>
                </c:pt>
                <c:pt idx="502">
                  <c:v>43.974307383809609</c:v>
                </c:pt>
                <c:pt idx="503">
                  <c:v>43.789386858900258</c:v>
                </c:pt>
                <c:pt idx="504">
                  <c:v>43.605470500974327</c:v>
                </c:pt>
                <c:pt idx="505">
                  <c:v>43.422551905637427</c:v>
                </c:pt>
                <c:pt idx="506">
                  <c:v>43.240624714350105</c:v>
                </c:pt>
                <c:pt idx="507">
                  <c:v>43.059682614064386</c:v>
                </c:pt>
                <c:pt idx="508">
                  <c:v>42.879719336863168</c:v>
                </c:pt>
                <c:pt idx="509">
                  <c:v>42.700728659603115</c:v>
                </c:pt>
                <c:pt idx="510">
                  <c:v>42.522704403560681</c:v>
                </c:pt>
                <c:pt idx="511">
                  <c:v>42.345640434081311</c:v>
                </c:pt>
                <c:pt idx="512">
                  <c:v>42.169530660231693</c:v>
                </c:pt>
                <c:pt idx="513">
                  <c:v>41.994369034455147</c:v>
                </c:pt>
                <c:pt idx="514">
                  <c:v>41.820149552230205</c:v>
                </c:pt>
                <c:pt idx="515">
                  <c:v>41.646866251732007</c:v>
                </c:pt>
                <c:pt idx="516">
                  <c:v>41.474513213496799</c:v>
                </c:pt>
                <c:pt idx="517">
                  <c:v>41.303084560089459</c:v>
                </c:pt>
                <c:pt idx="518">
                  <c:v>41.132574455773792</c:v>
                </c:pt>
                <c:pt idx="519">
                  <c:v>40.962977106185875</c:v>
                </c:pt>
                <c:pt idx="520">
                  <c:v>40.794286758010252</c:v>
                </c:pt>
                <c:pt idx="521">
                  <c:v>40.626497698658909</c:v>
                </c:pt>
                <c:pt idx="522">
                  <c:v>40.459604255953153</c:v>
                </c:pt>
                <c:pt idx="523">
                  <c:v>40.293600797808104</c:v>
                </c:pt>
                <c:pt idx="524">
                  <c:v>40.128481731920218</c:v>
                </c:pt>
                <c:pt idx="525">
                  <c:v>39.964241505457267</c:v>
                </c:pt>
                <c:pt idx="526">
                  <c:v>39.800874604751201</c:v>
                </c:pt>
                <c:pt idx="527">
                  <c:v>39.638375554993608</c:v>
                </c:pt>
                <c:pt idx="528">
                  <c:v>39.476738919933737</c:v>
                </c:pt>
                <c:pt idx="529">
                  <c:v>39.315959301579369</c:v>
                </c:pt>
                <c:pt idx="530">
                  <c:v>39.156031339900061</c:v>
                </c:pt>
                <c:pt idx="531">
                  <c:v>38.996949712532953</c:v>
                </c:pt>
                <c:pt idx="532">
                  <c:v>38.838709134491417</c:v>
                </c:pt>
                <c:pt idx="533">
                  <c:v>38.681304357875717</c:v>
                </c:pt>
                <c:pt idx="534">
                  <c:v>38.52473017158664</c:v>
                </c:pt>
                <c:pt idx="535">
                  <c:v>38.368981401041268</c:v>
                </c:pt>
                <c:pt idx="536">
                  <c:v>38.214052907891393</c:v>
                </c:pt>
                <c:pt idx="537">
                  <c:v>38.059939589744182</c:v>
                </c:pt>
                <c:pt idx="538">
                  <c:v>37.906636379885285</c:v>
                </c:pt>
                <c:pt idx="539">
                  <c:v>37.75413824700442</c:v>
                </c:pt>
                <c:pt idx="540">
                  <c:v>37.602440194923155</c:v>
                </c:pt>
                <c:pt idx="541">
                  <c:v>37.451537262325054</c:v>
                </c:pt>
                <c:pt idx="542">
                  <c:v>37.301424522488155</c:v>
                </c:pt>
                <c:pt idx="543">
                  <c:v>37.152097083019669</c:v>
                </c:pt>
                <c:pt idx="544">
                  <c:v>37.00355008559297</c:v>
                </c:pt>
                <c:pt idx="545">
                  <c:v>36.855778705686767</c:v>
                </c:pt>
                <c:pt idx="546">
                  <c:v>36.70877815232663</c:v>
                </c:pt>
                <c:pt idx="547">
                  <c:v>36.562543667828429</c:v>
                </c:pt>
                <c:pt idx="548">
                  <c:v>36.417070527544176</c:v>
                </c:pt>
                <c:pt idx="549">
                  <c:v>36.272354039609965</c:v>
                </c:pt>
                <c:pt idx="550">
                  <c:v>36.128389544695963</c:v>
                </c:pt>
                <c:pt idx="551">
                  <c:v>35.98517241575847</c:v>
                </c:pt>
                <c:pt idx="552">
                  <c:v>35.842698057794294</c:v>
                </c:pt>
                <c:pt idx="553">
                  <c:v>35.700961907596863</c:v>
                </c:pt>
                <c:pt idx="554">
                  <c:v>35.559959433514649</c:v>
                </c:pt>
                <c:pt idx="555">
                  <c:v>35.419686135211457</c:v>
                </c:pt>
                <c:pt idx="556">
                  <c:v>35.280137543428772</c:v>
                </c:pt>
                <c:pt idx="557">
                  <c:v>35.14130921975012</c:v>
                </c:pt>
                <c:pt idx="558">
                  <c:v>35.003196756367288</c:v>
                </c:pt>
                <c:pt idx="559">
                  <c:v>34.865795775848625</c:v>
                </c:pt>
                <c:pt idx="560">
                  <c:v>34.729101930909174</c:v>
                </c:pt>
                <c:pt idx="561">
                  <c:v>34.593110904182801</c:v>
                </c:pt>
                <c:pt idx="562">
                  <c:v>34.457818407996079</c:v>
                </c:pt>
                <c:pt idx="563">
                  <c:v>34.323220184144162</c:v>
                </c:pt>
                <c:pt idx="564">
                  <c:v>34.189312003668519</c:v>
                </c:pt>
                <c:pt idx="565">
                  <c:v>34.056089666636389</c:v>
                </c:pt>
                <c:pt idx="566">
                  <c:v>33.923549001922225</c:v>
                </c:pt>
                <c:pt idx="567">
                  <c:v>33.791685866990839</c:v>
                </c:pt>
                <c:pt idx="568">
                  <c:v>33.660496147682238</c:v>
                </c:pt>
                <c:pt idx="569">
                  <c:v>33.529975757998521</c:v>
                </c:pt>
                <c:pt idx="570">
                  <c:v>33.400120639892222</c:v>
                </c:pt>
                <c:pt idx="571">
                  <c:v>33.270926763056565</c:v>
                </c:pt>
                <c:pt idx="572">
                  <c:v>33.142390124717416</c:v>
                </c:pt>
                <c:pt idx="573">
                  <c:v>33.014506749426864</c:v>
                </c:pt>
                <c:pt idx="574">
                  <c:v>32.887272688858637</c:v>
                </c:pt>
                <c:pt idx="575">
                  <c:v>32.760684021605051</c:v>
                </c:pt>
                <c:pt idx="576">
                  <c:v>32.634736852975664</c:v>
                </c:pt>
                <c:pt idx="577">
                  <c:v>32.509427314797648</c:v>
                </c:pt>
                <c:pt idx="578">
                  <c:v>32.384751565217634</c:v>
                </c:pt>
                <c:pt idx="579">
                  <c:v>32.260705788505355</c:v>
                </c:pt>
                <c:pt idx="580">
                  <c:v>32.137286194858767</c:v>
                </c:pt>
                <c:pt idx="581">
                  <c:v>32.014489020210753</c:v>
                </c:pt>
                <c:pt idx="582">
                  <c:v>31.892310526037488</c:v>
                </c:pt>
                <c:pt idx="583">
                  <c:v>31.770746999168257</c:v>
                </c:pt>
                <c:pt idx="584">
                  <c:v>31.649794751596872</c:v>
                </c:pt>
                <c:pt idx="585">
                  <c:v>31.529450120294605</c:v>
                </c:pt>
                <c:pt idx="586">
                  <c:v>31.40970946702468</c:v>
                </c:pt>
                <c:pt idx="587">
                  <c:v>31.290569178158155</c:v>
                </c:pt>
                <c:pt idx="588">
                  <c:v>31.172025664491382</c:v>
                </c:pt>
                <c:pt idx="589">
                  <c:v>31.054075361064964</c:v>
                </c:pt>
                <c:pt idx="590">
                  <c:v>30.936714726984064</c:v>
                </c:pt>
                <c:pt idx="591">
                  <c:v>30.819940245240225</c:v>
                </c:pt>
                <c:pt idx="592">
                  <c:v>30.703748422534691</c:v>
                </c:pt>
                <c:pt idx="593">
                  <c:v>30.588135789103003</c:v>
                </c:pt>
                <c:pt idx="594">
                  <c:v>30.473098898541121</c:v>
                </c:pt>
                <c:pt idx="595">
                  <c:v>30.35863432763292</c:v>
                </c:pt>
                <c:pt idx="596">
                  <c:v>30.244738676179022</c:v>
                </c:pt>
                <c:pt idx="597">
                  <c:v>30.131408566827048</c:v>
                </c:pt>
                <c:pt idx="598">
                  <c:v>30.018640644903186</c:v>
                </c:pt>
                <c:pt idx="599">
                  <c:v>29.906431578245215</c:v>
                </c:pt>
                <c:pt idx="600">
                  <c:v>29.794778057036694</c:v>
                </c:pt>
                <c:pt idx="601">
                  <c:v>29.683676793642604</c:v>
                </c:pt>
                <c:pt idx="602">
                  <c:v>29.573124522446289</c:v>
                </c:pt>
                <c:pt idx="603">
                  <c:v>29.463117999687611</c:v>
                </c:pt>
                <c:pt idx="604">
                  <c:v>29.353654003302506</c:v>
                </c:pt>
                <c:pt idx="605">
                  <c:v>29.244729332763765</c:v>
                </c:pt>
                <c:pt idx="606">
                  <c:v>29.136340808923059</c:v>
                </c:pt>
                <c:pt idx="607">
                  <c:v>29.028485273854258</c:v>
                </c:pt>
                <c:pt idx="608">
                  <c:v>28.921159590698004</c:v>
                </c:pt>
                <c:pt idx="609">
                  <c:v>28.814360643507449</c:v>
                </c:pt>
                <c:pt idx="610">
                  <c:v>28.708085337095305</c:v>
                </c:pt>
                <c:pt idx="611">
                  <c:v>28.602330596882055</c:v>
                </c:pt>
                <c:pt idx="612">
                  <c:v>28.497093368745354</c:v>
                </c:pt>
                <c:pt idx="613">
                  <c:v>28.392370618870665</c:v>
                </c:pt>
                <c:pt idx="614">
                  <c:v>28.288159333603062</c:v>
                </c:pt>
                <c:pt idx="615">
                  <c:v>28.184456519300166</c:v>
                </c:pt>
                <c:pt idx="616">
                  <c:v>28.081259202186295</c:v>
                </c:pt>
                <c:pt idx="617">
                  <c:v>27.978564428207751</c:v>
                </c:pt>
                <c:pt idx="618">
                  <c:v>27.87636926288917</c:v>
                </c:pt>
                <c:pt idx="619">
                  <c:v>27.774670791191191</c:v>
                </c:pt>
                <c:pt idx="620">
                  <c:v>27.673466117369035</c:v>
                </c:pt>
                <c:pt idx="621">
                  <c:v>27.572752364832319</c:v>
                </c:pt>
                <c:pt idx="622">
                  <c:v>27.472526676005913</c:v>
                </c:pt>
                <c:pt idx="623">
                  <c:v>27.372786212191976</c:v>
                </c:pt>
                <c:pt idx="624">
                  <c:v>27.273528153432945</c:v>
                </c:pt>
                <c:pt idx="625">
                  <c:v>27.174749698375731</c:v>
                </c:pt>
                <c:pt idx="626">
                  <c:v>27.076448064136891</c:v>
                </c:pt>
                <c:pt idx="627">
                  <c:v>26.978620486168904</c:v>
                </c:pt>
                <c:pt idx="628">
                  <c:v>26.881264218127413</c:v>
                </c:pt>
                <c:pt idx="629">
                  <c:v>26.784376531739653</c:v>
                </c:pt>
                <c:pt idx="630">
                  <c:v>26.687954716673765</c:v>
                </c:pt>
                <c:pt idx="631">
                  <c:v>26.591996080409174</c:v>
                </c:pt>
                <c:pt idx="632">
                  <c:v>26.496497948108065</c:v>
                </c:pt>
                <c:pt idx="633">
                  <c:v>26.401457662487687</c:v>
                </c:pt>
                <c:pt idx="634">
                  <c:v>26.306872583693817</c:v>
                </c:pt>
                <c:pt idx="635">
                  <c:v>26.212740089175174</c:v>
                </c:pt>
                <c:pt idx="636">
                  <c:v>26.119057573558699</c:v>
                </c:pt>
                <c:pt idx="637">
                  <c:v>26.025822448525918</c:v>
                </c:pt>
                <c:pt idx="638">
                  <c:v>25.933032142690287</c:v>
                </c:pt>
                <c:pt idx="639">
                  <c:v>25.840684101475379</c:v>
                </c:pt>
                <c:pt idx="640">
                  <c:v>25.748775786994099</c:v>
                </c:pt>
                <c:pt idx="641">
                  <c:v>25.657304677928831</c:v>
                </c:pt>
                <c:pt idx="642">
                  <c:v>25.566268269412483</c:v>
                </c:pt>
                <c:pt idx="643">
                  <c:v>25.47566407291044</c:v>
                </c:pt>
                <c:pt idx="644">
                  <c:v>25.385489616103531</c:v>
                </c:pt>
                <c:pt idx="645">
                  <c:v>25.295742442771768</c:v>
                </c:pt>
                <c:pt idx="646">
                  <c:v>25.206420112679041</c:v>
                </c:pt>
                <c:pt idx="647">
                  <c:v>25.117520201458802</c:v>
                </c:pt>
                <c:pt idx="648">
                  <c:v>25.029040300500426</c:v>
                </c:pt>
                <c:pt idx="649">
                  <c:v>24.940978016836663</c:v>
                </c:pt>
                <c:pt idx="650">
                  <c:v>24.853330973031753</c:v>
                </c:pt>
                <c:pt idx="651">
                  <c:v>24.766096807070593</c:v>
                </c:pt>
                <c:pt idx="652">
                  <c:v>24.679273172248713</c:v>
                </c:pt>
                <c:pt idx="653">
                  <c:v>24.592857737062882</c:v>
                </c:pt>
                <c:pt idx="654">
                  <c:v>24.506848185102992</c:v>
                </c:pt>
                <c:pt idx="655">
                  <c:v>24.421242214944289</c:v>
                </c:pt>
                <c:pt idx="656">
                  <c:v>24.336037540040753</c:v>
                </c:pt>
                <c:pt idx="657">
                  <c:v>24.251231888619273</c:v>
                </c:pt>
                <c:pt idx="658">
                  <c:v>24.166823003574418</c:v>
                </c:pt>
                <c:pt idx="659">
                  <c:v>24.082808642364334</c:v>
                </c:pt>
                <c:pt idx="660">
                  <c:v>23.999186576907118</c:v>
                </c:pt>
                <c:pt idx="661">
                  <c:v>23.915954593478197</c:v>
                </c:pt>
                <c:pt idx="662">
                  <c:v>23.833110492608526</c:v>
                </c:pt>
                <c:pt idx="663">
                  <c:v>23.750652088983276</c:v>
                </c:pt>
                <c:pt idx="664">
                  <c:v>23.668577211341709</c:v>
                </c:pt>
                <c:pt idx="665">
                  <c:v>23.586883702377442</c:v>
                </c:pt>
                <c:pt idx="666">
                  <c:v>23.505569418639688</c:v>
                </c:pt>
                <c:pt idx="667">
                  <c:v>23.424632230435286</c:v>
                </c:pt>
                <c:pt idx="668">
                  <c:v>23.344070021731238</c:v>
                </c:pt>
                <c:pt idx="669">
                  <c:v>23.263880690058283</c:v>
                </c:pt>
                <c:pt idx="670">
                  <c:v>23.184062146414959</c:v>
                </c:pt>
                <c:pt idx="671">
                  <c:v>23.104612315172595</c:v>
                </c:pt>
                <c:pt idx="672">
                  <c:v>23.025529133980882</c:v>
                </c:pt>
                <c:pt idx="673">
                  <c:v>22.946810553674219</c:v>
                </c:pt>
                <c:pt idx="674">
                  <c:v>22.868454538178806</c:v>
                </c:pt>
                <c:pt idx="675">
                  <c:v>22.790459064420382</c:v>
                </c:pt>
                <c:pt idx="676">
                  <c:v>22.712822122232676</c:v>
                </c:pt>
                <c:pt idx="677">
                  <c:v>22.635541714266598</c:v>
                </c:pt>
                <c:pt idx="678">
                  <c:v>22.558615855900079</c:v>
                </c:pt>
                <c:pt idx="679">
                  <c:v>22.482042575148611</c:v>
                </c:pt>
                <c:pt idx="680">
                  <c:v>22.405819912576419</c:v>
                </c:pt>
                <c:pt idx="681">
                  <c:v>22.329945921208406</c:v>
                </c:pt>
                <c:pt idx="682">
                  <c:v>22.2544186664427</c:v>
                </c:pt>
                <c:pt idx="683">
                  <c:v>22.179236225963784</c:v>
                </c:pt>
                <c:pt idx="684">
                  <c:v>22.104396689656504</c:v>
                </c:pt>
                <c:pt idx="685">
                  <c:v>22.029898159520474</c:v>
                </c:pt>
                <c:pt idx="686">
                  <c:v>21.955738749585311</c:v>
                </c:pt>
                <c:pt idx="687">
                  <c:v>21.881916585826445</c:v>
                </c:pt>
                <c:pt idx="688">
                  <c:v>21.80842980608152</c:v>
                </c:pt>
                <c:pt idx="689">
                  <c:v>21.735276559967527</c:v>
                </c:pt>
                <c:pt idx="690">
                  <c:v>21.662455008798474</c:v>
                </c:pt>
                <c:pt idx="691">
                  <c:v>21.589963325503689</c:v>
                </c:pt>
                <c:pt idx="692">
                  <c:v>21.517799694546831</c:v>
                </c:pt>
                <c:pt idx="693">
                  <c:v>21.445962311845364</c:v>
                </c:pt>
                <c:pt idx="694">
                  <c:v>21.374449384690774</c:v>
                </c:pt>
                <c:pt idx="695">
                  <c:v>21.30325913166924</c:v>
                </c:pt>
                <c:pt idx="696">
                  <c:v>21.232389782583098</c:v>
                </c:pt>
                <c:pt idx="697">
                  <c:v>21.161839578372692</c:v>
                </c:pt>
                <c:pt idx="698">
                  <c:v>21.091606771038954</c:v>
                </c:pt>
                <c:pt idx="699">
                  <c:v>21.021689623566481</c:v>
                </c:pt>
                <c:pt idx="700">
                  <c:v>20.952086409847258</c:v>
                </c:pt>
                <c:pt idx="701">
                  <c:v>20.882795414604885</c:v>
                </c:pt>
                <c:pt idx="702">
                  <c:v>20.813814933319435</c:v>
                </c:pt>
                <c:pt idx="703">
                  <c:v>20.745143272152838</c:v>
                </c:pt>
                <c:pt idx="704">
                  <c:v>20.676778747874796</c:v>
                </c:pt>
                <c:pt idx="705">
                  <c:v>20.60871968778936</c:v>
                </c:pt>
                <c:pt idx="706">
                  <c:v>20.540964429661891</c:v>
                </c:pt>
                <c:pt idx="707">
                  <c:v>20.473511321646768</c:v>
                </c:pt>
                <c:pt idx="708">
                  <c:v>20.406358722215423</c:v>
                </c:pt>
                <c:pt idx="709">
                  <c:v>20.339505000085119</c:v>
                </c:pt>
                <c:pt idx="710">
                  <c:v>20.272948534148068</c:v>
                </c:pt>
                <c:pt idx="711">
                  <c:v>20.206687713401205</c:v>
                </c:pt>
                <c:pt idx="712">
                  <c:v>20.140720936876527</c:v>
                </c:pt>
                <c:pt idx="713">
                  <c:v>20.075046613571732</c:v>
                </c:pt>
                <c:pt idx="714">
                  <c:v>20.009663162381639</c:v>
                </c:pt>
                <c:pt idx="715">
                  <c:v>19.944569012029948</c:v>
                </c:pt>
                <c:pt idx="716">
                  <c:v>19.879762601001534</c:v>
                </c:pt>
                <c:pt idx="717">
                  <c:v>19.815242377475354</c:v>
                </c:pt>
                <c:pt idx="718">
                  <c:v>19.751006799257638</c:v>
                </c:pt>
                <c:pt idx="719">
                  <c:v>19.687054333715881</c:v>
                </c:pt>
                <c:pt idx="720">
                  <c:v>19.623383457712968</c:v>
                </c:pt>
                <c:pt idx="721">
                  <c:v>19.559992657542061</c:v>
                </c:pt>
                <c:pt idx="722">
                  <c:v>19.496880428861949</c:v>
                </c:pt>
                <c:pt idx="723">
                  <c:v>19.434045276632631</c:v>
                </c:pt>
                <c:pt idx="724">
                  <c:v>19.371485715051751</c:v>
                </c:pt>
                <c:pt idx="725">
                  <c:v>19.309200267491146</c:v>
                </c:pt>
                <c:pt idx="726">
                  <c:v>19.247187466434109</c:v>
                </c:pt>
                <c:pt idx="727">
                  <c:v>19.185445853413043</c:v>
                </c:pt>
                <c:pt idx="728">
                  <c:v>19.1239739789475</c:v>
                </c:pt>
                <c:pt idx="729">
                  <c:v>19.062770402482812</c:v>
                </c:pt>
                <c:pt idx="730">
                  <c:v>19.001833692329054</c:v>
                </c:pt>
                <c:pt idx="731">
                  <c:v>18.941162425600552</c:v>
                </c:pt>
                <c:pt idx="732">
                  <c:v>18.880755188155788</c:v>
                </c:pt>
                <c:pt idx="733">
                  <c:v>18.820610574537728</c:v>
                </c:pt>
                <c:pt idx="734">
                  <c:v>18.760727187914689</c:v>
                </c:pt>
                <c:pt idx="735">
                  <c:v>18.701103640021497</c:v>
                </c:pt>
                <c:pt idx="736">
                  <c:v>18.641738551101191</c:v>
                </c:pt>
                <c:pt idx="737">
                  <c:v>18.582630549847146</c:v>
                </c:pt>
                <c:pt idx="738">
                  <c:v>18.523778273345535</c:v>
                </c:pt>
                <c:pt idx="739">
                  <c:v>18.465180367018373</c:v>
                </c:pt>
                <c:pt idx="740">
                  <c:v>18.40683548456677</c:v>
                </c:pt>
                <c:pt idx="741">
                  <c:v>18.348742287914789</c:v>
                </c:pt>
                <c:pt idx="742">
                  <c:v>18.290899447153631</c:v>
                </c:pt>
                <c:pt idx="743">
                  <c:v>18.233305640486243</c:v>
                </c:pt>
                <c:pt idx="744">
                  <c:v>18.175959554172326</c:v>
                </c:pt>
                <c:pt idx="745">
                  <c:v>18.118859882473732</c:v>
                </c:pt>
                <c:pt idx="746">
                  <c:v>18.062005327600332</c:v>
                </c:pt>
                <c:pt idx="747">
                  <c:v>18.005394599656185</c:v>
                </c:pt>
                <c:pt idx="748">
                  <c:v>17.949026416586165</c:v>
                </c:pt>
                <c:pt idx="749">
                  <c:v>17.89289950412298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621-4875-B88C-B488B95351CA}"/>
            </c:ext>
          </c:extLst>
        </c:ser>
        <c:ser>
          <c:idx val="2"/>
          <c:order val="2"/>
          <c:tx>
            <c:strRef>
              <c:f>'sheet 1'!$P$38</c:f>
              <c:strCache>
                <c:ptCount val="1"/>
                <c:pt idx="0">
                  <c:v>I1</c:v>
                </c:pt>
              </c:strCache>
            </c:strRef>
          </c:tx>
          <c:spPr>
            <a:ln w="19050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'sheet 1'!$B$39:$B$841</c:f>
              <c:numCache>
                <c:formatCode>General</c:formatCode>
                <c:ptCount val="803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  <c:pt idx="79">
                  <c:v>8</c:v>
                </c:pt>
                <c:pt idx="80">
                  <c:v>8.1</c:v>
                </c:pt>
                <c:pt idx="81">
                  <c:v>8.1999999999999993</c:v>
                </c:pt>
                <c:pt idx="82">
                  <c:v>8.3000000000000007</c:v>
                </c:pt>
                <c:pt idx="83">
                  <c:v>8.4</c:v>
                </c:pt>
                <c:pt idx="84">
                  <c:v>8.5</c:v>
                </c:pt>
                <c:pt idx="85">
                  <c:v>8.6</c:v>
                </c:pt>
                <c:pt idx="86">
                  <c:v>8.6999999999999993</c:v>
                </c:pt>
                <c:pt idx="87">
                  <c:v>8.8000000000000007</c:v>
                </c:pt>
                <c:pt idx="88">
                  <c:v>8.9</c:v>
                </c:pt>
                <c:pt idx="89">
                  <c:v>9</c:v>
                </c:pt>
                <c:pt idx="90">
                  <c:v>9.1</c:v>
                </c:pt>
                <c:pt idx="91">
                  <c:v>9.1999999999999993</c:v>
                </c:pt>
                <c:pt idx="92">
                  <c:v>9.3000000000000007</c:v>
                </c:pt>
                <c:pt idx="93">
                  <c:v>9.4</c:v>
                </c:pt>
                <c:pt idx="94">
                  <c:v>9.5</c:v>
                </c:pt>
                <c:pt idx="95">
                  <c:v>9.6</c:v>
                </c:pt>
                <c:pt idx="96">
                  <c:v>9.6999999999999993</c:v>
                </c:pt>
                <c:pt idx="97">
                  <c:v>9.8000000000000007</c:v>
                </c:pt>
                <c:pt idx="98">
                  <c:v>9.9</c:v>
                </c:pt>
                <c:pt idx="99">
                  <c:v>10</c:v>
                </c:pt>
                <c:pt idx="100">
                  <c:v>10.1</c:v>
                </c:pt>
                <c:pt idx="101">
                  <c:v>10.199999999999999</c:v>
                </c:pt>
                <c:pt idx="102">
                  <c:v>10.3</c:v>
                </c:pt>
                <c:pt idx="103">
                  <c:v>10.4</c:v>
                </c:pt>
                <c:pt idx="104">
                  <c:v>10.5</c:v>
                </c:pt>
                <c:pt idx="105">
                  <c:v>10.6</c:v>
                </c:pt>
                <c:pt idx="106">
                  <c:v>10.7</c:v>
                </c:pt>
                <c:pt idx="107">
                  <c:v>10.8</c:v>
                </c:pt>
                <c:pt idx="108">
                  <c:v>10.9</c:v>
                </c:pt>
                <c:pt idx="109">
                  <c:v>11</c:v>
                </c:pt>
                <c:pt idx="110">
                  <c:v>11.1</c:v>
                </c:pt>
                <c:pt idx="111">
                  <c:v>11.2</c:v>
                </c:pt>
                <c:pt idx="112">
                  <c:v>11.3</c:v>
                </c:pt>
                <c:pt idx="113">
                  <c:v>11.4</c:v>
                </c:pt>
                <c:pt idx="114">
                  <c:v>11.5</c:v>
                </c:pt>
                <c:pt idx="115">
                  <c:v>11.6</c:v>
                </c:pt>
                <c:pt idx="116">
                  <c:v>11.7</c:v>
                </c:pt>
                <c:pt idx="117">
                  <c:v>11.8</c:v>
                </c:pt>
                <c:pt idx="118">
                  <c:v>11.9</c:v>
                </c:pt>
                <c:pt idx="119">
                  <c:v>12</c:v>
                </c:pt>
                <c:pt idx="120">
                  <c:v>12.1</c:v>
                </c:pt>
                <c:pt idx="121">
                  <c:v>12.2</c:v>
                </c:pt>
                <c:pt idx="122">
                  <c:v>12.3</c:v>
                </c:pt>
                <c:pt idx="123">
                  <c:v>12.4</c:v>
                </c:pt>
                <c:pt idx="124">
                  <c:v>12.5</c:v>
                </c:pt>
                <c:pt idx="125">
                  <c:v>12.6</c:v>
                </c:pt>
                <c:pt idx="126">
                  <c:v>12.7</c:v>
                </c:pt>
                <c:pt idx="127">
                  <c:v>12.8</c:v>
                </c:pt>
                <c:pt idx="128">
                  <c:v>12.9</c:v>
                </c:pt>
                <c:pt idx="129">
                  <c:v>13</c:v>
                </c:pt>
                <c:pt idx="130">
                  <c:v>13.1</c:v>
                </c:pt>
                <c:pt idx="131">
                  <c:v>13.2</c:v>
                </c:pt>
                <c:pt idx="132">
                  <c:v>13.3</c:v>
                </c:pt>
                <c:pt idx="133">
                  <c:v>13.4</c:v>
                </c:pt>
                <c:pt idx="134">
                  <c:v>13.5</c:v>
                </c:pt>
                <c:pt idx="135">
                  <c:v>13.6</c:v>
                </c:pt>
                <c:pt idx="136">
                  <c:v>13.7</c:v>
                </c:pt>
                <c:pt idx="137">
                  <c:v>13.8</c:v>
                </c:pt>
                <c:pt idx="138">
                  <c:v>13.9</c:v>
                </c:pt>
                <c:pt idx="139">
                  <c:v>14</c:v>
                </c:pt>
                <c:pt idx="140">
                  <c:v>14.1</c:v>
                </c:pt>
                <c:pt idx="141">
                  <c:v>14.2</c:v>
                </c:pt>
                <c:pt idx="142">
                  <c:v>14.3</c:v>
                </c:pt>
                <c:pt idx="143">
                  <c:v>14.4</c:v>
                </c:pt>
                <c:pt idx="144">
                  <c:v>14.5</c:v>
                </c:pt>
                <c:pt idx="145">
                  <c:v>14.6</c:v>
                </c:pt>
                <c:pt idx="146">
                  <c:v>14.7</c:v>
                </c:pt>
                <c:pt idx="147">
                  <c:v>14.8</c:v>
                </c:pt>
                <c:pt idx="148">
                  <c:v>14.9</c:v>
                </c:pt>
                <c:pt idx="149">
                  <c:v>15</c:v>
                </c:pt>
                <c:pt idx="150">
                  <c:v>15.1</c:v>
                </c:pt>
                <c:pt idx="151">
                  <c:v>15.2</c:v>
                </c:pt>
                <c:pt idx="152">
                  <c:v>15.3</c:v>
                </c:pt>
                <c:pt idx="153">
                  <c:v>15.4</c:v>
                </c:pt>
                <c:pt idx="154">
                  <c:v>15.5</c:v>
                </c:pt>
                <c:pt idx="155">
                  <c:v>15.6</c:v>
                </c:pt>
                <c:pt idx="156">
                  <c:v>15.7</c:v>
                </c:pt>
                <c:pt idx="157">
                  <c:v>15.8</c:v>
                </c:pt>
                <c:pt idx="158">
                  <c:v>15.9</c:v>
                </c:pt>
                <c:pt idx="159">
                  <c:v>16</c:v>
                </c:pt>
                <c:pt idx="160">
                  <c:v>16.100000000000001</c:v>
                </c:pt>
                <c:pt idx="161">
                  <c:v>16.2</c:v>
                </c:pt>
                <c:pt idx="162">
                  <c:v>16.3</c:v>
                </c:pt>
                <c:pt idx="163">
                  <c:v>16.399999999999999</c:v>
                </c:pt>
                <c:pt idx="164">
                  <c:v>16.5</c:v>
                </c:pt>
                <c:pt idx="165">
                  <c:v>16.600000000000001</c:v>
                </c:pt>
                <c:pt idx="166">
                  <c:v>16.7</c:v>
                </c:pt>
                <c:pt idx="167">
                  <c:v>16.8</c:v>
                </c:pt>
                <c:pt idx="168">
                  <c:v>16.899999999999999</c:v>
                </c:pt>
                <c:pt idx="169">
                  <c:v>17</c:v>
                </c:pt>
                <c:pt idx="170">
                  <c:v>17.100000000000001</c:v>
                </c:pt>
                <c:pt idx="171">
                  <c:v>17.2</c:v>
                </c:pt>
                <c:pt idx="172">
                  <c:v>17.3</c:v>
                </c:pt>
                <c:pt idx="173">
                  <c:v>17.399999999999999</c:v>
                </c:pt>
                <c:pt idx="174">
                  <c:v>17.5</c:v>
                </c:pt>
                <c:pt idx="175">
                  <c:v>17.600000000000001</c:v>
                </c:pt>
                <c:pt idx="176">
                  <c:v>17.7</c:v>
                </c:pt>
                <c:pt idx="177">
                  <c:v>17.8</c:v>
                </c:pt>
                <c:pt idx="178">
                  <c:v>17.899999999999999</c:v>
                </c:pt>
                <c:pt idx="179">
                  <c:v>18</c:v>
                </c:pt>
                <c:pt idx="180">
                  <c:v>18.100000000000001</c:v>
                </c:pt>
                <c:pt idx="181">
                  <c:v>18.2</c:v>
                </c:pt>
                <c:pt idx="182">
                  <c:v>18.3</c:v>
                </c:pt>
                <c:pt idx="183">
                  <c:v>18.399999999999999</c:v>
                </c:pt>
                <c:pt idx="184">
                  <c:v>18.5</c:v>
                </c:pt>
                <c:pt idx="185">
                  <c:v>18.600000000000001</c:v>
                </c:pt>
                <c:pt idx="186">
                  <c:v>18.7</c:v>
                </c:pt>
                <c:pt idx="187">
                  <c:v>18.8</c:v>
                </c:pt>
                <c:pt idx="188">
                  <c:v>18.899999999999999</c:v>
                </c:pt>
                <c:pt idx="189">
                  <c:v>19</c:v>
                </c:pt>
                <c:pt idx="190">
                  <c:v>19.100000000000001</c:v>
                </c:pt>
                <c:pt idx="191">
                  <c:v>19.2</c:v>
                </c:pt>
                <c:pt idx="192">
                  <c:v>19.3</c:v>
                </c:pt>
                <c:pt idx="193">
                  <c:v>19.399999999999999</c:v>
                </c:pt>
                <c:pt idx="194">
                  <c:v>19.5</c:v>
                </c:pt>
                <c:pt idx="195">
                  <c:v>19.600000000000001</c:v>
                </c:pt>
                <c:pt idx="196">
                  <c:v>19.7</c:v>
                </c:pt>
                <c:pt idx="197">
                  <c:v>19.8</c:v>
                </c:pt>
                <c:pt idx="198">
                  <c:v>19.899999999999999</c:v>
                </c:pt>
                <c:pt idx="199">
                  <c:v>20</c:v>
                </c:pt>
                <c:pt idx="200">
                  <c:v>20.100000000000001</c:v>
                </c:pt>
                <c:pt idx="201">
                  <c:v>20.2</c:v>
                </c:pt>
                <c:pt idx="202">
                  <c:v>20.3</c:v>
                </c:pt>
                <c:pt idx="203">
                  <c:v>20.399999999999999</c:v>
                </c:pt>
                <c:pt idx="204">
                  <c:v>20.5</c:v>
                </c:pt>
                <c:pt idx="205">
                  <c:v>20.6</c:v>
                </c:pt>
                <c:pt idx="206">
                  <c:v>20.7</c:v>
                </c:pt>
                <c:pt idx="207">
                  <c:v>20.8</c:v>
                </c:pt>
                <c:pt idx="208">
                  <c:v>20.9</c:v>
                </c:pt>
                <c:pt idx="209">
                  <c:v>21</c:v>
                </c:pt>
                <c:pt idx="210">
                  <c:v>21.1</c:v>
                </c:pt>
                <c:pt idx="211">
                  <c:v>21.2</c:v>
                </c:pt>
                <c:pt idx="212">
                  <c:v>21.3</c:v>
                </c:pt>
                <c:pt idx="213">
                  <c:v>21.4</c:v>
                </c:pt>
                <c:pt idx="214">
                  <c:v>21.5</c:v>
                </c:pt>
                <c:pt idx="215">
                  <c:v>21.6</c:v>
                </c:pt>
                <c:pt idx="216">
                  <c:v>21.7</c:v>
                </c:pt>
                <c:pt idx="217">
                  <c:v>21.8</c:v>
                </c:pt>
                <c:pt idx="218">
                  <c:v>21.9</c:v>
                </c:pt>
                <c:pt idx="219">
                  <c:v>22</c:v>
                </c:pt>
                <c:pt idx="220">
                  <c:v>22.1</c:v>
                </c:pt>
                <c:pt idx="221">
                  <c:v>22.2</c:v>
                </c:pt>
                <c:pt idx="222">
                  <c:v>22.3</c:v>
                </c:pt>
                <c:pt idx="223">
                  <c:v>22.4</c:v>
                </c:pt>
                <c:pt idx="224">
                  <c:v>22.5</c:v>
                </c:pt>
                <c:pt idx="225">
                  <c:v>22.6</c:v>
                </c:pt>
                <c:pt idx="226">
                  <c:v>22.7</c:v>
                </c:pt>
                <c:pt idx="227">
                  <c:v>22.8</c:v>
                </c:pt>
                <c:pt idx="228">
                  <c:v>22.9</c:v>
                </c:pt>
                <c:pt idx="229">
                  <c:v>23</c:v>
                </c:pt>
                <c:pt idx="230">
                  <c:v>23.1</c:v>
                </c:pt>
                <c:pt idx="231">
                  <c:v>23.2</c:v>
                </c:pt>
                <c:pt idx="232">
                  <c:v>23.3</c:v>
                </c:pt>
                <c:pt idx="233">
                  <c:v>23.4</c:v>
                </c:pt>
                <c:pt idx="234">
                  <c:v>23.5</c:v>
                </c:pt>
                <c:pt idx="235">
                  <c:v>23.6</c:v>
                </c:pt>
                <c:pt idx="236">
                  <c:v>23.7</c:v>
                </c:pt>
                <c:pt idx="237">
                  <c:v>23.8</c:v>
                </c:pt>
                <c:pt idx="238">
                  <c:v>23.9</c:v>
                </c:pt>
                <c:pt idx="239">
                  <c:v>24</c:v>
                </c:pt>
                <c:pt idx="240">
                  <c:v>24.1</c:v>
                </c:pt>
                <c:pt idx="241">
                  <c:v>24.2</c:v>
                </c:pt>
                <c:pt idx="242">
                  <c:v>24.3</c:v>
                </c:pt>
                <c:pt idx="243">
                  <c:v>24.4</c:v>
                </c:pt>
                <c:pt idx="244">
                  <c:v>24.5</c:v>
                </c:pt>
                <c:pt idx="245">
                  <c:v>24.6</c:v>
                </c:pt>
                <c:pt idx="246">
                  <c:v>24.7</c:v>
                </c:pt>
                <c:pt idx="247">
                  <c:v>24.8</c:v>
                </c:pt>
                <c:pt idx="248">
                  <c:v>24.9</c:v>
                </c:pt>
                <c:pt idx="249">
                  <c:v>25</c:v>
                </c:pt>
                <c:pt idx="250">
                  <c:v>25.1</c:v>
                </c:pt>
                <c:pt idx="251">
                  <c:v>25.2</c:v>
                </c:pt>
                <c:pt idx="252">
                  <c:v>25.3</c:v>
                </c:pt>
                <c:pt idx="253">
                  <c:v>25.4</c:v>
                </c:pt>
                <c:pt idx="254">
                  <c:v>25.5</c:v>
                </c:pt>
                <c:pt idx="255">
                  <c:v>25.6</c:v>
                </c:pt>
                <c:pt idx="256">
                  <c:v>25.7</c:v>
                </c:pt>
                <c:pt idx="257">
                  <c:v>25.8</c:v>
                </c:pt>
                <c:pt idx="258">
                  <c:v>25.9</c:v>
                </c:pt>
                <c:pt idx="259">
                  <c:v>26</c:v>
                </c:pt>
                <c:pt idx="260">
                  <c:v>26.1</c:v>
                </c:pt>
                <c:pt idx="261">
                  <c:v>26.2</c:v>
                </c:pt>
                <c:pt idx="262">
                  <c:v>26.3</c:v>
                </c:pt>
                <c:pt idx="263">
                  <c:v>26.4</c:v>
                </c:pt>
                <c:pt idx="264">
                  <c:v>26.5</c:v>
                </c:pt>
                <c:pt idx="265">
                  <c:v>26.6</c:v>
                </c:pt>
                <c:pt idx="266">
                  <c:v>26.7</c:v>
                </c:pt>
                <c:pt idx="267">
                  <c:v>26.8</c:v>
                </c:pt>
                <c:pt idx="268">
                  <c:v>26.9</c:v>
                </c:pt>
                <c:pt idx="269">
                  <c:v>27</c:v>
                </c:pt>
                <c:pt idx="270">
                  <c:v>27.1</c:v>
                </c:pt>
                <c:pt idx="271">
                  <c:v>27.2</c:v>
                </c:pt>
                <c:pt idx="272">
                  <c:v>27.3</c:v>
                </c:pt>
                <c:pt idx="273">
                  <c:v>27.4</c:v>
                </c:pt>
                <c:pt idx="274">
                  <c:v>27.5</c:v>
                </c:pt>
                <c:pt idx="275">
                  <c:v>27.6</c:v>
                </c:pt>
                <c:pt idx="276">
                  <c:v>27.7</c:v>
                </c:pt>
                <c:pt idx="277">
                  <c:v>27.8</c:v>
                </c:pt>
                <c:pt idx="278">
                  <c:v>27.9</c:v>
                </c:pt>
                <c:pt idx="279">
                  <c:v>28</c:v>
                </c:pt>
                <c:pt idx="280">
                  <c:v>28.1</c:v>
                </c:pt>
                <c:pt idx="281">
                  <c:v>28.2</c:v>
                </c:pt>
                <c:pt idx="282">
                  <c:v>28.3</c:v>
                </c:pt>
                <c:pt idx="283">
                  <c:v>28.4</c:v>
                </c:pt>
                <c:pt idx="284">
                  <c:v>28.5</c:v>
                </c:pt>
                <c:pt idx="285">
                  <c:v>28.6</c:v>
                </c:pt>
                <c:pt idx="286">
                  <c:v>28.7</c:v>
                </c:pt>
                <c:pt idx="287">
                  <c:v>28.8</c:v>
                </c:pt>
                <c:pt idx="288">
                  <c:v>28.9</c:v>
                </c:pt>
                <c:pt idx="289">
                  <c:v>29</c:v>
                </c:pt>
                <c:pt idx="290">
                  <c:v>29.1</c:v>
                </c:pt>
                <c:pt idx="291">
                  <c:v>29.2</c:v>
                </c:pt>
                <c:pt idx="292">
                  <c:v>29.3</c:v>
                </c:pt>
                <c:pt idx="293">
                  <c:v>29.4</c:v>
                </c:pt>
                <c:pt idx="294">
                  <c:v>29.5</c:v>
                </c:pt>
                <c:pt idx="295">
                  <c:v>29.6</c:v>
                </c:pt>
                <c:pt idx="296">
                  <c:v>29.7</c:v>
                </c:pt>
                <c:pt idx="297">
                  <c:v>29.8</c:v>
                </c:pt>
                <c:pt idx="298">
                  <c:v>29.9</c:v>
                </c:pt>
                <c:pt idx="299">
                  <c:v>30</c:v>
                </c:pt>
                <c:pt idx="300">
                  <c:v>30.1</c:v>
                </c:pt>
                <c:pt idx="301">
                  <c:v>30.2</c:v>
                </c:pt>
                <c:pt idx="302">
                  <c:v>30.3</c:v>
                </c:pt>
                <c:pt idx="303">
                  <c:v>30.4</c:v>
                </c:pt>
                <c:pt idx="304">
                  <c:v>30.5</c:v>
                </c:pt>
                <c:pt idx="305">
                  <c:v>30.6</c:v>
                </c:pt>
                <c:pt idx="306">
                  <c:v>30.7</c:v>
                </c:pt>
                <c:pt idx="307">
                  <c:v>30.8</c:v>
                </c:pt>
                <c:pt idx="308">
                  <c:v>30.9</c:v>
                </c:pt>
                <c:pt idx="309">
                  <c:v>31</c:v>
                </c:pt>
                <c:pt idx="310">
                  <c:v>31.1</c:v>
                </c:pt>
                <c:pt idx="311">
                  <c:v>31.2</c:v>
                </c:pt>
                <c:pt idx="312">
                  <c:v>31.3</c:v>
                </c:pt>
                <c:pt idx="313">
                  <c:v>31.4</c:v>
                </c:pt>
                <c:pt idx="314">
                  <c:v>31.5</c:v>
                </c:pt>
                <c:pt idx="315">
                  <c:v>31.6</c:v>
                </c:pt>
                <c:pt idx="316">
                  <c:v>31.7</c:v>
                </c:pt>
                <c:pt idx="317">
                  <c:v>31.8</c:v>
                </c:pt>
                <c:pt idx="318">
                  <c:v>31.9</c:v>
                </c:pt>
                <c:pt idx="319">
                  <c:v>32</c:v>
                </c:pt>
                <c:pt idx="320">
                  <c:v>32.1</c:v>
                </c:pt>
                <c:pt idx="321">
                  <c:v>32.200000000000003</c:v>
                </c:pt>
                <c:pt idx="322">
                  <c:v>32.299999999999997</c:v>
                </c:pt>
                <c:pt idx="323">
                  <c:v>32.4</c:v>
                </c:pt>
                <c:pt idx="324">
                  <c:v>32.5</c:v>
                </c:pt>
                <c:pt idx="325">
                  <c:v>32.6</c:v>
                </c:pt>
                <c:pt idx="326">
                  <c:v>32.700000000000003</c:v>
                </c:pt>
                <c:pt idx="327">
                  <c:v>32.799999999999997</c:v>
                </c:pt>
                <c:pt idx="328">
                  <c:v>32.9</c:v>
                </c:pt>
                <c:pt idx="329">
                  <c:v>33</c:v>
                </c:pt>
                <c:pt idx="330">
                  <c:v>33.1</c:v>
                </c:pt>
                <c:pt idx="331">
                  <c:v>33.200000000000003</c:v>
                </c:pt>
                <c:pt idx="332">
                  <c:v>33.299999999999997</c:v>
                </c:pt>
                <c:pt idx="333">
                  <c:v>33.4</c:v>
                </c:pt>
                <c:pt idx="334">
                  <c:v>33.5</c:v>
                </c:pt>
                <c:pt idx="335">
                  <c:v>33.6</c:v>
                </c:pt>
                <c:pt idx="336">
                  <c:v>33.700000000000003</c:v>
                </c:pt>
                <c:pt idx="337">
                  <c:v>33.799999999999997</c:v>
                </c:pt>
                <c:pt idx="338">
                  <c:v>33.9</c:v>
                </c:pt>
                <c:pt idx="339">
                  <c:v>34</c:v>
                </c:pt>
                <c:pt idx="340">
                  <c:v>34.1</c:v>
                </c:pt>
                <c:pt idx="341">
                  <c:v>34.200000000000003</c:v>
                </c:pt>
                <c:pt idx="342">
                  <c:v>34.299999999999997</c:v>
                </c:pt>
                <c:pt idx="343">
                  <c:v>34.4</c:v>
                </c:pt>
                <c:pt idx="344">
                  <c:v>34.5</c:v>
                </c:pt>
                <c:pt idx="345">
                  <c:v>34.6</c:v>
                </c:pt>
                <c:pt idx="346">
                  <c:v>34.700000000000003</c:v>
                </c:pt>
                <c:pt idx="347">
                  <c:v>34.799999999999997</c:v>
                </c:pt>
                <c:pt idx="348">
                  <c:v>34.9</c:v>
                </c:pt>
                <c:pt idx="349">
                  <c:v>35</c:v>
                </c:pt>
                <c:pt idx="350">
                  <c:v>35.1</c:v>
                </c:pt>
                <c:pt idx="351">
                  <c:v>35.200000000000003</c:v>
                </c:pt>
                <c:pt idx="352">
                  <c:v>35.299999999999997</c:v>
                </c:pt>
                <c:pt idx="353">
                  <c:v>35.4</c:v>
                </c:pt>
                <c:pt idx="354">
                  <c:v>35.5</c:v>
                </c:pt>
                <c:pt idx="355">
                  <c:v>35.6</c:v>
                </c:pt>
                <c:pt idx="356">
                  <c:v>35.700000000000003</c:v>
                </c:pt>
                <c:pt idx="357">
                  <c:v>35.799999999999997</c:v>
                </c:pt>
                <c:pt idx="358">
                  <c:v>35.9</c:v>
                </c:pt>
                <c:pt idx="359">
                  <c:v>36</c:v>
                </c:pt>
                <c:pt idx="360">
                  <c:v>36.1</c:v>
                </c:pt>
                <c:pt idx="361">
                  <c:v>36.200000000000003</c:v>
                </c:pt>
                <c:pt idx="362">
                  <c:v>36.299999999999997</c:v>
                </c:pt>
                <c:pt idx="363">
                  <c:v>36.4</c:v>
                </c:pt>
                <c:pt idx="364">
                  <c:v>36.5</c:v>
                </c:pt>
                <c:pt idx="365">
                  <c:v>36.6</c:v>
                </c:pt>
                <c:pt idx="366">
                  <c:v>36.700000000000003</c:v>
                </c:pt>
                <c:pt idx="367">
                  <c:v>36.799999999999997</c:v>
                </c:pt>
                <c:pt idx="368">
                  <c:v>36.9</c:v>
                </c:pt>
                <c:pt idx="369">
                  <c:v>37</c:v>
                </c:pt>
                <c:pt idx="370">
                  <c:v>37.1</c:v>
                </c:pt>
                <c:pt idx="371">
                  <c:v>37.200000000000003</c:v>
                </c:pt>
                <c:pt idx="372">
                  <c:v>37.299999999999997</c:v>
                </c:pt>
                <c:pt idx="373">
                  <c:v>37.4</c:v>
                </c:pt>
                <c:pt idx="374">
                  <c:v>37.5</c:v>
                </c:pt>
                <c:pt idx="375">
                  <c:v>37.6</c:v>
                </c:pt>
                <c:pt idx="376">
                  <c:v>37.700000000000003</c:v>
                </c:pt>
                <c:pt idx="377">
                  <c:v>37.799999999999997</c:v>
                </c:pt>
                <c:pt idx="378">
                  <c:v>37.9</c:v>
                </c:pt>
                <c:pt idx="379">
                  <c:v>38</c:v>
                </c:pt>
                <c:pt idx="380">
                  <c:v>38.1</c:v>
                </c:pt>
                <c:pt idx="381">
                  <c:v>38.200000000000003</c:v>
                </c:pt>
                <c:pt idx="382">
                  <c:v>38.299999999999997</c:v>
                </c:pt>
                <c:pt idx="383">
                  <c:v>38.4</c:v>
                </c:pt>
                <c:pt idx="384">
                  <c:v>38.5</c:v>
                </c:pt>
                <c:pt idx="385">
                  <c:v>38.6</c:v>
                </c:pt>
                <c:pt idx="386">
                  <c:v>38.700000000000003</c:v>
                </c:pt>
                <c:pt idx="387">
                  <c:v>38.799999999999997</c:v>
                </c:pt>
                <c:pt idx="388">
                  <c:v>38.9</c:v>
                </c:pt>
                <c:pt idx="389">
                  <c:v>39</c:v>
                </c:pt>
                <c:pt idx="390">
                  <c:v>39.1</c:v>
                </c:pt>
                <c:pt idx="391">
                  <c:v>39.200000000000003</c:v>
                </c:pt>
                <c:pt idx="392">
                  <c:v>39.299999999999997</c:v>
                </c:pt>
                <c:pt idx="393">
                  <c:v>39.4</c:v>
                </c:pt>
                <c:pt idx="394">
                  <c:v>39.5</c:v>
                </c:pt>
                <c:pt idx="395">
                  <c:v>39.6</c:v>
                </c:pt>
                <c:pt idx="396">
                  <c:v>39.700000000000003</c:v>
                </c:pt>
                <c:pt idx="397">
                  <c:v>39.799999999999997</c:v>
                </c:pt>
                <c:pt idx="398">
                  <c:v>39.9</c:v>
                </c:pt>
                <c:pt idx="399">
                  <c:v>40</c:v>
                </c:pt>
                <c:pt idx="400">
                  <c:v>40.1</c:v>
                </c:pt>
                <c:pt idx="401">
                  <c:v>40.200000000000003</c:v>
                </c:pt>
                <c:pt idx="402">
                  <c:v>40.299999999999997</c:v>
                </c:pt>
                <c:pt idx="403">
                  <c:v>40.4</c:v>
                </c:pt>
                <c:pt idx="404">
                  <c:v>40.5</c:v>
                </c:pt>
                <c:pt idx="405">
                  <c:v>40.6</c:v>
                </c:pt>
                <c:pt idx="406">
                  <c:v>40.700000000000003</c:v>
                </c:pt>
                <c:pt idx="407">
                  <c:v>40.799999999999997</c:v>
                </c:pt>
                <c:pt idx="408">
                  <c:v>40.9</c:v>
                </c:pt>
                <c:pt idx="409">
                  <c:v>41</c:v>
                </c:pt>
                <c:pt idx="410">
                  <c:v>41.1</c:v>
                </c:pt>
                <c:pt idx="411">
                  <c:v>41.2</c:v>
                </c:pt>
                <c:pt idx="412">
                  <c:v>41.3</c:v>
                </c:pt>
                <c:pt idx="413">
                  <c:v>41.4</c:v>
                </c:pt>
                <c:pt idx="414">
                  <c:v>41.5</c:v>
                </c:pt>
                <c:pt idx="415">
                  <c:v>41.6</c:v>
                </c:pt>
                <c:pt idx="416">
                  <c:v>41.7</c:v>
                </c:pt>
                <c:pt idx="417">
                  <c:v>41.8</c:v>
                </c:pt>
                <c:pt idx="418">
                  <c:v>41.9</c:v>
                </c:pt>
                <c:pt idx="419">
                  <c:v>42</c:v>
                </c:pt>
                <c:pt idx="420">
                  <c:v>42.1</c:v>
                </c:pt>
                <c:pt idx="421">
                  <c:v>42.2</c:v>
                </c:pt>
                <c:pt idx="422">
                  <c:v>42.3</c:v>
                </c:pt>
                <c:pt idx="423">
                  <c:v>42.4</c:v>
                </c:pt>
                <c:pt idx="424">
                  <c:v>42.5</c:v>
                </c:pt>
                <c:pt idx="425">
                  <c:v>42.6</c:v>
                </c:pt>
                <c:pt idx="426">
                  <c:v>42.7</c:v>
                </c:pt>
                <c:pt idx="427">
                  <c:v>42.8</c:v>
                </c:pt>
                <c:pt idx="428">
                  <c:v>42.9</c:v>
                </c:pt>
                <c:pt idx="429">
                  <c:v>43</c:v>
                </c:pt>
                <c:pt idx="430">
                  <c:v>43.1</c:v>
                </c:pt>
                <c:pt idx="431">
                  <c:v>43.2</c:v>
                </c:pt>
                <c:pt idx="432">
                  <c:v>43.3</c:v>
                </c:pt>
                <c:pt idx="433">
                  <c:v>43.4</c:v>
                </c:pt>
                <c:pt idx="434">
                  <c:v>43.5</c:v>
                </c:pt>
                <c:pt idx="435">
                  <c:v>43.6</c:v>
                </c:pt>
                <c:pt idx="436">
                  <c:v>43.7</c:v>
                </c:pt>
                <c:pt idx="437">
                  <c:v>43.8</c:v>
                </c:pt>
                <c:pt idx="438">
                  <c:v>43.9</c:v>
                </c:pt>
                <c:pt idx="439">
                  <c:v>44</c:v>
                </c:pt>
                <c:pt idx="440">
                  <c:v>44.1</c:v>
                </c:pt>
                <c:pt idx="441">
                  <c:v>44.2</c:v>
                </c:pt>
                <c:pt idx="442">
                  <c:v>44.3</c:v>
                </c:pt>
                <c:pt idx="443">
                  <c:v>44.4</c:v>
                </c:pt>
                <c:pt idx="444">
                  <c:v>44.5</c:v>
                </c:pt>
                <c:pt idx="445">
                  <c:v>44.6</c:v>
                </c:pt>
                <c:pt idx="446">
                  <c:v>44.7</c:v>
                </c:pt>
                <c:pt idx="447">
                  <c:v>44.8</c:v>
                </c:pt>
                <c:pt idx="448">
                  <c:v>44.9</c:v>
                </c:pt>
                <c:pt idx="449">
                  <c:v>45</c:v>
                </c:pt>
                <c:pt idx="450">
                  <c:v>45.1</c:v>
                </c:pt>
                <c:pt idx="451">
                  <c:v>45.2</c:v>
                </c:pt>
                <c:pt idx="452">
                  <c:v>45.3</c:v>
                </c:pt>
                <c:pt idx="453">
                  <c:v>45.4</c:v>
                </c:pt>
                <c:pt idx="454">
                  <c:v>45.5</c:v>
                </c:pt>
                <c:pt idx="455">
                  <c:v>45.6</c:v>
                </c:pt>
                <c:pt idx="456">
                  <c:v>45.7</c:v>
                </c:pt>
                <c:pt idx="457">
                  <c:v>45.8</c:v>
                </c:pt>
                <c:pt idx="458">
                  <c:v>45.9</c:v>
                </c:pt>
                <c:pt idx="459">
                  <c:v>46</c:v>
                </c:pt>
                <c:pt idx="460">
                  <c:v>46.1</c:v>
                </c:pt>
                <c:pt idx="461">
                  <c:v>46.2</c:v>
                </c:pt>
                <c:pt idx="462">
                  <c:v>46.3</c:v>
                </c:pt>
                <c:pt idx="463">
                  <c:v>46.4</c:v>
                </c:pt>
                <c:pt idx="464">
                  <c:v>46.5</c:v>
                </c:pt>
                <c:pt idx="465">
                  <c:v>46.6</c:v>
                </c:pt>
                <c:pt idx="466">
                  <c:v>46.7</c:v>
                </c:pt>
                <c:pt idx="467">
                  <c:v>46.8</c:v>
                </c:pt>
                <c:pt idx="468">
                  <c:v>46.9</c:v>
                </c:pt>
                <c:pt idx="469">
                  <c:v>47</c:v>
                </c:pt>
                <c:pt idx="470">
                  <c:v>47.1</c:v>
                </c:pt>
                <c:pt idx="471">
                  <c:v>47.2</c:v>
                </c:pt>
                <c:pt idx="472">
                  <c:v>47.3</c:v>
                </c:pt>
                <c:pt idx="473">
                  <c:v>47.4</c:v>
                </c:pt>
                <c:pt idx="474">
                  <c:v>47.5</c:v>
                </c:pt>
                <c:pt idx="475">
                  <c:v>47.6</c:v>
                </c:pt>
                <c:pt idx="476">
                  <c:v>47.7</c:v>
                </c:pt>
                <c:pt idx="477">
                  <c:v>47.8</c:v>
                </c:pt>
                <c:pt idx="478">
                  <c:v>47.9</c:v>
                </c:pt>
                <c:pt idx="479">
                  <c:v>48</c:v>
                </c:pt>
                <c:pt idx="480">
                  <c:v>48.1</c:v>
                </c:pt>
                <c:pt idx="481">
                  <c:v>48.2</c:v>
                </c:pt>
                <c:pt idx="482">
                  <c:v>48.3</c:v>
                </c:pt>
                <c:pt idx="483">
                  <c:v>48.4</c:v>
                </c:pt>
                <c:pt idx="484">
                  <c:v>48.5</c:v>
                </c:pt>
                <c:pt idx="485">
                  <c:v>48.6</c:v>
                </c:pt>
                <c:pt idx="486">
                  <c:v>48.7</c:v>
                </c:pt>
                <c:pt idx="487">
                  <c:v>48.8</c:v>
                </c:pt>
                <c:pt idx="488">
                  <c:v>48.9</c:v>
                </c:pt>
                <c:pt idx="489">
                  <c:v>49</c:v>
                </c:pt>
                <c:pt idx="490">
                  <c:v>49.1</c:v>
                </c:pt>
                <c:pt idx="491">
                  <c:v>49.2</c:v>
                </c:pt>
                <c:pt idx="492">
                  <c:v>49.3</c:v>
                </c:pt>
                <c:pt idx="493">
                  <c:v>49.4</c:v>
                </c:pt>
                <c:pt idx="494">
                  <c:v>49.5</c:v>
                </c:pt>
                <c:pt idx="495">
                  <c:v>49.6</c:v>
                </c:pt>
                <c:pt idx="496">
                  <c:v>49.7</c:v>
                </c:pt>
                <c:pt idx="497">
                  <c:v>49.8</c:v>
                </c:pt>
                <c:pt idx="498">
                  <c:v>49.9</c:v>
                </c:pt>
                <c:pt idx="499">
                  <c:v>50</c:v>
                </c:pt>
                <c:pt idx="500">
                  <c:v>50.1</c:v>
                </c:pt>
                <c:pt idx="501">
                  <c:v>50.2</c:v>
                </c:pt>
                <c:pt idx="502">
                  <c:v>50.3</c:v>
                </c:pt>
                <c:pt idx="503">
                  <c:v>50.4</c:v>
                </c:pt>
                <c:pt idx="504">
                  <c:v>50.5</c:v>
                </c:pt>
                <c:pt idx="505">
                  <c:v>50.6</c:v>
                </c:pt>
                <c:pt idx="506">
                  <c:v>50.7</c:v>
                </c:pt>
                <c:pt idx="507">
                  <c:v>50.8</c:v>
                </c:pt>
                <c:pt idx="508">
                  <c:v>50.9</c:v>
                </c:pt>
                <c:pt idx="509">
                  <c:v>51</c:v>
                </c:pt>
                <c:pt idx="510">
                  <c:v>51.1</c:v>
                </c:pt>
                <c:pt idx="511">
                  <c:v>51.2</c:v>
                </c:pt>
                <c:pt idx="512">
                  <c:v>51.3</c:v>
                </c:pt>
                <c:pt idx="513">
                  <c:v>51.4</c:v>
                </c:pt>
                <c:pt idx="514">
                  <c:v>51.5</c:v>
                </c:pt>
                <c:pt idx="515">
                  <c:v>51.6</c:v>
                </c:pt>
                <c:pt idx="516">
                  <c:v>51.7</c:v>
                </c:pt>
                <c:pt idx="517">
                  <c:v>51.8</c:v>
                </c:pt>
                <c:pt idx="518">
                  <c:v>51.9</c:v>
                </c:pt>
                <c:pt idx="519">
                  <c:v>52</c:v>
                </c:pt>
                <c:pt idx="520">
                  <c:v>52.1</c:v>
                </c:pt>
                <c:pt idx="521">
                  <c:v>52.2</c:v>
                </c:pt>
                <c:pt idx="522">
                  <c:v>52.3</c:v>
                </c:pt>
                <c:pt idx="523">
                  <c:v>52.4</c:v>
                </c:pt>
                <c:pt idx="524">
                  <c:v>52.5</c:v>
                </c:pt>
                <c:pt idx="525">
                  <c:v>52.6</c:v>
                </c:pt>
                <c:pt idx="526">
                  <c:v>52.7</c:v>
                </c:pt>
                <c:pt idx="527">
                  <c:v>52.8</c:v>
                </c:pt>
                <c:pt idx="528">
                  <c:v>52.9</c:v>
                </c:pt>
                <c:pt idx="529">
                  <c:v>53</c:v>
                </c:pt>
                <c:pt idx="530">
                  <c:v>53.1</c:v>
                </c:pt>
                <c:pt idx="531">
                  <c:v>53.2</c:v>
                </c:pt>
                <c:pt idx="532">
                  <c:v>53.3</c:v>
                </c:pt>
                <c:pt idx="533">
                  <c:v>53.4</c:v>
                </c:pt>
                <c:pt idx="534">
                  <c:v>53.5</c:v>
                </c:pt>
                <c:pt idx="535">
                  <c:v>53.6</c:v>
                </c:pt>
                <c:pt idx="536">
                  <c:v>53.7</c:v>
                </c:pt>
                <c:pt idx="537">
                  <c:v>53.8</c:v>
                </c:pt>
                <c:pt idx="538">
                  <c:v>53.9</c:v>
                </c:pt>
                <c:pt idx="539">
                  <c:v>54</c:v>
                </c:pt>
                <c:pt idx="540">
                  <c:v>54.1</c:v>
                </c:pt>
                <c:pt idx="541">
                  <c:v>54.2</c:v>
                </c:pt>
                <c:pt idx="542">
                  <c:v>54.3</c:v>
                </c:pt>
                <c:pt idx="543">
                  <c:v>54.4</c:v>
                </c:pt>
                <c:pt idx="544">
                  <c:v>54.5</c:v>
                </c:pt>
                <c:pt idx="545">
                  <c:v>54.6</c:v>
                </c:pt>
                <c:pt idx="546">
                  <c:v>54.7</c:v>
                </c:pt>
                <c:pt idx="547">
                  <c:v>54.8</c:v>
                </c:pt>
                <c:pt idx="548">
                  <c:v>54.9</c:v>
                </c:pt>
                <c:pt idx="549">
                  <c:v>55</c:v>
                </c:pt>
                <c:pt idx="550">
                  <c:v>55.1</c:v>
                </c:pt>
                <c:pt idx="551">
                  <c:v>55.2</c:v>
                </c:pt>
                <c:pt idx="552">
                  <c:v>55.3</c:v>
                </c:pt>
                <c:pt idx="553">
                  <c:v>55.4</c:v>
                </c:pt>
                <c:pt idx="554">
                  <c:v>55.5</c:v>
                </c:pt>
                <c:pt idx="555">
                  <c:v>55.6</c:v>
                </c:pt>
                <c:pt idx="556">
                  <c:v>55.7</c:v>
                </c:pt>
                <c:pt idx="557">
                  <c:v>55.8</c:v>
                </c:pt>
                <c:pt idx="558">
                  <c:v>55.9</c:v>
                </c:pt>
                <c:pt idx="559">
                  <c:v>56</c:v>
                </c:pt>
                <c:pt idx="560">
                  <c:v>56.1</c:v>
                </c:pt>
                <c:pt idx="561">
                  <c:v>56.2</c:v>
                </c:pt>
                <c:pt idx="562">
                  <c:v>56.3</c:v>
                </c:pt>
                <c:pt idx="563">
                  <c:v>56.4</c:v>
                </c:pt>
                <c:pt idx="564">
                  <c:v>56.5</c:v>
                </c:pt>
                <c:pt idx="565">
                  <c:v>56.6</c:v>
                </c:pt>
                <c:pt idx="566">
                  <c:v>56.7</c:v>
                </c:pt>
                <c:pt idx="567">
                  <c:v>56.8</c:v>
                </c:pt>
                <c:pt idx="568">
                  <c:v>56.9</c:v>
                </c:pt>
                <c:pt idx="569">
                  <c:v>57</c:v>
                </c:pt>
                <c:pt idx="570">
                  <c:v>57.1</c:v>
                </c:pt>
                <c:pt idx="571">
                  <c:v>57.2</c:v>
                </c:pt>
                <c:pt idx="572">
                  <c:v>57.3</c:v>
                </c:pt>
                <c:pt idx="573">
                  <c:v>57.4</c:v>
                </c:pt>
                <c:pt idx="574">
                  <c:v>57.5</c:v>
                </c:pt>
                <c:pt idx="575">
                  <c:v>57.6</c:v>
                </c:pt>
                <c:pt idx="576">
                  <c:v>57.7</c:v>
                </c:pt>
                <c:pt idx="577">
                  <c:v>57.8</c:v>
                </c:pt>
                <c:pt idx="578">
                  <c:v>57.9</c:v>
                </c:pt>
                <c:pt idx="579">
                  <c:v>58</c:v>
                </c:pt>
                <c:pt idx="580">
                  <c:v>58.1</c:v>
                </c:pt>
                <c:pt idx="581">
                  <c:v>58.2</c:v>
                </c:pt>
                <c:pt idx="582">
                  <c:v>58.3</c:v>
                </c:pt>
                <c:pt idx="583">
                  <c:v>58.4</c:v>
                </c:pt>
                <c:pt idx="584">
                  <c:v>58.5</c:v>
                </c:pt>
                <c:pt idx="585">
                  <c:v>58.6</c:v>
                </c:pt>
                <c:pt idx="586">
                  <c:v>58.7</c:v>
                </c:pt>
                <c:pt idx="587">
                  <c:v>58.8</c:v>
                </c:pt>
                <c:pt idx="588">
                  <c:v>58.9</c:v>
                </c:pt>
                <c:pt idx="589">
                  <c:v>59</c:v>
                </c:pt>
                <c:pt idx="590">
                  <c:v>59.1</c:v>
                </c:pt>
                <c:pt idx="591">
                  <c:v>59.2</c:v>
                </c:pt>
                <c:pt idx="592">
                  <c:v>59.3</c:v>
                </c:pt>
                <c:pt idx="593">
                  <c:v>59.4</c:v>
                </c:pt>
                <c:pt idx="594">
                  <c:v>59.5</c:v>
                </c:pt>
                <c:pt idx="595">
                  <c:v>59.6</c:v>
                </c:pt>
                <c:pt idx="596">
                  <c:v>59.7</c:v>
                </c:pt>
                <c:pt idx="597">
                  <c:v>59.8</c:v>
                </c:pt>
                <c:pt idx="598">
                  <c:v>59.9</c:v>
                </c:pt>
                <c:pt idx="599">
                  <c:v>60</c:v>
                </c:pt>
                <c:pt idx="600">
                  <c:v>60.1</c:v>
                </c:pt>
                <c:pt idx="601">
                  <c:v>60.2</c:v>
                </c:pt>
                <c:pt idx="602">
                  <c:v>60.3</c:v>
                </c:pt>
                <c:pt idx="603">
                  <c:v>60.4</c:v>
                </c:pt>
                <c:pt idx="604">
                  <c:v>60.5</c:v>
                </c:pt>
                <c:pt idx="605">
                  <c:v>60.6</c:v>
                </c:pt>
                <c:pt idx="606">
                  <c:v>60.7</c:v>
                </c:pt>
                <c:pt idx="607">
                  <c:v>60.8</c:v>
                </c:pt>
                <c:pt idx="608">
                  <c:v>60.9</c:v>
                </c:pt>
                <c:pt idx="609">
                  <c:v>61</c:v>
                </c:pt>
                <c:pt idx="610">
                  <c:v>61.1</c:v>
                </c:pt>
                <c:pt idx="611">
                  <c:v>61.2</c:v>
                </c:pt>
                <c:pt idx="612">
                  <c:v>61.3</c:v>
                </c:pt>
                <c:pt idx="613">
                  <c:v>61.4</c:v>
                </c:pt>
                <c:pt idx="614">
                  <c:v>61.5</c:v>
                </c:pt>
                <c:pt idx="615">
                  <c:v>61.6</c:v>
                </c:pt>
                <c:pt idx="616">
                  <c:v>61.7</c:v>
                </c:pt>
                <c:pt idx="617">
                  <c:v>61.8</c:v>
                </c:pt>
                <c:pt idx="618">
                  <c:v>61.9</c:v>
                </c:pt>
                <c:pt idx="619">
                  <c:v>62</c:v>
                </c:pt>
                <c:pt idx="620">
                  <c:v>62.1</c:v>
                </c:pt>
                <c:pt idx="621">
                  <c:v>62.2</c:v>
                </c:pt>
                <c:pt idx="622">
                  <c:v>62.3</c:v>
                </c:pt>
                <c:pt idx="623">
                  <c:v>62.4</c:v>
                </c:pt>
                <c:pt idx="624">
                  <c:v>62.5</c:v>
                </c:pt>
                <c:pt idx="625">
                  <c:v>62.6</c:v>
                </c:pt>
                <c:pt idx="626">
                  <c:v>62.7</c:v>
                </c:pt>
                <c:pt idx="627">
                  <c:v>62.8</c:v>
                </c:pt>
                <c:pt idx="628">
                  <c:v>62.9</c:v>
                </c:pt>
                <c:pt idx="629">
                  <c:v>63</c:v>
                </c:pt>
                <c:pt idx="630">
                  <c:v>63.1</c:v>
                </c:pt>
                <c:pt idx="631">
                  <c:v>63.2</c:v>
                </c:pt>
                <c:pt idx="632">
                  <c:v>63.3</c:v>
                </c:pt>
                <c:pt idx="633">
                  <c:v>63.4</c:v>
                </c:pt>
                <c:pt idx="634">
                  <c:v>63.5</c:v>
                </c:pt>
                <c:pt idx="635">
                  <c:v>63.6</c:v>
                </c:pt>
                <c:pt idx="636">
                  <c:v>63.7</c:v>
                </c:pt>
                <c:pt idx="637">
                  <c:v>63.8</c:v>
                </c:pt>
                <c:pt idx="638">
                  <c:v>63.9</c:v>
                </c:pt>
                <c:pt idx="639">
                  <c:v>64</c:v>
                </c:pt>
                <c:pt idx="640">
                  <c:v>64.099999999999994</c:v>
                </c:pt>
                <c:pt idx="641">
                  <c:v>64.2</c:v>
                </c:pt>
                <c:pt idx="642">
                  <c:v>64.3</c:v>
                </c:pt>
                <c:pt idx="643">
                  <c:v>64.400000000000006</c:v>
                </c:pt>
                <c:pt idx="644">
                  <c:v>64.5</c:v>
                </c:pt>
                <c:pt idx="645">
                  <c:v>64.599999999999994</c:v>
                </c:pt>
                <c:pt idx="646">
                  <c:v>64.7</c:v>
                </c:pt>
                <c:pt idx="647">
                  <c:v>64.8</c:v>
                </c:pt>
                <c:pt idx="648">
                  <c:v>64.900000000000006</c:v>
                </c:pt>
                <c:pt idx="649">
                  <c:v>65</c:v>
                </c:pt>
                <c:pt idx="650">
                  <c:v>65.099999999999994</c:v>
                </c:pt>
                <c:pt idx="651">
                  <c:v>65.2</c:v>
                </c:pt>
                <c:pt idx="652">
                  <c:v>65.3</c:v>
                </c:pt>
                <c:pt idx="653">
                  <c:v>65.400000000000006</c:v>
                </c:pt>
                <c:pt idx="654">
                  <c:v>65.5</c:v>
                </c:pt>
                <c:pt idx="655">
                  <c:v>65.599999999999994</c:v>
                </c:pt>
                <c:pt idx="656">
                  <c:v>65.7</c:v>
                </c:pt>
                <c:pt idx="657">
                  <c:v>65.8</c:v>
                </c:pt>
                <c:pt idx="658">
                  <c:v>65.900000000000006</c:v>
                </c:pt>
                <c:pt idx="659">
                  <c:v>66</c:v>
                </c:pt>
                <c:pt idx="660">
                  <c:v>66.099999999999994</c:v>
                </c:pt>
                <c:pt idx="661">
                  <c:v>66.2</c:v>
                </c:pt>
                <c:pt idx="662">
                  <c:v>66.3</c:v>
                </c:pt>
                <c:pt idx="663">
                  <c:v>66.400000000000006</c:v>
                </c:pt>
                <c:pt idx="664">
                  <c:v>66.5</c:v>
                </c:pt>
                <c:pt idx="665">
                  <c:v>66.599999999999994</c:v>
                </c:pt>
                <c:pt idx="666">
                  <c:v>66.7</c:v>
                </c:pt>
                <c:pt idx="667">
                  <c:v>66.8</c:v>
                </c:pt>
                <c:pt idx="668">
                  <c:v>66.900000000000006</c:v>
                </c:pt>
                <c:pt idx="669">
                  <c:v>67</c:v>
                </c:pt>
                <c:pt idx="670">
                  <c:v>67.099999999999994</c:v>
                </c:pt>
                <c:pt idx="671">
                  <c:v>67.2</c:v>
                </c:pt>
                <c:pt idx="672">
                  <c:v>67.3</c:v>
                </c:pt>
                <c:pt idx="673">
                  <c:v>67.400000000000006</c:v>
                </c:pt>
                <c:pt idx="674">
                  <c:v>67.5</c:v>
                </c:pt>
                <c:pt idx="675">
                  <c:v>67.599999999999994</c:v>
                </c:pt>
                <c:pt idx="676">
                  <c:v>67.7</c:v>
                </c:pt>
                <c:pt idx="677">
                  <c:v>67.8</c:v>
                </c:pt>
                <c:pt idx="678">
                  <c:v>67.900000000000006</c:v>
                </c:pt>
                <c:pt idx="679">
                  <c:v>68</c:v>
                </c:pt>
                <c:pt idx="680">
                  <c:v>68.099999999999994</c:v>
                </c:pt>
                <c:pt idx="681">
                  <c:v>68.2</c:v>
                </c:pt>
                <c:pt idx="682">
                  <c:v>68.3</c:v>
                </c:pt>
                <c:pt idx="683">
                  <c:v>68.400000000000006</c:v>
                </c:pt>
                <c:pt idx="684">
                  <c:v>68.5</c:v>
                </c:pt>
                <c:pt idx="685">
                  <c:v>68.599999999999994</c:v>
                </c:pt>
                <c:pt idx="686">
                  <c:v>68.7</c:v>
                </c:pt>
                <c:pt idx="687">
                  <c:v>68.8</c:v>
                </c:pt>
                <c:pt idx="688">
                  <c:v>68.900000000000006</c:v>
                </c:pt>
                <c:pt idx="689">
                  <c:v>69</c:v>
                </c:pt>
                <c:pt idx="690">
                  <c:v>69.099999999999994</c:v>
                </c:pt>
                <c:pt idx="691">
                  <c:v>69.2</c:v>
                </c:pt>
                <c:pt idx="692">
                  <c:v>69.3</c:v>
                </c:pt>
                <c:pt idx="693">
                  <c:v>69.400000000000006</c:v>
                </c:pt>
                <c:pt idx="694">
                  <c:v>69.5</c:v>
                </c:pt>
                <c:pt idx="695">
                  <c:v>69.599999999999994</c:v>
                </c:pt>
                <c:pt idx="696">
                  <c:v>69.7</c:v>
                </c:pt>
                <c:pt idx="697">
                  <c:v>69.8</c:v>
                </c:pt>
                <c:pt idx="698">
                  <c:v>69.900000000000006</c:v>
                </c:pt>
                <c:pt idx="699">
                  <c:v>70</c:v>
                </c:pt>
                <c:pt idx="700">
                  <c:v>70.099999999999994</c:v>
                </c:pt>
                <c:pt idx="701">
                  <c:v>70.2</c:v>
                </c:pt>
                <c:pt idx="702">
                  <c:v>70.3</c:v>
                </c:pt>
                <c:pt idx="703">
                  <c:v>70.400000000000006</c:v>
                </c:pt>
                <c:pt idx="704">
                  <c:v>70.5</c:v>
                </c:pt>
                <c:pt idx="705">
                  <c:v>70.599999999999994</c:v>
                </c:pt>
                <c:pt idx="706">
                  <c:v>70.7</c:v>
                </c:pt>
                <c:pt idx="707">
                  <c:v>70.8</c:v>
                </c:pt>
                <c:pt idx="708">
                  <c:v>70.900000000000006</c:v>
                </c:pt>
                <c:pt idx="709">
                  <c:v>71</c:v>
                </c:pt>
                <c:pt idx="710">
                  <c:v>71.099999999999994</c:v>
                </c:pt>
                <c:pt idx="711">
                  <c:v>71.2</c:v>
                </c:pt>
                <c:pt idx="712">
                  <c:v>71.3</c:v>
                </c:pt>
                <c:pt idx="713">
                  <c:v>71.400000000000006</c:v>
                </c:pt>
                <c:pt idx="714">
                  <c:v>71.5</c:v>
                </c:pt>
                <c:pt idx="715">
                  <c:v>71.599999999999994</c:v>
                </c:pt>
                <c:pt idx="716">
                  <c:v>71.7</c:v>
                </c:pt>
                <c:pt idx="717">
                  <c:v>71.8</c:v>
                </c:pt>
                <c:pt idx="718">
                  <c:v>71.900000000000006</c:v>
                </c:pt>
                <c:pt idx="719">
                  <c:v>72</c:v>
                </c:pt>
                <c:pt idx="720">
                  <c:v>72.099999999999994</c:v>
                </c:pt>
                <c:pt idx="721">
                  <c:v>72.2</c:v>
                </c:pt>
                <c:pt idx="722">
                  <c:v>72.3</c:v>
                </c:pt>
                <c:pt idx="723">
                  <c:v>72.400000000000006</c:v>
                </c:pt>
                <c:pt idx="724">
                  <c:v>72.5</c:v>
                </c:pt>
                <c:pt idx="725">
                  <c:v>72.599999999999994</c:v>
                </c:pt>
                <c:pt idx="726">
                  <c:v>72.7</c:v>
                </c:pt>
                <c:pt idx="727">
                  <c:v>72.8</c:v>
                </c:pt>
                <c:pt idx="728">
                  <c:v>72.900000000000006</c:v>
                </c:pt>
                <c:pt idx="729">
                  <c:v>73</c:v>
                </c:pt>
                <c:pt idx="730">
                  <c:v>73.099999999999994</c:v>
                </c:pt>
                <c:pt idx="731">
                  <c:v>73.2</c:v>
                </c:pt>
                <c:pt idx="732">
                  <c:v>73.3</c:v>
                </c:pt>
                <c:pt idx="733">
                  <c:v>73.400000000000006</c:v>
                </c:pt>
                <c:pt idx="734">
                  <c:v>73.5</c:v>
                </c:pt>
                <c:pt idx="735">
                  <c:v>73.599999999999994</c:v>
                </c:pt>
                <c:pt idx="736">
                  <c:v>73.7</c:v>
                </c:pt>
                <c:pt idx="737">
                  <c:v>73.8</c:v>
                </c:pt>
                <c:pt idx="738">
                  <c:v>73.900000000000006</c:v>
                </c:pt>
                <c:pt idx="739">
                  <c:v>74</c:v>
                </c:pt>
                <c:pt idx="740">
                  <c:v>74.099999999999994</c:v>
                </c:pt>
                <c:pt idx="741">
                  <c:v>74.2</c:v>
                </c:pt>
                <c:pt idx="742">
                  <c:v>74.3</c:v>
                </c:pt>
                <c:pt idx="743">
                  <c:v>74.400000000000006</c:v>
                </c:pt>
                <c:pt idx="744">
                  <c:v>74.5</c:v>
                </c:pt>
                <c:pt idx="745">
                  <c:v>74.599999999999994</c:v>
                </c:pt>
                <c:pt idx="746">
                  <c:v>74.7</c:v>
                </c:pt>
                <c:pt idx="747">
                  <c:v>74.8</c:v>
                </c:pt>
                <c:pt idx="748">
                  <c:v>74.900000000000006</c:v>
                </c:pt>
                <c:pt idx="749">
                  <c:v>75</c:v>
                </c:pt>
              </c:numCache>
            </c:numRef>
          </c:xVal>
          <c:yVal>
            <c:numRef>
              <c:f>'sheet 1'!$P$39:$P$841</c:f>
              <c:numCache>
                <c:formatCode>General</c:formatCode>
                <c:ptCount val="803"/>
                <c:pt idx="0">
                  <c:v>1468.0911846090742</c:v>
                </c:pt>
                <c:pt idx="1">
                  <c:v>1411.3627599114152</c:v>
                </c:pt>
                <c:pt idx="2">
                  <c:v>1357.7012883939667</c:v>
                </c:pt>
                <c:pt idx="3">
                  <c:v>1306.8978654041903</c:v>
                </c:pt>
                <c:pt idx="4">
                  <c:v>1258.7605197805308</c:v>
                </c:pt>
                <c:pt idx="5">
                  <c:v>1213.1126382405234</c:v>
                </c:pt>
                <c:pt idx="6">
                  <c:v>1169.7915539089706</c:v>
                </c:pt>
                <c:pt idx="7">
                  <c:v>1128.6472801916286</c:v>
                </c:pt>
                <c:pt idx="8">
                  <c:v>1089.541373531589</c:v>
                </c:pt>
                <c:pt idx="9">
                  <c:v>1052.3459106074185</c:v>
                </c:pt>
                <c:pt idx="10">
                  <c:v>1016.9425672879161</c:v>
                </c:pt>
                <c:pt idx="11">
                  <c:v>983.22178818509565</c:v>
                </c:pt>
                <c:pt idx="12">
                  <c:v>951.08203697653619</c:v>
                </c:pt>
                <c:pt idx="13">
                  <c:v>920.4291188276294</c:v>
                </c:pt>
                <c:pt idx="14">
                  <c:v>891.17556725660984</c:v>
                </c:pt>
                <c:pt idx="15">
                  <c:v>863.24008867049747</c:v>
                </c:pt>
                <c:pt idx="16">
                  <c:v>836.54705857517456</c:v>
                </c:pt>
                <c:pt idx="17">
                  <c:v>811.02606414236732</c:v>
                </c:pt>
                <c:pt idx="18">
                  <c:v>786.6114884129131</c:v>
                </c:pt>
                <c:pt idx="19">
                  <c:v>763.24213194011645</c:v>
                </c:pt>
                <c:pt idx="20">
                  <c:v>740.86086813858753</c:v>
                </c:pt>
                <c:pt idx="21">
                  <c:v>719.41432901076871</c:v>
                </c:pt>
                <c:pt idx="22">
                  <c:v>698.85261828231057</c:v>
                </c:pt>
                <c:pt idx="23">
                  <c:v>679.12904929458921</c:v>
                </c:pt>
                <c:pt idx="24">
                  <c:v>660.19990528319772</c:v>
                </c:pt>
                <c:pt idx="25">
                  <c:v>642.02421991968038</c:v>
                </c:pt>
                <c:pt idx="26">
                  <c:v>624.56357621407324</c:v>
                </c:pt>
                <c:pt idx="27">
                  <c:v>607.78192207136294</c:v>
                </c:pt>
                <c:pt idx="28">
                  <c:v>591.6454009687825</c:v>
                </c:pt>
                <c:pt idx="29">
                  <c:v>576.12219637548344</c:v>
                </c:pt>
                <c:pt idx="30">
                  <c:v>561.1823886738764</c:v>
                </c:pt>
                <c:pt idx="31">
                  <c:v>546.79782346474019</c:v>
                </c:pt>
                <c:pt idx="32">
                  <c:v>532.94199024786326</c:v>
                </c:pt>
                <c:pt idx="33">
                  <c:v>519.58991056794207</c:v>
                </c:pt>
                <c:pt idx="34">
                  <c:v>506.71803480312866</c:v>
                </c:pt>
                <c:pt idx="35">
                  <c:v>494.30414685210991</c:v>
                </c:pt>
                <c:pt idx="36">
                  <c:v>482.32727604596272</c:v>
                </c:pt>
                <c:pt idx="37">
                  <c:v>470.76761567417111</c:v>
                </c:pt>
                <c:pt idx="38">
                  <c:v>459.60644757090637</c:v>
                </c:pt>
                <c:pt idx="39">
                  <c:v>448.8260722586565</c:v>
                </c:pt>
                <c:pt idx="40">
                  <c:v>438.40974419218929</c:v>
                </c:pt>
                <c:pt idx="41">
                  <c:v>428.34161168715985</c:v>
                </c:pt>
                <c:pt idx="42">
                  <c:v>418.60666115495695</c:v>
                </c:pt>
                <c:pt idx="43">
                  <c:v>409.19066529901073</c:v>
                </c:pt>
                <c:pt idx="44">
                  <c:v>400.08013495817733</c:v>
                </c:pt>
                <c:pt idx="45">
                  <c:v>391.26227431027735</c:v>
                </c:pt>
                <c:pt idx="46">
                  <c:v>382.72493917373185</c:v>
                </c:pt>
                <c:pt idx="47">
                  <c:v>374.45659816774918</c:v>
                </c:pt>
                <c:pt idx="48">
                  <c:v>366.4462965119215</c:v>
                </c:pt>
                <c:pt idx="49">
                  <c:v>358.68362226460931</c:v>
                </c:pt>
                <c:pt idx="50">
                  <c:v>351.15867481629516</c:v>
                </c:pt>
                <c:pt idx="51">
                  <c:v>343.86203546936895</c:v>
                </c:pt>
                <c:pt idx="52">
                  <c:v>336.78473994969636</c:v>
                </c:pt>
                <c:pt idx="53">
                  <c:v>329.91825270796261</c:v>
                </c:pt>
                <c:pt idx="54">
                  <c:v>323.2544428803061</c:v>
                </c:pt>
                <c:pt idx="55">
                  <c:v>316.78556178824977</c:v>
                </c:pt>
                <c:pt idx="56">
                  <c:v>310.50422186751638</c:v>
                </c:pt>
                <c:pt idx="57">
                  <c:v>304.40337692405643</c:v>
                </c:pt>
                <c:pt idx="58">
                  <c:v>298.47630362360428</c:v>
                </c:pt>
                <c:pt idx="59">
                  <c:v>292.71658412838275</c:v>
                </c:pt>
                <c:pt idx="60">
                  <c:v>287.11808980125448</c:v>
                </c:pt>
                <c:pt idx="61">
                  <c:v>281.67496590373798</c:v>
                </c:pt>
                <c:pt idx="62">
                  <c:v>276.38161721991065</c:v>
                </c:pt>
                <c:pt idx="63">
                  <c:v>271.23269454335542</c:v>
                </c:pt>
                <c:pt idx="64">
                  <c:v>266.22308196902878</c:v>
                </c:pt>
                <c:pt idx="65">
                  <c:v>261.34788493624745</c:v>
                </c:pt>
                <c:pt idx="66">
                  <c:v>256.60241897297402</c:v>
                </c:pt>
                <c:pt idx="67">
                  <c:v>251.9821990952297</c:v>
                </c:pt>
                <c:pt idx="68">
                  <c:v>247.4829298188302</c:v>
                </c:pt>
                <c:pt idx="69">
                  <c:v>243.10049574372871</c:v>
                </c:pt>
                <c:pt idx="70">
                  <c:v>238.83095267410582</c:v>
                </c:pt>
                <c:pt idx="71">
                  <c:v>234.67051923996448</c:v>
                </c:pt>
                <c:pt idx="72">
                  <c:v>230.61556898841786</c:v>
                </c:pt>
                <c:pt idx="73">
                  <c:v>226.66262291508491</c:v>
                </c:pt>
                <c:pt idx="74">
                  <c:v>222.80834240807499</c:v>
                </c:pt>
                <c:pt idx="75">
                  <c:v>219.04952257894752</c:v>
                </c:pt>
                <c:pt idx="76">
                  <c:v>215.38308595678987</c:v>
                </c:pt>
                <c:pt idx="77">
                  <c:v>211.80607652319301</c:v>
                </c:pt>
                <c:pt idx="78">
                  <c:v>208.31565406739969</c:v>
                </c:pt>
                <c:pt idx="79">
                  <c:v>204.90908884230714</c:v>
                </c:pt>
                <c:pt idx="80">
                  <c:v>201.58375650328827</c:v>
                </c:pt>
                <c:pt idx="81">
                  <c:v>198.33713331299791</c:v>
                </c:pt>
                <c:pt idx="82">
                  <c:v>195.16679159644184</c:v>
                </c:pt>
                <c:pt idx="83">
                  <c:v>192.07039543161184</c:v>
                </c:pt>
                <c:pt idx="84">
                  <c:v>189.04569656195022</c:v>
                </c:pt>
                <c:pt idx="85">
                  <c:v>186.0905305177962</c:v>
                </c:pt>
                <c:pt idx="86">
                  <c:v>183.20281293478567</c:v>
                </c:pt>
                <c:pt idx="87">
                  <c:v>180.38053605795085</c:v>
                </c:pt>
                <c:pt idx="88">
                  <c:v>177.62176542097438</c:v>
                </c:pt>
                <c:pt idx="89">
                  <c:v>174.92463669071708</c:v>
                </c:pt>
                <c:pt idx="90">
                  <c:v>172.28735266776002</c:v>
                </c:pt>
                <c:pt idx="91">
                  <c:v>169.70818043427201</c:v>
                </c:pt>
                <c:pt idx="92">
                  <c:v>167.18544864105604</c:v>
                </c:pt>
                <c:pt idx="93">
                  <c:v>164.71754492612226</c:v>
                </c:pt>
                <c:pt idx="94">
                  <c:v>162.30291345760654</c:v>
                </c:pt>
                <c:pt idx="95">
                  <c:v>159.94005259428664</c:v>
                </c:pt>
                <c:pt idx="96">
                  <c:v>157.62751265735432</c:v>
                </c:pt>
                <c:pt idx="97">
                  <c:v>155.36389380748199</c:v>
                </c:pt>
                <c:pt idx="98">
                  <c:v>153.14784402157693</c:v>
                </c:pt>
                <c:pt idx="99">
                  <c:v>150.97805716394737</c:v>
                </c:pt>
                <c:pt idx="100">
                  <c:v>148.85327114691421</c:v>
                </c:pt>
                <c:pt idx="101">
                  <c:v>146.77226617619439</c:v>
                </c:pt>
                <c:pt idx="102">
                  <c:v>144.73386307664927</c:v>
                </c:pt>
                <c:pt idx="103">
                  <c:v>142.7369216942503</c:v>
                </c:pt>
                <c:pt idx="104">
                  <c:v>140.78033937034809</c:v>
                </c:pt>
                <c:pt idx="105">
                  <c:v>138.86304948455657</c:v>
                </c:pt>
                <c:pt idx="106">
                  <c:v>136.98402006277271</c:v>
                </c:pt>
                <c:pt idx="107">
                  <c:v>135.14225244704704</c:v>
                </c:pt>
                <c:pt idx="108">
                  <c:v>133.33678002420532</c:v>
                </c:pt>
                <c:pt idx="109">
                  <c:v>131.56666701029445</c:v>
                </c:pt>
                <c:pt idx="110">
                  <c:v>129.83100728808668</c:v>
                </c:pt>
                <c:pt idx="111">
                  <c:v>128.12892329503003</c:v>
                </c:pt>
                <c:pt idx="112">
                  <c:v>126.45956495917385</c:v>
                </c:pt>
                <c:pt idx="113">
                  <c:v>124.8221086807348</c:v>
                </c:pt>
                <c:pt idx="114">
                  <c:v>123.21575635709371</c:v>
                </c:pt>
                <c:pt idx="115">
                  <c:v>121.63973444913285</c:v>
                </c:pt>
                <c:pt idx="116">
                  <c:v>120.09329308693582</c:v>
                </c:pt>
                <c:pt idx="117">
                  <c:v>118.57570521297579</c:v>
                </c:pt>
                <c:pt idx="118">
                  <c:v>117.08626576101919</c:v>
                </c:pt>
                <c:pt idx="119">
                  <c:v>115.62429086906332</c:v>
                </c:pt>
                <c:pt idx="120">
                  <c:v>114.18911712471517</c:v>
                </c:pt>
                <c:pt idx="121">
                  <c:v>112.78010084150242</c:v>
                </c:pt>
                <c:pt idx="122">
                  <c:v>111.39661736468341</c:v>
                </c:pt>
                <c:pt idx="123">
                  <c:v>110.0380604052</c:v>
                </c:pt>
                <c:pt idx="124">
                  <c:v>108.70384140048301</c:v>
                </c:pt>
                <c:pt idx="125">
                  <c:v>107.39338890088847</c:v>
                </c:pt>
                <c:pt idx="126">
                  <c:v>106.10614798060392</c:v>
                </c:pt>
                <c:pt idx="127">
                  <c:v>104.84157967192141</c:v>
                </c:pt>
                <c:pt idx="128">
                  <c:v>103.59916042183148</c:v>
                </c:pt>
                <c:pt idx="129">
                  <c:v>102.37838156994181</c:v>
                </c:pt>
                <c:pt idx="130">
                  <c:v>101.17874884677553</c:v>
                </c:pt>
                <c:pt idx="131">
                  <c:v>99.999781891551407</c:v>
                </c:pt>
                <c:pt idx="132">
                  <c:v>98.841013788588583</c:v>
                </c:pt>
                <c:pt idx="133">
                  <c:v>97.701990621525681</c:v>
                </c:pt>
                <c:pt idx="134">
                  <c:v>96.582271044578945</c:v>
                </c:pt>
                <c:pt idx="135">
                  <c:v>95.481425870103308</c:v>
                </c:pt>
                <c:pt idx="136">
                  <c:v>94.399037671757185</c:v>
                </c:pt>
                <c:pt idx="137">
                  <c:v>93.334700402601655</c:v>
                </c:pt>
                <c:pt idx="138">
                  <c:v>92.288019027500553</c:v>
                </c:pt>
                <c:pt idx="139">
                  <c:v>91.258609169214566</c:v>
                </c:pt>
                <c:pt idx="140">
                  <c:v>90.246096767613892</c:v>
                </c:pt>
                <c:pt idx="141">
                  <c:v>89.250117751458475</c:v>
                </c:pt>
                <c:pt idx="142">
                  <c:v>88.2703177222226</c:v>
                </c:pt>
                <c:pt idx="143">
                  <c:v>87.306351649464006</c:v>
                </c:pt>
                <c:pt idx="144">
                  <c:v>86.357883577260012</c:v>
                </c:pt>
                <c:pt idx="145">
                  <c:v>85.424586341257523</c:v>
                </c:pt>
                <c:pt idx="146">
                  <c:v>84.506141295900889</c:v>
                </c:pt>
                <c:pt idx="147">
                  <c:v>83.602238051425786</c:v>
                </c:pt>
                <c:pt idx="148">
                  <c:v>82.712574220221697</c:v>
                </c:pt>
                <c:pt idx="149">
                  <c:v>81.836855172186546</c:v>
                </c:pt>
                <c:pt idx="150">
                  <c:v>80.97479379871271</c:v>
                </c:pt>
                <c:pt idx="151">
                  <c:v>80.126110284959822</c:v>
                </c:pt>
                <c:pt idx="152">
                  <c:v>79.290531890085077</c:v>
                </c:pt>
                <c:pt idx="153">
                  <c:v>78.467792735116689</c:v>
                </c:pt>
                <c:pt idx="154">
                  <c:v>77.657633598169511</c:v>
                </c:pt>
                <c:pt idx="155">
                  <c:v>76.859801716715566</c:v>
                </c:pt>
                <c:pt idx="156">
                  <c:v>76.074050596633967</c:v>
                </c:pt>
                <c:pt idx="157">
                  <c:v>75.300139827777997</c:v>
                </c:pt>
                <c:pt idx="158">
                  <c:v>74.537834905806704</c:v>
                </c:pt>
                <c:pt idx="159">
                  <c:v>73.786907060040775</c:v>
                </c:pt>
                <c:pt idx="160">
                  <c:v>73.047133087112243</c:v>
                </c:pt>
                <c:pt idx="161">
                  <c:v>72.318295190186774</c:v>
                </c:pt>
                <c:pt idx="162">
                  <c:v>71.600180823547689</c:v>
                </c:pt>
                <c:pt idx="163">
                  <c:v>70.892582542339312</c:v>
                </c:pt>
                <c:pt idx="164">
                  <c:v>70.195297857275378</c:v>
                </c:pt>
                <c:pt idx="165">
                  <c:v>69.508129094127312</c:v>
                </c:pt>
                <c:pt idx="166">
                  <c:v>68.830883257813895</c:v>
                </c:pt>
                <c:pt idx="167">
                  <c:v>68.16337190092176</c:v>
                </c:pt>
                <c:pt idx="168">
                  <c:v>67.505410996493865</c:v>
                </c:pt>
                <c:pt idx="169">
                  <c:v>66.856820814927815</c:v>
                </c:pt>
                <c:pt idx="170">
                  <c:v>66.21742580483496</c:v>
                </c:pt>
                <c:pt idx="171">
                  <c:v>65.587054477714986</c:v>
                </c:pt>
                <c:pt idx="172">
                  <c:v>64.965539296308407</c:v>
                </c:pt>
                <c:pt idx="173">
                  <c:v>64.352716566493541</c:v>
                </c:pt>
                <c:pt idx="174">
                  <c:v>63.748426332600673</c:v>
                </c:pt>
                <c:pt idx="175">
                  <c:v>63.152512276021533</c:v>
                </c:pt>
                <c:pt idx="176">
                  <c:v>62.564821616995665</c:v>
                </c:pt>
                <c:pt idx="177">
                  <c:v>61.985205019462136</c:v>
                </c:pt>
                <c:pt idx="178">
                  <c:v>61.413516498866969</c:v>
                </c:pt>
                <c:pt idx="179">
                  <c:v>60.849613332823353</c:v>
                </c:pt>
                <c:pt idx="180">
                  <c:v>60.293355974524047</c:v>
                </c:pt>
                <c:pt idx="181">
                  <c:v>59.744607968809802</c:v>
                </c:pt>
                <c:pt idx="182">
                  <c:v>59.203235870802374</c:v>
                </c:pt>
                <c:pt idx="183">
                  <c:v>58.66910916701206</c:v>
                </c:pt>
                <c:pt idx="184">
                  <c:v>58.142100198835749</c:v>
                </c:pt>
                <c:pt idx="185">
                  <c:v>57.622084088362485</c:v>
                </c:pt>
                <c:pt idx="186">
                  <c:v>57.108938666408314</c:v>
                </c:pt>
                <c:pt idx="187">
                  <c:v>56.602544402703892</c:v>
                </c:pt>
                <c:pt idx="188">
                  <c:v>56.102784338162792</c:v>
                </c:pt>
                <c:pt idx="189">
                  <c:v>55.609544019159173</c:v>
                </c:pt>
                <c:pt idx="190">
                  <c:v>55.122711433747945</c:v>
                </c:pt>
                <c:pt idx="191">
                  <c:v>54.642176949762423</c:v>
                </c:pt>
                <c:pt idx="192">
                  <c:v>54.167833254726219</c:v>
                </c:pt>
                <c:pt idx="193">
                  <c:v>53.699575297519878</c:v>
                </c:pt>
                <c:pt idx="194">
                  <c:v>53.237300231743461</c:v>
                </c:pt>
                <c:pt idx="195">
                  <c:v>52.78090736071983</c:v>
                </c:pt>
                <c:pt idx="196">
                  <c:v>52.330298084084255</c:v>
                </c:pt>
                <c:pt idx="197">
                  <c:v>51.885375845908769</c:v>
                </c:pt>
                <c:pt idx="198">
                  <c:v>51.446046084311227</c:v>
                </c:pt>
                <c:pt idx="199">
                  <c:v>51.012216182500751</c:v>
                </c:pt>
                <c:pt idx="200">
                  <c:v>50.583795421213509</c:v>
                </c:pt>
                <c:pt idx="201">
                  <c:v>50.160694932493513</c:v>
                </c:pt>
                <c:pt idx="202">
                  <c:v>49.742827654775766</c:v>
                </c:pt>
                <c:pt idx="203">
                  <c:v>49.330108289230218</c:v>
                </c:pt>
                <c:pt idx="204">
                  <c:v>48.922453257325721</c:v>
                </c:pt>
                <c:pt idx="205">
                  <c:v>48.519780659576377</c:v>
                </c:pt>
                <c:pt idx="206">
                  <c:v>48.122010235431915</c:v>
                </c:pt>
                <c:pt idx="207">
                  <c:v>47.729063324276623</c:v>
                </c:pt>
                <c:pt idx="208">
                  <c:v>47.340862827502363</c:v>
                </c:pt>
                <c:pt idx="209">
                  <c:v>46.957333171621393</c:v>
                </c:pt>
                <c:pt idx="210">
                  <c:v>46.57840027238727</c:v>
                </c:pt>
                <c:pt idx="211">
                  <c:v>46.20399149989246</c:v>
                </c:pt>
                <c:pt idx="212">
                  <c:v>45.83403564461215</c:v>
                </c:pt>
                <c:pt idx="213">
                  <c:v>45.468462884365884</c:v>
                </c:pt>
                <c:pt idx="214">
                  <c:v>45.107204752168009</c:v>
                </c:pt>
                <c:pt idx="215">
                  <c:v>44.750194104940718</c:v>
                </c:pt>
                <c:pt idx="216">
                  <c:v>44.39736509306254</c:v>
                </c:pt>
                <c:pt idx="217">
                  <c:v>44.04865313072775</c:v>
                </c:pt>
                <c:pt idx="218">
                  <c:v>43.703994867091787</c:v>
                </c:pt>
                <c:pt idx="219">
                  <c:v>43.36332815817893</c:v>
                </c:pt>
                <c:pt idx="220">
                  <c:v>43.026592039530001</c:v>
                </c:pt>
                <c:pt idx="221">
                  <c:v>42.693726699567137</c:v>
                </c:pt>
                <c:pt idx="222">
                  <c:v>42.364673453654923</c:v>
                </c:pt>
                <c:pt idx="223">
                  <c:v>42.039374718837209</c:v>
                </c:pt>
                <c:pt idx="224">
                  <c:v>41.71777398922903</c:v>
                </c:pt>
                <c:pt idx="225">
                  <c:v>41.399815812045382</c:v>
                </c:pt>
                <c:pt idx="226">
                  <c:v>41.085445764247112</c:v>
                </c:pt>
                <c:pt idx="227">
                  <c:v>40.774610429786478</c:v>
                </c:pt>
                <c:pt idx="228">
                  <c:v>40.467257377435075</c:v>
                </c:pt>
                <c:pt idx="229">
                  <c:v>40.163335139176496</c:v>
                </c:pt>
                <c:pt idx="230">
                  <c:v>39.86279318914815</c:v>
                </c:pt>
                <c:pt idx="231">
                  <c:v>39.565581923116078</c:v>
                </c:pt>
                <c:pt idx="232">
                  <c:v>39.271652638467266</c:v>
                </c:pt>
                <c:pt idx="233">
                  <c:v>38.98095751470516</c:v>
                </c:pt>
                <c:pt idx="234">
                  <c:v>38.693449594433417</c:v>
                </c:pt>
                <c:pt idx="235">
                  <c:v>38.409082764814656</c:v>
                </c:pt>
                <c:pt idx="236">
                  <c:v>38.12781173949012</c:v>
                </c:pt>
                <c:pt idx="237">
                  <c:v>37.849592040947691</c:v>
                </c:pt>
                <c:pt idx="238">
                  <c:v>37.574379983325564</c:v>
                </c:pt>
                <c:pt idx="239">
                  <c:v>37.30213265563907</c:v>
                </c:pt>
                <c:pt idx="240">
                  <c:v>37.03280790541929</c:v>
                </c:pt>
                <c:pt idx="241">
                  <c:v>36.766364322751613</c:v>
                </c:pt>
                <c:pt idx="242">
                  <c:v>36.502761224703292</c:v>
                </c:pt>
                <c:pt idx="243">
                  <c:v>36.241958640129297</c:v>
                </c:pt>
                <c:pt idx="244">
                  <c:v>35.983917294845831</c:v>
                </c:pt>
                <c:pt idx="245">
                  <c:v>35.728598597161685</c:v>
                </c:pt>
                <c:pt idx="246">
                  <c:v>35.475964623757456</c:v>
                </c:pt>
                <c:pt idx="247">
                  <c:v>35.225978105902911</c:v>
                </c:pt>
                <c:pt idx="248">
                  <c:v>34.978602416004065</c:v>
                </c:pt>
                <c:pt idx="249">
                  <c:v>34.733801554470006</c:v>
                </c:pt>
                <c:pt idx="250">
                  <c:v>34.491540136891608</c:v>
                </c:pt>
                <c:pt idx="251">
                  <c:v>34.25178338152346</c:v>
                </c:pt>
                <c:pt idx="252">
                  <c:v>34.014497097060726</c:v>
                </c:pt>
                <c:pt idx="253">
                  <c:v>33.779647670703334</c:v>
                </c:pt>
                <c:pt idx="254">
                  <c:v>33.547202056499636</c:v>
                </c:pt>
                <c:pt idx="255">
                  <c:v>33.317127763962127</c:v>
                </c:pt>
                <c:pt idx="256">
                  <c:v>33.089392846948073</c:v>
                </c:pt>
                <c:pt idx="257">
                  <c:v>32.863965892798028</c:v>
                </c:pt>
                <c:pt idx="258">
                  <c:v>32.640816011725427</c:v>
                </c:pt>
                <c:pt idx="259">
                  <c:v>32.419912826450627</c:v>
                </c:pt>
                <c:pt idx="260">
                  <c:v>32.20122646207318</c:v>
                </c:pt>
                <c:pt idx="261">
                  <c:v>31.984727536175907</c:v>
                </c:pt>
                <c:pt idx="262">
                  <c:v>31.77038714915474</c:v>
                </c:pt>
                <c:pt idx="263">
                  <c:v>31.55817687476884</c:v>
                </c:pt>
                <c:pt idx="264">
                  <c:v>31.348068750904766</c:v>
                </c:pt>
                <c:pt idx="265">
                  <c:v>31.140035270549614</c:v>
                </c:pt>
                <c:pt idx="266">
                  <c:v>30.934049372967525</c:v>
                </c:pt>
                <c:pt idx="267">
                  <c:v>30.73008443507447</c:v>
                </c:pt>
                <c:pt idx="268">
                  <c:v>30.528114263006191</c:v>
                </c:pt>
                <c:pt idx="269">
                  <c:v>30.328113083874403</c:v>
                </c:pt>
                <c:pt idx="270">
                  <c:v>30.130055537706522</c:v>
                </c:pt>
                <c:pt idx="271">
                  <c:v>29.933916669564198</c:v>
                </c:pt>
                <c:pt idx="272">
                  <c:v>29.739671921836241</c:v>
                </c:pt>
                <c:pt idx="273">
                  <c:v>29.547297126701483</c:v>
                </c:pt>
                <c:pt idx="274">
                  <c:v>29.356768498757329</c:v>
                </c:pt>
                <c:pt idx="275">
                  <c:v>29.168062627809935</c:v>
                </c:pt>
                <c:pt idx="276">
                  <c:v>28.981156471821869</c:v>
                </c:pt>
                <c:pt idx="277">
                  <c:v>28.796027350013503</c:v>
                </c:pt>
                <c:pt idx="278">
                  <c:v>28.612652936114056</c:v>
                </c:pt>
                <c:pt idx="279">
                  <c:v>28.431011251759074</c:v>
                </c:pt>
                <c:pt idx="280">
                  <c:v>28.251080660030087</c:v>
                </c:pt>
                <c:pt idx="281">
                  <c:v>28.072839859133662</c:v>
                </c:pt>
                <c:pt idx="282">
                  <c:v>27.896267876215862</c:v>
                </c:pt>
                <c:pt idx="283">
                  <c:v>27.721344061309125</c:v>
                </c:pt>
                <c:pt idx="284">
                  <c:v>27.548048081408336</c:v>
                </c:pt>
                <c:pt idx="285">
                  <c:v>27.376359914672783</c:v>
                </c:pt>
                <c:pt idx="286">
                  <c:v>27.206259844751134</c:v>
                </c:pt>
                <c:pt idx="287">
                  <c:v>27.03772845522635</c:v>
                </c:pt>
                <c:pt idx="288">
                  <c:v>26.870746624177794</c:v>
                </c:pt>
                <c:pt idx="289">
                  <c:v>26.705295518857564</c:v>
                </c:pt>
                <c:pt idx="290">
                  <c:v>26.541356590478387</c:v>
                </c:pt>
                <c:pt idx="291">
                  <c:v>26.378911569110517</c:v>
                </c:pt>
                <c:pt idx="292">
                  <c:v>26.217942458684856</c:v>
                </c:pt>
                <c:pt idx="293">
                  <c:v>26.058431532099984</c:v>
                </c:pt>
                <c:pt idx="294">
                  <c:v>25.900361326430474</c:v>
                </c:pt>
                <c:pt idx="295">
                  <c:v>25.743714638234252</c:v>
                </c:pt>
                <c:pt idx="296">
                  <c:v>25.588474518956527</c:v>
                </c:pt>
                <c:pt idx="297">
                  <c:v>25.434624270428177</c:v>
                </c:pt>
                <c:pt idx="298">
                  <c:v>25.282147440456374</c:v>
                </c:pt>
                <c:pt idx="299">
                  <c:v>25.131027818505036</c:v>
                </c:pt>
                <c:pt idx="300">
                  <c:v>24.981249431463514</c:v>
                </c:pt>
                <c:pt idx="301">
                  <c:v>24.832796539501011</c:v>
                </c:pt>
                <c:pt idx="302">
                  <c:v>24.685653632004978</c:v>
                </c:pt>
                <c:pt idx="303">
                  <c:v>24.53980542360156</c:v>
                </c:pt>
                <c:pt idx="304">
                  <c:v>24.395236850256087</c:v>
                </c:pt>
                <c:pt idx="305">
                  <c:v>24.251933065451944</c:v>
                </c:pt>
                <c:pt idx="306">
                  <c:v>24.109879436445866</c:v>
                </c:pt>
                <c:pt idx="307">
                  <c:v>23.969061540598027</c:v>
                </c:pt>
                <c:pt idx="308">
                  <c:v>23.829465161775257</c:v>
                </c:pt>
                <c:pt idx="309">
                  <c:v>23.691076286825496</c:v>
                </c:pt>
                <c:pt idx="310">
                  <c:v>23.553881102122304</c:v>
                </c:pt>
                <c:pt idx="311">
                  <c:v>23.417865990177372</c:v>
                </c:pt>
                <c:pt idx="312">
                  <c:v>23.283017526319824</c:v>
                </c:pt>
                <c:pt idx="313">
                  <c:v>23.149322475440798</c:v>
                </c:pt>
                <c:pt idx="314">
                  <c:v>23.016767788801616</c:v>
                </c:pt>
                <c:pt idx="315">
                  <c:v>22.885340600904446</c:v>
                </c:pt>
                <c:pt idx="316">
                  <c:v>22.755028226423853</c:v>
                </c:pt>
                <c:pt idx="317">
                  <c:v>22.625818157197841</c:v>
                </c:pt>
                <c:pt idx="318">
                  <c:v>22.497698059277418</c:v>
                </c:pt>
                <c:pt idx="319">
                  <c:v>22.370655770032915</c:v>
                </c:pt>
                <c:pt idx="320">
                  <c:v>22.244679295316214</c:v>
                </c:pt>
                <c:pt idx="321">
                  <c:v>22.119756806677451</c:v>
                </c:pt>
                <c:pt idx="322">
                  <c:v>21.995876638635036</c:v>
                </c:pt>
                <c:pt idx="323">
                  <c:v>21.873027285997882</c:v>
                </c:pt>
                <c:pt idx="324">
                  <c:v>21.751197401238649</c:v>
                </c:pt>
                <c:pt idx="325">
                  <c:v>21.630375791916968</c:v>
                </c:pt>
                <c:pt idx="326">
                  <c:v>21.510551418151465</c:v>
                </c:pt>
                <c:pt idx="327">
                  <c:v>21.391713390139625</c:v>
                </c:pt>
                <c:pt idx="328">
                  <c:v>21.273850965724385</c:v>
                </c:pt>
                <c:pt idx="329">
                  <c:v>21.156953548006584</c:v>
                </c:pt>
                <c:pt idx="330">
                  <c:v>21.04101068300216</c:v>
                </c:pt>
                <c:pt idx="331">
                  <c:v>20.926012057343119</c:v>
                </c:pt>
                <c:pt idx="332">
                  <c:v>20.81194749602156</c:v>
                </c:pt>
                <c:pt idx="333">
                  <c:v>20.698806960175528</c:v>
                </c:pt>
                <c:pt idx="334">
                  <c:v>20.586580544916096</c:v>
                </c:pt>
                <c:pt idx="335">
                  <c:v>20.475258477194675</c:v>
                </c:pt>
                <c:pt idx="336">
                  <c:v>20.364831113709617</c:v>
                </c:pt>
                <c:pt idx="337">
                  <c:v>20.255288938851514</c:v>
                </c:pt>
                <c:pt idx="338">
                  <c:v>20.146622562686129</c:v>
                </c:pt>
                <c:pt idx="339">
                  <c:v>20.038822718974423</c:v>
                </c:pt>
                <c:pt idx="340">
                  <c:v>19.931880263228663</c:v>
                </c:pt>
                <c:pt idx="341">
                  <c:v>19.825786170804065</c:v>
                </c:pt>
                <c:pt idx="342">
                  <c:v>19.72053153502506</c:v>
                </c:pt>
                <c:pt idx="343">
                  <c:v>19.616107565345626</c:v>
                </c:pt>
                <c:pt idx="344">
                  <c:v>19.512505585542911</c:v>
                </c:pt>
                <c:pt idx="345">
                  <c:v>19.409717031943398</c:v>
                </c:pt>
                <c:pt idx="346">
                  <c:v>19.307733451681045</c:v>
                </c:pt>
                <c:pt idx="347">
                  <c:v>19.206546500986725</c:v>
                </c:pt>
                <c:pt idx="348">
                  <c:v>19.106147943508269</c:v>
                </c:pt>
                <c:pt idx="349">
                  <c:v>19.00652964866061</c:v>
                </c:pt>
                <c:pt idx="350">
                  <c:v>18.907683590005202</c:v>
                </c:pt>
                <c:pt idx="351">
                  <c:v>18.809601843658378</c:v>
                </c:pt>
                <c:pt idx="352">
                  <c:v>18.712276586727874</c:v>
                </c:pt>
                <c:pt idx="353">
                  <c:v>18.615700095777036</c:v>
                </c:pt>
                <c:pt idx="354">
                  <c:v>18.519864745316124</c:v>
                </c:pt>
                <c:pt idx="355">
                  <c:v>18.424763006320184</c:v>
                </c:pt>
                <c:pt idx="356">
                  <c:v>18.330387444772946</c:v>
                </c:pt>
                <c:pt idx="357">
                  <c:v>18.236730720236213</c:v>
                </c:pt>
                <c:pt idx="358">
                  <c:v>18.143785584444291</c:v>
                </c:pt>
                <c:pt idx="359">
                  <c:v>18.051544879922897</c:v>
                </c:pt>
                <c:pt idx="360">
                  <c:v>17.960001538632074</c:v>
                </c:pt>
                <c:pt idx="361">
                  <c:v>17.869148580632665</c:v>
                </c:pt>
                <c:pt idx="362">
                  <c:v>17.778979112775886</c:v>
                </c:pt>
                <c:pt idx="363">
                  <c:v>17.689486327415487</c:v>
                </c:pt>
                <c:pt idx="364">
                  <c:v>17.60066350114209</c:v>
                </c:pt>
                <c:pt idx="365">
                  <c:v>17.512503993539326</c:v>
                </c:pt>
                <c:pt idx="366">
                  <c:v>17.425001245961237</c:v>
                </c:pt>
                <c:pt idx="367">
                  <c:v>17.338148780330602</c:v>
                </c:pt>
                <c:pt idx="368">
                  <c:v>17.251940197957762</c:v>
                </c:pt>
                <c:pt idx="369">
                  <c:v>17.166369178379561</c:v>
                </c:pt>
                <c:pt idx="370">
                  <c:v>17.081429478217959</c:v>
                </c:pt>
                <c:pt idx="371">
                  <c:v>16.997114930058036</c:v>
                </c:pt>
                <c:pt idx="372">
                  <c:v>16.913419441344878</c:v>
                </c:pt>
                <c:pt idx="373">
                  <c:v>16.83033699329912</c:v>
                </c:pt>
                <c:pt idx="374">
                  <c:v>16.747861639850715</c:v>
                </c:pt>
                <c:pt idx="375">
                  <c:v>16.665987506590561</c:v>
                </c:pt>
                <c:pt idx="376">
                  <c:v>16.584708789739711</c:v>
                </c:pt>
                <c:pt idx="377">
                  <c:v>16.504019755135772</c:v>
                </c:pt>
                <c:pt idx="378">
                  <c:v>16.423914737236206</c:v>
                </c:pt>
                <c:pt idx="379">
                  <c:v>16.344388138138168</c:v>
                </c:pt>
                <c:pt idx="380">
                  <c:v>16.265434426614679</c:v>
                </c:pt>
                <c:pt idx="381">
                  <c:v>16.18704813716661</c:v>
                </c:pt>
                <c:pt idx="382">
                  <c:v>16.109223869090457</c:v>
                </c:pt>
                <c:pt idx="383">
                  <c:v>16.031956285561325</c:v>
                </c:pt>
                <c:pt idx="384">
                  <c:v>15.955240112731135</c:v>
                </c:pt>
                <c:pt idx="385">
                  <c:v>15.879070138841474</c:v>
                </c:pt>
                <c:pt idx="386">
                  <c:v>15.80344121335102</c:v>
                </c:pt>
                <c:pt idx="387">
                  <c:v>15.728348246077223</c:v>
                </c:pt>
                <c:pt idx="388">
                  <c:v>15.653786206351874</c:v>
                </c:pt>
                <c:pt idx="389">
                  <c:v>15.579750122190509</c:v>
                </c:pt>
                <c:pt idx="390">
                  <c:v>15.506235079475168</c:v>
                </c:pt>
                <c:pt idx="391">
                  <c:v>15.433236221150425</c:v>
                </c:pt>
                <c:pt idx="392">
                  <c:v>15.360748746432366</c:v>
                </c:pt>
                <c:pt idx="393">
                  <c:v>15.288767910030307</c:v>
                </c:pt>
                <c:pt idx="394">
                  <c:v>15.217289021381013</c:v>
                </c:pt>
                <c:pt idx="395">
                  <c:v>15.146307443895186</c:v>
                </c:pt>
                <c:pt idx="396">
                  <c:v>15.075818594215983</c:v>
                </c:pt>
                <c:pt idx="397">
                  <c:v>15.005817941489388</c:v>
                </c:pt>
                <c:pt idx="398">
                  <c:v>14.936301006646163</c:v>
                </c:pt>
                <c:pt idx="399">
                  <c:v>14.867263361695262</c:v>
                </c:pt>
                <c:pt idx="400">
                  <c:v>14.798700629028364</c:v>
                </c:pt>
                <c:pt idx="401">
                  <c:v>14.730608480735457</c:v>
                </c:pt>
                <c:pt idx="402">
                  <c:v>14.662982637931208</c:v>
                </c:pt>
                <c:pt idx="403">
                  <c:v>14.595818870091883</c:v>
                </c:pt>
                <c:pt idx="404">
                  <c:v>14.529112994402794</c:v>
                </c:pt>
                <c:pt idx="405">
                  <c:v>14.462860875115856</c:v>
                </c:pt>
                <c:pt idx="406">
                  <c:v>14.397058422917254</c:v>
                </c:pt>
                <c:pt idx="407">
                  <c:v>14.33170159430497</c:v>
                </c:pt>
                <c:pt idx="408">
                  <c:v>14.266786390975938</c:v>
                </c:pt>
                <c:pt idx="409">
                  <c:v>14.202308859222851</c:v>
                </c:pt>
                <c:pt idx="410">
                  <c:v>14.138265089340171</c:v>
                </c:pt>
                <c:pt idx="411">
                  <c:v>14.074651215039443</c:v>
                </c:pt>
                <c:pt idx="412">
                  <c:v>14.011463412873528</c:v>
                </c:pt>
                <c:pt idx="413">
                  <c:v>13.948697901669799</c:v>
                </c:pt>
                <c:pt idx="414">
                  <c:v>13.886350941971981</c:v>
                </c:pt>
                <c:pt idx="415">
                  <c:v>13.824418835490603</c:v>
                </c:pt>
                <c:pt idx="416">
                  <c:v>13.762897924561777</c:v>
                </c:pt>
                <c:pt idx="417">
                  <c:v>13.701784591614357</c:v>
                </c:pt>
                <c:pt idx="418">
                  <c:v>13.641075258645067</c:v>
                </c:pt>
                <c:pt idx="419">
                  <c:v>13.580766386701779</c:v>
                </c:pt>
                <c:pt idx="420">
                  <c:v>13.520854475374467</c:v>
                </c:pt>
                <c:pt idx="421">
                  <c:v>13.461336062294004</c:v>
                </c:pt>
                <c:pt idx="422">
                  <c:v>13.402207722638421</c:v>
                </c:pt>
                <c:pt idx="423">
                  <c:v>13.343466068646672</c:v>
                </c:pt>
                <c:pt idx="424">
                  <c:v>13.285107749139687</c:v>
                </c:pt>
                <c:pt idx="425">
                  <c:v>13.227129449048652</c:v>
                </c:pt>
                <c:pt idx="426">
                  <c:v>13.16952788895029</c:v>
                </c:pt>
                <c:pt idx="427">
                  <c:v>13.112299824609131</c:v>
                </c:pt>
                <c:pt idx="428">
                  <c:v>13.055442046526615</c:v>
                </c:pt>
                <c:pt idx="429">
                  <c:v>12.998951379496891</c:v>
                </c:pt>
                <c:pt idx="430">
                  <c:v>12.942824682169203</c:v>
                </c:pt>
                <c:pt idx="431">
                  <c:v>12.887058846616767</c:v>
                </c:pt>
                <c:pt idx="432">
                  <c:v>12.831650797912085</c:v>
                </c:pt>
                <c:pt idx="433">
                  <c:v>12.776597493708406</c:v>
                </c:pt>
                <c:pt idx="434">
                  <c:v>12.721895923827466</c:v>
                </c:pt>
                <c:pt idx="435">
                  <c:v>12.667543109853238</c:v>
                </c:pt>
                <c:pt idx="436">
                  <c:v>12.61353610473164</c:v>
                </c:pt>
                <c:pt idx="437">
                  <c:v>12.55987199237612</c:v>
                </c:pt>
                <c:pt idx="438">
                  <c:v>12.506547887278961</c:v>
                </c:pt>
                <c:pt idx="439">
                  <c:v>12.453560934128358</c:v>
                </c:pt>
                <c:pt idx="440">
                  <c:v>12.400908307430917</c:v>
                </c:pt>
                <c:pt idx="441">
                  <c:v>12.348587211139753</c:v>
                </c:pt>
                <c:pt idx="442">
                  <c:v>12.296594878287936</c:v>
                </c:pt>
                <c:pt idx="443">
                  <c:v>12.244928570627211</c:v>
                </c:pt>
                <c:pt idx="444">
                  <c:v>12.193585578272005</c:v>
                </c:pt>
                <c:pt idx="445">
                  <c:v>12.14256321934846</c:v>
                </c:pt>
                <c:pt idx="446">
                  <c:v>12.091858839648623</c:v>
                </c:pt>
                <c:pt idx="447">
                  <c:v>12.041469812289481</c:v>
                </c:pt>
                <c:pt idx="448">
                  <c:v>11.991393537376986</c:v>
                </c:pt>
                <c:pt idx="449">
                  <c:v>11.941627441674799</c:v>
                </c:pt>
                <c:pt idx="450">
                  <c:v>11.892168978277788</c:v>
                </c:pt>
                <c:pt idx="451">
                  <c:v>11.843015626290182</c:v>
                </c:pt>
                <c:pt idx="452">
                  <c:v>11.794164890508288</c:v>
                </c:pt>
                <c:pt idx="453">
                  <c:v>11.745614301107674</c:v>
                </c:pt>
                <c:pt idx="454">
                  <c:v>11.697361413334828</c:v>
                </c:pt>
                <c:pt idx="455">
                  <c:v>11.649403807203146</c:v>
                </c:pt>
                <c:pt idx="456">
                  <c:v>11.601739087193177</c:v>
                </c:pt>
                <c:pt idx="457">
                  <c:v>11.554364881957165</c:v>
                </c:pt>
                <c:pt idx="458">
                  <c:v>11.507278844027576</c:v>
                </c:pt>
                <c:pt idx="459">
                  <c:v>11.460478649529939</c:v>
                </c:pt>
                <c:pt idx="460">
                  <c:v>11.413961997899463</c:v>
                </c:pt>
                <c:pt idx="461">
                  <c:v>11.367726611601803</c:v>
                </c:pt>
                <c:pt idx="462">
                  <c:v>11.321770235857549</c:v>
                </c:pt>
                <c:pt idx="463">
                  <c:v>11.276090638370686</c:v>
                </c:pt>
                <c:pt idx="464">
                  <c:v>11.230685609060721</c:v>
                </c:pt>
                <c:pt idx="465">
                  <c:v>11.185552959798564</c:v>
                </c:pt>
                <c:pt idx="466">
                  <c:v>11.140690524146052</c:v>
                </c:pt>
                <c:pt idx="467">
                  <c:v>11.096096157099041</c:v>
                </c:pt>
                <c:pt idx="468">
                  <c:v>11.051767734834062</c:v>
                </c:pt>
                <c:pt idx="469">
                  <c:v>11.007703154458456</c:v>
                </c:pt>
                <c:pt idx="470">
                  <c:v>10.963900333763904</c:v>
                </c:pt>
                <c:pt idx="471">
                  <c:v>10.920357210983353</c:v>
                </c:pt>
                <c:pt idx="472">
                  <c:v>10.877071744551278</c:v>
                </c:pt>
                <c:pt idx="473">
                  <c:v>10.834041912867164</c:v>
                </c:pt>
                <c:pt idx="474">
                  <c:v>10.791265714062234</c:v>
                </c:pt>
                <c:pt idx="475">
                  <c:v>10.748741165769362</c:v>
                </c:pt>
                <c:pt idx="476">
                  <c:v>10.706466304896074</c:v>
                </c:pt>
                <c:pt idx="477">
                  <c:v>10.664439187400614</c:v>
                </c:pt>
                <c:pt idx="478">
                  <c:v>10.62265788807106</c:v>
                </c:pt>
                <c:pt idx="479">
                  <c:v>10.581120500307424</c:v>
                </c:pt>
                <c:pt idx="480">
                  <c:v>10.539825135906627</c:v>
                </c:pt>
                <c:pt idx="481">
                  <c:v>10.498769924850409</c:v>
                </c:pt>
                <c:pt idx="482">
                  <c:v>10.457953015096091</c:v>
                </c:pt>
                <c:pt idx="483">
                  <c:v>10.417372572370072</c:v>
                </c:pt>
                <c:pt idx="484">
                  <c:v>10.377026779964151</c:v>
                </c:pt>
                <c:pt idx="485">
                  <c:v>10.336913838534514</c:v>
                </c:pt>
                <c:pt idx="486">
                  <c:v>10.297031965903436</c:v>
                </c:pt>
                <c:pt idx="487">
                  <c:v>10.25737939686357</c:v>
                </c:pt>
                <c:pt idx="488">
                  <c:v>10.217954382984859</c:v>
                </c:pt>
                <c:pt idx="489">
                  <c:v>10.178755192423997</c:v>
                </c:pt>
                <c:pt idx="490">
                  <c:v>10.139780109736405</c:v>
                </c:pt>
                <c:pt idx="491">
                  <c:v>10.101027435690646</c:v>
                </c:pt>
                <c:pt idx="492">
                  <c:v>10.062495487085373</c:v>
                </c:pt>
                <c:pt idx="493">
                  <c:v>10.024182596568568</c:v>
                </c:pt>
                <c:pt idx="494">
                  <c:v>9.9860871124592325</c:v>
                </c:pt>
                <c:pt idx="495">
                  <c:v>9.9482073985713662</c:v>
                </c:pt>
                <c:pt idx="496">
                  <c:v>9.9105418340402576</c:v>
                </c:pt>
                <c:pt idx="497">
                  <c:v>9.8730888131510444</c:v>
                </c:pt>
                <c:pt idx="498">
                  <c:v>9.8358467451694853</c:v>
                </c:pt>
                <c:pt idx="499">
                  <c:v>9.7988140541749491</c:v>
                </c:pt>
                <c:pt idx="500">
                  <c:v>9.7619891788955524</c:v>
                </c:pt>
                <c:pt idx="501">
                  <c:v>9.7253705725454296</c:v>
                </c:pt>
                <c:pt idx="502">
                  <c:v>9.6889567026641341</c:v>
                </c:pt>
                <c:pt idx="503">
                  <c:v>9.6527460509580401</c:v>
                </c:pt>
                <c:pt idx="504">
                  <c:v>9.6167371131438717</c:v>
                </c:pt>
                <c:pt idx="505">
                  <c:v>9.5809283987941836</c:v>
                </c:pt>
                <c:pt idx="506">
                  <c:v>9.5453184311848265</c:v>
                </c:pt>
                <c:pt idx="507">
                  <c:v>9.5099057471443906</c:v>
                </c:pt>
                <c:pt idx="508">
                  <c:v>9.4746888969055387</c:v>
                </c:pt>
                <c:pt idx="509">
                  <c:v>9.4396664439582771</c:v>
                </c:pt>
                <c:pt idx="510">
                  <c:v>9.4048369649050425</c:v>
                </c:pt>
                <c:pt idx="511">
                  <c:v>9.3701990493176694</c:v>
                </c:pt>
                <c:pt idx="512">
                  <c:v>9.3357512995961613</c:v>
                </c:pt>
                <c:pt idx="513">
                  <c:v>9.3014923308292161</c:v>
                </c:pt>
                <c:pt idx="514">
                  <c:v>9.2674207706565959</c:v>
                </c:pt>
                <c:pt idx="515">
                  <c:v>9.2335352591331237</c:v>
                </c:pt>
                <c:pt idx="516">
                  <c:v>9.1998344485944941</c:v>
                </c:pt>
                <c:pt idx="517">
                  <c:v>9.1663170035246981</c:v>
                </c:pt>
                <c:pt idx="518">
                  <c:v>9.1329816004251381</c:v>
                </c:pt>
                <c:pt idx="519">
                  <c:v>9.0998269276853954</c:v>
                </c:pt>
                <c:pt idx="520">
                  <c:v>9.0668516854555978</c:v>
                </c:pt>
                <c:pt idx="521">
                  <c:v>9.0340545855203587</c:v>
                </c:pt>
                <c:pt idx="522">
                  <c:v>9.0014343511743622</c:v>
                </c:pt>
                <c:pt idx="523">
                  <c:v>8.9689897170993671</c:v>
                </c:pt>
                <c:pt idx="524">
                  <c:v>8.9367194292428884</c:v>
                </c:pt>
                <c:pt idx="525">
                  <c:v>8.9046222446982526</c:v>
                </c:pt>
                <c:pt idx="526">
                  <c:v>8.872696931586237</c:v>
                </c:pt>
                <c:pt idx="527">
                  <c:v>8.8409422689380737</c:v>
                </c:pt>
                <c:pt idx="528">
                  <c:v>8.8093570465799935</c:v>
                </c:pt>
                <c:pt idx="529">
                  <c:v>8.7779400650191164</c:v>
                </c:pt>
                <c:pt idx="530">
                  <c:v>8.7466901353307929</c:v>
                </c:pt>
                <c:pt idx="531">
                  <c:v>8.7156060790472747</c:v>
                </c:pt>
                <c:pt idx="532">
                  <c:v>8.6846867280478293</c:v>
                </c:pt>
                <c:pt idx="533">
                  <c:v>8.6539309244500764</c:v>
                </c:pt>
                <c:pt idx="534">
                  <c:v>8.6233375205028047</c:v>
                </c:pt>
                <c:pt idx="535">
                  <c:v>8.5929053784799336</c:v>
                </c:pt>
                <c:pt idx="536">
                  <c:v>8.5626333705759059</c:v>
                </c:pt>
                <c:pt idx="537">
                  <c:v>8.532520378802241</c:v>
                </c:pt>
                <c:pt idx="538">
                  <c:v>8.5025652948853985</c:v>
                </c:pt>
                <c:pt idx="539">
                  <c:v>8.4727670201658718</c:v>
                </c:pt>
                <c:pt idx="540">
                  <c:v>8.4431244654984976</c:v>
                </c:pt>
                <c:pt idx="541">
                  <c:v>8.4136365511539442</c:v>
                </c:pt>
                <c:pt idx="542">
                  <c:v>8.3843022067214221</c:v>
                </c:pt>
                <c:pt idx="543">
                  <c:v>8.3551203710125321</c:v>
                </c:pt>
                <c:pt idx="544">
                  <c:v>8.3260899919662936</c:v>
                </c:pt>
                <c:pt idx="545">
                  <c:v>8.2972100265552822</c:v>
                </c:pt>
                <c:pt idx="546">
                  <c:v>8.2684794406929161</c:v>
                </c:pt>
                <c:pt idx="547">
                  <c:v>8.2398972091418301</c:v>
                </c:pt>
                <c:pt idx="548">
                  <c:v>8.2114623154233453</c:v>
                </c:pt>
                <c:pt idx="549">
                  <c:v>8.1831737517280185</c:v>
                </c:pt>
                <c:pt idx="550">
                  <c:v>8.1550305188272638</c:v>
                </c:pt>
                <c:pt idx="551">
                  <c:v>8.127031625985996</c:v>
                </c:pt>
                <c:pt idx="552">
                  <c:v>8.0991760908763304</c:v>
                </c:pt>
                <c:pt idx="553">
                  <c:v>8.071462939492287</c:v>
                </c:pt>
                <c:pt idx="554">
                  <c:v>8.0438912060655294</c:v>
                </c:pt>
                <c:pt idx="555">
                  <c:v>8.0164599329820394</c:v>
                </c:pt>
                <c:pt idx="556">
                  <c:v>7.989168170699835</c:v>
                </c:pt>
                <c:pt idx="557">
                  <c:v>7.9620149776676197</c:v>
                </c:pt>
                <c:pt idx="558">
                  <c:v>7.9349994202443774</c:v>
                </c:pt>
                <c:pt idx="559">
                  <c:v>7.9081205726199455</c:v>
                </c:pt>
                <c:pt idx="560">
                  <c:v>7.881377516736455</c:v>
                </c:pt>
                <c:pt idx="561">
                  <c:v>7.8547693422107612</c:v>
                </c:pt>
                <c:pt idx="562">
                  <c:v>7.8282951462577177</c:v>
                </c:pt>
                <c:pt idx="563">
                  <c:v>7.8019540336143587</c:v>
                </c:pt>
                <c:pt idx="564">
                  <c:v>7.7757451164649813</c:v>
                </c:pt>
                <c:pt idx="565">
                  <c:v>7.7496675143670641</c:v>
                </c:pt>
                <c:pt idx="566">
                  <c:v>7.7237203541780666</c:v>
                </c:pt>
                <c:pt idx="567">
                  <c:v>7.6979027699830631</c:v>
                </c:pt>
                <c:pt idx="568">
                  <c:v>7.6722139030232128</c:v>
                </c:pt>
                <c:pt idx="569">
                  <c:v>7.6466529016250488</c:v>
                </c:pt>
                <c:pt idx="570">
                  <c:v>7.6212189211305787</c:v>
                </c:pt>
                <c:pt idx="571">
                  <c:v>7.5959111238282162</c:v>
                </c:pt>
                <c:pt idx="572">
                  <c:v>7.5707286788844499</c:v>
                </c:pt>
                <c:pt idx="573">
                  <c:v>7.545670762276325</c:v>
                </c:pt>
                <c:pt idx="574">
                  <c:v>7.52073655672472</c:v>
                </c:pt>
                <c:pt idx="575">
                  <c:v>7.495925251628325</c:v>
                </c:pt>
                <c:pt idx="576">
                  <c:v>7.471236042998421</c:v>
                </c:pt>
                <c:pt idx="577">
                  <c:v>7.4466681333943825</c:v>
                </c:pt>
                <c:pt idx="578">
                  <c:v>7.4222207318598974</c:v>
                </c:pt>
                <c:pt idx="579">
                  <c:v>7.3978930538599332</c:v>
                </c:pt>
                <c:pt idx="580">
                  <c:v>7.3736843212184073</c:v>
                </c:pt>
                <c:pt idx="581">
                  <c:v>7.3495937620565597</c:v>
                </c:pt>
                <c:pt idx="582">
                  <c:v>7.3256206107320052</c:v>
                </c:pt>
                <c:pt idx="583">
                  <c:v>7.3017641077785056</c:v>
                </c:pt>
                <c:pt idx="584">
                  <c:v>7.2780234998463795</c:v>
                </c:pt>
                <c:pt idx="585">
                  <c:v>7.2543980396436218</c:v>
                </c:pt>
                <c:pt idx="586">
                  <c:v>7.2308869858776355</c:v>
                </c:pt>
                <c:pt idx="587">
                  <c:v>7.2074896031976641</c:v>
                </c:pt>
                <c:pt idx="588">
                  <c:v>7.1842051621378147</c:v>
                </c:pt>
                <c:pt idx="589">
                  <c:v>7.1610329390607736</c:v>
                </c:pt>
                <c:pt idx="590">
                  <c:v>7.1379722161020966</c:v>
                </c:pt>
                <c:pt idx="591">
                  <c:v>7.1150222811151522</c:v>
                </c:pt>
                <c:pt idx="592">
                  <c:v>7.0921824276166499</c:v>
                </c:pt>
                <c:pt idx="593">
                  <c:v>7.0694519547328021</c:v>
                </c:pt>
                <c:pt idx="594">
                  <c:v>7.0468301671460507</c:v>
                </c:pt>
                <c:pt idx="595">
                  <c:v>7.0243163750424085</c:v>
                </c:pt>
                <c:pt idx="596">
                  <c:v>7.0019098940593487</c:v>
                </c:pt>
                <c:pt idx="597">
                  <c:v>6.9796100452343142</c:v>
                </c:pt>
                <c:pt idx="598">
                  <c:v>6.9574161549537354</c:v>
                </c:pt>
                <c:pt idx="599">
                  <c:v>6.9353275549026678</c:v>
                </c:pt>
                <c:pt idx="600">
                  <c:v>6.9133435820149352</c:v>
                </c:pt>
                <c:pt idx="601">
                  <c:v>6.8914635784238341</c:v>
                </c:pt>
                <c:pt idx="602">
                  <c:v>6.8696868914133846</c:v>
                </c:pt>
                <c:pt idx="603">
                  <c:v>6.8480128733700969</c:v>
                </c:pt>
                <c:pt idx="604">
                  <c:v>6.8264408817352802</c:v>
                </c:pt>
                <c:pt idx="605">
                  <c:v>6.8049702789578612</c:v>
                </c:pt>
                <c:pt idx="606">
                  <c:v>6.7836004324476988</c:v>
                </c:pt>
                <c:pt idx="607">
                  <c:v>6.7623307145294511</c:v>
                </c:pt>
                <c:pt idx="608">
                  <c:v>6.741160502396875</c:v>
                </c:pt>
                <c:pt idx="609">
                  <c:v>6.7200891780676937</c:v>
                </c:pt>
                <c:pt idx="610">
                  <c:v>6.6991161283388792</c:v>
                </c:pt>
                <c:pt idx="611">
                  <c:v>6.6782407447424763</c:v>
                </c:pt>
                <c:pt idx="612">
                  <c:v>6.6574624235018609</c:v>
                </c:pt>
                <c:pt idx="613">
                  <c:v>6.636780565488495</c:v>
                </c:pt>
                <c:pt idx="614">
                  <c:v>6.6161945761791205</c:v>
                </c:pt>
                <c:pt idx="615">
                  <c:v>6.5957038656134399</c:v>
                </c:pt>
                <c:pt idx="616">
                  <c:v>6.5753078483522227</c:v>
                </c:pt>
                <c:pt idx="617">
                  <c:v>6.5550059434358756</c:v>
                </c:pt>
                <c:pt idx="618">
                  <c:v>6.534797574343445</c:v>
                </c:pt>
                <c:pt idx="619">
                  <c:v>6.5146821689520689</c:v>
                </c:pt>
                <c:pt idx="620">
                  <c:v>6.4946591594968384</c:v>
                </c:pt>
                <c:pt idx="621">
                  <c:v>6.4747279825311175</c:v>
                </c:pt>
                <c:pt idx="622">
                  <c:v>6.4548880788872376</c:v>
                </c:pt>
                <c:pt idx="623">
                  <c:v>6.4351388936376512</c:v>
                </c:pt>
                <c:pt idx="624">
                  <c:v>6.4154798760564722</c:v>
                </c:pt>
                <c:pt idx="625">
                  <c:v>6.3959104795814392</c:v>
                </c:pt>
                <c:pt idx="626">
                  <c:v>6.3764301617762431</c:v>
                </c:pt>
                <c:pt idx="627">
                  <c:v>6.357038384293304</c:v>
                </c:pt>
                <c:pt idx="628">
                  <c:v>6.3377346128368961</c:v>
                </c:pt>
                <c:pt idx="629">
                  <c:v>6.3185183171266761</c:v>
                </c:pt>
                <c:pt idx="630">
                  <c:v>6.2993889708615942</c:v>
                </c:pt>
                <c:pt idx="631">
                  <c:v>6.2803460516841723</c:v>
                </c:pt>
                <c:pt idx="632">
                  <c:v>6.2613890411451791</c:v>
                </c:pt>
                <c:pt idx="633">
                  <c:v>6.2425174246686321</c:v>
                </c:pt>
                <c:pt idx="634">
                  <c:v>6.2237306915172121</c:v>
                </c:pt>
                <c:pt idx="635">
                  <c:v>6.205028334758004</c:v>
                </c:pt>
                <c:pt idx="636">
                  <c:v>6.1864098512286017</c:v>
                </c:pt>
                <c:pt idx="637">
                  <c:v>6.1678747415035593</c:v>
                </c:pt>
                <c:pt idx="638">
                  <c:v>6.1494225098612096</c:v>
                </c:pt>
                <c:pt idx="639">
                  <c:v>6.1310526642508032</c:v>
                </c:pt>
                <c:pt idx="640">
                  <c:v>6.1127647162599965</c:v>
                </c:pt>
                <c:pt idx="641">
                  <c:v>6.094558181082669</c:v>
                </c:pt>
                <c:pt idx="642">
                  <c:v>6.0764325774870809</c:v>
                </c:pt>
                <c:pt idx="643">
                  <c:v>6.0583874277843481</c:v>
                </c:pt>
                <c:pt idx="644">
                  <c:v>6.0404222577972506</c:v>
                </c:pt>
                <c:pt idx="645">
                  <c:v>6.0225365968293447</c:v>
                </c:pt>
                <c:pt idx="646">
                  <c:v>6.0047299776344101</c:v>
                </c:pt>
                <c:pt idx="647">
                  <c:v>5.987001936386199</c:v>
                </c:pt>
                <c:pt idx="648">
                  <c:v>5.9693520126484909</c:v>
                </c:pt>
                <c:pt idx="649">
                  <c:v>5.9517797493454596</c:v>
                </c:pt>
                <c:pt idx="650">
                  <c:v>5.9342846927323327</c:v>
                </c:pt>
                <c:pt idx="651">
                  <c:v>5.9168663923663596</c:v>
                </c:pt>
                <c:pt idx="652">
                  <c:v>5.899524401078077</c:v>
                </c:pt>
                <c:pt idx="653">
                  <c:v>5.8822582749428278</c:v>
                </c:pt>
                <c:pt idx="654">
                  <c:v>5.8650675732526381</c:v>
                </c:pt>
                <c:pt idx="655">
                  <c:v>5.8479518584882983</c:v>
                </c:pt>
                <c:pt idx="656">
                  <c:v>5.8309106962917872</c:v>
                </c:pt>
                <c:pt idx="657">
                  <c:v>5.8139436554389583</c:v>
                </c:pt>
                <c:pt idx="658">
                  <c:v>5.7970503078124613</c:v>
                </c:pt>
                <c:pt idx="659">
                  <c:v>5.7802302283750056</c:v>
                </c:pt>
                <c:pt idx="660">
                  <c:v>5.763482995142823</c:v>
                </c:pt>
                <c:pt idx="661">
                  <c:v>5.7468081891594505</c:v>
                </c:pt>
                <c:pt idx="662">
                  <c:v>5.7302053944697331</c:v>
                </c:pt>
                <c:pt idx="663">
                  <c:v>5.7136741980941119</c:v>
                </c:pt>
                <c:pt idx="664">
                  <c:v>5.6972141900031765</c:v>
                </c:pt>
                <c:pt idx="665">
                  <c:v>5.680824963092423</c:v>
                </c:pt>
                <c:pt idx="666">
                  <c:v>5.6645061131573211</c:v>
                </c:pt>
                <c:pt idx="667">
                  <c:v>5.6482572388685979</c:v>
                </c:pt>
                <c:pt idx="668">
                  <c:v>5.6320779417477622</c:v>
                </c:pt>
                <c:pt idx="669">
                  <c:v>5.6159678261428994</c:v>
                </c:pt>
                <c:pt idx="670">
                  <c:v>5.5999264992046651</c:v>
                </c:pt>
                <c:pt idx="671">
                  <c:v>5.5839535708625467</c:v>
                </c:pt>
                <c:pt idx="672">
                  <c:v>5.5680486538013598</c:v>
                </c:pt>
                <c:pt idx="673">
                  <c:v>5.5522113634379462</c:v>
                </c:pt>
                <c:pt idx="674">
                  <c:v>5.5364413178981442</c:v>
                </c:pt>
                <c:pt idx="675">
                  <c:v>5.520738137993936</c:v>
                </c:pt>
                <c:pt idx="676">
                  <c:v>5.5051014472008619</c:v>
                </c:pt>
                <c:pt idx="677">
                  <c:v>5.4895308716356359</c:v>
                </c:pt>
                <c:pt idx="678">
                  <c:v>5.4740260400339746</c:v>
                </c:pt>
                <c:pt idx="679">
                  <c:v>5.4585865837286658</c:v>
                </c:pt>
                <c:pt idx="680">
                  <c:v>5.4432121366278174</c:v>
                </c:pt>
                <c:pt idx="681">
                  <c:v>5.4279023351933393</c:v>
                </c:pt>
                <c:pt idx="682">
                  <c:v>5.4126568184196557</c:v>
                </c:pt>
                <c:pt idx="683">
                  <c:v>5.3974752278125573</c:v>
                </c:pt>
                <c:pt idx="684">
                  <c:v>5.3823572073683437</c:v>
                </c:pt>
                <c:pt idx="685">
                  <c:v>5.3673024035530927</c:v>
                </c:pt>
                <c:pt idx="686">
                  <c:v>5.35231046528218</c:v>
                </c:pt>
                <c:pt idx="687">
                  <c:v>5.3373810438999749</c:v>
                </c:pt>
                <c:pt idx="688">
                  <c:v>5.3225137931597342</c:v>
                </c:pt>
                <c:pt idx="689">
                  <c:v>5.3077083692036924</c:v>
                </c:pt>
                <c:pt idx="690">
                  <c:v>5.2929644305433428</c:v>
                </c:pt>
                <c:pt idx="691">
                  <c:v>5.2782816380398998</c:v>
                </c:pt>
                <c:pt idx="692">
                  <c:v>5.2636596548849788</c:v>
                </c:pt>
                <c:pt idx="693">
                  <c:v>5.2490981465814057</c:v>
                </c:pt>
                <c:pt idx="694">
                  <c:v>5.2345967809242735</c:v>
                </c:pt>
                <c:pt idx="695">
                  <c:v>5.2201552279821293</c:v>
                </c:pt>
                <c:pt idx="696">
                  <c:v>5.2057731600783672</c:v>
                </c:pt>
                <c:pt idx="697">
                  <c:v>5.1914502517727961</c:v>
                </c:pt>
                <c:pt idx="698">
                  <c:v>5.1771861798433676</c:v>
                </c:pt>
                <c:pt idx="699">
                  <c:v>5.162980623268103</c:v>
                </c:pt>
                <c:pt idx="700">
                  <c:v>5.1488332632071652</c:v>
                </c:pt>
                <c:pt idx="701">
                  <c:v>5.1347437829851117</c:v>
                </c:pt>
                <c:pt idx="702">
                  <c:v>5.1207118680733297</c:v>
                </c:pt>
                <c:pt idx="703">
                  <c:v>5.1067372060726095</c:v>
                </c:pt>
                <c:pt idx="704">
                  <c:v>5.0928194866959036</c:v>
                </c:pt>
                <c:pt idx="705">
                  <c:v>5.0789584017512457</c:v>
                </c:pt>
                <c:pt idx="706">
                  <c:v>5.0651536451248083</c:v>
                </c:pt>
                <c:pt idx="707">
                  <c:v>5.0514049127641618</c:v>
                </c:pt>
                <c:pt idx="708">
                  <c:v>5.037711902661643</c:v>
                </c:pt>
                <c:pt idx="709">
                  <c:v>5.0240743148379208</c:v>
                </c:pt>
                <c:pt idx="710">
                  <c:v>5.0104918513256891</c:v>
                </c:pt>
                <c:pt idx="711">
                  <c:v>4.9969642161535157</c:v>
                </c:pt>
                <c:pt idx="712">
                  <c:v>4.9834911153298602</c:v>
                </c:pt>
                <c:pt idx="713">
                  <c:v>4.9700722568272147</c:v>
                </c:pt>
                <c:pt idx="714">
                  <c:v>4.9567073505664192</c:v>
                </c:pt>
                <c:pt idx="715">
                  <c:v>4.9433961084010916</c:v>
                </c:pt>
                <c:pt idx="716">
                  <c:v>4.9301382441022339</c:v>
                </c:pt>
                <c:pt idx="717">
                  <c:v>4.9169334733429588</c:v>
                </c:pt>
                <c:pt idx="718">
                  <c:v>4.9037815136833718</c:v>
                </c:pt>
                <c:pt idx="719">
                  <c:v>4.890682084555583</c:v>
                </c:pt>
                <c:pt idx="720">
                  <c:v>4.8776349072488641</c:v>
                </c:pt>
                <c:pt idx="721">
                  <c:v>4.8646397048949295</c:v>
                </c:pt>
                <c:pt idx="722">
                  <c:v>4.8516962024533843</c:v>
                </c:pt>
                <c:pt idx="723">
                  <c:v>4.8388041266972657</c:v>
                </c:pt>
                <c:pt idx="724">
                  <c:v>4.8259632061987512</c:v>
                </c:pt>
                <c:pt idx="725">
                  <c:v>4.8131731713149666</c:v>
                </c:pt>
                <c:pt idx="726">
                  <c:v>4.8004337541739606</c:v>
                </c:pt>
                <c:pt idx="727">
                  <c:v>4.7877446886607755</c:v>
                </c:pt>
                <c:pt idx="728">
                  <c:v>4.7751057104036621</c:v>
                </c:pt>
                <c:pt idx="729">
                  <c:v>4.762516556760418</c:v>
                </c:pt>
                <c:pt idx="730">
                  <c:v>4.7499769668048444</c:v>
                </c:pt>
                <c:pt idx="731">
                  <c:v>4.7374866813133316</c:v>
                </c:pt>
                <c:pt idx="732">
                  <c:v>4.7250454427515765</c:v>
                </c:pt>
                <c:pt idx="733">
                  <c:v>4.7126529952613918</c:v>
                </c:pt>
                <c:pt idx="734">
                  <c:v>4.7003090846476718</c:v>
                </c:pt>
                <c:pt idx="735">
                  <c:v>4.6880134583654414</c:v>
                </c:pt>
                <c:pt idx="736">
                  <c:v>4.6757658655070475</c:v>
                </c:pt>
                <c:pt idx="737">
                  <c:v>4.6635660567894606</c:v>
                </c:pt>
                <c:pt idx="738">
                  <c:v>4.6514137845416741</c:v>
                </c:pt>
                <c:pt idx="739">
                  <c:v>4.6393088026922475</c:v>
                </c:pt>
                <c:pt idx="740">
                  <c:v>4.6272508667569285</c:v>
                </c:pt>
                <c:pt idx="741">
                  <c:v>4.6152397338264173</c:v>
                </c:pt>
                <c:pt idx="742">
                  <c:v>4.6032751625542172</c:v>
                </c:pt>
                <c:pt idx="743">
                  <c:v>4.5913569131446081</c:v>
                </c:pt>
                <c:pt idx="744">
                  <c:v>4.5794847473407208</c:v>
                </c:pt>
                <c:pt idx="745">
                  <c:v>4.5676584284127211</c:v>
                </c:pt>
                <c:pt idx="746">
                  <c:v>4.5558777211460928</c:v>
                </c:pt>
                <c:pt idx="747">
                  <c:v>4.5441423918300465</c:v>
                </c:pt>
                <c:pt idx="748">
                  <c:v>4.532452208245993</c:v>
                </c:pt>
                <c:pt idx="749">
                  <c:v>4.5208069396561701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621-4875-B88C-B488B95351CA}"/>
            </c:ext>
          </c:extLst>
        </c:ser>
        <c:ser>
          <c:idx val="3"/>
          <c:order val="3"/>
          <c:tx>
            <c:strRef>
              <c:f>'sheet 1'!$Q$38</c:f>
              <c:strCache>
                <c:ptCount val="1"/>
                <c:pt idx="0">
                  <c:v>I2</c:v>
                </c:pt>
              </c:strCache>
            </c:strRef>
          </c:tx>
          <c:spPr>
            <a:ln w="28575">
              <a:noFill/>
            </a:ln>
          </c:spPr>
          <c:xVal>
            <c:numRef>
              <c:f>'sheet 1'!$B$39:$B$841</c:f>
              <c:numCache>
                <c:formatCode>General</c:formatCode>
                <c:ptCount val="803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  <c:pt idx="79">
                  <c:v>8</c:v>
                </c:pt>
                <c:pt idx="80">
                  <c:v>8.1</c:v>
                </c:pt>
                <c:pt idx="81">
                  <c:v>8.1999999999999993</c:v>
                </c:pt>
                <c:pt idx="82">
                  <c:v>8.3000000000000007</c:v>
                </c:pt>
                <c:pt idx="83">
                  <c:v>8.4</c:v>
                </c:pt>
                <c:pt idx="84">
                  <c:v>8.5</c:v>
                </c:pt>
                <c:pt idx="85">
                  <c:v>8.6</c:v>
                </c:pt>
                <c:pt idx="86">
                  <c:v>8.6999999999999993</c:v>
                </c:pt>
                <c:pt idx="87">
                  <c:v>8.8000000000000007</c:v>
                </c:pt>
                <c:pt idx="88">
                  <c:v>8.9</c:v>
                </c:pt>
                <c:pt idx="89">
                  <c:v>9</c:v>
                </c:pt>
                <c:pt idx="90">
                  <c:v>9.1</c:v>
                </c:pt>
                <c:pt idx="91">
                  <c:v>9.1999999999999993</c:v>
                </c:pt>
                <c:pt idx="92">
                  <c:v>9.3000000000000007</c:v>
                </c:pt>
                <c:pt idx="93">
                  <c:v>9.4</c:v>
                </c:pt>
                <c:pt idx="94">
                  <c:v>9.5</c:v>
                </c:pt>
                <c:pt idx="95">
                  <c:v>9.6</c:v>
                </c:pt>
                <c:pt idx="96">
                  <c:v>9.6999999999999993</c:v>
                </c:pt>
                <c:pt idx="97">
                  <c:v>9.8000000000000007</c:v>
                </c:pt>
                <c:pt idx="98">
                  <c:v>9.9</c:v>
                </c:pt>
                <c:pt idx="99">
                  <c:v>10</c:v>
                </c:pt>
                <c:pt idx="100">
                  <c:v>10.1</c:v>
                </c:pt>
                <c:pt idx="101">
                  <c:v>10.199999999999999</c:v>
                </c:pt>
                <c:pt idx="102">
                  <c:v>10.3</c:v>
                </c:pt>
                <c:pt idx="103">
                  <c:v>10.4</c:v>
                </c:pt>
                <c:pt idx="104">
                  <c:v>10.5</c:v>
                </c:pt>
                <c:pt idx="105">
                  <c:v>10.6</c:v>
                </c:pt>
                <c:pt idx="106">
                  <c:v>10.7</c:v>
                </c:pt>
                <c:pt idx="107">
                  <c:v>10.8</c:v>
                </c:pt>
                <c:pt idx="108">
                  <c:v>10.9</c:v>
                </c:pt>
                <c:pt idx="109">
                  <c:v>11</c:v>
                </c:pt>
                <c:pt idx="110">
                  <c:v>11.1</c:v>
                </c:pt>
                <c:pt idx="111">
                  <c:v>11.2</c:v>
                </c:pt>
                <c:pt idx="112">
                  <c:v>11.3</c:v>
                </c:pt>
                <c:pt idx="113">
                  <c:v>11.4</c:v>
                </c:pt>
                <c:pt idx="114">
                  <c:v>11.5</c:v>
                </c:pt>
                <c:pt idx="115">
                  <c:v>11.6</c:v>
                </c:pt>
                <c:pt idx="116">
                  <c:v>11.7</c:v>
                </c:pt>
                <c:pt idx="117">
                  <c:v>11.8</c:v>
                </c:pt>
                <c:pt idx="118">
                  <c:v>11.9</c:v>
                </c:pt>
                <c:pt idx="119">
                  <c:v>12</c:v>
                </c:pt>
                <c:pt idx="120">
                  <c:v>12.1</c:v>
                </c:pt>
                <c:pt idx="121">
                  <c:v>12.2</c:v>
                </c:pt>
                <c:pt idx="122">
                  <c:v>12.3</c:v>
                </c:pt>
                <c:pt idx="123">
                  <c:v>12.4</c:v>
                </c:pt>
                <c:pt idx="124">
                  <c:v>12.5</c:v>
                </c:pt>
                <c:pt idx="125">
                  <c:v>12.6</c:v>
                </c:pt>
                <c:pt idx="126">
                  <c:v>12.7</c:v>
                </c:pt>
                <c:pt idx="127">
                  <c:v>12.8</c:v>
                </c:pt>
                <c:pt idx="128">
                  <c:v>12.9</c:v>
                </c:pt>
                <c:pt idx="129">
                  <c:v>13</c:v>
                </c:pt>
                <c:pt idx="130">
                  <c:v>13.1</c:v>
                </c:pt>
                <c:pt idx="131">
                  <c:v>13.2</c:v>
                </c:pt>
                <c:pt idx="132">
                  <c:v>13.3</c:v>
                </c:pt>
                <c:pt idx="133">
                  <c:v>13.4</c:v>
                </c:pt>
                <c:pt idx="134">
                  <c:v>13.5</c:v>
                </c:pt>
                <c:pt idx="135">
                  <c:v>13.6</c:v>
                </c:pt>
                <c:pt idx="136">
                  <c:v>13.7</c:v>
                </c:pt>
                <c:pt idx="137">
                  <c:v>13.8</c:v>
                </c:pt>
                <c:pt idx="138">
                  <c:v>13.9</c:v>
                </c:pt>
                <c:pt idx="139">
                  <c:v>14</c:v>
                </c:pt>
                <c:pt idx="140">
                  <c:v>14.1</c:v>
                </c:pt>
                <c:pt idx="141">
                  <c:v>14.2</c:v>
                </c:pt>
                <c:pt idx="142">
                  <c:v>14.3</c:v>
                </c:pt>
                <c:pt idx="143">
                  <c:v>14.4</c:v>
                </c:pt>
                <c:pt idx="144">
                  <c:v>14.5</c:v>
                </c:pt>
                <c:pt idx="145">
                  <c:v>14.6</c:v>
                </c:pt>
                <c:pt idx="146">
                  <c:v>14.7</c:v>
                </c:pt>
                <c:pt idx="147">
                  <c:v>14.8</c:v>
                </c:pt>
                <c:pt idx="148">
                  <c:v>14.9</c:v>
                </c:pt>
                <c:pt idx="149">
                  <c:v>15</c:v>
                </c:pt>
                <c:pt idx="150">
                  <c:v>15.1</c:v>
                </c:pt>
                <c:pt idx="151">
                  <c:v>15.2</c:v>
                </c:pt>
                <c:pt idx="152">
                  <c:v>15.3</c:v>
                </c:pt>
                <c:pt idx="153">
                  <c:v>15.4</c:v>
                </c:pt>
                <c:pt idx="154">
                  <c:v>15.5</c:v>
                </c:pt>
                <c:pt idx="155">
                  <c:v>15.6</c:v>
                </c:pt>
                <c:pt idx="156">
                  <c:v>15.7</c:v>
                </c:pt>
                <c:pt idx="157">
                  <c:v>15.8</c:v>
                </c:pt>
                <c:pt idx="158">
                  <c:v>15.9</c:v>
                </c:pt>
                <c:pt idx="159">
                  <c:v>16</c:v>
                </c:pt>
                <c:pt idx="160">
                  <c:v>16.100000000000001</c:v>
                </c:pt>
                <c:pt idx="161">
                  <c:v>16.2</c:v>
                </c:pt>
                <c:pt idx="162">
                  <c:v>16.3</c:v>
                </c:pt>
                <c:pt idx="163">
                  <c:v>16.399999999999999</c:v>
                </c:pt>
                <c:pt idx="164">
                  <c:v>16.5</c:v>
                </c:pt>
                <c:pt idx="165">
                  <c:v>16.600000000000001</c:v>
                </c:pt>
                <c:pt idx="166">
                  <c:v>16.7</c:v>
                </c:pt>
                <c:pt idx="167">
                  <c:v>16.8</c:v>
                </c:pt>
                <c:pt idx="168">
                  <c:v>16.899999999999999</c:v>
                </c:pt>
                <c:pt idx="169">
                  <c:v>17</c:v>
                </c:pt>
                <c:pt idx="170">
                  <c:v>17.100000000000001</c:v>
                </c:pt>
                <c:pt idx="171">
                  <c:v>17.2</c:v>
                </c:pt>
                <c:pt idx="172">
                  <c:v>17.3</c:v>
                </c:pt>
                <c:pt idx="173">
                  <c:v>17.399999999999999</c:v>
                </c:pt>
                <c:pt idx="174">
                  <c:v>17.5</c:v>
                </c:pt>
                <c:pt idx="175">
                  <c:v>17.600000000000001</c:v>
                </c:pt>
                <c:pt idx="176">
                  <c:v>17.7</c:v>
                </c:pt>
                <c:pt idx="177">
                  <c:v>17.8</c:v>
                </c:pt>
                <c:pt idx="178">
                  <c:v>17.899999999999999</c:v>
                </c:pt>
                <c:pt idx="179">
                  <c:v>18</c:v>
                </c:pt>
                <c:pt idx="180">
                  <c:v>18.100000000000001</c:v>
                </c:pt>
                <c:pt idx="181">
                  <c:v>18.2</c:v>
                </c:pt>
                <c:pt idx="182">
                  <c:v>18.3</c:v>
                </c:pt>
                <c:pt idx="183">
                  <c:v>18.399999999999999</c:v>
                </c:pt>
                <c:pt idx="184">
                  <c:v>18.5</c:v>
                </c:pt>
                <c:pt idx="185">
                  <c:v>18.600000000000001</c:v>
                </c:pt>
                <c:pt idx="186">
                  <c:v>18.7</c:v>
                </c:pt>
                <c:pt idx="187">
                  <c:v>18.8</c:v>
                </c:pt>
                <c:pt idx="188">
                  <c:v>18.899999999999999</c:v>
                </c:pt>
                <c:pt idx="189">
                  <c:v>19</c:v>
                </c:pt>
                <c:pt idx="190">
                  <c:v>19.100000000000001</c:v>
                </c:pt>
                <c:pt idx="191">
                  <c:v>19.2</c:v>
                </c:pt>
                <c:pt idx="192">
                  <c:v>19.3</c:v>
                </c:pt>
                <c:pt idx="193">
                  <c:v>19.399999999999999</c:v>
                </c:pt>
                <c:pt idx="194">
                  <c:v>19.5</c:v>
                </c:pt>
                <c:pt idx="195">
                  <c:v>19.600000000000001</c:v>
                </c:pt>
                <c:pt idx="196">
                  <c:v>19.7</c:v>
                </c:pt>
                <c:pt idx="197">
                  <c:v>19.8</c:v>
                </c:pt>
                <c:pt idx="198">
                  <c:v>19.899999999999999</c:v>
                </c:pt>
                <c:pt idx="199">
                  <c:v>20</c:v>
                </c:pt>
                <c:pt idx="200">
                  <c:v>20.100000000000001</c:v>
                </c:pt>
                <c:pt idx="201">
                  <c:v>20.2</c:v>
                </c:pt>
                <c:pt idx="202">
                  <c:v>20.3</c:v>
                </c:pt>
                <c:pt idx="203">
                  <c:v>20.399999999999999</c:v>
                </c:pt>
                <c:pt idx="204">
                  <c:v>20.5</c:v>
                </c:pt>
                <c:pt idx="205">
                  <c:v>20.6</c:v>
                </c:pt>
                <c:pt idx="206">
                  <c:v>20.7</c:v>
                </c:pt>
                <c:pt idx="207">
                  <c:v>20.8</c:v>
                </c:pt>
                <c:pt idx="208">
                  <c:v>20.9</c:v>
                </c:pt>
                <c:pt idx="209">
                  <c:v>21</c:v>
                </c:pt>
                <c:pt idx="210">
                  <c:v>21.1</c:v>
                </c:pt>
                <c:pt idx="211">
                  <c:v>21.2</c:v>
                </c:pt>
                <c:pt idx="212">
                  <c:v>21.3</c:v>
                </c:pt>
                <c:pt idx="213">
                  <c:v>21.4</c:v>
                </c:pt>
                <c:pt idx="214">
                  <c:v>21.5</c:v>
                </c:pt>
                <c:pt idx="215">
                  <c:v>21.6</c:v>
                </c:pt>
                <c:pt idx="216">
                  <c:v>21.7</c:v>
                </c:pt>
                <c:pt idx="217">
                  <c:v>21.8</c:v>
                </c:pt>
                <c:pt idx="218">
                  <c:v>21.9</c:v>
                </c:pt>
                <c:pt idx="219">
                  <c:v>22</c:v>
                </c:pt>
                <c:pt idx="220">
                  <c:v>22.1</c:v>
                </c:pt>
                <c:pt idx="221">
                  <c:v>22.2</c:v>
                </c:pt>
                <c:pt idx="222">
                  <c:v>22.3</c:v>
                </c:pt>
                <c:pt idx="223">
                  <c:v>22.4</c:v>
                </c:pt>
                <c:pt idx="224">
                  <c:v>22.5</c:v>
                </c:pt>
                <c:pt idx="225">
                  <c:v>22.6</c:v>
                </c:pt>
                <c:pt idx="226">
                  <c:v>22.7</c:v>
                </c:pt>
                <c:pt idx="227">
                  <c:v>22.8</c:v>
                </c:pt>
                <c:pt idx="228">
                  <c:v>22.9</c:v>
                </c:pt>
                <c:pt idx="229">
                  <c:v>23</c:v>
                </c:pt>
                <c:pt idx="230">
                  <c:v>23.1</c:v>
                </c:pt>
                <c:pt idx="231">
                  <c:v>23.2</c:v>
                </c:pt>
                <c:pt idx="232">
                  <c:v>23.3</c:v>
                </c:pt>
                <c:pt idx="233">
                  <c:v>23.4</c:v>
                </c:pt>
                <c:pt idx="234">
                  <c:v>23.5</c:v>
                </c:pt>
                <c:pt idx="235">
                  <c:v>23.6</c:v>
                </c:pt>
                <c:pt idx="236">
                  <c:v>23.7</c:v>
                </c:pt>
                <c:pt idx="237">
                  <c:v>23.8</c:v>
                </c:pt>
                <c:pt idx="238">
                  <c:v>23.9</c:v>
                </c:pt>
                <c:pt idx="239">
                  <c:v>24</c:v>
                </c:pt>
                <c:pt idx="240">
                  <c:v>24.1</c:v>
                </c:pt>
                <c:pt idx="241">
                  <c:v>24.2</c:v>
                </c:pt>
                <c:pt idx="242">
                  <c:v>24.3</c:v>
                </c:pt>
                <c:pt idx="243">
                  <c:v>24.4</c:v>
                </c:pt>
                <c:pt idx="244">
                  <c:v>24.5</c:v>
                </c:pt>
                <c:pt idx="245">
                  <c:v>24.6</c:v>
                </c:pt>
                <c:pt idx="246">
                  <c:v>24.7</c:v>
                </c:pt>
                <c:pt idx="247">
                  <c:v>24.8</c:v>
                </c:pt>
                <c:pt idx="248">
                  <c:v>24.9</c:v>
                </c:pt>
                <c:pt idx="249">
                  <c:v>25</c:v>
                </c:pt>
                <c:pt idx="250">
                  <c:v>25.1</c:v>
                </c:pt>
                <c:pt idx="251">
                  <c:v>25.2</c:v>
                </c:pt>
                <c:pt idx="252">
                  <c:v>25.3</c:v>
                </c:pt>
                <c:pt idx="253">
                  <c:v>25.4</c:v>
                </c:pt>
                <c:pt idx="254">
                  <c:v>25.5</c:v>
                </c:pt>
                <c:pt idx="255">
                  <c:v>25.6</c:v>
                </c:pt>
                <c:pt idx="256">
                  <c:v>25.7</c:v>
                </c:pt>
                <c:pt idx="257">
                  <c:v>25.8</c:v>
                </c:pt>
                <c:pt idx="258">
                  <c:v>25.9</c:v>
                </c:pt>
                <c:pt idx="259">
                  <c:v>26</c:v>
                </c:pt>
                <c:pt idx="260">
                  <c:v>26.1</c:v>
                </c:pt>
                <c:pt idx="261">
                  <c:v>26.2</c:v>
                </c:pt>
                <c:pt idx="262">
                  <c:v>26.3</c:v>
                </c:pt>
                <c:pt idx="263">
                  <c:v>26.4</c:v>
                </c:pt>
                <c:pt idx="264">
                  <c:v>26.5</c:v>
                </c:pt>
                <c:pt idx="265">
                  <c:v>26.6</c:v>
                </c:pt>
                <c:pt idx="266">
                  <c:v>26.7</c:v>
                </c:pt>
                <c:pt idx="267">
                  <c:v>26.8</c:v>
                </c:pt>
                <c:pt idx="268">
                  <c:v>26.9</c:v>
                </c:pt>
                <c:pt idx="269">
                  <c:v>27</c:v>
                </c:pt>
                <c:pt idx="270">
                  <c:v>27.1</c:v>
                </c:pt>
                <c:pt idx="271">
                  <c:v>27.2</c:v>
                </c:pt>
                <c:pt idx="272">
                  <c:v>27.3</c:v>
                </c:pt>
                <c:pt idx="273">
                  <c:v>27.4</c:v>
                </c:pt>
                <c:pt idx="274">
                  <c:v>27.5</c:v>
                </c:pt>
                <c:pt idx="275">
                  <c:v>27.6</c:v>
                </c:pt>
                <c:pt idx="276">
                  <c:v>27.7</c:v>
                </c:pt>
                <c:pt idx="277">
                  <c:v>27.8</c:v>
                </c:pt>
                <c:pt idx="278">
                  <c:v>27.9</c:v>
                </c:pt>
                <c:pt idx="279">
                  <c:v>28</c:v>
                </c:pt>
                <c:pt idx="280">
                  <c:v>28.1</c:v>
                </c:pt>
                <c:pt idx="281">
                  <c:v>28.2</c:v>
                </c:pt>
                <c:pt idx="282">
                  <c:v>28.3</c:v>
                </c:pt>
                <c:pt idx="283">
                  <c:v>28.4</c:v>
                </c:pt>
                <c:pt idx="284">
                  <c:v>28.5</c:v>
                </c:pt>
                <c:pt idx="285">
                  <c:v>28.6</c:v>
                </c:pt>
                <c:pt idx="286">
                  <c:v>28.7</c:v>
                </c:pt>
                <c:pt idx="287">
                  <c:v>28.8</c:v>
                </c:pt>
                <c:pt idx="288">
                  <c:v>28.9</c:v>
                </c:pt>
                <c:pt idx="289">
                  <c:v>29</c:v>
                </c:pt>
                <c:pt idx="290">
                  <c:v>29.1</c:v>
                </c:pt>
                <c:pt idx="291">
                  <c:v>29.2</c:v>
                </c:pt>
                <c:pt idx="292">
                  <c:v>29.3</c:v>
                </c:pt>
                <c:pt idx="293">
                  <c:v>29.4</c:v>
                </c:pt>
                <c:pt idx="294">
                  <c:v>29.5</c:v>
                </c:pt>
                <c:pt idx="295">
                  <c:v>29.6</c:v>
                </c:pt>
                <c:pt idx="296">
                  <c:v>29.7</c:v>
                </c:pt>
                <c:pt idx="297">
                  <c:v>29.8</c:v>
                </c:pt>
                <c:pt idx="298">
                  <c:v>29.9</c:v>
                </c:pt>
                <c:pt idx="299">
                  <c:v>30</c:v>
                </c:pt>
                <c:pt idx="300">
                  <c:v>30.1</c:v>
                </c:pt>
                <c:pt idx="301">
                  <c:v>30.2</c:v>
                </c:pt>
                <c:pt idx="302">
                  <c:v>30.3</c:v>
                </c:pt>
                <c:pt idx="303">
                  <c:v>30.4</c:v>
                </c:pt>
                <c:pt idx="304">
                  <c:v>30.5</c:v>
                </c:pt>
                <c:pt idx="305">
                  <c:v>30.6</c:v>
                </c:pt>
                <c:pt idx="306">
                  <c:v>30.7</c:v>
                </c:pt>
                <c:pt idx="307">
                  <c:v>30.8</c:v>
                </c:pt>
                <c:pt idx="308">
                  <c:v>30.9</c:v>
                </c:pt>
                <c:pt idx="309">
                  <c:v>31</c:v>
                </c:pt>
                <c:pt idx="310">
                  <c:v>31.1</c:v>
                </c:pt>
                <c:pt idx="311">
                  <c:v>31.2</c:v>
                </c:pt>
                <c:pt idx="312">
                  <c:v>31.3</c:v>
                </c:pt>
                <c:pt idx="313">
                  <c:v>31.4</c:v>
                </c:pt>
                <c:pt idx="314">
                  <c:v>31.5</c:v>
                </c:pt>
                <c:pt idx="315">
                  <c:v>31.6</c:v>
                </c:pt>
                <c:pt idx="316">
                  <c:v>31.7</c:v>
                </c:pt>
                <c:pt idx="317">
                  <c:v>31.8</c:v>
                </c:pt>
                <c:pt idx="318">
                  <c:v>31.9</c:v>
                </c:pt>
                <c:pt idx="319">
                  <c:v>32</c:v>
                </c:pt>
                <c:pt idx="320">
                  <c:v>32.1</c:v>
                </c:pt>
                <c:pt idx="321">
                  <c:v>32.200000000000003</c:v>
                </c:pt>
                <c:pt idx="322">
                  <c:v>32.299999999999997</c:v>
                </c:pt>
                <c:pt idx="323">
                  <c:v>32.4</c:v>
                </c:pt>
                <c:pt idx="324">
                  <c:v>32.5</c:v>
                </c:pt>
                <c:pt idx="325">
                  <c:v>32.6</c:v>
                </c:pt>
                <c:pt idx="326">
                  <c:v>32.700000000000003</c:v>
                </c:pt>
                <c:pt idx="327">
                  <c:v>32.799999999999997</c:v>
                </c:pt>
                <c:pt idx="328">
                  <c:v>32.9</c:v>
                </c:pt>
                <c:pt idx="329">
                  <c:v>33</c:v>
                </c:pt>
                <c:pt idx="330">
                  <c:v>33.1</c:v>
                </c:pt>
                <c:pt idx="331">
                  <c:v>33.200000000000003</c:v>
                </c:pt>
                <c:pt idx="332">
                  <c:v>33.299999999999997</c:v>
                </c:pt>
                <c:pt idx="333">
                  <c:v>33.4</c:v>
                </c:pt>
                <c:pt idx="334">
                  <c:v>33.5</c:v>
                </c:pt>
                <c:pt idx="335">
                  <c:v>33.6</c:v>
                </c:pt>
                <c:pt idx="336">
                  <c:v>33.700000000000003</c:v>
                </c:pt>
                <c:pt idx="337">
                  <c:v>33.799999999999997</c:v>
                </c:pt>
                <c:pt idx="338">
                  <c:v>33.9</c:v>
                </c:pt>
                <c:pt idx="339">
                  <c:v>34</c:v>
                </c:pt>
                <c:pt idx="340">
                  <c:v>34.1</c:v>
                </c:pt>
                <c:pt idx="341">
                  <c:v>34.200000000000003</c:v>
                </c:pt>
                <c:pt idx="342">
                  <c:v>34.299999999999997</c:v>
                </c:pt>
                <c:pt idx="343">
                  <c:v>34.4</c:v>
                </c:pt>
                <c:pt idx="344">
                  <c:v>34.5</c:v>
                </c:pt>
                <c:pt idx="345">
                  <c:v>34.6</c:v>
                </c:pt>
                <c:pt idx="346">
                  <c:v>34.700000000000003</c:v>
                </c:pt>
                <c:pt idx="347">
                  <c:v>34.799999999999997</c:v>
                </c:pt>
                <c:pt idx="348">
                  <c:v>34.9</c:v>
                </c:pt>
                <c:pt idx="349">
                  <c:v>35</c:v>
                </c:pt>
                <c:pt idx="350">
                  <c:v>35.1</c:v>
                </c:pt>
                <c:pt idx="351">
                  <c:v>35.200000000000003</c:v>
                </c:pt>
                <c:pt idx="352">
                  <c:v>35.299999999999997</c:v>
                </c:pt>
                <c:pt idx="353">
                  <c:v>35.4</c:v>
                </c:pt>
                <c:pt idx="354">
                  <c:v>35.5</c:v>
                </c:pt>
                <c:pt idx="355">
                  <c:v>35.6</c:v>
                </c:pt>
                <c:pt idx="356">
                  <c:v>35.700000000000003</c:v>
                </c:pt>
                <c:pt idx="357">
                  <c:v>35.799999999999997</c:v>
                </c:pt>
                <c:pt idx="358">
                  <c:v>35.9</c:v>
                </c:pt>
                <c:pt idx="359">
                  <c:v>36</c:v>
                </c:pt>
                <c:pt idx="360">
                  <c:v>36.1</c:v>
                </c:pt>
                <c:pt idx="361">
                  <c:v>36.200000000000003</c:v>
                </c:pt>
                <c:pt idx="362">
                  <c:v>36.299999999999997</c:v>
                </c:pt>
                <c:pt idx="363">
                  <c:v>36.4</c:v>
                </c:pt>
                <c:pt idx="364">
                  <c:v>36.5</c:v>
                </c:pt>
                <c:pt idx="365">
                  <c:v>36.6</c:v>
                </c:pt>
                <c:pt idx="366">
                  <c:v>36.700000000000003</c:v>
                </c:pt>
                <c:pt idx="367">
                  <c:v>36.799999999999997</c:v>
                </c:pt>
                <c:pt idx="368">
                  <c:v>36.9</c:v>
                </c:pt>
                <c:pt idx="369">
                  <c:v>37</c:v>
                </c:pt>
                <c:pt idx="370">
                  <c:v>37.1</c:v>
                </c:pt>
                <c:pt idx="371">
                  <c:v>37.200000000000003</c:v>
                </c:pt>
                <c:pt idx="372">
                  <c:v>37.299999999999997</c:v>
                </c:pt>
                <c:pt idx="373">
                  <c:v>37.4</c:v>
                </c:pt>
                <c:pt idx="374">
                  <c:v>37.5</c:v>
                </c:pt>
                <c:pt idx="375">
                  <c:v>37.6</c:v>
                </c:pt>
                <c:pt idx="376">
                  <c:v>37.700000000000003</c:v>
                </c:pt>
                <c:pt idx="377">
                  <c:v>37.799999999999997</c:v>
                </c:pt>
                <c:pt idx="378">
                  <c:v>37.9</c:v>
                </c:pt>
                <c:pt idx="379">
                  <c:v>38</c:v>
                </c:pt>
                <c:pt idx="380">
                  <c:v>38.1</c:v>
                </c:pt>
                <c:pt idx="381">
                  <c:v>38.200000000000003</c:v>
                </c:pt>
                <c:pt idx="382">
                  <c:v>38.299999999999997</c:v>
                </c:pt>
                <c:pt idx="383">
                  <c:v>38.4</c:v>
                </c:pt>
                <c:pt idx="384">
                  <c:v>38.5</c:v>
                </c:pt>
                <c:pt idx="385">
                  <c:v>38.6</c:v>
                </c:pt>
                <c:pt idx="386">
                  <c:v>38.700000000000003</c:v>
                </c:pt>
                <c:pt idx="387">
                  <c:v>38.799999999999997</c:v>
                </c:pt>
                <c:pt idx="388">
                  <c:v>38.9</c:v>
                </c:pt>
                <c:pt idx="389">
                  <c:v>39</c:v>
                </c:pt>
                <c:pt idx="390">
                  <c:v>39.1</c:v>
                </c:pt>
                <c:pt idx="391">
                  <c:v>39.200000000000003</c:v>
                </c:pt>
                <c:pt idx="392">
                  <c:v>39.299999999999997</c:v>
                </c:pt>
                <c:pt idx="393">
                  <c:v>39.4</c:v>
                </c:pt>
                <c:pt idx="394">
                  <c:v>39.5</c:v>
                </c:pt>
                <c:pt idx="395">
                  <c:v>39.6</c:v>
                </c:pt>
                <c:pt idx="396">
                  <c:v>39.700000000000003</c:v>
                </c:pt>
                <c:pt idx="397">
                  <c:v>39.799999999999997</c:v>
                </c:pt>
                <c:pt idx="398">
                  <c:v>39.9</c:v>
                </c:pt>
                <c:pt idx="399">
                  <c:v>40</c:v>
                </c:pt>
                <c:pt idx="400">
                  <c:v>40.1</c:v>
                </c:pt>
                <c:pt idx="401">
                  <c:v>40.200000000000003</c:v>
                </c:pt>
                <c:pt idx="402">
                  <c:v>40.299999999999997</c:v>
                </c:pt>
                <c:pt idx="403">
                  <c:v>40.4</c:v>
                </c:pt>
                <c:pt idx="404">
                  <c:v>40.5</c:v>
                </c:pt>
                <c:pt idx="405">
                  <c:v>40.6</c:v>
                </c:pt>
                <c:pt idx="406">
                  <c:v>40.700000000000003</c:v>
                </c:pt>
                <c:pt idx="407">
                  <c:v>40.799999999999997</c:v>
                </c:pt>
                <c:pt idx="408">
                  <c:v>40.9</c:v>
                </c:pt>
                <c:pt idx="409">
                  <c:v>41</c:v>
                </c:pt>
                <c:pt idx="410">
                  <c:v>41.1</c:v>
                </c:pt>
                <c:pt idx="411">
                  <c:v>41.2</c:v>
                </c:pt>
                <c:pt idx="412">
                  <c:v>41.3</c:v>
                </c:pt>
                <c:pt idx="413">
                  <c:v>41.4</c:v>
                </c:pt>
                <c:pt idx="414">
                  <c:v>41.5</c:v>
                </c:pt>
                <c:pt idx="415">
                  <c:v>41.6</c:v>
                </c:pt>
                <c:pt idx="416">
                  <c:v>41.7</c:v>
                </c:pt>
                <c:pt idx="417">
                  <c:v>41.8</c:v>
                </c:pt>
                <c:pt idx="418">
                  <c:v>41.9</c:v>
                </c:pt>
                <c:pt idx="419">
                  <c:v>42</c:v>
                </c:pt>
                <c:pt idx="420">
                  <c:v>42.1</c:v>
                </c:pt>
                <c:pt idx="421">
                  <c:v>42.2</c:v>
                </c:pt>
                <c:pt idx="422">
                  <c:v>42.3</c:v>
                </c:pt>
                <c:pt idx="423">
                  <c:v>42.4</c:v>
                </c:pt>
                <c:pt idx="424">
                  <c:v>42.5</c:v>
                </c:pt>
                <c:pt idx="425">
                  <c:v>42.6</c:v>
                </c:pt>
                <c:pt idx="426">
                  <c:v>42.7</c:v>
                </c:pt>
                <c:pt idx="427">
                  <c:v>42.8</c:v>
                </c:pt>
                <c:pt idx="428">
                  <c:v>42.9</c:v>
                </c:pt>
                <c:pt idx="429">
                  <c:v>43</c:v>
                </c:pt>
                <c:pt idx="430">
                  <c:v>43.1</c:v>
                </c:pt>
                <c:pt idx="431">
                  <c:v>43.2</c:v>
                </c:pt>
                <c:pt idx="432">
                  <c:v>43.3</c:v>
                </c:pt>
                <c:pt idx="433">
                  <c:v>43.4</c:v>
                </c:pt>
                <c:pt idx="434">
                  <c:v>43.5</c:v>
                </c:pt>
                <c:pt idx="435">
                  <c:v>43.6</c:v>
                </c:pt>
                <c:pt idx="436">
                  <c:v>43.7</c:v>
                </c:pt>
                <c:pt idx="437">
                  <c:v>43.8</c:v>
                </c:pt>
                <c:pt idx="438">
                  <c:v>43.9</c:v>
                </c:pt>
                <c:pt idx="439">
                  <c:v>44</c:v>
                </c:pt>
                <c:pt idx="440">
                  <c:v>44.1</c:v>
                </c:pt>
                <c:pt idx="441">
                  <c:v>44.2</c:v>
                </c:pt>
                <c:pt idx="442">
                  <c:v>44.3</c:v>
                </c:pt>
                <c:pt idx="443">
                  <c:v>44.4</c:v>
                </c:pt>
                <c:pt idx="444">
                  <c:v>44.5</c:v>
                </c:pt>
                <c:pt idx="445">
                  <c:v>44.6</c:v>
                </c:pt>
                <c:pt idx="446">
                  <c:v>44.7</c:v>
                </c:pt>
                <c:pt idx="447">
                  <c:v>44.8</c:v>
                </c:pt>
                <c:pt idx="448">
                  <c:v>44.9</c:v>
                </c:pt>
                <c:pt idx="449">
                  <c:v>45</c:v>
                </c:pt>
                <c:pt idx="450">
                  <c:v>45.1</c:v>
                </c:pt>
                <c:pt idx="451">
                  <c:v>45.2</c:v>
                </c:pt>
                <c:pt idx="452">
                  <c:v>45.3</c:v>
                </c:pt>
                <c:pt idx="453">
                  <c:v>45.4</c:v>
                </c:pt>
                <c:pt idx="454">
                  <c:v>45.5</c:v>
                </c:pt>
                <c:pt idx="455">
                  <c:v>45.6</c:v>
                </c:pt>
                <c:pt idx="456">
                  <c:v>45.7</c:v>
                </c:pt>
                <c:pt idx="457">
                  <c:v>45.8</c:v>
                </c:pt>
                <c:pt idx="458">
                  <c:v>45.9</c:v>
                </c:pt>
                <c:pt idx="459">
                  <c:v>46</c:v>
                </c:pt>
                <c:pt idx="460">
                  <c:v>46.1</c:v>
                </c:pt>
                <c:pt idx="461">
                  <c:v>46.2</c:v>
                </c:pt>
                <c:pt idx="462">
                  <c:v>46.3</c:v>
                </c:pt>
                <c:pt idx="463">
                  <c:v>46.4</c:v>
                </c:pt>
                <c:pt idx="464">
                  <c:v>46.5</c:v>
                </c:pt>
                <c:pt idx="465">
                  <c:v>46.6</c:v>
                </c:pt>
                <c:pt idx="466">
                  <c:v>46.7</c:v>
                </c:pt>
                <c:pt idx="467">
                  <c:v>46.8</c:v>
                </c:pt>
                <c:pt idx="468">
                  <c:v>46.9</c:v>
                </c:pt>
                <c:pt idx="469">
                  <c:v>47</c:v>
                </c:pt>
                <c:pt idx="470">
                  <c:v>47.1</c:v>
                </c:pt>
                <c:pt idx="471">
                  <c:v>47.2</c:v>
                </c:pt>
                <c:pt idx="472">
                  <c:v>47.3</c:v>
                </c:pt>
                <c:pt idx="473">
                  <c:v>47.4</c:v>
                </c:pt>
                <c:pt idx="474">
                  <c:v>47.5</c:v>
                </c:pt>
                <c:pt idx="475">
                  <c:v>47.6</c:v>
                </c:pt>
                <c:pt idx="476">
                  <c:v>47.7</c:v>
                </c:pt>
                <c:pt idx="477">
                  <c:v>47.8</c:v>
                </c:pt>
                <c:pt idx="478">
                  <c:v>47.9</c:v>
                </c:pt>
                <c:pt idx="479">
                  <c:v>48</c:v>
                </c:pt>
                <c:pt idx="480">
                  <c:v>48.1</c:v>
                </c:pt>
                <c:pt idx="481">
                  <c:v>48.2</c:v>
                </c:pt>
                <c:pt idx="482">
                  <c:v>48.3</c:v>
                </c:pt>
                <c:pt idx="483">
                  <c:v>48.4</c:v>
                </c:pt>
                <c:pt idx="484">
                  <c:v>48.5</c:v>
                </c:pt>
                <c:pt idx="485">
                  <c:v>48.6</c:v>
                </c:pt>
                <c:pt idx="486">
                  <c:v>48.7</c:v>
                </c:pt>
                <c:pt idx="487">
                  <c:v>48.8</c:v>
                </c:pt>
                <c:pt idx="488">
                  <c:v>48.9</c:v>
                </c:pt>
                <c:pt idx="489">
                  <c:v>49</c:v>
                </c:pt>
                <c:pt idx="490">
                  <c:v>49.1</c:v>
                </c:pt>
                <c:pt idx="491">
                  <c:v>49.2</c:v>
                </c:pt>
                <c:pt idx="492">
                  <c:v>49.3</c:v>
                </c:pt>
                <c:pt idx="493">
                  <c:v>49.4</c:v>
                </c:pt>
                <c:pt idx="494">
                  <c:v>49.5</c:v>
                </c:pt>
                <c:pt idx="495">
                  <c:v>49.6</c:v>
                </c:pt>
                <c:pt idx="496">
                  <c:v>49.7</c:v>
                </c:pt>
                <c:pt idx="497">
                  <c:v>49.8</c:v>
                </c:pt>
                <c:pt idx="498">
                  <c:v>49.9</c:v>
                </c:pt>
                <c:pt idx="499">
                  <c:v>50</c:v>
                </c:pt>
                <c:pt idx="500">
                  <c:v>50.1</c:v>
                </c:pt>
                <c:pt idx="501">
                  <c:v>50.2</c:v>
                </c:pt>
                <c:pt idx="502">
                  <c:v>50.3</c:v>
                </c:pt>
                <c:pt idx="503">
                  <c:v>50.4</c:v>
                </c:pt>
                <c:pt idx="504">
                  <c:v>50.5</c:v>
                </c:pt>
                <c:pt idx="505">
                  <c:v>50.6</c:v>
                </c:pt>
                <c:pt idx="506">
                  <c:v>50.7</c:v>
                </c:pt>
                <c:pt idx="507">
                  <c:v>50.8</c:v>
                </c:pt>
                <c:pt idx="508">
                  <c:v>50.9</c:v>
                </c:pt>
                <c:pt idx="509">
                  <c:v>51</c:v>
                </c:pt>
                <c:pt idx="510">
                  <c:v>51.1</c:v>
                </c:pt>
                <c:pt idx="511">
                  <c:v>51.2</c:v>
                </c:pt>
                <c:pt idx="512">
                  <c:v>51.3</c:v>
                </c:pt>
                <c:pt idx="513">
                  <c:v>51.4</c:v>
                </c:pt>
                <c:pt idx="514">
                  <c:v>51.5</c:v>
                </c:pt>
                <c:pt idx="515">
                  <c:v>51.6</c:v>
                </c:pt>
                <c:pt idx="516">
                  <c:v>51.7</c:v>
                </c:pt>
                <c:pt idx="517">
                  <c:v>51.8</c:v>
                </c:pt>
                <c:pt idx="518">
                  <c:v>51.9</c:v>
                </c:pt>
                <c:pt idx="519">
                  <c:v>52</c:v>
                </c:pt>
                <c:pt idx="520">
                  <c:v>52.1</c:v>
                </c:pt>
                <c:pt idx="521">
                  <c:v>52.2</c:v>
                </c:pt>
                <c:pt idx="522">
                  <c:v>52.3</c:v>
                </c:pt>
                <c:pt idx="523">
                  <c:v>52.4</c:v>
                </c:pt>
                <c:pt idx="524">
                  <c:v>52.5</c:v>
                </c:pt>
                <c:pt idx="525">
                  <c:v>52.6</c:v>
                </c:pt>
                <c:pt idx="526">
                  <c:v>52.7</c:v>
                </c:pt>
                <c:pt idx="527">
                  <c:v>52.8</c:v>
                </c:pt>
                <c:pt idx="528">
                  <c:v>52.9</c:v>
                </c:pt>
                <c:pt idx="529">
                  <c:v>53</c:v>
                </c:pt>
                <c:pt idx="530">
                  <c:v>53.1</c:v>
                </c:pt>
                <c:pt idx="531">
                  <c:v>53.2</c:v>
                </c:pt>
                <c:pt idx="532">
                  <c:v>53.3</c:v>
                </c:pt>
                <c:pt idx="533">
                  <c:v>53.4</c:v>
                </c:pt>
                <c:pt idx="534">
                  <c:v>53.5</c:v>
                </c:pt>
                <c:pt idx="535">
                  <c:v>53.6</c:v>
                </c:pt>
                <c:pt idx="536">
                  <c:v>53.7</c:v>
                </c:pt>
                <c:pt idx="537">
                  <c:v>53.8</c:v>
                </c:pt>
                <c:pt idx="538">
                  <c:v>53.9</c:v>
                </c:pt>
                <c:pt idx="539">
                  <c:v>54</c:v>
                </c:pt>
                <c:pt idx="540">
                  <c:v>54.1</c:v>
                </c:pt>
                <c:pt idx="541">
                  <c:v>54.2</c:v>
                </c:pt>
                <c:pt idx="542">
                  <c:v>54.3</c:v>
                </c:pt>
                <c:pt idx="543">
                  <c:v>54.4</c:v>
                </c:pt>
                <c:pt idx="544">
                  <c:v>54.5</c:v>
                </c:pt>
                <c:pt idx="545">
                  <c:v>54.6</c:v>
                </c:pt>
                <c:pt idx="546">
                  <c:v>54.7</c:v>
                </c:pt>
                <c:pt idx="547">
                  <c:v>54.8</c:v>
                </c:pt>
                <c:pt idx="548">
                  <c:v>54.9</c:v>
                </c:pt>
                <c:pt idx="549">
                  <c:v>55</c:v>
                </c:pt>
                <c:pt idx="550">
                  <c:v>55.1</c:v>
                </c:pt>
                <c:pt idx="551">
                  <c:v>55.2</c:v>
                </c:pt>
                <c:pt idx="552">
                  <c:v>55.3</c:v>
                </c:pt>
                <c:pt idx="553">
                  <c:v>55.4</c:v>
                </c:pt>
                <c:pt idx="554">
                  <c:v>55.5</c:v>
                </c:pt>
                <c:pt idx="555">
                  <c:v>55.6</c:v>
                </c:pt>
                <c:pt idx="556">
                  <c:v>55.7</c:v>
                </c:pt>
                <c:pt idx="557">
                  <c:v>55.8</c:v>
                </c:pt>
                <c:pt idx="558">
                  <c:v>55.9</c:v>
                </c:pt>
                <c:pt idx="559">
                  <c:v>56</c:v>
                </c:pt>
                <c:pt idx="560">
                  <c:v>56.1</c:v>
                </c:pt>
                <c:pt idx="561">
                  <c:v>56.2</c:v>
                </c:pt>
                <c:pt idx="562">
                  <c:v>56.3</c:v>
                </c:pt>
                <c:pt idx="563">
                  <c:v>56.4</c:v>
                </c:pt>
                <c:pt idx="564">
                  <c:v>56.5</c:v>
                </c:pt>
                <c:pt idx="565">
                  <c:v>56.6</c:v>
                </c:pt>
                <c:pt idx="566">
                  <c:v>56.7</c:v>
                </c:pt>
                <c:pt idx="567">
                  <c:v>56.8</c:v>
                </c:pt>
                <c:pt idx="568">
                  <c:v>56.9</c:v>
                </c:pt>
                <c:pt idx="569">
                  <c:v>57</c:v>
                </c:pt>
                <c:pt idx="570">
                  <c:v>57.1</c:v>
                </c:pt>
                <c:pt idx="571">
                  <c:v>57.2</c:v>
                </c:pt>
                <c:pt idx="572">
                  <c:v>57.3</c:v>
                </c:pt>
                <c:pt idx="573">
                  <c:v>57.4</c:v>
                </c:pt>
                <c:pt idx="574">
                  <c:v>57.5</c:v>
                </c:pt>
                <c:pt idx="575">
                  <c:v>57.6</c:v>
                </c:pt>
                <c:pt idx="576">
                  <c:v>57.7</c:v>
                </c:pt>
                <c:pt idx="577">
                  <c:v>57.8</c:v>
                </c:pt>
                <c:pt idx="578">
                  <c:v>57.9</c:v>
                </c:pt>
                <c:pt idx="579">
                  <c:v>58</c:v>
                </c:pt>
                <c:pt idx="580">
                  <c:v>58.1</c:v>
                </c:pt>
                <c:pt idx="581">
                  <c:v>58.2</c:v>
                </c:pt>
                <c:pt idx="582">
                  <c:v>58.3</c:v>
                </c:pt>
                <c:pt idx="583">
                  <c:v>58.4</c:v>
                </c:pt>
                <c:pt idx="584">
                  <c:v>58.5</c:v>
                </c:pt>
                <c:pt idx="585">
                  <c:v>58.6</c:v>
                </c:pt>
                <c:pt idx="586">
                  <c:v>58.7</c:v>
                </c:pt>
                <c:pt idx="587">
                  <c:v>58.8</c:v>
                </c:pt>
                <c:pt idx="588">
                  <c:v>58.9</c:v>
                </c:pt>
                <c:pt idx="589">
                  <c:v>59</c:v>
                </c:pt>
                <c:pt idx="590">
                  <c:v>59.1</c:v>
                </c:pt>
                <c:pt idx="591">
                  <c:v>59.2</c:v>
                </c:pt>
                <c:pt idx="592">
                  <c:v>59.3</c:v>
                </c:pt>
                <c:pt idx="593">
                  <c:v>59.4</c:v>
                </c:pt>
                <c:pt idx="594">
                  <c:v>59.5</c:v>
                </c:pt>
                <c:pt idx="595">
                  <c:v>59.6</c:v>
                </c:pt>
                <c:pt idx="596">
                  <c:v>59.7</c:v>
                </c:pt>
                <c:pt idx="597">
                  <c:v>59.8</c:v>
                </c:pt>
                <c:pt idx="598">
                  <c:v>59.9</c:v>
                </c:pt>
                <c:pt idx="599">
                  <c:v>60</c:v>
                </c:pt>
                <c:pt idx="600">
                  <c:v>60.1</c:v>
                </c:pt>
                <c:pt idx="601">
                  <c:v>60.2</c:v>
                </c:pt>
                <c:pt idx="602">
                  <c:v>60.3</c:v>
                </c:pt>
                <c:pt idx="603">
                  <c:v>60.4</c:v>
                </c:pt>
                <c:pt idx="604">
                  <c:v>60.5</c:v>
                </c:pt>
                <c:pt idx="605">
                  <c:v>60.6</c:v>
                </c:pt>
                <c:pt idx="606">
                  <c:v>60.7</c:v>
                </c:pt>
                <c:pt idx="607">
                  <c:v>60.8</c:v>
                </c:pt>
                <c:pt idx="608">
                  <c:v>60.9</c:v>
                </c:pt>
                <c:pt idx="609">
                  <c:v>61</c:v>
                </c:pt>
                <c:pt idx="610">
                  <c:v>61.1</c:v>
                </c:pt>
                <c:pt idx="611">
                  <c:v>61.2</c:v>
                </c:pt>
                <c:pt idx="612">
                  <c:v>61.3</c:v>
                </c:pt>
                <c:pt idx="613">
                  <c:v>61.4</c:v>
                </c:pt>
                <c:pt idx="614">
                  <c:v>61.5</c:v>
                </c:pt>
                <c:pt idx="615">
                  <c:v>61.6</c:v>
                </c:pt>
                <c:pt idx="616">
                  <c:v>61.7</c:v>
                </c:pt>
                <c:pt idx="617">
                  <c:v>61.8</c:v>
                </c:pt>
                <c:pt idx="618">
                  <c:v>61.9</c:v>
                </c:pt>
                <c:pt idx="619">
                  <c:v>62</c:v>
                </c:pt>
                <c:pt idx="620">
                  <c:v>62.1</c:v>
                </c:pt>
                <c:pt idx="621">
                  <c:v>62.2</c:v>
                </c:pt>
                <c:pt idx="622">
                  <c:v>62.3</c:v>
                </c:pt>
                <c:pt idx="623">
                  <c:v>62.4</c:v>
                </c:pt>
                <c:pt idx="624">
                  <c:v>62.5</c:v>
                </c:pt>
                <c:pt idx="625">
                  <c:v>62.6</c:v>
                </c:pt>
                <c:pt idx="626">
                  <c:v>62.7</c:v>
                </c:pt>
                <c:pt idx="627">
                  <c:v>62.8</c:v>
                </c:pt>
                <c:pt idx="628">
                  <c:v>62.9</c:v>
                </c:pt>
                <c:pt idx="629">
                  <c:v>63</c:v>
                </c:pt>
                <c:pt idx="630">
                  <c:v>63.1</c:v>
                </c:pt>
                <c:pt idx="631">
                  <c:v>63.2</c:v>
                </c:pt>
                <c:pt idx="632">
                  <c:v>63.3</c:v>
                </c:pt>
                <c:pt idx="633">
                  <c:v>63.4</c:v>
                </c:pt>
                <c:pt idx="634">
                  <c:v>63.5</c:v>
                </c:pt>
                <c:pt idx="635">
                  <c:v>63.6</c:v>
                </c:pt>
                <c:pt idx="636">
                  <c:v>63.7</c:v>
                </c:pt>
                <c:pt idx="637">
                  <c:v>63.8</c:v>
                </c:pt>
                <c:pt idx="638">
                  <c:v>63.9</c:v>
                </c:pt>
                <c:pt idx="639">
                  <c:v>64</c:v>
                </c:pt>
                <c:pt idx="640">
                  <c:v>64.099999999999994</c:v>
                </c:pt>
                <c:pt idx="641">
                  <c:v>64.2</c:v>
                </c:pt>
                <c:pt idx="642">
                  <c:v>64.3</c:v>
                </c:pt>
                <c:pt idx="643">
                  <c:v>64.400000000000006</c:v>
                </c:pt>
                <c:pt idx="644">
                  <c:v>64.5</c:v>
                </c:pt>
                <c:pt idx="645">
                  <c:v>64.599999999999994</c:v>
                </c:pt>
                <c:pt idx="646">
                  <c:v>64.7</c:v>
                </c:pt>
                <c:pt idx="647">
                  <c:v>64.8</c:v>
                </c:pt>
                <c:pt idx="648">
                  <c:v>64.900000000000006</c:v>
                </c:pt>
                <c:pt idx="649">
                  <c:v>65</c:v>
                </c:pt>
                <c:pt idx="650">
                  <c:v>65.099999999999994</c:v>
                </c:pt>
                <c:pt idx="651">
                  <c:v>65.2</c:v>
                </c:pt>
                <c:pt idx="652">
                  <c:v>65.3</c:v>
                </c:pt>
                <c:pt idx="653">
                  <c:v>65.400000000000006</c:v>
                </c:pt>
                <c:pt idx="654">
                  <c:v>65.5</c:v>
                </c:pt>
                <c:pt idx="655">
                  <c:v>65.599999999999994</c:v>
                </c:pt>
                <c:pt idx="656">
                  <c:v>65.7</c:v>
                </c:pt>
                <c:pt idx="657">
                  <c:v>65.8</c:v>
                </c:pt>
                <c:pt idx="658">
                  <c:v>65.900000000000006</c:v>
                </c:pt>
                <c:pt idx="659">
                  <c:v>66</c:v>
                </c:pt>
                <c:pt idx="660">
                  <c:v>66.099999999999994</c:v>
                </c:pt>
                <c:pt idx="661">
                  <c:v>66.2</c:v>
                </c:pt>
                <c:pt idx="662">
                  <c:v>66.3</c:v>
                </c:pt>
                <c:pt idx="663">
                  <c:v>66.400000000000006</c:v>
                </c:pt>
                <c:pt idx="664">
                  <c:v>66.5</c:v>
                </c:pt>
                <c:pt idx="665">
                  <c:v>66.599999999999994</c:v>
                </c:pt>
                <c:pt idx="666">
                  <c:v>66.7</c:v>
                </c:pt>
                <c:pt idx="667">
                  <c:v>66.8</c:v>
                </c:pt>
                <c:pt idx="668">
                  <c:v>66.900000000000006</c:v>
                </c:pt>
                <c:pt idx="669">
                  <c:v>67</c:v>
                </c:pt>
                <c:pt idx="670">
                  <c:v>67.099999999999994</c:v>
                </c:pt>
                <c:pt idx="671">
                  <c:v>67.2</c:v>
                </c:pt>
                <c:pt idx="672">
                  <c:v>67.3</c:v>
                </c:pt>
                <c:pt idx="673">
                  <c:v>67.400000000000006</c:v>
                </c:pt>
                <c:pt idx="674">
                  <c:v>67.5</c:v>
                </c:pt>
                <c:pt idx="675">
                  <c:v>67.599999999999994</c:v>
                </c:pt>
                <c:pt idx="676">
                  <c:v>67.7</c:v>
                </c:pt>
                <c:pt idx="677">
                  <c:v>67.8</c:v>
                </c:pt>
                <c:pt idx="678">
                  <c:v>67.900000000000006</c:v>
                </c:pt>
                <c:pt idx="679">
                  <c:v>68</c:v>
                </c:pt>
                <c:pt idx="680">
                  <c:v>68.099999999999994</c:v>
                </c:pt>
                <c:pt idx="681">
                  <c:v>68.2</c:v>
                </c:pt>
                <c:pt idx="682">
                  <c:v>68.3</c:v>
                </c:pt>
                <c:pt idx="683">
                  <c:v>68.400000000000006</c:v>
                </c:pt>
                <c:pt idx="684">
                  <c:v>68.5</c:v>
                </c:pt>
                <c:pt idx="685">
                  <c:v>68.599999999999994</c:v>
                </c:pt>
                <c:pt idx="686">
                  <c:v>68.7</c:v>
                </c:pt>
                <c:pt idx="687">
                  <c:v>68.8</c:v>
                </c:pt>
                <c:pt idx="688">
                  <c:v>68.900000000000006</c:v>
                </c:pt>
                <c:pt idx="689">
                  <c:v>69</c:v>
                </c:pt>
                <c:pt idx="690">
                  <c:v>69.099999999999994</c:v>
                </c:pt>
                <c:pt idx="691">
                  <c:v>69.2</c:v>
                </c:pt>
                <c:pt idx="692">
                  <c:v>69.3</c:v>
                </c:pt>
                <c:pt idx="693">
                  <c:v>69.400000000000006</c:v>
                </c:pt>
                <c:pt idx="694">
                  <c:v>69.5</c:v>
                </c:pt>
                <c:pt idx="695">
                  <c:v>69.599999999999994</c:v>
                </c:pt>
                <c:pt idx="696">
                  <c:v>69.7</c:v>
                </c:pt>
                <c:pt idx="697">
                  <c:v>69.8</c:v>
                </c:pt>
                <c:pt idx="698">
                  <c:v>69.900000000000006</c:v>
                </c:pt>
                <c:pt idx="699">
                  <c:v>70</c:v>
                </c:pt>
                <c:pt idx="700">
                  <c:v>70.099999999999994</c:v>
                </c:pt>
                <c:pt idx="701">
                  <c:v>70.2</c:v>
                </c:pt>
                <c:pt idx="702">
                  <c:v>70.3</c:v>
                </c:pt>
                <c:pt idx="703">
                  <c:v>70.400000000000006</c:v>
                </c:pt>
                <c:pt idx="704">
                  <c:v>70.5</c:v>
                </c:pt>
                <c:pt idx="705">
                  <c:v>70.599999999999994</c:v>
                </c:pt>
                <c:pt idx="706">
                  <c:v>70.7</c:v>
                </c:pt>
                <c:pt idx="707">
                  <c:v>70.8</c:v>
                </c:pt>
                <c:pt idx="708">
                  <c:v>70.900000000000006</c:v>
                </c:pt>
                <c:pt idx="709">
                  <c:v>71</c:v>
                </c:pt>
                <c:pt idx="710">
                  <c:v>71.099999999999994</c:v>
                </c:pt>
                <c:pt idx="711">
                  <c:v>71.2</c:v>
                </c:pt>
                <c:pt idx="712">
                  <c:v>71.3</c:v>
                </c:pt>
                <c:pt idx="713">
                  <c:v>71.400000000000006</c:v>
                </c:pt>
                <c:pt idx="714">
                  <c:v>71.5</c:v>
                </c:pt>
                <c:pt idx="715">
                  <c:v>71.599999999999994</c:v>
                </c:pt>
                <c:pt idx="716">
                  <c:v>71.7</c:v>
                </c:pt>
                <c:pt idx="717">
                  <c:v>71.8</c:v>
                </c:pt>
                <c:pt idx="718">
                  <c:v>71.900000000000006</c:v>
                </c:pt>
                <c:pt idx="719">
                  <c:v>72</c:v>
                </c:pt>
                <c:pt idx="720">
                  <c:v>72.099999999999994</c:v>
                </c:pt>
                <c:pt idx="721">
                  <c:v>72.2</c:v>
                </c:pt>
                <c:pt idx="722">
                  <c:v>72.3</c:v>
                </c:pt>
                <c:pt idx="723">
                  <c:v>72.400000000000006</c:v>
                </c:pt>
                <c:pt idx="724">
                  <c:v>72.5</c:v>
                </c:pt>
                <c:pt idx="725">
                  <c:v>72.599999999999994</c:v>
                </c:pt>
                <c:pt idx="726">
                  <c:v>72.7</c:v>
                </c:pt>
                <c:pt idx="727">
                  <c:v>72.8</c:v>
                </c:pt>
                <c:pt idx="728">
                  <c:v>72.900000000000006</c:v>
                </c:pt>
                <c:pt idx="729">
                  <c:v>73</c:v>
                </c:pt>
                <c:pt idx="730">
                  <c:v>73.099999999999994</c:v>
                </c:pt>
                <c:pt idx="731">
                  <c:v>73.2</c:v>
                </c:pt>
                <c:pt idx="732">
                  <c:v>73.3</c:v>
                </c:pt>
                <c:pt idx="733">
                  <c:v>73.400000000000006</c:v>
                </c:pt>
                <c:pt idx="734">
                  <c:v>73.5</c:v>
                </c:pt>
                <c:pt idx="735">
                  <c:v>73.599999999999994</c:v>
                </c:pt>
                <c:pt idx="736">
                  <c:v>73.7</c:v>
                </c:pt>
                <c:pt idx="737">
                  <c:v>73.8</c:v>
                </c:pt>
                <c:pt idx="738">
                  <c:v>73.900000000000006</c:v>
                </c:pt>
                <c:pt idx="739">
                  <c:v>74</c:v>
                </c:pt>
                <c:pt idx="740">
                  <c:v>74.099999999999994</c:v>
                </c:pt>
                <c:pt idx="741">
                  <c:v>74.2</c:v>
                </c:pt>
                <c:pt idx="742">
                  <c:v>74.3</c:v>
                </c:pt>
                <c:pt idx="743">
                  <c:v>74.400000000000006</c:v>
                </c:pt>
                <c:pt idx="744">
                  <c:v>74.5</c:v>
                </c:pt>
                <c:pt idx="745">
                  <c:v>74.599999999999994</c:v>
                </c:pt>
                <c:pt idx="746">
                  <c:v>74.7</c:v>
                </c:pt>
                <c:pt idx="747">
                  <c:v>74.8</c:v>
                </c:pt>
                <c:pt idx="748">
                  <c:v>74.900000000000006</c:v>
                </c:pt>
                <c:pt idx="749">
                  <c:v>75</c:v>
                </c:pt>
              </c:numCache>
            </c:numRef>
          </c:xVal>
          <c:yVal>
            <c:numRef>
              <c:f>'sheet 1'!$Q$39:$Q$841</c:f>
              <c:numCache>
                <c:formatCode>General</c:formatCode>
                <c:ptCount val="803"/>
                <c:pt idx="0">
                  <c:v>505.78782733340836</c:v>
                </c:pt>
                <c:pt idx="1">
                  <c:v>502.75146276645575</c:v>
                </c:pt>
                <c:pt idx="2">
                  <c:v>499.73380807805563</c:v>
                </c:pt>
                <c:pt idx="3">
                  <c:v>496.73474894693118</c:v>
                </c:pt>
                <c:pt idx="4">
                  <c:v>493.75417174427906</c:v>
                </c:pt>
                <c:pt idx="5">
                  <c:v>490.7919635295205</c:v>
                </c:pt>
                <c:pt idx="6">
                  <c:v>487.84801204608084</c:v>
                </c:pt>
                <c:pt idx="7">
                  <c:v>484.92220571719253</c:v>
                </c:pt>
                <c:pt idx="8">
                  <c:v>482.01443364172417</c:v>
                </c:pt>
                <c:pt idx="9">
                  <c:v>479.12458559003937</c:v>
                </c:pt>
                <c:pt idx="10">
                  <c:v>476.25255199987583</c:v>
                </c:pt>
                <c:pt idx="11">
                  <c:v>473.3982239722539</c:v>
                </c:pt>
                <c:pt idx="12">
                  <c:v>470.56149326740928</c:v>
                </c:pt>
                <c:pt idx="13">
                  <c:v>467.74225230075041</c:v>
                </c:pt>
                <c:pt idx="14">
                  <c:v>464.94039413884235</c:v>
                </c:pt>
                <c:pt idx="15">
                  <c:v>462.15581249541458</c:v>
                </c:pt>
                <c:pt idx="16">
                  <c:v>459.38840172739356</c:v>
                </c:pt>
                <c:pt idx="17">
                  <c:v>456.63805683096081</c:v>
                </c:pt>
                <c:pt idx="18">
                  <c:v>453.90467343763532</c:v>
                </c:pt>
                <c:pt idx="19">
                  <c:v>451.18814781037918</c:v>
                </c:pt>
                <c:pt idx="20">
                  <c:v>448.48837683972891</c:v>
                </c:pt>
                <c:pt idx="21">
                  <c:v>445.8052580399505</c:v>
                </c:pt>
                <c:pt idx="22">
                  <c:v>443.13868954521774</c:v>
                </c:pt>
                <c:pt idx="23">
                  <c:v>440.48857010581509</c:v>
                </c:pt>
                <c:pt idx="24">
                  <c:v>437.85479908436434</c:v>
                </c:pt>
                <c:pt idx="25">
                  <c:v>435.23727645207367</c:v>
                </c:pt>
                <c:pt idx="26">
                  <c:v>432.63590278501187</c:v>
                </c:pt>
                <c:pt idx="27">
                  <c:v>430.05057926040382</c:v>
                </c:pt>
                <c:pt idx="28">
                  <c:v>427.48120765295067</c:v>
                </c:pt>
                <c:pt idx="29">
                  <c:v>424.92769033117247</c:v>
                </c:pt>
                <c:pt idx="30">
                  <c:v>422.38993025377334</c:v>
                </c:pt>
                <c:pt idx="31">
                  <c:v>419.86783096602954</c:v>
                </c:pt>
                <c:pt idx="32">
                  <c:v>417.36129659620025</c:v>
                </c:pt>
                <c:pt idx="33">
                  <c:v>414.87023185196148</c:v>
                </c:pt>
                <c:pt idx="34">
                  <c:v>412.39454201685965</c:v>
                </c:pt>
                <c:pt idx="35">
                  <c:v>409.93413294679107</c:v>
                </c:pt>
                <c:pt idx="36">
                  <c:v>407.48891106650069</c:v>
                </c:pt>
                <c:pt idx="37">
                  <c:v>405.0587833661034</c:v>
                </c:pt>
                <c:pt idx="38">
                  <c:v>402.64365739762826</c:v>
                </c:pt>
                <c:pt idx="39">
                  <c:v>400.24344127158236</c:v>
                </c:pt>
                <c:pt idx="40">
                  <c:v>397.85804365353823</c:v>
                </c:pt>
                <c:pt idx="41">
                  <c:v>395.48737376074109</c:v>
                </c:pt>
                <c:pt idx="42">
                  <c:v>393.13134135873844</c:v>
                </c:pt>
                <c:pt idx="43">
                  <c:v>390.7898567580296</c:v>
                </c:pt>
                <c:pt idx="44">
                  <c:v>388.46283081073784</c:v>
                </c:pt>
                <c:pt idx="45">
                  <c:v>386.15017490730202</c:v>
                </c:pt>
                <c:pt idx="46">
                  <c:v>383.85180097318948</c:v>
                </c:pt>
                <c:pt idx="47">
                  <c:v>381.56762146562943</c:v>
                </c:pt>
                <c:pt idx="48">
                  <c:v>379.29754937036762</c:v>
                </c:pt>
                <c:pt idx="49">
                  <c:v>377.04149819844002</c:v>
                </c:pt>
                <c:pt idx="50">
                  <c:v>374.79938198296787</c:v>
                </c:pt>
                <c:pt idx="51">
                  <c:v>372.57111527597226</c:v>
                </c:pt>
                <c:pt idx="52">
                  <c:v>370.35661314520928</c:v>
                </c:pt>
                <c:pt idx="53">
                  <c:v>368.15579117102448</c:v>
                </c:pt>
                <c:pt idx="54">
                  <c:v>365.96856544322736</c:v>
                </c:pt>
                <c:pt idx="55">
                  <c:v>363.79485255798568</c:v>
                </c:pt>
                <c:pt idx="56">
                  <c:v>361.63456961473884</c:v>
                </c:pt>
                <c:pt idx="57">
                  <c:v>359.4876342131318</c:v>
                </c:pt>
                <c:pt idx="58">
                  <c:v>357.3539644499665</c:v>
                </c:pt>
                <c:pt idx="59">
                  <c:v>355.23347891617385</c:v>
                </c:pt>
                <c:pt idx="60">
                  <c:v>353.12609669380447</c:v>
                </c:pt>
                <c:pt idx="61">
                  <c:v>351.03173735303852</c:v>
                </c:pt>
                <c:pt idx="62">
                  <c:v>348.95032094921419</c:v>
                </c:pt>
                <c:pt idx="63">
                  <c:v>346.88176801987396</c:v>
                </c:pt>
                <c:pt idx="64">
                  <c:v>344.8259995818317</c:v>
                </c:pt>
                <c:pt idx="65">
                  <c:v>342.78293712825615</c:v>
                </c:pt>
                <c:pt idx="66">
                  <c:v>340.75250262577401</c:v>
                </c:pt>
                <c:pt idx="67">
                  <c:v>338.73461851159095</c:v>
                </c:pt>
                <c:pt idx="68">
                  <c:v>336.72920769063006</c:v>
                </c:pt>
                <c:pt idx="69">
                  <c:v>334.73619353269009</c:v>
                </c:pt>
                <c:pt idx="70">
                  <c:v>332.75549986961988</c:v>
                </c:pt>
                <c:pt idx="71">
                  <c:v>330.7870509925113</c:v>
                </c:pt>
                <c:pt idx="72">
                  <c:v>328.83077164891034</c:v>
                </c:pt>
                <c:pt idx="73">
                  <c:v>326.88658704004547</c:v>
                </c:pt>
                <c:pt idx="74">
                  <c:v>324.95442281807266</c:v>
                </c:pt>
                <c:pt idx="75">
                  <c:v>323.03420508333943</c:v>
                </c:pt>
                <c:pt idx="76">
                  <c:v>321.12586038166518</c:v>
                </c:pt>
                <c:pt idx="77">
                  <c:v>319.22931570163837</c:v>
                </c:pt>
                <c:pt idx="78">
                  <c:v>317.34449847193196</c:v>
                </c:pt>
                <c:pt idx="79">
                  <c:v>315.47133655863479</c:v>
                </c:pt>
                <c:pt idx="80">
                  <c:v>313.60975826260028</c:v>
                </c:pt>
                <c:pt idx="81">
                  <c:v>311.75969231681165</c:v>
                </c:pt>
                <c:pt idx="82">
                  <c:v>309.92106788376464</c:v>
                </c:pt>
                <c:pt idx="83">
                  <c:v>308.09381455286479</c:v>
                </c:pt>
                <c:pt idx="84">
                  <c:v>306.277862337844</c:v>
                </c:pt>
                <c:pt idx="85">
                  <c:v>304.47314167419091</c:v>
                </c:pt>
                <c:pt idx="86">
                  <c:v>302.67958341659892</c:v>
                </c:pt>
                <c:pt idx="87">
                  <c:v>300.89711883643008</c:v>
                </c:pt>
                <c:pt idx="88">
                  <c:v>299.12567961919501</c:v>
                </c:pt>
                <c:pt idx="89">
                  <c:v>297.36519786204815</c:v>
                </c:pt>
                <c:pt idx="90">
                  <c:v>295.61560607130031</c:v>
                </c:pt>
                <c:pt idx="91">
                  <c:v>293.87683715994552</c:v>
                </c:pt>
                <c:pt idx="92">
                  <c:v>292.14882444520418</c:v>
                </c:pt>
                <c:pt idx="93">
                  <c:v>290.43150164608187</c:v>
                </c:pt>
                <c:pt idx="94">
                  <c:v>288.72480288094334</c:v>
                </c:pt>
                <c:pt idx="95">
                  <c:v>287.02866266510176</c:v>
                </c:pt>
                <c:pt idx="96">
                  <c:v>285.34301590842398</c:v>
                </c:pt>
                <c:pt idx="97">
                  <c:v>283.66779791294971</c:v>
                </c:pt>
                <c:pt idx="98">
                  <c:v>282.00294437052725</c:v>
                </c:pt>
                <c:pt idx="99">
                  <c:v>280.34839136046281</c:v>
                </c:pt>
                <c:pt idx="100">
                  <c:v>278.70407534718538</c:v>
                </c:pt>
                <c:pt idx="101">
                  <c:v>277.06993317792694</c:v>
                </c:pt>
                <c:pt idx="102">
                  <c:v>275.44590208041581</c:v>
                </c:pt>
                <c:pt idx="103">
                  <c:v>273.83191966058678</c:v>
                </c:pt>
                <c:pt idx="104">
                  <c:v>272.22792390030321</c:v>
                </c:pt>
                <c:pt idx="105">
                  <c:v>270.63385315509532</c:v>
                </c:pt>
                <c:pt idx="106">
                  <c:v>269.04964615191329</c:v>
                </c:pt>
                <c:pt idx="107">
                  <c:v>267.47524198689234</c:v>
                </c:pt>
                <c:pt idx="108">
                  <c:v>265.91058012313346</c:v>
                </c:pt>
                <c:pt idx="109">
                  <c:v>264.35560038849906</c:v>
                </c:pt>
                <c:pt idx="110">
                  <c:v>262.81024297342026</c:v>
                </c:pt>
                <c:pt idx="111">
                  <c:v>261.27444842871967</c:v>
                </c:pt>
                <c:pt idx="112">
                  <c:v>259.74815766344807</c:v>
                </c:pt>
                <c:pt idx="113">
                  <c:v>258.23131194273378</c:v>
                </c:pt>
                <c:pt idx="114">
                  <c:v>256.72385288564624</c:v>
                </c:pt>
                <c:pt idx="115">
                  <c:v>255.22572246307308</c:v>
                </c:pt>
                <c:pt idx="116">
                  <c:v>253.73686299561069</c:v>
                </c:pt>
                <c:pt idx="117">
                  <c:v>252.25721715146778</c:v>
                </c:pt>
                <c:pt idx="118">
                  <c:v>250.78672794438253</c:v>
                </c:pt>
                <c:pt idx="119">
                  <c:v>249.32533873155307</c:v>
                </c:pt>
                <c:pt idx="120">
                  <c:v>247.87299321157985</c:v>
                </c:pt>
                <c:pt idx="121">
                  <c:v>246.42963542242342</c:v>
                </c:pt>
                <c:pt idx="122">
                  <c:v>244.99520973937211</c:v>
                </c:pt>
                <c:pt idx="123">
                  <c:v>243.56966087302516</c:v>
                </c:pt>
                <c:pt idx="124">
                  <c:v>242.15293386728706</c:v>
                </c:pt>
                <c:pt idx="125">
                  <c:v>240.74497409737481</c:v>
                </c:pt>
                <c:pt idx="126">
                  <c:v>239.34572726783881</c:v>
                </c:pt>
                <c:pt idx="127">
                  <c:v>237.95513941059423</c:v>
                </c:pt>
                <c:pt idx="128">
                  <c:v>236.5731568829668</c:v>
                </c:pt>
                <c:pt idx="129">
                  <c:v>235.19972636574971</c:v>
                </c:pt>
                <c:pt idx="130">
                  <c:v>233.83479486127334</c:v>
                </c:pt>
                <c:pt idx="131">
                  <c:v>232.47830969148688</c:v>
                </c:pt>
                <c:pt idx="132">
                  <c:v>231.13021849605218</c:v>
                </c:pt>
                <c:pt idx="133">
                  <c:v>229.79046923044939</c:v>
                </c:pt>
                <c:pt idx="134">
                  <c:v>228.45901016409488</c:v>
                </c:pt>
                <c:pt idx="135">
                  <c:v>227.13578987847086</c:v>
                </c:pt>
                <c:pt idx="136">
                  <c:v>225.82075726526662</c:v>
                </c:pt>
                <c:pt idx="137">
                  <c:v>224.51386152453159</c:v>
                </c:pt>
                <c:pt idx="138">
                  <c:v>223.21505216284024</c:v>
                </c:pt>
                <c:pt idx="139">
                  <c:v>221.92427899146804</c:v>
                </c:pt>
                <c:pt idx="140">
                  <c:v>220.64149212457923</c:v>
                </c:pt>
                <c:pt idx="141">
                  <c:v>219.36664197742604</c:v>
                </c:pt>
                <c:pt idx="142">
                  <c:v>218.09967926455869</c:v>
                </c:pt>
                <c:pt idx="143">
                  <c:v>216.84055499804771</c:v>
                </c:pt>
                <c:pt idx="144">
                  <c:v>215.58922048571586</c:v>
                </c:pt>
                <c:pt idx="145">
                  <c:v>214.34562732938247</c:v>
                </c:pt>
                <c:pt idx="146">
                  <c:v>213.10972742311847</c:v>
                </c:pt>
                <c:pt idx="147">
                  <c:v>211.88147295151165</c:v>
                </c:pt>
                <c:pt idx="148">
                  <c:v>210.66081638794401</c:v>
                </c:pt>
                <c:pt idx="149">
                  <c:v>209.44771049287846</c:v>
                </c:pt>
                <c:pt idx="150">
                  <c:v>208.24210831215754</c:v>
                </c:pt>
                <c:pt idx="151">
                  <c:v>207.04396317531206</c:v>
                </c:pt>
                <c:pt idx="152">
                  <c:v>205.85322869388054</c:v>
                </c:pt>
                <c:pt idx="153">
                  <c:v>204.66985875973882</c:v>
                </c:pt>
                <c:pt idx="154">
                  <c:v>203.49380754344062</c:v>
                </c:pt>
                <c:pt idx="155">
                  <c:v>202.3250294925684</c:v>
                </c:pt>
                <c:pt idx="156">
                  <c:v>201.16347933009368</c:v>
                </c:pt>
                <c:pt idx="157">
                  <c:v>200.00911205274878</c:v>
                </c:pt>
                <c:pt idx="158">
                  <c:v>198.86188292940776</c:v>
                </c:pt>
                <c:pt idx="159">
                  <c:v>197.72174749947811</c:v>
                </c:pt>
                <c:pt idx="160">
                  <c:v>196.58866157130191</c:v>
                </c:pt>
                <c:pt idx="161">
                  <c:v>195.46258122056722</c:v>
                </c:pt>
                <c:pt idx="162">
                  <c:v>194.3434627887292</c:v>
                </c:pt>
                <c:pt idx="163">
                  <c:v>193.23126288144135</c:v>
                </c:pt>
                <c:pt idx="164">
                  <c:v>192.12593836699588</c:v>
                </c:pt>
                <c:pt idx="165">
                  <c:v>191.02744637477446</c:v>
                </c:pt>
                <c:pt idx="166">
                  <c:v>189.93574429370813</c:v>
                </c:pt>
                <c:pt idx="167">
                  <c:v>188.85078977074647</c:v>
                </c:pt>
                <c:pt idx="168">
                  <c:v>187.77254070933731</c:v>
                </c:pt>
                <c:pt idx="169">
                  <c:v>186.70095526791434</c:v>
                </c:pt>
                <c:pt idx="170">
                  <c:v>185.63599185839576</c:v>
                </c:pt>
                <c:pt idx="171">
                  <c:v>184.57760914469046</c:v>
                </c:pt>
                <c:pt idx="172">
                  <c:v>183.52576604121458</c:v>
                </c:pt>
                <c:pt idx="173">
                  <c:v>182.48042171141716</c:v>
                </c:pt>
                <c:pt idx="174">
                  <c:v>181.44153556631431</c:v>
                </c:pt>
                <c:pt idx="175">
                  <c:v>180.40906726303268</c:v>
                </c:pt>
                <c:pt idx="176">
                  <c:v>179.382976703362</c:v>
                </c:pt>
                <c:pt idx="177">
                  <c:v>178.3632240323164</c:v>
                </c:pt>
                <c:pt idx="178">
                  <c:v>177.34976963670468</c:v>
                </c:pt>
                <c:pt idx="179">
                  <c:v>176.34257414370896</c:v>
                </c:pt>
                <c:pt idx="180">
                  <c:v>175.34159841947275</c:v>
                </c:pt>
                <c:pt idx="181">
                  <c:v>174.3468035676969</c:v>
                </c:pt>
                <c:pt idx="182">
                  <c:v>173.35815092824467</c:v>
                </c:pt>
                <c:pt idx="183">
                  <c:v>172.37560207575521</c:v>
                </c:pt>
                <c:pt idx="184">
                  <c:v>171.39911881826518</c:v>
                </c:pt>
                <c:pt idx="185">
                  <c:v>170.42866319583936</c:v>
                </c:pt>
                <c:pt idx="186">
                  <c:v>169.46419747920919</c:v>
                </c:pt>
                <c:pt idx="187">
                  <c:v>168.50568416841975</c:v>
                </c:pt>
                <c:pt idx="188">
                  <c:v>167.55308599148481</c:v>
                </c:pt>
                <c:pt idx="189">
                  <c:v>166.60636590305043</c:v>
                </c:pt>
                <c:pt idx="190">
                  <c:v>165.66548708306632</c:v>
                </c:pt>
                <c:pt idx="191">
                  <c:v>164.73041293546527</c:v>
                </c:pt>
                <c:pt idx="192">
                  <c:v>163.80110708685115</c:v>
                </c:pt>
                <c:pt idx="193">
                  <c:v>162.8775333851938</c:v>
                </c:pt>
                <c:pt idx="194">
                  <c:v>161.9596558985329</c:v>
                </c:pt>
                <c:pt idx="195">
                  <c:v>161.04743891368921</c:v>
                </c:pt>
                <c:pt idx="196">
                  <c:v>160.14084693498333</c:v>
                </c:pt>
                <c:pt idx="197">
                  <c:v>159.23984468296257</c:v>
                </c:pt>
                <c:pt idx="198">
                  <c:v>158.34439709313577</c:v>
                </c:pt>
                <c:pt idx="199">
                  <c:v>157.45446931471469</c:v>
                </c:pt>
                <c:pt idx="200">
                  <c:v>156.57002670936413</c:v>
                </c:pt>
                <c:pt idx="201">
                  <c:v>155.6910348499591</c:v>
                </c:pt>
                <c:pt idx="202">
                  <c:v>154.8174595193492</c:v>
                </c:pt>
                <c:pt idx="203">
                  <c:v>153.94926670913082</c:v>
                </c:pt>
                <c:pt idx="204">
                  <c:v>153.08642261842635</c:v>
                </c:pt>
                <c:pt idx="205">
                  <c:v>152.22889365267119</c:v>
                </c:pt>
                <c:pt idx="206">
                  <c:v>151.37664642240742</c:v>
                </c:pt>
                <c:pt idx="207">
                  <c:v>150.5296477420851</c:v>
                </c:pt>
                <c:pt idx="208">
                  <c:v>149.68786462887059</c:v>
                </c:pt>
                <c:pt idx="209">
                  <c:v>148.85126430146195</c:v>
                </c:pt>
                <c:pt idx="210">
                  <c:v>148.01981417891136</c:v>
                </c:pt>
                <c:pt idx="211">
                  <c:v>147.19348187945474</c:v>
                </c:pt>
                <c:pt idx="212">
                  <c:v>146.37223521934814</c:v>
                </c:pt>
                <c:pt idx="213">
                  <c:v>145.55604221171106</c:v>
                </c:pt>
                <c:pt idx="214">
                  <c:v>144.7448710653766</c:v>
                </c:pt>
                <c:pt idx="215">
                  <c:v>143.93869018374886</c:v>
                </c:pt>
                <c:pt idx="216">
                  <c:v>143.13746816366614</c:v>
                </c:pt>
                <c:pt idx="217">
                  <c:v>142.34117379427195</c:v>
                </c:pt>
                <c:pt idx="218">
                  <c:v>141.54977605589195</c:v>
                </c:pt>
                <c:pt idx="219">
                  <c:v>140.76324411891792</c:v>
                </c:pt>
                <c:pt idx="220">
                  <c:v>139.98154734269789</c:v>
                </c:pt>
                <c:pt idx="221">
                  <c:v>139.20465527443329</c:v>
                </c:pt>
                <c:pt idx="222">
                  <c:v>138.43253764808225</c:v>
                </c:pt>
                <c:pt idx="223">
                  <c:v>137.66516438326963</c:v>
                </c:pt>
                <c:pt idx="224">
                  <c:v>136.90250558420286</c:v>
                </c:pt>
                <c:pt idx="225">
                  <c:v>136.14453153859495</c:v>
                </c:pt>
                <c:pt idx="226">
                  <c:v>135.39121271659326</c:v>
                </c:pt>
                <c:pt idx="227">
                  <c:v>134.64251976971445</c:v>
                </c:pt>
                <c:pt idx="228">
                  <c:v>133.89842352978633</c:v>
                </c:pt>
                <c:pt idx="229">
                  <c:v>133.15889500789498</c:v>
                </c:pt>
                <c:pt idx="230">
                  <c:v>132.42390539333869</c:v>
                </c:pt>
                <c:pt idx="231">
                  <c:v>131.69342605258777</c:v>
                </c:pt>
                <c:pt idx="232">
                  <c:v>130.96742852825031</c:v>
                </c:pt>
                <c:pt idx="233">
                  <c:v>130.24588453804401</c:v>
                </c:pt>
                <c:pt idx="234">
                  <c:v>129.52876597377426</c:v>
                </c:pt>
                <c:pt idx="235">
                  <c:v>128.81604490031754</c:v>
                </c:pt>
                <c:pt idx="236">
                  <c:v>128.10769355461127</c:v>
                </c:pt>
                <c:pt idx="237">
                  <c:v>127.40368434464942</c:v>
                </c:pt>
                <c:pt idx="238">
                  <c:v>126.70398984848353</c:v>
                </c:pt>
                <c:pt idx="239">
                  <c:v>126.00858281322988</c:v>
                </c:pt>
                <c:pt idx="240">
                  <c:v>125.31743615408243</c:v>
                </c:pt>
                <c:pt idx="241">
                  <c:v>124.63052295333111</c:v>
                </c:pt>
                <c:pt idx="242">
                  <c:v>123.94781645938602</c:v>
                </c:pt>
                <c:pt idx="243">
                  <c:v>123.2692900858072</c:v>
                </c:pt>
                <c:pt idx="244">
                  <c:v>122.59491741033982</c:v>
                </c:pt>
                <c:pt idx="245">
                  <c:v>121.92467217395529</c:v>
                </c:pt>
                <c:pt idx="246">
                  <c:v>121.25852827989729</c:v>
                </c:pt>
                <c:pt idx="247">
                  <c:v>120.5964597927338</c:v>
                </c:pt>
                <c:pt idx="248">
                  <c:v>119.93844093741426</c:v>
                </c:pt>
                <c:pt idx="249">
                  <c:v>119.28444609833221</c:v>
                </c:pt>
                <c:pt idx="250">
                  <c:v>118.63444981839312</c:v>
                </c:pt>
                <c:pt idx="251">
                  <c:v>117.98842679808806</c:v>
                </c:pt>
                <c:pt idx="252">
                  <c:v>117.34635189457173</c:v>
                </c:pt>
                <c:pt idx="253">
                  <c:v>116.70820012074667</c:v>
                </c:pt>
                <c:pt idx="254">
                  <c:v>116.07394664435218</c:v>
                </c:pt>
                <c:pt idx="255">
                  <c:v>115.44356678705844</c:v>
                </c:pt>
                <c:pt idx="256">
                  <c:v>114.81703602356596</c:v>
                </c:pt>
                <c:pt idx="257">
                  <c:v>114.19432998070994</c:v>
                </c:pt>
                <c:pt idx="258">
                  <c:v>113.57542443656969</c:v>
                </c:pt>
                <c:pt idx="259">
                  <c:v>112.96029531958354</c:v>
                </c:pt>
                <c:pt idx="260">
                  <c:v>112.34891870766789</c:v>
                </c:pt>
                <c:pt idx="261">
                  <c:v>111.74127082734222</c:v>
                </c:pt>
                <c:pt idx="262">
                  <c:v>111.13732805285827</c:v>
                </c:pt>
                <c:pt idx="263">
                  <c:v>110.53706690533453</c:v>
                </c:pt>
                <c:pt idx="264">
                  <c:v>109.94046405189536</c:v>
                </c:pt>
                <c:pt idx="265">
                  <c:v>109.34749630481539</c:v>
                </c:pt>
                <c:pt idx="266">
                  <c:v>108.75814062066813</c:v>
                </c:pt>
                <c:pt idx="267">
                  <c:v>108.17237409947977</c:v>
                </c:pt>
                <c:pt idx="268">
                  <c:v>107.59017398388778</c:v>
                </c:pt>
                <c:pt idx="269">
                  <c:v>107.01151765830372</c:v>
                </c:pt>
                <c:pt idx="270">
                  <c:v>106.43638264808143</c:v>
                </c:pt>
                <c:pt idx="271">
                  <c:v>105.86474661868944</c:v>
                </c:pt>
                <c:pt idx="272">
                  <c:v>105.29658737488799</c:v>
                </c:pt>
                <c:pt idx="273">
                  <c:v>104.73188285991101</c:v>
                </c:pt>
                <c:pt idx="274">
                  <c:v>104.17061115465216</c:v>
                </c:pt>
                <c:pt idx="275">
                  <c:v>103.61275047685595</c:v>
                </c:pt>
                <c:pt idx="276">
                  <c:v>103.05827918031289</c:v>
                </c:pt>
                <c:pt idx="277">
                  <c:v>102.50717575405943</c:v>
                </c:pt>
                <c:pt idx="278">
                  <c:v>101.95941882158237</c:v>
                </c:pt>
                <c:pt idx="279">
                  <c:v>101.41498714002731</c:v>
                </c:pt>
                <c:pt idx="280">
                  <c:v>100.87385959941209</c:v>
                </c:pt>
                <c:pt idx="281">
                  <c:v>100.33601522184424</c:v>
                </c:pt>
                <c:pt idx="282">
                  <c:v>99.801433160742533</c:v>
                </c:pt>
                <c:pt idx="283">
                  <c:v>99.270092700063557</c:v>
                </c:pt>
                <c:pt idx="284">
                  <c:v>98.741973253531881</c:v>
                </c:pt>
                <c:pt idx="285">
                  <c:v>98.217054363875008</c:v>
                </c:pt>
                <c:pt idx="286">
                  <c:v>97.695315702062103</c:v>
                </c:pt>
                <c:pt idx="287">
                  <c:v>97.176737066547389</c:v>
                </c:pt>
                <c:pt idx="288">
                  <c:v>96.66129838251733</c:v>
                </c:pt>
                <c:pt idx="289">
                  <c:v>96.148979701142167</c:v>
                </c:pt>
                <c:pt idx="290">
                  <c:v>95.639761198831749</c:v>
                </c:pt>
                <c:pt idx="291">
                  <c:v>95.133623176495149</c:v>
                </c:pt>
                <c:pt idx="292">
                  <c:v>94.630546058804413</c:v>
                </c:pt>
                <c:pt idx="293">
                  <c:v>94.130510393462671</c:v>
                </c:pt>
                <c:pt idx="294">
                  <c:v>93.633496850476007</c:v>
                </c:pt>
                <c:pt idx="295">
                  <c:v>93.139486221429465</c:v>
                </c:pt>
                <c:pt idx="296">
                  <c:v>92.648459418766762</c:v>
                </c:pt>
                <c:pt idx="297">
                  <c:v>92.160397475074518</c:v>
                </c:pt>
                <c:pt idx="298">
                  <c:v>91.675281542369902</c:v>
                </c:pt>
                <c:pt idx="299">
                  <c:v>91.193092891392425</c:v>
                </c:pt>
                <c:pt idx="300">
                  <c:v>90.713812910899549</c:v>
                </c:pt>
                <c:pt idx="301">
                  <c:v>90.237423106966475</c:v>
                </c:pt>
                <c:pt idx="302">
                  <c:v>89.763905102288987</c:v>
                </c:pt>
                <c:pt idx="303">
                  <c:v>89.293240635491273</c:v>
                </c:pt>
                <c:pt idx="304">
                  <c:v>88.825411560436436</c:v>
                </c:pt>
                <c:pt idx="305">
                  <c:v>88.360399845541522</c:v>
                </c:pt>
                <c:pt idx="306">
                  <c:v>87.898187573095939</c:v>
                </c:pt>
                <c:pt idx="307">
                  <c:v>87.43875693858385</c:v>
                </c:pt>
                <c:pt idx="308">
                  <c:v>86.982090250010017</c:v>
                </c:pt>
                <c:pt idx="309">
                  <c:v>86.528169927229513</c:v>
                </c:pt>
                <c:pt idx="310">
                  <c:v>86.076978501281204</c:v>
                </c:pt>
                <c:pt idx="311">
                  <c:v>85.628498613724616</c:v>
                </c:pt>
                <c:pt idx="312">
                  <c:v>85.182713015980525</c:v>
                </c:pt>
                <c:pt idx="313">
                  <c:v>84.739604568675361</c:v>
                </c:pt>
                <c:pt idx="314">
                  <c:v>84.299156240988836</c:v>
                </c:pt>
                <c:pt idx="315">
                  <c:v>83.861351110005586</c:v>
                </c:pt>
                <c:pt idx="316">
                  <c:v>83.426172360069856</c:v>
                </c:pt>
                <c:pt idx="317">
                  <c:v>82.993603282144122</c:v>
                </c:pt>
                <c:pt idx="318">
                  <c:v>82.563627273171093</c:v>
                </c:pt>
                <c:pt idx="319">
                  <c:v>82.136227835439016</c:v>
                </c:pt>
                <c:pt idx="320">
                  <c:v>81.711388575950778</c:v>
                </c:pt>
                <c:pt idx="321">
                  <c:v>81.289093205796235</c:v>
                </c:pt>
                <c:pt idx="322">
                  <c:v>80.869325539528106</c:v>
                </c:pt>
                <c:pt idx="323">
                  <c:v>80.452069494540893</c:v>
                </c:pt>
                <c:pt idx="324">
                  <c:v>80.037309090454002</c:v>
                </c:pt>
                <c:pt idx="325">
                  <c:v>79.625028448497261</c:v>
                </c:pt>
                <c:pt idx="326">
                  <c:v>79.215211790900611</c:v>
                </c:pt>
                <c:pt idx="327">
                  <c:v>78.807843440286661</c:v>
                </c:pt>
                <c:pt idx="328">
                  <c:v>78.402907819066527</c:v>
                </c:pt>
                <c:pt idx="329">
                  <c:v>78.000389448839442</c:v>
                </c:pt>
                <c:pt idx="330">
                  <c:v>77.600272949795269</c:v>
                </c:pt>
                <c:pt idx="331">
                  <c:v>77.202543040120219</c:v>
                </c:pt>
                <c:pt idx="332">
                  <c:v>76.807184535406023</c:v>
                </c:pt>
                <c:pt idx="333">
                  <c:v>76.414182348062212</c:v>
                </c:pt>
                <c:pt idx="334">
                  <c:v>76.023521486731923</c:v>
                </c:pt>
                <c:pt idx="335">
                  <c:v>75.635187055710276</c:v>
                </c:pt>
                <c:pt idx="336">
                  <c:v>75.249164254366605</c:v>
                </c:pt>
                <c:pt idx="337">
                  <c:v>74.865438376569358</c:v>
                </c:pt>
                <c:pt idx="338">
                  <c:v>74.483994810114183</c:v>
                </c:pt>
                <c:pt idx="339">
                  <c:v>74.104819036155874</c:v>
                </c:pt>
                <c:pt idx="340">
                  <c:v>73.727896628642</c:v>
                </c:pt>
                <c:pt idx="341">
                  <c:v>73.353213253751278</c:v>
                </c:pt>
                <c:pt idx="342">
                  <c:v>72.980754669333606</c:v>
                </c:pt>
                <c:pt idx="343">
                  <c:v>72.610506724354096</c:v>
                </c:pt>
                <c:pt idx="344">
                  <c:v>72.24245535833974</c:v>
                </c:pt>
                <c:pt idx="345">
                  <c:v>71.876586600829256</c:v>
                </c:pt>
                <c:pt idx="346">
                  <c:v>71.512886570825657</c:v>
                </c:pt>
                <c:pt idx="347">
                  <c:v>71.151341476252469</c:v>
                </c:pt>
                <c:pt idx="348">
                  <c:v>70.791937613412074</c:v>
                </c:pt>
                <c:pt idx="349">
                  <c:v>70.434661366447727</c:v>
                </c:pt>
                <c:pt idx="350">
                  <c:v>70.079499206808251</c:v>
                </c:pt>
                <c:pt idx="351">
                  <c:v>69.726437692715578</c:v>
                </c:pt>
                <c:pt idx="352">
                  <c:v>69.375463468635388</c:v>
                </c:pt>
                <c:pt idx="353">
                  <c:v>69.02656326475055</c:v>
                </c:pt>
                <c:pt idx="354">
                  <c:v>68.679723896437622</c:v>
                </c:pt>
                <c:pt idx="355">
                  <c:v>68.334932263745813</c:v>
                </c:pt>
                <c:pt idx="356">
                  <c:v>67.992175350879535</c:v>
                </c:pt>
                <c:pt idx="357">
                  <c:v>67.651440225682919</c:v>
                </c:pt>
                <c:pt idx="358">
                  <c:v>67.312714039127968</c:v>
                </c:pt>
                <c:pt idx="359">
                  <c:v>66.975984024804873</c:v>
                </c:pt>
                <c:pt idx="360">
                  <c:v>66.641237498415762</c:v>
                </c:pt>
                <c:pt idx="361">
                  <c:v>66.308461857270771</c:v>
                </c:pt>
                <c:pt idx="362">
                  <c:v>65.97764457978694</c:v>
                </c:pt>
                <c:pt idx="363">
                  <c:v>65.648773224990123</c:v>
                </c:pt>
                <c:pt idx="364">
                  <c:v>65.32183543201954</c:v>
                </c:pt>
                <c:pt idx="365">
                  <c:v>64.996818919634947</c:v>
                </c:pt>
                <c:pt idx="366">
                  <c:v>64.673711485726599</c:v>
                </c:pt>
                <c:pt idx="367">
                  <c:v>64.352501006828049</c:v>
                </c:pt>
                <c:pt idx="368">
                  <c:v>64.033175437631442</c:v>
                </c:pt>
                <c:pt idx="369">
                  <c:v>63.715722810505603</c:v>
                </c:pt>
                <c:pt idx="370">
                  <c:v>63.400131235016865</c:v>
                </c:pt>
                <c:pt idx="371">
                  <c:v>63.086388897452323</c:v>
                </c:pt>
                <c:pt idx="372">
                  <c:v>62.774484060346111</c:v>
                </c:pt>
                <c:pt idx="373">
                  <c:v>62.464405062007785</c:v>
                </c:pt>
                <c:pt idx="374">
                  <c:v>62.156140316053822</c:v>
                </c:pt>
                <c:pt idx="375">
                  <c:v>61.849678310941513</c:v>
                </c:pt>
                <c:pt idx="376">
                  <c:v>61.545007609505376</c:v>
                </c:pt>
                <c:pt idx="377">
                  <c:v>61.242116848496302</c:v>
                </c:pt>
                <c:pt idx="378">
                  <c:v>60.940994738123116</c:v>
                </c:pt>
                <c:pt idx="379">
                  <c:v>60.641630061596828</c:v>
                </c:pt>
                <c:pt idx="380">
                  <c:v>60.344011674677468</c:v>
                </c:pt>
                <c:pt idx="381">
                  <c:v>60.048128505223154</c:v>
                </c:pt>
                <c:pt idx="382">
                  <c:v>59.753969552742042</c:v>
                </c:pt>
                <c:pt idx="383">
                  <c:v>59.461523887946512</c:v>
                </c:pt>
                <c:pt idx="384">
                  <c:v>59.170780652310121</c:v>
                </c:pt>
                <c:pt idx="385">
                  <c:v>58.881729057626643</c:v>
                </c:pt>
                <c:pt idx="386">
                  <c:v>58.594358385571965</c:v>
                </c:pt>
                <c:pt idx="387">
                  <c:v>58.308657987268319</c:v>
                </c:pt>
                <c:pt idx="388">
                  <c:v>58.02461728285072</c:v>
                </c:pt>
                <c:pt idx="389">
                  <c:v>57.742225761036295</c:v>
                </c:pt>
                <c:pt idx="390">
                  <c:v>57.461472978695625</c:v>
                </c:pt>
                <c:pt idx="391">
                  <c:v>57.182348560426668</c:v>
                </c:pt>
                <c:pt idx="392">
                  <c:v>56.904842198131163</c:v>
                </c:pt>
                <c:pt idx="393">
                  <c:v>56.628943650593158</c:v>
                </c:pt>
                <c:pt idx="394">
                  <c:v>56.354642743060239</c:v>
                </c:pt>
                <c:pt idx="395">
                  <c:v>56.081929366826905</c:v>
                </c:pt>
                <c:pt idx="396">
                  <c:v>55.810793478820386</c:v>
                </c:pt>
                <c:pt idx="397">
                  <c:v>55.541225101188758</c:v>
                </c:pt>
                <c:pt idx="398">
                  <c:v>55.273214320891277</c:v>
                </c:pt>
                <c:pt idx="399">
                  <c:v>55.006751289291458</c:v>
                </c:pt>
                <c:pt idx="400">
                  <c:v>54.741826221751857</c:v>
                </c:pt>
                <c:pt idx="401">
                  <c:v>54.478429397231665</c:v>
                </c:pt>
                <c:pt idx="402">
                  <c:v>54.216551157886315</c:v>
                </c:pt>
                <c:pt idx="403">
                  <c:v>53.956181908669365</c:v>
                </c:pt>
                <c:pt idx="404">
                  <c:v>53.697312116936828</c:v>
                </c:pt>
                <c:pt idx="405">
                  <c:v>53.439932312053607</c:v>
                </c:pt>
                <c:pt idx="406">
                  <c:v>53.18403308500212</c:v>
                </c:pt>
                <c:pt idx="407">
                  <c:v>52.929605087993359</c:v>
                </c:pt>
                <c:pt idx="408">
                  <c:v>52.676639034079948</c:v>
                </c:pt>
                <c:pt idx="409">
                  <c:v>52.42512569677168</c:v>
                </c:pt>
                <c:pt idx="410">
                  <c:v>52.175055909652876</c:v>
                </c:pt>
                <c:pt idx="411">
                  <c:v>51.926420566002342</c:v>
                </c:pt>
                <c:pt idx="412">
                  <c:v>51.679210618415183</c:v>
                </c:pt>
                <c:pt idx="413">
                  <c:v>51.433417078426949</c:v>
                </c:pt>
                <c:pt idx="414">
                  <c:v>51.189031016140021</c:v>
                </c:pt>
                <c:pt idx="415">
                  <c:v>50.946043559851844</c:v>
                </c:pt>
                <c:pt idx="416">
                  <c:v>50.704445895685602</c:v>
                </c:pt>
                <c:pt idx="417">
                  <c:v>50.464229267222905</c:v>
                </c:pt>
                <c:pt idx="418">
                  <c:v>50.225384975138525</c:v>
                </c:pt>
                <c:pt idx="419">
                  <c:v>49.987904376837356</c:v>
                </c:pt>
                <c:pt idx="420">
                  <c:v>49.751778886093405</c:v>
                </c:pt>
                <c:pt idx="421">
                  <c:v>49.516999972690911</c:v>
                </c:pt>
                <c:pt idx="422">
                  <c:v>49.283559162067483</c:v>
                </c:pt>
                <c:pt idx="423">
                  <c:v>49.051448034959357</c:v>
                </c:pt>
                <c:pt idx="424">
                  <c:v>48.820658227048661</c:v>
                </c:pt>
                <c:pt idx="425">
                  <c:v>48.591181428612856</c:v>
                </c:pt>
                <c:pt idx="426">
                  <c:v>48.363009384175896</c:v>
                </c:pt>
                <c:pt idx="427">
                  <c:v>48.136133892161972</c:v>
                </c:pt>
                <c:pt idx="428">
                  <c:v>47.91054680455057</c:v>
                </c:pt>
                <c:pt idx="429">
                  <c:v>47.686240026534193</c:v>
                </c:pt>
                <c:pt idx="430">
                  <c:v>47.463205516177645</c:v>
                </c:pt>
                <c:pt idx="431">
                  <c:v>47.241435284079529</c:v>
                </c:pt>
                <c:pt idx="432">
                  <c:v>47.020921393035515</c:v>
                </c:pt>
                <c:pt idx="433">
                  <c:v>46.801655957703851</c:v>
                </c:pt>
                <c:pt idx="434">
                  <c:v>46.583631144272672</c:v>
                </c:pt>
                <c:pt idx="435">
                  <c:v>46.366839170129211</c:v>
                </c:pt>
                <c:pt idx="436">
                  <c:v>46.151272303531044</c:v>
                </c:pt>
                <c:pt idx="437">
                  <c:v>45.936922863279342</c:v>
                </c:pt>
                <c:pt idx="438">
                  <c:v>45.723783218393734</c:v>
                </c:pt>
                <c:pt idx="439">
                  <c:v>45.511845787789461</c:v>
                </c:pt>
                <c:pt idx="440">
                  <c:v>45.301103039956317</c:v>
                </c:pt>
                <c:pt idx="441">
                  <c:v>45.091547492639229</c:v>
                </c:pt>
                <c:pt idx="442">
                  <c:v>44.883171712521111</c:v>
                </c:pt>
                <c:pt idx="443">
                  <c:v>44.675968314907315</c:v>
                </c:pt>
                <c:pt idx="444">
                  <c:v>44.469929963412071</c:v>
                </c:pt>
                <c:pt idx="445">
                  <c:v>44.265049369646782</c:v>
                </c:pt>
                <c:pt idx="446">
                  <c:v>44.061319292910106</c:v>
                </c:pt>
                <c:pt idx="447">
                  <c:v>43.858732539879938</c:v>
                </c:pt>
                <c:pt idx="448">
                  <c:v>43.657281964307145</c:v>
                </c:pt>
                <c:pt idx="449">
                  <c:v>43.456960466711308</c:v>
                </c:pt>
                <c:pt idx="450">
                  <c:v>43.257760994077977</c:v>
                </c:pt>
                <c:pt idx="451">
                  <c:v>43.059676539558062</c:v>
                </c:pt>
                <c:pt idx="452">
                  <c:v>42.862700142168691</c:v>
                </c:pt>
                <c:pt idx="453">
                  <c:v>42.66682488649613</c:v>
                </c:pt>
                <c:pt idx="454">
                  <c:v>42.472043902400358</c:v>
                </c:pt>
                <c:pt idx="455">
                  <c:v>42.278350364721383</c:v>
                </c:pt>
                <c:pt idx="456">
                  <c:v>42.085737492987363</c:v>
                </c:pt>
                <c:pt idx="457">
                  <c:v>41.894198551124461</c:v>
                </c:pt>
                <c:pt idx="458">
                  <c:v>41.703726847168483</c:v>
                </c:pt>
                <c:pt idx="459">
                  <c:v>41.514315732978162</c:v>
                </c:pt>
                <c:pt idx="460">
                  <c:v>41.325958603950241</c:v>
                </c:pt>
                <c:pt idx="461">
                  <c:v>41.138648898736314</c:v>
                </c:pt>
                <c:pt idx="462">
                  <c:v>40.952380098961207</c:v>
                </c:pt>
                <c:pt idx="463">
                  <c:v>40.76714572894322</c:v>
                </c:pt>
                <c:pt idx="464">
                  <c:v>40.582939355415959</c:v>
                </c:pt>
                <c:pt idx="465">
                  <c:v>40.399754587251991</c:v>
                </c:pt>
                <c:pt idx="466">
                  <c:v>40.217585075187912</c:v>
                </c:pt>
                <c:pt idx="467">
                  <c:v>40.036424511551409</c:v>
                </c:pt>
                <c:pt idx="468">
                  <c:v>39.856266629989705</c:v>
                </c:pt>
                <c:pt idx="469">
                  <c:v>39.677105205199723</c:v>
                </c:pt>
                <c:pt idx="470">
                  <c:v>39.498934052660097</c:v>
                </c:pt>
                <c:pt idx="471">
                  <c:v>39.321747028364463</c:v>
                </c:pt>
                <c:pt idx="472">
                  <c:v>39.145538028556587</c:v>
                </c:pt>
                <c:pt idx="473">
                  <c:v>38.970300989467141</c:v>
                </c:pt>
                <c:pt idx="474">
                  <c:v>38.796029887052008</c:v>
                </c:pt>
                <c:pt idx="475">
                  <c:v>38.622718736732089</c:v>
                </c:pt>
                <c:pt idx="476">
                  <c:v>38.450361593134922</c:v>
                </c:pt>
                <c:pt idx="477">
                  <c:v>38.27895254983774</c:v>
                </c:pt>
                <c:pt idx="478">
                  <c:v>38.108485739112069</c:v>
                </c:pt>
                <c:pt idx="479">
                  <c:v>37.93895533166998</c:v>
                </c:pt>
                <c:pt idx="480">
                  <c:v>37.770355536411969</c:v>
                </c:pt>
                <c:pt idx="481">
                  <c:v>37.602680600176143</c:v>
                </c:pt>
                <c:pt idx="482">
                  <c:v>37.435924807489179</c:v>
                </c:pt>
                <c:pt idx="483">
                  <c:v>37.270082480318678</c:v>
                </c:pt>
                <c:pt idx="484">
                  <c:v>37.105147977827194</c:v>
                </c:pt>
                <c:pt idx="485">
                  <c:v>36.941115696127525</c:v>
                </c:pt>
                <c:pt idx="486">
                  <c:v>36.777980068039838</c:v>
                </c:pt>
                <c:pt idx="487">
                  <c:v>36.615735562850098</c:v>
                </c:pt>
                <c:pt idx="488">
                  <c:v>36.454376686069885</c:v>
                </c:pt>
                <c:pt idx="489">
                  <c:v>36.293897979198015</c:v>
                </c:pt>
                <c:pt idx="490">
                  <c:v>36.134294019483413</c:v>
                </c:pt>
                <c:pt idx="491">
                  <c:v>35.975559419689425</c:v>
                </c:pt>
                <c:pt idx="492">
                  <c:v>35.817688827859783</c:v>
                </c:pt>
                <c:pt idx="493">
                  <c:v>35.660676927085873</c:v>
                </c:pt>
                <c:pt idx="494">
                  <c:v>35.504518435275415</c:v>
                </c:pt>
                <c:pt idx="495">
                  <c:v>35.34920810492288</c:v>
                </c:pt>
                <c:pt idx="496">
                  <c:v>35.194740722880887</c:v>
                </c:pt>
                <c:pt idx="497">
                  <c:v>35.041111110133386</c:v>
                </c:pt>
                <c:pt idx="498">
                  <c:v>34.888314121570126</c:v>
                </c:pt>
                <c:pt idx="499">
                  <c:v>34.736344645762514</c:v>
                </c:pt>
                <c:pt idx="500">
                  <c:v>34.585197604740912</c:v>
                </c:pt>
                <c:pt idx="501">
                  <c:v>34.434867953773306</c:v>
                </c:pt>
                <c:pt idx="502">
                  <c:v>34.285350681145474</c:v>
                </c:pt>
                <c:pt idx="503">
                  <c:v>34.136640807942221</c:v>
                </c:pt>
                <c:pt idx="504">
                  <c:v>33.988733387830457</c:v>
                </c:pt>
                <c:pt idx="505">
                  <c:v>33.841623506843241</c:v>
                </c:pt>
                <c:pt idx="506">
                  <c:v>33.69530628316528</c:v>
                </c:pt>
                <c:pt idx="507">
                  <c:v>33.549776866919991</c:v>
                </c:pt>
                <c:pt idx="508">
                  <c:v>33.405030439957628</c:v>
                </c:pt>
                <c:pt idx="509">
                  <c:v>33.261062215644834</c:v>
                </c:pt>
                <c:pt idx="510">
                  <c:v>33.117867438655637</c:v>
                </c:pt>
                <c:pt idx="511">
                  <c:v>32.975441384763641</c:v>
                </c:pt>
                <c:pt idx="512">
                  <c:v>32.833779360635532</c:v>
                </c:pt>
                <c:pt idx="513">
                  <c:v>32.692876703625934</c:v>
                </c:pt>
                <c:pt idx="514">
                  <c:v>32.552728781573606</c:v>
                </c:pt>
                <c:pt idx="515">
                  <c:v>32.413330992598887</c:v>
                </c:pt>
                <c:pt idx="516">
                  <c:v>32.274678764902305</c:v>
                </c:pt>
                <c:pt idx="517">
                  <c:v>32.136767556564763</c:v>
                </c:pt>
                <c:pt idx="518">
                  <c:v>31.999592855348656</c:v>
                </c:pt>
                <c:pt idx="519">
                  <c:v>31.863150178500479</c:v>
                </c:pt>
                <c:pt idx="520">
                  <c:v>31.727435072554655</c:v>
                </c:pt>
                <c:pt idx="521">
                  <c:v>31.592443113138554</c:v>
                </c:pt>
                <c:pt idx="522">
                  <c:v>31.458169904778792</c:v>
                </c:pt>
                <c:pt idx="523">
                  <c:v>31.324611080708735</c:v>
                </c:pt>
                <c:pt idx="524">
                  <c:v>31.191762302677333</c:v>
                </c:pt>
                <c:pt idx="525">
                  <c:v>31.05961926075901</c:v>
                </c:pt>
                <c:pt idx="526">
                  <c:v>30.928177673164964</c:v>
                </c:pt>
                <c:pt idx="527">
                  <c:v>30.797433286055533</c:v>
                </c:pt>
                <c:pt idx="528">
                  <c:v>30.667381873353744</c:v>
                </c:pt>
                <c:pt idx="529">
                  <c:v>30.538019236560249</c:v>
                </c:pt>
                <c:pt idx="530">
                  <c:v>30.409341204569266</c:v>
                </c:pt>
                <c:pt idx="531">
                  <c:v>30.281343633485676</c:v>
                </c:pt>
                <c:pt idx="532">
                  <c:v>30.154022406443588</c:v>
                </c:pt>
                <c:pt idx="533">
                  <c:v>30.027373433425637</c:v>
                </c:pt>
                <c:pt idx="534">
                  <c:v>29.901392651083835</c:v>
                </c:pt>
                <c:pt idx="535">
                  <c:v>29.77607602256133</c:v>
                </c:pt>
                <c:pt idx="536">
                  <c:v>29.651419537315487</c:v>
                </c:pt>
                <c:pt idx="537">
                  <c:v>29.52741921094194</c:v>
                </c:pt>
                <c:pt idx="538">
                  <c:v>29.404071084999885</c:v>
                </c:pt>
                <c:pt idx="539">
                  <c:v>29.281371226838544</c:v>
                </c:pt>
                <c:pt idx="540">
                  <c:v>29.159315729424655</c:v>
                </c:pt>
                <c:pt idx="541">
                  <c:v>29.037900711171112</c:v>
                </c:pt>
                <c:pt idx="542">
                  <c:v>28.917122315766733</c:v>
                </c:pt>
                <c:pt idx="543">
                  <c:v>28.796976712007133</c:v>
                </c:pt>
                <c:pt idx="544">
                  <c:v>28.677460093626674</c:v>
                </c:pt>
                <c:pt idx="545">
                  <c:v>28.558568679131483</c:v>
                </c:pt>
                <c:pt idx="546">
                  <c:v>28.440298711633716</c:v>
                </c:pt>
                <c:pt idx="547">
                  <c:v>28.322646458686599</c:v>
                </c:pt>
                <c:pt idx="548">
                  <c:v>28.205608212120833</c:v>
                </c:pt>
                <c:pt idx="549">
                  <c:v>28.089180287881948</c:v>
                </c:pt>
                <c:pt idx="550">
                  <c:v>27.973359025868696</c:v>
                </c:pt>
                <c:pt idx="551">
                  <c:v>27.858140789772477</c:v>
                </c:pt>
                <c:pt idx="552">
                  <c:v>27.743521966917967</c:v>
                </c:pt>
                <c:pt idx="553">
                  <c:v>27.629498968104574</c:v>
                </c:pt>
                <c:pt idx="554">
                  <c:v>27.516068227449118</c:v>
                </c:pt>
                <c:pt idx="555">
                  <c:v>27.403226202229419</c:v>
                </c:pt>
                <c:pt idx="556">
                  <c:v>27.290969372728934</c:v>
                </c:pt>
                <c:pt idx="557">
                  <c:v>27.179294242082502</c:v>
                </c:pt>
                <c:pt idx="558">
                  <c:v>27.068197336122907</c:v>
                </c:pt>
                <c:pt idx="559">
                  <c:v>26.957675203228678</c:v>
                </c:pt>
                <c:pt idx="560">
                  <c:v>26.84772441417272</c:v>
                </c:pt>
                <c:pt idx="561">
                  <c:v>26.738341561972042</c:v>
                </c:pt>
                <c:pt idx="562">
                  <c:v>26.629523261738363</c:v>
                </c:pt>
                <c:pt idx="563">
                  <c:v>26.521266150529801</c:v>
                </c:pt>
                <c:pt idx="564">
                  <c:v>26.413566887203537</c:v>
                </c:pt>
                <c:pt idx="565">
                  <c:v>26.306422152269324</c:v>
                </c:pt>
                <c:pt idx="566">
                  <c:v>26.199828647744162</c:v>
                </c:pt>
                <c:pt idx="567">
                  <c:v>26.093783097007776</c:v>
                </c:pt>
                <c:pt idx="568">
                  <c:v>25.988282244659029</c:v>
                </c:pt>
                <c:pt idx="569">
                  <c:v>25.883322856373475</c:v>
                </c:pt>
                <c:pt idx="570">
                  <c:v>25.778901718761642</c:v>
                </c:pt>
                <c:pt idx="571">
                  <c:v>25.675015639228352</c:v>
                </c:pt>
                <c:pt idx="572">
                  <c:v>25.571661445832966</c:v>
                </c:pt>
                <c:pt idx="573">
                  <c:v>25.468835987150538</c:v>
                </c:pt>
                <c:pt idx="574">
                  <c:v>25.36653613213392</c:v>
                </c:pt>
                <c:pt idx="575">
                  <c:v>25.264758769976726</c:v>
                </c:pt>
                <c:pt idx="576">
                  <c:v>25.163500809977243</c:v>
                </c:pt>
                <c:pt idx="577">
                  <c:v>25.062759181403266</c:v>
                </c:pt>
                <c:pt idx="578">
                  <c:v>24.962530833357736</c:v>
                </c:pt>
                <c:pt idx="579">
                  <c:v>24.86281273464542</c:v>
                </c:pt>
                <c:pt idx="580">
                  <c:v>24.763601873640358</c:v>
                </c:pt>
                <c:pt idx="581">
                  <c:v>24.664895258154196</c:v>
                </c:pt>
                <c:pt idx="582">
                  <c:v>24.566689915305481</c:v>
                </c:pt>
                <c:pt idx="583">
                  <c:v>24.46898289138975</c:v>
                </c:pt>
                <c:pt idx="584">
                  <c:v>24.371771251750491</c:v>
                </c:pt>
                <c:pt idx="585">
                  <c:v>24.275052080650983</c:v>
                </c:pt>
                <c:pt idx="586">
                  <c:v>24.178822481147044</c:v>
                </c:pt>
                <c:pt idx="587">
                  <c:v>24.08307957496049</c:v>
                </c:pt>
                <c:pt idx="588">
                  <c:v>23.987820502353568</c:v>
                </c:pt>
                <c:pt idx="589">
                  <c:v>23.893042422004189</c:v>
                </c:pt>
                <c:pt idx="590">
                  <c:v>23.798742510881969</c:v>
                </c:pt>
                <c:pt idx="591">
                  <c:v>23.704917964125073</c:v>
                </c:pt>
                <c:pt idx="592">
                  <c:v>23.611565994918042</c:v>
                </c:pt>
                <c:pt idx="593">
                  <c:v>23.518683834370201</c:v>
                </c:pt>
                <c:pt idx="594">
                  <c:v>23.426268731395069</c:v>
                </c:pt>
                <c:pt idx="595">
                  <c:v>23.334317952590514</c:v>
                </c:pt>
                <c:pt idx="596">
                  <c:v>23.242828782119673</c:v>
                </c:pt>
                <c:pt idx="597">
                  <c:v>23.151798521592735</c:v>
                </c:pt>
                <c:pt idx="598">
                  <c:v>23.061224489949453</c:v>
                </c:pt>
                <c:pt idx="599">
                  <c:v>22.971104023342548</c:v>
                </c:pt>
                <c:pt idx="600">
                  <c:v>22.881434475021759</c:v>
                </c:pt>
                <c:pt idx="601">
                  <c:v>22.792213215218769</c:v>
                </c:pt>
                <c:pt idx="602">
                  <c:v>22.703437631032905</c:v>
                </c:pt>
                <c:pt idx="603">
                  <c:v>22.615105126317516</c:v>
                </c:pt>
                <c:pt idx="604">
                  <c:v>22.527213121567225</c:v>
                </c:pt>
                <c:pt idx="605">
                  <c:v>22.439759053805904</c:v>
                </c:pt>
                <c:pt idx="606">
                  <c:v>22.35274037647536</c:v>
                </c:pt>
                <c:pt idx="607">
                  <c:v>22.266154559324807</c:v>
                </c:pt>
                <c:pt idx="608">
                  <c:v>22.17999908830113</c:v>
                </c:pt>
                <c:pt idx="609">
                  <c:v>22.094271465439753</c:v>
                </c:pt>
                <c:pt idx="610">
                  <c:v>22.008969208756426</c:v>
                </c:pt>
                <c:pt idx="611">
                  <c:v>21.924089852139577</c:v>
                </c:pt>
                <c:pt idx="612">
                  <c:v>21.839630945243492</c:v>
                </c:pt>
                <c:pt idx="613">
                  <c:v>21.755590053382171</c:v>
                </c:pt>
                <c:pt idx="614">
                  <c:v>21.67196475742394</c:v>
                </c:pt>
                <c:pt idx="615">
                  <c:v>21.588752653686726</c:v>
                </c:pt>
                <c:pt idx="616">
                  <c:v>21.505951353834071</c:v>
                </c:pt>
                <c:pt idx="617">
                  <c:v>21.423558484771874</c:v>
                </c:pt>
                <c:pt idx="618">
                  <c:v>21.341571688545724</c:v>
                </c:pt>
                <c:pt idx="619">
                  <c:v>21.259988622239124</c:v>
                </c:pt>
                <c:pt idx="620">
                  <c:v>21.178806957872197</c:v>
                </c:pt>
                <c:pt idx="621">
                  <c:v>21.098024382301201</c:v>
                </c:pt>
                <c:pt idx="622">
                  <c:v>21.017638597118676</c:v>
                </c:pt>
                <c:pt idx="623">
                  <c:v>20.937647318554323</c:v>
                </c:pt>
                <c:pt idx="624">
                  <c:v>20.858048277376472</c:v>
                </c:pt>
                <c:pt idx="625">
                  <c:v>20.778839218794293</c:v>
                </c:pt>
                <c:pt idx="626">
                  <c:v>20.700017902360649</c:v>
                </c:pt>
                <c:pt idx="627">
                  <c:v>20.6215821018756</c:v>
                </c:pt>
                <c:pt idx="628">
                  <c:v>20.543529605290516</c:v>
                </c:pt>
                <c:pt idx="629">
                  <c:v>20.465858214612979</c:v>
                </c:pt>
                <c:pt idx="630">
                  <c:v>20.388565745812169</c:v>
                </c:pt>
                <c:pt idx="631">
                  <c:v>20.311650028725001</c:v>
                </c:pt>
                <c:pt idx="632">
                  <c:v>20.235108906962886</c:v>
                </c:pt>
                <c:pt idx="633">
                  <c:v>20.158940237819053</c:v>
                </c:pt>
                <c:pt idx="634">
                  <c:v>20.083141892176606</c:v>
                </c:pt>
                <c:pt idx="635">
                  <c:v>20.007711754417169</c:v>
                </c:pt>
                <c:pt idx="636">
                  <c:v>19.932647722330096</c:v>
                </c:pt>
                <c:pt idx="637">
                  <c:v>19.857947707022358</c:v>
                </c:pt>
                <c:pt idx="638">
                  <c:v>19.783609632829076</c:v>
                </c:pt>
                <c:pt idx="639">
                  <c:v>19.709631437224576</c:v>
                </c:pt>
                <c:pt idx="640">
                  <c:v>19.636011070734103</c:v>
                </c:pt>
                <c:pt idx="641">
                  <c:v>19.562746496846163</c:v>
                </c:pt>
                <c:pt idx="642">
                  <c:v>19.4898356919254</c:v>
                </c:pt>
                <c:pt idx="643">
                  <c:v>19.417276645126094</c:v>
                </c:pt>
                <c:pt idx="644">
                  <c:v>19.345067358306281</c:v>
                </c:pt>
                <c:pt idx="645">
                  <c:v>19.273205845942424</c:v>
                </c:pt>
                <c:pt idx="646">
                  <c:v>19.201690135044633</c:v>
                </c:pt>
                <c:pt idx="647">
                  <c:v>19.130518265072602</c:v>
                </c:pt>
                <c:pt idx="648">
                  <c:v>19.059688287851934</c:v>
                </c:pt>
                <c:pt idx="649">
                  <c:v>18.989198267491204</c:v>
                </c:pt>
                <c:pt idx="650">
                  <c:v>18.919046280299419</c:v>
                </c:pt>
                <c:pt idx="651">
                  <c:v>18.849230414704234</c:v>
                </c:pt>
                <c:pt idx="652">
                  <c:v>18.779748771170635</c:v>
                </c:pt>
                <c:pt idx="653">
                  <c:v>18.710599462120054</c:v>
                </c:pt>
                <c:pt idx="654">
                  <c:v>18.641780611850354</c:v>
                </c:pt>
                <c:pt idx="655">
                  <c:v>18.573290356455992</c:v>
                </c:pt>
                <c:pt idx="656">
                  <c:v>18.505126843748965</c:v>
                </c:pt>
                <c:pt idx="657">
                  <c:v>18.437288233180315</c:v>
                </c:pt>
                <c:pt idx="658">
                  <c:v>18.369772695761956</c:v>
                </c:pt>
                <c:pt idx="659">
                  <c:v>18.30257841398933</c:v>
                </c:pt>
                <c:pt idx="660">
                  <c:v>18.235703581764295</c:v>
                </c:pt>
                <c:pt idx="661">
                  <c:v>18.169146404318749</c:v>
                </c:pt>
                <c:pt idx="662">
                  <c:v>18.102905098138791</c:v>
                </c:pt>
                <c:pt idx="663">
                  <c:v>18.036977890889165</c:v>
                </c:pt>
                <c:pt idx="664">
                  <c:v>17.971363021338533</c:v>
                </c:pt>
                <c:pt idx="665">
                  <c:v>17.906058739285019</c:v>
                </c:pt>
                <c:pt idx="666">
                  <c:v>17.841063305482365</c:v>
                </c:pt>
                <c:pt idx="667">
                  <c:v>17.776374991566687</c:v>
                </c:pt>
                <c:pt idx="668">
                  <c:v>17.711992079983474</c:v>
                </c:pt>
                <c:pt idx="669">
                  <c:v>17.647912863915383</c:v>
                </c:pt>
                <c:pt idx="670">
                  <c:v>17.584135647210296</c:v>
                </c:pt>
                <c:pt idx="671">
                  <c:v>17.520658744310047</c:v>
                </c:pt>
                <c:pt idx="672">
                  <c:v>17.457480480179523</c:v>
                </c:pt>
                <c:pt idx="673">
                  <c:v>17.394599190236271</c:v>
                </c:pt>
                <c:pt idx="674">
                  <c:v>17.332013220280661</c:v>
                </c:pt>
                <c:pt idx="675">
                  <c:v>17.269720926426448</c:v>
                </c:pt>
                <c:pt idx="676">
                  <c:v>17.207720675031815</c:v>
                </c:pt>
                <c:pt idx="677">
                  <c:v>17.146010842630961</c:v>
                </c:pt>
                <c:pt idx="678">
                  <c:v>17.084589815866106</c:v>
                </c:pt>
                <c:pt idx="679">
                  <c:v>17.023455991419944</c:v>
                </c:pt>
                <c:pt idx="680">
                  <c:v>16.962607775948602</c:v>
                </c:pt>
                <c:pt idx="681">
                  <c:v>16.902043586015068</c:v>
                </c:pt>
                <c:pt idx="682">
                  <c:v>16.841761848023044</c:v>
                </c:pt>
                <c:pt idx="683">
                  <c:v>16.781760998151228</c:v>
                </c:pt>
                <c:pt idx="684">
                  <c:v>16.72203948228816</c:v>
                </c:pt>
                <c:pt idx="685">
                  <c:v>16.662595755967381</c:v>
                </c:pt>
                <c:pt idx="686">
                  <c:v>16.603428284303131</c:v>
                </c:pt>
                <c:pt idx="687">
                  <c:v>16.544535541926471</c:v>
                </c:pt>
                <c:pt idx="688">
                  <c:v>16.485916012921788</c:v>
                </c:pt>
                <c:pt idx="689">
                  <c:v>16.427568190763836</c:v>
                </c:pt>
                <c:pt idx="690">
                  <c:v>16.369490578255132</c:v>
                </c:pt>
                <c:pt idx="691">
                  <c:v>16.311681687463789</c:v>
                </c:pt>
                <c:pt idx="692">
                  <c:v>16.254140039661852</c:v>
                </c:pt>
                <c:pt idx="693">
                  <c:v>16.196864165263957</c:v>
                </c:pt>
                <c:pt idx="694">
                  <c:v>16.139852603766499</c:v>
                </c:pt>
                <c:pt idx="695">
                  <c:v>16.08310390368711</c:v>
                </c:pt>
                <c:pt idx="696">
                  <c:v>16.026616622504729</c:v>
                </c:pt>
                <c:pt idx="697">
                  <c:v>15.970389326599898</c:v>
                </c:pt>
                <c:pt idx="698">
                  <c:v>15.914420591195586</c:v>
                </c:pt>
                <c:pt idx="699">
                  <c:v>15.858709000298376</c:v>
                </c:pt>
                <c:pt idx="700">
                  <c:v>15.803253146640094</c:v>
                </c:pt>
                <c:pt idx="701">
                  <c:v>15.748051631619772</c:v>
                </c:pt>
                <c:pt idx="702">
                  <c:v>15.693103065246106</c:v>
                </c:pt>
                <c:pt idx="703">
                  <c:v>15.638406066080227</c:v>
                </c:pt>
                <c:pt idx="704">
                  <c:v>15.583959261178892</c:v>
                </c:pt>
                <c:pt idx="705">
                  <c:v>15.529761286038113</c:v>
                </c:pt>
                <c:pt idx="706">
                  <c:v>15.475810784537083</c:v>
                </c:pt>
                <c:pt idx="707">
                  <c:v>15.422106408882605</c:v>
                </c:pt>
                <c:pt idx="708">
                  <c:v>15.368646819553781</c:v>
                </c:pt>
                <c:pt idx="709">
                  <c:v>15.315430685247199</c:v>
                </c:pt>
                <c:pt idx="710">
                  <c:v>15.262456682822378</c:v>
                </c:pt>
                <c:pt idx="711">
                  <c:v>15.20972349724769</c:v>
                </c:pt>
                <c:pt idx="712">
                  <c:v>15.157229821546666</c:v>
                </c:pt>
                <c:pt idx="713">
                  <c:v>15.104974356744519</c:v>
                </c:pt>
                <c:pt idx="714">
                  <c:v>15.05295581181522</c:v>
                </c:pt>
                <c:pt idx="715">
                  <c:v>15.001172903628856</c:v>
                </c:pt>
                <c:pt idx="716">
                  <c:v>14.949624356899301</c:v>
                </c:pt>
                <c:pt idx="717">
                  <c:v>14.898308904132396</c:v>
                </c:pt>
                <c:pt idx="718">
                  <c:v>14.847225285574268</c:v>
                </c:pt>
                <c:pt idx="719">
                  <c:v>14.796372249160299</c:v>
                </c:pt>
                <c:pt idx="720">
                  <c:v>14.745748550464103</c:v>
                </c:pt>
                <c:pt idx="721">
                  <c:v>14.695352952647131</c:v>
                </c:pt>
                <c:pt idx="722">
                  <c:v>14.645184226408563</c:v>
                </c:pt>
                <c:pt idx="723">
                  <c:v>14.595241149935367</c:v>
                </c:pt>
                <c:pt idx="724">
                  <c:v>14.545522508853001</c:v>
                </c:pt>
                <c:pt idx="725">
                  <c:v>14.49602709617618</c:v>
                </c:pt>
                <c:pt idx="726">
                  <c:v>14.446753712260149</c:v>
                </c:pt>
                <c:pt idx="727">
                  <c:v>14.397701164752268</c:v>
                </c:pt>
                <c:pt idx="728">
                  <c:v>14.348868268543839</c:v>
                </c:pt>
                <c:pt idx="729">
                  <c:v>14.300253845722393</c:v>
                </c:pt>
                <c:pt idx="730">
                  <c:v>14.25185672552421</c:v>
                </c:pt>
                <c:pt idx="731">
                  <c:v>14.203675744287223</c:v>
                </c:pt>
                <c:pt idx="732">
                  <c:v>14.155709745404211</c:v>
                </c:pt>
                <c:pt idx="733">
                  <c:v>14.107957579276336</c:v>
                </c:pt>
                <c:pt idx="734">
                  <c:v>14.060418103267018</c:v>
                </c:pt>
                <c:pt idx="735">
                  <c:v>14.013090181656056</c:v>
                </c:pt>
                <c:pt idx="736">
                  <c:v>13.965972685594144</c:v>
                </c:pt>
                <c:pt idx="737">
                  <c:v>13.919064493057686</c:v>
                </c:pt>
                <c:pt idx="738">
                  <c:v>13.872364488803862</c:v>
                </c:pt>
                <c:pt idx="739">
                  <c:v>13.825871564326127</c:v>
                </c:pt>
                <c:pt idx="740">
                  <c:v>13.779584617809842</c:v>
                </c:pt>
                <c:pt idx="741">
                  <c:v>13.733502554088373</c:v>
                </c:pt>
                <c:pt idx="742">
                  <c:v>13.687624284599414</c:v>
                </c:pt>
                <c:pt idx="743">
                  <c:v>13.641948727341637</c:v>
                </c:pt>
                <c:pt idx="744">
                  <c:v>13.596474806831607</c:v>
                </c:pt>
                <c:pt idx="745">
                  <c:v>13.551201454061012</c:v>
                </c:pt>
                <c:pt idx="746">
                  <c:v>13.506127606454237</c:v>
                </c:pt>
                <c:pt idx="747">
                  <c:v>13.461252207826137</c:v>
                </c:pt>
                <c:pt idx="748">
                  <c:v>13.416574208340172</c:v>
                </c:pt>
                <c:pt idx="749">
                  <c:v>13.372092564466808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621-4875-B88C-B488B95351CA}"/>
            </c:ext>
          </c:extLst>
        </c:ser>
        <c:ser>
          <c:idx val="4"/>
          <c:order val="4"/>
          <c:tx>
            <c:strRef>
              <c:f>'sheet 1'!$R$38</c:f>
              <c:strCache>
                <c:ptCount val="1"/>
                <c:pt idx="0">
                  <c:v>I3</c:v>
                </c:pt>
              </c:strCache>
            </c:strRef>
          </c:tx>
          <c:spPr>
            <a:ln w="28575">
              <a:noFill/>
            </a:ln>
          </c:spPr>
          <c:xVal>
            <c:numRef>
              <c:f>'sheet 1'!$B$39:$B$841</c:f>
              <c:numCache>
                <c:formatCode>General</c:formatCode>
                <c:ptCount val="803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  <c:pt idx="79">
                  <c:v>8</c:v>
                </c:pt>
                <c:pt idx="80">
                  <c:v>8.1</c:v>
                </c:pt>
                <c:pt idx="81">
                  <c:v>8.1999999999999993</c:v>
                </c:pt>
                <c:pt idx="82">
                  <c:v>8.3000000000000007</c:v>
                </c:pt>
                <c:pt idx="83">
                  <c:v>8.4</c:v>
                </c:pt>
                <c:pt idx="84">
                  <c:v>8.5</c:v>
                </c:pt>
                <c:pt idx="85">
                  <c:v>8.6</c:v>
                </c:pt>
                <c:pt idx="86">
                  <c:v>8.6999999999999993</c:v>
                </c:pt>
                <c:pt idx="87">
                  <c:v>8.8000000000000007</c:v>
                </c:pt>
                <c:pt idx="88">
                  <c:v>8.9</c:v>
                </c:pt>
                <c:pt idx="89">
                  <c:v>9</c:v>
                </c:pt>
                <c:pt idx="90">
                  <c:v>9.1</c:v>
                </c:pt>
                <c:pt idx="91">
                  <c:v>9.1999999999999993</c:v>
                </c:pt>
                <c:pt idx="92">
                  <c:v>9.3000000000000007</c:v>
                </c:pt>
                <c:pt idx="93">
                  <c:v>9.4</c:v>
                </c:pt>
                <c:pt idx="94">
                  <c:v>9.5</c:v>
                </c:pt>
                <c:pt idx="95">
                  <c:v>9.6</c:v>
                </c:pt>
                <c:pt idx="96">
                  <c:v>9.6999999999999993</c:v>
                </c:pt>
                <c:pt idx="97">
                  <c:v>9.8000000000000007</c:v>
                </c:pt>
                <c:pt idx="98">
                  <c:v>9.9</c:v>
                </c:pt>
                <c:pt idx="99">
                  <c:v>10</c:v>
                </c:pt>
                <c:pt idx="100">
                  <c:v>10.1</c:v>
                </c:pt>
                <c:pt idx="101">
                  <c:v>10.199999999999999</c:v>
                </c:pt>
                <c:pt idx="102">
                  <c:v>10.3</c:v>
                </c:pt>
                <c:pt idx="103">
                  <c:v>10.4</c:v>
                </c:pt>
                <c:pt idx="104">
                  <c:v>10.5</c:v>
                </c:pt>
                <c:pt idx="105">
                  <c:v>10.6</c:v>
                </c:pt>
                <c:pt idx="106">
                  <c:v>10.7</c:v>
                </c:pt>
                <c:pt idx="107">
                  <c:v>10.8</c:v>
                </c:pt>
                <c:pt idx="108">
                  <c:v>10.9</c:v>
                </c:pt>
                <c:pt idx="109">
                  <c:v>11</c:v>
                </c:pt>
                <c:pt idx="110">
                  <c:v>11.1</c:v>
                </c:pt>
                <c:pt idx="111">
                  <c:v>11.2</c:v>
                </c:pt>
                <c:pt idx="112">
                  <c:v>11.3</c:v>
                </c:pt>
                <c:pt idx="113">
                  <c:v>11.4</c:v>
                </c:pt>
                <c:pt idx="114">
                  <c:v>11.5</c:v>
                </c:pt>
                <c:pt idx="115">
                  <c:v>11.6</c:v>
                </c:pt>
                <c:pt idx="116">
                  <c:v>11.7</c:v>
                </c:pt>
                <c:pt idx="117">
                  <c:v>11.8</c:v>
                </c:pt>
                <c:pt idx="118">
                  <c:v>11.9</c:v>
                </c:pt>
                <c:pt idx="119">
                  <c:v>12</c:v>
                </c:pt>
                <c:pt idx="120">
                  <c:v>12.1</c:v>
                </c:pt>
                <c:pt idx="121">
                  <c:v>12.2</c:v>
                </c:pt>
                <c:pt idx="122">
                  <c:v>12.3</c:v>
                </c:pt>
                <c:pt idx="123">
                  <c:v>12.4</c:v>
                </c:pt>
                <c:pt idx="124">
                  <c:v>12.5</c:v>
                </c:pt>
                <c:pt idx="125">
                  <c:v>12.6</c:v>
                </c:pt>
                <c:pt idx="126">
                  <c:v>12.7</c:v>
                </c:pt>
                <c:pt idx="127">
                  <c:v>12.8</c:v>
                </c:pt>
                <c:pt idx="128">
                  <c:v>12.9</c:v>
                </c:pt>
                <c:pt idx="129">
                  <c:v>13</c:v>
                </c:pt>
                <c:pt idx="130">
                  <c:v>13.1</c:v>
                </c:pt>
                <c:pt idx="131">
                  <c:v>13.2</c:v>
                </c:pt>
                <c:pt idx="132">
                  <c:v>13.3</c:v>
                </c:pt>
                <c:pt idx="133">
                  <c:v>13.4</c:v>
                </c:pt>
                <c:pt idx="134">
                  <c:v>13.5</c:v>
                </c:pt>
                <c:pt idx="135">
                  <c:v>13.6</c:v>
                </c:pt>
                <c:pt idx="136">
                  <c:v>13.7</c:v>
                </c:pt>
                <c:pt idx="137">
                  <c:v>13.8</c:v>
                </c:pt>
                <c:pt idx="138">
                  <c:v>13.9</c:v>
                </c:pt>
                <c:pt idx="139">
                  <c:v>14</c:v>
                </c:pt>
                <c:pt idx="140">
                  <c:v>14.1</c:v>
                </c:pt>
                <c:pt idx="141">
                  <c:v>14.2</c:v>
                </c:pt>
                <c:pt idx="142">
                  <c:v>14.3</c:v>
                </c:pt>
                <c:pt idx="143">
                  <c:v>14.4</c:v>
                </c:pt>
                <c:pt idx="144">
                  <c:v>14.5</c:v>
                </c:pt>
                <c:pt idx="145">
                  <c:v>14.6</c:v>
                </c:pt>
                <c:pt idx="146">
                  <c:v>14.7</c:v>
                </c:pt>
                <c:pt idx="147">
                  <c:v>14.8</c:v>
                </c:pt>
                <c:pt idx="148">
                  <c:v>14.9</c:v>
                </c:pt>
                <c:pt idx="149">
                  <c:v>15</c:v>
                </c:pt>
                <c:pt idx="150">
                  <c:v>15.1</c:v>
                </c:pt>
                <c:pt idx="151">
                  <c:v>15.2</c:v>
                </c:pt>
                <c:pt idx="152">
                  <c:v>15.3</c:v>
                </c:pt>
                <c:pt idx="153">
                  <c:v>15.4</c:v>
                </c:pt>
                <c:pt idx="154">
                  <c:v>15.5</c:v>
                </c:pt>
                <c:pt idx="155">
                  <c:v>15.6</c:v>
                </c:pt>
                <c:pt idx="156">
                  <c:v>15.7</c:v>
                </c:pt>
                <c:pt idx="157">
                  <c:v>15.8</c:v>
                </c:pt>
                <c:pt idx="158">
                  <c:v>15.9</c:v>
                </c:pt>
                <c:pt idx="159">
                  <c:v>16</c:v>
                </c:pt>
                <c:pt idx="160">
                  <c:v>16.100000000000001</c:v>
                </c:pt>
                <c:pt idx="161">
                  <c:v>16.2</c:v>
                </c:pt>
                <c:pt idx="162">
                  <c:v>16.3</c:v>
                </c:pt>
                <c:pt idx="163">
                  <c:v>16.399999999999999</c:v>
                </c:pt>
                <c:pt idx="164">
                  <c:v>16.5</c:v>
                </c:pt>
                <c:pt idx="165">
                  <c:v>16.600000000000001</c:v>
                </c:pt>
                <c:pt idx="166">
                  <c:v>16.7</c:v>
                </c:pt>
                <c:pt idx="167">
                  <c:v>16.8</c:v>
                </c:pt>
                <c:pt idx="168">
                  <c:v>16.899999999999999</c:v>
                </c:pt>
                <c:pt idx="169">
                  <c:v>17</c:v>
                </c:pt>
                <c:pt idx="170">
                  <c:v>17.100000000000001</c:v>
                </c:pt>
                <c:pt idx="171">
                  <c:v>17.2</c:v>
                </c:pt>
                <c:pt idx="172">
                  <c:v>17.3</c:v>
                </c:pt>
                <c:pt idx="173">
                  <c:v>17.399999999999999</c:v>
                </c:pt>
                <c:pt idx="174">
                  <c:v>17.5</c:v>
                </c:pt>
                <c:pt idx="175">
                  <c:v>17.600000000000001</c:v>
                </c:pt>
                <c:pt idx="176">
                  <c:v>17.7</c:v>
                </c:pt>
                <c:pt idx="177">
                  <c:v>17.8</c:v>
                </c:pt>
                <c:pt idx="178">
                  <c:v>17.899999999999999</c:v>
                </c:pt>
                <c:pt idx="179">
                  <c:v>18</c:v>
                </c:pt>
                <c:pt idx="180">
                  <c:v>18.100000000000001</c:v>
                </c:pt>
                <c:pt idx="181">
                  <c:v>18.2</c:v>
                </c:pt>
                <c:pt idx="182">
                  <c:v>18.3</c:v>
                </c:pt>
                <c:pt idx="183">
                  <c:v>18.399999999999999</c:v>
                </c:pt>
                <c:pt idx="184">
                  <c:v>18.5</c:v>
                </c:pt>
                <c:pt idx="185">
                  <c:v>18.600000000000001</c:v>
                </c:pt>
                <c:pt idx="186">
                  <c:v>18.7</c:v>
                </c:pt>
                <c:pt idx="187">
                  <c:v>18.8</c:v>
                </c:pt>
                <c:pt idx="188">
                  <c:v>18.899999999999999</c:v>
                </c:pt>
                <c:pt idx="189">
                  <c:v>19</c:v>
                </c:pt>
                <c:pt idx="190">
                  <c:v>19.100000000000001</c:v>
                </c:pt>
                <c:pt idx="191">
                  <c:v>19.2</c:v>
                </c:pt>
                <c:pt idx="192">
                  <c:v>19.3</c:v>
                </c:pt>
                <c:pt idx="193">
                  <c:v>19.399999999999999</c:v>
                </c:pt>
                <c:pt idx="194">
                  <c:v>19.5</c:v>
                </c:pt>
                <c:pt idx="195">
                  <c:v>19.600000000000001</c:v>
                </c:pt>
                <c:pt idx="196">
                  <c:v>19.7</c:v>
                </c:pt>
                <c:pt idx="197">
                  <c:v>19.8</c:v>
                </c:pt>
                <c:pt idx="198">
                  <c:v>19.899999999999999</c:v>
                </c:pt>
                <c:pt idx="199">
                  <c:v>20</c:v>
                </c:pt>
                <c:pt idx="200">
                  <c:v>20.100000000000001</c:v>
                </c:pt>
                <c:pt idx="201">
                  <c:v>20.2</c:v>
                </c:pt>
                <c:pt idx="202">
                  <c:v>20.3</c:v>
                </c:pt>
                <c:pt idx="203">
                  <c:v>20.399999999999999</c:v>
                </c:pt>
                <c:pt idx="204">
                  <c:v>20.5</c:v>
                </c:pt>
                <c:pt idx="205">
                  <c:v>20.6</c:v>
                </c:pt>
                <c:pt idx="206">
                  <c:v>20.7</c:v>
                </c:pt>
                <c:pt idx="207">
                  <c:v>20.8</c:v>
                </c:pt>
                <c:pt idx="208">
                  <c:v>20.9</c:v>
                </c:pt>
                <c:pt idx="209">
                  <c:v>21</c:v>
                </c:pt>
                <c:pt idx="210">
                  <c:v>21.1</c:v>
                </c:pt>
                <c:pt idx="211">
                  <c:v>21.2</c:v>
                </c:pt>
                <c:pt idx="212">
                  <c:v>21.3</c:v>
                </c:pt>
                <c:pt idx="213">
                  <c:v>21.4</c:v>
                </c:pt>
                <c:pt idx="214">
                  <c:v>21.5</c:v>
                </c:pt>
                <c:pt idx="215">
                  <c:v>21.6</c:v>
                </c:pt>
                <c:pt idx="216">
                  <c:v>21.7</c:v>
                </c:pt>
                <c:pt idx="217">
                  <c:v>21.8</c:v>
                </c:pt>
                <c:pt idx="218">
                  <c:v>21.9</c:v>
                </c:pt>
                <c:pt idx="219">
                  <c:v>22</c:v>
                </c:pt>
                <c:pt idx="220">
                  <c:v>22.1</c:v>
                </c:pt>
                <c:pt idx="221">
                  <c:v>22.2</c:v>
                </c:pt>
                <c:pt idx="222">
                  <c:v>22.3</c:v>
                </c:pt>
                <c:pt idx="223">
                  <c:v>22.4</c:v>
                </c:pt>
                <c:pt idx="224">
                  <c:v>22.5</c:v>
                </c:pt>
                <c:pt idx="225">
                  <c:v>22.6</c:v>
                </c:pt>
                <c:pt idx="226">
                  <c:v>22.7</c:v>
                </c:pt>
                <c:pt idx="227">
                  <c:v>22.8</c:v>
                </c:pt>
                <c:pt idx="228">
                  <c:v>22.9</c:v>
                </c:pt>
                <c:pt idx="229">
                  <c:v>23</c:v>
                </c:pt>
                <c:pt idx="230">
                  <c:v>23.1</c:v>
                </c:pt>
                <c:pt idx="231">
                  <c:v>23.2</c:v>
                </c:pt>
                <c:pt idx="232">
                  <c:v>23.3</c:v>
                </c:pt>
                <c:pt idx="233">
                  <c:v>23.4</c:v>
                </c:pt>
                <c:pt idx="234">
                  <c:v>23.5</c:v>
                </c:pt>
                <c:pt idx="235">
                  <c:v>23.6</c:v>
                </c:pt>
                <c:pt idx="236">
                  <c:v>23.7</c:v>
                </c:pt>
                <c:pt idx="237">
                  <c:v>23.8</c:v>
                </c:pt>
                <c:pt idx="238">
                  <c:v>23.9</c:v>
                </c:pt>
                <c:pt idx="239">
                  <c:v>24</c:v>
                </c:pt>
                <c:pt idx="240">
                  <c:v>24.1</c:v>
                </c:pt>
                <c:pt idx="241">
                  <c:v>24.2</c:v>
                </c:pt>
                <c:pt idx="242">
                  <c:v>24.3</c:v>
                </c:pt>
                <c:pt idx="243">
                  <c:v>24.4</c:v>
                </c:pt>
                <c:pt idx="244">
                  <c:v>24.5</c:v>
                </c:pt>
                <c:pt idx="245">
                  <c:v>24.6</c:v>
                </c:pt>
                <c:pt idx="246">
                  <c:v>24.7</c:v>
                </c:pt>
                <c:pt idx="247">
                  <c:v>24.8</c:v>
                </c:pt>
                <c:pt idx="248">
                  <c:v>24.9</c:v>
                </c:pt>
                <c:pt idx="249">
                  <c:v>25</c:v>
                </c:pt>
                <c:pt idx="250">
                  <c:v>25.1</c:v>
                </c:pt>
                <c:pt idx="251">
                  <c:v>25.2</c:v>
                </c:pt>
                <c:pt idx="252">
                  <c:v>25.3</c:v>
                </c:pt>
                <c:pt idx="253">
                  <c:v>25.4</c:v>
                </c:pt>
                <c:pt idx="254">
                  <c:v>25.5</c:v>
                </c:pt>
                <c:pt idx="255">
                  <c:v>25.6</c:v>
                </c:pt>
                <c:pt idx="256">
                  <c:v>25.7</c:v>
                </c:pt>
                <c:pt idx="257">
                  <c:v>25.8</c:v>
                </c:pt>
                <c:pt idx="258">
                  <c:v>25.9</c:v>
                </c:pt>
                <c:pt idx="259">
                  <c:v>26</c:v>
                </c:pt>
                <c:pt idx="260">
                  <c:v>26.1</c:v>
                </c:pt>
                <c:pt idx="261">
                  <c:v>26.2</c:v>
                </c:pt>
                <c:pt idx="262">
                  <c:v>26.3</c:v>
                </c:pt>
                <c:pt idx="263">
                  <c:v>26.4</c:v>
                </c:pt>
                <c:pt idx="264">
                  <c:v>26.5</c:v>
                </c:pt>
                <c:pt idx="265">
                  <c:v>26.6</c:v>
                </c:pt>
                <c:pt idx="266">
                  <c:v>26.7</c:v>
                </c:pt>
                <c:pt idx="267">
                  <c:v>26.8</c:v>
                </c:pt>
                <c:pt idx="268">
                  <c:v>26.9</c:v>
                </c:pt>
                <c:pt idx="269">
                  <c:v>27</c:v>
                </c:pt>
                <c:pt idx="270">
                  <c:v>27.1</c:v>
                </c:pt>
                <c:pt idx="271">
                  <c:v>27.2</c:v>
                </c:pt>
                <c:pt idx="272">
                  <c:v>27.3</c:v>
                </c:pt>
                <c:pt idx="273">
                  <c:v>27.4</c:v>
                </c:pt>
                <c:pt idx="274">
                  <c:v>27.5</c:v>
                </c:pt>
                <c:pt idx="275">
                  <c:v>27.6</c:v>
                </c:pt>
                <c:pt idx="276">
                  <c:v>27.7</c:v>
                </c:pt>
                <c:pt idx="277">
                  <c:v>27.8</c:v>
                </c:pt>
                <c:pt idx="278">
                  <c:v>27.9</c:v>
                </c:pt>
                <c:pt idx="279">
                  <c:v>28</c:v>
                </c:pt>
                <c:pt idx="280">
                  <c:v>28.1</c:v>
                </c:pt>
                <c:pt idx="281">
                  <c:v>28.2</c:v>
                </c:pt>
                <c:pt idx="282">
                  <c:v>28.3</c:v>
                </c:pt>
                <c:pt idx="283">
                  <c:v>28.4</c:v>
                </c:pt>
                <c:pt idx="284">
                  <c:v>28.5</c:v>
                </c:pt>
                <c:pt idx="285">
                  <c:v>28.6</c:v>
                </c:pt>
                <c:pt idx="286">
                  <c:v>28.7</c:v>
                </c:pt>
                <c:pt idx="287">
                  <c:v>28.8</c:v>
                </c:pt>
                <c:pt idx="288">
                  <c:v>28.9</c:v>
                </c:pt>
                <c:pt idx="289">
                  <c:v>29</c:v>
                </c:pt>
                <c:pt idx="290">
                  <c:v>29.1</c:v>
                </c:pt>
                <c:pt idx="291">
                  <c:v>29.2</c:v>
                </c:pt>
                <c:pt idx="292">
                  <c:v>29.3</c:v>
                </c:pt>
                <c:pt idx="293">
                  <c:v>29.4</c:v>
                </c:pt>
                <c:pt idx="294">
                  <c:v>29.5</c:v>
                </c:pt>
                <c:pt idx="295">
                  <c:v>29.6</c:v>
                </c:pt>
                <c:pt idx="296">
                  <c:v>29.7</c:v>
                </c:pt>
                <c:pt idx="297">
                  <c:v>29.8</c:v>
                </c:pt>
                <c:pt idx="298">
                  <c:v>29.9</c:v>
                </c:pt>
                <c:pt idx="299">
                  <c:v>30</c:v>
                </c:pt>
                <c:pt idx="300">
                  <c:v>30.1</c:v>
                </c:pt>
                <c:pt idx="301">
                  <c:v>30.2</c:v>
                </c:pt>
                <c:pt idx="302">
                  <c:v>30.3</c:v>
                </c:pt>
                <c:pt idx="303">
                  <c:v>30.4</c:v>
                </c:pt>
                <c:pt idx="304">
                  <c:v>30.5</c:v>
                </c:pt>
                <c:pt idx="305">
                  <c:v>30.6</c:v>
                </c:pt>
                <c:pt idx="306">
                  <c:v>30.7</c:v>
                </c:pt>
                <c:pt idx="307">
                  <c:v>30.8</c:v>
                </c:pt>
                <c:pt idx="308">
                  <c:v>30.9</c:v>
                </c:pt>
                <c:pt idx="309">
                  <c:v>31</c:v>
                </c:pt>
                <c:pt idx="310">
                  <c:v>31.1</c:v>
                </c:pt>
                <c:pt idx="311">
                  <c:v>31.2</c:v>
                </c:pt>
                <c:pt idx="312">
                  <c:v>31.3</c:v>
                </c:pt>
                <c:pt idx="313">
                  <c:v>31.4</c:v>
                </c:pt>
                <c:pt idx="314">
                  <c:v>31.5</c:v>
                </c:pt>
                <c:pt idx="315">
                  <c:v>31.6</c:v>
                </c:pt>
                <c:pt idx="316">
                  <c:v>31.7</c:v>
                </c:pt>
                <c:pt idx="317">
                  <c:v>31.8</c:v>
                </c:pt>
                <c:pt idx="318">
                  <c:v>31.9</c:v>
                </c:pt>
                <c:pt idx="319">
                  <c:v>32</c:v>
                </c:pt>
                <c:pt idx="320">
                  <c:v>32.1</c:v>
                </c:pt>
                <c:pt idx="321">
                  <c:v>32.200000000000003</c:v>
                </c:pt>
                <c:pt idx="322">
                  <c:v>32.299999999999997</c:v>
                </c:pt>
                <c:pt idx="323">
                  <c:v>32.4</c:v>
                </c:pt>
                <c:pt idx="324">
                  <c:v>32.5</c:v>
                </c:pt>
                <c:pt idx="325">
                  <c:v>32.6</c:v>
                </c:pt>
                <c:pt idx="326">
                  <c:v>32.700000000000003</c:v>
                </c:pt>
                <c:pt idx="327">
                  <c:v>32.799999999999997</c:v>
                </c:pt>
                <c:pt idx="328">
                  <c:v>32.9</c:v>
                </c:pt>
                <c:pt idx="329">
                  <c:v>33</c:v>
                </c:pt>
                <c:pt idx="330">
                  <c:v>33.1</c:v>
                </c:pt>
                <c:pt idx="331">
                  <c:v>33.200000000000003</c:v>
                </c:pt>
                <c:pt idx="332">
                  <c:v>33.299999999999997</c:v>
                </c:pt>
                <c:pt idx="333">
                  <c:v>33.4</c:v>
                </c:pt>
                <c:pt idx="334">
                  <c:v>33.5</c:v>
                </c:pt>
                <c:pt idx="335">
                  <c:v>33.6</c:v>
                </c:pt>
                <c:pt idx="336">
                  <c:v>33.700000000000003</c:v>
                </c:pt>
                <c:pt idx="337">
                  <c:v>33.799999999999997</c:v>
                </c:pt>
                <c:pt idx="338">
                  <c:v>33.9</c:v>
                </c:pt>
                <c:pt idx="339">
                  <c:v>34</c:v>
                </c:pt>
                <c:pt idx="340">
                  <c:v>34.1</c:v>
                </c:pt>
                <c:pt idx="341">
                  <c:v>34.200000000000003</c:v>
                </c:pt>
                <c:pt idx="342">
                  <c:v>34.299999999999997</c:v>
                </c:pt>
                <c:pt idx="343">
                  <c:v>34.4</c:v>
                </c:pt>
                <c:pt idx="344">
                  <c:v>34.5</c:v>
                </c:pt>
                <c:pt idx="345">
                  <c:v>34.6</c:v>
                </c:pt>
                <c:pt idx="346">
                  <c:v>34.700000000000003</c:v>
                </c:pt>
                <c:pt idx="347">
                  <c:v>34.799999999999997</c:v>
                </c:pt>
                <c:pt idx="348">
                  <c:v>34.9</c:v>
                </c:pt>
                <c:pt idx="349">
                  <c:v>35</c:v>
                </c:pt>
                <c:pt idx="350">
                  <c:v>35.1</c:v>
                </c:pt>
                <c:pt idx="351">
                  <c:v>35.200000000000003</c:v>
                </c:pt>
                <c:pt idx="352">
                  <c:v>35.299999999999997</c:v>
                </c:pt>
                <c:pt idx="353">
                  <c:v>35.4</c:v>
                </c:pt>
                <c:pt idx="354">
                  <c:v>35.5</c:v>
                </c:pt>
                <c:pt idx="355">
                  <c:v>35.6</c:v>
                </c:pt>
                <c:pt idx="356">
                  <c:v>35.700000000000003</c:v>
                </c:pt>
                <c:pt idx="357">
                  <c:v>35.799999999999997</c:v>
                </c:pt>
                <c:pt idx="358">
                  <c:v>35.9</c:v>
                </c:pt>
                <c:pt idx="359">
                  <c:v>36</c:v>
                </c:pt>
                <c:pt idx="360">
                  <c:v>36.1</c:v>
                </c:pt>
                <c:pt idx="361">
                  <c:v>36.200000000000003</c:v>
                </c:pt>
                <c:pt idx="362">
                  <c:v>36.299999999999997</c:v>
                </c:pt>
                <c:pt idx="363">
                  <c:v>36.4</c:v>
                </c:pt>
                <c:pt idx="364">
                  <c:v>36.5</c:v>
                </c:pt>
                <c:pt idx="365">
                  <c:v>36.6</c:v>
                </c:pt>
                <c:pt idx="366">
                  <c:v>36.700000000000003</c:v>
                </c:pt>
                <c:pt idx="367">
                  <c:v>36.799999999999997</c:v>
                </c:pt>
                <c:pt idx="368">
                  <c:v>36.9</c:v>
                </c:pt>
                <c:pt idx="369">
                  <c:v>37</c:v>
                </c:pt>
                <c:pt idx="370">
                  <c:v>37.1</c:v>
                </c:pt>
                <c:pt idx="371">
                  <c:v>37.200000000000003</c:v>
                </c:pt>
                <c:pt idx="372">
                  <c:v>37.299999999999997</c:v>
                </c:pt>
                <c:pt idx="373">
                  <c:v>37.4</c:v>
                </c:pt>
                <c:pt idx="374">
                  <c:v>37.5</c:v>
                </c:pt>
                <c:pt idx="375">
                  <c:v>37.6</c:v>
                </c:pt>
                <c:pt idx="376">
                  <c:v>37.700000000000003</c:v>
                </c:pt>
                <c:pt idx="377">
                  <c:v>37.799999999999997</c:v>
                </c:pt>
                <c:pt idx="378">
                  <c:v>37.9</c:v>
                </c:pt>
                <c:pt idx="379">
                  <c:v>38</c:v>
                </c:pt>
                <c:pt idx="380">
                  <c:v>38.1</c:v>
                </c:pt>
                <c:pt idx="381">
                  <c:v>38.200000000000003</c:v>
                </c:pt>
                <c:pt idx="382">
                  <c:v>38.299999999999997</c:v>
                </c:pt>
                <c:pt idx="383">
                  <c:v>38.4</c:v>
                </c:pt>
                <c:pt idx="384">
                  <c:v>38.5</c:v>
                </c:pt>
                <c:pt idx="385">
                  <c:v>38.6</c:v>
                </c:pt>
                <c:pt idx="386">
                  <c:v>38.700000000000003</c:v>
                </c:pt>
                <c:pt idx="387">
                  <c:v>38.799999999999997</c:v>
                </c:pt>
                <c:pt idx="388">
                  <c:v>38.9</c:v>
                </c:pt>
                <c:pt idx="389">
                  <c:v>39</c:v>
                </c:pt>
                <c:pt idx="390">
                  <c:v>39.1</c:v>
                </c:pt>
                <c:pt idx="391">
                  <c:v>39.200000000000003</c:v>
                </c:pt>
                <c:pt idx="392">
                  <c:v>39.299999999999997</c:v>
                </c:pt>
                <c:pt idx="393">
                  <c:v>39.4</c:v>
                </c:pt>
                <c:pt idx="394">
                  <c:v>39.5</c:v>
                </c:pt>
                <c:pt idx="395">
                  <c:v>39.6</c:v>
                </c:pt>
                <c:pt idx="396">
                  <c:v>39.700000000000003</c:v>
                </c:pt>
                <c:pt idx="397">
                  <c:v>39.799999999999997</c:v>
                </c:pt>
                <c:pt idx="398">
                  <c:v>39.9</c:v>
                </c:pt>
                <c:pt idx="399">
                  <c:v>40</c:v>
                </c:pt>
                <c:pt idx="400">
                  <c:v>40.1</c:v>
                </c:pt>
                <c:pt idx="401">
                  <c:v>40.200000000000003</c:v>
                </c:pt>
                <c:pt idx="402">
                  <c:v>40.299999999999997</c:v>
                </c:pt>
                <c:pt idx="403">
                  <c:v>40.4</c:v>
                </c:pt>
                <c:pt idx="404">
                  <c:v>40.5</c:v>
                </c:pt>
                <c:pt idx="405">
                  <c:v>40.6</c:v>
                </c:pt>
                <c:pt idx="406">
                  <c:v>40.700000000000003</c:v>
                </c:pt>
                <c:pt idx="407">
                  <c:v>40.799999999999997</c:v>
                </c:pt>
                <c:pt idx="408">
                  <c:v>40.9</c:v>
                </c:pt>
                <c:pt idx="409">
                  <c:v>41</c:v>
                </c:pt>
                <c:pt idx="410">
                  <c:v>41.1</c:v>
                </c:pt>
                <c:pt idx="411">
                  <c:v>41.2</c:v>
                </c:pt>
                <c:pt idx="412">
                  <c:v>41.3</c:v>
                </c:pt>
                <c:pt idx="413">
                  <c:v>41.4</c:v>
                </c:pt>
                <c:pt idx="414">
                  <c:v>41.5</c:v>
                </c:pt>
                <c:pt idx="415">
                  <c:v>41.6</c:v>
                </c:pt>
                <c:pt idx="416">
                  <c:v>41.7</c:v>
                </c:pt>
                <c:pt idx="417">
                  <c:v>41.8</c:v>
                </c:pt>
                <c:pt idx="418">
                  <c:v>41.9</c:v>
                </c:pt>
                <c:pt idx="419">
                  <c:v>42</c:v>
                </c:pt>
                <c:pt idx="420">
                  <c:v>42.1</c:v>
                </c:pt>
                <c:pt idx="421">
                  <c:v>42.2</c:v>
                </c:pt>
                <c:pt idx="422">
                  <c:v>42.3</c:v>
                </c:pt>
                <c:pt idx="423">
                  <c:v>42.4</c:v>
                </c:pt>
                <c:pt idx="424">
                  <c:v>42.5</c:v>
                </c:pt>
                <c:pt idx="425">
                  <c:v>42.6</c:v>
                </c:pt>
                <c:pt idx="426">
                  <c:v>42.7</c:v>
                </c:pt>
                <c:pt idx="427">
                  <c:v>42.8</c:v>
                </c:pt>
                <c:pt idx="428">
                  <c:v>42.9</c:v>
                </c:pt>
                <c:pt idx="429">
                  <c:v>43</c:v>
                </c:pt>
                <c:pt idx="430">
                  <c:v>43.1</c:v>
                </c:pt>
                <c:pt idx="431">
                  <c:v>43.2</c:v>
                </c:pt>
                <c:pt idx="432">
                  <c:v>43.3</c:v>
                </c:pt>
                <c:pt idx="433">
                  <c:v>43.4</c:v>
                </c:pt>
                <c:pt idx="434">
                  <c:v>43.5</c:v>
                </c:pt>
                <c:pt idx="435">
                  <c:v>43.6</c:v>
                </c:pt>
                <c:pt idx="436">
                  <c:v>43.7</c:v>
                </c:pt>
                <c:pt idx="437">
                  <c:v>43.8</c:v>
                </c:pt>
                <c:pt idx="438">
                  <c:v>43.9</c:v>
                </c:pt>
                <c:pt idx="439">
                  <c:v>44</c:v>
                </c:pt>
                <c:pt idx="440">
                  <c:v>44.1</c:v>
                </c:pt>
                <c:pt idx="441">
                  <c:v>44.2</c:v>
                </c:pt>
                <c:pt idx="442">
                  <c:v>44.3</c:v>
                </c:pt>
                <c:pt idx="443">
                  <c:v>44.4</c:v>
                </c:pt>
                <c:pt idx="444">
                  <c:v>44.5</c:v>
                </c:pt>
                <c:pt idx="445">
                  <c:v>44.6</c:v>
                </c:pt>
                <c:pt idx="446">
                  <c:v>44.7</c:v>
                </c:pt>
                <c:pt idx="447">
                  <c:v>44.8</c:v>
                </c:pt>
                <c:pt idx="448">
                  <c:v>44.9</c:v>
                </c:pt>
                <c:pt idx="449">
                  <c:v>45</c:v>
                </c:pt>
                <c:pt idx="450">
                  <c:v>45.1</c:v>
                </c:pt>
                <c:pt idx="451">
                  <c:v>45.2</c:v>
                </c:pt>
                <c:pt idx="452">
                  <c:v>45.3</c:v>
                </c:pt>
                <c:pt idx="453">
                  <c:v>45.4</c:v>
                </c:pt>
                <c:pt idx="454">
                  <c:v>45.5</c:v>
                </c:pt>
                <c:pt idx="455">
                  <c:v>45.6</c:v>
                </c:pt>
                <c:pt idx="456">
                  <c:v>45.7</c:v>
                </c:pt>
                <c:pt idx="457">
                  <c:v>45.8</c:v>
                </c:pt>
                <c:pt idx="458">
                  <c:v>45.9</c:v>
                </c:pt>
                <c:pt idx="459">
                  <c:v>46</c:v>
                </c:pt>
                <c:pt idx="460">
                  <c:v>46.1</c:v>
                </c:pt>
                <c:pt idx="461">
                  <c:v>46.2</c:v>
                </c:pt>
                <c:pt idx="462">
                  <c:v>46.3</c:v>
                </c:pt>
                <c:pt idx="463">
                  <c:v>46.4</c:v>
                </c:pt>
                <c:pt idx="464">
                  <c:v>46.5</c:v>
                </c:pt>
                <c:pt idx="465">
                  <c:v>46.6</c:v>
                </c:pt>
                <c:pt idx="466">
                  <c:v>46.7</c:v>
                </c:pt>
                <c:pt idx="467">
                  <c:v>46.8</c:v>
                </c:pt>
                <c:pt idx="468">
                  <c:v>46.9</c:v>
                </c:pt>
                <c:pt idx="469">
                  <c:v>47</c:v>
                </c:pt>
                <c:pt idx="470">
                  <c:v>47.1</c:v>
                </c:pt>
                <c:pt idx="471">
                  <c:v>47.2</c:v>
                </c:pt>
                <c:pt idx="472">
                  <c:v>47.3</c:v>
                </c:pt>
                <c:pt idx="473">
                  <c:v>47.4</c:v>
                </c:pt>
                <c:pt idx="474">
                  <c:v>47.5</c:v>
                </c:pt>
                <c:pt idx="475">
                  <c:v>47.6</c:v>
                </c:pt>
                <c:pt idx="476">
                  <c:v>47.7</c:v>
                </c:pt>
                <c:pt idx="477">
                  <c:v>47.8</c:v>
                </c:pt>
                <c:pt idx="478">
                  <c:v>47.9</c:v>
                </c:pt>
                <c:pt idx="479">
                  <c:v>48</c:v>
                </c:pt>
                <c:pt idx="480">
                  <c:v>48.1</c:v>
                </c:pt>
                <c:pt idx="481">
                  <c:v>48.2</c:v>
                </c:pt>
                <c:pt idx="482">
                  <c:v>48.3</c:v>
                </c:pt>
                <c:pt idx="483">
                  <c:v>48.4</c:v>
                </c:pt>
                <c:pt idx="484">
                  <c:v>48.5</c:v>
                </c:pt>
                <c:pt idx="485">
                  <c:v>48.6</c:v>
                </c:pt>
                <c:pt idx="486">
                  <c:v>48.7</c:v>
                </c:pt>
                <c:pt idx="487">
                  <c:v>48.8</c:v>
                </c:pt>
                <c:pt idx="488">
                  <c:v>48.9</c:v>
                </c:pt>
                <c:pt idx="489">
                  <c:v>49</c:v>
                </c:pt>
                <c:pt idx="490">
                  <c:v>49.1</c:v>
                </c:pt>
                <c:pt idx="491">
                  <c:v>49.2</c:v>
                </c:pt>
                <c:pt idx="492">
                  <c:v>49.3</c:v>
                </c:pt>
                <c:pt idx="493">
                  <c:v>49.4</c:v>
                </c:pt>
                <c:pt idx="494">
                  <c:v>49.5</c:v>
                </c:pt>
                <c:pt idx="495">
                  <c:v>49.6</c:v>
                </c:pt>
                <c:pt idx="496">
                  <c:v>49.7</c:v>
                </c:pt>
                <c:pt idx="497">
                  <c:v>49.8</c:v>
                </c:pt>
                <c:pt idx="498">
                  <c:v>49.9</c:v>
                </c:pt>
                <c:pt idx="499">
                  <c:v>50</c:v>
                </c:pt>
                <c:pt idx="500">
                  <c:v>50.1</c:v>
                </c:pt>
                <c:pt idx="501">
                  <c:v>50.2</c:v>
                </c:pt>
                <c:pt idx="502">
                  <c:v>50.3</c:v>
                </c:pt>
                <c:pt idx="503">
                  <c:v>50.4</c:v>
                </c:pt>
                <c:pt idx="504">
                  <c:v>50.5</c:v>
                </c:pt>
                <c:pt idx="505">
                  <c:v>50.6</c:v>
                </c:pt>
                <c:pt idx="506">
                  <c:v>50.7</c:v>
                </c:pt>
                <c:pt idx="507">
                  <c:v>50.8</c:v>
                </c:pt>
                <c:pt idx="508">
                  <c:v>50.9</c:v>
                </c:pt>
                <c:pt idx="509">
                  <c:v>51</c:v>
                </c:pt>
                <c:pt idx="510">
                  <c:v>51.1</c:v>
                </c:pt>
                <c:pt idx="511">
                  <c:v>51.2</c:v>
                </c:pt>
                <c:pt idx="512">
                  <c:v>51.3</c:v>
                </c:pt>
                <c:pt idx="513">
                  <c:v>51.4</c:v>
                </c:pt>
                <c:pt idx="514">
                  <c:v>51.5</c:v>
                </c:pt>
                <c:pt idx="515">
                  <c:v>51.6</c:v>
                </c:pt>
                <c:pt idx="516">
                  <c:v>51.7</c:v>
                </c:pt>
                <c:pt idx="517">
                  <c:v>51.8</c:v>
                </c:pt>
                <c:pt idx="518">
                  <c:v>51.9</c:v>
                </c:pt>
                <c:pt idx="519">
                  <c:v>52</c:v>
                </c:pt>
                <c:pt idx="520">
                  <c:v>52.1</c:v>
                </c:pt>
                <c:pt idx="521">
                  <c:v>52.2</c:v>
                </c:pt>
                <c:pt idx="522">
                  <c:v>52.3</c:v>
                </c:pt>
                <c:pt idx="523">
                  <c:v>52.4</c:v>
                </c:pt>
                <c:pt idx="524">
                  <c:v>52.5</c:v>
                </c:pt>
                <c:pt idx="525">
                  <c:v>52.6</c:v>
                </c:pt>
                <c:pt idx="526">
                  <c:v>52.7</c:v>
                </c:pt>
                <c:pt idx="527">
                  <c:v>52.8</c:v>
                </c:pt>
                <c:pt idx="528">
                  <c:v>52.9</c:v>
                </c:pt>
                <c:pt idx="529">
                  <c:v>53</c:v>
                </c:pt>
                <c:pt idx="530">
                  <c:v>53.1</c:v>
                </c:pt>
                <c:pt idx="531">
                  <c:v>53.2</c:v>
                </c:pt>
                <c:pt idx="532">
                  <c:v>53.3</c:v>
                </c:pt>
                <c:pt idx="533">
                  <c:v>53.4</c:v>
                </c:pt>
                <c:pt idx="534">
                  <c:v>53.5</c:v>
                </c:pt>
                <c:pt idx="535">
                  <c:v>53.6</c:v>
                </c:pt>
                <c:pt idx="536">
                  <c:v>53.7</c:v>
                </c:pt>
                <c:pt idx="537">
                  <c:v>53.8</c:v>
                </c:pt>
                <c:pt idx="538">
                  <c:v>53.9</c:v>
                </c:pt>
                <c:pt idx="539">
                  <c:v>54</c:v>
                </c:pt>
                <c:pt idx="540">
                  <c:v>54.1</c:v>
                </c:pt>
                <c:pt idx="541">
                  <c:v>54.2</c:v>
                </c:pt>
                <c:pt idx="542">
                  <c:v>54.3</c:v>
                </c:pt>
                <c:pt idx="543">
                  <c:v>54.4</c:v>
                </c:pt>
                <c:pt idx="544">
                  <c:v>54.5</c:v>
                </c:pt>
                <c:pt idx="545">
                  <c:v>54.6</c:v>
                </c:pt>
                <c:pt idx="546">
                  <c:v>54.7</c:v>
                </c:pt>
                <c:pt idx="547">
                  <c:v>54.8</c:v>
                </c:pt>
                <c:pt idx="548">
                  <c:v>54.9</c:v>
                </c:pt>
                <c:pt idx="549">
                  <c:v>55</c:v>
                </c:pt>
                <c:pt idx="550">
                  <c:v>55.1</c:v>
                </c:pt>
                <c:pt idx="551">
                  <c:v>55.2</c:v>
                </c:pt>
                <c:pt idx="552">
                  <c:v>55.3</c:v>
                </c:pt>
                <c:pt idx="553">
                  <c:v>55.4</c:v>
                </c:pt>
                <c:pt idx="554">
                  <c:v>55.5</c:v>
                </c:pt>
                <c:pt idx="555">
                  <c:v>55.6</c:v>
                </c:pt>
                <c:pt idx="556">
                  <c:v>55.7</c:v>
                </c:pt>
                <c:pt idx="557">
                  <c:v>55.8</c:v>
                </c:pt>
                <c:pt idx="558">
                  <c:v>55.9</c:v>
                </c:pt>
                <c:pt idx="559">
                  <c:v>56</c:v>
                </c:pt>
                <c:pt idx="560">
                  <c:v>56.1</c:v>
                </c:pt>
                <c:pt idx="561">
                  <c:v>56.2</c:v>
                </c:pt>
                <c:pt idx="562">
                  <c:v>56.3</c:v>
                </c:pt>
                <c:pt idx="563">
                  <c:v>56.4</c:v>
                </c:pt>
                <c:pt idx="564">
                  <c:v>56.5</c:v>
                </c:pt>
                <c:pt idx="565">
                  <c:v>56.6</c:v>
                </c:pt>
                <c:pt idx="566">
                  <c:v>56.7</c:v>
                </c:pt>
                <c:pt idx="567">
                  <c:v>56.8</c:v>
                </c:pt>
                <c:pt idx="568">
                  <c:v>56.9</c:v>
                </c:pt>
                <c:pt idx="569">
                  <c:v>57</c:v>
                </c:pt>
                <c:pt idx="570">
                  <c:v>57.1</c:v>
                </c:pt>
                <c:pt idx="571">
                  <c:v>57.2</c:v>
                </c:pt>
                <c:pt idx="572">
                  <c:v>57.3</c:v>
                </c:pt>
                <c:pt idx="573">
                  <c:v>57.4</c:v>
                </c:pt>
                <c:pt idx="574">
                  <c:v>57.5</c:v>
                </c:pt>
                <c:pt idx="575">
                  <c:v>57.6</c:v>
                </c:pt>
                <c:pt idx="576">
                  <c:v>57.7</c:v>
                </c:pt>
                <c:pt idx="577">
                  <c:v>57.8</c:v>
                </c:pt>
                <c:pt idx="578">
                  <c:v>57.9</c:v>
                </c:pt>
                <c:pt idx="579">
                  <c:v>58</c:v>
                </c:pt>
                <c:pt idx="580">
                  <c:v>58.1</c:v>
                </c:pt>
                <c:pt idx="581">
                  <c:v>58.2</c:v>
                </c:pt>
                <c:pt idx="582">
                  <c:v>58.3</c:v>
                </c:pt>
                <c:pt idx="583">
                  <c:v>58.4</c:v>
                </c:pt>
                <c:pt idx="584">
                  <c:v>58.5</c:v>
                </c:pt>
                <c:pt idx="585">
                  <c:v>58.6</c:v>
                </c:pt>
                <c:pt idx="586">
                  <c:v>58.7</c:v>
                </c:pt>
                <c:pt idx="587">
                  <c:v>58.8</c:v>
                </c:pt>
                <c:pt idx="588">
                  <c:v>58.9</c:v>
                </c:pt>
                <c:pt idx="589">
                  <c:v>59</c:v>
                </c:pt>
                <c:pt idx="590">
                  <c:v>59.1</c:v>
                </c:pt>
                <c:pt idx="591">
                  <c:v>59.2</c:v>
                </c:pt>
                <c:pt idx="592">
                  <c:v>59.3</c:v>
                </c:pt>
                <c:pt idx="593">
                  <c:v>59.4</c:v>
                </c:pt>
                <c:pt idx="594">
                  <c:v>59.5</c:v>
                </c:pt>
                <c:pt idx="595">
                  <c:v>59.6</c:v>
                </c:pt>
                <c:pt idx="596">
                  <c:v>59.7</c:v>
                </c:pt>
                <c:pt idx="597">
                  <c:v>59.8</c:v>
                </c:pt>
                <c:pt idx="598">
                  <c:v>59.9</c:v>
                </c:pt>
                <c:pt idx="599">
                  <c:v>60</c:v>
                </c:pt>
                <c:pt idx="600">
                  <c:v>60.1</c:v>
                </c:pt>
                <c:pt idx="601">
                  <c:v>60.2</c:v>
                </c:pt>
                <c:pt idx="602">
                  <c:v>60.3</c:v>
                </c:pt>
                <c:pt idx="603">
                  <c:v>60.4</c:v>
                </c:pt>
                <c:pt idx="604">
                  <c:v>60.5</c:v>
                </c:pt>
                <c:pt idx="605">
                  <c:v>60.6</c:v>
                </c:pt>
                <c:pt idx="606">
                  <c:v>60.7</c:v>
                </c:pt>
                <c:pt idx="607">
                  <c:v>60.8</c:v>
                </c:pt>
                <c:pt idx="608">
                  <c:v>60.9</c:v>
                </c:pt>
                <c:pt idx="609">
                  <c:v>61</c:v>
                </c:pt>
                <c:pt idx="610">
                  <c:v>61.1</c:v>
                </c:pt>
                <c:pt idx="611">
                  <c:v>61.2</c:v>
                </c:pt>
                <c:pt idx="612">
                  <c:v>61.3</c:v>
                </c:pt>
                <c:pt idx="613">
                  <c:v>61.4</c:v>
                </c:pt>
                <c:pt idx="614">
                  <c:v>61.5</c:v>
                </c:pt>
                <c:pt idx="615">
                  <c:v>61.6</c:v>
                </c:pt>
                <c:pt idx="616">
                  <c:v>61.7</c:v>
                </c:pt>
                <c:pt idx="617">
                  <c:v>61.8</c:v>
                </c:pt>
                <c:pt idx="618">
                  <c:v>61.9</c:v>
                </c:pt>
                <c:pt idx="619">
                  <c:v>62</c:v>
                </c:pt>
                <c:pt idx="620">
                  <c:v>62.1</c:v>
                </c:pt>
                <c:pt idx="621">
                  <c:v>62.2</c:v>
                </c:pt>
                <c:pt idx="622">
                  <c:v>62.3</c:v>
                </c:pt>
                <c:pt idx="623">
                  <c:v>62.4</c:v>
                </c:pt>
                <c:pt idx="624">
                  <c:v>62.5</c:v>
                </c:pt>
                <c:pt idx="625">
                  <c:v>62.6</c:v>
                </c:pt>
                <c:pt idx="626">
                  <c:v>62.7</c:v>
                </c:pt>
                <c:pt idx="627">
                  <c:v>62.8</c:v>
                </c:pt>
                <c:pt idx="628">
                  <c:v>62.9</c:v>
                </c:pt>
                <c:pt idx="629">
                  <c:v>63</c:v>
                </c:pt>
                <c:pt idx="630">
                  <c:v>63.1</c:v>
                </c:pt>
                <c:pt idx="631">
                  <c:v>63.2</c:v>
                </c:pt>
                <c:pt idx="632">
                  <c:v>63.3</c:v>
                </c:pt>
                <c:pt idx="633">
                  <c:v>63.4</c:v>
                </c:pt>
                <c:pt idx="634">
                  <c:v>63.5</c:v>
                </c:pt>
                <c:pt idx="635">
                  <c:v>63.6</c:v>
                </c:pt>
                <c:pt idx="636">
                  <c:v>63.7</c:v>
                </c:pt>
                <c:pt idx="637">
                  <c:v>63.8</c:v>
                </c:pt>
                <c:pt idx="638">
                  <c:v>63.9</c:v>
                </c:pt>
                <c:pt idx="639">
                  <c:v>64</c:v>
                </c:pt>
                <c:pt idx="640">
                  <c:v>64.099999999999994</c:v>
                </c:pt>
                <c:pt idx="641">
                  <c:v>64.2</c:v>
                </c:pt>
                <c:pt idx="642">
                  <c:v>64.3</c:v>
                </c:pt>
                <c:pt idx="643">
                  <c:v>64.400000000000006</c:v>
                </c:pt>
                <c:pt idx="644">
                  <c:v>64.5</c:v>
                </c:pt>
                <c:pt idx="645">
                  <c:v>64.599999999999994</c:v>
                </c:pt>
                <c:pt idx="646">
                  <c:v>64.7</c:v>
                </c:pt>
                <c:pt idx="647">
                  <c:v>64.8</c:v>
                </c:pt>
                <c:pt idx="648">
                  <c:v>64.900000000000006</c:v>
                </c:pt>
                <c:pt idx="649">
                  <c:v>65</c:v>
                </c:pt>
                <c:pt idx="650">
                  <c:v>65.099999999999994</c:v>
                </c:pt>
                <c:pt idx="651">
                  <c:v>65.2</c:v>
                </c:pt>
                <c:pt idx="652">
                  <c:v>65.3</c:v>
                </c:pt>
                <c:pt idx="653">
                  <c:v>65.400000000000006</c:v>
                </c:pt>
                <c:pt idx="654">
                  <c:v>65.5</c:v>
                </c:pt>
                <c:pt idx="655">
                  <c:v>65.599999999999994</c:v>
                </c:pt>
                <c:pt idx="656">
                  <c:v>65.7</c:v>
                </c:pt>
                <c:pt idx="657">
                  <c:v>65.8</c:v>
                </c:pt>
                <c:pt idx="658">
                  <c:v>65.900000000000006</c:v>
                </c:pt>
                <c:pt idx="659">
                  <c:v>66</c:v>
                </c:pt>
                <c:pt idx="660">
                  <c:v>66.099999999999994</c:v>
                </c:pt>
                <c:pt idx="661">
                  <c:v>66.2</c:v>
                </c:pt>
                <c:pt idx="662">
                  <c:v>66.3</c:v>
                </c:pt>
                <c:pt idx="663">
                  <c:v>66.400000000000006</c:v>
                </c:pt>
                <c:pt idx="664">
                  <c:v>66.5</c:v>
                </c:pt>
                <c:pt idx="665">
                  <c:v>66.599999999999994</c:v>
                </c:pt>
                <c:pt idx="666">
                  <c:v>66.7</c:v>
                </c:pt>
                <c:pt idx="667">
                  <c:v>66.8</c:v>
                </c:pt>
                <c:pt idx="668">
                  <c:v>66.900000000000006</c:v>
                </c:pt>
                <c:pt idx="669">
                  <c:v>67</c:v>
                </c:pt>
                <c:pt idx="670">
                  <c:v>67.099999999999994</c:v>
                </c:pt>
                <c:pt idx="671">
                  <c:v>67.2</c:v>
                </c:pt>
                <c:pt idx="672">
                  <c:v>67.3</c:v>
                </c:pt>
                <c:pt idx="673">
                  <c:v>67.400000000000006</c:v>
                </c:pt>
                <c:pt idx="674">
                  <c:v>67.5</c:v>
                </c:pt>
                <c:pt idx="675">
                  <c:v>67.599999999999994</c:v>
                </c:pt>
                <c:pt idx="676">
                  <c:v>67.7</c:v>
                </c:pt>
                <c:pt idx="677">
                  <c:v>67.8</c:v>
                </c:pt>
                <c:pt idx="678">
                  <c:v>67.900000000000006</c:v>
                </c:pt>
                <c:pt idx="679">
                  <c:v>68</c:v>
                </c:pt>
                <c:pt idx="680">
                  <c:v>68.099999999999994</c:v>
                </c:pt>
                <c:pt idx="681">
                  <c:v>68.2</c:v>
                </c:pt>
                <c:pt idx="682">
                  <c:v>68.3</c:v>
                </c:pt>
                <c:pt idx="683">
                  <c:v>68.400000000000006</c:v>
                </c:pt>
                <c:pt idx="684">
                  <c:v>68.5</c:v>
                </c:pt>
                <c:pt idx="685">
                  <c:v>68.599999999999994</c:v>
                </c:pt>
                <c:pt idx="686">
                  <c:v>68.7</c:v>
                </c:pt>
                <c:pt idx="687">
                  <c:v>68.8</c:v>
                </c:pt>
                <c:pt idx="688">
                  <c:v>68.900000000000006</c:v>
                </c:pt>
                <c:pt idx="689">
                  <c:v>69</c:v>
                </c:pt>
                <c:pt idx="690">
                  <c:v>69.099999999999994</c:v>
                </c:pt>
                <c:pt idx="691">
                  <c:v>69.2</c:v>
                </c:pt>
                <c:pt idx="692">
                  <c:v>69.3</c:v>
                </c:pt>
                <c:pt idx="693">
                  <c:v>69.400000000000006</c:v>
                </c:pt>
                <c:pt idx="694">
                  <c:v>69.5</c:v>
                </c:pt>
                <c:pt idx="695">
                  <c:v>69.599999999999994</c:v>
                </c:pt>
                <c:pt idx="696">
                  <c:v>69.7</c:v>
                </c:pt>
                <c:pt idx="697">
                  <c:v>69.8</c:v>
                </c:pt>
                <c:pt idx="698">
                  <c:v>69.900000000000006</c:v>
                </c:pt>
                <c:pt idx="699">
                  <c:v>70</c:v>
                </c:pt>
                <c:pt idx="700">
                  <c:v>70.099999999999994</c:v>
                </c:pt>
                <c:pt idx="701">
                  <c:v>70.2</c:v>
                </c:pt>
                <c:pt idx="702">
                  <c:v>70.3</c:v>
                </c:pt>
                <c:pt idx="703">
                  <c:v>70.400000000000006</c:v>
                </c:pt>
                <c:pt idx="704">
                  <c:v>70.5</c:v>
                </c:pt>
                <c:pt idx="705">
                  <c:v>70.599999999999994</c:v>
                </c:pt>
                <c:pt idx="706">
                  <c:v>70.7</c:v>
                </c:pt>
                <c:pt idx="707">
                  <c:v>70.8</c:v>
                </c:pt>
                <c:pt idx="708">
                  <c:v>70.900000000000006</c:v>
                </c:pt>
                <c:pt idx="709">
                  <c:v>71</c:v>
                </c:pt>
                <c:pt idx="710">
                  <c:v>71.099999999999994</c:v>
                </c:pt>
                <c:pt idx="711">
                  <c:v>71.2</c:v>
                </c:pt>
                <c:pt idx="712">
                  <c:v>71.3</c:v>
                </c:pt>
                <c:pt idx="713">
                  <c:v>71.400000000000006</c:v>
                </c:pt>
                <c:pt idx="714">
                  <c:v>71.5</c:v>
                </c:pt>
                <c:pt idx="715">
                  <c:v>71.599999999999994</c:v>
                </c:pt>
                <c:pt idx="716">
                  <c:v>71.7</c:v>
                </c:pt>
                <c:pt idx="717">
                  <c:v>71.8</c:v>
                </c:pt>
                <c:pt idx="718">
                  <c:v>71.900000000000006</c:v>
                </c:pt>
                <c:pt idx="719">
                  <c:v>72</c:v>
                </c:pt>
                <c:pt idx="720">
                  <c:v>72.099999999999994</c:v>
                </c:pt>
                <c:pt idx="721">
                  <c:v>72.2</c:v>
                </c:pt>
                <c:pt idx="722">
                  <c:v>72.3</c:v>
                </c:pt>
                <c:pt idx="723">
                  <c:v>72.400000000000006</c:v>
                </c:pt>
                <c:pt idx="724">
                  <c:v>72.5</c:v>
                </c:pt>
                <c:pt idx="725">
                  <c:v>72.599999999999994</c:v>
                </c:pt>
                <c:pt idx="726">
                  <c:v>72.7</c:v>
                </c:pt>
                <c:pt idx="727">
                  <c:v>72.8</c:v>
                </c:pt>
                <c:pt idx="728">
                  <c:v>72.900000000000006</c:v>
                </c:pt>
                <c:pt idx="729">
                  <c:v>73</c:v>
                </c:pt>
                <c:pt idx="730">
                  <c:v>73.099999999999994</c:v>
                </c:pt>
                <c:pt idx="731">
                  <c:v>73.2</c:v>
                </c:pt>
                <c:pt idx="732">
                  <c:v>73.3</c:v>
                </c:pt>
                <c:pt idx="733">
                  <c:v>73.400000000000006</c:v>
                </c:pt>
                <c:pt idx="734">
                  <c:v>73.5</c:v>
                </c:pt>
                <c:pt idx="735">
                  <c:v>73.599999999999994</c:v>
                </c:pt>
                <c:pt idx="736">
                  <c:v>73.7</c:v>
                </c:pt>
                <c:pt idx="737">
                  <c:v>73.8</c:v>
                </c:pt>
                <c:pt idx="738">
                  <c:v>73.900000000000006</c:v>
                </c:pt>
                <c:pt idx="739">
                  <c:v>74</c:v>
                </c:pt>
                <c:pt idx="740">
                  <c:v>74.099999999999994</c:v>
                </c:pt>
                <c:pt idx="741">
                  <c:v>74.2</c:v>
                </c:pt>
                <c:pt idx="742">
                  <c:v>74.3</c:v>
                </c:pt>
                <c:pt idx="743">
                  <c:v>74.400000000000006</c:v>
                </c:pt>
                <c:pt idx="744">
                  <c:v>74.5</c:v>
                </c:pt>
                <c:pt idx="745">
                  <c:v>74.599999999999994</c:v>
                </c:pt>
                <c:pt idx="746">
                  <c:v>74.7</c:v>
                </c:pt>
                <c:pt idx="747">
                  <c:v>74.8</c:v>
                </c:pt>
                <c:pt idx="748">
                  <c:v>74.900000000000006</c:v>
                </c:pt>
                <c:pt idx="749">
                  <c:v>75</c:v>
                </c:pt>
              </c:numCache>
            </c:numRef>
          </c:xVal>
          <c:yVal>
            <c:numRef>
              <c:f>'sheet 1'!$R$39:$R$841</c:f>
              <c:numCache>
                <c:formatCode>General</c:formatCode>
                <c:ptCount val="8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621-4875-B88C-B488B95351CA}"/>
            </c:ext>
          </c:extLst>
        </c:ser>
        <c:ser>
          <c:idx val="5"/>
          <c:order val="5"/>
          <c:tx>
            <c:strRef>
              <c:f>'sheet 1'!$S$38</c:f>
              <c:strCache>
                <c:ptCount val="1"/>
                <c:pt idx="0">
                  <c:v>I4</c:v>
                </c:pt>
              </c:strCache>
            </c:strRef>
          </c:tx>
          <c:spPr>
            <a:ln w="28575">
              <a:noFill/>
            </a:ln>
          </c:spPr>
          <c:xVal>
            <c:numRef>
              <c:f>'sheet 1'!$B$39:$B$841</c:f>
              <c:numCache>
                <c:formatCode>General</c:formatCode>
                <c:ptCount val="803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  <c:pt idx="79">
                  <c:v>8</c:v>
                </c:pt>
                <c:pt idx="80">
                  <c:v>8.1</c:v>
                </c:pt>
                <c:pt idx="81">
                  <c:v>8.1999999999999993</c:v>
                </c:pt>
                <c:pt idx="82">
                  <c:v>8.3000000000000007</c:v>
                </c:pt>
                <c:pt idx="83">
                  <c:v>8.4</c:v>
                </c:pt>
                <c:pt idx="84">
                  <c:v>8.5</c:v>
                </c:pt>
                <c:pt idx="85">
                  <c:v>8.6</c:v>
                </c:pt>
                <c:pt idx="86">
                  <c:v>8.6999999999999993</c:v>
                </c:pt>
                <c:pt idx="87">
                  <c:v>8.8000000000000007</c:v>
                </c:pt>
                <c:pt idx="88">
                  <c:v>8.9</c:v>
                </c:pt>
                <c:pt idx="89">
                  <c:v>9</c:v>
                </c:pt>
                <c:pt idx="90">
                  <c:v>9.1</c:v>
                </c:pt>
                <c:pt idx="91">
                  <c:v>9.1999999999999993</c:v>
                </c:pt>
                <c:pt idx="92">
                  <c:v>9.3000000000000007</c:v>
                </c:pt>
                <c:pt idx="93">
                  <c:v>9.4</c:v>
                </c:pt>
                <c:pt idx="94">
                  <c:v>9.5</c:v>
                </c:pt>
                <c:pt idx="95">
                  <c:v>9.6</c:v>
                </c:pt>
                <c:pt idx="96">
                  <c:v>9.6999999999999993</c:v>
                </c:pt>
                <c:pt idx="97">
                  <c:v>9.8000000000000007</c:v>
                </c:pt>
                <c:pt idx="98">
                  <c:v>9.9</c:v>
                </c:pt>
                <c:pt idx="99">
                  <c:v>10</c:v>
                </c:pt>
                <c:pt idx="100">
                  <c:v>10.1</c:v>
                </c:pt>
                <c:pt idx="101">
                  <c:v>10.199999999999999</c:v>
                </c:pt>
                <c:pt idx="102">
                  <c:v>10.3</c:v>
                </c:pt>
                <c:pt idx="103">
                  <c:v>10.4</c:v>
                </c:pt>
                <c:pt idx="104">
                  <c:v>10.5</c:v>
                </c:pt>
                <c:pt idx="105">
                  <c:v>10.6</c:v>
                </c:pt>
                <c:pt idx="106">
                  <c:v>10.7</c:v>
                </c:pt>
                <c:pt idx="107">
                  <c:v>10.8</c:v>
                </c:pt>
                <c:pt idx="108">
                  <c:v>10.9</c:v>
                </c:pt>
                <c:pt idx="109">
                  <c:v>11</c:v>
                </c:pt>
                <c:pt idx="110">
                  <c:v>11.1</c:v>
                </c:pt>
                <c:pt idx="111">
                  <c:v>11.2</c:v>
                </c:pt>
                <c:pt idx="112">
                  <c:v>11.3</c:v>
                </c:pt>
                <c:pt idx="113">
                  <c:v>11.4</c:v>
                </c:pt>
                <c:pt idx="114">
                  <c:v>11.5</c:v>
                </c:pt>
                <c:pt idx="115">
                  <c:v>11.6</c:v>
                </c:pt>
                <c:pt idx="116">
                  <c:v>11.7</c:v>
                </c:pt>
                <c:pt idx="117">
                  <c:v>11.8</c:v>
                </c:pt>
                <c:pt idx="118">
                  <c:v>11.9</c:v>
                </c:pt>
                <c:pt idx="119">
                  <c:v>12</c:v>
                </c:pt>
                <c:pt idx="120">
                  <c:v>12.1</c:v>
                </c:pt>
                <c:pt idx="121">
                  <c:v>12.2</c:v>
                </c:pt>
                <c:pt idx="122">
                  <c:v>12.3</c:v>
                </c:pt>
                <c:pt idx="123">
                  <c:v>12.4</c:v>
                </c:pt>
                <c:pt idx="124">
                  <c:v>12.5</c:v>
                </c:pt>
                <c:pt idx="125">
                  <c:v>12.6</c:v>
                </c:pt>
                <c:pt idx="126">
                  <c:v>12.7</c:v>
                </c:pt>
                <c:pt idx="127">
                  <c:v>12.8</c:v>
                </c:pt>
                <c:pt idx="128">
                  <c:v>12.9</c:v>
                </c:pt>
                <c:pt idx="129">
                  <c:v>13</c:v>
                </c:pt>
                <c:pt idx="130">
                  <c:v>13.1</c:v>
                </c:pt>
                <c:pt idx="131">
                  <c:v>13.2</c:v>
                </c:pt>
                <c:pt idx="132">
                  <c:v>13.3</c:v>
                </c:pt>
                <c:pt idx="133">
                  <c:v>13.4</c:v>
                </c:pt>
                <c:pt idx="134">
                  <c:v>13.5</c:v>
                </c:pt>
                <c:pt idx="135">
                  <c:v>13.6</c:v>
                </c:pt>
                <c:pt idx="136">
                  <c:v>13.7</c:v>
                </c:pt>
                <c:pt idx="137">
                  <c:v>13.8</c:v>
                </c:pt>
                <c:pt idx="138">
                  <c:v>13.9</c:v>
                </c:pt>
                <c:pt idx="139">
                  <c:v>14</c:v>
                </c:pt>
                <c:pt idx="140">
                  <c:v>14.1</c:v>
                </c:pt>
                <c:pt idx="141">
                  <c:v>14.2</c:v>
                </c:pt>
                <c:pt idx="142">
                  <c:v>14.3</c:v>
                </c:pt>
                <c:pt idx="143">
                  <c:v>14.4</c:v>
                </c:pt>
                <c:pt idx="144">
                  <c:v>14.5</c:v>
                </c:pt>
                <c:pt idx="145">
                  <c:v>14.6</c:v>
                </c:pt>
                <c:pt idx="146">
                  <c:v>14.7</c:v>
                </c:pt>
                <c:pt idx="147">
                  <c:v>14.8</c:v>
                </c:pt>
                <c:pt idx="148">
                  <c:v>14.9</c:v>
                </c:pt>
                <c:pt idx="149">
                  <c:v>15</c:v>
                </c:pt>
                <c:pt idx="150">
                  <c:v>15.1</c:v>
                </c:pt>
                <c:pt idx="151">
                  <c:v>15.2</c:v>
                </c:pt>
                <c:pt idx="152">
                  <c:v>15.3</c:v>
                </c:pt>
                <c:pt idx="153">
                  <c:v>15.4</c:v>
                </c:pt>
                <c:pt idx="154">
                  <c:v>15.5</c:v>
                </c:pt>
                <c:pt idx="155">
                  <c:v>15.6</c:v>
                </c:pt>
                <c:pt idx="156">
                  <c:v>15.7</c:v>
                </c:pt>
                <c:pt idx="157">
                  <c:v>15.8</c:v>
                </c:pt>
                <c:pt idx="158">
                  <c:v>15.9</c:v>
                </c:pt>
                <c:pt idx="159">
                  <c:v>16</c:v>
                </c:pt>
                <c:pt idx="160">
                  <c:v>16.100000000000001</c:v>
                </c:pt>
                <c:pt idx="161">
                  <c:v>16.2</c:v>
                </c:pt>
                <c:pt idx="162">
                  <c:v>16.3</c:v>
                </c:pt>
                <c:pt idx="163">
                  <c:v>16.399999999999999</c:v>
                </c:pt>
                <c:pt idx="164">
                  <c:v>16.5</c:v>
                </c:pt>
                <c:pt idx="165">
                  <c:v>16.600000000000001</c:v>
                </c:pt>
                <c:pt idx="166">
                  <c:v>16.7</c:v>
                </c:pt>
                <c:pt idx="167">
                  <c:v>16.8</c:v>
                </c:pt>
                <c:pt idx="168">
                  <c:v>16.899999999999999</c:v>
                </c:pt>
                <c:pt idx="169">
                  <c:v>17</c:v>
                </c:pt>
                <c:pt idx="170">
                  <c:v>17.100000000000001</c:v>
                </c:pt>
                <c:pt idx="171">
                  <c:v>17.2</c:v>
                </c:pt>
                <c:pt idx="172">
                  <c:v>17.3</c:v>
                </c:pt>
                <c:pt idx="173">
                  <c:v>17.399999999999999</c:v>
                </c:pt>
                <c:pt idx="174">
                  <c:v>17.5</c:v>
                </c:pt>
                <c:pt idx="175">
                  <c:v>17.600000000000001</c:v>
                </c:pt>
                <c:pt idx="176">
                  <c:v>17.7</c:v>
                </c:pt>
                <c:pt idx="177">
                  <c:v>17.8</c:v>
                </c:pt>
                <c:pt idx="178">
                  <c:v>17.899999999999999</c:v>
                </c:pt>
                <c:pt idx="179">
                  <c:v>18</c:v>
                </c:pt>
                <c:pt idx="180">
                  <c:v>18.100000000000001</c:v>
                </c:pt>
                <c:pt idx="181">
                  <c:v>18.2</c:v>
                </c:pt>
                <c:pt idx="182">
                  <c:v>18.3</c:v>
                </c:pt>
                <c:pt idx="183">
                  <c:v>18.399999999999999</c:v>
                </c:pt>
                <c:pt idx="184">
                  <c:v>18.5</c:v>
                </c:pt>
                <c:pt idx="185">
                  <c:v>18.600000000000001</c:v>
                </c:pt>
                <c:pt idx="186">
                  <c:v>18.7</c:v>
                </c:pt>
                <c:pt idx="187">
                  <c:v>18.8</c:v>
                </c:pt>
                <c:pt idx="188">
                  <c:v>18.899999999999999</c:v>
                </c:pt>
                <c:pt idx="189">
                  <c:v>19</c:v>
                </c:pt>
                <c:pt idx="190">
                  <c:v>19.100000000000001</c:v>
                </c:pt>
                <c:pt idx="191">
                  <c:v>19.2</c:v>
                </c:pt>
                <c:pt idx="192">
                  <c:v>19.3</c:v>
                </c:pt>
                <c:pt idx="193">
                  <c:v>19.399999999999999</c:v>
                </c:pt>
                <c:pt idx="194">
                  <c:v>19.5</c:v>
                </c:pt>
                <c:pt idx="195">
                  <c:v>19.600000000000001</c:v>
                </c:pt>
                <c:pt idx="196">
                  <c:v>19.7</c:v>
                </c:pt>
                <c:pt idx="197">
                  <c:v>19.8</c:v>
                </c:pt>
                <c:pt idx="198">
                  <c:v>19.899999999999999</c:v>
                </c:pt>
                <c:pt idx="199">
                  <c:v>20</c:v>
                </c:pt>
                <c:pt idx="200">
                  <c:v>20.100000000000001</c:v>
                </c:pt>
                <c:pt idx="201">
                  <c:v>20.2</c:v>
                </c:pt>
                <c:pt idx="202">
                  <c:v>20.3</c:v>
                </c:pt>
                <c:pt idx="203">
                  <c:v>20.399999999999999</c:v>
                </c:pt>
                <c:pt idx="204">
                  <c:v>20.5</c:v>
                </c:pt>
                <c:pt idx="205">
                  <c:v>20.6</c:v>
                </c:pt>
                <c:pt idx="206">
                  <c:v>20.7</c:v>
                </c:pt>
                <c:pt idx="207">
                  <c:v>20.8</c:v>
                </c:pt>
                <c:pt idx="208">
                  <c:v>20.9</c:v>
                </c:pt>
                <c:pt idx="209">
                  <c:v>21</c:v>
                </c:pt>
                <c:pt idx="210">
                  <c:v>21.1</c:v>
                </c:pt>
                <c:pt idx="211">
                  <c:v>21.2</c:v>
                </c:pt>
                <c:pt idx="212">
                  <c:v>21.3</c:v>
                </c:pt>
                <c:pt idx="213">
                  <c:v>21.4</c:v>
                </c:pt>
                <c:pt idx="214">
                  <c:v>21.5</c:v>
                </c:pt>
                <c:pt idx="215">
                  <c:v>21.6</c:v>
                </c:pt>
                <c:pt idx="216">
                  <c:v>21.7</c:v>
                </c:pt>
                <c:pt idx="217">
                  <c:v>21.8</c:v>
                </c:pt>
                <c:pt idx="218">
                  <c:v>21.9</c:v>
                </c:pt>
                <c:pt idx="219">
                  <c:v>22</c:v>
                </c:pt>
                <c:pt idx="220">
                  <c:v>22.1</c:v>
                </c:pt>
                <c:pt idx="221">
                  <c:v>22.2</c:v>
                </c:pt>
                <c:pt idx="222">
                  <c:v>22.3</c:v>
                </c:pt>
                <c:pt idx="223">
                  <c:v>22.4</c:v>
                </c:pt>
                <c:pt idx="224">
                  <c:v>22.5</c:v>
                </c:pt>
                <c:pt idx="225">
                  <c:v>22.6</c:v>
                </c:pt>
                <c:pt idx="226">
                  <c:v>22.7</c:v>
                </c:pt>
                <c:pt idx="227">
                  <c:v>22.8</c:v>
                </c:pt>
                <c:pt idx="228">
                  <c:v>22.9</c:v>
                </c:pt>
                <c:pt idx="229">
                  <c:v>23</c:v>
                </c:pt>
                <c:pt idx="230">
                  <c:v>23.1</c:v>
                </c:pt>
                <c:pt idx="231">
                  <c:v>23.2</c:v>
                </c:pt>
                <c:pt idx="232">
                  <c:v>23.3</c:v>
                </c:pt>
                <c:pt idx="233">
                  <c:v>23.4</c:v>
                </c:pt>
                <c:pt idx="234">
                  <c:v>23.5</c:v>
                </c:pt>
                <c:pt idx="235">
                  <c:v>23.6</c:v>
                </c:pt>
                <c:pt idx="236">
                  <c:v>23.7</c:v>
                </c:pt>
                <c:pt idx="237">
                  <c:v>23.8</c:v>
                </c:pt>
                <c:pt idx="238">
                  <c:v>23.9</c:v>
                </c:pt>
                <c:pt idx="239">
                  <c:v>24</c:v>
                </c:pt>
                <c:pt idx="240">
                  <c:v>24.1</c:v>
                </c:pt>
                <c:pt idx="241">
                  <c:v>24.2</c:v>
                </c:pt>
                <c:pt idx="242">
                  <c:v>24.3</c:v>
                </c:pt>
                <c:pt idx="243">
                  <c:v>24.4</c:v>
                </c:pt>
                <c:pt idx="244">
                  <c:v>24.5</c:v>
                </c:pt>
                <c:pt idx="245">
                  <c:v>24.6</c:v>
                </c:pt>
                <c:pt idx="246">
                  <c:v>24.7</c:v>
                </c:pt>
                <c:pt idx="247">
                  <c:v>24.8</c:v>
                </c:pt>
                <c:pt idx="248">
                  <c:v>24.9</c:v>
                </c:pt>
                <c:pt idx="249">
                  <c:v>25</c:v>
                </c:pt>
                <c:pt idx="250">
                  <c:v>25.1</c:v>
                </c:pt>
                <c:pt idx="251">
                  <c:v>25.2</c:v>
                </c:pt>
                <c:pt idx="252">
                  <c:v>25.3</c:v>
                </c:pt>
                <c:pt idx="253">
                  <c:v>25.4</c:v>
                </c:pt>
                <c:pt idx="254">
                  <c:v>25.5</c:v>
                </c:pt>
                <c:pt idx="255">
                  <c:v>25.6</c:v>
                </c:pt>
                <c:pt idx="256">
                  <c:v>25.7</c:v>
                </c:pt>
                <c:pt idx="257">
                  <c:v>25.8</c:v>
                </c:pt>
                <c:pt idx="258">
                  <c:v>25.9</c:v>
                </c:pt>
                <c:pt idx="259">
                  <c:v>26</c:v>
                </c:pt>
                <c:pt idx="260">
                  <c:v>26.1</c:v>
                </c:pt>
                <c:pt idx="261">
                  <c:v>26.2</c:v>
                </c:pt>
                <c:pt idx="262">
                  <c:v>26.3</c:v>
                </c:pt>
                <c:pt idx="263">
                  <c:v>26.4</c:v>
                </c:pt>
                <c:pt idx="264">
                  <c:v>26.5</c:v>
                </c:pt>
                <c:pt idx="265">
                  <c:v>26.6</c:v>
                </c:pt>
                <c:pt idx="266">
                  <c:v>26.7</c:v>
                </c:pt>
                <c:pt idx="267">
                  <c:v>26.8</c:v>
                </c:pt>
                <c:pt idx="268">
                  <c:v>26.9</c:v>
                </c:pt>
                <c:pt idx="269">
                  <c:v>27</c:v>
                </c:pt>
                <c:pt idx="270">
                  <c:v>27.1</c:v>
                </c:pt>
                <c:pt idx="271">
                  <c:v>27.2</c:v>
                </c:pt>
                <c:pt idx="272">
                  <c:v>27.3</c:v>
                </c:pt>
                <c:pt idx="273">
                  <c:v>27.4</c:v>
                </c:pt>
                <c:pt idx="274">
                  <c:v>27.5</c:v>
                </c:pt>
                <c:pt idx="275">
                  <c:v>27.6</c:v>
                </c:pt>
                <c:pt idx="276">
                  <c:v>27.7</c:v>
                </c:pt>
                <c:pt idx="277">
                  <c:v>27.8</c:v>
                </c:pt>
                <c:pt idx="278">
                  <c:v>27.9</c:v>
                </c:pt>
                <c:pt idx="279">
                  <c:v>28</c:v>
                </c:pt>
                <c:pt idx="280">
                  <c:v>28.1</c:v>
                </c:pt>
                <c:pt idx="281">
                  <c:v>28.2</c:v>
                </c:pt>
                <c:pt idx="282">
                  <c:v>28.3</c:v>
                </c:pt>
                <c:pt idx="283">
                  <c:v>28.4</c:v>
                </c:pt>
                <c:pt idx="284">
                  <c:v>28.5</c:v>
                </c:pt>
                <c:pt idx="285">
                  <c:v>28.6</c:v>
                </c:pt>
                <c:pt idx="286">
                  <c:v>28.7</c:v>
                </c:pt>
                <c:pt idx="287">
                  <c:v>28.8</c:v>
                </c:pt>
                <c:pt idx="288">
                  <c:v>28.9</c:v>
                </c:pt>
                <c:pt idx="289">
                  <c:v>29</c:v>
                </c:pt>
                <c:pt idx="290">
                  <c:v>29.1</c:v>
                </c:pt>
                <c:pt idx="291">
                  <c:v>29.2</c:v>
                </c:pt>
                <c:pt idx="292">
                  <c:v>29.3</c:v>
                </c:pt>
                <c:pt idx="293">
                  <c:v>29.4</c:v>
                </c:pt>
                <c:pt idx="294">
                  <c:v>29.5</c:v>
                </c:pt>
                <c:pt idx="295">
                  <c:v>29.6</c:v>
                </c:pt>
                <c:pt idx="296">
                  <c:v>29.7</c:v>
                </c:pt>
                <c:pt idx="297">
                  <c:v>29.8</c:v>
                </c:pt>
                <c:pt idx="298">
                  <c:v>29.9</c:v>
                </c:pt>
                <c:pt idx="299">
                  <c:v>30</c:v>
                </c:pt>
                <c:pt idx="300">
                  <c:v>30.1</c:v>
                </c:pt>
                <c:pt idx="301">
                  <c:v>30.2</c:v>
                </c:pt>
                <c:pt idx="302">
                  <c:v>30.3</c:v>
                </c:pt>
                <c:pt idx="303">
                  <c:v>30.4</c:v>
                </c:pt>
                <c:pt idx="304">
                  <c:v>30.5</c:v>
                </c:pt>
                <c:pt idx="305">
                  <c:v>30.6</c:v>
                </c:pt>
                <c:pt idx="306">
                  <c:v>30.7</c:v>
                </c:pt>
                <c:pt idx="307">
                  <c:v>30.8</c:v>
                </c:pt>
                <c:pt idx="308">
                  <c:v>30.9</c:v>
                </c:pt>
                <c:pt idx="309">
                  <c:v>31</c:v>
                </c:pt>
                <c:pt idx="310">
                  <c:v>31.1</c:v>
                </c:pt>
                <c:pt idx="311">
                  <c:v>31.2</c:v>
                </c:pt>
                <c:pt idx="312">
                  <c:v>31.3</c:v>
                </c:pt>
                <c:pt idx="313">
                  <c:v>31.4</c:v>
                </c:pt>
                <c:pt idx="314">
                  <c:v>31.5</c:v>
                </c:pt>
                <c:pt idx="315">
                  <c:v>31.6</c:v>
                </c:pt>
                <c:pt idx="316">
                  <c:v>31.7</c:v>
                </c:pt>
                <c:pt idx="317">
                  <c:v>31.8</c:v>
                </c:pt>
                <c:pt idx="318">
                  <c:v>31.9</c:v>
                </c:pt>
                <c:pt idx="319">
                  <c:v>32</c:v>
                </c:pt>
                <c:pt idx="320">
                  <c:v>32.1</c:v>
                </c:pt>
                <c:pt idx="321">
                  <c:v>32.200000000000003</c:v>
                </c:pt>
                <c:pt idx="322">
                  <c:v>32.299999999999997</c:v>
                </c:pt>
                <c:pt idx="323">
                  <c:v>32.4</c:v>
                </c:pt>
                <c:pt idx="324">
                  <c:v>32.5</c:v>
                </c:pt>
                <c:pt idx="325">
                  <c:v>32.6</c:v>
                </c:pt>
                <c:pt idx="326">
                  <c:v>32.700000000000003</c:v>
                </c:pt>
                <c:pt idx="327">
                  <c:v>32.799999999999997</c:v>
                </c:pt>
                <c:pt idx="328">
                  <c:v>32.9</c:v>
                </c:pt>
                <c:pt idx="329">
                  <c:v>33</c:v>
                </c:pt>
                <c:pt idx="330">
                  <c:v>33.1</c:v>
                </c:pt>
                <c:pt idx="331">
                  <c:v>33.200000000000003</c:v>
                </c:pt>
                <c:pt idx="332">
                  <c:v>33.299999999999997</c:v>
                </c:pt>
                <c:pt idx="333">
                  <c:v>33.4</c:v>
                </c:pt>
                <c:pt idx="334">
                  <c:v>33.5</c:v>
                </c:pt>
                <c:pt idx="335">
                  <c:v>33.6</c:v>
                </c:pt>
                <c:pt idx="336">
                  <c:v>33.700000000000003</c:v>
                </c:pt>
                <c:pt idx="337">
                  <c:v>33.799999999999997</c:v>
                </c:pt>
                <c:pt idx="338">
                  <c:v>33.9</c:v>
                </c:pt>
                <c:pt idx="339">
                  <c:v>34</c:v>
                </c:pt>
                <c:pt idx="340">
                  <c:v>34.1</c:v>
                </c:pt>
                <c:pt idx="341">
                  <c:v>34.200000000000003</c:v>
                </c:pt>
                <c:pt idx="342">
                  <c:v>34.299999999999997</c:v>
                </c:pt>
                <c:pt idx="343">
                  <c:v>34.4</c:v>
                </c:pt>
                <c:pt idx="344">
                  <c:v>34.5</c:v>
                </c:pt>
                <c:pt idx="345">
                  <c:v>34.6</c:v>
                </c:pt>
                <c:pt idx="346">
                  <c:v>34.700000000000003</c:v>
                </c:pt>
                <c:pt idx="347">
                  <c:v>34.799999999999997</c:v>
                </c:pt>
                <c:pt idx="348">
                  <c:v>34.9</c:v>
                </c:pt>
                <c:pt idx="349">
                  <c:v>35</c:v>
                </c:pt>
                <c:pt idx="350">
                  <c:v>35.1</c:v>
                </c:pt>
                <c:pt idx="351">
                  <c:v>35.200000000000003</c:v>
                </c:pt>
                <c:pt idx="352">
                  <c:v>35.299999999999997</c:v>
                </c:pt>
                <c:pt idx="353">
                  <c:v>35.4</c:v>
                </c:pt>
                <c:pt idx="354">
                  <c:v>35.5</c:v>
                </c:pt>
                <c:pt idx="355">
                  <c:v>35.6</c:v>
                </c:pt>
                <c:pt idx="356">
                  <c:v>35.700000000000003</c:v>
                </c:pt>
                <c:pt idx="357">
                  <c:v>35.799999999999997</c:v>
                </c:pt>
                <c:pt idx="358">
                  <c:v>35.9</c:v>
                </c:pt>
                <c:pt idx="359">
                  <c:v>36</c:v>
                </c:pt>
                <c:pt idx="360">
                  <c:v>36.1</c:v>
                </c:pt>
                <c:pt idx="361">
                  <c:v>36.200000000000003</c:v>
                </c:pt>
                <c:pt idx="362">
                  <c:v>36.299999999999997</c:v>
                </c:pt>
                <c:pt idx="363">
                  <c:v>36.4</c:v>
                </c:pt>
                <c:pt idx="364">
                  <c:v>36.5</c:v>
                </c:pt>
                <c:pt idx="365">
                  <c:v>36.6</c:v>
                </c:pt>
                <c:pt idx="366">
                  <c:v>36.700000000000003</c:v>
                </c:pt>
                <c:pt idx="367">
                  <c:v>36.799999999999997</c:v>
                </c:pt>
                <c:pt idx="368">
                  <c:v>36.9</c:v>
                </c:pt>
                <c:pt idx="369">
                  <c:v>37</c:v>
                </c:pt>
                <c:pt idx="370">
                  <c:v>37.1</c:v>
                </c:pt>
                <c:pt idx="371">
                  <c:v>37.200000000000003</c:v>
                </c:pt>
                <c:pt idx="372">
                  <c:v>37.299999999999997</c:v>
                </c:pt>
                <c:pt idx="373">
                  <c:v>37.4</c:v>
                </c:pt>
                <c:pt idx="374">
                  <c:v>37.5</c:v>
                </c:pt>
                <c:pt idx="375">
                  <c:v>37.6</c:v>
                </c:pt>
                <c:pt idx="376">
                  <c:v>37.700000000000003</c:v>
                </c:pt>
                <c:pt idx="377">
                  <c:v>37.799999999999997</c:v>
                </c:pt>
                <c:pt idx="378">
                  <c:v>37.9</c:v>
                </c:pt>
                <c:pt idx="379">
                  <c:v>38</c:v>
                </c:pt>
                <c:pt idx="380">
                  <c:v>38.1</c:v>
                </c:pt>
                <c:pt idx="381">
                  <c:v>38.200000000000003</c:v>
                </c:pt>
                <c:pt idx="382">
                  <c:v>38.299999999999997</c:v>
                </c:pt>
                <c:pt idx="383">
                  <c:v>38.4</c:v>
                </c:pt>
                <c:pt idx="384">
                  <c:v>38.5</c:v>
                </c:pt>
                <c:pt idx="385">
                  <c:v>38.6</c:v>
                </c:pt>
                <c:pt idx="386">
                  <c:v>38.700000000000003</c:v>
                </c:pt>
                <c:pt idx="387">
                  <c:v>38.799999999999997</c:v>
                </c:pt>
                <c:pt idx="388">
                  <c:v>38.9</c:v>
                </c:pt>
                <c:pt idx="389">
                  <c:v>39</c:v>
                </c:pt>
                <c:pt idx="390">
                  <c:v>39.1</c:v>
                </c:pt>
                <c:pt idx="391">
                  <c:v>39.200000000000003</c:v>
                </c:pt>
                <c:pt idx="392">
                  <c:v>39.299999999999997</c:v>
                </c:pt>
                <c:pt idx="393">
                  <c:v>39.4</c:v>
                </c:pt>
                <c:pt idx="394">
                  <c:v>39.5</c:v>
                </c:pt>
                <c:pt idx="395">
                  <c:v>39.6</c:v>
                </c:pt>
                <c:pt idx="396">
                  <c:v>39.700000000000003</c:v>
                </c:pt>
                <c:pt idx="397">
                  <c:v>39.799999999999997</c:v>
                </c:pt>
                <c:pt idx="398">
                  <c:v>39.9</c:v>
                </c:pt>
                <c:pt idx="399">
                  <c:v>40</c:v>
                </c:pt>
                <c:pt idx="400">
                  <c:v>40.1</c:v>
                </c:pt>
                <c:pt idx="401">
                  <c:v>40.200000000000003</c:v>
                </c:pt>
                <c:pt idx="402">
                  <c:v>40.299999999999997</c:v>
                </c:pt>
                <c:pt idx="403">
                  <c:v>40.4</c:v>
                </c:pt>
                <c:pt idx="404">
                  <c:v>40.5</c:v>
                </c:pt>
                <c:pt idx="405">
                  <c:v>40.6</c:v>
                </c:pt>
                <c:pt idx="406">
                  <c:v>40.700000000000003</c:v>
                </c:pt>
                <c:pt idx="407">
                  <c:v>40.799999999999997</c:v>
                </c:pt>
                <c:pt idx="408">
                  <c:v>40.9</c:v>
                </c:pt>
                <c:pt idx="409">
                  <c:v>41</c:v>
                </c:pt>
                <c:pt idx="410">
                  <c:v>41.1</c:v>
                </c:pt>
                <c:pt idx="411">
                  <c:v>41.2</c:v>
                </c:pt>
                <c:pt idx="412">
                  <c:v>41.3</c:v>
                </c:pt>
                <c:pt idx="413">
                  <c:v>41.4</c:v>
                </c:pt>
                <c:pt idx="414">
                  <c:v>41.5</c:v>
                </c:pt>
                <c:pt idx="415">
                  <c:v>41.6</c:v>
                </c:pt>
                <c:pt idx="416">
                  <c:v>41.7</c:v>
                </c:pt>
                <c:pt idx="417">
                  <c:v>41.8</c:v>
                </c:pt>
                <c:pt idx="418">
                  <c:v>41.9</c:v>
                </c:pt>
                <c:pt idx="419">
                  <c:v>42</c:v>
                </c:pt>
                <c:pt idx="420">
                  <c:v>42.1</c:v>
                </c:pt>
                <c:pt idx="421">
                  <c:v>42.2</c:v>
                </c:pt>
                <c:pt idx="422">
                  <c:v>42.3</c:v>
                </c:pt>
                <c:pt idx="423">
                  <c:v>42.4</c:v>
                </c:pt>
                <c:pt idx="424">
                  <c:v>42.5</c:v>
                </c:pt>
                <c:pt idx="425">
                  <c:v>42.6</c:v>
                </c:pt>
                <c:pt idx="426">
                  <c:v>42.7</c:v>
                </c:pt>
                <c:pt idx="427">
                  <c:v>42.8</c:v>
                </c:pt>
                <c:pt idx="428">
                  <c:v>42.9</c:v>
                </c:pt>
                <c:pt idx="429">
                  <c:v>43</c:v>
                </c:pt>
                <c:pt idx="430">
                  <c:v>43.1</c:v>
                </c:pt>
                <c:pt idx="431">
                  <c:v>43.2</c:v>
                </c:pt>
                <c:pt idx="432">
                  <c:v>43.3</c:v>
                </c:pt>
                <c:pt idx="433">
                  <c:v>43.4</c:v>
                </c:pt>
                <c:pt idx="434">
                  <c:v>43.5</c:v>
                </c:pt>
                <c:pt idx="435">
                  <c:v>43.6</c:v>
                </c:pt>
                <c:pt idx="436">
                  <c:v>43.7</c:v>
                </c:pt>
                <c:pt idx="437">
                  <c:v>43.8</c:v>
                </c:pt>
                <c:pt idx="438">
                  <c:v>43.9</c:v>
                </c:pt>
                <c:pt idx="439">
                  <c:v>44</c:v>
                </c:pt>
                <c:pt idx="440">
                  <c:v>44.1</c:v>
                </c:pt>
                <c:pt idx="441">
                  <c:v>44.2</c:v>
                </c:pt>
                <c:pt idx="442">
                  <c:v>44.3</c:v>
                </c:pt>
                <c:pt idx="443">
                  <c:v>44.4</c:v>
                </c:pt>
                <c:pt idx="444">
                  <c:v>44.5</c:v>
                </c:pt>
                <c:pt idx="445">
                  <c:v>44.6</c:v>
                </c:pt>
                <c:pt idx="446">
                  <c:v>44.7</c:v>
                </c:pt>
                <c:pt idx="447">
                  <c:v>44.8</c:v>
                </c:pt>
                <c:pt idx="448">
                  <c:v>44.9</c:v>
                </c:pt>
                <c:pt idx="449">
                  <c:v>45</c:v>
                </c:pt>
                <c:pt idx="450">
                  <c:v>45.1</c:v>
                </c:pt>
                <c:pt idx="451">
                  <c:v>45.2</c:v>
                </c:pt>
                <c:pt idx="452">
                  <c:v>45.3</c:v>
                </c:pt>
                <c:pt idx="453">
                  <c:v>45.4</c:v>
                </c:pt>
                <c:pt idx="454">
                  <c:v>45.5</c:v>
                </c:pt>
                <c:pt idx="455">
                  <c:v>45.6</c:v>
                </c:pt>
                <c:pt idx="456">
                  <c:v>45.7</c:v>
                </c:pt>
                <c:pt idx="457">
                  <c:v>45.8</c:v>
                </c:pt>
                <c:pt idx="458">
                  <c:v>45.9</c:v>
                </c:pt>
                <c:pt idx="459">
                  <c:v>46</c:v>
                </c:pt>
                <c:pt idx="460">
                  <c:v>46.1</c:v>
                </c:pt>
                <c:pt idx="461">
                  <c:v>46.2</c:v>
                </c:pt>
                <c:pt idx="462">
                  <c:v>46.3</c:v>
                </c:pt>
                <c:pt idx="463">
                  <c:v>46.4</c:v>
                </c:pt>
                <c:pt idx="464">
                  <c:v>46.5</c:v>
                </c:pt>
                <c:pt idx="465">
                  <c:v>46.6</c:v>
                </c:pt>
                <c:pt idx="466">
                  <c:v>46.7</c:v>
                </c:pt>
                <c:pt idx="467">
                  <c:v>46.8</c:v>
                </c:pt>
                <c:pt idx="468">
                  <c:v>46.9</c:v>
                </c:pt>
                <c:pt idx="469">
                  <c:v>47</c:v>
                </c:pt>
                <c:pt idx="470">
                  <c:v>47.1</c:v>
                </c:pt>
                <c:pt idx="471">
                  <c:v>47.2</c:v>
                </c:pt>
                <c:pt idx="472">
                  <c:v>47.3</c:v>
                </c:pt>
                <c:pt idx="473">
                  <c:v>47.4</c:v>
                </c:pt>
                <c:pt idx="474">
                  <c:v>47.5</c:v>
                </c:pt>
                <c:pt idx="475">
                  <c:v>47.6</c:v>
                </c:pt>
                <c:pt idx="476">
                  <c:v>47.7</c:v>
                </c:pt>
                <c:pt idx="477">
                  <c:v>47.8</c:v>
                </c:pt>
                <c:pt idx="478">
                  <c:v>47.9</c:v>
                </c:pt>
                <c:pt idx="479">
                  <c:v>48</c:v>
                </c:pt>
                <c:pt idx="480">
                  <c:v>48.1</c:v>
                </c:pt>
                <c:pt idx="481">
                  <c:v>48.2</c:v>
                </c:pt>
                <c:pt idx="482">
                  <c:v>48.3</c:v>
                </c:pt>
                <c:pt idx="483">
                  <c:v>48.4</c:v>
                </c:pt>
                <c:pt idx="484">
                  <c:v>48.5</c:v>
                </c:pt>
                <c:pt idx="485">
                  <c:v>48.6</c:v>
                </c:pt>
                <c:pt idx="486">
                  <c:v>48.7</c:v>
                </c:pt>
                <c:pt idx="487">
                  <c:v>48.8</c:v>
                </c:pt>
                <c:pt idx="488">
                  <c:v>48.9</c:v>
                </c:pt>
                <c:pt idx="489">
                  <c:v>49</c:v>
                </c:pt>
                <c:pt idx="490">
                  <c:v>49.1</c:v>
                </c:pt>
                <c:pt idx="491">
                  <c:v>49.2</c:v>
                </c:pt>
                <c:pt idx="492">
                  <c:v>49.3</c:v>
                </c:pt>
                <c:pt idx="493">
                  <c:v>49.4</c:v>
                </c:pt>
                <c:pt idx="494">
                  <c:v>49.5</c:v>
                </c:pt>
                <c:pt idx="495">
                  <c:v>49.6</c:v>
                </c:pt>
                <c:pt idx="496">
                  <c:v>49.7</c:v>
                </c:pt>
                <c:pt idx="497">
                  <c:v>49.8</c:v>
                </c:pt>
                <c:pt idx="498">
                  <c:v>49.9</c:v>
                </c:pt>
                <c:pt idx="499">
                  <c:v>50</c:v>
                </c:pt>
                <c:pt idx="500">
                  <c:v>50.1</c:v>
                </c:pt>
                <c:pt idx="501">
                  <c:v>50.2</c:v>
                </c:pt>
                <c:pt idx="502">
                  <c:v>50.3</c:v>
                </c:pt>
                <c:pt idx="503">
                  <c:v>50.4</c:v>
                </c:pt>
                <c:pt idx="504">
                  <c:v>50.5</c:v>
                </c:pt>
                <c:pt idx="505">
                  <c:v>50.6</c:v>
                </c:pt>
                <c:pt idx="506">
                  <c:v>50.7</c:v>
                </c:pt>
                <c:pt idx="507">
                  <c:v>50.8</c:v>
                </c:pt>
                <c:pt idx="508">
                  <c:v>50.9</c:v>
                </c:pt>
                <c:pt idx="509">
                  <c:v>51</c:v>
                </c:pt>
                <c:pt idx="510">
                  <c:v>51.1</c:v>
                </c:pt>
                <c:pt idx="511">
                  <c:v>51.2</c:v>
                </c:pt>
                <c:pt idx="512">
                  <c:v>51.3</c:v>
                </c:pt>
                <c:pt idx="513">
                  <c:v>51.4</c:v>
                </c:pt>
                <c:pt idx="514">
                  <c:v>51.5</c:v>
                </c:pt>
                <c:pt idx="515">
                  <c:v>51.6</c:v>
                </c:pt>
                <c:pt idx="516">
                  <c:v>51.7</c:v>
                </c:pt>
                <c:pt idx="517">
                  <c:v>51.8</c:v>
                </c:pt>
                <c:pt idx="518">
                  <c:v>51.9</c:v>
                </c:pt>
                <c:pt idx="519">
                  <c:v>52</c:v>
                </c:pt>
                <c:pt idx="520">
                  <c:v>52.1</c:v>
                </c:pt>
                <c:pt idx="521">
                  <c:v>52.2</c:v>
                </c:pt>
                <c:pt idx="522">
                  <c:v>52.3</c:v>
                </c:pt>
                <c:pt idx="523">
                  <c:v>52.4</c:v>
                </c:pt>
                <c:pt idx="524">
                  <c:v>52.5</c:v>
                </c:pt>
                <c:pt idx="525">
                  <c:v>52.6</c:v>
                </c:pt>
                <c:pt idx="526">
                  <c:v>52.7</c:v>
                </c:pt>
                <c:pt idx="527">
                  <c:v>52.8</c:v>
                </c:pt>
                <c:pt idx="528">
                  <c:v>52.9</c:v>
                </c:pt>
                <c:pt idx="529">
                  <c:v>53</c:v>
                </c:pt>
                <c:pt idx="530">
                  <c:v>53.1</c:v>
                </c:pt>
                <c:pt idx="531">
                  <c:v>53.2</c:v>
                </c:pt>
                <c:pt idx="532">
                  <c:v>53.3</c:v>
                </c:pt>
                <c:pt idx="533">
                  <c:v>53.4</c:v>
                </c:pt>
                <c:pt idx="534">
                  <c:v>53.5</c:v>
                </c:pt>
                <c:pt idx="535">
                  <c:v>53.6</c:v>
                </c:pt>
                <c:pt idx="536">
                  <c:v>53.7</c:v>
                </c:pt>
                <c:pt idx="537">
                  <c:v>53.8</c:v>
                </c:pt>
                <c:pt idx="538">
                  <c:v>53.9</c:v>
                </c:pt>
                <c:pt idx="539">
                  <c:v>54</c:v>
                </c:pt>
                <c:pt idx="540">
                  <c:v>54.1</c:v>
                </c:pt>
                <c:pt idx="541">
                  <c:v>54.2</c:v>
                </c:pt>
                <c:pt idx="542">
                  <c:v>54.3</c:v>
                </c:pt>
                <c:pt idx="543">
                  <c:v>54.4</c:v>
                </c:pt>
                <c:pt idx="544">
                  <c:v>54.5</c:v>
                </c:pt>
                <c:pt idx="545">
                  <c:v>54.6</c:v>
                </c:pt>
                <c:pt idx="546">
                  <c:v>54.7</c:v>
                </c:pt>
                <c:pt idx="547">
                  <c:v>54.8</c:v>
                </c:pt>
                <c:pt idx="548">
                  <c:v>54.9</c:v>
                </c:pt>
                <c:pt idx="549">
                  <c:v>55</c:v>
                </c:pt>
                <c:pt idx="550">
                  <c:v>55.1</c:v>
                </c:pt>
                <c:pt idx="551">
                  <c:v>55.2</c:v>
                </c:pt>
                <c:pt idx="552">
                  <c:v>55.3</c:v>
                </c:pt>
                <c:pt idx="553">
                  <c:v>55.4</c:v>
                </c:pt>
                <c:pt idx="554">
                  <c:v>55.5</c:v>
                </c:pt>
                <c:pt idx="555">
                  <c:v>55.6</c:v>
                </c:pt>
                <c:pt idx="556">
                  <c:v>55.7</c:v>
                </c:pt>
                <c:pt idx="557">
                  <c:v>55.8</c:v>
                </c:pt>
                <c:pt idx="558">
                  <c:v>55.9</c:v>
                </c:pt>
                <c:pt idx="559">
                  <c:v>56</c:v>
                </c:pt>
                <c:pt idx="560">
                  <c:v>56.1</c:v>
                </c:pt>
                <c:pt idx="561">
                  <c:v>56.2</c:v>
                </c:pt>
                <c:pt idx="562">
                  <c:v>56.3</c:v>
                </c:pt>
                <c:pt idx="563">
                  <c:v>56.4</c:v>
                </c:pt>
                <c:pt idx="564">
                  <c:v>56.5</c:v>
                </c:pt>
                <c:pt idx="565">
                  <c:v>56.6</c:v>
                </c:pt>
                <c:pt idx="566">
                  <c:v>56.7</c:v>
                </c:pt>
                <c:pt idx="567">
                  <c:v>56.8</c:v>
                </c:pt>
                <c:pt idx="568">
                  <c:v>56.9</c:v>
                </c:pt>
                <c:pt idx="569">
                  <c:v>57</c:v>
                </c:pt>
                <c:pt idx="570">
                  <c:v>57.1</c:v>
                </c:pt>
                <c:pt idx="571">
                  <c:v>57.2</c:v>
                </c:pt>
                <c:pt idx="572">
                  <c:v>57.3</c:v>
                </c:pt>
                <c:pt idx="573">
                  <c:v>57.4</c:v>
                </c:pt>
                <c:pt idx="574">
                  <c:v>57.5</c:v>
                </c:pt>
                <c:pt idx="575">
                  <c:v>57.6</c:v>
                </c:pt>
                <c:pt idx="576">
                  <c:v>57.7</c:v>
                </c:pt>
                <c:pt idx="577">
                  <c:v>57.8</c:v>
                </c:pt>
                <c:pt idx="578">
                  <c:v>57.9</c:v>
                </c:pt>
                <c:pt idx="579">
                  <c:v>58</c:v>
                </c:pt>
                <c:pt idx="580">
                  <c:v>58.1</c:v>
                </c:pt>
                <c:pt idx="581">
                  <c:v>58.2</c:v>
                </c:pt>
                <c:pt idx="582">
                  <c:v>58.3</c:v>
                </c:pt>
                <c:pt idx="583">
                  <c:v>58.4</c:v>
                </c:pt>
                <c:pt idx="584">
                  <c:v>58.5</c:v>
                </c:pt>
                <c:pt idx="585">
                  <c:v>58.6</c:v>
                </c:pt>
                <c:pt idx="586">
                  <c:v>58.7</c:v>
                </c:pt>
                <c:pt idx="587">
                  <c:v>58.8</c:v>
                </c:pt>
                <c:pt idx="588">
                  <c:v>58.9</c:v>
                </c:pt>
                <c:pt idx="589">
                  <c:v>59</c:v>
                </c:pt>
                <c:pt idx="590">
                  <c:v>59.1</c:v>
                </c:pt>
                <c:pt idx="591">
                  <c:v>59.2</c:v>
                </c:pt>
                <c:pt idx="592">
                  <c:v>59.3</c:v>
                </c:pt>
                <c:pt idx="593">
                  <c:v>59.4</c:v>
                </c:pt>
                <c:pt idx="594">
                  <c:v>59.5</c:v>
                </c:pt>
                <c:pt idx="595">
                  <c:v>59.6</c:v>
                </c:pt>
                <c:pt idx="596">
                  <c:v>59.7</c:v>
                </c:pt>
                <c:pt idx="597">
                  <c:v>59.8</c:v>
                </c:pt>
                <c:pt idx="598">
                  <c:v>59.9</c:v>
                </c:pt>
                <c:pt idx="599">
                  <c:v>60</c:v>
                </c:pt>
                <c:pt idx="600">
                  <c:v>60.1</c:v>
                </c:pt>
                <c:pt idx="601">
                  <c:v>60.2</c:v>
                </c:pt>
                <c:pt idx="602">
                  <c:v>60.3</c:v>
                </c:pt>
                <c:pt idx="603">
                  <c:v>60.4</c:v>
                </c:pt>
                <c:pt idx="604">
                  <c:v>60.5</c:v>
                </c:pt>
                <c:pt idx="605">
                  <c:v>60.6</c:v>
                </c:pt>
                <c:pt idx="606">
                  <c:v>60.7</c:v>
                </c:pt>
                <c:pt idx="607">
                  <c:v>60.8</c:v>
                </c:pt>
                <c:pt idx="608">
                  <c:v>60.9</c:v>
                </c:pt>
                <c:pt idx="609">
                  <c:v>61</c:v>
                </c:pt>
                <c:pt idx="610">
                  <c:v>61.1</c:v>
                </c:pt>
                <c:pt idx="611">
                  <c:v>61.2</c:v>
                </c:pt>
                <c:pt idx="612">
                  <c:v>61.3</c:v>
                </c:pt>
                <c:pt idx="613">
                  <c:v>61.4</c:v>
                </c:pt>
                <c:pt idx="614">
                  <c:v>61.5</c:v>
                </c:pt>
                <c:pt idx="615">
                  <c:v>61.6</c:v>
                </c:pt>
                <c:pt idx="616">
                  <c:v>61.7</c:v>
                </c:pt>
                <c:pt idx="617">
                  <c:v>61.8</c:v>
                </c:pt>
                <c:pt idx="618">
                  <c:v>61.9</c:v>
                </c:pt>
                <c:pt idx="619">
                  <c:v>62</c:v>
                </c:pt>
                <c:pt idx="620">
                  <c:v>62.1</c:v>
                </c:pt>
                <c:pt idx="621">
                  <c:v>62.2</c:v>
                </c:pt>
                <c:pt idx="622">
                  <c:v>62.3</c:v>
                </c:pt>
                <c:pt idx="623">
                  <c:v>62.4</c:v>
                </c:pt>
                <c:pt idx="624">
                  <c:v>62.5</c:v>
                </c:pt>
                <c:pt idx="625">
                  <c:v>62.6</c:v>
                </c:pt>
                <c:pt idx="626">
                  <c:v>62.7</c:v>
                </c:pt>
                <c:pt idx="627">
                  <c:v>62.8</c:v>
                </c:pt>
                <c:pt idx="628">
                  <c:v>62.9</c:v>
                </c:pt>
                <c:pt idx="629">
                  <c:v>63</c:v>
                </c:pt>
                <c:pt idx="630">
                  <c:v>63.1</c:v>
                </c:pt>
                <c:pt idx="631">
                  <c:v>63.2</c:v>
                </c:pt>
                <c:pt idx="632">
                  <c:v>63.3</c:v>
                </c:pt>
                <c:pt idx="633">
                  <c:v>63.4</c:v>
                </c:pt>
                <c:pt idx="634">
                  <c:v>63.5</c:v>
                </c:pt>
                <c:pt idx="635">
                  <c:v>63.6</c:v>
                </c:pt>
                <c:pt idx="636">
                  <c:v>63.7</c:v>
                </c:pt>
                <c:pt idx="637">
                  <c:v>63.8</c:v>
                </c:pt>
                <c:pt idx="638">
                  <c:v>63.9</c:v>
                </c:pt>
                <c:pt idx="639">
                  <c:v>64</c:v>
                </c:pt>
                <c:pt idx="640">
                  <c:v>64.099999999999994</c:v>
                </c:pt>
                <c:pt idx="641">
                  <c:v>64.2</c:v>
                </c:pt>
                <c:pt idx="642">
                  <c:v>64.3</c:v>
                </c:pt>
                <c:pt idx="643">
                  <c:v>64.400000000000006</c:v>
                </c:pt>
                <c:pt idx="644">
                  <c:v>64.5</c:v>
                </c:pt>
                <c:pt idx="645">
                  <c:v>64.599999999999994</c:v>
                </c:pt>
                <c:pt idx="646">
                  <c:v>64.7</c:v>
                </c:pt>
                <c:pt idx="647">
                  <c:v>64.8</c:v>
                </c:pt>
                <c:pt idx="648">
                  <c:v>64.900000000000006</c:v>
                </c:pt>
                <c:pt idx="649">
                  <c:v>65</c:v>
                </c:pt>
                <c:pt idx="650">
                  <c:v>65.099999999999994</c:v>
                </c:pt>
                <c:pt idx="651">
                  <c:v>65.2</c:v>
                </c:pt>
                <c:pt idx="652">
                  <c:v>65.3</c:v>
                </c:pt>
                <c:pt idx="653">
                  <c:v>65.400000000000006</c:v>
                </c:pt>
                <c:pt idx="654">
                  <c:v>65.5</c:v>
                </c:pt>
                <c:pt idx="655">
                  <c:v>65.599999999999994</c:v>
                </c:pt>
                <c:pt idx="656">
                  <c:v>65.7</c:v>
                </c:pt>
                <c:pt idx="657">
                  <c:v>65.8</c:v>
                </c:pt>
                <c:pt idx="658">
                  <c:v>65.900000000000006</c:v>
                </c:pt>
                <c:pt idx="659">
                  <c:v>66</c:v>
                </c:pt>
                <c:pt idx="660">
                  <c:v>66.099999999999994</c:v>
                </c:pt>
                <c:pt idx="661">
                  <c:v>66.2</c:v>
                </c:pt>
                <c:pt idx="662">
                  <c:v>66.3</c:v>
                </c:pt>
                <c:pt idx="663">
                  <c:v>66.400000000000006</c:v>
                </c:pt>
                <c:pt idx="664">
                  <c:v>66.5</c:v>
                </c:pt>
                <c:pt idx="665">
                  <c:v>66.599999999999994</c:v>
                </c:pt>
                <c:pt idx="666">
                  <c:v>66.7</c:v>
                </c:pt>
                <c:pt idx="667">
                  <c:v>66.8</c:v>
                </c:pt>
                <c:pt idx="668">
                  <c:v>66.900000000000006</c:v>
                </c:pt>
                <c:pt idx="669">
                  <c:v>67</c:v>
                </c:pt>
                <c:pt idx="670">
                  <c:v>67.099999999999994</c:v>
                </c:pt>
                <c:pt idx="671">
                  <c:v>67.2</c:v>
                </c:pt>
                <c:pt idx="672">
                  <c:v>67.3</c:v>
                </c:pt>
                <c:pt idx="673">
                  <c:v>67.400000000000006</c:v>
                </c:pt>
                <c:pt idx="674">
                  <c:v>67.5</c:v>
                </c:pt>
                <c:pt idx="675">
                  <c:v>67.599999999999994</c:v>
                </c:pt>
                <c:pt idx="676">
                  <c:v>67.7</c:v>
                </c:pt>
                <c:pt idx="677">
                  <c:v>67.8</c:v>
                </c:pt>
                <c:pt idx="678">
                  <c:v>67.900000000000006</c:v>
                </c:pt>
                <c:pt idx="679">
                  <c:v>68</c:v>
                </c:pt>
                <c:pt idx="680">
                  <c:v>68.099999999999994</c:v>
                </c:pt>
                <c:pt idx="681">
                  <c:v>68.2</c:v>
                </c:pt>
                <c:pt idx="682">
                  <c:v>68.3</c:v>
                </c:pt>
                <c:pt idx="683">
                  <c:v>68.400000000000006</c:v>
                </c:pt>
                <c:pt idx="684">
                  <c:v>68.5</c:v>
                </c:pt>
                <c:pt idx="685">
                  <c:v>68.599999999999994</c:v>
                </c:pt>
                <c:pt idx="686">
                  <c:v>68.7</c:v>
                </c:pt>
                <c:pt idx="687">
                  <c:v>68.8</c:v>
                </c:pt>
                <c:pt idx="688">
                  <c:v>68.900000000000006</c:v>
                </c:pt>
                <c:pt idx="689">
                  <c:v>69</c:v>
                </c:pt>
                <c:pt idx="690">
                  <c:v>69.099999999999994</c:v>
                </c:pt>
                <c:pt idx="691">
                  <c:v>69.2</c:v>
                </c:pt>
                <c:pt idx="692">
                  <c:v>69.3</c:v>
                </c:pt>
                <c:pt idx="693">
                  <c:v>69.400000000000006</c:v>
                </c:pt>
                <c:pt idx="694">
                  <c:v>69.5</c:v>
                </c:pt>
                <c:pt idx="695">
                  <c:v>69.599999999999994</c:v>
                </c:pt>
                <c:pt idx="696">
                  <c:v>69.7</c:v>
                </c:pt>
                <c:pt idx="697">
                  <c:v>69.8</c:v>
                </c:pt>
                <c:pt idx="698">
                  <c:v>69.900000000000006</c:v>
                </c:pt>
                <c:pt idx="699">
                  <c:v>70</c:v>
                </c:pt>
                <c:pt idx="700">
                  <c:v>70.099999999999994</c:v>
                </c:pt>
                <c:pt idx="701">
                  <c:v>70.2</c:v>
                </c:pt>
                <c:pt idx="702">
                  <c:v>70.3</c:v>
                </c:pt>
                <c:pt idx="703">
                  <c:v>70.400000000000006</c:v>
                </c:pt>
                <c:pt idx="704">
                  <c:v>70.5</c:v>
                </c:pt>
                <c:pt idx="705">
                  <c:v>70.599999999999994</c:v>
                </c:pt>
                <c:pt idx="706">
                  <c:v>70.7</c:v>
                </c:pt>
                <c:pt idx="707">
                  <c:v>70.8</c:v>
                </c:pt>
                <c:pt idx="708">
                  <c:v>70.900000000000006</c:v>
                </c:pt>
                <c:pt idx="709">
                  <c:v>71</c:v>
                </c:pt>
                <c:pt idx="710">
                  <c:v>71.099999999999994</c:v>
                </c:pt>
                <c:pt idx="711">
                  <c:v>71.2</c:v>
                </c:pt>
                <c:pt idx="712">
                  <c:v>71.3</c:v>
                </c:pt>
                <c:pt idx="713">
                  <c:v>71.400000000000006</c:v>
                </c:pt>
                <c:pt idx="714">
                  <c:v>71.5</c:v>
                </c:pt>
                <c:pt idx="715">
                  <c:v>71.599999999999994</c:v>
                </c:pt>
                <c:pt idx="716">
                  <c:v>71.7</c:v>
                </c:pt>
                <c:pt idx="717">
                  <c:v>71.8</c:v>
                </c:pt>
                <c:pt idx="718">
                  <c:v>71.900000000000006</c:v>
                </c:pt>
                <c:pt idx="719">
                  <c:v>72</c:v>
                </c:pt>
                <c:pt idx="720">
                  <c:v>72.099999999999994</c:v>
                </c:pt>
                <c:pt idx="721">
                  <c:v>72.2</c:v>
                </c:pt>
                <c:pt idx="722">
                  <c:v>72.3</c:v>
                </c:pt>
                <c:pt idx="723">
                  <c:v>72.400000000000006</c:v>
                </c:pt>
                <c:pt idx="724">
                  <c:v>72.5</c:v>
                </c:pt>
                <c:pt idx="725">
                  <c:v>72.599999999999994</c:v>
                </c:pt>
                <c:pt idx="726">
                  <c:v>72.7</c:v>
                </c:pt>
                <c:pt idx="727">
                  <c:v>72.8</c:v>
                </c:pt>
                <c:pt idx="728">
                  <c:v>72.900000000000006</c:v>
                </c:pt>
                <c:pt idx="729">
                  <c:v>73</c:v>
                </c:pt>
                <c:pt idx="730">
                  <c:v>73.099999999999994</c:v>
                </c:pt>
                <c:pt idx="731">
                  <c:v>73.2</c:v>
                </c:pt>
                <c:pt idx="732">
                  <c:v>73.3</c:v>
                </c:pt>
                <c:pt idx="733">
                  <c:v>73.400000000000006</c:v>
                </c:pt>
                <c:pt idx="734">
                  <c:v>73.5</c:v>
                </c:pt>
                <c:pt idx="735">
                  <c:v>73.599999999999994</c:v>
                </c:pt>
                <c:pt idx="736">
                  <c:v>73.7</c:v>
                </c:pt>
                <c:pt idx="737">
                  <c:v>73.8</c:v>
                </c:pt>
                <c:pt idx="738">
                  <c:v>73.900000000000006</c:v>
                </c:pt>
                <c:pt idx="739">
                  <c:v>74</c:v>
                </c:pt>
                <c:pt idx="740">
                  <c:v>74.099999999999994</c:v>
                </c:pt>
                <c:pt idx="741">
                  <c:v>74.2</c:v>
                </c:pt>
                <c:pt idx="742">
                  <c:v>74.3</c:v>
                </c:pt>
                <c:pt idx="743">
                  <c:v>74.400000000000006</c:v>
                </c:pt>
                <c:pt idx="744">
                  <c:v>74.5</c:v>
                </c:pt>
                <c:pt idx="745">
                  <c:v>74.599999999999994</c:v>
                </c:pt>
                <c:pt idx="746">
                  <c:v>74.7</c:v>
                </c:pt>
                <c:pt idx="747">
                  <c:v>74.8</c:v>
                </c:pt>
                <c:pt idx="748">
                  <c:v>74.900000000000006</c:v>
                </c:pt>
                <c:pt idx="749">
                  <c:v>75</c:v>
                </c:pt>
              </c:numCache>
            </c:numRef>
          </c:xVal>
          <c:yVal>
            <c:numRef>
              <c:f>'sheet 1'!$S$39:$S$841</c:f>
              <c:numCache>
                <c:formatCode>General</c:formatCode>
                <c:ptCount val="8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621-4875-B88C-B488B95351CA}"/>
            </c:ext>
          </c:extLst>
        </c:ser>
        <c:ser>
          <c:idx val="6"/>
          <c:order val="6"/>
          <c:tx>
            <c:strRef>
              <c:f>'sheet 1'!$T$38</c:f>
              <c:strCache>
                <c:ptCount val="1"/>
                <c:pt idx="0">
                  <c:v>I5</c:v>
                </c:pt>
              </c:strCache>
            </c:strRef>
          </c:tx>
          <c:spPr>
            <a:ln w="28575">
              <a:noFill/>
            </a:ln>
          </c:spPr>
          <c:xVal>
            <c:numRef>
              <c:f>'sheet 1'!$B$39:$B$841</c:f>
              <c:numCache>
                <c:formatCode>General</c:formatCode>
                <c:ptCount val="803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  <c:pt idx="79">
                  <c:v>8</c:v>
                </c:pt>
                <c:pt idx="80">
                  <c:v>8.1</c:v>
                </c:pt>
                <c:pt idx="81">
                  <c:v>8.1999999999999993</c:v>
                </c:pt>
                <c:pt idx="82">
                  <c:v>8.3000000000000007</c:v>
                </c:pt>
                <c:pt idx="83">
                  <c:v>8.4</c:v>
                </c:pt>
                <c:pt idx="84">
                  <c:v>8.5</c:v>
                </c:pt>
                <c:pt idx="85">
                  <c:v>8.6</c:v>
                </c:pt>
                <c:pt idx="86">
                  <c:v>8.6999999999999993</c:v>
                </c:pt>
                <c:pt idx="87">
                  <c:v>8.8000000000000007</c:v>
                </c:pt>
                <c:pt idx="88">
                  <c:v>8.9</c:v>
                </c:pt>
                <c:pt idx="89">
                  <c:v>9</c:v>
                </c:pt>
                <c:pt idx="90">
                  <c:v>9.1</c:v>
                </c:pt>
                <c:pt idx="91">
                  <c:v>9.1999999999999993</c:v>
                </c:pt>
                <c:pt idx="92">
                  <c:v>9.3000000000000007</c:v>
                </c:pt>
                <c:pt idx="93">
                  <c:v>9.4</c:v>
                </c:pt>
                <c:pt idx="94">
                  <c:v>9.5</c:v>
                </c:pt>
                <c:pt idx="95">
                  <c:v>9.6</c:v>
                </c:pt>
                <c:pt idx="96">
                  <c:v>9.6999999999999993</c:v>
                </c:pt>
                <c:pt idx="97">
                  <c:v>9.8000000000000007</c:v>
                </c:pt>
                <c:pt idx="98">
                  <c:v>9.9</c:v>
                </c:pt>
                <c:pt idx="99">
                  <c:v>10</c:v>
                </c:pt>
                <c:pt idx="100">
                  <c:v>10.1</c:v>
                </c:pt>
                <c:pt idx="101">
                  <c:v>10.199999999999999</c:v>
                </c:pt>
                <c:pt idx="102">
                  <c:v>10.3</c:v>
                </c:pt>
                <c:pt idx="103">
                  <c:v>10.4</c:v>
                </c:pt>
                <c:pt idx="104">
                  <c:v>10.5</c:v>
                </c:pt>
                <c:pt idx="105">
                  <c:v>10.6</c:v>
                </c:pt>
                <c:pt idx="106">
                  <c:v>10.7</c:v>
                </c:pt>
                <c:pt idx="107">
                  <c:v>10.8</c:v>
                </c:pt>
                <c:pt idx="108">
                  <c:v>10.9</c:v>
                </c:pt>
                <c:pt idx="109">
                  <c:v>11</c:v>
                </c:pt>
                <c:pt idx="110">
                  <c:v>11.1</c:v>
                </c:pt>
                <c:pt idx="111">
                  <c:v>11.2</c:v>
                </c:pt>
                <c:pt idx="112">
                  <c:v>11.3</c:v>
                </c:pt>
                <c:pt idx="113">
                  <c:v>11.4</c:v>
                </c:pt>
                <c:pt idx="114">
                  <c:v>11.5</c:v>
                </c:pt>
                <c:pt idx="115">
                  <c:v>11.6</c:v>
                </c:pt>
                <c:pt idx="116">
                  <c:v>11.7</c:v>
                </c:pt>
                <c:pt idx="117">
                  <c:v>11.8</c:v>
                </c:pt>
                <c:pt idx="118">
                  <c:v>11.9</c:v>
                </c:pt>
                <c:pt idx="119">
                  <c:v>12</c:v>
                </c:pt>
                <c:pt idx="120">
                  <c:v>12.1</c:v>
                </c:pt>
                <c:pt idx="121">
                  <c:v>12.2</c:v>
                </c:pt>
                <c:pt idx="122">
                  <c:v>12.3</c:v>
                </c:pt>
                <c:pt idx="123">
                  <c:v>12.4</c:v>
                </c:pt>
                <c:pt idx="124">
                  <c:v>12.5</c:v>
                </c:pt>
                <c:pt idx="125">
                  <c:v>12.6</c:v>
                </c:pt>
                <c:pt idx="126">
                  <c:v>12.7</c:v>
                </c:pt>
                <c:pt idx="127">
                  <c:v>12.8</c:v>
                </c:pt>
                <c:pt idx="128">
                  <c:v>12.9</c:v>
                </c:pt>
                <c:pt idx="129">
                  <c:v>13</c:v>
                </c:pt>
                <c:pt idx="130">
                  <c:v>13.1</c:v>
                </c:pt>
                <c:pt idx="131">
                  <c:v>13.2</c:v>
                </c:pt>
                <c:pt idx="132">
                  <c:v>13.3</c:v>
                </c:pt>
                <c:pt idx="133">
                  <c:v>13.4</c:v>
                </c:pt>
                <c:pt idx="134">
                  <c:v>13.5</c:v>
                </c:pt>
                <c:pt idx="135">
                  <c:v>13.6</c:v>
                </c:pt>
                <c:pt idx="136">
                  <c:v>13.7</c:v>
                </c:pt>
                <c:pt idx="137">
                  <c:v>13.8</c:v>
                </c:pt>
                <c:pt idx="138">
                  <c:v>13.9</c:v>
                </c:pt>
                <c:pt idx="139">
                  <c:v>14</c:v>
                </c:pt>
                <c:pt idx="140">
                  <c:v>14.1</c:v>
                </c:pt>
                <c:pt idx="141">
                  <c:v>14.2</c:v>
                </c:pt>
                <c:pt idx="142">
                  <c:v>14.3</c:v>
                </c:pt>
                <c:pt idx="143">
                  <c:v>14.4</c:v>
                </c:pt>
                <c:pt idx="144">
                  <c:v>14.5</c:v>
                </c:pt>
                <c:pt idx="145">
                  <c:v>14.6</c:v>
                </c:pt>
                <c:pt idx="146">
                  <c:v>14.7</c:v>
                </c:pt>
                <c:pt idx="147">
                  <c:v>14.8</c:v>
                </c:pt>
                <c:pt idx="148">
                  <c:v>14.9</c:v>
                </c:pt>
                <c:pt idx="149">
                  <c:v>15</c:v>
                </c:pt>
                <c:pt idx="150">
                  <c:v>15.1</c:v>
                </c:pt>
                <c:pt idx="151">
                  <c:v>15.2</c:v>
                </c:pt>
                <c:pt idx="152">
                  <c:v>15.3</c:v>
                </c:pt>
                <c:pt idx="153">
                  <c:v>15.4</c:v>
                </c:pt>
                <c:pt idx="154">
                  <c:v>15.5</c:v>
                </c:pt>
                <c:pt idx="155">
                  <c:v>15.6</c:v>
                </c:pt>
                <c:pt idx="156">
                  <c:v>15.7</c:v>
                </c:pt>
                <c:pt idx="157">
                  <c:v>15.8</c:v>
                </c:pt>
                <c:pt idx="158">
                  <c:v>15.9</c:v>
                </c:pt>
                <c:pt idx="159">
                  <c:v>16</c:v>
                </c:pt>
                <c:pt idx="160">
                  <c:v>16.100000000000001</c:v>
                </c:pt>
                <c:pt idx="161">
                  <c:v>16.2</c:v>
                </c:pt>
                <c:pt idx="162">
                  <c:v>16.3</c:v>
                </c:pt>
                <c:pt idx="163">
                  <c:v>16.399999999999999</c:v>
                </c:pt>
                <c:pt idx="164">
                  <c:v>16.5</c:v>
                </c:pt>
                <c:pt idx="165">
                  <c:v>16.600000000000001</c:v>
                </c:pt>
                <c:pt idx="166">
                  <c:v>16.7</c:v>
                </c:pt>
                <c:pt idx="167">
                  <c:v>16.8</c:v>
                </c:pt>
                <c:pt idx="168">
                  <c:v>16.899999999999999</c:v>
                </c:pt>
                <c:pt idx="169">
                  <c:v>17</c:v>
                </c:pt>
                <c:pt idx="170">
                  <c:v>17.100000000000001</c:v>
                </c:pt>
                <c:pt idx="171">
                  <c:v>17.2</c:v>
                </c:pt>
                <c:pt idx="172">
                  <c:v>17.3</c:v>
                </c:pt>
                <c:pt idx="173">
                  <c:v>17.399999999999999</c:v>
                </c:pt>
                <c:pt idx="174">
                  <c:v>17.5</c:v>
                </c:pt>
                <c:pt idx="175">
                  <c:v>17.600000000000001</c:v>
                </c:pt>
                <c:pt idx="176">
                  <c:v>17.7</c:v>
                </c:pt>
                <c:pt idx="177">
                  <c:v>17.8</c:v>
                </c:pt>
                <c:pt idx="178">
                  <c:v>17.899999999999999</c:v>
                </c:pt>
                <c:pt idx="179">
                  <c:v>18</c:v>
                </c:pt>
                <c:pt idx="180">
                  <c:v>18.100000000000001</c:v>
                </c:pt>
                <c:pt idx="181">
                  <c:v>18.2</c:v>
                </c:pt>
                <c:pt idx="182">
                  <c:v>18.3</c:v>
                </c:pt>
                <c:pt idx="183">
                  <c:v>18.399999999999999</c:v>
                </c:pt>
                <c:pt idx="184">
                  <c:v>18.5</c:v>
                </c:pt>
                <c:pt idx="185">
                  <c:v>18.600000000000001</c:v>
                </c:pt>
                <c:pt idx="186">
                  <c:v>18.7</c:v>
                </c:pt>
                <c:pt idx="187">
                  <c:v>18.8</c:v>
                </c:pt>
                <c:pt idx="188">
                  <c:v>18.899999999999999</c:v>
                </c:pt>
                <c:pt idx="189">
                  <c:v>19</c:v>
                </c:pt>
                <c:pt idx="190">
                  <c:v>19.100000000000001</c:v>
                </c:pt>
                <c:pt idx="191">
                  <c:v>19.2</c:v>
                </c:pt>
                <c:pt idx="192">
                  <c:v>19.3</c:v>
                </c:pt>
                <c:pt idx="193">
                  <c:v>19.399999999999999</c:v>
                </c:pt>
                <c:pt idx="194">
                  <c:v>19.5</c:v>
                </c:pt>
                <c:pt idx="195">
                  <c:v>19.600000000000001</c:v>
                </c:pt>
                <c:pt idx="196">
                  <c:v>19.7</c:v>
                </c:pt>
                <c:pt idx="197">
                  <c:v>19.8</c:v>
                </c:pt>
                <c:pt idx="198">
                  <c:v>19.899999999999999</c:v>
                </c:pt>
                <c:pt idx="199">
                  <c:v>20</c:v>
                </c:pt>
                <c:pt idx="200">
                  <c:v>20.100000000000001</c:v>
                </c:pt>
                <c:pt idx="201">
                  <c:v>20.2</c:v>
                </c:pt>
                <c:pt idx="202">
                  <c:v>20.3</c:v>
                </c:pt>
                <c:pt idx="203">
                  <c:v>20.399999999999999</c:v>
                </c:pt>
                <c:pt idx="204">
                  <c:v>20.5</c:v>
                </c:pt>
                <c:pt idx="205">
                  <c:v>20.6</c:v>
                </c:pt>
                <c:pt idx="206">
                  <c:v>20.7</c:v>
                </c:pt>
                <c:pt idx="207">
                  <c:v>20.8</c:v>
                </c:pt>
                <c:pt idx="208">
                  <c:v>20.9</c:v>
                </c:pt>
                <c:pt idx="209">
                  <c:v>21</c:v>
                </c:pt>
                <c:pt idx="210">
                  <c:v>21.1</c:v>
                </c:pt>
                <c:pt idx="211">
                  <c:v>21.2</c:v>
                </c:pt>
                <c:pt idx="212">
                  <c:v>21.3</c:v>
                </c:pt>
                <c:pt idx="213">
                  <c:v>21.4</c:v>
                </c:pt>
                <c:pt idx="214">
                  <c:v>21.5</c:v>
                </c:pt>
                <c:pt idx="215">
                  <c:v>21.6</c:v>
                </c:pt>
                <c:pt idx="216">
                  <c:v>21.7</c:v>
                </c:pt>
                <c:pt idx="217">
                  <c:v>21.8</c:v>
                </c:pt>
                <c:pt idx="218">
                  <c:v>21.9</c:v>
                </c:pt>
                <c:pt idx="219">
                  <c:v>22</c:v>
                </c:pt>
                <c:pt idx="220">
                  <c:v>22.1</c:v>
                </c:pt>
                <c:pt idx="221">
                  <c:v>22.2</c:v>
                </c:pt>
                <c:pt idx="222">
                  <c:v>22.3</c:v>
                </c:pt>
                <c:pt idx="223">
                  <c:v>22.4</c:v>
                </c:pt>
                <c:pt idx="224">
                  <c:v>22.5</c:v>
                </c:pt>
                <c:pt idx="225">
                  <c:v>22.6</c:v>
                </c:pt>
                <c:pt idx="226">
                  <c:v>22.7</c:v>
                </c:pt>
                <c:pt idx="227">
                  <c:v>22.8</c:v>
                </c:pt>
                <c:pt idx="228">
                  <c:v>22.9</c:v>
                </c:pt>
                <c:pt idx="229">
                  <c:v>23</c:v>
                </c:pt>
                <c:pt idx="230">
                  <c:v>23.1</c:v>
                </c:pt>
                <c:pt idx="231">
                  <c:v>23.2</c:v>
                </c:pt>
                <c:pt idx="232">
                  <c:v>23.3</c:v>
                </c:pt>
                <c:pt idx="233">
                  <c:v>23.4</c:v>
                </c:pt>
                <c:pt idx="234">
                  <c:v>23.5</c:v>
                </c:pt>
                <c:pt idx="235">
                  <c:v>23.6</c:v>
                </c:pt>
                <c:pt idx="236">
                  <c:v>23.7</c:v>
                </c:pt>
                <c:pt idx="237">
                  <c:v>23.8</c:v>
                </c:pt>
                <c:pt idx="238">
                  <c:v>23.9</c:v>
                </c:pt>
                <c:pt idx="239">
                  <c:v>24</c:v>
                </c:pt>
                <c:pt idx="240">
                  <c:v>24.1</c:v>
                </c:pt>
                <c:pt idx="241">
                  <c:v>24.2</c:v>
                </c:pt>
                <c:pt idx="242">
                  <c:v>24.3</c:v>
                </c:pt>
                <c:pt idx="243">
                  <c:v>24.4</c:v>
                </c:pt>
                <c:pt idx="244">
                  <c:v>24.5</c:v>
                </c:pt>
                <c:pt idx="245">
                  <c:v>24.6</c:v>
                </c:pt>
                <c:pt idx="246">
                  <c:v>24.7</c:v>
                </c:pt>
                <c:pt idx="247">
                  <c:v>24.8</c:v>
                </c:pt>
                <c:pt idx="248">
                  <c:v>24.9</c:v>
                </c:pt>
                <c:pt idx="249">
                  <c:v>25</c:v>
                </c:pt>
                <c:pt idx="250">
                  <c:v>25.1</c:v>
                </c:pt>
                <c:pt idx="251">
                  <c:v>25.2</c:v>
                </c:pt>
                <c:pt idx="252">
                  <c:v>25.3</c:v>
                </c:pt>
                <c:pt idx="253">
                  <c:v>25.4</c:v>
                </c:pt>
                <c:pt idx="254">
                  <c:v>25.5</c:v>
                </c:pt>
                <c:pt idx="255">
                  <c:v>25.6</c:v>
                </c:pt>
                <c:pt idx="256">
                  <c:v>25.7</c:v>
                </c:pt>
                <c:pt idx="257">
                  <c:v>25.8</c:v>
                </c:pt>
                <c:pt idx="258">
                  <c:v>25.9</c:v>
                </c:pt>
                <c:pt idx="259">
                  <c:v>26</c:v>
                </c:pt>
                <c:pt idx="260">
                  <c:v>26.1</c:v>
                </c:pt>
                <c:pt idx="261">
                  <c:v>26.2</c:v>
                </c:pt>
                <c:pt idx="262">
                  <c:v>26.3</c:v>
                </c:pt>
                <c:pt idx="263">
                  <c:v>26.4</c:v>
                </c:pt>
                <c:pt idx="264">
                  <c:v>26.5</c:v>
                </c:pt>
                <c:pt idx="265">
                  <c:v>26.6</c:v>
                </c:pt>
                <c:pt idx="266">
                  <c:v>26.7</c:v>
                </c:pt>
                <c:pt idx="267">
                  <c:v>26.8</c:v>
                </c:pt>
                <c:pt idx="268">
                  <c:v>26.9</c:v>
                </c:pt>
                <c:pt idx="269">
                  <c:v>27</c:v>
                </c:pt>
                <c:pt idx="270">
                  <c:v>27.1</c:v>
                </c:pt>
                <c:pt idx="271">
                  <c:v>27.2</c:v>
                </c:pt>
                <c:pt idx="272">
                  <c:v>27.3</c:v>
                </c:pt>
                <c:pt idx="273">
                  <c:v>27.4</c:v>
                </c:pt>
                <c:pt idx="274">
                  <c:v>27.5</c:v>
                </c:pt>
                <c:pt idx="275">
                  <c:v>27.6</c:v>
                </c:pt>
                <c:pt idx="276">
                  <c:v>27.7</c:v>
                </c:pt>
                <c:pt idx="277">
                  <c:v>27.8</c:v>
                </c:pt>
                <c:pt idx="278">
                  <c:v>27.9</c:v>
                </c:pt>
                <c:pt idx="279">
                  <c:v>28</c:v>
                </c:pt>
                <c:pt idx="280">
                  <c:v>28.1</c:v>
                </c:pt>
                <c:pt idx="281">
                  <c:v>28.2</c:v>
                </c:pt>
                <c:pt idx="282">
                  <c:v>28.3</c:v>
                </c:pt>
                <c:pt idx="283">
                  <c:v>28.4</c:v>
                </c:pt>
                <c:pt idx="284">
                  <c:v>28.5</c:v>
                </c:pt>
                <c:pt idx="285">
                  <c:v>28.6</c:v>
                </c:pt>
                <c:pt idx="286">
                  <c:v>28.7</c:v>
                </c:pt>
                <c:pt idx="287">
                  <c:v>28.8</c:v>
                </c:pt>
                <c:pt idx="288">
                  <c:v>28.9</c:v>
                </c:pt>
                <c:pt idx="289">
                  <c:v>29</c:v>
                </c:pt>
                <c:pt idx="290">
                  <c:v>29.1</c:v>
                </c:pt>
                <c:pt idx="291">
                  <c:v>29.2</c:v>
                </c:pt>
                <c:pt idx="292">
                  <c:v>29.3</c:v>
                </c:pt>
                <c:pt idx="293">
                  <c:v>29.4</c:v>
                </c:pt>
                <c:pt idx="294">
                  <c:v>29.5</c:v>
                </c:pt>
                <c:pt idx="295">
                  <c:v>29.6</c:v>
                </c:pt>
                <c:pt idx="296">
                  <c:v>29.7</c:v>
                </c:pt>
                <c:pt idx="297">
                  <c:v>29.8</c:v>
                </c:pt>
                <c:pt idx="298">
                  <c:v>29.9</c:v>
                </c:pt>
                <c:pt idx="299">
                  <c:v>30</c:v>
                </c:pt>
                <c:pt idx="300">
                  <c:v>30.1</c:v>
                </c:pt>
                <c:pt idx="301">
                  <c:v>30.2</c:v>
                </c:pt>
                <c:pt idx="302">
                  <c:v>30.3</c:v>
                </c:pt>
                <c:pt idx="303">
                  <c:v>30.4</c:v>
                </c:pt>
                <c:pt idx="304">
                  <c:v>30.5</c:v>
                </c:pt>
                <c:pt idx="305">
                  <c:v>30.6</c:v>
                </c:pt>
                <c:pt idx="306">
                  <c:v>30.7</c:v>
                </c:pt>
                <c:pt idx="307">
                  <c:v>30.8</c:v>
                </c:pt>
                <c:pt idx="308">
                  <c:v>30.9</c:v>
                </c:pt>
                <c:pt idx="309">
                  <c:v>31</c:v>
                </c:pt>
                <c:pt idx="310">
                  <c:v>31.1</c:v>
                </c:pt>
                <c:pt idx="311">
                  <c:v>31.2</c:v>
                </c:pt>
                <c:pt idx="312">
                  <c:v>31.3</c:v>
                </c:pt>
                <c:pt idx="313">
                  <c:v>31.4</c:v>
                </c:pt>
                <c:pt idx="314">
                  <c:v>31.5</c:v>
                </c:pt>
                <c:pt idx="315">
                  <c:v>31.6</c:v>
                </c:pt>
                <c:pt idx="316">
                  <c:v>31.7</c:v>
                </c:pt>
                <c:pt idx="317">
                  <c:v>31.8</c:v>
                </c:pt>
                <c:pt idx="318">
                  <c:v>31.9</c:v>
                </c:pt>
                <c:pt idx="319">
                  <c:v>32</c:v>
                </c:pt>
                <c:pt idx="320">
                  <c:v>32.1</c:v>
                </c:pt>
                <c:pt idx="321">
                  <c:v>32.200000000000003</c:v>
                </c:pt>
                <c:pt idx="322">
                  <c:v>32.299999999999997</c:v>
                </c:pt>
                <c:pt idx="323">
                  <c:v>32.4</c:v>
                </c:pt>
                <c:pt idx="324">
                  <c:v>32.5</c:v>
                </c:pt>
                <c:pt idx="325">
                  <c:v>32.6</c:v>
                </c:pt>
                <c:pt idx="326">
                  <c:v>32.700000000000003</c:v>
                </c:pt>
                <c:pt idx="327">
                  <c:v>32.799999999999997</c:v>
                </c:pt>
                <c:pt idx="328">
                  <c:v>32.9</c:v>
                </c:pt>
                <c:pt idx="329">
                  <c:v>33</c:v>
                </c:pt>
                <c:pt idx="330">
                  <c:v>33.1</c:v>
                </c:pt>
                <c:pt idx="331">
                  <c:v>33.200000000000003</c:v>
                </c:pt>
                <c:pt idx="332">
                  <c:v>33.299999999999997</c:v>
                </c:pt>
                <c:pt idx="333">
                  <c:v>33.4</c:v>
                </c:pt>
                <c:pt idx="334">
                  <c:v>33.5</c:v>
                </c:pt>
                <c:pt idx="335">
                  <c:v>33.6</c:v>
                </c:pt>
                <c:pt idx="336">
                  <c:v>33.700000000000003</c:v>
                </c:pt>
                <c:pt idx="337">
                  <c:v>33.799999999999997</c:v>
                </c:pt>
                <c:pt idx="338">
                  <c:v>33.9</c:v>
                </c:pt>
                <c:pt idx="339">
                  <c:v>34</c:v>
                </c:pt>
                <c:pt idx="340">
                  <c:v>34.1</c:v>
                </c:pt>
                <c:pt idx="341">
                  <c:v>34.200000000000003</c:v>
                </c:pt>
                <c:pt idx="342">
                  <c:v>34.299999999999997</c:v>
                </c:pt>
                <c:pt idx="343">
                  <c:v>34.4</c:v>
                </c:pt>
                <c:pt idx="344">
                  <c:v>34.5</c:v>
                </c:pt>
                <c:pt idx="345">
                  <c:v>34.6</c:v>
                </c:pt>
                <c:pt idx="346">
                  <c:v>34.700000000000003</c:v>
                </c:pt>
                <c:pt idx="347">
                  <c:v>34.799999999999997</c:v>
                </c:pt>
                <c:pt idx="348">
                  <c:v>34.9</c:v>
                </c:pt>
                <c:pt idx="349">
                  <c:v>35</c:v>
                </c:pt>
                <c:pt idx="350">
                  <c:v>35.1</c:v>
                </c:pt>
                <c:pt idx="351">
                  <c:v>35.200000000000003</c:v>
                </c:pt>
                <c:pt idx="352">
                  <c:v>35.299999999999997</c:v>
                </c:pt>
                <c:pt idx="353">
                  <c:v>35.4</c:v>
                </c:pt>
                <c:pt idx="354">
                  <c:v>35.5</c:v>
                </c:pt>
                <c:pt idx="355">
                  <c:v>35.6</c:v>
                </c:pt>
                <c:pt idx="356">
                  <c:v>35.700000000000003</c:v>
                </c:pt>
                <c:pt idx="357">
                  <c:v>35.799999999999997</c:v>
                </c:pt>
                <c:pt idx="358">
                  <c:v>35.9</c:v>
                </c:pt>
                <c:pt idx="359">
                  <c:v>36</c:v>
                </c:pt>
                <c:pt idx="360">
                  <c:v>36.1</c:v>
                </c:pt>
                <c:pt idx="361">
                  <c:v>36.200000000000003</c:v>
                </c:pt>
                <c:pt idx="362">
                  <c:v>36.299999999999997</c:v>
                </c:pt>
                <c:pt idx="363">
                  <c:v>36.4</c:v>
                </c:pt>
                <c:pt idx="364">
                  <c:v>36.5</c:v>
                </c:pt>
                <c:pt idx="365">
                  <c:v>36.6</c:v>
                </c:pt>
                <c:pt idx="366">
                  <c:v>36.700000000000003</c:v>
                </c:pt>
                <c:pt idx="367">
                  <c:v>36.799999999999997</c:v>
                </c:pt>
                <c:pt idx="368">
                  <c:v>36.9</c:v>
                </c:pt>
                <c:pt idx="369">
                  <c:v>37</c:v>
                </c:pt>
                <c:pt idx="370">
                  <c:v>37.1</c:v>
                </c:pt>
                <c:pt idx="371">
                  <c:v>37.200000000000003</c:v>
                </c:pt>
                <c:pt idx="372">
                  <c:v>37.299999999999997</c:v>
                </c:pt>
                <c:pt idx="373">
                  <c:v>37.4</c:v>
                </c:pt>
                <c:pt idx="374">
                  <c:v>37.5</c:v>
                </c:pt>
                <c:pt idx="375">
                  <c:v>37.6</c:v>
                </c:pt>
                <c:pt idx="376">
                  <c:v>37.700000000000003</c:v>
                </c:pt>
                <c:pt idx="377">
                  <c:v>37.799999999999997</c:v>
                </c:pt>
                <c:pt idx="378">
                  <c:v>37.9</c:v>
                </c:pt>
                <c:pt idx="379">
                  <c:v>38</c:v>
                </c:pt>
                <c:pt idx="380">
                  <c:v>38.1</c:v>
                </c:pt>
                <c:pt idx="381">
                  <c:v>38.200000000000003</c:v>
                </c:pt>
                <c:pt idx="382">
                  <c:v>38.299999999999997</c:v>
                </c:pt>
                <c:pt idx="383">
                  <c:v>38.4</c:v>
                </c:pt>
                <c:pt idx="384">
                  <c:v>38.5</c:v>
                </c:pt>
                <c:pt idx="385">
                  <c:v>38.6</c:v>
                </c:pt>
                <c:pt idx="386">
                  <c:v>38.700000000000003</c:v>
                </c:pt>
                <c:pt idx="387">
                  <c:v>38.799999999999997</c:v>
                </c:pt>
                <c:pt idx="388">
                  <c:v>38.9</c:v>
                </c:pt>
                <c:pt idx="389">
                  <c:v>39</c:v>
                </c:pt>
                <c:pt idx="390">
                  <c:v>39.1</c:v>
                </c:pt>
                <c:pt idx="391">
                  <c:v>39.200000000000003</c:v>
                </c:pt>
                <c:pt idx="392">
                  <c:v>39.299999999999997</c:v>
                </c:pt>
                <c:pt idx="393">
                  <c:v>39.4</c:v>
                </c:pt>
                <c:pt idx="394">
                  <c:v>39.5</c:v>
                </c:pt>
                <c:pt idx="395">
                  <c:v>39.6</c:v>
                </c:pt>
                <c:pt idx="396">
                  <c:v>39.700000000000003</c:v>
                </c:pt>
                <c:pt idx="397">
                  <c:v>39.799999999999997</c:v>
                </c:pt>
                <c:pt idx="398">
                  <c:v>39.9</c:v>
                </c:pt>
                <c:pt idx="399">
                  <c:v>40</c:v>
                </c:pt>
                <c:pt idx="400">
                  <c:v>40.1</c:v>
                </c:pt>
                <c:pt idx="401">
                  <c:v>40.200000000000003</c:v>
                </c:pt>
                <c:pt idx="402">
                  <c:v>40.299999999999997</c:v>
                </c:pt>
                <c:pt idx="403">
                  <c:v>40.4</c:v>
                </c:pt>
                <c:pt idx="404">
                  <c:v>40.5</c:v>
                </c:pt>
                <c:pt idx="405">
                  <c:v>40.6</c:v>
                </c:pt>
                <c:pt idx="406">
                  <c:v>40.700000000000003</c:v>
                </c:pt>
                <c:pt idx="407">
                  <c:v>40.799999999999997</c:v>
                </c:pt>
                <c:pt idx="408">
                  <c:v>40.9</c:v>
                </c:pt>
                <c:pt idx="409">
                  <c:v>41</c:v>
                </c:pt>
                <c:pt idx="410">
                  <c:v>41.1</c:v>
                </c:pt>
                <c:pt idx="411">
                  <c:v>41.2</c:v>
                </c:pt>
                <c:pt idx="412">
                  <c:v>41.3</c:v>
                </c:pt>
                <c:pt idx="413">
                  <c:v>41.4</c:v>
                </c:pt>
                <c:pt idx="414">
                  <c:v>41.5</c:v>
                </c:pt>
                <c:pt idx="415">
                  <c:v>41.6</c:v>
                </c:pt>
                <c:pt idx="416">
                  <c:v>41.7</c:v>
                </c:pt>
                <c:pt idx="417">
                  <c:v>41.8</c:v>
                </c:pt>
                <c:pt idx="418">
                  <c:v>41.9</c:v>
                </c:pt>
                <c:pt idx="419">
                  <c:v>42</c:v>
                </c:pt>
                <c:pt idx="420">
                  <c:v>42.1</c:v>
                </c:pt>
                <c:pt idx="421">
                  <c:v>42.2</c:v>
                </c:pt>
                <c:pt idx="422">
                  <c:v>42.3</c:v>
                </c:pt>
                <c:pt idx="423">
                  <c:v>42.4</c:v>
                </c:pt>
                <c:pt idx="424">
                  <c:v>42.5</c:v>
                </c:pt>
                <c:pt idx="425">
                  <c:v>42.6</c:v>
                </c:pt>
                <c:pt idx="426">
                  <c:v>42.7</c:v>
                </c:pt>
                <c:pt idx="427">
                  <c:v>42.8</c:v>
                </c:pt>
                <c:pt idx="428">
                  <c:v>42.9</c:v>
                </c:pt>
                <c:pt idx="429">
                  <c:v>43</c:v>
                </c:pt>
                <c:pt idx="430">
                  <c:v>43.1</c:v>
                </c:pt>
                <c:pt idx="431">
                  <c:v>43.2</c:v>
                </c:pt>
                <c:pt idx="432">
                  <c:v>43.3</c:v>
                </c:pt>
                <c:pt idx="433">
                  <c:v>43.4</c:v>
                </c:pt>
                <c:pt idx="434">
                  <c:v>43.5</c:v>
                </c:pt>
                <c:pt idx="435">
                  <c:v>43.6</c:v>
                </c:pt>
                <c:pt idx="436">
                  <c:v>43.7</c:v>
                </c:pt>
                <c:pt idx="437">
                  <c:v>43.8</c:v>
                </c:pt>
                <c:pt idx="438">
                  <c:v>43.9</c:v>
                </c:pt>
                <c:pt idx="439">
                  <c:v>44</c:v>
                </c:pt>
                <c:pt idx="440">
                  <c:v>44.1</c:v>
                </c:pt>
                <c:pt idx="441">
                  <c:v>44.2</c:v>
                </c:pt>
                <c:pt idx="442">
                  <c:v>44.3</c:v>
                </c:pt>
                <c:pt idx="443">
                  <c:v>44.4</c:v>
                </c:pt>
                <c:pt idx="444">
                  <c:v>44.5</c:v>
                </c:pt>
                <c:pt idx="445">
                  <c:v>44.6</c:v>
                </c:pt>
                <c:pt idx="446">
                  <c:v>44.7</c:v>
                </c:pt>
                <c:pt idx="447">
                  <c:v>44.8</c:v>
                </c:pt>
                <c:pt idx="448">
                  <c:v>44.9</c:v>
                </c:pt>
                <c:pt idx="449">
                  <c:v>45</c:v>
                </c:pt>
                <c:pt idx="450">
                  <c:v>45.1</c:v>
                </c:pt>
                <c:pt idx="451">
                  <c:v>45.2</c:v>
                </c:pt>
                <c:pt idx="452">
                  <c:v>45.3</c:v>
                </c:pt>
                <c:pt idx="453">
                  <c:v>45.4</c:v>
                </c:pt>
                <c:pt idx="454">
                  <c:v>45.5</c:v>
                </c:pt>
                <c:pt idx="455">
                  <c:v>45.6</c:v>
                </c:pt>
                <c:pt idx="456">
                  <c:v>45.7</c:v>
                </c:pt>
                <c:pt idx="457">
                  <c:v>45.8</c:v>
                </c:pt>
                <c:pt idx="458">
                  <c:v>45.9</c:v>
                </c:pt>
                <c:pt idx="459">
                  <c:v>46</c:v>
                </c:pt>
                <c:pt idx="460">
                  <c:v>46.1</c:v>
                </c:pt>
                <c:pt idx="461">
                  <c:v>46.2</c:v>
                </c:pt>
                <c:pt idx="462">
                  <c:v>46.3</c:v>
                </c:pt>
                <c:pt idx="463">
                  <c:v>46.4</c:v>
                </c:pt>
                <c:pt idx="464">
                  <c:v>46.5</c:v>
                </c:pt>
                <c:pt idx="465">
                  <c:v>46.6</c:v>
                </c:pt>
                <c:pt idx="466">
                  <c:v>46.7</c:v>
                </c:pt>
                <c:pt idx="467">
                  <c:v>46.8</c:v>
                </c:pt>
                <c:pt idx="468">
                  <c:v>46.9</c:v>
                </c:pt>
                <c:pt idx="469">
                  <c:v>47</c:v>
                </c:pt>
                <c:pt idx="470">
                  <c:v>47.1</c:v>
                </c:pt>
                <c:pt idx="471">
                  <c:v>47.2</c:v>
                </c:pt>
                <c:pt idx="472">
                  <c:v>47.3</c:v>
                </c:pt>
                <c:pt idx="473">
                  <c:v>47.4</c:v>
                </c:pt>
                <c:pt idx="474">
                  <c:v>47.5</c:v>
                </c:pt>
                <c:pt idx="475">
                  <c:v>47.6</c:v>
                </c:pt>
                <c:pt idx="476">
                  <c:v>47.7</c:v>
                </c:pt>
                <c:pt idx="477">
                  <c:v>47.8</c:v>
                </c:pt>
                <c:pt idx="478">
                  <c:v>47.9</c:v>
                </c:pt>
                <c:pt idx="479">
                  <c:v>48</c:v>
                </c:pt>
                <c:pt idx="480">
                  <c:v>48.1</c:v>
                </c:pt>
                <c:pt idx="481">
                  <c:v>48.2</c:v>
                </c:pt>
                <c:pt idx="482">
                  <c:v>48.3</c:v>
                </c:pt>
                <c:pt idx="483">
                  <c:v>48.4</c:v>
                </c:pt>
                <c:pt idx="484">
                  <c:v>48.5</c:v>
                </c:pt>
                <c:pt idx="485">
                  <c:v>48.6</c:v>
                </c:pt>
                <c:pt idx="486">
                  <c:v>48.7</c:v>
                </c:pt>
                <c:pt idx="487">
                  <c:v>48.8</c:v>
                </c:pt>
                <c:pt idx="488">
                  <c:v>48.9</c:v>
                </c:pt>
                <c:pt idx="489">
                  <c:v>49</c:v>
                </c:pt>
                <c:pt idx="490">
                  <c:v>49.1</c:v>
                </c:pt>
                <c:pt idx="491">
                  <c:v>49.2</c:v>
                </c:pt>
                <c:pt idx="492">
                  <c:v>49.3</c:v>
                </c:pt>
                <c:pt idx="493">
                  <c:v>49.4</c:v>
                </c:pt>
                <c:pt idx="494">
                  <c:v>49.5</c:v>
                </c:pt>
                <c:pt idx="495">
                  <c:v>49.6</c:v>
                </c:pt>
                <c:pt idx="496">
                  <c:v>49.7</c:v>
                </c:pt>
                <c:pt idx="497">
                  <c:v>49.8</c:v>
                </c:pt>
                <c:pt idx="498">
                  <c:v>49.9</c:v>
                </c:pt>
                <c:pt idx="499">
                  <c:v>50</c:v>
                </c:pt>
                <c:pt idx="500">
                  <c:v>50.1</c:v>
                </c:pt>
                <c:pt idx="501">
                  <c:v>50.2</c:v>
                </c:pt>
                <c:pt idx="502">
                  <c:v>50.3</c:v>
                </c:pt>
                <c:pt idx="503">
                  <c:v>50.4</c:v>
                </c:pt>
                <c:pt idx="504">
                  <c:v>50.5</c:v>
                </c:pt>
                <c:pt idx="505">
                  <c:v>50.6</c:v>
                </c:pt>
                <c:pt idx="506">
                  <c:v>50.7</c:v>
                </c:pt>
                <c:pt idx="507">
                  <c:v>50.8</c:v>
                </c:pt>
                <c:pt idx="508">
                  <c:v>50.9</c:v>
                </c:pt>
                <c:pt idx="509">
                  <c:v>51</c:v>
                </c:pt>
                <c:pt idx="510">
                  <c:v>51.1</c:v>
                </c:pt>
                <c:pt idx="511">
                  <c:v>51.2</c:v>
                </c:pt>
                <c:pt idx="512">
                  <c:v>51.3</c:v>
                </c:pt>
                <c:pt idx="513">
                  <c:v>51.4</c:v>
                </c:pt>
                <c:pt idx="514">
                  <c:v>51.5</c:v>
                </c:pt>
                <c:pt idx="515">
                  <c:v>51.6</c:v>
                </c:pt>
                <c:pt idx="516">
                  <c:v>51.7</c:v>
                </c:pt>
                <c:pt idx="517">
                  <c:v>51.8</c:v>
                </c:pt>
                <c:pt idx="518">
                  <c:v>51.9</c:v>
                </c:pt>
                <c:pt idx="519">
                  <c:v>52</c:v>
                </c:pt>
                <c:pt idx="520">
                  <c:v>52.1</c:v>
                </c:pt>
                <c:pt idx="521">
                  <c:v>52.2</c:v>
                </c:pt>
                <c:pt idx="522">
                  <c:v>52.3</c:v>
                </c:pt>
                <c:pt idx="523">
                  <c:v>52.4</c:v>
                </c:pt>
                <c:pt idx="524">
                  <c:v>52.5</c:v>
                </c:pt>
                <c:pt idx="525">
                  <c:v>52.6</c:v>
                </c:pt>
                <c:pt idx="526">
                  <c:v>52.7</c:v>
                </c:pt>
                <c:pt idx="527">
                  <c:v>52.8</c:v>
                </c:pt>
                <c:pt idx="528">
                  <c:v>52.9</c:v>
                </c:pt>
                <c:pt idx="529">
                  <c:v>53</c:v>
                </c:pt>
                <c:pt idx="530">
                  <c:v>53.1</c:v>
                </c:pt>
                <c:pt idx="531">
                  <c:v>53.2</c:v>
                </c:pt>
                <c:pt idx="532">
                  <c:v>53.3</c:v>
                </c:pt>
                <c:pt idx="533">
                  <c:v>53.4</c:v>
                </c:pt>
                <c:pt idx="534">
                  <c:v>53.5</c:v>
                </c:pt>
                <c:pt idx="535">
                  <c:v>53.6</c:v>
                </c:pt>
                <c:pt idx="536">
                  <c:v>53.7</c:v>
                </c:pt>
                <c:pt idx="537">
                  <c:v>53.8</c:v>
                </c:pt>
                <c:pt idx="538">
                  <c:v>53.9</c:v>
                </c:pt>
                <c:pt idx="539">
                  <c:v>54</c:v>
                </c:pt>
                <c:pt idx="540">
                  <c:v>54.1</c:v>
                </c:pt>
                <c:pt idx="541">
                  <c:v>54.2</c:v>
                </c:pt>
                <c:pt idx="542">
                  <c:v>54.3</c:v>
                </c:pt>
                <c:pt idx="543">
                  <c:v>54.4</c:v>
                </c:pt>
                <c:pt idx="544">
                  <c:v>54.5</c:v>
                </c:pt>
                <c:pt idx="545">
                  <c:v>54.6</c:v>
                </c:pt>
                <c:pt idx="546">
                  <c:v>54.7</c:v>
                </c:pt>
                <c:pt idx="547">
                  <c:v>54.8</c:v>
                </c:pt>
                <c:pt idx="548">
                  <c:v>54.9</c:v>
                </c:pt>
                <c:pt idx="549">
                  <c:v>55</c:v>
                </c:pt>
                <c:pt idx="550">
                  <c:v>55.1</c:v>
                </c:pt>
                <c:pt idx="551">
                  <c:v>55.2</c:v>
                </c:pt>
                <c:pt idx="552">
                  <c:v>55.3</c:v>
                </c:pt>
                <c:pt idx="553">
                  <c:v>55.4</c:v>
                </c:pt>
                <c:pt idx="554">
                  <c:v>55.5</c:v>
                </c:pt>
                <c:pt idx="555">
                  <c:v>55.6</c:v>
                </c:pt>
                <c:pt idx="556">
                  <c:v>55.7</c:v>
                </c:pt>
                <c:pt idx="557">
                  <c:v>55.8</c:v>
                </c:pt>
                <c:pt idx="558">
                  <c:v>55.9</c:v>
                </c:pt>
                <c:pt idx="559">
                  <c:v>56</c:v>
                </c:pt>
                <c:pt idx="560">
                  <c:v>56.1</c:v>
                </c:pt>
                <c:pt idx="561">
                  <c:v>56.2</c:v>
                </c:pt>
                <c:pt idx="562">
                  <c:v>56.3</c:v>
                </c:pt>
                <c:pt idx="563">
                  <c:v>56.4</c:v>
                </c:pt>
                <c:pt idx="564">
                  <c:v>56.5</c:v>
                </c:pt>
                <c:pt idx="565">
                  <c:v>56.6</c:v>
                </c:pt>
                <c:pt idx="566">
                  <c:v>56.7</c:v>
                </c:pt>
                <c:pt idx="567">
                  <c:v>56.8</c:v>
                </c:pt>
                <c:pt idx="568">
                  <c:v>56.9</c:v>
                </c:pt>
                <c:pt idx="569">
                  <c:v>57</c:v>
                </c:pt>
                <c:pt idx="570">
                  <c:v>57.1</c:v>
                </c:pt>
                <c:pt idx="571">
                  <c:v>57.2</c:v>
                </c:pt>
                <c:pt idx="572">
                  <c:v>57.3</c:v>
                </c:pt>
                <c:pt idx="573">
                  <c:v>57.4</c:v>
                </c:pt>
                <c:pt idx="574">
                  <c:v>57.5</c:v>
                </c:pt>
                <c:pt idx="575">
                  <c:v>57.6</c:v>
                </c:pt>
                <c:pt idx="576">
                  <c:v>57.7</c:v>
                </c:pt>
                <c:pt idx="577">
                  <c:v>57.8</c:v>
                </c:pt>
                <c:pt idx="578">
                  <c:v>57.9</c:v>
                </c:pt>
                <c:pt idx="579">
                  <c:v>58</c:v>
                </c:pt>
                <c:pt idx="580">
                  <c:v>58.1</c:v>
                </c:pt>
                <c:pt idx="581">
                  <c:v>58.2</c:v>
                </c:pt>
                <c:pt idx="582">
                  <c:v>58.3</c:v>
                </c:pt>
                <c:pt idx="583">
                  <c:v>58.4</c:v>
                </c:pt>
                <c:pt idx="584">
                  <c:v>58.5</c:v>
                </c:pt>
                <c:pt idx="585">
                  <c:v>58.6</c:v>
                </c:pt>
                <c:pt idx="586">
                  <c:v>58.7</c:v>
                </c:pt>
                <c:pt idx="587">
                  <c:v>58.8</c:v>
                </c:pt>
                <c:pt idx="588">
                  <c:v>58.9</c:v>
                </c:pt>
                <c:pt idx="589">
                  <c:v>59</c:v>
                </c:pt>
                <c:pt idx="590">
                  <c:v>59.1</c:v>
                </c:pt>
                <c:pt idx="591">
                  <c:v>59.2</c:v>
                </c:pt>
                <c:pt idx="592">
                  <c:v>59.3</c:v>
                </c:pt>
                <c:pt idx="593">
                  <c:v>59.4</c:v>
                </c:pt>
                <c:pt idx="594">
                  <c:v>59.5</c:v>
                </c:pt>
                <c:pt idx="595">
                  <c:v>59.6</c:v>
                </c:pt>
                <c:pt idx="596">
                  <c:v>59.7</c:v>
                </c:pt>
                <c:pt idx="597">
                  <c:v>59.8</c:v>
                </c:pt>
                <c:pt idx="598">
                  <c:v>59.9</c:v>
                </c:pt>
                <c:pt idx="599">
                  <c:v>60</c:v>
                </c:pt>
                <c:pt idx="600">
                  <c:v>60.1</c:v>
                </c:pt>
                <c:pt idx="601">
                  <c:v>60.2</c:v>
                </c:pt>
                <c:pt idx="602">
                  <c:v>60.3</c:v>
                </c:pt>
                <c:pt idx="603">
                  <c:v>60.4</c:v>
                </c:pt>
                <c:pt idx="604">
                  <c:v>60.5</c:v>
                </c:pt>
                <c:pt idx="605">
                  <c:v>60.6</c:v>
                </c:pt>
                <c:pt idx="606">
                  <c:v>60.7</c:v>
                </c:pt>
                <c:pt idx="607">
                  <c:v>60.8</c:v>
                </c:pt>
                <c:pt idx="608">
                  <c:v>60.9</c:v>
                </c:pt>
                <c:pt idx="609">
                  <c:v>61</c:v>
                </c:pt>
                <c:pt idx="610">
                  <c:v>61.1</c:v>
                </c:pt>
                <c:pt idx="611">
                  <c:v>61.2</c:v>
                </c:pt>
                <c:pt idx="612">
                  <c:v>61.3</c:v>
                </c:pt>
                <c:pt idx="613">
                  <c:v>61.4</c:v>
                </c:pt>
                <c:pt idx="614">
                  <c:v>61.5</c:v>
                </c:pt>
                <c:pt idx="615">
                  <c:v>61.6</c:v>
                </c:pt>
                <c:pt idx="616">
                  <c:v>61.7</c:v>
                </c:pt>
                <c:pt idx="617">
                  <c:v>61.8</c:v>
                </c:pt>
                <c:pt idx="618">
                  <c:v>61.9</c:v>
                </c:pt>
                <c:pt idx="619">
                  <c:v>62</c:v>
                </c:pt>
                <c:pt idx="620">
                  <c:v>62.1</c:v>
                </c:pt>
                <c:pt idx="621">
                  <c:v>62.2</c:v>
                </c:pt>
                <c:pt idx="622">
                  <c:v>62.3</c:v>
                </c:pt>
                <c:pt idx="623">
                  <c:v>62.4</c:v>
                </c:pt>
                <c:pt idx="624">
                  <c:v>62.5</c:v>
                </c:pt>
                <c:pt idx="625">
                  <c:v>62.6</c:v>
                </c:pt>
                <c:pt idx="626">
                  <c:v>62.7</c:v>
                </c:pt>
                <c:pt idx="627">
                  <c:v>62.8</c:v>
                </c:pt>
                <c:pt idx="628">
                  <c:v>62.9</c:v>
                </c:pt>
                <c:pt idx="629">
                  <c:v>63</c:v>
                </c:pt>
                <c:pt idx="630">
                  <c:v>63.1</c:v>
                </c:pt>
                <c:pt idx="631">
                  <c:v>63.2</c:v>
                </c:pt>
                <c:pt idx="632">
                  <c:v>63.3</c:v>
                </c:pt>
                <c:pt idx="633">
                  <c:v>63.4</c:v>
                </c:pt>
                <c:pt idx="634">
                  <c:v>63.5</c:v>
                </c:pt>
                <c:pt idx="635">
                  <c:v>63.6</c:v>
                </c:pt>
                <c:pt idx="636">
                  <c:v>63.7</c:v>
                </c:pt>
                <c:pt idx="637">
                  <c:v>63.8</c:v>
                </c:pt>
                <c:pt idx="638">
                  <c:v>63.9</c:v>
                </c:pt>
                <c:pt idx="639">
                  <c:v>64</c:v>
                </c:pt>
                <c:pt idx="640">
                  <c:v>64.099999999999994</c:v>
                </c:pt>
                <c:pt idx="641">
                  <c:v>64.2</c:v>
                </c:pt>
                <c:pt idx="642">
                  <c:v>64.3</c:v>
                </c:pt>
                <c:pt idx="643">
                  <c:v>64.400000000000006</c:v>
                </c:pt>
                <c:pt idx="644">
                  <c:v>64.5</c:v>
                </c:pt>
                <c:pt idx="645">
                  <c:v>64.599999999999994</c:v>
                </c:pt>
                <c:pt idx="646">
                  <c:v>64.7</c:v>
                </c:pt>
                <c:pt idx="647">
                  <c:v>64.8</c:v>
                </c:pt>
                <c:pt idx="648">
                  <c:v>64.900000000000006</c:v>
                </c:pt>
                <c:pt idx="649">
                  <c:v>65</c:v>
                </c:pt>
                <c:pt idx="650">
                  <c:v>65.099999999999994</c:v>
                </c:pt>
                <c:pt idx="651">
                  <c:v>65.2</c:v>
                </c:pt>
                <c:pt idx="652">
                  <c:v>65.3</c:v>
                </c:pt>
                <c:pt idx="653">
                  <c:v>65.400000000000006</c:v>
                </c:pt>
                <c:pt idx="654">
                  <c:v>65.5</c:v>
                </c:pt>
                <c:pt idx="655">
                  <c:v>65.599999999999994</c:v>
                </c:pt>
                <c:pt idx="656">
                  <c:v>65.7</c:v>
                </c:pt>
                <c:pt idx="657">
                  <c:v>65.8</c:v>
                </c:pt>
                <c:pt idx="658">
                  <c:v>65.900000000000006</c:v>
                </c:pt>
                <c:pt idx="659">
                  <c:v>66</c:v>
                </c:pt>
                <c:pt idx="660">
                  <c:v>66.099999999999994</c:v>
                </c:pt>
                <c:pt idx="661">
                  <c:v>66.2</c:v>
                </c:pt>
                <c:pt idx="662">
                  <c:v>66.3</c:v>
                </c:pt>
                <c:pt idx="663">
                  <c:v>66.400000000000006</c:v>
                </c:pt>
                <c:pt idx="664">
                  <c:v>66.5</c:v>
                </c:pt>
                <c:pt idx="665">
                  <c:v>66.599999999999994</c:v>
                </c:pt>
                <c:pt idx="666">
                  <c:v>66.7</c:v>
                </c:pt>
                <c:pt idx="667">
                  <c:v>66.8</c:v>
                </c:pt>
                <c:pt idx="668">
                  <c:v>66.900000000000006</c:v>
                </c:pt>
                <c:pt idx="669">
                  <c:v>67</c:v>
                </c:pt>
                <c:pt idx="670">
                  <c:v>67.099999999999994</c:v>
                </c:pt>
                <c:pt idx="671">
                  <c:v>67.2</c:v>
                </c:pt>
                <c:pt idx="672">
                  <c:v>67.3</c:v>
                </c:pt>
                <c:pt idx="673">
                  <c:v>67.400000000000006</c:v>
                </c:pt>
                <c:pt idx="674">
                  <c:v>67.5</c:v>
                </c:pt>
                <c:pt idx="675">
                  <c:v>67.599999999999994</c:v>
                </c:pt>
                <c:pt idx="676">
                  <c:v>67.7</c:v>
                </c:pt>
                <c:pt idx="677">
                  <c:v>67.8</c:v>
                </c:pt>
                <c:pt idx="678">
                  <c:v>67.900000000000006</c:v>
                </c:pt>
                <c:pt idx="679">
                  <c:v>68</c:v>
                </c:pt>
                <c:pt idx="680">
                  <c:v>68.099999999999994</c:v>
                </c:pt>
                <c:pt idx="681">
                  <c:v>68.2</c:v>
                </c:pt>
                <c:pt idx="682">
                  <c:v>68.3</c:v>
                </c:pt>
                <c:pt idx="683">
                  <c:v>68.400000000000006</c:v>
                </c:pt>
                <c:pt idx="684">
                  <c:v>68.5</c:v>
                </c:pt>
                <c:pt idx="685">
                  <c:v>68.599999999999994</c:v>
                </c:pt>
                <c:pt idx="686">
                  <c:v>68.7</c:v>
                </c:pt>
                <c:pt idx="687">
                  <c:v>68.8</c:v>
                </c:pt>
                <c:pt idx="688">
                  <c:v>68.900000000000006</c:v>
                </c:pt>
                <c:pt idx="689">
                  <c:v>69</c:v>
                </c:pt>
                <c:pt idx="690">
                  <c:v>69.099999999999994</c:v>
                </c:pt>
                <c:pt idx="691">
                  <c:v>69.2</c:v>
                </c:pt>
                <c:pt idx="692">
                  <c:v>69.3</c:v>
                </c:pt>
                <c:pt idx="693">
                  <c:v>69.400000000000006</c:v>
                </c:pt>
                <c:pt idx="694">
                  <c:v>69.5</c:v>
                </c:pt>
                <c:pt idx="695">
                  <c:v>69.599999999999994</c:v>
                </c:pt>
                <c:pt idx="696">
                  <c:v>69.7</c:v>
                </c:pt>
                <c:pt idx="697">
                  <c:v>69.8</c:v>
                </c:pt>
                <c:pt idx="698">
                  <c:v>69.900000000000006</c:v>
                </c:pt>
                <c:pt idx="699">
                  <c:v>70</c:v>
                </c:pt>
                <c:pt idx="700">
                  <c:v>70.099999999999994</c:v>
                </c:pt>
                <c:pt idx="701">
                  <c:v>70.2</c:v>
                </c:pt>
                <c:pt idx="702">
                  <c:v>70.3</c:v>
                </c:pt>
                <c:pt idx="703">
                  <c:v>70.400000000000006</c:v>
                </c:pt>
                <c:pt idx="704">
                  <c:v>70.5</c:v>
                </c:pt>
                <c:pt idx="705">
                  <c:v>70.599999999999994</c:v>
                </c:pt>
                <c:pt idx="706">
                  <c:v>70.7</c:v>
                </c:pt>
                <c:pt idx="707">
                  <c:v>70.8</c:v>
                </c:pt>
                <c:pt idx="708">
                  <c:v>70.900000000000006</c:v>
                </c:pt>
                <c:pt idx="709">
                  <c:v>71</c:v>
                </c:pt>
                <c:pt idx="710">
                  <c:v>71.099999999999994</c:v>
                </c:pt>
                <c:pt idx="711">
                  <c:v>71.2</c:v>
                </c:pt>
                <c:pt idx="712">
                  <c:v>71.3</c:v>
                </c:pt>
                <c:pt idx="713">
                  <c:v>71.400000000000006</c:v>
                </c:pt>
                <c:pt idx="714">
                  <c:v>71.5</c:v>
                </c:pt>
                <c:pt idx="715">
                  <c:v>71.599999999999994</c:v>
                </c:pt>
                <c:pt idx="716">
                  <c:v>71.7</c:v>
                </c:pt>
                <c:pt idx="717">
                  <c:v>71.8</c:v>
                </c:pt>
                <c:pt idx="718">
                  <c:v>71.900000000000006</c:v>
                </c:pt>
                <c:pt idx="719">
                  <c:v>72</c:v>
                </c:pt>
                <c:pt idx="720">
                  <c:v>72.099999999999994</c:v>
                </c:pt>
                <c:pt idx="721">
                  <c:v>72.2</c:v>
                </c:pt>
                <c:pt idx="722">
                  <c:v>72.3</c:v>
                </c:pt>
                <c:pt idx="723">
                  <c:v>72.400000000000006</c:v>
                </c:pt>
                <c:pt idx="724">
                  <c:v>72.5</c:v>
                </c:pt>
                <c:pt idx="725">
                  <c:v>72.599999999999994</c:v>
                </c:pt>
                <c:pt idx="726">
                  <c:v>72.7</c:v>
                </c:pt>
                <c:pt idx="727">
                  <c:v>72.8</c:v>
                </c:pt>
                <c:pt idx="728">
                  <c:v>72.900000000000006</c:v>
                </c:pt>
                <c:pt idx="729">
                  <c:v>73</c:v>
                </c:pt>
                <c:pt idx="730">
                  <c:v>73.099999999999994</c:v>
                </c:pt>
                <c:pt idx="731">
                  <c:v>73.2</c:v>
                </c:pt>
                <c:pt idx="732">
                  <c:v>73.3</c:v>
                </c:pt>
                <c:pt idx="733">
                  <c:v>73.400000000000006</c:v>
                </c:pt>
                <c:pt idx="734">
                  <c:v>73.5</c:v>
                </c:pt>
                <c:pt idx="735">
                  <c:v>73.599999999999994</c:v>
                </c:pt>
                <c:pt idx="736">
                  <c:v>73.7</c:v>
                </c:pt>
                <c:pt idx="737">
                  <c:v>73.8</c:v>
                </c:pt>
                <c:pt idx="738">
                  <c:v>73.900000000000006</c:v>
                </c:pt>
                <c:pt idx="739">
                  <c:v>74</c:v>
                </c:pt>
                <c:pt idx="740">
                  <c:v>74.099999999999994</c:v>
                </c:pt>
                <c:pt idx="741">
                  <c:v>74.2</c:v>
                </c:pt>
                <c:pt idx="742">
                  <c:v>74.3</c:v>
                </c:pt>
                <c:pt idx="743">
                  <c:v>74.400000000000006</c:v>
                </c:pt>
                <c:pt idx="744">
                  <c:v>74.5</c:v>
                </c:pt>
                <c:pt idx="745">
                  <c:v>74.599999999999994</c:v>
                </c:pt>
                <c:pt idx="746">
                  <c:v>74.7</c:v>
                </c:pt>
                <c:pt idx="747">
                  <c:v>74.8</c:v>
                </c:pt>
                <c:pt idx="748">
                  <c:v>74.900000000000006</c:v>
                </c:pt>
                <c:pt idx="749">
                  <c:v>75</c:v>
                </c:pt>
              </c:numCache>
            </c:numRef>
          </c:xVal>
          <c:yVal>
            <c:numRef>
              <c:f>'sheet 1'!$T$39:$T$841</c:f>
              <c:numCache>
                <c:formatCode>General</c:formatCode>
                <c:ptCount val="8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621-4875-B88C-B488B95351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29312"/>
        <c:axId val="90530176"/>
      </c:scatterChart>
      <c:valAx>
        <c:axId val="86829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Τ(</a:t>
                </a:r>
                <a:r>
                  <a:rPr lang="en-US"/>
                  <a:t>s)</a:t>
                </a:r>
                <a:endParaRPr lang="el-G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90530176"/>
        <c:crosses val="autoZero"/>
        <c:crossBetween val="midCat"/>
      </c:valAx>
      <c:valAx>
        <c:axId val="90530176"/>
        <c:scaling>
          <c:logBase val="10"/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CW OSL Intensity (au)</a:t>
                </a:r>
                <a:endParaRPr lang="el-G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8682931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206375</xdr:colOff>
      <xdr:row>1</xdr:row>
      <xdr:rowOff>160869</xdr:rowOff>
    </xdr:from>
    <xdr:to>
      <xdr:col>8</xdr:col>
      <xdr:colOff>204612</xdr:colOff>
      <xdr:row>11</xdr:row>
      <xdr:rowOff>49389</xdr:rowOff>
    </xdr:to>
    <xdr:sp macro="" textlink="">
      <xdr:nvSpPr>
        <xdr:cNvPr id="2" name="1 - TextBox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206375" y="344313"/>
          <a:ext cx="5826126" cy="172296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 b="1" u="sng"/>
            <a:t>CW - OSL fitting</a:t>
          </a:r>
          <a:r>
            <a:rPr lang="en-US" sz="1100" b="1" u="sng" baseline="0"/>
            <a:t> with Lambert W0 function:</a:t>
          </a:r>
        </a:p>
        <a:p>
          <a:endParaRPr lang="en-US" sz="1100" b="1" baseline="0"/>
        </a:p>
        <a:p>
          <a:r>
            <a:rPr lang="en-US" sz="1100" b="1" baseline="0"/>
            <a:t>Ri = An/Am</a:t>
          </a:r>
        </a:p>
        <a:p>
          <a:endParaRPr lang="en-US" sz="1100" b="1"/>
        </a:p>
        <a:p>
          <a:r>
            <a:rPr lang="en-US" sz="1100" b="1"/>
            <a:t>C=(n0/N)*[(1-Ri)/Ri]&gt;0,</a:t>
          </a:r>
          <a:r>
            <a:rPr lang="en-US" sz="1100" b="1" baseline="0"/>
            <a:t> </a:t>
          </a:r>
          <a:r>
            <a:rPr lang="el-GR" sz="1100" b="1" baseline="0"/>
            <a:t>όπου  </a:t>
          </a:r>
          <a:r>
            <a:rPr lang="en-US" sz="1100" b="1" baseline="0"/>
            <a:t>n0=N</a:t>
          </a:r>
          <a:r>
            <a:rPr lang="el-GR" sz="1100" b="1" baseline="0"/>
            <a:t>, άρα </a:t>
          </a:r>
          <a:r>
            <a:rPr lang="en-US" sz="1100" b="1" baseline="0"/>
            <a:t>C=(1-Ri)/Ri</a:t>
          </a:r>
        </a:p>
        <a:p>
          <a:endParaRPr lang="en-US" sz="1100" b="1" baseline="0"/>
        </a:p>
        <a:p>
          <a:r>
            <a:rPr lang="en-US" sz="1100" b="1" baseline="0"/>
            <a:t>zi=Ri/(</a:t>
          </a:r>
          <a:r>
            <a:rPr lang="el-GR" sz="1100" b="1" baseline="0"/>
            <a:t>1-</a:t>
          </a:r>
          <a:r>
            <a:rPr lang="en-US" sz="1100" b="1" baseline="0"/>
            <a:t>Ri)-ln[(1-Ri)/Ri]+</a:t>
          </a:r>
          <a:r>
            <a:rPr lang="el-GR" sz="1100" b="1" baseline="0"/>
            <a:t>λ</a:t>
          </a:r>
          <a:r>
            <a:rPr lang="en-US" sz="1100" b="1" baseline="0"/>
            <a:t>i*t/(1-Ri)</a:t>
          </a:r>
        </a:p>
        <a:p>
          <a:endParaRPr lang="en-US" sz="1100" b="1" baseline="0"/>
        </a:p>
        <a:p>
          <a:r>
            <a:rPr lang="en-US" sz="1100" b="1" baseline="0"/>
            <a:t>Itot= </a:t>
          </a:r>
          <a:r>
            <a:rPr lang="el-GR" sz="1100" b="1" baseline="0"/>
            <a:t>Σ</a:t>
          </a:r>
          <a:r>
            <a:rPr lang="en-US" sz="1100" b="1" baseline="0"/>
            <a:t>(Ii)=[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N1*Ri/(1-Ri)^2</a:t>
          </a:r>
          <a:r>
            <a:rPr lang="en-US" sz="1100" b="1" baseline="0"/>
            <a:t>*</a:t>
          </a:r>
          <a:r>
            <a:rPr lang="el-GR" sz="1100" b="1" baseline="0"/>
            <a:t>λ1/</a:t>
          </a:r>
          <a:r>
            <a:rPr lang="en-US" sz="1100" b="1" baseline="0"/>
            <a:t>(W(e^z1)+W(e^z1)^2)+ 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N2*Ri/(1-Ri)^2</a:t>
          </a:r>
          <a:r>
            <a:rPr lang="en-US" sz="1100" b="1" baseline="0"/>
            <a:t>*</a:t>
          </a:r>
          <a:r>
            <a:rPr lang="el-GR" sz="1100" b="1" baseline="0"/>
            <a:t>λ2/(</a:t>
          </a:r>
          <a:r>
            <a:rPr lang="en-US" sz="1100" b="1" baseline="0"/>
            <a:t>W(e^z2)+W(e^z2)+...</a:t>
          </a:r>
          <a:endParaRPr lang="el-GR" sz="1100" b="1"/>
        </a:p>
      </xdr:txBody>
    </xdr:sp>
    <xdr:clientData/>
  </xdr:twoCellAnchor>
  <xdr:twoCellAnchor>
    <xdr:from>
      <xdr:col>9</xdr:col>
      <xdr:colOff>8117</xdr:colOff>
      <xdr:row>8</xdr:row>
      <xdr:rowOff>91013</xdr:rowOff>
    </xdr:from>
    <xdr:to>
      <xdr:col>19</xdr:col>
      <xdr:colOff>579971</xdr:colOff>
      <xdr:row>35</xdr:row>
      <xdr:rowOff>135464</xdr:rowOff>
    </xdr:to>
    <xdr:graphicFrame macro="">
      <xdr:nvGraphicFramePr>
        <xdr:cNvPr id="4" name="3 - Γράφημα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____2"/>
  <dimension ref="A2:AB838"/>
  <sheetViews>
    <sheetView tabSelected="1" zoomScale="90" zoomScaleNormal="90" workbookViewId="0">
      <selection activeCell="G15" sqref="G15"/>
    </sheetView>
  </sheetViews>
  <sheetFormatPr defaultRowHeight="14.5" x14ac:dyDescent="0.35"/>
  <cols>
    <col min="2" max="3" width="14.453125" customWidth="1"/>
    <col min="5" max="5" width="11.08984375" customWidth="1"/>
    <col min="9" max="9" width="5.90625" customWidth="1"/>
    <col min="10" max="10" width="12" customWidth="1"/>
    <col min="11" max="11" width="13" customWidth="1"/>
    <col min="12" max="12" width="14.08984375" customWidth="1"/>
    <col min="13" max="13" width="15.54296875" customWidth="1"/>
    <col min="14" max="14" width="14" customWidth="1"/>
    <col min="15" max="15" width="5.90625" customWidth="1"/>
    <col min="21" max="21" width="4.6328125" customWidth="1"/>
    <col min="22" max="22" width="15.453125" customWidth="1"/>
    <col min="23" max="23" width="6.08984375" customWidth="1"/>
    <col min="24" max="24" width="23.36328125" customWidth="1"/>
    <col min="25" max="25" width="19.54296875" customWidth="1"/>
    <col min="26" max="26" width="12.1796875" bestFit="1" customWidth="1"/>
  </cols>
  <sheetData>
    <row r="2" spans="11:11" x14ac:dyDescent="0.35">
      <c r="K2" s="22" t="s">
        <v>29</v>
      </c>
    </row>
    <row r="3" spans="11:11" x14ac:dyDescent="0.35">
      <c r="K3" s="23" t="s">
        <v>30</v>
      </c>
    </row>
    <row r="4" spans="11:11" x14ac:dyDescent="0.35">
      <c r="K4" s="23" t="s">
        <v>31</v>
      </c>
    </row>
    <row r="5" spans="11:11" x14ac:dyDescent="0.35">
      <c r="K5" s="23" t="s">
        <v>32</v>
      </c>
    </row>
    <row r="6" spans="11:11" x14ac:dyDescent="0.35">
      <c r="K6" s="23" t="s">
        <v>33</v>
      </c>
    </row>
    <row r="19" spans="1:7" x14ac:dyDescent="0.35">
      <c r="E19" s="26" t="s">
        <v>35</v>
      </c>
    </row>
    <row r="20" spans="1:7" x14ac:dyDescent="0.35">
      <c r="A20" s="25" t="s">
        <v>34</v>
      </c>
      <c r="B20" s="8"/>
      <c r="C20" s="1">
        <v>1</v>
      </c>
      <c r="D20" s="1">
        <v>2</v>
      </c>
      <c r="E20" s="1">
        <v>3</v>
      </c>
      <c r="F20" s="1">
        <v>4</v>
      </c>
      <c r="G20" s="1">
        <v>5</v>
      </c>
    </row>
    <row r="21" spans="1:7" x14ac:dyDescent="0.35">
      <c r="A21">
        <v>1000</v>
      </c>
      <c r="B21" s="6" t="s">
        <v>39</v>
      </c>
      <c r="C21" s="19">
        <v>6.9732262100779066</v>
      </c>
      <c r="D21" s="19">
        <v>9.5398352984187067</v>
      </c>
      <c r="E21" s="19">
        <v>0</v>
      </c>
      <c r="F21" s="9">
        <v>0</v>
      </c>
      <c r="G21" s="9">
        <v>0</v>
      </c>
    </row>
    <row r="22" spans="1:7" x14ac:dyDescent="0.35">
      <c r="B22" s="6" t="s">
        <v>0</v>
      </c>
      <c r="C22" s="19">
        <v>0.21914019649346511</v>
      </c>
      <c r="D22" s="19">
        <v>5.3338763288846673E-2</v>
      </c>
      <c r="E22" s="19">
        <v>0.1</v>
      </c>
      <c r="F22" s="9">
        <v>0.1</v>
      </c>
      <c r="G22" s="9">
        <v>0.1</v>
      </c>
    </row>
    <row r="23" spans="1:7" x14ac:dyDescent="0.35">
      <c r="B23" s="6" t="s">
        <v>1</v>
      </c>
      <c r="C23" s="19">
        <v>0.84402759546490103</v>
      </c>
      <c r="D23" s="19">
        <v>0.12915292904869036</v>
      </c>
      <c r="E23" s="19">
        <v>0.1</v>
      </c>
      <c r="F23" s="9">
        <v>0.1</v>
      </c>
      <c r="G23" s="9">
        <v>0.1</v>
      </c>
    </row>
    <row r="24" spans="1:7" x14ac:dyDescent="0.35">
      <c r="G24" s="24"/>
    </row>
    <row r="25" spans="1:7" x14ac:dyDescent="0.35">
      <c r="B25" s="6" t="s">
        <v>36</v>
      </c>
      <c r="C25">
        <f>1/C22</f>
        <v>4.5632887804306614</v>
      </c>
      <c r="D25" s="19">
        <f t="shared" ref="D25:G25" si="0">1/D22</f>
        <v>18.748091225600344</v>
      </c>
      <c r="E25" s="19">
        <f t="shared" si="0"/>
        <v>10</v>
      </c>
      <c r="F25" s="19">
        <f t="shared" si="0"/>
        <v>10</v>
      </c>
      <c r="G25" s="19">
        <f t="shared" si="0"/>
        <v>10</v>
      </c>
    </row>
    <row r="26" spans="1:7" s="19" customFormat="1" x14ac:dyDescent="0.35">
      <c r="B26" s="6" t="s">
        <v>38</v>
      </c>
      <c r="C26" s="19">
        <f>10^(-17)*C22/1.13</f>
        <v>1.9392937742784525E-18</v>
      </c>
      <c r="D26" s="19">
        <f t="shared" ref="D26:G26" si="1">10^(-17)*D22/1.13</f>
        <v>4.7202445388359896E-19</v>
      </c>
      <c r="E26" s="19">
        <f t="shared" si="1"/>
        <v>8.8495575221238944E-19</v>
      </c>
      <c r="F26" s="19">
        <f t="shared" si="1"/>
        <v>8.8495575221238944E-19</v>
      </c>
      <c r="G26" s="19">
        <f t="shared" si="1"/>
        <v>8.8495575221238944E-19</v>
      </c>
    </row>
    <row r="28" spans="1:7" x14ac:dyDescent="0.35">
      <c r="C28" s="1">
        <v>1</v>
      </c>
      <c r="D28" s="1">
        <v>2</v>
      </c>
      <c r="E28" s="1">
        <v>3</v>
      </c>
      <c r="F28" s="1">
        <v>4</v>
      </c>
      <c r="G28" s="1">
        <v>5</v>
      </c>
    </row>
    <row r="29" spans="1:7" x14ac:dyDescent="0.35">
      <c r="B29" s="14" t="s">
        <v>15</v>
      </c>
      <c r="C29">
        <f>SUM(P39:P838)</f>
        <v>65474.970983953288</v>
      </c>
      <c r="D29" s="19">
        <f t="shared" ref="D29:G29" si="2">SUM(Q39:Q838)</f>
        <v>88395.296080940025</v>
      </c>
      <c r="E29" s="19">
        <f t="shared" si="2"/>
        <v>0</v>
      </c>
      <c r="F29" s="19">
        <f t="shared" si="2"/>
        <v>0</v>
      </c>
      <c r="G29" s="19">
        <f t="shared" si="2"/>
        <v>0</v>
      </c>
    </row>
    <row r="30" spans="1:7" x14ac:dyDescent="0.35">
      <c r="B30" s="14" t="s">
        <v>37</v>
      </c>
      <c r="C30">
        <f>100*C29/SUM($C$29:$G$29)</f>
        <v>42.55206170295385</v>
      </c>
      <c r="D30" s="19">
        <f t="shared" ref="D30:G30" si="3">100*D29/SUM($C$29:$G$29)</f>
        <v>57.447938297046143</v>
      </c>
      <c r="E30" s="19">
        <f t="shared" si="3"/>
        <v>0</v>
      </c>
      <c r="F30" s="19">
        <f t="shared" si="3"/>
        <v>0</v>
      </c>
      <c r="G30" s="19">
        <f t="shared" si="3"/>
        <v>0</v>
      </c>
    </row>
    <row r="31" spans="1:7" s="19" customFormat="1" x14ac:dyDescent="0.35">
      <c r="B31" s="21"/>
    </row>
    <row r="32" spans="1:7" x14ac:dyDescent="0.35">
      <c r="B32" s="14" t="s">
        <v>16</v>
      </c>
      <c r="C32">
        <f>SUM(X39:X138)</f>
        <v>99944.912305705744</v>
      </c>
    </row>
    <row r="33" spans="2:28" x14ac:dyDescent="0.35">
      <c r="B33" s="14" t="s">
        <v>17</v>
      </c>
      <c r="C33">
        <f>SUM(AA39:AA838)*100</f>
        <v>4.8756319867895641</v>
      </c>
    </row>
    <row r="37" spans="2:28" x14ac:dyDescent="0.35">
      <c r="B37" s="5"/>
      <c r="C37" s="7" t="s">
        <v>2</v>
      </c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2" t="s">
        <v>24</v>
      </c>
      <c r="W37" s="3"/>
      <c r="X37" s="17"/>
      <c r="Y37" s="17"/>
      <c r="Z37" s="17"/>
      <c r="AA37" s="17"/>
      <c r="AB37" s="17"/>
    </row>
    <row r="38" spans="2:28" x14ac:dyDescent="0.35">
      <c r="B38" s="11" t="s">
        <v>3</v>
      </c>
      <c r="C38" s="13" t="s">
        <v>4</v>
      </c>
      <c r="D38" s="10" t="s">
        <v>5</v>
      </c>
      <c r="E38" s="10" t="s">
        <v>6</v>
      </c>
      <c r="F38" s="10" t="s">
        <v>7</v>
      </c>
      <c r="G38" s="10" t="s">
        <v>8</v>
      </c>
      <c r="H38" s="10" t="s">
        <v>9</v>
      </c>
      <c r="I38" s="3"/>
      <c r="J38" s="16" t="s">
        <v>10</v>
      </c>
      <c r="K38" s="16" t="s">
        <v>11</v>
      </c>
      <c r="L38" s="16" t="s">
        <v>12</v>
      </c>
      <c r="M38" s="16" t="s">
        <v>13</v>
      </c>
      <c r="N38" s="16" t="s">
        <v>14</v>
      </c>
      <c r="O38" s="3"/>
      <c r="P38" s="4" t="s">
        <v>18</v>
      </c>
      <c r="Q38" s="4" t="s">
        <v>19</v>
      </c>
      <c r="R38" s="4" t="s">
        <v>20</v>
      </c>
      <c r="S38" s="4" t="s">
        <v>21</v>
      </c>
      <c r="T38" s="4" t="s">
        <v>22</v>
      </c>
      <c r="U38" s="3"/>
      <c r="V38" s="20" t="s">
        <v>23</v>
      </c>
      <c r="W38" s="3"/>
      <c r="X38" s="14" t="s">
        <v>27</v>
      </c>
      <c r="Y38" s="14" t="s">
        <v>28</v>
      </c>
      <c r="Z38" s="21" t="s">
        <v>25</v>
      </c>
      <c r="AA38" s="21" t="s">
        <v>26</v>
      </c>
      <c r="AB38" s="17"/>
    </row>
    <row r="39" spans="2:28" x14ac:dyDescent="0.35">
      <c r="B39" s="27">
        <v>0.1</v>
      </c>
      <c r="C39" s="19">
        <v>1713.7857100000001</v>
      </c>
      <c r="D39">
        <f>$C$23/(1-$C$23)-LN((1-$C$23)/$C$23)+$C$22/(1-$C$23)*B39</f>
        <v>7.2403959777490625</v>
      </c>
      <c r="E39" s="12">
        <f>$D$23/(1-$D$23)-LN((1-$D$23)/$D$23)+$D$22*B39/(1-$D$23)</f>
        <v>-1.7540370111794796</v>
      </c>
      <c r="F39" s="12">
        <f>$E$23/(1-$E$23)-LN((1-$E$23)/$E$23)+$E$22*B39/(1-$E$23)</f>
        <v>-2.0750023551139973</v>
      </c>
      <c r="G39" s="12">
        <f>$F$23/(1-$F$23)-LN((1-$F$23)/$F$23)+$F$22*B39/(1-$F$23)</f>
        <v>-2.0750023551139973</v>
      </c>
      <c r="H39" s="12">
        <f>$G$23/(1-$G$23)-LN((1-$G$23)/$G$23)+$G$22*B39/(1-$G$23)</f>
        <v>-2.0750023551139973</v>
      </c>
      <c r="I39" s="3"/>
      <c r="J39">
        <f>lmb_2(D39)</f>
        <v>5.5301762848174096</v>
      </c>
      <c r="K39" s="18">
        <f>lmb_2(E39)</f>
        <v>0.14910013572659273</v>
      </c>
      <c r="L39" s="18">
        <f t="shared" ref="L39:N39" si="4">lmb_2(F39)</f>
        <v>0.11222723389509251</v>
      </c>
      <c r="M39" s="18">
        <f t="shared" si="4"/>
        <v>0.11222723389509251</v>
      </c>
      <c r="N39" s="18">
        <f t="shared" si="4"/>
        <v>0.11222723389509251</v>
      </c>
      <c r="O39" s="3"/>
      <c r="P39" s="19">
        <f>(C$21*C$23/(1-C$23)^2*$A$21*C$22)/(J39+J39^2)</f>
        <v>1468.0911846090742</v>
      </c>
      <c r="Q39" s="19">
        <f t="shared" ref="Q39:T54" si="5">(D$21*D$23/(1-D$23)^2*$A$21*D$22)/(K39+K39^2)</f>
        <v>505.78782733340836</v>
      </c>
      <c r="R39" s="19">
        <f t="shared" si="5"/>
        <v>0</v>
      </c>
      <c r="S39" s="19">
        <f t="shared" si="5"/>
        <v>0</v>
      </c>
      <c r="T39" s="19">
        <f t="shared" si="5"/>
        <v>0</v>
      </c>
      <c r="U39" s="3"/>
      <c r="V39">
        <f>SUM(P39:T39)</f>
        <v>1973.8790119424825</v>
      </c>
      <c r="W39" s="3"/>
      <c r="X39">
        <f>(V39-C39)^2</f>
        <v>67648.525715343319</v>
      </c>
      <c r="Y39">
        <f>ABS(V39-C39)</f>
        <v>260.09330194248241</v>
      </c>
      <c r="Z39">
        <f>SUM(V39:V838)</f>
        <v>153870.26706489362</v>
      </c>
      <c r="AA39">
        <f>Y39/$Z$39</f>
        <v>1.6903415253889827E-3</v>
      </c>
      <c r="AB39" s="17"/>
    </row>
    <row r="40" spans="2:28" x14ac:dyDescent="0.35">
      <c r="B40" s="27">
        <v>0.2</v>
      </c>
      <c r="C40" s="19">
        <v>1908.2857200000001</v>
      </c>
      <c r="D40" s="18">
        <f t="shared" ref="D40:D103" si="6">$C$23/(1-$C$23)-LN((1-$C$23)/$C$23)+$C$22/(1-$C$23)*B40</f>
        <v>7.3808953161715527</v>
      </c>
      <c r="E40" s="18">
        <f t="shared" ref="E40:E103" si="7">$D$23/(1-$D$23)-LN((1-$D$23)/$D$23)+$D$22*B40/(1-$D$23)</f>
        <v>-1.7479120823523575</v>
      </c>
      <c r="F40" s="18">
        <f>$E$23/(1-$E$23)-LN((1-$E$23)/$E$23)+$E$22*B40/(1-$E$23)</f>
        <v>-2.0638912440028863</v>
      </c>
      <c r="G40" s="18">
        <f t="shared" ref="G40:G103" si="8">$F$23/(1-$F$23)-LN((1-$F$23)/$F$23)+$F$22*B40/(1-$F$23)</f>
        <v>-2.0638912440028863</v>
      </c>
      <c r="H40" s="18">
        <f t="shared" ref="H40:H103" si="9">$G$23/(1-$G$23)-LN((1-$G$23)/$G$23)+$G$22*B40/(1-$G$23)</f>
        <v>-2.0638912440028863</v>
      </c>
      <c r="I40" s="3"/>
      <c r="J40" s="18">
        <f t="shared" ref="J40:J103" si="10">lmb_2(D40)</f>
        <v>5.6493540967138305</v>
      </c>
      <c r="K40" s="18">
        <f t="shared" ref="K40:K103" si="11">lmb_2(E40)</f>
        <v>0.14989671387516473</v>
      </c>
      <c r="L40" s="18">
        <f t="shared" ref="L40:L103" si="12">lmb_2(F40)</f>
        <v>0.11335342676517898</v>
      </c>
      <c r="M40" s="18">
        <f t="shared" ref="M40:M103" si="13">lmb_2(G40)</f>
        <v>0.11335342676517898</v>
      </c>
      <c r="N40" s="18">
        <f t="shared" ref="N40:N103" si="14">lmb_2(H40)</f>
        <v>0.11335342676517898</v>
      </c>
      <c r="O40" s="3"/>
      <c r="P40" s="19">
        <f t="shared" ref="P40:P103" si="15">(C$21*C$23/(1-C$23)^2*$A$21*C$22)/(J40+J40^2)</f>
        <v>1411.3627599114152</v>
      </c>
      <c r="Q40" s="19">
        <f t="shared" si="5"/>
        <v>502.75146276645575</v>
      </c>
      <c r="R40" s="19">
        <f t="shared" si="5"/>
        <v>0</v>
      </c>
      <c r="S40" s="19">
        <f t="shared" si="5"/>
        <v>0</v>
      </c>
      <c r="T40" s="19">
        <f t="shared" si="5"/>
        <v>0</v>
      </c>
      <c r="U40" s="3"/>
      <c r="V40" s="19">
        <f t="shared" ref="V40:V103" si="16">SUM(P40:T40)</f>
        <v>1914.1142226778709</v>
      </c>
      <c r="W40" s="3"/>
      <c r="X40" s="15">
        <f t="shared" ref="X40:X103" si="17">(V40-C40)^2</f>
        <v>33.971443465947104</v>
      </c>
      <c r="Y40" s="15">
        <f t="shared" ref="Y40:Y103" si="18">ABS(V40-C40)</f>
        <v>5.8285026778708016</v>
      </c>
      <c r="AA40" s="15">
        <f t="shared" ref="AA40:AA103" si="19">Y40/$Z$39</f>
        <v>3.7879330354399626E-5</v>
      </c>
      <c r="AB40" s="17"/>
    </row>
    <row r="41" spans="2:28" x14ac:dyDescent="0.35">
      <c r="B41" s="27">
        <v>0.3</v>
      </c>
      <c r="C41" s="19">
        <v>1891.5357100000001</v>
      </c>
      <c r="D41" s="18">
        <f t="shared" si="6"/>
        <v>7.5213946545940438</v>
      </c>
      <c r="E41" s="18">
        <f t="shared" si="7"/>
        <v>-1.7417871535252352</v>
      </c>
      <c r="F41" s="18">
        <f t="shared" ref="F41:F103" si="20">$E$23/(1-$E$23)-LN((1-$E$23)/$E$23)+$E$22*B41/(1-$E$23)</f>
        <v>-2.0527801328917752</v>
      </c>
      <c r="G41" s="18">
        <f t="shared" si="8"/>
        <v>-2.0527801328917752</v>
      </c>
      <c r="H41" s="18">
        <f t="shared" si="9"/>
        <v>-2.0527801328917752</v>
      </c>
      <c r="I41" s="3"/>
      <c r="J41" s="18">
        <f t="shared" si="10"/>
        <v>5.7689112784540146</v>
      </c>
      <c r="K41" s="18">
        <f t="shared" si="11"/>
        <v>0.15069699045589319</v>
      </c>
      <c r="L41" s="18">
        <f t="shared" si="12"/>
        <v>0.11448975993936825</v>
      </c>
      <c r="M41" s="18">
        <f t="shared" si="13"/>
        <v>0.11448975993936825</v>
      </c>
      <c r="N41" s="18">
        <f t="shared" si="14"/>
        <v>0.11448975993936825</v>
      </c>
      <c r="O41" s="3"/>
      <c r="P41" s="19">
        <f t="shared" si="15"/>
        <v>1357.7012883939667</v>
      </c>
      <c r="Q41" s="19">
        <f t="shared" si="5"/>
        <v>499.73380807805563</v>
      </c>
      <c r="R41" s="19">
        <f t="shared" si="5"/>
        <v>0</v>
      </c>
      <c r="S41" s="19">
        <f t="shared" si="5"/>
        <v>0</v>
      </c>
      <c r="T41" s="19">
        <f t="shared" si="5"/>
        <v>0</v>
      </c>
      <c r="U41" s="3"/>
      <c r="V41" s="19">
        <f t="shared" si="16"/>
        <v>1857.4350964720225</v>
      </c>
      <c r="W41" s="3"/>
      <c r="X41" s="15">
        <f t="shared" si="17"/>
        <v>1162.8518429844928</v>
      </c>
      <c r="Y41" s="15">
        <f t="shared" si="18"/>
        <v>34.100613527977657</v>
      </c>
      <c r="AA41" s="15">
        <f t="shared" si="19"/>
        <v>2.2161925223406536E-4</v>
      </c>
      <c r="AB41" s="17"/>
    </row>
    <row r="42" spans="2:28" x14ac:dyDescent="0.35">
      <c r="B42" s="27">
        <v>0.4</v>
      </c>
      <c r="C42" s="19">
        <v>1856.5357200000001</v>
      </c>
      <c r="D42" s="18">
        <f t="shared" si="6"/>
        <v>7.6618939930165348</v>
      </c>
      <c r="E42" s="18">
        <f t="shared" si="7"/>
        <v>-1.7356622246981128</v>
      </c>
      <c r="F42" s="18">
        <f t="shared" si="20"/>
        <v>-2.0416690217806641</v>
      </c>
      <c r="G42" s="18">
        <f t="shared" si="8"/>
        <v>-2.0416690217806641</v>
      </c>
      <c r="H42" s="18">
        <f t="shared" si="9"/>
        <v>-2.0416690217806641</v>
      </c>
      <c r="I42" s="3"/>
      <c r="J42" s="18">
        <f t="shared" si="10"/>
        <v>5.8888356905257435</v>
      </c>
      <c r="K42" s="18">
        <f t="shared" si="11"/>
        <v>0.15150097746187163</v>
      </c>
      <c r="L42" s="18">
        <f t="shared" si="12"/>
        <v>0.11563630377437138</v>
      </c>
      <c r="M42" s="18">
        <f t="shared" si="13"/>
        <v>0.11563630377437138</v>
      </c>
      <c r="N42" s="18">
        <f t="shared" si="14"/>
        <v>0.11563630377437138</v>
      </c>
      <c r="O42" s="3"/>
      <c r="P42" s="19">
        <f t="shared" si="15"/>
        <v>1306.8978654041903</v>
      </c>
      <c r="Q42" s="19">
        <f t="shared" si="5"/>
        <v>496.73474894693118</v>
      </c>
      <c r="R42" s="19">
        <f t="shared" si="5"/>
        <v>0</v>
      </c>
      <c r="S42" s="19">
        <f t="shared" si="5"/>
        <v>0</v>
      </c>
      <c r="T42" s="19">
        <f t="shared" si="5"/>
        <v>0</v>
      </c>
      <c r="U42" s="3"/>
      <c r="V42" s="19">
        <f t="shared" si="16"/>
        <v>1803.6326143511214</v>
      </c>
      <c r="W42" s="3"/>
      <c r="X42" s="15">
        <f t="shared" si="17"/>
        <v>2798.7385872964146</v>
      </c>
      <c r="Y42" s="15">
        <f t="shared" si="18"/>
        <v>52.903105648878636</v>
      </c>
      <c r="AA42" s="15">
        <f t="shared" si="19"/>
        <v>3.4381629835325594E-4</v>
      </c>
      <c r="AB42" s="17"/>
    </row>
    <row r="43" spans="2:28" x14ac:dyDescent="0.35">
      <c r="B43" s="27">
        <v>0.5</v>
      </c>
      <c r="C43" s="19">
        <v>1752.5357200000001</v>
      </c>
      <c r="D43" s="18">
        <f t="shared" si="6"/>
        <v>7.8023933314390259</v>
      </c>
      <c r="E43" s="18">
        <f t="shared" si="7"/>
        <v>-1.7295372958709907</v>
      </c>
      <c r="F43" s="18">
        <f t="shared" si="20"/>
        <v>-2.030557910669553</v>
      </c>
      <c r="G43" s="18">
        <f t="shared" si="8"/>
        <v>-2.030557910669553</v>
      </c>
      <c r="H43" s="18">
        <f t="shared" si="9"/>
        <v>-2.030557910669553</v>
      </c>
      <c r="I43" s="3"/>
      <c r="J43" s="18">
        <f t="shared" si="10"/>
        <v>6.0091157272810065</v>
      </c>
      <c r="K43" s="18">
        <f t="shared" si="11"/>
        <v>0.15230868688069002</v>
      </c>
      <c r="L43" s="18">
        <f t="shared" si="12"/>
        <v>0.116793128759848</v>
      </c>
      <c r="M43" s="18">
        <f t="shared" si="13"/>
        <v>0.116793128759848</v>
      </c>
      <c r="N43" s="18">
        <f t="shared" si="14"/>
        <v>0.116793128759848</v>
      </c>
      <c r="O43" s="3"/>
      <c r="P43" s="19">
        <f t="shared" si="15"/>
        <v>1258.7605197805308</v>
      </c>
      <c r="Q43" s="19">
        <f t="shared" si="5"/>
        <v>493.75417174427906</v>
      </c>
      <c r="R43" s="19">
        <f t="shared" si="5"/>
        <v>0</v>
      </c>
      <c r="S43" s="19">
        <f t="shared" si="5"/>
        <v>0</v>
      </c>
      <c r="T43" s="19">
        <f t="shared" si="5"/>
        <v>0</v>
      </c>
      <c r="U43" s="3"/>
      <c r="V43" s="19">
        <f t="shared" si="16"/>
        <v>1752.5146915248099</v>
      </c>
      <c r="W43" s="3"/>
      <c r="X43" s="15">
        <f t="shared" si="17"/>
        <v>4.4219676882393763E-4</v>
      </c>
      <c r="Y43" s="15">
        <f t="shared" si="18"/>
        <v>2.1028475190178142E-2</v>
      </c>
      <c r="AA43" s="15">
        <f t="shared" si="19"/>
        <v>1.3666366863007745E-7</v>
      </c>
      <c r="AB43" s="17"/>
    </row>
    <row r="44" spans="2:28" x14ac:dyDescent="0.35">
      <c r="B44" s="27">
        <v>0.6</v>
      </c>
      <c r="C44" s="19">
        <v>1711.5357200000001</v>
      </c>
      <c r="D44" s="18">
        <f t="shared" si="6"/>
        <v>7.9428926698615161</v>
      </c>
      <c r="E44" s="18">
        <f t="shared" si="7"/>
        <v>-1.7234123670438684</v>
      </c>
      <c r="F44" s="18">
        <f t="shared" si="20"/>
        <v>-2.0194467995584415</v>
      </c>
      <c r="G44" s="18">
        <f t="shared" si="8"/>
        <v>-2.0194467995584415</v>
      </c>
      <c r="H44" s="18">
        <f t="shared" si="9"/>
        <v>-2.0194467995584415</v>
      </c>
      <c r="I44" s="3"/>
      <c r="J44" s="18">
        <f t="shared" si="10"/>
        <v>6.1297402881586152</v>
      </c>
      <c r="K44" s="18">
        <f t="shared" si="11"/>
        <v>0.15312013069403738</v>
      </c>
      <c r="L44" s="18">
        <f t="shared" si="12"/>
        <v>0.11796030551255654</v>
      </c>
      <c r="M44" s="18">
        <f t="shared" si="13"/>
        <v>0.11796030551255654</v>
      </c>
      <c r="N44" s="18">
        <f t="shared" si="14"/>
        <v>0.11796030551255654</v>
      </c>
      <c r="O44" s="3"/>
      <c r="P44" s="19">
        <f t="shared" si="15"/>
        <v>1213.1126382405234</v>
      </c>
      <c r="Q44" s="19">
        <f t="shared" si="5"/>
        <v>490.7919635295205</v>
      </c>
      <c r="R44" s="19">
        <f t="shared" si="5"/>
        <v>0</v>
      </c>
      <c r="S44" s="19">
        <f t="shared" si="5"/>
        <v>0</v>
      </c>
      <c r="T44" s="19">
        <f t="shared" si="5"/>
        <v>0</v>
      </c>
      <c r="U44" s="3"/>
      <c r="V44" s="19">
        <f t="shared" si="16"/>
        <v>1703.9046017700439</v>
      </c>
      <c r="W44" s="3"/>
      <c r="X44" s="15">
        <f t="shared" si="17"/>
        <v>58.233965439569857</v>
      </c>
      <c r="Y44" s="15">
        <f t="shared" si="18"/>
        <v>7.6311182299562006</v>
      </c>
      <c r="AA44" s="15">
        <f t="shared" si="19"/>
        <v>4.959449525578476E-5</v>
      </c>
      <c r="AB44" s="17"/>
    </row>
    <row r="45" spans="2:28" x14ac:dyDescent="0.35">
      <c r="B45" s="27">
        <v>0.7</v>
      </c>
      <c r="C45" s="19">
        <v>1660.2857100000001</v>
      </c>
      <c r="D45" s="18">
        <f t="shared" si="6"/>
        <v>8.0833920082840063</v>
      </c>
      <c r="E45" s="18">
        <f t="shared" si="7"/>
        <v>-1.717287438216746</v>
      </c>
      <c r="F45" s="18">
        <f t="shared" si="20"/>
        <v>-2.0083356884473305</v>
      </c>
      <c r="G45" s="18">
        <f t="shared" si="8"/>
        <v>-2.0083356884473305</v>
      </c>
      <c r="H45" s="18">
        <f t="shared" si="9"/>
        <v>-2.0083356884473305</v>
      </c>
      <c r="I45" s="3"/>
      <c r="J45" s="18">
        <f t="shared" si="10"/>
        <v>6.2506987506766052</v>
      </c>
      <c r="K45" s="18">
        <f t="shared" si="11"/>
        <v>0.15393532087730252</v>
      </c>
      <c r="L45" s="18">
        <f t="shared" si="12"/>
        <v>0.11913790477042034</v>
      </c>
      <c r="M45" s="18">
        <f t="shared" si="13"/>
        <v>0.11913790477042034</v>
      </c>
      <c r="N45" s="18">
        <f t="shared" si="14"/>
        <v>0.11913790477042034</v>
      </c>
      <c r="O45" s="3"/>
      <c r="P45" s="19">
        <f t="shared" si="15"/>
        <v>1169.7915539089706</v>
      </c>
      <c r="Q45" s="19">
        <f t="shared" si="5"/>
        <v>487.84801204608084</v>
      </c>
      <c r="R45" s="19">
        <f t="shared" si="5"/>
        <v>0</v>
      </c>
      <c r="S45" s="19">
        <f t="shared" si="5"/>
        <v>0</v>
      </c>
      <c r="T45" s="19">
        <f t="shared" si="5"/>
        <v>0</v>
      </c>
      <c r="U45" s="3"/>
      <c r="V45" s="19">
        <f t="shared" si="16"/>
        <v>1657.6395659550515</v>
      </c>
      <c r="W45" s="3"/>
      <c r="X45" s="15">
        <f t="shared" si="17"/>
        <v>7.0020783066171592</v>
      </c>
      <c r="Y45" s="15">
        <f t="shared" si="18"/>
        <v>2.6461440449486417</v>
      </c>
      <c r="AA45" s="15">
        <f t="shared" si="19"/>
        <v>1.7197240866766357E-5</v>
      </c>
      <c r="AB45" s="17"/>
    </row>
    <row r="46" spans="2:28" x14ac:dyDescent="0.35">
      <c r="B46" s="27">
        <v>0.8</v>
      </c>
      <c r="C46" s="19">
        <v>1652.0357200000001</v>
      </c>
      <c r="D46" s="18">
        <f t="shared" si="6"/>
        <v>8.2238913467064982</v>
      </c>
      <c r="E46" s="18">
        <f t="shared" si="7"/>
        <v>-1.7111625093896239</v>
      </c>
      <c r="F46" s="18">
        <f t="shared" si="20"/>
        <v>-1.9972245773362194</v>
      </c>
      <c r="G46" s="18">
        <f t="shared" si="8"/>
        <v>-1.9972245773362194</v>
      </c>
      <c r="H46" s="18">
        <f t="shared" si="9"/>
        <v>-1.9972245773362194</v>
      </c>
      <c r="I46" s="3"/>
      <c r="J46" s="18">
        <f t="shared" si="10"/>
        <v>6.371980945077822</v>
      </c>
      <c r="K46" s="18">
        <f t="shared" si="11"/>
        <v>0.15475426939917417</v>
      </c>
      <c r="L46" s="18">
        <f t="shared" si="12"/>
        <v>0.1203259973865097</v>
      </c>
      <c r="M46" s="18">
        <f t="shared" si="13"/>
        <v>0.1203259973865097</v>
      </c>
      <c r="N46" s="18">
        <f t="shared" si="14"/>
        <v>0.1203259973865097</v>
      </c>
      <c r="O46" s="3"/>
      <c r="P46" s="19">
        <f t="shared" si="15"/>
        <v>1128.6472801916286</v>
      </c>
      <c r="Q46" s="19">
        <f t="shared" si="5"/>
        <v>484.92220571719253</v>
      </c>
      <c r="R46" s="19">
        <f t="shared" si="5"/>
        <v>0</v>
      </c>
      <c r="S46" s="19">
        <f t="shared" si="5"/>
        <v>0</v>
      </c>
      <c r="T46" s="19">
        <f t="shared" si="5"/>
        <v>0</v>
      </c>
      <c r="U46" s="3"/>
      <c r="V46" s="19">
        <f t="shared" si="16"/>
        <v>1613.5694859088212</v>
      </c>
      <c r="W46" s="3"/>
      <c r="X46" s="15">
        <f t="shared" si="17"/>
        <v>1479.6511651573719</v>
      </c>
      <c r="Y46" s="15">
        <f t="shared" si="18"/>
        <v>38.466234091178876</v>
      </c>
      <c r="AA46" s="15">
        <f t="shared" si="19"/>
        <v>2.4999133896970514E-4</v>
      </c>
      <c r="AB46" s="17"/>
    </row>
    <row r="47" spans="2:28" x14ac:dyDescent="0.35">
      <c r="B47" s="27">
        <v>0.9</v>
      </c>
      <c r="C47" s="19">
        <v>1569.0357200000001</v>
      </c>
      <c r="D47" s="18">
        <f t="shared" si="6"/>
        <v>8.3643906851289884</v>
      </c>
      <c r="E47" s="18">
        <f t="shared" si="7"/>
        <v>-1.7050375805625015</v>
      </c>
      <c r="F47" s="18">
        <f t="shared" si="20"/>
        <v>-1.9861134662251083</v>
      </c>
      <c r="G47" s="18">
        <f t="shared" si="8"/>
        <v>-1.9861134662251083</v>
      </c>
      <c r="H47" s="18">
        <f t="shared" si="9"/>
        <v>-1.9861134662251083</v>
      </c>
      <c r="I47" s="3"/>
      <c r="J47" s="18">
        <f t="shared" si="10"/>
        <v>6.4935771305196246</v>
      </c>
      <c r="K47" s="18">
        <f t="shared" si="11"/>
        <v>0.1555769882212395</v>
      </c>
      <c r="L47" s="18">
        <f t="shared" si="12"/>
        <v>0.12152465432294123</v>
      </c>
      <c r="M47" s="18">
        <f t="shared" si="13"/>
        <v>0.12152465432294123</v>
      </c>
      <c r="N47" s="18">
        <f t="shared" si="14"/>
        <v>0.12152465432294123</v>
      </c>
      <c r="O47" s="3"/>
      <c r="P47" s="19">
        <f t="shared" si="15"/>
        <v>1089.541373531589</v>
      </c>
      <c r="Q47" s="19">
        <f t="shared" si="5"/>
        <v>482.01443364172417</v>
      </c>
      <c r="R47" s="19">
        <f t="shared" si="5"/>
        <v>0</v>
      </c>
      <c r="S47" s="19">
        <f t="shared" si="5"/>
        <v>0</v>
      </c>
      <c r="T47" s="19">
        <f t="shared" si="5"/>
        <v>0</v>
      </c>
      <c r="U47" s="3"/>
      <c r="V47" s="19">
        <f t="shared" si="16"/>
        <v>1571.555807173313</v>
      </c>
      <c r="W47" s="3"/>
      <c r="X47" s="15">
        <f t="shared" si="17"/>
        <v>6.350839361096499</v>
      </c>
      <c r="Y47" s="15">
        <f t="shared" si="18"/>
        <v>2.5200871733129588</v>
      </c>
      <c r="AA47" s="15">
        <f t="shared" si="19"/>
        <v>1.6377999605668658E-5</v>
      </c>
      <c r="AB47" s="17"/>
    </row>
    <row r="48" spans="2:28" x14ac:dyDescent="0.35">
      <c r="B48" s="27">
        <v>1</v>
      </c>
      <c r="C48" s="19">
        <v>1515.2857200000001</v>
      </c>
      <c r="D48" s="18">
        <f t="shared" si="6"/>
        <v>8.5048900235514786</v>
      </c>
      <c r="E48" s="18">
        <f t="shared" si="7"/>
        <v>-1.6989126517353792</v>
      </c>
      <c r="F48" s="18">
        <f t="shared" si="20"/>
        <v>-1.9750023551139972</v>
      </c>
      <c r="G48" s="18">
        <f t="shared" si="8"/>
        <v>-1.9750023551139972</v>
      </c>
      <c r="H48" s="18">
        <f t="shared" si="9"/>
        <v>-1.9750023551139972</v>
      </c>
      <c r="I48" s="3"/>
      <c r="J48" s="18">
        <f t="shared" si="10"/>
        <v>6.6154779727058699</v>
      </c>
      <c r="K48" s="18">
        <f t="shared" si="11"/>
        <v>0.15640348929758063</v>
      </c>
      <c r="L48" s="18">
        <f t="shared" si="12"/>
        <v>0.1227339466446947</v>
      </c>
      <c r="M48" s="18">
        <f t="shared" si="13"/>
        <v>0.1227339466446947</v>
      </c>
      <c r="N48" s="18">
        <f t="shared" si="14"/>
        <v>0.1227339466446947</v>
      </c>
      <c r="O48" s="3"/>
      <c r="P48" s="19">
        <f t="shared" si="15"/>
        <v>1052.3459106074185</v>
      </c>
      <c r="Q48" s="19">
        <f t="shared" si="5"/>
        <v>479.12458559003937</v>
      </c>
      <c r="R48" s="19">
        <f t="shared" si="5"/>
        <v>0</v>
      </c>
      <c r="S48" s="19">
        <f t="shared" si="5"/>
        <v>0</v>
      </c>
      <c r="T48" s="19">
        <f t="shared" si="5"/>
        <v>0</v>
      </c>
      <c r="U48" s="3"/>
      <c r="V48" s="19">
        <f t="shared" si="16"/>
        <v>1531.470496197458</v>
      </c>
      <c r="W48" s="3"/>
      <c r="X48" s="15">
        <f t="shared" si="17"/>
        <v>261.94698056180141</v>
      </c>
      <c r="Y48" s="15">
        <f t="shared" si="18"/>
        <v>16.18477619745795</v>
      </c>
      <c r="AA48" s="15">
        <f t="shared" si="19"/>
        <v>1.0518455908464852E-4</v>
      </c>
      <c r="AB48" s="17"/>
    </row>
    <row r="49" spans="2:28" x14ac:dyDescent="0.35">
      <c r="B49" s="27">
        <v>1.1000000000000001</v>
      </c>
      <c r="C49" s="19">
        <v>1478.2857200000001</v>
      </c>
      <c r="D49" s="18">
        <f t="shared" si="6"/>
        <v>8.6453893619739706</v>
      </c>
      <c r="E49" s="18">
        <f t="shared" si="7"/>
        <v>-1.6927877229082571</v>
      </c>
      <c r="F49" s="18">
        <f t="shared" si="20"/>
        <v>-1.9638912440028862</v>
      </c>
      <c r="G49" s="18">
        <f t="shared" si="8"/>
        <v>-1.9638912440028862</v>
      </c>
      <c r="H49" s="18">
        <f t="shared" si="9"/>
        <v>-1.9638912440028862</v>
      </c>
      <c r="I49" s="3"/>
      <c r="J49" s="18">
        <f t="shared" si="10"/>
        <v>6.7376745228660226</v>
      </c>
      <c r="K49" s="18">
        <f t="shared" si="11"/>
        <v>0.15723378457437112</v>
      </c>
      <c r="L49" s="18">
        <f t="shared" si="12"/>
        <v>0.1239539455133484</v>
      </c>
      <c r="M49" s="18">
        <f t="shared" si="13"/>
        <v>0.1239539455133484</v>
      </c>
      <c r="N49" s="18">
        <f t="shared" si="14"/>
        <v>0.1239539455133484</v>
      </c>
      <c r="O49" s="3"/>
      <c r="P49" s="19">
        <f t="shared" si="15"/>
        <v>1016.9425672879161</v>
      </c>
      <c r="Q49" s="19">
        <f t="shared" si="5"/>
        <v>476.25255199987583</v>
      </c>
      <c r="R49" s="19">
        <f t="shared" si="5"/>
        <v>0</v>
      </c>
      <c r="S49" s="19">
        <f t="shared" si="5"/>
        <v>0</v>
      </c>
      <c r="T49" s="19">
        <f t="shared" si="5"/>
        <v>0</v>
      </c>
      <c r="U49" s="3"/>
      <c r="V49" s="19">
        <f t="shared" si="16"/>
        <v>1493.1951192877918</v>
      </c>
      <c r="W49" s="3"/>
      <c r="X49" s="15">
        <f t="shared" si="17"/>
        <v>222.29018712280535</v>
      </c>
      <c r="Y49" s="15">
        <f t="shared" si="18"/>
        <v>14.909399287791757</v>
      </c>
      <c r="AA49" s="15">
        <f t="shared" si="19"/>
        <v>9.6895908301139366E-5</v>
      </c>
      <c r="AB49" s="17"/>
    </row>
    <row r="50" spans="2:28" x14ac:dyDescent="0.35">
      <c r="B50" s="27">
        <v>1.2</v>
      </c>
      <c r="C50" s="19">
        <v>1483.7857200000001</v>
      </c>
      <c r="D50" s="18">
        <f t="shared" si="6"/>
        <v>8.7858887003964607</v>
      </c>
      <c r="E50" s="18">
        <f t="shared" si="7"/>
        <v>-1.6866627940811347</v>
      </c>
      <c r="F50" s="18">
        <f t="shared" si="20"/>
        <v>-1.9527801328917751</v>
      </c>
      <c r="G50" s="18">
        <f t="shared" si="8"/>
        <v>-1.9527801328917751</v>
      </c>
      <c r="H50" s="18">
        <f t="shared" si="9"/>
        <v>-1.9527801328917751</v>
      </c>
      <c r="I50" s="3"/>
      <c r="J50" s="18">
        <f t="shared" si="10"/>
        <v>6.8601581979926873</v>
      </c>
      <c r="K50" s="18">
        <f t="shared" si="11"/>
        <v>0.15806788598947002</v>
      </c>
      <c r="L50" s="18">
        <f t="shared" si="12"/>
        <v>0.12518472218073393</v>
      </c>
      <c r="M50" s="18">
        <f t="shared" si="13"/>
        <v>0.12518472218073393</v>
      </c>
      <c r="N50" s="18">
        <f t="shared" si="14"/>
        <v>0.12518472218073393</v>
      </c>
      <c r="O50" s="3"/>
      <c r="P50" s="19">
        <f t="shared" si="15"/>
        <v>983.22178818509565</v>
      </c>
      <c r="Q50" s="19">
        <f t="shared" si="5"/>
        <v>473.3982239722539</v>
      </c>
      <c r="R50" s="19">
        <f t="shared" si="5"/>
        <v>0</v>
      </c>
      <c r="S50" s="19">
        <f t="shared" si="5"/>
        <v>0</v>
      </c>
      <c r="T50" s="19">
        <f t="shared" si="5"/>
        <v>0</v>
      </c>
      <c r="U50" s="3"/>
      <c r="V50" s="19">
        <f t="shared" si="16"/>
        <v>1456.6200121573495</v>
      </c>
      <c r="W50" s="3"/>
      <c r="X50" s="15">
        <f t="shared" si="17"/>
        <v>737.97568259224784</v>
      </c>
      <c r="Y50" s="15">
        <f t="shared" si="18"/>
        <v>27.16570784265059</v>
      </c>
      <c r="AA50" s="15">
        <f t="shared" si="19"/>
        <v>1.7654942933967652E-4</v>
      </c>
      <c r="AB50" s="17"/>
    </row>
    <row r="51" spans="2:28" x14ac:dyDescent="0.35">
      <c r="B51" s="27">
        <v>1.3</v>
      </c>
      <c r="C51" s="19">
        <v>1420.5357200000001</v>
      </c>
      <c r="D51" s="18">
        <f t="shared" si="6"/>
        <v>8.9263880388189527</v>
      </c>
      <c r="E51" s="18">
        <f t="shared" si="7"/>
        <v>-1.6805378652540126</v>
      </c>
      <c r="F51" s="18">
        <f t="shared" si="20"/>
        <v>-1.941669021780664</v>
      </c>
      <c r="G51" s="18">
        <f t="shared" si="8"/>
        <v>-1.941669021780664</v>
      </c>
      <c r="H51" s="18">
        <f t="shared" si="9"/>
        <v>-1.941669021780664</v>
      </c>
      <c r="I51" s="3"/>
      <c r="J51" s="18">
        <f t="shared" si="10"/>
        <v>6.9829207622548806</v>
      </c>
      <c r="K51" s="18">
        <f t="shared" si="11"/>
        <v>0.15890580547201541</v>
      </c>
      <c r="L51" s="18">
        <f t="shared" si="12"/>
        <v>0.12642634798251107</v>
      </c>
      <c r="M51" s="18">
        <f t="shared" si="13"/>
        <v>0.12642634798251107</v>
      </c>
      <c r="N51" s="18">
        <f t="shared" si="14"/>
        <v>0.12642634798251107</v>
      </c>
      <c r="O51" s="3"/>
      <c r="P51" s="19">
        <f t="shared" si="15"/>
        <v>951.08203697653619</v>
      </c>
      <c r="Q51" s="19">
        <f t="shared" si="5"/>
        <v>470.56149326740928</v>
      </c>
      <c r="R51" s="19">
        <f t="shared" si="5"/>
        <v>0</v>
      </c>
      <c r="S51" s="19">
        <f t="shared" si="5"/>
        <v>0</v>
      </c>
      <c r="T51" s="19">
        <f t="shared" si="5"/>
        <v>0</v>
      </c>
      <c r="U51" s="3"/>
      <c r="V51" s="19">
        <f t="shared" si="16"/>
        <v>1421.6435302439454</v>
      </c>
      <c r="W51" s="3"/>
      <c r="X51" s="15">
        <f t="shared" si="17"/>
        <v>1.2272435365901966</v>
      </c>
      <c r="Y51" s="15">
        <f t="shared" si="18"/>
        <v>1.1078102439453232</v>
      </c>
      <c r="AA51" s="15">
        <f t="shared" si="19"/>
        <v>7.1996381437234564E-6</v>
      </c>
      <c r="AB51" s="17"/>
    </row>
    <row r="52" spans="2:28" x14ac:dyDescent="0.35">
      <c r="B52" s="27">
        <v>1.4</v>
      </c>
      <c r="C52" s="19">
        <v>1413.5357200000001</v>
      </c>
      <c r="D52" s="18">
        <f t="shared" si="6"/>
        <v>9.0668873772414429</v>
      </c>
      <c r="E52" s="18">
        <f t="shared" si="7"/>
        <v>-1.6744129364268903</v>
      </c>
      <c r="F52" s="18">
        <f t="shared" si="20"/>
        <v>-1.930557910669553</v>
      </c>
      <c r="G52" s="18">
        <f t="shared" si="8"/>
        <v>-1.930557910669553</v>
      </c>
      <c r="H52" s="18">
        <f t="shared" si="9"/>
        <v>-1.930557910669553</v>
      </c>
      <c r="I52" s="3"/>
      <c r="J52" s="18">
        <f t="shared" si="10"/>
        <v>7.1059543095099018</v>
      </c>
      <c r="K52" s="18">
        <f t="shared" si="11"/>
        <v>0.15974755494201651</v>
      </c>
      <c r="L52" s="18">
        <f t="shared" si="12"/>
        <v>0.12767889433166393</v>
      </c>
      <c r="M52" s="18">
        <f t="shared" si="13"/>
        <v>0.12767889433166393</v>
      </c>
      <c r="N52" s="18">
        <f t="shared" si="14"/>
        <v>0.12767889433166393</v>
      </c>
      <c r="O52" s="3"/>
      <c r="P52" s="19">
        <f t="shared" si="15"/>
        <v>920.4291188276294</v>
      </c>
      <c r="Q52" s="19">
        <f t="shared" si="5"/>
        <v>467.74225230075041</v>
      </c>
      <c r="R52" s="19">
        <f t="shared" si="5"/>
        <v>0</v>
      </c>
      <c r="S52" s="19">
        <f t="shared" si="5"/>
        <v>0</v>
      </c>
      <c r="T52" s="19">
        <f t="shared" si="5"/>
        <v>0</v>
      </c>
      <c r="U52" s="3"/>
      <c r="V52" s="19">
        <f t="shared" si="16"/>
        <v>1388.1713711283799</v>
      </c>
      <c r="W52" s="3"/>
      <c r="X52" s="15">
        <f t="shared" si="17"/>
        <v>643.35019368126211</v>
      </c>
      <c r="Y52" s="15">
        <f t="shared" si="18"/>
        <v>25.364348871620223</v>
      </c>
      <c r="AA52" s="15">
        <f t="shared" si="19"/>
        <v>1.6484243093516568E-4</v>
      </c>
      <c r="AB52" s="17"/>
    </row>
    <row r="53" spans="2:28" x14ac:dyDescent="0.35">
      <c r="B53" s="27">
        <v>1.5</v>
      </c>
      <c r="C53" s="19">
        <v>1340.5357200000001</v>
      </c>
      <c r="D53" s="18">
        <f t="shared" si="6"/>
        <v>9.2073867156639331</v>
      </c>
      <c r="E53" s="18">
        <f t="shared" si="7"/>
        <v>-1.6682880075997679</v>
      </c>
      <c r="F53" s="18">
        <f t="shared" si="20"/>
        <v>-1.9194467995584417</v>
      </c>
      <c r="G53" s="18">
        <f t="shared" si="8"/>
        <v>-1.9194467995584417</v>
      </c>
      <c r="H53" s="18">
        <f t="shared" si="9"/>
        <v>-1.9194467995584417</v>
      </c>
      <c r="I53" s="3"/>
      <c r="J53" s="18">
        <f t="shared" si="10"/>
        <v>7.2292512468420567</v>
      </c>
      <c r="K53" s="18">
        <f t="shared" si="11"/>
        <v>0.16059314630994456</v>
      </c>
      <c r="L53" s="18">
        <f t="shared" si="12"/>
        <v>0.12894243271191896</v>
      </c>
      <c r="M53" s="18">
        <f t="shared" si="13"/>
        <v>0.12894243271191896</v>
      </c>
      <c r="N53" s="18">
        <f t="shared" si="14"/>
        <v>0.12894243271191896</v>
      </c>
      <c r="O53" s="3"/>
      <c r="P53" s="19">
        <f t="shared" si="15"/>
        <v>891.17556725660984</v>
      </c>
      <c r="Q53" s="19">
        <f t="shared" si="5"/>
        <v>464.94039413884235</v>
      </c>
      <c r="R53" s="19">
        <f t="shared" si="5"/>
        <v>0</v>
      </c>
      <c r="S53" s="19">
        <f t="shared" si="5"/>
        <v>0</v>
      </c>
      <c r="T53" s="19">
        <f t="shared" si="5"/>
        <v>0</v>
      </c>
      <c r="U53" s="3"/>
      <c r="V53" s="19">
        <f t="shared" si="16"/>
        <v>1356.1159613954521</v>
      </c>
      <c r="W53" s="3"/>
      <c r="X53" s="15">
        <f t="shared" si="17"/>
        <v>242.74392194055761</v>
      </c>
      <c r="Y53" s="15">
        <f t="shared" si="18"/>
        <v>15.580241395452049</v>
      </c>
      <c r="AA53" s="15">
        <f t="shared" si="19"/>
        <v>1.0125569866516967E-4</v>
      </c>
      <c r="AB53" s="17"/>
    </row>
    <row r="54" spans="2:28" x14ac:dyDescent="0.35">
      <c r="B54" s="27">
        <v>1.6</v>
      </c>
      <c r="C54" s="19">
        <v>1289.5357200000001</v>
      </c>
      <c r="D54" s="18">
        <f t="shared" si="6"/>
        <v>9.347886054086425</v>
      </c>
      <c r="E54" s="18">
        <f t="shared" si="7"/>
        <v>-1.6621630787726458</v>
      </c>
      <c r="F54" s="18">
        <f t="shared" si="20"/>
        <v>-1.9083356884473306</v>
      </c>
      <c r="G54" s="18">
        <f t="shared" si="8"/>
        <v>-1.9083356884473306</v>
      </c>
      <c r="H54" s="18">
        <f t="shared" si="9"/>
        <v>-1.9083356884473306</v>
      </c>
      <c r="I54" s="3"/>
      <c r="J54" s="18">
        <f t="shared" si="10"/>
        <v>7.3528042790613188</v>
      </c>
      <c r="K54" s="18">
        <f t="shared" si="11"/>
        <v>0.16144259147632259</v>
      </c>
      <c r="L54" s="18">
        <f t="shared" si="12"/>
        <v>0.13021703467108597</v>
      </c>
      <c r="M54" s="18">
        <f t="shared" si="13"/>
        <v>0.13021703467108597</v>
      </c>
      <c r="N54" s="18">
        <f t="shared" si="14"/>
        <v>0.13021703467108597</v>
      </c>
      <c r="O54" s="3"/>
      <c r="P54" s="19">
        <f t="shared" si="15"/>
        <v>863.24008867049747</v>
      </c>
      <c r="Q54" s="19">
        <f t="shared" si="5"/>
        <v>462.15581249541458</v>
      </c>
      <c r="R54" s="19">
        <f t="shared" si="5"/>
        <v>0</v>
      </c>
      <c r="S54" s="19">
        <f t="shared" si="5"/>
        <v>0</v>
      </c>
      <c r="T54" s="19">
        <f t="shared" si="5"/>
        <v>0</v>
      </c>
      <c r="U54" s="3"/>
      <c r="V54" s="19">
        <f t="shared" si="16"/>
        <v>1325.3959011659122</v>
      </c>
      <c r="W54" s="3"/>
      <c r="X54" s="15">
        <f t="shared" si="17"/>
        <v>1285.9525932520355</v>
      </c>
      <c r="Y54" s="15">
        <f t="shared" si="18"/>
        <v>35.860181165912081</v>
      </c>
      <c r="AA54" s="15">
        <f t="shared" si="19"/>
        <v>2.3305464954310063E-4</v>
      </c>
      <c r="AB54" s="17"/>
    </row>
    <row r="55" spans="2:28" x14ac:dyDescent="0.35">
      <c r="B55" s="27">
        <v>1.7</v>
      </c>
      <c r="C55" s="19">
        <v>1276.0357200000001</v>
      </c>
      <c r="D55" s="18">
        <f t="shared" si="6"/>
        <v>9.4883853925089152</v>
      </c>
      <c r="E55" s="18">
        <f t="shared" si="7"/>
        <v>-1.6560381499455235</v>
      </c>
      <c r="F55" s="18">
        <f t="shared" si="20"/>
        <v>-1.8972245773362195</v>
      </c>
      <c r="G55" s="18">
        <f t="shared" si="8"/>
        <v>-1.8972245773362195</v>
      </c>
      <c r="H55" s="18">
        <f t="shared" si="9"/>
        <v>-1.8972245773362195</v>
      </c>
      <c r="I55" s="3"/>
      <c r="J55" s="18">
        <f t="shared" si="10"/>
        <v>7.476606394099651</v>
      </c>
      <c r="K55" s="18">
        <f t="shared" si="11"/>
        <v>0.1622959023313143</v>
      </c>
      <c r="L55" s="18">
        <f t="shared" si="12"/>
        <v>0.13150277181432371</v>
      </c>
      <c r="M55" s="18">
        <f t="shared" si="13"/>
        <v>0.13150277181432371</v>
      </c>
      <c r="N55" s="18">
        <f t="shared" si="14"/>
        <v>0.13150277181432371</v>
      </c>
      <c r="O55" s="3"/>
      <c r="P55" s="19">
        <f t="shared" si="15"/>
        <v>836.54705857517456</v>
      </c>
      <c r="Q55" s="19">
        <f t="shared" ref="Q55:Q118" si="21">(D$21*D$23/(1-D$23)^2*$A$21*D$22)/(K55+K55^2)</f>
        <v>459.38840172739356</v>
      </c>
      <c r="R55" s="19">
        <f t="shared" ref="R55:R118" si="22">(E$21*E$23/(1-E$23)^2*$A$21*E$22)/(L55+L55^2)</f>
        <v>0</v>
      </c>
      <c r="S55" s="19">
        <f t="shared" ref="S55:S118" si="23">(F$21*F$23/(1-F$23)^2*$A$21*F$22)/(M55+M55^2)</f>
        <v>0</v>
      </c>
      <c r="T55" s="19">
        <f t="shared" ref="T55:T118" si="24">(G$21*G$23/(1-G$23)^2*$A$21*G$22)/(N55+N55^2)</f>
        <v>0</v>
      </c>
      <c r="U55" s="3"/>
      <c r="V55" s="19">
        <f t="shared" si="16"/>
        <v>1295.9354603025681</v>
      </c>
      <c r="W55" s="3"/>
      <c r="X55" s="15">
        <f t="shared" si="17"/>
        <v>395.9996641096505</v>
      </c>
      <c r="Y55" s="15">
        <f t="shared" si="18"/>
        <v>19.899740302568034</v>
      </c>
      <c r="AA55" s="15">
        <f t="shared" si="19"/>
        <v>1.2932804161687372E-4</v>
      </c>
      <c r="AB55" s="17"/>
    </row>
    <row r="56" spans="2:28" x14ac:dyDescent="0.35">
      <c r="B56" s="27">
        <v>1.8</v>
      </c>
      <c r="C56" s="19">
        <v>1279.0357200000001</v>
      </c>
      <c r="D56" s="18">
        <f t="shared" si="6"/>
        <v>9.6288847309314054</v>
      </c>
      <c r="E56" s="18">
        <f t="shared" si="7"/>
        <v>-1.6499132211184011</v>
      </c>
      <c r="F56" s="18">
        <f t="shared" si="20"/>
        <v>-1.8861134662251084</v>
      </c>
      <c r="G56" s="18">
        <f t="shared" si="8"/>
        <v>-1.8861134662251084</v>
      </c>
      <c r="H56" s="18">
        <f t="shared" si="9"/>
        <v>-1.8861134662251084</v>
      </c>
      <c r="I56" s="3"/>
      <c r="J56" s="18">
        <f t="shared" si="10"/>
        <v>7.6006508492470291</v>
      </c>
      <c r="K56" s="18">
        <f t="shared" si="11"/>
        <v>0.16315309075431159</v>
      </c>
      <c r="L56" s="18">
        <f t="shared" si="12"/>
        <v>0.13279971579733016</v>
      </c>
      <c r="M56" s="18">
        <f t="shared" si="13"/>
        <v>0.13279971579733016</v>
      </c>
      <c r="N56" s="18">
        <f t="shared" si="14"/>
        <v>0.13279971579733016</v>
      </c>
      <c r="O56" s="3"/>
      <c r="P56" s="19">
        <f t="shared" si="15"/>
        <v>811.02606414236732</v>
      </c>
      <c r="Q56" s="19">
        <f t="shared" si="21"/>
        <v>456.63805683096081</v>
      </c>
      <c r="R56" s="19">
        <f t="shared" si="22"/>
        <v>0</v>
      </c>
      <c r="S56" s="19">
        <f t="shared" si="23"/>
        <v>0</v>
      </c>
      <c r="T56" s="19">
        <f t="shared" si="24"/>
        <v>0</v>
      </c>
      <c r="U56" s="3"/>
      <c r="V56" s="19">
        <f t="shared" si="16"/>
        <v>1267.6641209733282</v>
      </c>
      <c r="W56" s="3"/>
      <c r="X56" s="15">
        <f t="shared" si="17"/>
        <v>129.31326442340534</v>
      </c>
      <c r="Y56" s="15">
        <f t="shared" si="18"/>
        <v>11.371599026671902</v>
      </c>
      <c r="AA56" s="15">
        <f t="shared" si="19"/>
        <v>7.3903810291536153E-5</v>
      </c>
      <c r="AB56" s="17"/>
    </row>
    <row r="57" spans="2:28" x14ac:dyDescent="0.35">
      <c r="B57" s="27">
        <v>1.9</v>
      </c>
      <c r="C57" s="19">
        <v>1213.5357200000001</v>
      </c>
      <c r="D57" s="18">
        <f t="shared" si="6"/>
        <v>9.7693840693538974</v>
      </c>
      <c r="E57" s="18">
        <f t="shared" si="7"/>
        <v>-1.643788292291279</v>
      </c>
      <c r="F57" s="18">
        <f t="shared" si="20"/>
        <v>-1.8750023551139974</v>
      </c>
      <c r="G57" s="18">
        <f t="shared" si="8"/>
        <v>-1.8750023551139974</v>
      </c>
      <c r="H57" s="18">
        <f t="shared" si="9"/>
        <v>-1.8750023551139974</v>
      </c>
      <c r="I57" s="3"/>
      <c r="J57" s="18">
        <f t="shared" si="10"/>
        <v>7.7249311581731437</v>
      </c>
      <c r="K57" s="18">
        <f t="shared" si="11"/>
        <v>0.164014168613521</v>
      </c>
      <c r="L57" s="18">
        <f t="shared" si="12"/>
        <v>0.13410793831945955</v>
      </c>
      <c r="M57" s="18">
        <f t="shared" si="13"/>
        <v>0.13410793831945955</v>
      </c>
      <c r="N57" s="18">
        <f t="shared" si="14"/>
        <v>0.13410793831945955</v>
      </c>
      <c r="O57" s="3"/>
      <c r="P57" s="19">
        <f t="shared" si="15"/>
        <v>786.6114884129131</v>
      </c>
      <c r="Q57" s="19">
        <f t="shared" si="21"/>
        <v>453.90467343763532</v>
      </c>
      <c r="R57" s="19">
        <f t="shared" si="22"/>
        <v>0</v>
      </c>
      <c r="S57" s="19">
        <f t="shared" si="23"/>
        <v>0</v>
      </c>
      <c r="T57" s="19">
        <f t="shared" si="24"/>
        <v>0</v>
      </c>
      <c r="U57" s="3"/>
      <c r="V57" s="19">
        <f t="shared" si="16"/>
        <v>1240.5161618505485</v>
      </c>
      <c r="W57" s="3"/>
      <c r="X57" s="15">
        <f t="shared" si="17"/>
        <v>727.94424245082678</v>
      </c>
      <c r="Y57" s="15">
        <f t="shared" si="18"/>
        <v>26.980441850548459</v>
      </c>
      <c r="AA57" s="15">
        <f t="shared" si="19"/>
        <v>1.7534538910736838E-4</v>
      </c>
      <c r="AB57" s="17"/>
    </row>
    <row r="58" spans="2:28" x14ac:dyDescent="0.35">
      <c r="B58" s="27">
        <v>2</v>
      </c>
      <c r="C58" s="19">
        <v>1210.0357200000001</v>
      </c>
      <c r="D58" s="18">
        <f t="shared" si="6"/>
        <v>9.9098834077763875</v>
      </c>
      <c r="E58" s="18">
        <f t="shared" si="7"/>
        <v>-1.6376633634641566</v>
      </c>
      <c r="F58" s="18">
        <f t="shared" si="20"/>
        <v>-1.8638912440028861</v>
      </c>
      <c r="G58" s="18">
        <f t="shared" si="8"/>
        <v>-1.8638912440028861</v>
      </c>
      <c r="H58" s="18">
        <f t="shared" si="9"/>
        <v>-1.8638912440028861</v>
      </c>
      <c r="I58" s="3"/>
      <c r="J58" s="18">
        <f t="shared" si="10"/>
        <v>7.8494410786845021</v>
      </c>
      <c r="K58" s="18">
        <f t="shared" si="11"/>
        <v>0.1648791477655496</v>
      </c>
      <c r="L58" s="18">
        <f t="shared" si="12"/>
        <v>0.13542751111676668</v>
      </c>
      <c r="M58" s="18">
        <f t="shared" si="13"/>
        <v>0.13542751111676668</v>
      </c>
      <c r="N58" s="18">
        <f t="shared" si="14"/>
        <v>0.13542751111676668</v>
      </c>
      <c r="O58" s="3"/>
      <c r="P58" s="19">
        <f t="shared" si="15"/>
        <v>763.24213194011645</v>
      </c>
      <c r="Q58" s="19">
        <f t="shared" si="21"/>
        <v>451.18814781037918</v>
      </c>
      <c r="R58" s="19">
        <f t="shared" si="22"/>
        <v>0</v>
      </c>
      <c r="S58" s="19">
        <f t="shared" si="23"/>
        <v>0</v>
      </c>
      <c r="T58" s="19">
        <f t="shared" si="24"/>
        <v>0</v>
      </c>
      <c r="U58" s="3"/>
      <c r="V58" s="19">
        <f t="shared" si="16"/>
        <v>1214.4302797504956</v>
      </c>
      <c r="W58" s="3"/>
      <c r="X58" s="15">
        <f t="shared" si="17"/>
        <v>19.312155400675476</v>
      </c>
      <c r="Y58" s="15">
        <f t="shared" si="18"/>
        <v>4.3945597504955458</v>
      </c>
      <c r="AA58" s="15">
        <f t="shared" si="19"/>
        <v>2.8560161974906911E-5</v>
      </c>
      <c r="AB58" s="17"/>
    </row>
    <row r="59" spans="2:28" x14ac:dyDescent="0.35">
      <c r="B59" s="27">
        <v>2.1</v>
      </c>
      <c r="C59" s="19">
        <v>1225.2857200000001</v>
      </c>
      <c r="D59" s="18">
        <f t="shared" si="6"/>
        <v>10.050382746198878</v>
      </c>
      <c r="E59" s="18">
        <f t="shared" si="7"/>
        <v>-1.6315384346370343</v>
      </c>
      <c r="F59" s="18">
        <f t="shared" si="20"/>
        <v>-1.852780132891775</v>
      </c>
      <c r="G59" s="18">
        <f t="shared" si="8"/>
        <v>-1.852780132891775</v>
      </c>
      <c r="H59" s="18">
        <f t="shared" si="9"/>
        <v>-1.852780132891775</v>
      </c>
      <c r="I59" s="3"/>
      <c r="J59" s="18">
        <f t="shared" si="10"/>
        <v>7.9741746011701595</v>
      </c>
      <c r="K59" s="18">
        <f t="shared" si="11"/>
        <v>0.16574804005498942</v>
      </c>
      <c r="L59" s="18">
        <f t="shared" si="12"/>
        <v>0.13675850595498007</v>
      </c>
      <c r="M59" s="18">
        <f t="shared" si="13"/>
        <v>0.13675850595498007</v>
      </c>
      <c r="N59" s="18">
        <f t="shared" si="14"/>
        <v>0.13675850595498007</v>
      </c>
      <c r="O59" s="3"/>
      <c r="P59" s="19">
        <f t="shared" si="15"/>
        <v>740.86086813858753</v>
      </c>
      <c r="Q59" s="19">
        <f t="shared" si="21"/>
        <v>448.48837683972891</v>
      </c>
      <c r="R59" s="19">
        <f t="shared" si="22"/>
        <v>0</v>
      </c>
      <c r="S59" s="19">
        <f t="shared" si="23"/>
        <v>0</v>
      </c>
      <c r="T59" s="19">
        <f t="shared" si="24"/>
        <v>0</v>
      </c>
      <c r="U59" s="3"/>
      <c r="V59" s="19">
        <f t="shared" si="16"/>
        <v>1189.3492449783164</v>
      </c>
      <c r="W59" s="3"/>
      <c r="X59" s="15">
        <f t="shared" si="17"/>
        <v>1291.4302369840959</v>
      </c>
      <c r="Y59" s="15">
        <f t="shared" si="18"/>
        <v>35.936475021683691</v>
      </c>
      <c r="AA59" s="15">
        <f t="shared" si="19"/>
        <v>2.3355048189087601E-4</v>
      </c>
      <c r="AB59" s="17"/>
    </row>
    <row r="60" spans="2:28" x14ac:dyDescent="0.35">
      <c r="B60" s="27">
        <v>2.2000000000000002</v>
      </c>
      <c r="C60" s="19">
        <v>1162.0357200000001</v>
      </c>
      <c r="D60" s="18">
        <f t="shared" si="6"/>
        <v>10.19088208462137</v>
      </c>
      <c r="E60" s="18">
        <f t="shared" si="7"/>
        <v>-1.6254135058099122</v>
      </c>
      <c r="F60" s="18">
        <f t="shared" si="20"/>
        <v>-1.8416690217806639</v>
      </c>
      <c r="G60" s="18">
        <f t="shared" si="8"/>
        <v>-1.8416690217806639</v>
      </c>
      <c r="H60" s="18">
        <f t="shared" si="9"/>
        <v>-1.8416690217806639</v>
      </c>
      <c r="I60" s="3"/>
      <c r="J60" s="18">
        <f t="shared" si="10"/>
        <v>8.0991259376924241</v>
      </c>
      <c r="K60" s="18">
        <f t="shared" si="11"/>
        <v>0.16662085731400114</v>
      </c>
      <c r="L60" s="18">
        <f t="shared" si="12"/>
        <v>0.13810099462240541</v>
      </c>
      <c r="M60" s="18">
        <f t="shared" si="13"/>
        <v>0.13810099462240541</v>
      </c>
      <c r="N60" s="18">
        <f t="shared" si="14"/>
        <v>0.13810099462240541</v>
      </c>
      <c r="O60" s="3"/>
      <c r="P60" s="19">
        <f t="shared" si="15"/>
        <v>719.41432901076871</v>
      </c>
      <c r="Q60" s="19">
        <f t="shared" si="21"/>
        <v>445.8052580399505</v>
      </c>
      <c r="R60" s="19">
        <f t="shared" si="22"/>
        <v>0</v>
      </c>
      <c r="S60" s="19">
        <f t="shared" si="23"/>
        <v>0</v>
      </c>
      <c r="T60" s="19">
        <f t="shared" si="24"/>
        <v>0</v>
      </c>
      <c r="U60" s="3"/>
      <c r="V60" s="19">
        <f t="shared" si="16"/>
        <v>1165.2195870507192</v>
      </c>
      <c r="W60" s="3"/>
      <c r="X60" s="15">
        <f t="shared" si="17"/>
        <v>10.137009396654566</v>
      </c>
      <c r="Y60" s="15">
        <f t="shared" si="18"/>
        <v>3.1838670507190727</v>
      </c>
      <c r="AA60" s="15">
        <f t="shared" si="19"/>
        <v>2.0691892666802878E-5</v>
      </c>
      <c r="AB60" s="17"/>
    </row>
    <row r="61" spans="2:28" x14ac:dyDescent="0.35">
      <c r="B61" s="27">
        <v>2.2999999999999998</v>
      </c>
      <c r="C61" s="19">
        <v>1123.0357200000001</v>
      </c>
      <c r="D61" s="18">
        <f t="shared" si="6"/>
        <v>10.33138142304386</v>
      </c>
      <c r="E61" s="18">
        <f t="shared" si="7"/>
        <v>-1.6192885769827898</v>
      </c>
      <c r="F61" s="18">
        <f t="shared" si="20"/>
        <v>-1.8305579106695529</v>
      </c>
      <c r="G61" s="18">
        <f t="shared" si="8"/>
        <v>-1.8305579106695529</v>
      </c>
      <c r="H61" s="18">
        <f t="shared" si="9"/>
        <v>-1.8305579106695529</v>
      </c>
      <c r="I61" s="3"/>
      <c r="J61" s="18">
        <f t="shared" si="10"/>
        <v>8.2242895116819508</v>
      </c>
      <c r="K61" s="18">
        <f t="shared" si="11"/>
        <v>0.16749761136189689</v>
      </c>
      <c r="L61" s="18">
        <f t="shared" si="12"/>
        <v>0.13945504892276003</v>
      </c>
      <c r="M61" s="18">
        <f t="shared" si="13"/>
        <v>0.13945504892276003</v>
      </c>
      <c r="N61" s="18">
        <f t="shared" si="14"/>
        <v>0.13945504892276003</v>
      </c>
      <c r="O61" s="3"/>
      <c r="P61" s="19">
        <f t="shared" si="15"/>
        <v>698.85261828231057</v>
      </c>
      <c r="Q61" s="19">
        <f t="shared" si="21"/>
        <v>443.13868954521774</v>
      </c>
      <c r="R61" s="19">
        <f t="shared" si="22"/>
        <v>0</v>
      </c>
      <c r="S61" s="19">
        <f t="shared" si="23"/>
        <v>0</v>
      </c>
      <c r="T61" s="19">
        <f t="shared" si="24"/>
        <v>0</v>
      </c>
      <c r="U61" s="3"/>
      <c r="V61" s="19">
        <f t="shared" si="16"/>
        <v>1141.9913078275283</v>
      </c>
      <c r="W61" s="3"/>
      <c r="X61" s="15">
        <f t="shared" si="17"/>
        <v>359.31430988713657</v>
      </c>
      <c r="Y61" s="15">
        <f t="shared" si="18"/>
        <v>18.955587827528234</v>
      </c>
      <c r="AA61" s="15">
        <f t="shared" si="19"/>
        <v>1.2319201226533168E-4</v>
      </c>
      <c r="AB61" s="17"/>
    </row>
    <row r="62" spans="2:28" x14ac:dyDescent="0.35">
      <c r="B62" s="27">
        <v>2.4</v>
      </c>
      <c r="C62" s="19">
        <v>1102.2857200000001</v>
      </c>
      <c r="D62" s="18">
        <f t="shared" si="6"/>
        <v>10.47188076146635</v>
      </c>
      <c r="E62" s="18">
        <f t="shared" si="7"/>
        <v>-1.6131636481556675</v>
      </c>
      <c r="F62" s="18">
        <f t="shared" si="20"/>
        <v>-1.8194467995584418</v>
      </c>
      <c r="G62" s="18">
        <f t="shared" si="8"/>
        <v>-1.8194467995584418</v>
      </c>
      <c r="H62" s="18">
        <f t="shared" si="9"/>
        <v>-1.8194467995584418</v>
      </c>
      <c r="I62" s="3"/>
      <c r="J62" s="18">
        <f t="shared" si="10"/>
        <v>8.3496599481994007</v>
      </c>
      <c r="K62" s="18">
        <f t="shared" si="11"/>
        <v>0.1683783140047222</v>
      </c>
      <c r="L62" s="18">
        <f t="shared" si="12"/>
        <v>0.1408207406679404</v>
      </c>
      <c r="M62" s="18">
        <f t="shared" si="13"/>
        <v>0.1408207406679404</v>
      </c>
      <c r="N62" s="18">
        <f t="shared" si="14"/>
        <v>0.1408207406679404</v>
      </c>
      <c r="O62" s="3"/>
      <c r="P62" s="19">
        <f t="shared" si="15"/>
        <v>679.12904929458921</v>
      </c>
      <c r="Q62" s="19">
        <f t="shared" si="21"/>
        <v>440.48857010581509</v>
      </c>
      <c r="R62" s="19">
        <f t="shared" si="22"/>
        <v>0</v>
      </c>
      <c r="S62" s="19">
        <f t="shared" si="23"/>
        <v>0</v>
      </c>
      <c r="T62" s="19">
        <f t="shared" si="24"/>
        <v>0</v>
      </c>
      <c r="U62" s="3"/>
      <c r="V62" s="19">
        <f t="shared" si="16"/>
        <v>1119.6176194004042</v>
      </c>
      <c r="W62" s="3"/>
      <c r="X62" s="15">
        <f t="shared" si="17"/>
        <v>300.39473682572986</v>
      </c>
      <c r="Y62" s="15">
        <f t="shared" si="18"/>
        <v>17.331899400404154</v>
      </c>
      <c r="AA62" s="15">
        <f t="shared" si="19"/>
        <v>1.1263969141676057E-4</v>
      </c>
      <c r="AB62" s="17"/>
    </row>
    <row r="63" spans="2:28" x14ac:dyDescent="0.35">
      <c r="B63" s="27">
        <v>2.5</v>
      </c>
      <c r="C63" s="19">
        <v>1107.2857200000001</v>
      </c>
      <c r="D63" s="18">
        <f t="shared" si="6"/>
        <v>10.612380099888842</v>
      </c>
      <c r="E63" s="18">
        <f t="shared" si="7"/>
        <v>-1.6070387193285454</v>
      </c>
      <c r="F63" s="18">
        <f t="shared" si="20"/>
        <v>-1.8083356884473307</v>
      </c>
      <c r="G63" s="18">
        <f t="shared" si="8"/>
        <v>-1.8083356884473307</v>
      </c>
      <c r="H63" s="18">
        <f t="shared" si="9"/>
        <v>-1.8083356884473307</v>
      </c>
      <c r="I63" s="3"/>
      <c r="J63" s="18">
        <f t="shared" si="10"/>
        <v>8.4752320647283792</v>
      </c>
      <c r="K63" s="18">
        <f t="shared" si="11"/>
        <v>0.16926297703483684</v>
      </c>
      <c r="L63" s="18">
        <f t="shared" si="12"/>
        <v>0.14219814167072359</v>
      </c>
      <c r="M63" s="18">
        <f t="shared" si="13"/>
        <v>0.14219814167072359</v>
      </c>
      <c r="N63" s="18">
        <f t="shared" si="14"/>
        <v>0.14219814167072359</v>
      </c>
      <c r="O63" s="3"/>
      <c r="P63" s="19">
        <f t="shared" si="15"/>
        <v>660.19990528319772</v>
      </c>
      <c r="Q63" s="19">
        <f t="shared" si="21"/>
        <v>437.85479908436434</v>
      </c>
      <c r="R63" s="19">
        <f t="shared" si="22"/>
        <v>0</v>
      </c>
      <c r="S63" s="19">
        <f t="shared" si="23"/>
        <v>0</v>
      </c>
      <c r="T63" s="19">
        <f t="shared" si="24"/>
        <v>0</v>
      </c>
      <c r="U63" s="3"/>
      <c r="V63" s="19">
        <f t="shared" si="16"/>
        <v>1098.054704367562</v>
      </c>
      <c r="W63" s="3"/>
      <c r="X63" s="15">
        <f t="shared" si="17"/>
        <v>85.211649606317124</v>
      </c>
      <c r="Y63" s="15">
        <f t="shared" si="18"/>
        <v>9.2310156324381296</v>
      </c>
      <c r="AA63" s="15">
        <f t="shared" si="19"/>
        <v>5.9992198678286684E-5</v>
      </c>
      <c r="AB63" s="17"/>
    </row>
    <row r="64" spans="2:28" x14ac:dyDescent="0.35">
      <c r="B64" s="27">
        <v>2.6</v>
      </c>
      <c r="C64" s="19">
        <v>1038.7857200000001</v>
      </c>
      <c r="D64" s="18">
        <f t="shared" si="6"/>
        <v>10.752879438311332</v>
      </c>
      <c r="E64" s="18">
        <f t="shared" si="7"/>
        <v>-1.600913790501423</v>
      </c>
      <c r="F64" s="18">
        <f t="shared" si="20"/>
        <v>-1.7972245773362194</v>
      </c>
      <c r="G64" s="18">
        <f t="shared" si="8"/>
        <v>-1.7972245773362194</v>
      </c>
      <c r="H64" s="18">
        <f t="shared" si="9"/>
        <v>-1.7972245773362194</v>
      </c>
      <c r="I64" s="3"/>
      <c r="J64" s="18">
        <f t="shared" si="10"/>
        <v>8.6010008624668153</v>
      </c>
      <c r="K64" s="18">
        <f t="shared" si="11"/>
        <v>0.17015161223049535</v>
      </c>
      <c r="L64" s="18">
        <f t="shared" si="12"/>
        <v>0.14358732373740454</v>
      </c>
      <c r="M64" s="18">
        <f t="shared" si="13"/>
        <v>0.14358732373740454</v>
      </c>
      <c r="N64" s="18">
        <f t="shared" si="14"/>
        <v>0.14358732373740454</v>
      </c>
      <c r="O64" s="3"/>
      <c r="P64" s="19">
        <f t="shared" si="15"/>
        <v>642.02421991968038</v>
      </c>
      <c r="Q64" s="19">
        <f t="shared" si="21"/>
        <v>435.23727645207367</v>
      </c>
      <c r="R64" s="19">
        <f t="shared" si="22"/>
        <v>0</v>
      </c>
      <c r="S64" s="19">
        <f t="shared" si="23"/>
        <v>0</v>
      </c>
      <c r="T64" s="19">
        <f t="shared" si="24"/>
        <v>0</v>
      </c>
      <c r="U64" s="3"/>
      <c r="V64" s="19">
        <f t="shared" si="16"/>
        <v>1077.261496371754</v>
      </c>
      <c r="W64" s="3"/>
      <c r="X64" s="15">
        <f t="shared" si="17"/>
        <v>1480.3853674092163</v>
      </c>
      <c r="Y64" s="15">
        <f t="shared" si="18"/>
        <v>38.475776371753909</v>
      </c>
      <c r="AA64" s="15">
        <f t="shared" si="19"/>
        <v>2.5005335407344838E-4</v>
      </c>
      <c r="AB64" s="17"/>
    </row>
    <row r="65" spans="2:28" x14ac:dyDescent="0.35">
      <c r="B65" s="27">
        <v>2.7</v>
      </c>
      <c r="C65" s="19">
        <v>1054.0357200000001</v>
      </c>
      <c r="D65" s="18">
        <f t="shared" si="6"/>
        <v>10.893378776733822</v>
      </c>
      <c r="E65" s="18">
        <f t="shared" si="7"/>
        <v>-1.5947888616743007</v>
      </c>
      <c r="F65" s="18">
        <f t="shared" si="20"/>
        <v>-1.7861134662251084</v>
      </c>
      <c r="G65" s="18">
        <f t="shared" si="8"/>
        <v>-1.7861134662251084</v>
      </c>
      <c r="H65" s="18">
        <f t="shared" si="9"/>
        <v>-1.7861134662251084</v>
      </c>
      <c r="I65" s="3"/>
      <c r="J65" s="18">
        <f t="shared" si="10"/>
        <v>8.7269615180861315</v>
      </c>
      <c r="K65" s="18">
        <f t="shared" si="11"/>
        <v>0.17104423135542629</v>
      </c>
      <c r="L65" s="18">
        <f t="shared" si="12"/>
        <v>0.14498835866037027</v>
      </c>
      <c r="M65" s="18">
        <f t="shared" si="13"/>
        <v>0.14498835866037027</v>
      </c>
      <c r="N65" s="18">
        <f t="shared" si="14"/>
        <v>0.14498835866037027</v>
      </c>
      <c r="O65" s="3"/>
      <c r="P65" s="19">
        <f t="shared" si="15"/>
        <v>624.56357621407324</v>
      </c>
      <c r="Q65" s="19">
        <f t="shared" si="21"/>
        <v>432.63590278501187</v>
      </c>
      <c r="R65" s="19">
        <f t="shared" si="22"/>
        <v>0</v>
      </c>
      <c r="S65" s="19">
        <f t="shared" si="23"/>
        <v>0</v>
      </c>
      <c r="T65" s="19">
        <f t="shared" si="24"/>
        <v>0</v>
      </c>
      <c r="U65" s="3"/>
      <c r="V65" s="19">
        <f t="shared" si="16"/>
        <v>1057.1994789990852</v>
      </c>
      <c r="W65" s="3"/>
      <c r="X65" s="15">
        <f t="shared" si="17"/>
        <v>10.009371004291799</v>
      </c>
      <c r="Y65" s="15">
        <f t="shared" si="18"/>
        <v>3.1637589990850756</v>
      </c>
      <c r="AA65" s="15">
        <f t="shared" si="19"/>
        <v>2.0561210813722604E-5</v>
      </c>
      <c r="AB65" s="17"/>
    </row>
    <row r="66" spans="2:28" x14ac:dyDescent="0.35">
      <c r="B66" s="27">
        <v>2.8</v>
      </c>
      <c r="C66" s="19">
        <v>1048.2857200000001</v>
      </c>
      <c r="D66" s="18">
        <f t="shared" si="6"/>
        <v>11.033878115156314</v>
      </c>
      <c r="E66" s="18">
        <f t="shared" si="7"/>
        <v>-1.5886639328471786</v>
      </c>
      <c r="F66" s="18">
        <f t="shared" si="20"/>
        <v>-1.7750023551139973</v>
      </c>
      <c r="G66" s="18">
        <f t="shared" si="8"/>
        <v>-1.7750023551139973</v>
      </c>
      <c r="H66" s="18">
        <f t="shared" si="9"/>
        <v>-1.7750023551139973</v>
      </c>
      <c r="I66" s="3"/>
      <c r="J66" s="18">
        <f t="shared" si="10"/>
        <v>8.8531093759296393</v>
      </c>
      <c r="K66" s="18">
        <f t="shared" si="11"/>
        <v>0.17194084615841115</v>
      </c>
      <c r="L66" s="18">
        <f t="shared" si="12"/>
        <v>0.14640131821061289</v>
      </c>
      <c r="M66" s="18">
        <f t="shared" si="13"/>
        <v>0.14640131821061289</v>
      </c>
      <c r="N66" s="18">
        <f t="shared" si="14"/>
        <v>0.14640131821061289</v>
      </c>
      <c r="O66" s="3"/>
      <c r="P66" s="19">
        <f t="shared" si="15"/>
        <v>607.78192207136294</v>
      </c>
      <c r="Q66" s="19">
        <f t="shared" si="21"/>
        <v>430.05057926040382</v>
      </c>
      <c r="R66" s="19">
        <f t="shared" si="22"/>
        <v>0</v>
      </c>
      <c r="S66" s="19">
        <f t="shared" si="23"/>
        <v>0</v>
      </c>
      <c r="T66" s="19">
        <f t="shared" si="24"/>
        <v>0</v>
      </c>
      <c r="U66" s="3"/>
      <c r="V66" s="19">
        <f t="shared" si="16"/>
        <v>1037.8325013317667</v>
      </c>
      <c r="W66" s="3"/>
      <c r="X66" s="15">
        <f t="shared" si="17"/>
        <v>109.26978052590275</v>
      </c>
      <c r="Y66" s="15">
        <f t="shared" si="18"/>
        <v>10.453218668233376</v>
      </c>
      <c r="AA66" s="15">
        <f t="shared" si="19"/>
        <v>6.7935273445810096E-5</v>
      </c>
      <c r="AB66" s="17"/>
    </row>
    <row r="67" spans="2:28" x14ac:dyDescent="0.35">
      <c r="B67" s="27">
        <v>2.9</v>
      </c>
      <c r="C67" s="19">
        <v>999.03570999999999</v>
      </c>
      <c r="D67" s="18">
        <f t="shared" si="6"/>
        <v>11.174377453578805</v>
      </c>
      <c r="E67" s="18">
        <f t="shared" si="7"/>
        <v>-1.5825390040200562</v>
      </c>
      <c r="F67" s="18">
        <f t="shared" si="20"/>
        <v>-1.7638912440028862</v>
      </c>
      <c r="G67" s="18">
        <f t="shared" si="8"/>
        <v>-1.7638912440028862</v>
      </c>
      <c r="H67" s="18">
        <f t="shared" si="9"/>
        <v>-1.7638912440028862</v>
      </c>
      <c r="I67" s="3"/>
      <c r="J67" s="18">
        <f t="shared" si="10"/>
        <v>8.9794399406234895</v>
      </c>
      <c r="K67" s="18">
        <f t="shared" si="11"/>
        <v>0.17284146837286232</v>
      </c>
      <c r="L67" s="18">
        <f t="shared" si="12"/>
        <v>0.1478262741301829</v>
      </c>
      <c r="M67" s="18">
        <f t="shared" si="13"/>
        <v>0.1478262741301829</v>
      </c>
      <c r="N67" s="18">
        <f t="shared" si="14"/>
        <v>0.1478262741301829</v>
      </c>
      <c r="O67" s="3"/>
      <c r="P67" s="19">
        <f t="shared" si="15"/>
        <v>591.6454009687825</v>
      </c>
      <c r="Q67" s="19">
        <f t="shared" si="21"/>
        <v>427.48120765295067</v>
      </c>
      <c r="R67" s="19">
        <f t="shared" si="22"/>
        <v>0</v>
      </c>
      <c r="S67" s="19">
        <f t="shared" si="23"/>
        <v>0</v>
      </c>
      <c r="T67" s="19">
        <f t="shared" si="24"/>
        <v>0</v>
      </c>
      <c r="U67" s="3"/>
      <c r="V67" s="19">
        <f t="shared" si="16"/>
        <v>1019.1266086217331</v>
      </c>
      <c r="W67" s="3"/>
      <c r="X67" s="15">
        <f t="shared" si="17"/>
        <v>403.64420742875768</v>
      </c>
      <c r="Y67" s="15">
        <f t="shared" si="18"/>
        <v>20.090898621733118</v>
      </c>
      <c r="AA67" s="15">
        <f t="shared" si="19"/>
        <v>1.3057037597302625E-4</v>
      </c>
      <c r="AB67" s="17"/>
    </row>
    <row r="68" spans="2:28" x14ac:dyDescent="0.35">
      <c r="B68" s="27">
        <v>3</v>
      </c>
      <c r="C68" s="19">
        <v>1001.53572</v>
      </c>
      <c r="D68" s="18">
        <f t="shared" si="6"/>
        <v>11.314876792001296</v>
      </c>
      <c r="E68" s="18">
        <f t="shared" si="7"/>
        <v>-1.5764140751929339</v>
      </c>
      <c r="F68" s="18">
        <f t="shared" si="20"/>
        <v>-1.7527801328917749</v>
      </c>
      <c r="G68" s="18">
        <f t="shared" si="8"/>
        <v>-1.7527801328917749</v>
      </c>
      <c r="H68" s="18">
        <f t="shared" si="9"/>
        <v>-1.7527801328917749</v>
      </c>
      <c r="I68" s="3"/>
      <c r="J68" s="18">
        <f t="shared" si="10"/>
        <v>9.1059488700753324</v>
      </c>
      <c r="K68" s="18">
        <f t="shared" si="11"/>
        <v>0.17374610971640045</v>
      </c>
      <c r="L68" s="18">
        <f t="shared" si="12"/>
        <v>0.14926329812458419</v>
      </c>
      <c r="M68" s="18">
        <f t="shared" si="13"/>
        <v>0.14926329812458419</v>
      </c>
      <c r="N68" s="18">
        <f t="shared" si="14"/>
        <v>0.14926329812458419</v>
      </c>
      <c r="O68" s="3"/>
      <c r="P68" s="19">
        <f t="shared" si="15"/>
        <v>576.12219637548344</v>
      </c>
      <c r="Q68" s="19">
        <f t="shared" si="21"/>
        <v>424.92769033117247</v>
      </c>
      <c r="R68" s="19">
        <f t="shared" si="22"/>
        <v>0</v>
      </c>
      <c r="S68" s="19">
        <f t="shared" si="23"/>
        <v>0</v>
      </c>
      <c r="T68" s="19">
        <f t="shared" si="24"/>
        <v>0</v>
      </c>
      <c r="U68" s="3"/>
      <c r="V68" s="19">
        <f t="shared" si="16"/>
        <v>1001.0498867066559</v>
      </c>
      <c r="W68" s="3"/>
      <c r="X68" s="15">
        <f t="shared" si="17"/>
        <v>0.23603398892153341</v>
      </c>
      <c r="Y68" s="15">
        <f t="shared" si="18"/>
        <v>0.48583329334405789</v>
      </c>
      <c r="AA68" s="15">
        <f t="shared" si="19"/>
        <v>3.1574215253630604E-6</v>
      </c>
      <c r="AB68" s="17"/>
    </row>
    <row r="69" spans="2:28" x14ac:dyDescent="0.35">
      <c r="B69" s="27">
        <v>3.1</v>
      </c>
      <c r="C69" s="19">
        <v>991.78570999999999</v>
      </c>
      <c r="D69" s="18">
        <f t="shared" si="6"/>
        <v>11.455376130423787</v>
      </c>
      <c r="E69" s="18">
        <f t="shared" si="7"/>
        <v>-1.5702891463658117</v>
      </c>
      <c r="F69" s="18">
        <f t="shared" si="20"/>
        <v>-1.7416690217806639</v>
      </c>
      <c r="G69" s="18">
        <f t="shared" si="8"/>
        <v>-1.7416690217806639</v>
      </c>
      <c r="H69" s="18">
        <f t="shared" si="9"/>
        <v>-1.7416690217806639</v>
      </c>
      <c r="I69" s="3"/>
      <c r="J69" s="18">
        <f t="shared" si="10"/>
        <v>9.2326319688374223</v>
      </c>
      <c r="K69" s="18">
        <f t="shared" si="11"/>
        <v>0.17465478189043124</v>
      </c>
      <c r="L69" s="18">
        <f t="shared" si="12"/>
        <v>0.15071246185511286</v>
      </c>
      <c r="M69" s="18">
        <f t="shared" si="13"/>
        <v>0.15071246185511286</v>
      </c>
      <c r="N69" s="18">
        <f t="shared" si="14"/>
        <v>0.15071246185511286</v>
      </c>
      <c r="O69" s="3"/>
      <c r="P69" s="19">
        <f t="shared" si="15"/>
        <v>561.1823886738764</v>
      </c>
      <c r="Q69" s="19">
        <f t="shared" si="21"/>
        <v>422.38993025377334</v>
      </c>
      <c r="R69" s="19">
        <f t="shared" si="22"/>
        <v>0</v>
      </c>
      <c r="S69" s="19">
        <f t="shared" si="23"/>
        <v>0</v>
      </c>
      <c r="T69" s="19">
        <f t="shared" si="24"/>
        <v>0</v>
      </c>
      <c r="U69" s="3"/>
      <c r="V69" s="19">
        <f t="shared" si="16"/>
        <v>983.5723189276498</v>
      </c>
      <c r="W69" s="3"/>
      <c r="X69" s="15">
        <f t="shared" si="17"/>
        <v>67.45979290736183</v>
      </c>
      <c r="Y69" s="15">
        <f t="shared" si="18"/>
        <v>8.2133910723501913</v>
      </c>
      <c r="AA69" s="15">
        <f t="shared" si="19"/>
        <v>5.3378675614348913E-5</v>
      </c>
      <c r="AB69" s="17"/>
    </row>
    <row r="70" spans="2:28" x14ac:dyDescent="0.35">
      <c r="B70" s="27">
        <v>3.2</v>
      </c>
      <c r="C70" s="19">
        <v>945.53570999999999</v>
      </c>
      <c r="D70" s="18">
        <f t="shared" si="6"/>
        <v>11.595875468846277</v>
      </c>
      <c r="E70" s="18">
        <f t="shared" si="7"/>
        <v>-1.5641642175386894</v>
      </c>
      <c r="F70" s="18">
        <f t="shared" si="20"/>
        <v>-1.7305579106695528</v>
      </c>
      <c r="G70" s="18">
        <f t="shared" si="8"/>
        <v>-1.7305579106695528</v>
      </c>
      <c r="H70" s="18">
        <f t="shared" si="9"/>
        <v>-1.7305579106695528</v>
      </c>
      <c r="I70" s="3"/>
      <c r="J70" s="18">
        <f t="shared" si="10"/>
        <v>9.3594851818125431</v>
      </c>
      <c r="K70" s="18">
        <f t="shared" si="11"/>
        <v>0.17556749657972168</v>
      </c>
      <c r="L70" s="18">
        <f t="shared" si="12"/>
        <v>0.15217383693114109</v>
      </c>
      <c r="M70" s="18">
        <f t="shared" si="13"/>
        <v>0.15217383693114109</v>
      </c>
      <c r="N70" s="18">
        <f t="shared" si="14"/>
        <v>0.15217383693114109</v>
      </c>
      <c r="O70" s="3"/>
      <c r="P70" s="19">
        <f t="shared" si="15"/>
        <v>546.79782346474019</v>
      </c>
      <c r="Q70" s="19">
        <f t="shared" si="21"/>
        <v>419.86783096602954</v>
      </c>
      <c r="R70" s="19">
        <f t="shared" si="22"/>
        <v>0</v>
      </c>
      <c r="S70" s="19">
        <f t="shared" si="23"/>
        <v>0</v>
      </c>
      <c r="T70" s="19">
        <f t="shared" si="24"/>
        <v>0</v>
      </c>
      <c r="U70" s="3"/>
      <c r="V70" s="19">
        <f t="shared" si="16"/>
        <v>966.66565443076979</v>
      </c>
      <c r="W70" s="3"/>
      <c r="X70" s="15">
        <f t="shared" si="17"/>
        <v>446.47455164741956</v>
      </c>
      <c r="Y70" s="15">
        <f t="shared" si="18"/>
        <v>21.129944430769797</v>
      </c>
      <c r="AA70" s="15">
        <f t="shared" si="19"/>
        <v>1.3732311533493603E-4</v>
      </c>
      <c r="AB70" s="17"/>
    </row>
    <row r="71" spans="2:28" x14ac:dyDescent="0.35">
      <c r="B71" s="27">
        <v>3.3</v>
      </c>
      <c r="C71" s="19">
        <v>980.53570999999999</v>
      </c>
      <c r="D71" s="18">
        <f t="shared" si="6"/>
        <v>11.736374807268767</v>
      </c>
      <c r="E71" s="18">
        <f t="shared" si="7"/>
        <v>-1.558039288711567</v>
      </c>
      <c r="F71" s="18">
        <f t="shared" si="20"/>
        <v>-1.7194467995584417</v>
      </c>
      <c r="G71" s="18">
        <f t="shared" si="8"/>
        <v>-1.7194467995584417</v>
      </c>
      <c r="H71" s="18">
        <f t="shared" si="9"/>
        <v>-1.7194467995584417</v>
      </c>
      <c r="I71" s="3"/>
      <c r="J71" s="18">
        <f t="shared" si="10"/>
        <v>9.4865045882824237</v>
      </c>
      <c r="K71" s="18">
        <f t="shared" si="11"/>
        <v>0.17648426545197554</v>
      </c>
      <c r="L71" s="18">
        <f t="shared" si="12"/>
        <v>0.15364749490234839</v>
      </c>
      <c r="M71" s="18">
        <f t="shared" si="13"/>
        <v>0.15364749490234839</v>
      </c>
      <c r="N71" s="18">
        <f t="shared" si="14"/>
        <v>0.15364749490234839</v>
      </c>
      <c r="O71" s="3"/>
      <c r="P71" s="19">
        <f t="shared" si="15"/>
        <v>532.94199024786326</v>
      </c>
      <c r="Q71" s="19">
        <f t="shared" si="21"/>
        <v>417.36129659620025</v>
      </c>
      <c r="R71" s="19">
        <f t="shared" si="22"/>
        <v>0</v>
      </c>
      <c r="S71" s="19">
        <f t="shared" si="23"/>
        <v>0</v>
      </c>
      <c r="T71" s="19">
        <f t="shared" si="24"/>
        <v>0</v>
      </c>
      <c r="U71" s="3"/>
      <c r="V71" s="19">
        <f t="shared" si="16"/>
        <v>950.30328684406345</v>
      </c>
      <c r="W71" s="3"/>
      <c r="X71" s="15">
        <f t="shared" si="17"/>
        <v>913.99940987960815</v>
      </c>
      <c r="Y71" s="15">
        <f t="shared" si="18"/>
        <v>30.232423155936544</v>
      </c>
      <c r="AA71" s="15">
        <f t="shared" si="19"/>
        <v>1.9647995504671641E-4</v>
      </c>
      <c r="AB71" s="17"/>
    </row>
    <row r="72" spans="2:28" x14ac:dyDescent="0.35">
      <c r="B72" s="27">
        <v>3.4</v>
      </c>
      <c r="C72" s="19">
        <v>941.03570999999999</v>
      </c>
      <c r="D72" s="18">
        <f t="shared" si="6"/>
        <v>11.876874145691259</v>
      </c>
      <c r="E72" s="18">
        <f t="shared" si="7"/>
        <v>-1.5519143598844449</v>
      </c>
      <c r="F72" s="18">
        <f t="shared" si="20"/>
        <v>-1.7083356884473306</v>
      </c>
      <c r="G72" s="18">
        <f t="shared" si="8"/>
        <v>-1.7083356884473306</v>
      </c>
      <c r="H72" s="18">
        <f t="shared" si="9"/>
        <v>-1.7083356884473306</v>
      </c>
      <c r="I72" s="3"/>
      <c r="J72" s="18">
        <f t="shared" si="10"/>
        <v>9.6136863962397854</v>
      </c>
      <c r="K72" s="18">
        <f t="shared" si="11"/>
        <v>0.17740510015740837</v>
      </c>
      <c r="L72" s="18">
        <f t="shared" si="12"/>
        <v>0.1551335072509013</v>
      </c>
      <c r="M72" s="18">
        <f t="shared" si="13"/>
        <v>0.1551335072509013</v>
      </c>
      <c r="N72" s="18">
        <f t="shared" si="14"/>
        <v>0.1551335072509013</v>
      </c>
      <c r="O72" s="3"/>
      <c r="P72" s="19">
        <f t="shared" si="15"/>
        <v>519.58991056794207</v>
      </c>
      <c r="Q72" s="19">
        <f t="shared" si="21"/>
        <v>414.87023185196148</v>
      </c>
      <c r="R72" s="19">
        <f t="shared" si="22"/>
        <v>0</v>
      </c>
      <c r="S72" s="19">
        <f t="shared" si="23"/>
        <v>0</v>
      </c>
      <c r="T72" s="19">
        <f t="shared" si="24"/>
        <v>0</v>
      </c>
      <c r="U72" s="3"/>
      <c r="V72" s="19">
        <f t="shared" si="16"/>
        <v>934.4601424199036</v>
      </c>
      <c r="W72" s="3"/>
      <c r="X72" s="15">
        <f t="shared" si="17"/>
        <v>43.238089000414696</v>
      </c>
      <c r="Y72" s="15">
        <f t="shared" si="18"/>
        <v>6.57556758009639</v>
      </c>
      <c r="AA72" s="15">
        <f t="shared" si="19"/>
        <v>4.2734491240748899E-5</v>
      </c>
      <c r="AB72" s="17"/>
    </row>
    <row r="73" spans="2:28" x14ac:dyDescent="0.35">
      <c r="B73" s="27">
        <v>3.5</v>
      </c>
      <c r="C73" s="19">
        <v>909.28570999999999</v>
      </c>
      <c r="D73" s="18">
        <f t="shared" si="6"/>
        <v>12.017373484113749</v>
      </c>
      <c r="E73" s="18">
        <f t="shared" si="7"/>
        <v>-1.5457894310573226</v>
      </c>
      <c r="F73" s="18">
        <f t="shared" si="20"/>
        <v>-1.6972245773362196</v>
      </c>
      <c r="G73" s="18">
        <f t="shared" si="8"/>
        <v>-1.6972245773362196</v>
      </c>
      <c r="H73" s="18">
        <f t="shared" si="9"/>
        <v>-1.6972245773362196</v>
      </c>
      <c r="I73" s="3"/>
      <c r="J73" s="18">
        <f t="shared" si="10"/>
        <v>9.741026937006275</v>
      </c>
      <c r="K73" s="18">
        <f t="shared" si="11"/>
        <v>0.17833001232832249</v>
      </c>
      <c r="L73" s="18">
        <f t="shared" si="12"/>
        <v>0.15663194538358413</v>
      </c>
      <c r="M73" s="18">
        <f t="shared" si="13"/>
        <v>0.15663194538358413</v>
      </c>
      <c r="N73" s="18">
        <f t="shared" si="14"/>
        <v>0.15663194538358413</v>
      </c>
      <c r="O73" s="3"/>
      <c r="P73" s="19">
        <f t="shared" si="15"/>
        <v>506.71803480312866</v>
      </c>
      <c r="Q73" s="19">
        <f t="shared" si="21"/>
        <v>412.39454201685965</v>
      </c>
      <c r="R73" s="19">
        <f t="shared" si="22"/>
        <v>0</v>
      </c>
      <c r="S73" s="19">
        <f t="shared" si="23"/>
        <v>0</v>
      </c>
      <c r="T73" s="19">
        <f t="shared" si="24"/>
        <v>0</v>
      </c>
      <c r="U73" s="3"/>
      <c r="V73" s="19">
        <f t="shared" si="16"/>
        <v>919.11257681998836</v>
      </c>
      <c r="W73" s="3"/>
      <c r="X73" s="15">
        <f t="shared" si="17"/>
        <v>96.567311497788296</v>
      </c>
      <c r="Y73" s="15">
        <f t="shared" si="18"/>
        <v>9.8268668199883678</v>
      </c>
      <c r="AA73" s="15">
        <f t="shared" si="19"/>
        <v>6.3864624449140397E-5</v>
      </c>
      <c r="AB73" s="17"/>
    </row>
    <row r="74" spans="2:28" x14ac:dyDescent="0.35">
      <c r="B74" s="27">
        <v>3.6</v>
      </c>
      <c r="C74" s="19">
        <v>907.78570999999999</v>
      </c>
      <c r="D74" s="18">
        <f t="shared" si="6"/>
        <v>12.157872822536241</v>
      </c>
      <c r="E74" s="18">
        <f t="shared" si="7"/>
        <v>-1.5396645022302002</v>
      </c>
      <c r="F74" s="18">
        <f t="shared" si="20"/>
        <v>-1.6861134662251085</v>
      </c>
      <c r="G74" s="18">
        <f t="shared" si="8"/>
        <v>-1.6861134662251085</v>
      </c>
      <c r="H74" s="18">
        <f t="shared" si="9"/>
        <v>-1.6861134662251085</v>
      </c>
      <c r="I74" s="3"/>
      <c r="J74" s="18">
        <f t="shared" si="10"/>
        <v>9.8685226601197531</v>
      </c>
      <c r="K74" s="18">
        <f t="shared" si="11"/>
        <v>0.17925901357868074</v>
      </c>
      <c r="L74" s="18">
        <f t="shared" si="12"/>
        <v>0.15814288062388229</v>
      </c>
      <c r="M74" s="18">
        <f t="shared" si="13"/>
        <v>0.15814288062388229</v>
      </c>
      <c r="N74" s="18">
        <f t="shared" si="14"/>
        <v>0.15814288062388229</v>
      </c>
      <c r="O74" s="3"/>
      <c r="P74" s="19">
        <f t="shared" si="15"/>
        <v>494.30414685210991</v>
      </c>
      <c r="Q74" s="19">
        <f t="shared" si="21"/>
        <v>409.93413294679107</v>
      </c>
      <c r="R74" s="19">
        <f t="shared" si="22"/>
        <v>0</v>
      </c>
      <c r="S74" s="19">
        <f t="shared" si="23"/>
        <v>0</v>
      </c>
      <c r="T74" s="19">
        <f t="shared" si="24"/>
        <v>0</v>
      </c>
      <c r="U74" s="3"/>
      <c r="V74" s="19">
        <f t="shared" si="16"/>
        <v>904.23827979890098</v>
      </c>
      <c r="W74" s="3"/>
      <c r="X74" s="15">
        <f t="shared" si="17"/>
        <v>12.584261031669424</v>
      </c>
      <c r="Y74" s="15">
        <f t="shared" si="18"/>
        <v>3.5474302010990186</v>
      </c>
      <c r="AA74" s="15">
        <f t="shared" si="19"/>
        <v>2.3054682810181365E-5</v>
      </c>
      <c r="AB74" s="17"/>
    </row>
    <row r="75" spans="2:28" x14ac:dyDescent="0.35">
      <c r="B75" s="27">
        <v>3.7</v>
      </c>
      <c r="C75" s="19">
        <v>896.53570999999999</v>
      </c>
      <c r="D75" s="18">
        <f t="shared" si="6"/>
        <v>12.298372160958731</v>
      </c>
      <c r="E75" s="18">
        <f t="shared" si="7"/>
        <v>-1.5335395734030781</v>
      </c>
      <c r="F75" s="18">
        <f t="shared" si="20"/>
        <v>-1.6750023551139972</v>
      </c>
      <c r="G75" s="18">
        <f t="shared" si="8"/>
        <v>-1.6750023551139972</v>
      </c>
      <c r="H75" s="18">
        <f t="shared" si="9"/>
        <v>-1.6750023551139972</v>
      </c>
      <c r="I75" s="3"/>
      <c r="J75" s="18">
        <f t="shared" si="10"/>
        <v>9.9961701284754501</v>
      </c>
      <c r="K75" s="18">
        <f t="shared" si="11"/>
        <v>0.18019211550368033</v>
      </c>
      <c r="L75" s="18">
        <f t="shared" si="12"/>
        <v>0.15966638420401974</v>
      </c>
      <c r="M75" s="18">
        <f t="shared" si="13"/>
        <v>0.15966638420401974</v>
      </c>
      <c r="N75" s="18">
        <f t="shared" si="14"/>
        <v>0.15966638420401974</v>
      </c>
      <c r="O75" s="3"/>
      <c r="P75" s="19">
        <f t="shared" si="15"/>
        <v>482.32727604596272</v>
      </c>
      <c r="Q75" s="19">
        <f t="shared" si="21"/>
        <v>407.48891106650069</v>
      </c>
      <c r="R75" s="19">
        <f t="shared" si="22"/>
        <v>0</v>
      </c>
      <c r="S75" s="19">
        <f t="shared" si="23"/>
        <v>0</v>
      </c>
      <c r="T75" s="19">
        <f t="shared" si="24"/>
        <v>0</v>
      </c>
      <c r="U75" s="3"/>
      <c r="V75" s="19">
        <f t="shared" si="16"/>
        <v>889.81618711246347</v>
      </c>
      <c r="W75" s="3"/>
      <c r="X75" s="15">
        <f t="shared" si="17"/>
        <v>45.151987836127233</v>
      </c>
      <c r="Y75" s="15">
        <f t="shared" si="18"/>
        <v>6.7195228875365274</v>
      </c>
      <c r="AA75" s="15">
        <f t="shared" si="19"/>
        <v>4.3670054102802195E-5</v>
      </c>
      <c r="AB75" s="17"/>
    </row>
    <row r="76" spans="2:28" x14ac:dyDescent="0.35">
      <c r="B76" s="27">
        <v>3.8</v>
      </c>
      <c r="C76" s="19">
        <v>882.53570999999999</v>
      </c>
      <c r="D76" s="18">
        <f t="shared" si="6"/>
        <v>12.438871499381221</v>
      </c>
      <c r="E76" s="18">
        <f t="shared" si="7"/>
        <v>-1.5274146445759558</v>
      </c>
      <c r="F76" s="18">
        <f t="shared" si="20"/>
        <v>-1.6638912440028861</v>
      </c>
      <c r="G76" s="18">
        <f t="shared" si="8"/>
        <v>-1.6638912440028861</v>
      </c>
      <c r="H76" s="18">
        <f t="shared" si="9"/>
        <v>-1.6638912440028861</v>
      </c>
      <c r="I76" s="3"/>
      <c r="J76" s="18">
        <f t="shared" si="10"/>
        <v>10.123966013706498</v>
      </c>
      <c r="K76" s="18">
        <f t="shared" si="11"/>
        <v>0.18112932967932657</v>
      </c>
      <c r="L76" s="18">
        <f t="shared" si="12"/>
        <v>0.16120252725695353</v>
      </c>
      <c r="M76" s="18">
        <f t="shared" si="13"/>
        <v>0.16120252725695353</v>
      </c>
      <c r="N76" s="18">
        <f t="shared" si="14"/>
        <v>0.16120252725695353</v>
      </c>
      <c r="O76" s="3"/>
      <c r="P76" s="19">
        <f t="shared" si="15"/>
        <v>470.76761567417111</v>
      </c>
      <c r="Q76" s="19">
        <f t="shared" si="21"/>
        <v>405.0587833661034</v>
      </c>
      <c r="R76" s="19">
        <f t="shared" si="22"/>
        <v>0</v>
      </c>
      <c r="S76" s="19">
        <f t="shared" si="23"/>
        <v>0</v>
      </c>
      <c r="T76" s="19">
        <f t="shared" si="24"/>
        <v>0</v>
      </c>
      <c r="U76" s="3"/>
      <c r="V76" s="19">
        <f t="shared" si="16"/>
        <v>875.82639904027451</v>
      </c>
      <c r="W76" s="3"/>
      <c r="X76" s="15">
        <f t="shared" si="17"/>
        <v>45.014853554292515</v>
      </c>
      <c r="Y76" s="15">
        <f t="shared" si="18"/>
        <v>6.7093109597254852</v>
      </c>
      <c r="AA76" s="15">
        <f t="shared" si="19"/>
        <v>4.3603686974143508E-5</v>
      </c>
      <c r="AB76" s="17"/>
    </row>
    <row r="77" spans="2:28" x14ac:dyDescent="0.35">
      <c r="B77" s="27">
        <v>3.9</v>
      </c>
      <c r="C77" s="19">
        <v>849.28570999999999</v>
      </c>
      <c r="D77" s="18">
        <f t="shared" si="6"/>
        <v>12.579370837803712</v>
      </c>
      <c r="E77" s="18">
        <f t="shared" si="7"/>
        <v>-1.5212897157488336</v>
      </c>
      <c r="F77" s="18">
        <f t="shared" si="20"/>
        <v>-1.6527801328917751</v>
      </c>
      <c r="G77" s="18">
        <f t="shared" si="8"/>
        <v>-1.6527801328917751</v>
      </c>
      <c r="H77" s="18">
        <f t="shared" si="9"/>
        <v>-1.6527801328917751</v>
      </c>
      <c r="I77" s="3"/>
      <c r="J77" s="18">
        <f t="shared" si="10"/>
        <v>10.251907091790253</v>
      </c>
      <c r="K77" s="18">
        <f t="shared" si="11"/>
        <v>0.18207066766200533</v>
      </c>
      <c r="L77" s="18">
        <f t="shared" si="12"/>
        <v>0.16275138080832635</v>
      </c>
      <c r="M77" s="18">
        <f t="shared" si="13"/>
        <v>0.16275138080832635</v>
      </c>
      <c r="N77" s="18">
        <f t="shared" si="14"/>
        <v>0.16275138080832635</v>
      </c>
      <c r="O77" s="3"/>
      <c r="P77" s="19">
        <f t="shared" si="15"/>
        <v>459.60644757090637</v>
      </c>
      <c r="Q77" s="19">
        <f t="shared" si="21"/>
        <v>402.64365739762826</v>
      </c>
      <c r="R77" s="19">
        <f t="shared" si="22"/>
        <v>0</v>
      </c>
      <c r="S77" s="19">
        <f t="shared" si="23"/>
        <v>0</v>
      </c>
      <c r="T77" s="19">
        <f t="shared" si="24"/>
        <v>0</v>
      </c>
      <c r="U77" s="3"/>
      <c r="V77" s="19">
        <f t="shared" si="16"/>
        <v>862.25010496853463</v>
      </c>
      <c r="W77" s="3"/>
      <c r="X77" s="15">
        <f t="shared" si="17"/>
        <v>168.07553690016613</v>
      </c>
      <c r="Y77" s="15">
        <f t="shared" si="18"/>
        <v>12.964394968534634</v>
      </c>
      <c r="AA77" s="15">
        <f t="shared" si="19"/>
        <v>8.4255361453730362E-5</v>
      </c>
      <c r="AB77" s="17"/>
    </row>
    <row r="78" spans="2:28" x14ac:dyDescent="0.35">
      <c r="B78" s="27">
        <v>4</v>
      </c>
      <c r="C78" s="19">
        <v>827.78570999999999</v>
      </c>
      <c r="D78" s="18">
        <f t="shared" si="6"/>
        <v>12.719870176226204</v>
      </c>
      <c r="E78" s="18">
        <f t="shared" si="7"/>
        <v>-1.5151647869217113</v>
      </c>
      <c r="F78" s="18">
        <f t="shared" si="20"/>
        <v>-1.641669021780664</v>
      </c>
      <c r="G78" s="18">
        <f t="shared" si="8"/>
        <v>-1.641669021780664</v>
      </c>
      <c r="H78" s="18">
        <f t="shared" si="9"/>
        <v>-1.641669021780664</v>
      </c>
      <c r="I78" s="3"/>
      <c r="J78" s="18">
        <f t="shared" si="10"/>
        <v>10.379990238867734</v>
      </c>
      <c r="K78" s="18">
        <f t="shared" si="11"/>
        <v>0.18301614098805641</v>
      </c>
      <c r="L78" s="18">
        <f t="shared" si="12"/>
        <v>0.16431301576838003</v>
      </c>
      <c r="M78" s="18">
        <f t="shared" si="13"/>
        <v>0.16431301576838003</v>
      </c>
      <c r="N78" s="18">
        <f t="shared" si="14"/>
        <v>0.16431301576838003</v>
      </c>
      <c r="O78" s="3"/>
      <c r="P78" s="19">
        <f t="shared" si="15"/>
        <v>448.8260722586565</v>
      </c>
      <c r="Q78" s="19">
        <f t="shared" si="21"/>
        <v>400.24344127158236</v>
      </c>
      <c r="R78" s="19">
        <f t="shared" si="22"/>
        <v>0</v>
      </c>
      <c r="S78" s="19">
        <f t="shared" si="23"/>
        <v>0</v>
      </c>
      <c r="T78" s="19">
        <f t="shared" si="24"/>
        <v>0</v>
      </c>
      <c r="U78" s="3"/>
      <c r="V78" s="19">
        <f t="shared" si="16"/>
        <v>849.06951353023885</v>
      </c>
      <c r="W78" s="3"/>
      <c r="X78" s="15">
        <f t="shared" si="17"/>
        <v>453.00029271380799</v>
      </c>
      <c r="Y78" s="15">
        <f t="shared" si="18"/>
        <v>21.283803530238856</v>
      </c>
      <c r="AA78" s="15">
        <f t="shared" si="19"/>
        <v>1.3832304275693871E-4</v>
      </c>
      <c r="AB78" s="17"/>
    </row>
    <row r="79" spans="2:28" x14ac:dyDescent="0.35">
      <c r="B79" s="27">
        <v>4.0999999999999996</v>
      </c>
      <c r="C79" s="19">
        <v>807.53570999999999</v>
      </c>
      <c r="D79" s="18">
        <f t="shared" si="6"/>
        <v>12.860369514648694</v>
      </c>
      <c r="E79" s="18">
        <f t="shared" si="7"/>
        <v>-1.509039858094589</v>
      </c>
      <c r="F79" s="18">
        <f t="shared" si="20"/>
        <v>-1.6305579106695529</v>
      </c>
      <c r="G79" s="18">
        <f t="shared" si="8"/>
        <v>-1.6305579106695529</v>
      </c>
      <c r="H79" s="18">
        <f t="shared" si="9"/>
        <v>-1.6305579106695529</v>
      </c>
      <c r="I79" s="3"/>
      <c r="J79" s="18">
        <f t="shared" si="10"/>
        <v>10.508212427264205</v>
      </c>
      <c r="K79" s="18">
        <f t="shared" si="11"/>
        <v>0.18396576117334551</v>
      </c>
      <c r="L79" s="18">
        <f t="shared" si="12"/>
        <v>0.16588750292383114</v>
      </c>
      <c r="M79" s="18">
        <f t="shared" si="13"/>
        <v>0.16588750292383114</v>
      </c>
      <c r="N79" s="18">
        <f t="shared" si="14"/>
        <v>0.16588750292383114</v>
      </c>
      <c r="O79" s="3"/>
      <c r="P79" s="19">
        <f t="shared" si="15"/>
        <v>438.40974419218929</v>
      </c>
      <c r="Q79" s="19">
        <f t="shared" si="21"/>
        <v>397.85804365353823</v>
      </c>
      <c r="R79" s="19">
        <f t="shared" si="22"/>
        <v>0</v>
      </c>
      <c r="S79" s="19">
        <f t="shared" si="23"/>
        <v>0</v>
      </c>
      <c r="T79" s="19">
        <f t="shared" si="24"/>
        <v>0</v>
      </c>
      <c r="U79" s="3"/>
      <c r="V79" s="19">
        <f t="shared" si="16"/>
        <v>836.26778784572753</v>
      </c>
      <c r="W79" s="3"/>
      <c r="X79" s="15">
        <f t="shared" si="17"/>
        <v>825.53229733294677</v>
      </c>
      <c r="Y79" s="15">
        <f t="shared" si="18"/>
        <v>28.732077845727531</v>
      </c>
      <c r="AA79" s="15">
        <f t="shared" si="19"/>
        <v>1.8672923881785423E-4</v>
      </c>
      <c r="AB79" s="17"/>
    </row>
    <row r="80" spans="2:28" x14ac:dyDescent="0.35">
      <c r="B80" s="27">
        <v>4.2</v>
      </c>
      <c r="C80" s="19">
        <v>810.78570999999999</v>
      </c>
      <c r="D80" s="18">
        <f t="shared" si="6"/>
        <v>13.000868853071186</v>
      </c>
      <c r="E80" s="18">
        <f t="shared" si="7"/>
        <v>-1.5029149292674666</v>
      </c>
      <c r="F80" s="18">
        <f t="shared" si="20"/>
        <v>-1.6194467995584416</v>
      </c>
      <c r="G80" s="18">
        <f t="shared" si="8"/>
        <v>-1.6194467995584416</v>
      </c>
      <c r="H80" s="18">
        <f t="shared" si="9"/>
        <v>-1.6194467995584416</v>
      </c>
      <c r="I80" s="3"/>
      <c r="J80" s="18">
        <f t="shared" si="10"/>
        <v>10.63657072169981</v>
      </c>
      <c r="K80" s="18">
        <f t="shared" si="11"/>
        <v>0.18491953971283695</v>
      </c>
      <c r="L80" s="18">
        <f t="shared" si="12"/>
        <v>0.16747491292971192</v>
      </c>
      <c r="M80" s="18">
        <f t="shared" si="13"/>
        <v>0.16747491292971192</v>
      </c>
      <c r="N80" s="18">
        <f t="shared" si="14"/>
        <v>0.16747491292971192</v>
      </c>
      <c r="O80" s="3"/>
      <c r="P80" s="19">
        <f t="shared" si="15"/>
        <v>428.34161168715985</v>
      </c>
      <c r="Q80" s="19">
        <f t="shared" si="21"/>
        <v>395.48737376074109</v>
      </c>
      <c r="R80" s="19">
        <f t="shared" si="22"/>
        <v>0</v>
      </c>
      <c r="S80" s="19">
        <f t="shared" si="23"/>
        <v>0</v>
      </c>
      <c r="T80" s="19">
        <f t="shared" si="24"/>
        <v>0</v>
      </c>
      <c r="U80" s="3"/>
      <c r="V80" s="19">
        <f t="shared" si="16"/>
        <v>823.828985447901</v>
      </c>
      <c r="W80" s="3"/>
      <c r="X80" s="15">
        <f t="shared" si="17"/>
        <v>170.1270344098173</v>
      </c>
      <c r="Y80" s="15">
        <f t="shared" si="18"/>
        <v>13.04327544790101</v>
      </c>
      <c r="AA80" s="15">
        <f t="shared" si="19"/>
        <v>8.4768004220075257E-5</v>
      </c>
      <c r="AB80" s="17"/>
    </row>
    <row r="81" spans="2:28" x14ac:dyDescent="0.35">
      <c r="B81" s="27">
        <v>4.3</v>
      </c>
      <c r="C81" s="19">
        <v>821.03570999999999</v>
      </c>
      <c r="D81" s="18">
        <f t="shared" si="6"/>
        <v>13.141368191493676</v>
      </c>
      <c r="E81" s="18">
        <f t="shared" si="7"/>
        <v>-1.4967900004403445</v>
      </c>
      <c r="F81" s="18">
        <f t="shared" si="20"/>
        <v>-1.6083356884473305</v>
      </c>
      <c r="G81" s="18">
        <f t="shared" si="8"/>
        <v>-1.6083356884473305</v>
      </c>
      <c r="H81" s="18">
        <f t="shared" si="9"/>
        <v>-1.6083356884473305</v>
      </c>
      <c r="I81" s="3"/>
      <c r="J81" s="18">
        <f t="shared" si="10"/>
        <v>10.765062275679711</v>
      </c>
      <c r="K81" s="18">
        <f t="shared" si="11"/>
        <v>0.18587748808016541</v>
      </c>
      <c r="L81" s="18">
        <f t="shared" si="12"/>
        <v>0.1690753163011775</v>
      </c>
      <c r="M81" s="18">
        <f t="shared" si="13"/>
        <v>0.1690753163011775</v>
      </c>
      <c r="N81" s="18">
        <f t="shared" si="14"/>
        <v>0.1690753163011775</v>
      </c>
      <c r="O81" s="3"/>
      <c r="P81" s="19">
        <f t="shared" si="15"/>
        <v>418.60666115495695</v>
      </c>
      <c r="Q81" s="19">
        <f t="shared" si="21"/>
        <v>393.13134135873844</v>
      </c>
      <c r="R81" s="19">
        <f t="shared" si="22"/>
        <v>0</v>
      </c>
      <c r="S81" s="19">
        <f t="shared" si="23"/>
        <v>0</v>
      </c>
      <c r="T81" s="19">
        <f t="shared" si="24"/>
        <v>0</v>
      </c>
      <c r="U81" s="3"/>
      <c r="V81" s="19">
        <f t="shared" si="16"/>
        <v>811.73800251369539</v>
      </c>
      <c r="W81" s="3"/>
      <c r="X81" s="15">
        <f t="shared" si="17"/>
        <v>86.44736450088466</v>
      </c>
      <c r="Y81" s="15">
        <f t="shared" si="18"/>
        <v>9.2977074863046028</v>
      </c>
      <c r="AA81" s="15">
        <f t="shared" si="19"/>
        <v>6.0425627794506686E-5</v>
      </c>
      <c r="AB81" s="17"/>
    </row>
    <row r="82" spans="2:28" x14ac:dyDescent="0.35">
      <c r="B82" s="27">
        <v>4.4000000000000004</v>
      </c>
      <c r="C82" s="19">
        <v>847.78570999999999</v>
      </c>
      <c r="D82" s="18">
        <f t="shared" si="6"/>
        <v>13.281867529916166</v>
      </c>
      <c r="E82" s="18">
        <f t="shared" si="7"/>
        <v>-1.4906650716132221</v>
      </c>
      <c r="F82" s="18">
        <f t="shared" si="20"/>
        <v>-1.5972245773362195</v>
      </c>
      <c r="G82" s="18">
        <f t="shared" si="8"/>
        <v>-1.5972245773362195</v>
      </c>
      <c r="H82" s="18">
        <f t="shared" si="9"/>
        <v>-1.5972245773362195</v>
      </c>
      <c r="I82" s="3"/>
      <c r="J82" s="18">
        <f t="shared" si="10"/>
        <v>10.893684328053975</v>
      </c>
      <c r="K82" s="18">
        <f t="shared" si="11"/>
        <v>0.18683961772720831</v>
      </c>
      <c r="L82" s="18">
        <f t="shared" si="12"/>
        <v>0.17068878340528293</v>
      </c>
      <c r="M82" s="18">
        <f t="shared" si="13"/>
        <v>0.17068878340528293</v>
      </c>
      <c r="N82" s="18">
        <f t="shared" si="14"/>
        <v>0.17068878340528293</v>
      </c>
      <c r="O82" s="3"/>
      <c r="P82" s="19">
        <f t="shared" si="15"/>
        <v>409.19066529901073</v>
      </c>
      <c r="Q82" s="19">
        <f t="shared" si="21"/>
        <v>390.7898567580296</v>
      </c>
      <c r="R82" s="19">
        <f t="shared" si="22"/>
        <v>0</v>
      </c>
      <c r="S82" s="19">
        <f t="shared" si="23"/>
        <v>0</v>
      </c>
      <c r="T82" s="19">
        <f t="shared" si="24"/>
        <v>0</v>
      </c>
      <c r="U82" s="3"/>
      <c r="V82" s="19">
        <f t="shared" si="16"/>
        <v>799.98052205704039</v>
      </c>
      <c r="W82" s="3"/>
      <c r="X82" s="15">
        <f t="shared" si="17"/>
        <v>2285.3359942616903</v>
      </c>
      <c r="Y82" s="15">
        <f t="shared" si="18"/>
        <v>47.805187942959606</v>
      </c>
      <c r="AA82" s="15">
        <f t="shared" si="19"/>
        <v>3.1068502612527561E-4</v>
      </c>
      <c r="AB82" s="17"/>
    </row>
    <row r="83" spans="2:28" x14ac:dyDescent="0.35">
      <c r="B83" s="27">
        <v>4.5</v>
      </c>
      <c r="C83" s="19">
        <v>778.78570999999999</v>
      </c>
      <c r="D83" s="18">
        <f t="shared" si="6"/>
        <v>13.422366868338658</v>
      </c>
      <c r="E83" s="18">
        <f t="shared" si="7"/>
        <v>-1.4845401427860998</v>
      </c>
      <c r="F83" s="18">
        <f t="shared" si="20"/>
        <v>-1.5861134662251084</v>
      </c>
      <c r="G83" s="18">
        <f t="shared" si="8"/>
        <v>-1.5861134662251084</v>
      </c>
      <c r="H83" s="18">
        <f t="shared" si="9"/>
        <v>-1.5861134662251084</v>
      </c>
      <c r="I83" s="3"/>
      <c r="J83" s="18">
        <f t="shared" si="10"/>
        <v>11.022434199737919</v>
      </c>
      <c r="K83" s="18">
        <f t="shared" si="11"/>
        <v>0.18780594008365722</v>
      </c>
      <c r="L83" s="18">
        <f t="shared" si="12"/>
        <v>0.17231538445273076</v>
      </c>
      <c r="M83" s="18">
        <f t="shared" si="13"/>
        <v>0.17231538445273076</v>
      </c>
      <c r="N83" s="18">
        <f t="shared" si="14"/>
        <v>0.17231538445273076</v>
      </c>
      <c r="O83" s="3"/>
      <c r="P83" s="19">
        <f t="shared" si="15"/>
        <v>400.08013495817733</v>
      </c>
      <c r="Q83" s="19">
        <f t="shared" si="21"/>
        <v>388.46283081073784</v>
      </c>
      <c r="R83" s="19">
        <f t="shared" si="22"/>
        <v>0</v>
      </c>
      <c r="S83" s="19">
        <f t="shared" si="23"/>
        <v>0</v>
      </c>
      <c r="T83" s="19">
        <f t="shared" si="24"/>
        <v>0</v>
      </c>
      <c r="U83" s="3"/>
      <c r="V83" s="19">
        <f t="shared" si="16"/>
        <v>788.54296576891511</v>
      </c>
      <c r="W83" s="3"/>
      <c r="X83" s="15">
        <f t="shared" si="17"/>
        <v>95.204040140027303</v>
      </c>
      <c r="Y83" s="15">
        <f t="shared" si="18"/>
        <v>9.7572557689151154</v>
      </c>
      <c r="AA83" s="15">
        <f t="shared" si="19"/>
        <v>6.3412223524640185E-5</v>
      </c>
      <c r="AB83" s="17"/>
    </row>
    <row r="84" spans="2:28" x14ac:dyDescent="0.35">
      <c r="B84" s="27">
        <v>4.5999999999999996</v>
      </c>
      <c r="C84" s="19">
        <v>772.53570999999999</v>
      </c>
      <c r="D84" s="18">
        <f t="shared" si="6"/>
        <v>13.562866206761148</v>
      </c>
      <c r="E84" s="18">
        <f t="shared" si="7"/>
        <v>-1.4784152139589777</v>
      </c>
      <c r="F84" s="18">
        <f t="shared" si="20"/>
        <v>-1.5750023551139973</v>
      </c>
      <c r="G84" s="18">
        <f t="shared" si="8"/>
        <v>-1.5750023551139973</v>
      </c>
      <c r="H84" s="18">
        <f t="shared" si="9"/>
        <v>-1.5750023551139973</v>
      </c>
      <c r="I84" s="3"/>
      <c r="J84" s="18">
        <f t="shared" si="10"/>
        <v>11.151309290584305</v>
      </c>
      <c r="K84" s="18">
        <f t="shared" si="11"/>
        <v>0.18877646655659</v>
      </c>
      <c r="L84" s="18">
        <f t="shared" si="12"/>
        <v>0.17395518948959274</v>
      </c>
      <c r="M84" s="18">
        <f t="shared" si="13"/>
        <v>0.17395518948959274</v>
      </c>
      <c r="N84" s="18">
        <f t="shared" si="14"/>
        <v>0.17395518948959274</v>
      </c>
      <c r="O84" s="3"/>
      <c r="P84" s="19">
        <f t="shared" si="15"/>
        <v>391.26227431027735</v>
      </c>
      <c r="Q84" s="19">
        <f t="shared" si="21"/>
        <v>386.15017490730202</v>
      </c>
      <c r="R84" s="19">
        <f t="shared" si="22"/>
        <v>0</v>
      </c>
      <c r="S84" s="19">
        <f t="shared" si="23"/>
        <v>0</v>
      </c>
      <c r="T84" s="19">
        <f t="shared" si="24"/>
        <v>0</v>
      </c>
      <c r="U84" s="3"/>
      <c r="V84" s="19">
        <f t="shared" si="16"/>
        <v>777.41244921757936</v>
      </c>
      <c r="W84" s="3"/>
      <c r="X84" s="15">
        <f t="shared" si="17"/>
        <v>23.782585396276648</v>
      </c>
      <c r="Y84" s="15">
        <f t="shared" si="18"/>
        <v>4.8767392175793702</v>
      </c>
      <c r="AA84" s="15">
        <f t="shared" si="19"/>
        <v>3.1693837351452976E-5</v>
      </c>
      <c r="AB84" s="17"/>
    </row>
    <row r="85" spans="2:28" x14ac:dyDescent="0.35">
      <c r="B85" s="27">
        <v>4.7</v>
      </c>
      <c r="C85" s="19">
        <v>730.28570999999999</v>
      </c>
      <c r="D85" s="18">
        <f t="shared" si="6"/>
        <v>13.70336554518364</v>
      </c>
      <c r="E85" s="18">
        <f t="shared" si="7"/>
        <v>-1.4722902851318553</v>
      </c>
      <c r="F85" s="18">
        <f t="shared" si="20"/>
        <v>-1.5638912440028863</v>
      </c>
      <c r="G85" s="18">
        <f t="shared" si="8"/>
        <v>-1.5638912440028863</v>
      </c>
      <c r="H85" s="18">
        <f t="shared" si="9"/>
        <v>-1.5638912440028863</v>
      </c>
      <c r="I85" s="3"/>
      <c r="J85" s="18">
        <f t="shared" si="10"/>
        <v>11.280307076399231</v>
      </c>
      <c r="K85" s="18">
        <f t="shared" si="11"/>
        <v>0.18975120853004243</v>
      </c>
      <c r="L85" s="18">
        <f t="shared" si="12"/>
        <v>0.17560826838900701</v>
      </c>
      <c r="M85" s="18">
        <f t="shared" si="13"/>
        <v>0.17560826838900701</v>
      </c>
      <c r="N85" s="18">
        <f t="shared" si="14"/>
        <v>0.17560826838900701</v>
      </c>
      <c r="O85" s="3"/>
      <c r="P85" s="19">
        <f t="shared" si="15"/>
        <v>382.72493917373185</v>
      </c>
      <c r="Q85" s="19">
        <f t="shared" si="21"/>
        <v>383.85180097318948</v>
      </c>
      <c r="R85" s="19">
        <f t="shared" si="22"/>
        <v>0</v>
      </c>
      <c r="S85" s="19">
        <f t="shared" si="23"/>
        <v>0</v>
      </c>
      <c r="T85" s="19">
        <f t="shared" si="24"/>
        <v>0</v>
      </c>
      <c r="U85" s="3"/>
      <c r="V85" s="19">
        <f t="shared" si="16"/>
        <v>766.57674014692134</v>
      </c>
      <c r="W85" s="3"/>
      <c r="X85" s="15">
        <f t="shared" si="17"/>
        <v>1317.0388691247538</v>
      </c>
      <c r="Y85" s="15">
        <f t="shared" si="18"/>
        <v>36.291030146921344</v>
      </c>
      <c r="AA85" s="15">
        <f t="shared" si="19"/>
        <v>2.3585472904661872E-4</v>
      </c>
      <c r="AB85" s="17"/>
    </row>
    <row r="86" spans="2:28" x14ac:dyDescent="0.35">
      <c r="B86" s="27">
        <v>4.8</v>
      </c>
      <c r="C86" s="19">
        <v>772.28570999999999</v>
      </c>
      <c r="D86" s="18">
        <f t="shared" si="6"/>
        <v>13.84386488360613</v>
      </c>
      <c r="E86" s="18">
        <f t="shared" si="7"/>
        <v>-1.466165356304733</v>
      </c>
      <c r="F86" s="18">
        <f t="shared" si="20"/>
        <v>-1.5527801328917752</v>
      </c>
      <c r="G86" s="18">
        <f t="shared" si="8"/>
        <v>-1.5527801328917752</v>
      </c>
      <c r="H86" s="18">
        <f t="shared" si="9"/>
        <v>-1.5527801328917752</v>
      </c>
      <c r="I86" s="3"/>
      <c r="J86" s="18">
        <f t="shared" si="10"/>
        <v>11.409425106094062</v>
      </c>
      <c r="K86" s="18">
        <f t="shared" si="11"/>
        <v>0.19073017736458017</v>
      </c>
      <c r="L86" s="18">
        <f t="shared" si="12"/>
        <v>0.17727469084285363</v>
      </c>
      <c r="M86" s="18">
        <f t="shared" si="13"/>
        <v>0.17727469084285363</v>
      </c>
      <c r="N86" s="18">
        <f t="shared" si="14"/>
        <v>0.17727469084285363</v>
      </c>
      <c r="O86" s="3"/>
      <c r="P86" s="19">
        <f t="shared" si="15"/>
        <v>374.45659816774918</v>
      </c>
      <c r="Q86" s="19">
        <f t="shared" si="21"/>
        <v>381.56762146562943</v>
      </c>
      <c r="R86" s="19">
        <f t="shared" si="22"/>
        <v>0</v>
      </c>
      <c r="S86" s="19">
        <f t="shared" si="23"/>
        <v>0</v>
      </c>
      <c r="T86" s="19">
        <f t="shared" si="24"/>
        <v>0</v>
      </c>
      <c r="U86" s="3"/>
      <c r="V86" s="19">
        <f t="shared" si="16"/>
        <v>756.02421963337861</v>
      </c>
      <c r="W86" s="3"/>
      <c r="X86" s="15">
        <f t="shared" si="17"/>
        <v>264.43606894372022</v>
      </c>
      <c r="Y86" s="15">
        <f t="shared" si="18"/>
        <v>16.261490366621388</v>
      </c>
      <c r="AA86" s="15">
        <f t="shared" si="19"/>
        <v>1.0568312304132954E-4</v>
      </c>
      <c r="AB86" s="17"/>
    </row>
    <row r="87" spans="2:28" x14ac:dyDescent="0.35">
      <c r="B87" s="27">
        <v>4.9000000000000004</v>
      </c>
      <c r="C87" s="19">
        <v>731.78570999999999</v>
      </c>
      <c r="D87" s="18">
        <f t="shared" si="6"/>
        <v>13.984364222028621</v>
      </c>
      <c r="E87" s="18">
        <f t="shared" si="7"/>
        <v>-1.4600404274776109</v>
      </c>
      <c r="F87" s="18">
        <f t="shared" si="20"/>
        <v>-1.5416690217806639</v>
      </c>
      <c r="G87" s="18">
        <f t="shared" si="8"/>
        <v>-1.5416690217806639</v>
      </c>
      <c r="H87" s="18">
        <f t="shared" si="9"/>
        <v>-1.5416690217806639</v>
      </c>
      <c r="I87" s="3"/>
      <c r="J87" s="18">
        <f t="shared" si="10"/>
        <v>11.53866099896624</v>
      </c>
      <c r="K87" s="18">
        <f t="shared" si="11"/>
        <v>0.1917133843968703</v>
      </c>
      <c r="L87" s="18">
        <f t="shared" si="12"/>
        <v>0.17895452635341083</v>
      </c>
      <c r="M87" s="18">
        <f t="shared" si="13"/>
        <v>0.17895452635341083</v>
      </c>
      <c r="N87" s="18">
        <f t="shared" si="14"/>
        <v>0.17895452635341083</v>
      </c>
      <c r="O87" s="3"/>
      <c r="P87" s="19">
        <f t="shared" si="15"/>
        <v>366.4462965119215</v>
      </c>
      <c r="Q87" s="19">
        <f t="shared" si="21"/>
        <v>379.29754937036762</v>
      </c>
      <c r="R87" s="19">
        <f t="shared" si="22"/>
        <v>0</v>
      </c>
      <c r="S87" s="19">
        <f t="shared" si="23"/>
        <v>0</v>
      </c>
      <c r="T87" s="19">
        <f t="shared" si="24"/>
        <v>0</v>
      </c>
      <c r="U87" s="3"/>
      <c r="V87" s="19">
        <f t="shared" si="16"/>
        <v>745.74384588228918</v>
      </c>
      <c r="W87" s="3"/>
      <c r="X87" s="15">
        <f t="shared" si="17"/>
        <v>194.82955730844887</v>
      </c>
      <c r="Y87" s="15">
        <f t="shared" si="18"/>
        <v>13.958135882289184</v>
      </c>
      <c r="AA87" s="15">
        <f t="shared" si="19"/>
        <v>9.0713665144952568E-5</v>
      </c>
      <c r="AB87" s="17"/>
    </row>
    <row r="88" spans="2:28" x14ac:dyDescent="0.35">
      <c r="B88" s="27">
        <v>5</v>
      </c>
      <c r="C88" s="19">
        <v>740.03570999999999</v>
      </c>
      <c r="D88" s="18">
        <f t="shared" si="6"/>
        <v>14.124863560451111</v>
      </c>
      <c r="E88" s="18">
        <f t="shared" si="7"/>
        <v>-1.4539154986504887</v>
      </c>
      <c r="F88" s="18">
        <f t="shared" si="20"/>
        <v>-1.5305579106695528</v>
      </c>
      <c r="G88" s="18">
        <f t="shared" si="8"/>
        <v>-1.5305579106695528</v>
      </c>
      <c r="H88" s="18">
        <f t="shared" si="9"/>
        <v>-1.5305579106695528</v>
      </c>
      <c r="I88" s="3"/>
      <c r="J88" s="18">
        <f t="shared" si="10"/>
        <v>11.668012442102173</v>
      </c>
      <c r="K88" s="18">
        <f t="shared" si="11"/>
        <v>0.1927008409392536</v>
      </c>
      <c r="L88" s="18">
        <f t="shared" si="12"/>
        <v>0.18064784422499353</v>
      </c>
      <c r="M88" s="18">
        <f t="shared" si="13"/>
        <v>0.18064784422499353</v>
      </c>
      <c r="N88" s="18">
        <f t="shared" si="14"/>
        <v>0.18064784422499353</v>
      </c>
      <c r="O88" s="3"/>
      <c r="P88" s="19">
        <f t="shared" si="15"/>
        <v>358.68362226460931</v>
      </c>
      <c r="Q88" s="19">
        <f t="shared" si="21"/>
        <v>377.04149819844002</v>
      </c>
      <c r="R88" s="19">
        <f t="shared" si="22"/>
        <v>0</v>
      </c>
      <c r="S88" s="19">
        <f t="shared" si="23"/>
        <v>0</v>
      </c>
      <c r="T88" s="19">
        <f t="shared" si="24"/>
        <v>0</v>
      </c>
      <c r="U88" s="3"/>
      <c r="V88" s="19">
        <f t="shared" si="16"/>
        <v>735.72512046304928</v>
      </c>
      <c r="W88" s="3"/>
      <c r="X88" s="15">
        <f t="shared" si="17"/>
        <v>18.58118215606898</v>
      </c>
      <c r="Y88" s="15">
        <f t="shared" si="18"/>
        <v>4.3105895369507152</v>
      </c>
      <c r="AA88" s="15">
        <f t="shared" si="19"/>
        <v>2.8014441120926611E-5</v>
      </c>
      <c r="AB88" s="17"/>
    </row>
    <row r="89" spans="2:28" x14ac:dyDescent="0.35">
      <c r="B89" s="27">
        <v>5.0999999999999996</v>
      </c>
      <c r="C89" s="19">
        <v>730.28570999999999</v>
      </c>
      <c r="D89" s="18">
        <f t="shared" si="6"/>
        <v>14.265362898873601</v>
      </c>
      <c r="E89" s="18">
        <f t="shared" si="7"/>
        <v>-1.4477905698233664</v>
      </c>
      <c r="F89" s="18">
        <f t="shared" si="20"/>
        <v>-1.5194467995584418</v>
      </c>
      <c r="G89" s="18">
        <f t="shared" si="8"/>
        <v>-1.5194467995584418</v>
      </c>
      <c r="H89" s="18">
        <f t="shared" si="9"/>
        <v>-1.5194467995584418</v>
      </c>
      <c r="I89" s="3"/>
      <c r="J89" s="18">
        <f t="shared" si="10"/>
        <v>11.797477187895895</v>
      </c>
      <c r="K89" s="18">
        <f t="shared" si="11"/>
        <v>0.19369255827931645</v>
      </c>
      <c r="L89" s="18">
        <f t="shared" si="12"/>
        <v>0.18235471355557781</v>
      </c>
      <c r="M89" s="18">
        <f t="shared" si="13"/>
        <v>0.18235471355557781</v>
      </c>
      <c r="N89" s="18">
        <f t="shared" si="14"/>
        <v>0.18235471355557781</v>
      </c>
      <c r="O89" s="3"/>
      <c r="P89" s="19">
        <f t="shared" si="15"/>
        <v>351.15867481629516</v>
      </c>
      <c r="Q89" s="19">
        <f t="shared" si="21"/>
        <v>374.79938198296787</v>
      </c>
      <c r="R89" s="19">
        <f t="shared" si="22"/>
        <v>0</v>
      </c>
      <c r="S89" s="19">
        <f t="shared" si="23"/>
        <v>0</v>
      </c>
      <c r="T89" s="19">
        <f t="shared" si="24"/>
        <v>0</v>
      </c>
      <c r="U89" s="3"/>
      <c r="V89" s="19">
        <f t="shared" si="16"/>
        <v>725.95805679926298</v>
      </c>
      <c r="W89" s="3"/>
      <c r="X89" s="15">
        <f t="shared" si="17"/>
        <v>18.728582225849355</v>
      </c>
      <c r="Y89" s="15">
        <f t="shared" si="18"/>
        <v>4.3276532007370179</v>
      </c>
      <c r="AA89" s="15">
        <f t="shared" si="19"/>
        <v>2.81253375540829E-5</v>
      </c>
      <c r="AB89" s="17"/>
    </row>
    <row r="90" spans="2:28" x14ac:dyDescent="0.35">
      <c r="B90" s="27">
        <v>5.2</v>
      </c>
      <c r="C90" s="19">
        <v>712.03570999999999</v>
      </c>
      <c r="D90" s="18">
        <f t="shared" si="6"/>
        <v>14.405862237296095</v>
      </c>
      <c r="E90" s="18">
        <f t="shared" si="7"/>
        <v>-1.4416656409962441</v>
      </c>
      <c r="F90" s="18">
        <f t="shared" si="20"/>
        <v>-1.5083356884473305</v>
      </c>
      <c r="G90" s="18">
        <f t="shared" si="8"/>
        <v>-1.5083356884473305</v>
      </c>
      <c r="H90" s="18">
        <f t="shared" si="9"/>
        <v>-1.5083356884473305</v>
      </c>
      <c r="I90" s="3"/>
      <c r="J90" s="18">
        <f t="shared" si="10"/>
        <v>11.927053051677472</v>
      </c>
      <c r="K90" s="18">
        <f t="shared" si="11"/>
        <v>0.19468854767946323</v>
      </c>
      <c r="L90" s="18">
        <f t="shared" si="12"/>
        <v>0.18407520322841289</v>
      </c>
      <c r="M90" s="18">
        <f t="shared" si="13"/>
        <v>0.18407520322841289</v>
      </c>
      <c r="N90" s="18">
        <f t="shared" si="14"/>
        <v>0.18407520322841289</v>
      </c>
      <c r="O90" s="3"/>
      <c r="P90" s="19">
        <f t="shared" si="15"/>
        <v>343.86203546936895</v>
      </c>
      <c r="Q90" s="19">
        <f t="shared" si="21"/>
        <v>372.57111527597226</v>
      </c>
      <c r="R90" s="19">
        <f t="shared" si="22"/>
        <v>0</v>
      </c>
      <c r="S90" s="19">
        <f t="shared" si="23"/>
        <v>0</v>
      </c>
      <c r="T90" s="19">
        <f t="shared" si="24"/>
        <v>0</v>
      </c>
      <c r="U90" s="3"/>
      <c r="V90" s="19">
        <f t="shared" si="16"/>
        <v>716.43315074534121</v>
      </c>
      <c r="W90" s="3"/>
      <c r="X90" s="15">
        <f t="shared" si="17"/>
        <v>19.337485108787092</v>
      </c>
      <c r="Y90" s="15">
        <f t="shared" si="18"/>
        <v>4.3974407453412141</v>
      </c>
      <c r="AA90" s="15">
        <f t="shared" si="19"/>
        <v>2.8578885506753731E-5</v>
      </c>
      <c r="AB90" s="17"/>
    </row>
    <row r="91" spans="2:28" x14ac:dyDescent="0.35">
      <c r="B91" s="27">
        <v>5.3</v>
      </c>
      <c r="C91" s="19">
        <v>692.28570999999999</v>
      </c>
      <c r="D91" s="18">
        <f t="shared" si="6"/>
        <v>14.546361575718585</v>
      </c>
      <c r="E91" s="18">
        <f t="shared" si="7"/>
        <v>-1.4355407121691217</v>
      </c>
      <c r="F91" s="18">
        <f t="shared" si="20"/>
        <v>-1.4972245773362194</v>
      </c>
      <c r="G91" s="18">
        <f t="shared" si="8"/>
        <v>-1.4972245773362194</v>
      </c>
      <c r="H91" s="18">
        <f t="shared" si="9"/>
        <v>-1.4972245773362194</v>
      </c>
      <c r="I91" s="3"/>
      <c r="J91" s="18">
        <f t="shared" si="10"/>
        <v>12.056737909445497</v>
      </c>
      <c r="K91" s="18">
        <f t="shared" si="11"/>
        <v>0.19568882037648855</v>
      </c>
      <c r="L91" s="18">
        <f t="shared" si="12"/>
        <v>0.18580938190362295</v>
      </c>
      <c r="M91" s="18">
        <f t="shared" si="13"/>
        <v>0.18580938190362295</v>
      </c>
      <c r="N91" s="18">
        <f t="shared" si="14"/>
        <v>0.18580938190362295</v>
      </c>
      <c r="O91" s="3"/>
      <c r="P91" s="19">
        <f t="shared" si="15"/>
        <v>336.78473994969636</v>
      </c>
      <c r="Q91" s="19">
        <f t="shared" si="21"/>
        <v>370.35661314520928</v>
      </c>
      <c r="R91" s="19">
        <f t="shared" si="22"/>
        <v>0</v>
      </c>
      <c r="S91" s="19">
        <f t="shared" si="23"/>
        <v>0</v>
      </c>
      <c r="T91" s="19">
        <f t="shared" si="24"/>
        <v>0</v>
      </c>
      <c r="U91" s="3"/>
      <c r="V91" s="19">
        <f t="shared" si="16"/>
        <v>707.14135309490564</v>
      </c>
      <c r="W91" s="3"/>
      <c r="X91" s="15">
        <f t="shared" si="17"/>
        <v>220.69013176321778</v>
      </c>
      <c r="Y91" s="15">
        <f t="shared" si="18"/>
        <v>14.855643094905645</v>
      </c>
      <c r="AA91" s="15">
        <f t="shared" si="19"/>
        <v>9.6546547804719088E-5</v>
      </c>
      <c r="AB91" s="17"/>
    </row>
    <row r="92" spans="2:28" x14ac:dyDescent="0.35">
      <c r="B92" s="27">
        <v>5.4</v>
      </c>
      <c r="C92" s="19">
        <v>736.03570999999999</v>
      </c>
      <c r="D92" s="18">
        <f t="shared" si="6"/>
        <v>14.686860914141075</v>
      </c>
      <c r="E92" s="18">
        <f t="shared" si="7"/>
        <v>-1.4294157833419996</v>
      </c>
      <c r="F92" s="18">
        <f t="shared" si="20"/>
        <v>-1.4861134662251083</v>
      </c>
      <c r="G92" s="18">
        <f t="shared" si="8"/>
        <v>-1.4861134662251083</v>
      </c>
      <c r="H92" s="18">
        <f t="shared" si="9"/>
        <v>-1.4861134662251083</v>
      </c>
      <c r="I92" s="3"/>
      <c r="J92" s="18">
        <f t="shared" si="10"/>
        <v>12.186529695698452</v>
      </c>
      <c r="K92" s="18">
        <f t="shared" si="11"/>
        <v>0.19669338758115024</v>
      </c>
      <c r="L92" s="18">
        <f t="shared" si="12"/>
        <v>0.1875573180098023</v>
      </c>
      <c r="M92" s="18">
        <f t="shared" si="13"/>
        <v>0.1875573180098023</v>
      </c>
      <c r="N92" s="18">
        <f t="shared" si="14"/>
        <v>0.1875573180098023</v>
      </c>
      <c r="O92" s="3"/>
      <c r="P92" s="19">
        <f t="shared" si="15"/>
        <v>329.91825270796261</v>
      </c>
      <c r="Q92" s="19">
        <f t="shared" si="21"/>
        <v>368.15579117102448</v>
      </c>
      <c r="R92" s="19">
        <f t="shared" si="22"/>
        <v>0</v>
      </c>
      <c r="S92" s="19">
        <f t="shared" si="23"/>
        <v>0</v>
      </c>
      <c r="T92" s="19">
        <f t="shared" si="24"/>
        <v>0</v>
      </c>
      <c r="U92" s="3"/>
      <c r="V92" s="19">
        <f t="shared" si="16"/>
        <v>698.07404387898714</v>
      </c>
      <c r="W92" s="3"/>
      <c r="X92" s="15">
        <f t="shared" si="17"/>
        <v>1441.0880946832551</v>
      </c>
      <c r="Y92" s="15">
        <f t="shared" si="18"/>
        <v>37.961666121012854</v>
      </c>
      <c r="AA92" s="15">
        <f t="shared" si="19"/>
        <v>2.4671216112858769E-4</v>
      </c>
      <c r="AB92" s="17"/>
    </row>
    <row r="93" spans="2:28" x14ac:dyDescent="0.35">
      <c r="B93" s="27">
        <v>5.5</v>
      </c>
      <c r="C93" s="19">
        <v>692.28570999999999</v>
      </c>
      <c r="D93" s="18">
        <f t="shared" si="6"/>
        <v>14.827360252563565</v>
      </c>
      <c r="E93" s="18">
        <f t="shared" si="7"/>
        <v>-1.4232908545148772</v>
      </c>
      <c r="F93" s="18">
        <f t="shared" si="20"/>
        <v>-1.4750023551139972</v>
      </c>
      <c r="G93" s="18">
        <f t="shared" si="8"/>
        <v>-1.4750023551139972</v>
      </c>
      <c r="H93" s="18">
        <f t="shared" si="9"/>
        <v>-1.4750023551139972</v>
      </c>
      <c r="I93" s="3"/>
      <c r="J93" s="18">
        <f t="shared" si="10"/>
        <v>12.31642640135982</v>
      </c>
      <c r="K93" s="18">
        <f t="shared" si="11"/>
        <v>0.19770226047774236</v>
      </c>
      <c r="L93" s="18">
        <f t="shared" si="12"/>
        <v>0.18931907973560502</v>
      </c>
      <c r="M93" s="18">
        <f t="shared" si="13"/>
        <v>0.18931907973560502</v>
      </c>
      <c r="N93" s="18">
        <f t="shared" si="14"/>
        <v>0.18931907973560502</v>
      </c>
      <c r="O93" s="3"/>
      <c r="P93" s="19">
        <f t="shared" si="15"/>
        <v>323.2544428803061</v>
      </c>
      <c r="Q93" s="19">
        <f t="shared" si="21"/>
        <v>365.96856544322736</v>
      </c>
      <c r="R93" s="19">
        <f t="shared" si="22"/>
        <v>0</v>
      </c>
      <c r="S93" s="19">
        <f t="shared" si="23"/>
        <v>0</v>
      </c>
      <c r="T93" s="19">
        <f t="shared" si="24"/>
        <v>0</v>
      </c>
      <c r="U93" s="3"/>
      <c r="V93" s="19">
        <f t="shared" si="16"/>
        <v>689.22300832353346</v>
      </c>
      <c r="W93" s="3"/>
      <c r="X93" s="15">
        <f t="shared" si="17"/>
        <v>9.3801415590309016</v>
      </c>
      <c r="Y93" s="15">
        <f t="shared" si="18"/>
        <v>3.0627016764665314</v>
      </c>
      <c r="AA93" s="15">
        <f t="shared" si="19"/>
        <v>1.990444115609977E-5</v>
      </c>
      <c r="AB93" s="17"/>
    </row>
    <row r="94" spans="2:28" x14ac:dyDescent="0.35">
      <c r="B94" s="27">
        <v>5.6</v>
      </c>
      <c r="C94" s="19">
        <v>699.53570999999999</v>
      </c>
      <c r="D94" s="18">
        <f t="shared" si="6"/>
        <v>14.967859590986055</v>
      </c>
      <c r="E94" s="18">
        <f t="shared" si="7"/>
        <v>-1.4171659256877551</v>
      </c>
      <c r="F94" s="18">
        <f t="shared" si="20"/>
        <v>-1.4638912440028862</v>
      </c>
      <c r="G94" s="18">
        <f t="shared" si="8"/>
        <v>-1.4638912440028862</v>
      </c>
      <c r="H94" s="18">
        <f t="shared" si="9"/>
        <v>-1.4638912440028862</v>
      </c>
      <c r="I94" s="3"/>
      <c r="J94" s="18">
        <f t="shared" si="10"/>
        <v>12.44642607179231</v>
      </c>
      <c r="K94" s="18">
        <f t="shared" si="11"/>
        <v>0.19871545022366843</v>
      </c>
      <c r="L94" s="18">
        <f t="shared" si="12"/>
        <v>0.1910947350213329</v>
      </c>
      <c r="M94" s="18">
        <f t="shared" si="13"/>
        <v>0.1910947350213329</v>
      </c>
      <c r="N94" s="18">
        <f t="shared" si="14"/>
        <v>0.1910947350213329</v>
      </c>
      <c r="O94" s="3"/>
      <c r="P94" s="19">
        <f t="shared" si="15"/>
        <v>316.78556178824977</v>
      </c>
      <c r="Q94" s="19">
        <f t="shared" si="21"/>
        <v>363.79485255798568</v>
      </c>
      <c r="R94" s="19">
        <f t="shared" si="22"/>
        <v>0</v>
      </c>
      <c r="S94" s="19">
        <f t="shared" si="23"/>
        <v>0</v>
      </c>
      <c r="T94" s="19">
        <f t="shared" si="24"/>
        <v>0</v>
      </c>
      <c r="U94" s="3"/>
      <c r="V94" s="19">
        <f t="shared" si="16"/>
        <v>680.58041434623544</v>
      </c>
      <c r="W94" s="3"/>
      <c r="X94" s="15">
        <f t="shared" si="17"/>
        <v>359.30323332162527</v>
      </c>
      <c r="Y94" s="15">
        <f t="shared" si="18"/>
        <v>18.955295653764551</v>
      </c>
      <c r="AA94" s="15">
        <f t="shared" si="19"/>
        <v>1.2319011343348289E-4</v>
      </c>
      <c r="AB94" s="17"/>
    </row>
    <row r="95" spans="2:28" x14ac:dyDescent="0.35">
      <c r="B95" s="27">
        <v>5.7</v>
      </c>
      <c r="C95" s="19">
        <v>649.28570999999999</v>
      </c>
      <c r="D95" s="18">
        <f t="shared" si="6"/>
        <v>15.108358929408547</v>
      </c>
      <c r="E95" s="18">
        <f t="shared" si="7"/>
        <v>-1.4110409968606326</v>
      </c>
      <c r="F95" s="18">
        <f t="shared" si="20"/>
        <v>-1.4527801328917751</v>
      </c>
      <c r="G95" s="18">
        <f t="shared" si="8"/>
        <v>-1.4527801328917751</v>
      </c>
      <c r="H95" s="18">
        <f t="shared" si="9"/>
        <v>-1.4527801328917751</v>
      </c>
      <c r="I95" s="3"/>
      <c r="J95" s="18">
        <f t="shared" si="10"/>
        <v>12.5765268048967</v>
      </c>
      <c r="K95" s="18">
        <f t="shared" si="11"/>
        <v>0.19973296794901535</v>
      </c>
      <c r="L95" s="18">
        <f t="shared" si="12"/>
        <v>0.19288435155052291</v>
      </c>
      <c r="M95" s="18">
        <f t="shared" si="13"/>
        <v>0.19288435155052291</v>
      </c>
      <c r="N95" s="18">
        <f t="shared" si="14"/>
        <v>0.19288435155052291</v>
      </c>
      <c r="O95" s="3"/>
      <c r="P95" s="19">
        <f t="shared" si="15"/>
        <v>310.50422186751638</v>
      </c>
      <c r="Q95" s="19">
        <f t="shared" si="21"/>
        <v>361.63456961473884</v>
      </c>
      <c r="R95" s="19">
        <f t="shared" si="22"/>
        <v>0</v>
      </c>
      <c r="S95" s="19">
        <f t="shared" si="23"/>
        <v>0</v>
      </c>
      <c r="T95" s="19">
        <f t="shared" si="24"/>
        <v>0</v>
      </c>
      <c r="U95" s="3"/>
      <c r="V95" s="19">
        <f t="shared" si="16"/>
        <v>672.13879148225521</v>
      </c>
      <c r="W95" s="3"/>
      <c r="X95" s="15">
        <f t="shared" si="17"/>
        <v>522.26333323459642</v>
      </c>
      <c r="Y95" s="15">
        <f t="shared" si="18"/>
        <v>22.85308148225522</v>
      </c>
      <c r="AA95" s="15">
        <f t="shared" si="19"/>
        <v>1.4852175094111656E-4</v>
      </c>
      <c r="AB95" s="17"/>
    </row>
    <row r="96" spans="2:28" x14ac:dyDescent="0.35">
      <c r="B96" s="27">
        <v>5.8</v>
      </c>
      <c r="C96" s="19">
        <v>666.53570999999999</v>
      </c>
      <c r="D96" s="18">
        <f t="shared" si="6"/>
        <v>15.248858267831038</v>
      </c>
      <c r="E96" s="18">
        <f t="shared" si="7"/>
        <v>-1.4049160680335104</v>
      </c>
      <c r="F96" s="18">
        <f t="shared" si="20"/>
        <v>-1.441669021780664</v>
      </c>
      <c r="G96" s="18">
        <f t="shared" si="8"/>
        <v>-1.441669021780664</v>
      </c>
      <c r="H96" s="18">
        <f t="shared" si="9"/>
        <v>-1.441669021780664</v>
      </c>
      <c r="I96" s="3"/>
      <c r="J96" s="18">
        <f t="shared" si="10"/>
        <v>12.70672674929113</v>
      </c>
      <c r="K96" s="18">
        <f t="shared" si="11"/>
        <v>0.20075482475612724</v>
      </c>
      <c r="L96" s="18">
        <f t="shared" si="12"/>
        <v>0.19468799674153842</v>
      </c>
      <c r="M96" s="18">
        <f t="shared" si="13"/>
        <v>0.19468799674153842</v>
      </c>
      <c r="N96" s="18">
        <f t="shared" si="14"/>
        <v>0.19468799674153842</v>
      </c>
      <c r="O96" s="3"/>
      <c r="P96" s="19">
        <f t="shared" si="15"/>
        <v>304.40337692405643</v>
      </c>
      <c r="Q96" s="19">
        <f t="shared" si="21"/>
        <v>359.4876342131318</v>
      </c>
      <c r="R96" s="19">
        <f t="shared" si="22"/>
        <v>0</v>
      </c>
      <c r="S96" s="19">
        <f t="shared" si="23"/>
        <v>0</v>
      </c>
      <c r="T96" s="19">
        <f t="shared" si="24"/>
        <v>0</v>
      </c>
      <c r="U96" s="3"/>
      <c r="V96" s="19">
        <f t="shared" si="16"/>
        <v>663.89101113718823</v>
      </c>
      <c r="W96" s="3"/>
      <c r="X96" s="15">
        <f t="shared" si="17"/>
        <v>6.9944320749578441</v>
      </c>
      <c r="Y96" s="15">
        <f t="shared" si="18"/>
        <v>2.6446988628117651</v>
      </c>
      <c r="AA96" s="15">
        <f t="shared" si="19"/>
        <v>1.718784865497363E-5</v>
      </c>
      <c r="AB96" s="17"/>
    </row>
    <row r="97" spans="2:28" x14ac:dyDescent="0.35">
      <c r="B97" s="27">
        <v>5.9</v>
      </c>
      <c r="C97" s="19">
        <v>675.28570999999999</v>
      </c>
      <c r="D97" s="18">
        <f t="shared" si="6"/>
        <v>15.38935760625353</v>
      </c>
      <c r="E97" s="18">
        <f t="shared" si="7"/>
        <v>-1.3987911392063883</v>
      </c>
      <c r="F97" s="18">
        <f t="shared" si="20"/>
        <v>-1.4305579106695527</v>
      </c>
      <c r="G97" s="18">
        <f t="shared" si="8"/>
        <v>-1.4305579106695527</v>
      </c>
      <c r="H97" s="18">
        <f t="shared" si="9"/>
        <v>-1.4305579106695527</v>
      </c>
      <c r="I97" s="3"/>
      <c r="J97" s="18">
        <f t="shared" si="10"/>
        <v>12.837024102566863</v>
      </c>
      <c r="K97" s="18">
        <f t="shared" si="11"/>
        <v>0.20178103171918052</v>
      </c>
      <c r="L97" s="18">
        <f t="shared" si="12"/>
        <v>0.19650573773916485</v>
      </c>
      <c r="M97" s="18">
        <f t="shared" si="13"/>
        <v>0.19650573773916485</v>
      </c>
      <c r="N97" s="18">
        <f t="shared" si="14"/>
        <v>0.19650573773916485</v>
      </c>
      <c r="O97" s="3"/>
      <c r="P97" s="19">
        <f t="shared" si="15"/>
        <v>298.47630362360428</v>
      </c>
      <c r="Q97" s="19">
        <f t="shared" si="21"/>
        <v>357.3539644499665</v>
      </c>
      <c r="R97" s="19">
        <f t="shared" si="22"/>
        <v>0</v>
      </c>
      <c r="S97" s="19">
        <f t="shared" si="23"/>
        <v>0</v>
      </c>
      <c r="T97" s="19">
        <f t="shared" si="24"/>
        <v>0</v>
      </c>
      <c r="U97" s="3"/>
      <c r="V97" s="19">
        <f t="shared" si="16"/>
        <v>655.83026807357078</v>
      </c>
      <c r="W97" s="3"/>
      <c r="X97" s="15">
        <f t="shared" si="17"/>
        <v>378.51422055265976</v>
      </c>
      <c r="Y97" s="15">
        <f t="shared" si="18"/>
        <v>19.455441926429216</v>
      </c>
      <c r="AA97" s="15">
        <f t="shared" si="19"/>
        <v>1.2644055474488798E-4</v>
      </c>
      <c r="AB97" s="17"/>
    </row>
    <row r="98" spans="2:28" x14ac:dyDescent="0.35">
      <c r="B98" s="27">
        <v>6</v>
      </c>
      <c r="C98" s="19">
        <v>639.28570999999999</v>
      </c>
      <c r="D98" s="18">
        <f t="shared" si="6"/>
        <v>15.52985694467602</v>
      </c>
      <c r="E98" s="18">
        <f t="shared" si="7"/>
        <v>-1.392666210379266</v>
      </c>
      <c r="F98" s="18">
        <f t="shared" si="20"/>
        <v>-1.4194467995584417</v>
      </c>
      <c r="G98" s="18">
        <f t="shared" si="8"/>
        <v>-1.4194467995584417</v>
      </c>
      <c r="H98" s="18">
        <f t="shared" si="9"/>
        <v>-1.4194467995584417</v>
      </c>
      <c r="I98" s="3"/>
      <c r="J98" s="18">
        <f t="shared" si="10"/>
        <v>12.967417109616767</v>
      </c>
      <c r="K98" s="18">
        <f t="shared" si="11"/>
        <v>0.20281159988375877</v>
      </c>
      <c r="L98" s="18">
        <f t="shared" si="12"/>
        <v>0.19833764140621366</v>
      </c>
      <c r="M98" s="18">
        <f t="shared" si="13"/>
        <v>0.19833764140621366</v>
      </c>
      <c r="N98" s="18">
        <f t="shared" si="14"/>
        <v>0.19833764140621366</v>
      </c>
      <c r="O98" s="3"/>
      <c r="P98" s="19">
        <f t="shared" si="15"/>
        <v>292.71658412838275</v>
      </c>
      <c r="Q98" s="19">
        <f t="shared" si="21"/>
        <v>355.23347891617385</v>
      </c>
      <c r="R98" s="19">
        <f t="shared" si="22"/>
        <v>0</v>
      </c>
      <c r="S98" s="19">
        <f t="shared" si="23"/>
        <v>0</v>
      </c>
      <c r="T98" s="19">
        <f t="shared" si="24"/>
        <v>0</v>
      </c>
      <c r="U98" s="3"/>
      <c r="V98" s="19">
        <f t="shared" si="16"/>
        <v>647.9500630445566</v>
      </c>
      <c r="W98" s="3"/>
      <c r="X98" s="15">
        <f t="shared" si="17"/>
        <v>75.071013680717328</v>
      </c>
      <c r="Y98" s="15">
        <f t="shared" si="18"/>
        <v>8.6643530445566057</v>
      </c>
      <c r="AA98" s="15">
        <f t="shared" si="19"/>
        <v>5.6309469073076218E-5</v>
      </c>
      <c r="AB98" s="17"/>
    </row>
    <row r="99" spans="2:28" x14ac:dyDescent="0.35">
      <c r="B99" s="27">
        <v>6.1</v>
      </c>
      <c r="C99" s="19">
        <v>660.03570999999999</v>
      </c>
      <c r="D99" s="18">
        <f t="shared" si="6"/>
        <v>15.67035628309851</v>
      </c>
      <c r="E99" s="18">
        <f t="shared" si="7"/>
        <v>-1.3865412815521436</v>
      </c>
      <c r="F99" s="18">
        <f t="shared" si="20"/>
        <v>-1.4083356884473308</v>
      </c>
      <c r="G99" s="18">
        <f t="shared" si="8"/>
        <v>-1.4083356884473308</v>
      </c>
      <c r="H99" s="18">
        <f t="shared" si="9"/>
        <v>-1.4083356884473308</v>
      </c>
      <c r="I99" s="3"/>
      <c r="J99" s="18">
        <f t="shared" si="10"/>
        <v>13.097904061033015</v>
      </c>
      <c r="K99" s="18">
        <f t="shared" si="11"/>
        <v>0.20384654026642851</v>
      </c>
      <c r="L99" s="18">
        <f t="shared" si="12"/>
        <v>0.20018377431513754</v>
      </c>
      <c r="M99" s="18">
        <f t="shared" si="13"/>
        <v>0.20018377431513754</v>
      </c>
      <c r="N99" s="18">
        <f t="shared" si="14"/>
        <v>0.20018377431513754</v>
      </c>
      <c r="O99" s="3"/>
      <c r="P99" s="19">
        <f t="shared" si="15"/>
        <v>287.11808980125448</v>
      </c>
      <c r="Q99" s="19">
        <f t="shared" si="21"/>
        <v>353.12609669380447</v>
      </c>
      <c r="R99" s="19">
        <f t="shared" si="22"/>
        <v>0</v>
      </c>
      <c r="S99" s="19">
        <f t="shared" si="23"/>
        <v>0</v>
      </c>
      <c r="T99" s="19">
        <f t="shared" si="24"/>
        <v>0</v>
      </c>
      <c r="U99" s="3"/>
      <c r="V99" s="19">
        <f t="shared" si="16"/>
        <v>640.24418649505901</v>
      </c>
      <c r="W99" s="3"/>
      <c r="X99" s="15">
        <f t="shared" si="17"/>
        <v>391.70440264663142</v>
      </c>
      <c r="Y99" s="15">
        <f t="shared" si="18"/>
        <v>19.791523504940983</v>
      </c>
      <c r="AA99" s="15">
        <f t="shared" si="19"/>
        <v>1.2862474266450748E-4</v>
      </c>
      <c r="AB99" s="17"/>
    </row>
    <row r="100" spans="2:28" x14ac:dyDescent="0.35">
      <c r="B100" s="27">
        <v>6.2</v>
      </c>
      <c r="C100" s="19">
        <v>641.28570999999999</v>
      </c>
      <c r="D100" s="18">
        <f t="shared" si="6"/>
        <v>15.810855621521002</v>
      </c>
      <c r="E100" s="18">
        <f t="shared" si="7"/>
        <v>-1.3804163527250213</v>
      </c>
      <c r="F100" s="18">
        <f t="shared" si="20"/>
        <v>-1.3972245773362193</v>
      </c>
      <c r="G100" s="18">
        <f t="shared" si="8"/>
        <v>-1.3972245773362193</v>
      </c>
      <c r="H100" s="18">
        <f t="shared" si="9"/>
        <v>-1.3972245773362193</v>
      </c>
      <c r="I100" s="3"/>
      <c r="J100" s="18">
        <f t="shared" si="10"/>
        <v>13.228483291570628</v>
      </c>
      <c r="K100" s="18">
        <f t="shared" si="11"/>
        <v>0.20488586385431529</v>
      </c>
      <c r="L100" s="18">
        <f t="shared" si="12"/>
        <v>0.20204420273965776</v>
      </c>
      <c r="M100" s="18">
        <f t="shared" si="13"/>
        <v>0.20204420273965776</v>
      </c>
      <c r="N100" s="18">
        <f t="shared" si="14"/>
        <v>0.20204420273965776</v>
      </c>
      <c r="O100" s="3"/>
      <c r="P100" s="19">
        <f t="shared" si="15"/>
        <v>281.67496590373798</v>
      </c>
      <c r="Q100" s="19">
        <f t="shared" si="21"/>
        <v>351.03173735303852</v>
      </c>
      <c r="R100" s="19">
        <f t="shared" si="22"/>
        <v>0</v>
      </c>
      <c r="S100" s="19">
        <f t="shared" si="23"/>
        <v>0</v>
      </c>
      <c r="T100" s="19">
        <f t="shared" si="24"/>
        <v>0</v>
      </c>
      <c r="U100" s="3"/>
      <c r="V100" s="19">
        <f>SUM(P100:T100)</f>
        <v>632.70670325677656</v>
      </c>
      <c r="W100" s="3"/>
      <c r="X100" s="15">
        <f t="shared" si="17"/>
        <v>73.599356700273106</v>
      </c>
      <c r="Y100" s="15">
        <f t="shared" si="18"/>
        <v>8.5790067432234309</v>
      </c>
      <c r="AA100" s="15">
        <f t="shared" si="19"/>
        <v>5.5754805050187506E-5</v>
      </c>
      <c r="AB100" s="17"/>
    </row>
    <row r="101" spans="2:28" x14ac:dyDescent="0.35">
      <c r="B101" s="27">
        <v>6.3</v>
      </c>
      <c r="C101" s="19">
        <v>600.53570999999999</v>
      </c>
      <c r="D101" s="18">
        <f t="shared" si="6"/>
        <v>15.951354959943492</v>
      </c>
      <c r="E101" s="18">
        <f t="shared" si="7"/>
        <v>-1.3742914238978992</v>
      </c>
      <c r="F101" s="18">
        <f t="shared" si="20"/>
        <v>-1.3861134662251084</v>
      </c>
      <c r="G101" s="18">
        <f t="shared" si="8"/>
        <v>-1.3861134662251084</v>
      </c>
      <c r="H101" s="18">
        <f t="shared" si="9"/>
        <v>-1.3861134662251084</v>
      </c>
      <c r="I101" s="3"/>
      <c r="J101" s="18">
        <f t="shared" si="10"/>
        <v>13.359153178673708</v>
      </c>
      <c r="K101" s="18">
        <f t="shared" si="11"/>
        <v>0.20592958160468058</v>
      </c>
      <c r="L101" s="18">
        <f t="shared" si="12"/>
        <v>0.20391899264640789</v>
      </c>
      <c r="M101" s="18">
        <f t="shared" si="13"/>
        <v>0.20391899264640789</v>
      </c>
      <c r="N101" s="18">
        <f t="shared" si="14"/>
        <v>0.20391899264640789</v>
      </c>
      <c r="O101" s="3"/>
      <c r="P101" s="19">
        <f t="shared" si="15"/>
        <v>276.38161721991065</v>
      </c>
      <c r="Q101" s="19">
        <f t="shared" si="21"/>
        <v>348.95032094921419</v>
      </c>
      <c r="R101" s="19">
        <f t="shared" si="22"/>
        <v>0</v>
      </c>
      <c r="S101" s="19">
        <f t="shared" si="23"/>
        <v>0</v>
      </c>
      <c r="T101" s="19">
        <f t="shared" si="24"/>
        <v>0</v>
      </c>
      <c r="U101" s="3"/>
      <c r="V101" s="19">
        <f t="shared" si="16"/>
        <v>625.3319381691249</v>
      </c>
      <c r="W101" s="3"/>
      <c r="X101" s="15">
        <f t="shared" si="17"/>
        <v>614.85293141530326</v>
      </c>
      <c r="Y101" s="15">
        <f t="shared" si="18"/>
        <v>24.796228169124902</v>
      </c>
      <c r="AA101" s="15">
        <f t="shared" si="19"/>
        <v>1.6115022507023582E-4</v>
      </c>
      <c r="AB101" s="17"/>
    </row>
    <row r="102" spans="2:28" x14ac:dyDescent="0.35">
      <c r="B102" s="27">
        <v>6.4</v>
      </c>
      <c r="C102" s="19">
        <v>607.78570999999999</v>
      </c>
      <c r="D102" s="18">
        <f t="shared" si="6"/>
        <v>16.091854298365984</v>
      </c>
      <c r="E102" s="18">
        <f t="shared" si="7"/>
        <v>-1.3681664950707768</v>
      </c>
      <c r="F102" s="18">
        <f t="shared" si="20"/>
        <v>-1.3750023551139972</v>
      </c>
      <c r="G102" s="18">
        <f t="shared" si="8"/>
        <v>-1.3750023551139972</v>
      </c>
      <c r="H102" s="18">
        <f t="shared" si="9"/>
        <v>-1.3750023551139972</v>
      </c>
      <c r="I102" s="3"/>
      <c r="J102" s="18">
        <f t="shared" si="10"/>
        <v>13.489912141061419</v>
      </c>
      <c r="K102" s="18">
        <f t="shared" si="11"/>
        <v>0.20697770444449975</v>
      </c>
      <c r="L102" s="18">
        <f t="shared" si="12"/>
        <v>0.20580820968659641</v>
      </c>
      <c r="M102" s="18">
        <f t="shared" si="13"/>
        <v>0.20580820968659641</v>
      </c>
      <c r="N102" s="18">
        <f t="shared" si="14"/>
        <v>0.20580820968659641</v>
      </c>
      <c r="O102" s="3"/>
      <c r="P102" s="19">
        <f t="shared" si="15"/>
        <v>271.23269454335542</v>
      </c>
      <c r="Q102" s="19">
        <f t="shared" si="21"/>
        <v>346.88176801987396</v>
      </c>
      <c r="R102" s="19">
        <f t="shared" si="22"/>
        <v>0</v>
      </c>
      <c r="S102" s="19">
        <f t="shared" si="23"/>
        <v>0</v>
      </c>
      <c r="T102" s="19">
        <f t="shared" si="24"/>
        <v>0</v>
      </c>
      <c r="U102" s="3"/>
      <c r="V102" s="19">
        <f t="shared" si="16"/>
        <v>618.11446256322938</v>
      </c>
      <c r="W102" s="3"/>
      <c r="X102" s="15">
        <f t="shared" si="17"/>
        <v>106.68312951241762</v>
      </c>
      <c r="Y102" s="15">
        <f t="shared" si="18"/>
        <v>10.328752563229386</v>
      </c>
      <c r="AA102" s="15">
        <f t="shared" si="19"/>
        <v>6.7126370547425596E-5</v>
      </c>
      <c r="AB102" s="17"/>
    </row>
    <row r="103" spans="2:28" x14ac:dyDescent="0.35">
      <c r="B103" s="27">
        <v>6.5</v>
      </c>
      <c r="C103" s="19">
        <v>627.78570999999999</v>
      </c>
      <c r="D103" s="18">
        <f t="shared" si="6"/>
        <v>16.232353636788474</v>
      </c>
      <c r="E103" s="18">
        <f t="shared" si="7"/>
        <v>-1.3620415662436547</v>
      </c>
      <c r="F103" s="18">
        <f t="shared" si="20"/>
        <v>-1.3638912440028861</v>
      </c>
      <c r="G103" s="18">
        <f t="shared" si="8"/>
        <v>-1.3638912440028861</v>
      </c>
      <c r="H103" s="18">
        <f t="shared" si="9"/>
        <v>-1.3638912440028861</v>
      </c>
      <c r="I103" s="3"/>
      <c r="J103" s="18">
        <f t="shared" si="10"/>
        <v>13.620758637370818</v>
      </c>
      <c r="K103" s="18">
        <f t="shared" si="11"/>
        <v>0.20803024327003966</v>
      </c>
      <c r="L103" s="18">
        <f t="shared" si="12"/>
        <v>0.20771191918768955</v>
      </c>
      <c r="M103" s="18">
        <f t="shared" si="13"/>
        <v>0.20771191918768955</v>
      </c>
      <c r="N103" s="18">
        <f t="shared" si="14"/>
        <v>0.20771191918768955</v>
      </c>
      <c r="O103" s="3"/>
      <c r="P103" s="19">
        <f t="shared" si="15"/>
        <v>266.22308196902878</v>
      </c>
      <c r="Q103" s="19">
        <f t="shared" si="21"/>
        <v>344.8259995818317</v>
      </c>
      <c r="R103" s="19">
        <f t="shared" si="22"/>
        <v>0</v>
      </c>
      <c r="S103" s="19">
        <f t="shared" si="23"/>
        <v>0</v>
      </c>
      <c r="T103" s="19">
        <f t="shared" si="24"/>
        <v>0</v>
      </c>
      <c r="U103" s="3"/>
      <c r="V103" s="19">
        <f t="shared" si="16"/>
        <v>611.04908155086048</v>
      </c>
      <c r="W103" s="3"/>
      <c r="X103" s="15">
        <f t="shared" si="17"/>
        <v>280.11473184454621</v>
      </c>
      <c r="Y103" s="15">
        <f t="shared" si="18"/>
        <v>16.736628449139516</v>
      </c>
      <c r="AA103" s="15">
        <f t="shared" si="19"/>
        <v>1.0877103659072075E-4</v>
      </c>
      <c r="AB103" s="17"/>
    </row>
    <row r="104" spans="2:28" x14ac:dyDescent="0.35">
      <c r="B104" s="27">
        <v>6.6</v>
      </c>
      <c r="C104" s="19">
        <v>588.28570999999999</v>
      </c>
      <c r="D104" s="18">
        <f t="shared" ref="D104:D113" si="25">$C$23/(1-$C$23)-LN((1-$C$23)/$C$23)+$C$22/(1-$C$23)*B104</f>
        <v>16.372852975210964</v>
      </c>
      <c r="E104" s="18">
        <f t="shared" ref="E104:E113" si="26">$D$23/(1-$D$23)-LN((1-$D$23)/$D$23)+$D$22*B104/(1-$D$23)</f>
        <v>-1.3559166374165323</v>
      </c>
      <c r="F104" s="18">
        <f t="shared" ref="F104:F113" si="27">$E$23/(1-$E$23)-LN((1-$E$23)/$E$23)+$E$22*B104/(1-$E$23)</f>
        <v>-1.352780132891775</v>
      </c>
      <c r="G104" s="18">
        <f t="shared" ref="G104:G113" si="28">$F$23/(1-$F$23)-LN((1-$F$23)/$F$23)+$F$22*B104/(1-$F$23)</f>
        <v>-1.352780132891775</v>
      </c>
      <c r="H104" s="18">
        <f t="shared" ref="H104:H113" si="29">$G$23/(1-$G$23)-LN((1-$G$23)/$G$23)+$G$22*B104/(1-$G$23)</f>
        <v>-1.352780132891775</v>
      </c>
      <c r="I104" s="3"/>
      <c r="J104" s="18">
        <f t="shared" ref="J104:J113" si="30">lmb_2(D104)</f>
        <v>13.751691164853943</v>
      </c>
      <c r="K104" s="18">
        <f t="shared" ref="K104:K113" si="31">lmb_2(E104)</f>
        <v>0.20908720894643817</v>
      </c>
      <c r="L104" s="18">
        <f t="shared" ref="L104:L113" si="32">lmb_2(F104)</f>
        <v>0.20963018614511889</v>
      </c>
      <c r="M104" s="18">
        <f t="shared" ref="M104:M113" si="33">lmb_2(G104)</f>
        <v>0.20963018614511889</v>
      </c>
      <c r="N104" s="18">
        <f t="shared" ref="N104:N113" si="34">lmb_2(H104)</f>
        <v>0.20963018614511889</v>
      </c>
      <c r="O104" s="3"/>
      <c r="P104" s="19">
        <f t="shared" ref="P104:P167" si="35">(C$21*C$23/(1-C$23)^2*$A$21*C$22)/(J104+J104^2)</f>
        <v>261.34788493624745</v>
      </c>
      <c r="Q104" s="19">
        <f t="shared" si="21"/>
        <v>342.78293712825615</v>
      </c>
      <c r="R104" s="19">
        <f t="shared" si="22"/>
        <v>0</v>
      </c>
      <c r="S104" s="19">
        <f t="shared" si="23"/>
        <v>0</v>
      </c>
      <c r="T104" s="19">
        <f t="shared" si="24"/>
        <v>0</v>
      </c>
      <c r="U104" s="3"/>
      <c r="V104" s="19">
        <f t="shared" ref="V104:V113" si="36">SUM(P104:T104)</f>
        <v>604.1308220645036</v>
      </c>
      <c r="W104" s="3"/>
      <c r="X104" s="15">
        <f t="shared" ref="X104:X113" si="37">(V104-C104)^2</f>
        <v>251.06757633667786</v>
      </c>
      <c r="Y104" s="15">
        <f t="shared" ref="Y104:Y113" si="38">ABS(V104-C104)</f>
        <v>15.84511206450361</v>
      </c>
      <c r="AA104" s="15">
        <f t="shared" ref="AA104:AA113" si="39">Y104/$Z$39</f>
        <v>1.0297708821042765E-4</v>
      </c>
      <c r="AB104" s="17"/>
    </row>
    <row r="105" spans="2:28" x14ac:dyDescent="0.35">
      <c r="B105" s="27">
        <v>6.7</v>
      </c>
      <c r="C105" s="19">
        <v>602.78570999999999</v>
      </c>
      <c r="D105" s="18">
        <f t="shared" si="25"/>
        <v>16.513352313633455</v>
      </c>
      <c r="E105" s="18">
        <f t="shared" si="26"/>
        <v>-1.34979170858941</v>
      </c>
      <c r="F105" s="18">
        <f t="shared" si="27"/>
        <v>-1.3416690217806639</v>
      </c>
      <c r="G105" s="18">
        <f t="shared" si="28"/>
        <v>-1.3416690217806639</v>
      </c>
      <c r="H105" s="18">
        <f t="shared" si="29"/>
        <v>-1.3416690217806639</v>
      </c>
      <c r="I105" s="3"/>
      <c r="J105" s="18">
        <f t="shared" si="30"/>
        <v>13.882708258126556</v>
      </c>
      <c r="K105" s="18">
        <f t="shared" si="31"/>
        <v>0.21014861230728363</v>
      </c>
      <c r="L105" s="18">
        <f t="shared" si="32"/>
        <v>0.2115630752140148</v>
      </c>
      <c r="M105" s="18">
        <f t="shared" si="33"/>
        <v>0.2115630752140148</v>
      </c>
      <c r="N105" s="18">
        <f t="shared" si="34"/>
        <v>0.2115630752140148</v>
      </c>
      <c r="O105" s="3"/>
      <c r="P105" s="19">
        <f t="shared" si="35"/>
        <v>256.60241897297402</v>
      </c>
      <c r="Q105" s="19">
        <f t="shared" si="21"/>
        <v>340.75250262577401</v>
      </c>
      <c r="R105" s="19">
        <f t="shared" si="22"/>
        <v>0</v>
      </c>
      <c r="S105" s="19">
        <f t="shared" si="23"/>
        <v>0</v>
      </c>
      <c r="T105" s="19">
        <f t="shared" si="24"/>
        <v>0</v>
      </c>
      <c r="U105" s="3"/>
      <c r="V105" s="19">
        <f t="shared" si="36"/>
        <v>597.35492159874798</v>
      </c>
      <c r="W105" s="3"/>
      <c r="X105" s="15">
        <f t="shared" si="37"/>
        <v>29.493462659173431</v>
      </c>
      <c r="Y105" s="15">
        <f t="shared" si="38"/>
        <v>5.4307884012520162</v>
      </c>
      <c r="AA105" s="15">
        <f t="shared" si="39"/>
        <v>3.5294592677619924E-5</v>
      </c>
      <c r="AB105" s="17"/>
    </row>
    <row r="106" spans="2:28" x14ac:dyDescent="0.35">
      <c r="B106" s="27">
        <v>6.8</v>
      </c>
      <c r="C106" s="19">
        <v>577.03570999999999</v>
      </c>
      <c r="D106" s="18">
        <f t="shared" si="25"/>
        <v>16.653851652055948</v>
      </c>
      <c r="E106" s="18">
        <f t="shared" si="26"/>
        <v>-1.3436667797622879</v>
      </c>
      <c r="F106" s="18">
        <f t="shared" si="27"/>
        <v>-1.3305579106695529</v>
      </c>
      <c r="G106" s="18">
        <f t="shared" si="28"/>
        <v>-1.3305579106695529</v>
      </c>
      <c r="H106" s="18">
        <f t="shared" si="29"/>
        <v>-1.3305579106695529</v>
      </c>
      <c r="I106" s="3"/>
      <c r="J106" s="18">
        <f t="shared" si="30"/>
        <v>14.013808487966203</v>
      </c>
      <c r="K106" s="18">
        <f t="shared" si="31"/>
        <v>0.21121446415419556</v>
      </c>
      <c r="L106" s="18">
        <f t="shared" si="32"/>
        <v>0.21351065070096936</v>
      </c>
      <c r="M106" s="18">
        <f t="shared" si="33"/>
        <v>0.21351065070096936</v>
      </c>
      <c r="N106" s="18">
        <f t="shared" si="34"/>
        <v>0.21351065070096936</v>
      </c>
      <c r="O106" s="3"/>
      <c r="P106" s="19">
        <f t="shared" si="35"/>
        <v>251.9821990952297</v>
      </c>
      <c r="Q106" s="19">
        <f t="shared" si="21"/>
        <v>338.73461851159095</v>
      </c>
      <c r="R106" s="19">
        <f t="shared" si="22"/>
        <v>0</v>
      </c>
      <c r="S106" s="19">
        <f t="shared" si="23"/>
        <v>0</v>
      </c>
      <c r="T106" s="19">
        <f t="shared" si="24"/>
        <v>0</v>
      </c>
      <c r="U106" s="3"/>
      <c r="V106" s="19">
        <f t="shared" si="36"/>
        <v>590.71681760682065</v>
      </c>
      <c r="W106" s="3"/>
      <c r="X106" s="15">
        <f t="shared" si="37"/>
        <v>187.17270534940613</v>
      </c>
      <c r="Y106" s="15">
        <f t="shared" si="38"/>
        <v>13.68110760682066</v>
      </c>
      <c r="AA106" s="15">
        <f t="shared" si="39"/>
        <v>8.8913263542012033E-5</v>
      </c>
      <c r="AB106" s="17"/>
    </row>
    <row r="107" spans="2:28" x14ac:dyDescent="0.35">
      <c r="B107" s="27">
        <v>6.9</v>
      </c>
      <c r="C107" s="19">
        <v>599.53570999999999</v>
      </c>
      <c r="D107" s="18">
        <f t="shared" si="25"/>
        <v>16.794350990478435</v>
      </c>
      <c r="E107" s="18">
        <f t="shared" si="26"/>
        <v>-1.3375418509351655</v>
      </c>
      <c r="F107" s="18">
        <f t="shared" si="27"/>
        <v>-1.3194467995584418</v>
      </c>
      <c r="G107" s="18">
        <f t="shared" si="28"/>
        <v>-1.3194467995584418</v>
      </c>
      <c r="H107" s="18">
        <f t="shared" si="29"/>
        <v>-1.3194467995584418</v>
      </c>
      <c r="I107" s="3"/>
      <c r="J107" s="18">
        <f t="shared" si="30"/>
        <v>14.144990460157279</v>
      </c>
      <c r="K107" s="18">
        <f t="shared" si="31"/>
        <v>0.21228477525640638</v>
      </c>
      <c r="L107" s="18">
        <f t="shared" si="32"/>
        <v>0.21547297655583092</v>
      </c>
      <c r="M107" s="18">
        <f t="shared" si="33"/>
        <v>0.21547297655583092</v>
      </c>
      <c r="N107" s="18">
        <f t="shared" si="34"/>
        <v>0.21547297655583092</v>
      </c>
      <c r="O107" s="3"/>
      <c r="P107" s="19">
        <f t="shared" si="35"/>
        <v>247.4829298188302</v>
      </c>
      <c r="Q107" s="19">
        <f t="shared" si="21"/>
        <v>336.72920769063006</v>
      </c>
      <c r="R107" s="19">
        <f t="shared" si="22"/>
        <v>0</v>
      </c>
      <c r="S107" s="19">
        <f t="shared" si="23"/>
        <v>0</v>
      </c>
      <c r="T107" s="19">
        <f t="shared" si="24"/>
        <v>0</v>
      </c>
      <c r="U107" s="3"/>
      <c r="V107" s="19">
        <f t="shared" si="36"/>
        <v>584.21213750946026</v>
      </c>
      <c r="W107" s="3"/>
      <c r="X107" s="15">
        <f t="shared" si="37"/>
        <v>234.81187387282606</v>
      </c>
      <c r="Y107" s="15">
        <f t="shared" si="38"/>
        <v>15.323572490539732</v>
      </c>
      <c r="AA107" s="15">
        <f t="shared" si="39"/>
        <v>9.9587612232304316E-5</v>
      </c>
      <c r="AB107" s="17"/>
    </row>
    <row r="108" spans="2:28" x14ac:dyDescent="0.35">
      <c r="B108" s="27">
        <v>7</v>
      </c>
      <c r="C108" s="19">
        <v>597.53570999999999</v>
      </c>
      <c r="D108" s="18">
        <f t="shared" si="25"/>
        <v>16.934850328900929</v>
      </c>
      <c r="E108" s="18">
        <f t="shared" si="26"/>
        <v>-1.3314169221080432</v>
      </c>
      <c r="F108" s="18">
        <f t="shared" si="27"/>
        <v>-1.3083356884473307</v>
      </c>
      <c r="G108" s="18">
        <f t="shared" si="28"/>
        <v>-1.3083356884473307</v>
      </c>
      <c r="H108" s="18">
        <f t="shared" si="29"/>
        <v>-1.3083356884473307</v>
      </c>
      <c r="I108" s="3"/>
      <c r="J108" s="18">
        <f t="shared" si="30"/>
        <v>14.276252814380996</v>
      </c>
      <c r="K108" s="18">
        <f t="shared" si="31"/>
        <v>0.21335955635034345</v>
      </c>
      <c r="L108" s="18">
        <f t="shared" si="32"/>
        <v>0.21745011636353331</v>
      </c>
      <c r="M108" s="18">
        <f t="shared" si="33"/>
        <v>0.21745011636353331</v>
      </c>
      <c r="N108" s="18">
        <f t="shared" si="34"/>
        <v>0.21745011636353331</v>
      </c>
      <c r="O108" s="3"/>
      <c r="P108" s="19">
        <f t="shared" si="35"/>
        <v>243.10049574372871</v>
      </c>
      <c r="Q108" s="19">
        <f t="shared" si="21"/>
        <v>334.73619353269009</v>
      </c>
      <c r="R108" s="19">
        <f t="shared" si="22"/>
        <v>0</v>
      </c>
      <c r="S108" s="19">
        <f t="shared" si="23"/>
        <v>0</v>
      </c>
      <c r="T108" s="19">
        <f t="shared" si="24"/>
        <v>0</v>
      </c>
      <c r="U108" s="3"/>
      <c r="V108" s="19">
        <f t="shared" si="36"/>
        <v>577.83668927641884</v>
      </c>
      <c r="W108" s="3"/>
      <c r="X108" s="15">
        <f t="shared" si="37"/>
        <v>388.05141746807988</v>
      </c>
      <c r="Y108" s="15">
        <f t="shared" si="38"/>
        <v>19.699020723581157</v>
      </c>
      <c r="AA108" s="15">
        <f t="shared" si="39"/>
        <v>1.2802356881120669E-4</v>
      </c>
      <c r="AB108" s="17"/>
    </row>
    <row r="109" spans="2:28" x14ac:dyDescent="0.35">
      <c r="B109" s="27">
        <v>7.1</v>
      </c>
      <c r="C109" s="19">
        <v>573.53570999999999</v>
      </c>
      <c r="D109" s="18">
        <f t="shared" si="25"/>
        <v>17.075349667323419</v>
      </c>
      <c r="E109" s="18">
        <f t="shared" si="26"/>
        <v>-1.3252919932809211</v>
      </c>
      <c r="F109" s="18">
        <f t="shared" si="27"/>
        <v>-1.2972245773362197</v>
      </c>
      <c r="G109" s="18">
        <f t="shared" si="28"/>
        <v>-1.2972245773362197</v>
      </c>
      <c r="H109" s="18">
        <f t="shared" si="29"/>
        <v>-1.2972245773362197</v>
      </c>
      <c r="I109" s="3"/>
      <c r="J109" s="18">
        <f t="shared" si="30"/>
        <v>14.407594223148125</v>
      </c>
      <c r="K109" s="18">
        <f t="shared" si="31"/>
        <v>0.21443881813921262</v>
      </c>
      <c r="L109" s="18">
        <f t="shared" si="32"/>
        <v>0.21944213333596227</v>
      </c>
      <c r="M109" s="18">
        <f t="shared" si="33"/>
        <v>0.21944213333596227</v>
      </c>
      <c r="N109" s="18">
        <f t="shared" si="34"/>
        <v>0.21944213333596227</v>
      </c>
      <c r="O109" s="3"/>
      <c r="P109" s="19">
        <f t="shared" si="35"/>
        <v>238.83095267410582</v>
      </c>
      <c r="Q109" s="19">
        <f t="shared" si="21"/>
        <v>332.75549986961988</v>
      </c>
      <c r="R109" s="19">
        <f t="shared" si="22"/>
        <v>0</v>
      </c>
      <c r="S109" s="19">
        <f t="shared" si="23"/>
        <v>0</v>
      </c>
      <c r="T109" s="19">
        <f t="shared" si="24"/>
        <v>0</v>
      </c>
      <c r="U109" s="3"/>
      <c r="V109" s="19">
        <f t="shared" si="36"/>
        <v>571.58645254372573</v>
      </c>
      <c r="W109" s="3"/>
      <c r="X109" s="15">
        <f t="shared" si="37"/>
        <v>3.799604630840828</v>
      </c>
      <c r="Y109" s="15">
        <f t="shared" si="38"/>
        <v>1.9492574562742675</v>
      </c>
      <c r="AA109" s="15">
        <f t="shared" si="39"/>
        <v>1.26681879056737E-5</v>
      </c>
      <c r="AB109" s="17"/>
    </row>
    <row r="110" spans="2:28" x14ac:dyDescent="0.35">
      <c r="B110" s="27">
        <v>7.2</v>
      </c>
      <c r="C110" s="19">
        <v>574.53570999999999</v>
      </c>
      <c r="D110" s="18">
        <f t="shared" si="25"/>
        <v>17.215849005745909</v>
      </c>
      <c r="E110" s="18">
        <f t="shared" si="26"/>
        <v>-1.3191670644537987</v>
      </c>
      <c r="F110" s="18">
        <f t="shared" si="27"/>
        <v>-1.2861134662251084</v>
      </c>
      <c r="G110" s="18">
        <f t="shared" si="28"/>
        <v>-1.2861134662251084</v>
      </c>
      <c r="H110" s="18">
        <f t="shared" si="29"/>
        <v>-1.2861134662251084</v>
      </c>
      <c r="I110" s="3"/>
      <c r="J110" s="18">
        <f t="shared" si="30"/>
        <v>14.539013390772716</v>
      </c>
      <c r="K110" s="18">
        <f t="shared" si="31"/>
        <v>0.21552257129258268</v>
      </c>
      <c r="L110" s="18">
        <f t="shared" si="32"/>
        <v>0.22144909030386142</v>
      </c>
      <c r="M110" s="18">
        <f t="shared" si="33"/>
        <v>0.22144909030386142</v>
      </c>
      <c r="N110" s="18">
        <f t="shared" si="34"/>
        <v>0.22144909030386142</v>
      </c>
      <c r="O110" s="3"/>
      <c r="P110" s="19">
        <f t="shared" si="35"/>
        <v>234.67051923996448</v>
      </c>
      <c r="Q110" s="19">
        <f t="shared" si="21"/>
        <v>330.7870509925113</v>
      </c>
      <c r="R110" s="19">
        <f t="shared" si="22"/>
        <v>0</v>
      </c>
      <c r="S110" s="19">
        <f t="shared" si="23"/>
        <v>0</v>
      </c>
      <c r="T110" s="19">
        <f t="shared" si="24"/>
        <v>0</v>
      </c>
      <c r="U110" s="3"/>
      <c r="V110" s="19">
        <f t="shared" si="36"/>
        <v>565.45757023247575</v>
      </c>
      <c r="W110" s="3"/>
      <c r="X110" s="15">
        <f t="shared" si="37"/>
        <v>82.412621638705218</v>
      </c>
      <c r="Y110" s="15">
        <f t="shared" si="38"/>
        <v>9.0781397675242488</v>
      </c>
      <c r="AA110" s="15">
        <f t="shared" si="39"/>
        <v>5.8998661279346528E-5</v>
      </c>
      <c r="AB110" s="17"/>
    </row>
    <row r="111" spans="2:28" x14ac:dyDescent="0.35">
      <c r="B111" s="27">
        <v>7.3</v>
      </c>
      <c r="C111" s="19">
        <v>546.03570999999999</v>
      </c>
      <c r="D111" s="18">
        <f t="shared" si="25"/>
        <v>17.356348344168399</v>
      </c>
      <c r="E111" s="18">
        <f t="shared" si="26"/>
        <v>-1.3130421356266764</v>
      </c>
      <c r="F111" s="18">
        <f t="shared" si="27"/>
        <v>-1.2750023551139973</v>
      </c>
      <c r="G111" s="18">
        <f t="shared" si="28"/>
        <v>-1.2750023551139973</v>
      </c>
      <c r="H111" s="18">
        <f t="shared" si="29"/>
        <v>-1.2750023551139973</v>
      </c>
      <c r="I111" s="3"/>
      <c r="J111" s="18">
        <f t="shared" si="30"/>
        <v>14.670509052384817</v>
      </c>
      <c r="K111" s="18">
        <f t="shared" si="31"/>
        <v>0.21661082644597049</v>
      </c>
      <c r="L111" s="18">
        <f t="shared" si="32"/>
        <v>0.22347104970878109</v>
      </c>
      <c r="M111" s="18">
        <f t="shared" si="33"/>
        <v>0.22347104970878109</v>
      </c>
      <c r="N111" s="18">
        <f t="shared" si="34"/>
        <v>0.22347104970878109</v>
      </c>
      <c r="O111" s="3"/>
      <c r="P111" s="19">
        <f t="shared" si="35"/>
        <v>230.61556898841786</v>
      </c>
      <c r="Q111" s="19">
        <f t="shared" si="21"/>
        <v>328.83077164891034</v>
      </c>
      <c r="R111" s="19">
        <f t="shared" si="22"/>
        <v>0</v>
      </c>
      <c r="S111" s="19">
        <f t="shared" si="23"/>
        <v>0</v>
      </c>
      <c r="T111" s="19">
        <f t="shared" si="24"/>
        <v>0</v>
      </c>
      <c r="U111" s="3"/>
      <c r="V111" s="19">
        <f t="shared" si="36"/>
        <v>559.44634063732815</v>
      </c>
      <c r="W111" s="3"/>
      <c r="X111" s="15">
        <f t="shared" si="37"/>
        <v>179.84501409084453</v>
      </c>
      <c r="Y111" s="15">
        <f t="shared" si="38"/>
        <v>13.410630637328154</v>
      </c>
      <c r="AA111" s="15">
        <f t="shared" si="39"/>
        <v>8.7155438754599169E-5</v>
      </c>
      <c r="AB111" s="17"/>
    </row>
    <row r="112" spans="2:28" x14ac:dyDescent="0.35">
      <c r="B112" s="27">
        <v>7.4</v>
      </c>
      <c r="C112" s="19">
        <v>564.78570999999999</v>
      </c>
      <c r="D112" s="18">
        <f t="shared" si="25"/>
        <v>17.496847682590889</v>
      </c>
      <c r="E112" s="18">
        <f t="shared" si="26"/>
        <v>-1.3069172067995543</v>
      </c>
      <c r="F112" s="18">
        <f t="shared" si="27"/>
        <v>-1.263891244002886</v>
      </c>
      <c r="G112" s="18">
        <f t="shared" si="28"/>
        <v>-1.263891244002886</v>
      </c>
      <c r="H112" s="18">
        <f t="shared" si="29"/>
        <v>-1.263891244002886</v>
      </c>
      <c r="I112" s="3"/>
      <c r="J112" s="18">
        <f t="shared" si="30"/>
        <v>14.802079972980557</v>
      </c>
      <c r="K112" s="18">
        <f t="shared" si="31"/>
        <v>0.21770359420042756</v>
      </c>
      <c r="L112" s="18">
        <f t="shared" si="32"/>
        <v>0.22550807359507233</v>
      </c>
      <c r="M112" s="18">
        <f t="shared" si="33"/>
        <v>0.22550807359507233</v>
      </c>
      <c r="N112" s="18">
        <f t="shared" si="34"/>
        <v>0.22550807359507233</v>
      </c>
      <c r="O112" s="3"/>
      <c r="P112" s="19">
        <f t="shared" si="35"/>
        <v>226.66262291508491</v>
      </c>
      <c r="Q112" s="19">
        <f t="shared" si="21"/>
        <v>326.88658704004547</v>
      </c>
      <c r="R112" s="19">
        <f t="shared" si="22"/>
        <v>0</v>
      </c>
      <c r="S112" s="19">
        <f t="shared" si="23"/>
        <v>0</v>
      </c>
      <c r="T112" s="19">
        <f t="shared" si="24"/>
        <v>0</v>
      </c>
      <c r="U112" s="3"/>
      <c r="V112" s="19">
        <f t="shared" si="36"/>
        <v>553.54920995513044</v>
      </c>
      <c r="W112" s="3"/>
      <c r="X112" s="15">
        <f t="shared" si="37"/>
        <v>126.25893325835358</v>
      </c>
      <c r="Y112" s="15">
        <f t="shared" si="38"/>
        <v>11.236500044869558</v>
      </c>
      <c r="AA112" s="15">
        <f t="shared" si="39"/>
        <v>7.3025804524864114E-5</v>
      </c>
      <c r="AB112" s="17"/>
    </row>
    <row r="113" spans="2:28" x14ac:dyDescent="0.35">
      <c r="B113" s="27">
        <v>7.5</v>
      </c>
      <c r="C113" s="19">
        <v>582.53570999999999</v>
      </c>
      <c r="D113" s="18">
        <f t="shared" si="25"/>
        <v>17.637347021013383</v>
      </c>
      <c r="E113" s="18">
        <f t="shared" si="26"/>
        <v>-1.3007922779724319</v>
      </c>
      <c r="F113" s="18">
        <f t="shared" si="27"/>
        <v>-1.2527801328917751</v>
      </c>
      <c r="G113" s="18">
        <f t="shared" si="28"/>
        <v>-1.2527801328917751</v>
      </c>
      <c r="H113" s="18">
        <f t="shared" si="29"/>
        <v>-1.2527801328917751</v>
      </c>
      <c r="I113" s="3"/>
      <c r="J113" s="18">
        <f t="shared" si="30"/>
        <v>14.933724946507889</v>
      </c>
      <c r="K113" s="18">
        <f t="shared" si="31"/>
        <v>0.21880088512212786</v>
      </c>
      <c r="L113" s="18">
        <f t="shared" si="32"/>
        <v>0.22756022360192826</v>
      </c>
      <c r="M113" s="18">
        <f t="shared" si="33"/>
        <v>0.22756022360192826</v>
      </c>
      <c r="N113" s="18">
        <f t="shared" si="34"/>
        <v>0.22756022360192826</v>
      </c>
      <c r="O113" s="3"/>
      <c r="P113" s="19">
        <f t="shared" si="35"/>
        <v>222.80834240807499</v>
      </c>
      <c r="Q113" s="19">
        <f t="shared" si="21"/>
        <v>324.95442281807266</v>
      </c>
      <c r="R113" s="19">
        <f t="shared" si="22"/>
        <v>0</v>
      </c>
      <c r="S113" s="19">
        <f t="shared" si="23"/>
        <v>0</v>
      </c>
      <c r="T113" s="19">
        <f t="shared" si="24"/>
        <v>0</v>
      </c>
      <c r="U113" s="3"/>
      <c r="V113" s="19">
        <f t="shared" si="36"/>
        <v>547.76276522614762</v>
      </c>
      <c r="W113" s="3"/>
      <c r="X113" s="15">
        <f t="shared" si="37"/>
        <v>1209.1576882453871</v>
      </c>
      <c r="Y113" s="15">
        <f t="shared" si="38"/>
        <v>34.772944773852373</v>
      </c>
      <c r="AA113" s="15">
        <f t="shared" si="39"/>
        <v>2.2598872047961772E-4</v>
      </c>
      <c r="AB113" s="17"/>
    </row>
    <row r="114" spans="2:28" x14ac:dyDescent="0.35">
      <c r="B114" s="27">
        <v>7.6</v>
      </c>
      <c r="C114" s="19">
        <v>531.78570999999999</v>
      </c>
      <c r="D114" s="19">
        <f t="shared" ref="D114:D177" si="40">$C$23/(1-$C$23)-LN((1-$C$23)/$C$23)+$C$22/(1-$C$23)*B114</f>
        <v>17.77784635943587</v>
      </c>
      <c r="E114" s="19">
        <f t="shared" ref="E114:E177" si="41">$D$23/(1-$D$23)-LN((1-$D$23)/$D$23)+$D$22*B114/(1-$D$23)</f>
        <v>-1.2946673491453096</v>
      </c>
      <c r="F114" s="19">
        <f t="shared" ref="F114:F177" si="42">$E$23/(1-$E$23)-LN((1-$E$23)/$E$23)+$E$22*B114/(1-$E$23)</f>
        <v>-1.2416690217806639</v>
      </c>
      <c r="G114" s="19">
        <f t="shared" ref="G114:G177" si="43">$F$23/(1-$F$23)-LN((1-$F$23)/$F$23)+$F$22*B114/(1-$F$23)</f>
        <v>-1.2416690217806639</v>
      </c>
      <c r="H114" s="19">
        <f t="shared" ref="H114:H177" si="44">$G$23/(1-$G$23)-LN((1-$G$23)/$G$23)+$G$22*B114/(1-$G$23)</f>
        <v>-1.2416690217806639</v>
      </c>
      <c r="I114" s="17"/>
      <c r="J114" s="19">
        <f t="shared" ref="J114:J177" si="45">lmb_2(D114)</f>
        <v>15.065442794986419</v>
      </c>
      <c r="K114" s="19">
        <f t="shared" ref="K114:K177" si="46">lmb_2(E114)</f>
        <v>0.21990270974195628</v>
      </c>
      <c r="L114" s="19">
        <f t="shared" ref="L114:L177" si="47">lmb_2(F114)</f>
        <v>0.22962756095547679</v>
      </c>
      <c r="M114" s="19">
        <f t="shared" ref="M114:M177" si="48">lmb_2(G114)</f>
        <v>0.22962756095547679</v>
      </c>
      <c r="N114" s="19">
        <f t="shared" ref="N114:N177" si="49">lmb_2(H114)</f>
        <v>0.22962756095547679</v>
      </c>
      <c r="O114" s="17"/>
      <c r="P114" s="19">
        <f t="shared" si="35"/>
        <v>219.04952257894752</v>
      </c>
      <c r="Q114" s="19">
        <f t="shared" si="21"/>
        <v>323.03420508333943</v>
      </c>
      <c r="R114" s="19">
        <f t="shared" si="22"/>
        <v>0</v>
      </c>
      <c r="S114" s="19">
        <f t="shared" si="23"/>
        <v>0</v>
      </c>
      <c r="T114" s="19">
        <f t="shared" si="24"/>
        <v>0</v>
      </c>
      <c r="U114" s="17"/>
      <c r="V114" s="19">
        <f t="shared" ref="V114:V177" si="50">SUM(P114:T114)</f>
        <v>542.08372766228695</v>
      </c>
      <c r="W114" s="17"/>
      <c r="X114" s="19">
        <f t="shared" ref="X114:X177" si="51">(V114-C114)^2</f>
        <v>106.04916777277403</v>
      </c>
      <c r="Y114" s="19">
        <f t="shared" ref="Y114:Y177" si="52">ABS(V114-C114)</f>
        <v>10.298017662286952</v>
      </c>
      <c r="Z114" s="19"/>
      <c r="AA114" s="19">
        <f t="shared" ref="AA114:AA177" si="53">Y114/$Z$39</f>
        <v>6.6926624998602503E-5</v>
      </c>
      <c r="AB114" s="17"/>
    </row>
    <row r="115" spans="2:28" x14ac:dyDescent="0.35">
      <c r="B115" s="27">
        <v>7.7</v>
      </c>
      <c r="C115" s="19">
        <v>546.53570999999999</v>
      </c>
      <c r="D115" s="19">
        <f t="shared" si="40"/>
        <v>17.918345697858364</v>
      </c>
      <c r="E115" s="19">
        <f t="shared" si="41"/>
        <v>-1.2885424203181874</v>
      </c>
      <c r="F115" s="19">
        <f t="shared" si="42"/>
        <v>-1.2305579106695528</v>
      </c>
      <c r="G115" s="19">
        <f t="shared" si="43"/>
        <v>-1.2305579106695528</v>
      </c>
      <c r="H115" s="19">
        <f t="shared" si="44"/>
        <v>-1.2305579106695528</v>
      </c>
      <c r="I115" s="17"/>
      <c r="J115" s="19">
        <f t="shared" si="45"/>
        <v>15.197232367659911</v>
      </c>
      <c r="K115" s="19">
        <f t="shared" si="46"/>
        <v>0.22100907855509855</v>
      </c>
      <c r="L115" s="19">
        <f t="shared" si="47"/>
        <v>0.23171014646092541</v>
      </c>
      <c r="M115" s="19">
        <f t="shared" si="48"/>
        <v>0.23171014646092541</v>
      </c>
      <c r="N115" s="19">
        <f t="shared" si="49"/>
        <v>0.23171014646092541</v>
      </c>
      <c r="O115" s="17"/>
      <c r="P115" s="19">
        <f t="shared" si="35"/>
        <v>215.38308595678987</v>
      </c>
      <c r="Q115" s="19">
        <f t="shared" si="21"/>
        <v>321.12586038166518</v>
      </c>
      <c r="R115" s="19">
        <f t="shared" si="22"/>
        <v>0</v>
      </c>
      <c r="S115" s="19">
        <f t="shared" si="23"/>
        <v>0</v>
      </c>
      <c r="T115" s="19">
        <f t="shared" si="24"/>
        <v>0</v>
      </c>
      <c r="U115" s="17"/>
      <c r="V115" s="19">
        <f t="shared" si="50"/>
        <v>536.50894633845508</v>
      </c>
      <c r="W115" s="17"/>
      <c r="X115" s="19">
        <f t="shared" si="51"/>
        <v>100.53598952447767</v>
      </c>
      <c r="Y115" s="19">
        <f t="shared" si="52"/>
        <v>10.026763661544919</v>
      </c>
      <c r="Z115" s="19"/>
      <c r="AA115" s="19">
        <f t="shared" si="53"/>
        <v>6.5163750299570276E-5</v>
      </c>
      <c r="AB115" s="17"/>
    </row>
    <row r="116" spans="2:28" x14ac:dyDescent="0.35">
      <c r="B116" s="27">
        <v>7.8</v>
      </c>
      <c r="C116" s="19">
        <v>517.28570999999999</v>
      </c>
      <c r="D116" s="19">
        <f t="shared" si="40"/>
        <v>18.058845036280854</v>
      </c>
      <c r="E116" s="19">
        <f t="shared" si="41"/>
        <v>-1.2824174914910651</v>
      </c>
      <c r="F116" s="19">
        <f t="shared" si="42"/>
        <v>-1.2194467995584417</v>
      </c>
      <c r="G116" s="19">
        <f t="shared" si="43"/>
        <v>-1.2194467995584417</v>
      </c>
      <c r="H116" s="19">
        <f t="shared" si="44"/>
        <v>-1.2194467995584417</v>
      </c>
      <c r="I116" s="17"/>
      <c r="J116" s="19">
        <f t="shared" si="45"/>
        <v>15.329092540179891</v>
      </c>
      <c r="K116" s="19">
        <f t="shared" si="46"/>
        <v>0.2221200020206329</v>
      </c>
      <c r="L116" s="19">
        <f t="shared" si="47"/>
        <v>0.23380804049476264</v>
      </c>
      <c r="M116" s="19">
        <f t="shared" si="48"/>
        <v>0.23380804049476264</v>
      </c>
      <c r="N116" s="19">
        <f t="shared" si="49"/>
        <v>0.23380804049476264</v>
      </c>
      <c r="O116" s="17"/>
      <c r="P116" s="19">
        <f t="shared" si="35"/>
        <v>211.80607652319301</v>
      </c>
      <c r="Q116" s="19">
        <f t="shared" si="21"/>
        <v>319.22931570163837</v>
      </c>
      <c r="R116" s="19">
        <f t="shared" si="22"/>
        <v>0</v>
      </c>
      <c r="S116" s="19">
        <f t="shared" si="23"/>
        <v>0</v>
      </c>
      <c r="T116" s="19">
        <f t="shared" si="24"/>
        <v>0</v>
      </c>
      <c r="U116" s="17"/>
      <c r="V116" s="19">
        <f t="shared" si="50"/>
        <v>531.03539222483141</v>
      </c>
      <c r="W116" s="17"/>
      <c r="X116" s="19">
        <f t="shared" si="51"/>
        <v>189.05376128384503</v>
      </c>
      <c r="Y116" s="19">
        <f t="shared" si="52"/>
        <v>13.749682224831417</v>
      </c>
      <c r="Z116" s="19"/>
      <c r="AA116" s="19">
        <f t="shared" si="53"/>
        <v>8.9358928707341452E-5</v>
      </c>
      <c r="AB116" s="17"/>
    </row>
    <row r="117" spans="2:28" x14ac:dyDescent="0.35">
      <c r="B117" s="27">
        <v>7.9</v>
      </c>
      <c r="C117" s="19">
        <v>527.03570999999999</v>
      </c>
      <c r="D117" s="19">
        <f t="shared" si="40"/>
        <v>18.199344374703344</v>
      </c>
      <c r="E117" s="19">
        <f t="shared" si="41"/>
        <v>-1.2762925626639428</v>
      </c>
      <c r="F117" s="19">
        <f t="shared" si="42"/>
        <v>-1.2083356884473306</v>
      </c>
      <c r="G117" s="19">
        <f t="shared" si="43"/>
        <v>-1.2083356884473306</v>
      </c>
      <c r="H117" s="19">
        <f t="shared" si="44"/>
        <v>-1.2083356884473306</v>
      </c>
      <c r="I117" s="17"/>
      <c r="J117" s="19">
        <f t="shared" si="45"/>
        <v>15.461022213819207</v>
      </c>
      <c r="K117" s="19">
        <f t="shared" si="46"/>
        <v>0.22323549056112191</v>
      </c>
      <c r="L117" s="19">
        <f t="shared" si="47"/>
        <v>0.23592130299701713</v>
      </c>
      <c r="M117" s="19">
        <f t="shared" si="48"/>
        <v>0.23592130299701713</v>
      </c>
      <c r="N117" s="19">
        <f t="shared" si="49"/>
        <v>0.23592130299701713</v>
      </c>
      <c r="O117" s="17"/>
      <c r="P117" s="19">
        <f t="shared" si="35"/>
        <v>208.31565406739969</v>
      </c>
      <c r="Q117" s="19">
        <f t="shared" si="21"/>
        <v>317.34449847193196</v>
      </c>
      <c r="R117" s="19">
        <f t="shared" si="22"/>
        <v>0</v>
      </c>
      <c r="S117" s="19">
        <f t="shared" si="23"/>
        <v>0</v>
      </c>
      <c r="T117" s="19">
        <f t="shared" si="24"/>
        <v>0</v>
      </c>
      <c r="U117" s="17"/>
      <c r="V117" s="19">
        <f t="shared" si="50"/>
        <v>525.66015253933165</v>
      </c>
      <c r="W117" s="17"/>
      <c r="X117" s="19">
        <f t="shared" si="51"/>
        <v>1.8921583276003502</v>
      </c>
      <c r="Y117" s="19">
        <f t="shared" si="52"/>
        <v>1.3755574606683467</v>
      </c>
      <c r="Z117" s="19"/>
      <c r="AA117" s="19">
        <f t="shared" si="53"/>
        <v>8.9397223187259166E-6</v>
      </c>
      <c r="AB117" s="17"/>
    </row>
    <row r="118" spans="2:28" x14ac:dyDescent="0.35">
      <c r="B118" s="27">
        <v>8</v>
      </c>
      <c r="C118" s="19">
        <v>513.53570999999999</v>
      </c>
      <c r="D118" s="19">
        <f t="shared" si="40"/>
        <v>18.339843713125838</v>
      </c>
      <c r="E118" s="19">
        <f t="shared" si="41"/>
        <v>-1.2701676338368206</v>
      </c>
      <c r="F118" s="19">
        <f t="shared" si="42"/>
        <v>-1.1972245773362196</v>
      </c>
      <c r="G118" s="19">
        <f t="shared" si="43"/>
        <v>-1.1972245773362196</v>
      </c>
      <c r="H118" s="19">
        <f t="shared" si="44"/>
        <v>-1.1972245773362196</v>
      </c>
      <c r="I118" s="17"/>
      <c r="J118" s="19">
        <f t="shared" si="45"/>
        <v>15.593020314714082</v>
      </c>
      <c r="K118" s="19">
        <f t="shared" si="46"/>
        <v>0.22435555456220674</v>
      </c>
      <c r="L118" s="19">
        <f t="shared" si="47"/>
        <v>0.2380499934635783</v>
      </c>
      <c r="M118" s="19">
        <f t="shared" si="48"/>
        <v>0.2380499934635783</v>
      </c>
      <c r="N118" s="19">
        <f t="shared" si="49"/>
        <v>0.2380499934635783</v>
      </c>
      <c r="O118" s="17"/>
      <c r="P118" s="19">
        <f t="shared" si="35"/>
        <v>204.90908884230714</v>
      </c>
      <c r="Q118" s="19">
        <f t="shared" si="21"/>
        <v>315.47133655863479</v>
      </c>
      <c r="R118" s="19">
        <f t="shared" si="22"/>
        <v>0</v>
      </c>
      <c r="S118" s="19">
        <f t="shared" si="23"/>
        <v>0</v>
      </c>
      <c r="T118" s="19">
        <f t="shared" si="24"/>
        <v>0</v>
      </c>
      <c r="U118" s="17"/>
      <c r="V118" s="19">
        <f t="shared" si="50"/>
        <v>520.38042540094193</v>
      </c>
      <c r="W118" s="17"/>
      <c r="X118" s="19">
        <f t="shared" si="51"/>
        <v>46.850128919891731</v>
      </c>
      <c r="Y118" s="19">
        <f t="shared" si="52"/>
        <v>6.8447154009419364</v>
      </c>
      <c r="Z118" s="19"/>
      <c r="AA118" s="19">
        <f t="shared" si="53"/>
        <v>4.4483677915859009E-5</v>
      </c>
      <c r="AB118" s="17"/>
    </row>
    <row r="119" spans="2:28" x14ac:dyDescent="0.35">
      <c r="B119" s="27">
        <v>8.1</v>
      </c>
      <c r="C119" s="19">
        <v>509.53570999999999</v>
      </c>
      <c r="D119" s="19">
        <f t="shared" si="40"/>
        <v>18.480343051548324</v>
      </c>
      <c r="E119" s="19">
        <f t="shared" si="41"/>
        <v>-1.2640427050096983</v>
      </c>
      <c r="F119" s="19">
        <f t="shared" si="42"/>
        <v>-1.1861134662251085</v>
      </c>
      <c r="G119" s="19">
        <f t="shared" si="43"/>
        <v>-1.1861134662251085</v>
      </c>
      <c r="H119" s="19">
        <f t="shared" si="44"/>
        <v>-1.1861134662251085</v>
      </c>
      <c r="I119" s="17"/>
      <c r="J119" s="19">
        <f t="shared" si="45"/>
        <v>15.725085793133552</v>
      </c>
      <c r="K119" s="19">
        <f t="shared" si="46"/>
        <v>0.22548020437220229</v>
      </c>
      <c r="L119" s="19">
        <f t="shared" si="47"/>
        <v>0.24019417093857987</v>
      </c>
      <c r="M119" s="19">
        <f t="shared" si="48"/>
        <v>0.24019417093857987</v>
      </c>
      <c r="N119" s="19">
        <f t="shared" si="49"/>
        <v>0.24019417093857987</v>
      </c>
      <c r="O119" s="17"/>
      <c r="P119" s="19">
        <f t="shared" si="35"/>
        <v>201.58375650328827</v>
      </c>
      <c r="Q119" s="19">
        <f t="shared" ref="Q119:Q182" si="54">(D$21*D$23/(1-D$23)^2*$A$21*D$22)/(K119+K119^2)</f>
        <v>313.60975826260028</v>
      </c>
      <c r="R119" s="19">
        <f t="shared" ref="R119:R182" si="55">(E$21*E$23/(1-E$23)^2*$A$21*E$22)/(L119+L119^2)</f>
        <v>0</v>
      </c>
      <c r="S119" s="19">
        <f t="shared" ref="S119:S182" si="56">(F$21*F$23/(1-F$23)^2*$A$21*F$22)/(M119+M119^2)</f>
        <v>0</v>
      </c>
      <c r="T119" s="19">
        <f t="shared" ref="T119:T182" si="57">(G$21*G$23/(1-G$23)^2*$A$21*G$22)/(N119+N119^2)</f>
        <v>0</v>
      </c>
      <c r="U119" s="17"/>
      <c r="V119" s="19">
        <f t="shared" si="50"/>
        <v>515.19351476588849</v>
      </c>
      <c r="W119" s="17"/>
      <c r="X119" s="19">
        <f t="shared" si="51"/>
        <v>32.010754768910623</v>
      </c>
      <c r="Y119" s="19">
        <f t="shared" si="52"/>
        <v>5.6578047658884998</v>
      </c>
      <c r="Z119" s="19"/>
      <c r="AA119" s="19">
        <f t="shared" si="53"/>
        <v>3.6769967803476702E-5</v>
      </c>
      <c r="AB119" s="17"/>
    </row>
    <row r="120" spans="2:28" x14ac:dyDescent="0.35">
      <c r="B120" s="27">
        <v>8.1999999999999993</v>
      </c>
      <c r="C120" s="19">
        <v>514.03570999999999</v>
      </c>
      <c r="D120" s="19">
        <f t="shared" si="40"/>
        <v>18.620842389970818</v>
      </c>
      <c r="E120" s="19">
        <f t="shared" si="41"/>
        <v>-1.2579177761825759</v>
      </c>
      <c r="F120" s="19">
        <f t="shared" si="42"/>
        <v>-1.1750023551139974</v>
      </c>
      <c r="G120" s="19">
        <f t="shared" si="43"/>
        <v>-1.1750023551139974</v>
      </c>
      <c r="H120" s="19">
        <f t="shared" si="44"/>
        <v>-1.1750023551139974</v>
      </c>
      <c r="I120" s="17"/>
      <c r="J120" s="19">
        <f t="shared" si="45"/>
        <v>15.85721762277513</v>
      </c>
      <c r="K120" s="19">
        <f t="shared" si="46"/>
        <v>0.22660945030169358</v>
      </c>
      <c r="L120" s="19">
        <f t="shared" si="47"/>
        <v>0.24235389400684992</v>
      </c>
      <c r="M120" s="19">
        <f t="shared" si="48"/>
        <v>0.24235389400684992</v>
      </c>
      <c r="N120" s="19">
        <f t="shared" si="49"/>
        <v>0.24235389400684992</v>
      </c>
      <c r="O120" s="17"/>
      <c r="P120" s="19">
        <f t="shared" si="35"/>
        <v>198.33713331299791</v>
      </c>
      <c r="Q120" s="19">
        <f t="shared" si="54"/>
        <v>311.75969231681165</v>
      </c>
      <c r="R120" s="19">
        <f t="shared" si="55"/>
        <v>0</v>
      </c>
      <c r="S120" s="19">
        <f t="shared" si="56"/>
        <v>0</v>
      </c>
      <c r="T120" s="19">
        <f t="shared" si="57"/>
        <v>0</v>
      </c>
      <c r="U120" s="17"/>
      <c r="V120" s="19">
        <f t="shared" si="50"/>
        <v>510.09682562980959</v>
      </c>
      <c r="W120" s="17"/>
      <c r="X120" s="19">
        <f t="shared" si="51"/>
        <v>15.514810081730287</v>
      </c>
      <c r="Y120" s="19">
        <f t="shared" si="52"/>
        <v>3.9388843701904079</v>
      </c>
      <c r="Z120" s="19"/>
      <c r="AA120" s="19">
        <f t="shared" si="53"/>
        <v>2.559873616472774E-5</v>
      </c>
      <c r="AB120" s="17"/>
    </row>
    <row r="121" spans="2:28" x14ac:dyDescent="0.35">
      <c r="B121" s="27">
        <v>8.3000000000000007</v>
      </c>
      <c r="C121" s="19">
        <v>503.78570999999999</v>
      </c>
      <c r="D121" s="19">
        <f t="shared" si="40"/>
        <v>18.761341728393312</v>
      </c>
      <c r="E121" s="19">
        <f t="shared" si="41"/>
        <v>-1.2517928473554538</v>
      </c>
      <c r="F121" s="19">
        <f t="shared" si="42"/>
        <v>-1.1638912440028861</v>
      </c>
      <c r="G121" s="19">
        <f t="shared" si="43"/>
        <v>-1.1638912440028861</v>
      </c>
      <c r="H121" s="19">
        <f t="shared" si="44"/>
        <v>-1.1638912440028861</v>
      </c>
      <c r="I121" s="17"/>
      <c r="J121" s="19">
        <f t="shared" si="45"/>
        <v>15.989414800085491</v>
      </c>
      <c r="K121" s="19">
        <f t="shared" si="46"/>
        <v>0.22774330262313375</v>
      </c>
      <c r="L121" s="19">
        <f t="shared" si="47"/>
        <v>0.24452922078642958</v>
      </c>
      <c r="M121" s="19">
        <f t="shared" si="48"/>
        <v>0.24452922078642958</v>
      </c>
      <c r="N121" s="19">
        <f t="shared" si="49"/>
        <v>0.24452922078642958</v>
      </c>
      <c r="O121" s="17"/>
      <c r="P121" s="19">
        <f t="shared" si="35"/>
        <v>195.16679159644184</v>
      </c>
      <c r="Q121" s="19">
        <f t="shared" si="54"/>
        <v>309.92106788376464</v>
      </c>
      <c r="R121" s="19">
        <f t="shared" si="55"/>
        <v>0</v>
      </c>
      <c r="S121" s="19">
        <f t="shared" si="56"/>
        <v>0</v>
      </c>
      <c r="T121" s="19">
        <f t="shared" si="57"/>
        <v>0</v>
      </c>
      <c r="U121" s="17"/>
      <c r="V121" s="19">
        <f t="shared" si="50"/>
        <v>505.08785948020648</v>
      </c>
      <c r="W121" s="17"/>
      <c r="X121" s="19">
        <f t="shared" si="51"/>
        <v>1.6955932688020081</v>
      </c>
      <c r="Y121" s="19">
        <f t="shared" si="52"/>
        <v>1.3021494802064808</v>
      </c>
      <c r="Z121" s="19"/>
      <c r="AA121" s="19">
        <f t="shared" si="53"/>
        <v>8.4626452208424982E-6</v>
      </c>
      <c r="AB121" s="17"/>
    </row>
    <row r="122" spans="2:28" x14ac:dyDescent="0.35">
      <c r="B122" s="27">
        <v>8.4</v>
      </c>
      <c r="C122" s="19">
        <v>506.78570999999999</v>
      </c>
      <c r="D122" s="19">
        <f t="shared" si="40"/>
        <v>18.901841066815798</v>
      </c>
      <c r="E122" s="19">
        <f t="shared" si="41"/>
        <v>-1.2456679185283315</v>
      </c>
      <c r="F122" s="19">
        <f t="shared" si="42"/>
        <v>-1.1527801328917751</v>
      </c>
      <c r="G122" s="19">
        <f t="shared" si="43"/>
        <v>-1.1527801328917751</v>
      </c>
      <c r="H122" s="19">
        <f t="shared" si="44"/>
        <v>-1.1527801328917751</v>
      </c>
      <c r="I122" s="17"/>
      <c r="J122" s="19">
        <f t="shared" si="45"/>
        <v>16.121676343605273</v>
      </c>
      <c r="K122" s="19">
        <f t="shared" si="46"/>
        <v>0.22888177157044415</v>
      </c>
      <c r="L122" s="19">
        <f t="shared" si="47"/>
        <v>0.24672020892116217</v>
      </c>
      <c r="M122" s="19">
        <f t="shared" si="48"/>
        <v>0.24672020892116217</v>
      </c>
      <c r="N122" s="19">
        <f t="shared" si="49"/>
        <v>0.24672020892116217</v>
      </c>
      <c r="O122" s="17"/>
      <c r="P122" s="19">
        <f t="shared" si="35"/>
        <v>192.07039543161184</v>
      </c>
      <c r="Q122" s="19">
        <f t="shared" si="54"/>
        <v>308.09381455286479</v>
      </c>
      <c r="R122" s="19">
        <f t="shared" si="55"/>
        <v>0</v>
      </c>
      <c r="S122" s="19">
        <f t="shared" si="56"/>
        <v>0</v>
      </c>
      <c r="T122" s="19">
        <f t="shared" si="57"/>
        <v>0</v>
      </c>
      <c r="U122" s="17"/>
      <c r="V122" s="19">
        <f t="shared" si="50"/>
        <v>500.16420998447666</v>
      </c>
      <c r="W122" s="17"/>
      <c r="X122" s="19">
        <f t="shared" si="51"/>
        <v>43.844262455575567</v>
      </c>
      <c r="Y122" s="19">
        <f t="shared" si="52"/>
        <v>6.6215000155233383</v>
      </c>
      <c r="Z122" s="19"/>
      <c r="AA122" s="19">
        <f t="shared" si="53"/>
        <v>4.3033005283150456E-5</v>
      </c>
      <c r="AB122" s="17"/>
    </row>
    <row r="123" spans="2:28" x14ac:dyDescent="0.35">
      <c r="B123" s="27">
        <v>8.5</v>
      </c>
      <c r="C123" s="19">
        <v>489.03570999999999</v>
      </c>
      <c r="D123" s="19">
        <f t="shared" si="40"/>
        <v>19.042340405238292</v>
      </c>
      <c r="E123" s="19">
        <f t="shared" si="41"/>
        <v>-1.2395429897012091</v>
      </c>
      <c r="F123" s="19">
        <f t="shared" si="42"/>
        <v>-1.1416690217806638</v>
      </c>
      <c r="G123" s="19">
        <f t="shared" si="43"/>
        <v>-1.1416690217806638</v>
      </c>
      <c r="H123" s="19">
        <f t="shared" si="44"/>
        <v>-1.1416690217806638</v>
      </c>
      <c r="I123" s="17"/>
      <c r="J123" s="19">
        <f t="shared" si="45"/>
        <v>16.254001293336906</v>
      </c>
      <c r="K123" s="19">
        <f t="shared" si="46"/>
        <v>0.23002486733861446</v>
      </c>
      <c r="L123" s="19">
        <f t="shared" si="47"/>
        <v>0.24892691557335703</v>
      </c>
      <c r="M123" s="19">
        <f t="shared" si="48"/>
        <v>0.24892691557335703</v>
      </c>
      <c r="N123" s="19">
        <f t="shared" si="49"/>
        <v>0.24892691557335703</v>
      </c>
      <c r="O123" s="17"/>
      <c r="P123" s="19">
        <f t="shared" si="35"/>
        <v>189.04569656195022</v>
      </c>
      <c r="Q123" s="19">
        <f t="shared" si="54"/>
        <v>306.277862337844</v>
      </c>
      <c r="R123" s="19">
        <f t="shared" si="55"/>
        <v>0</v>
      </c>
      <c r="S123" s="19">
        <f t="shared" si="56"/>
        <v>0</v>
      </c>
      <c r="T123" s="19">
        <f t="shared" si="57"/>
        <v>0</v>
      </c>
      <c r="U123" s="17"/>
      <c r="V123" s="19">
        <f t="shared" si="50"/>
        <v>495.32355889979419</v>
      </c>
      <c r="W123" s="17"/>
      <c r="X123" s="19">
        <f t="shared" si="51"/>
        <v>39.53704378664311</v>
      </c>
      <c r="Y123" s="19">
        <f t="shared" si="52"/>
        <v>6.2878488997941986</v>
      </c>
      <c r="Z123" s="19"/>
      <c r="AA123" s="19">
        <f t="shared" si="53"/>
        <v>4.0864612895890703E-5</v>
      </c>
      <c r="AB123" s="17"/>
    </row>
    <row r="124" spans="2:28" x14ac:dyDescent="0.35">
      <c r="B124" s="27">
        <v>8.6</v>
      </c>
      <c r="C124" s="19">
        <v>485.53570999999999</v>
      </c>
      <c r="D124" s="19">
        <f t="shared" si="40"/>
        <v>19.182839743660779</v>
      </c>
      <c r="E124" s="19">
        <f t="shared" si="41"/>
        <v>-1.233418060874087</v>
      </c>
      <c r="F124" s="19">
        <f t="shared" si="42"/>
        <v>-1.1305579106695529</v>
      </c>
      <c r="G124" s="19">
        <f t="shared" si="43"/>
        <v>-1.1305579106695529</v>
      </c>
      <c r="H124" s="19">
        <f t="shared" si="44"/>
        <v>-1.1305579106695529</v>
      </c>
      <c r="I124" s="17"/>
      <c r="J124" s="19">
        <f t="shared" si="45"/>
        <v>16.38638871013449</v>
      </c>
      <c r="K124" s="19">
        <f t="shared" si="46"/>
        <v>0.23117260008330612</v>
      </c>
      <c r="L124" s="19">
        <f t="shared" si="47"/>
        <v>0.25114939741652836</v>
      </c>
      <c r="M124" s="19">
        <f t="shared" si="48"/>
        <v>0.25114939741652836</v>
      </c>
      <c r="N124" s="19">
        <f t="shared" si="49"/>
        <v>0.25114939741652836</v>
      </c>
      <c r="O124" s="17"/>
      <c r="P124" s="19">
        <f t="shared" si="35"/>
        <v>186.0905305177962</v>
      </c>
      <c r="Q124" s="19">
        <f t="shared" si="54"/>
        <v>304.47314167419091</v>
      </c>
      <c r="R124" s="19">
        <f t="shared" si="55"/>
        <v>0</v>
      </c>
      <c r="S124" s="19">
        <f t="shared" si="56"/>
        <v>0</v>
      </c>
      <c r="T124" s="19">
        <f t="shared" si="57"/>
        <v>0</v>
      </c>
      <c r="U124" s="17"/>
      <c r="V124" s="19">
        <f t="shared" si="50"/>
        <v>490.56367219198711</v>
      </c>
      <c r="W124" s="17"/>
      <c r="X124" s="19">
        <f t="shared" si="51"/>
        <v>25.280403804051872</v>
      </c>
      <c r="Y124" s="19">
        <f t="shared" si="52"/>
        <v>5.0279621919871147</v>
      </c>
      <c r="Z124" s="19"/>
      <c r="AA124" s="19">
        <f t="shared" si="53"/>
        <v>3.2676632645776908E-5</v>
      </c>
      <c r="AB124" s="17"/>
    </row>
    <row r="125" spans="2:28" x14ac:dyDescent="0.35">
      <c r="B125" s="27">
        <v>8.6999999999999993</v>
      </c>
      <c r="C125" s="19">
        <v>492.28570999999999</v>
      </c>
      <c r="D125" s="19">
        <f t="shared" si="40"/>
        <v>19.323339082083272</v>
      </c>
      <c r="E125" s="19">
        <f t="shared" si="41"/>
        <v>-1.2272931320469647</v>
      </c>
      <c r="F125" s="19">
        <f t="shared" si="42"/>
        <v>-1.1194467995584416</v>
      </c>
      <c r="G125" s="19">
        <f t="shared" si="43"/>
        <v>-1.1194467995584416</v>
      </c>
      <c r="H125" s="19">
        <f t="shared" si="44"/>
        <v>-1.1194467995584416</v>
      </c>
      <c r="I125" s="17"/>
      <c r="J125" s="19">
        <f t="shared" si="45"/>
        <v>16.518837675114941</v>
      </c>
      <c r="K125" s="19">
        <f t="shared" si="46"/>
        <v>0.2323249799204562</v>
      </c>
      <c r="L125" s="19">
        <f t="shared" si="47"/>
        <v>0.25338771062821352</v>
      </c>
      <c r="M125" s="19">
        <f t="shared" si="48"/>
        <v>0.25338771062821352</v>
      </c>
      <c r="N125" s="19">
        <f t="shared" si="49"/>
        <v>0.25338771062821352</v>
      </c>
      <c r="O125" s="17"/>
      <c r="P125" s="19">
        <f t="shared" si="35"/>
        <v>183.20281293478567</v>
      </c>
      <c r="Q125" s="19">
        <f t="shared" si="54"/>
        <v>302.67958341659892</v>
      </c>
      <c r="R125" s="19">
        <f t="shared" si="55"/>
        <v>0</v>
      </c>
      <c r="S125" s="19">
        <f t="shared" si="56"/>
        <v>0</v>
      </c>
      <c r="T125" s="19">
        <f t="shared" si="57"/>
        <v>0</v>
      </c>
      <c r="U125" s="17"/>
      <c r="V125" s="19">
        <f t="shared" si="50"/>
        <v>485.88239635138461</v>
      </c>
      <c r="W125" s="17"/>
      <c r="X125" s="19">
        <f t="shared" si="51"/>
        <v>41.002425682544022</v>
      </c>
      <c r="Y125" s="19">
        <f t="shared" si="52"/>
        <v>6.4033136486153808</v>
      </c>
      <c r="Z125" s="19"/>
      <c r="AA125" s="19">
        <f t="shared" si="53"/>
        <v>4.1615016148082926E-5</v>
      </c>
      <c r="AB125" s="17"/>
    </row>
    <row r="126" spans="2:28" x14ac:dyDescent="0.35">
      <c r="B126" s="27">
        <v>8.8000000000000007</v>
      </c>
      <c r="C126" s="19">
        <v>482.78570999999999</v>
      </c>
      <c r="D126" s="19">
        <f t="shared" si="40"/>
        <v>19.463838420505763</v>
      </c>
      <c r="E126" s="19">
        <f t="shared" si="41"/>
        <v>-1.2211682032198423</v>
      </c>
      <c r="F126" s="19">
        <f t="shared" si="42"/>
        <v>-1.1083356884473305</v>
      </c>
      <c r="G126" s="19">
        <f t="shared" si="43"/>
        <v>-1.1083356884473305</v>
      </c>
      <c r="H126" s="19">
        <f t="shared" si="44"/>
        <v>-1.1083356884473305</v>
      </c>
      <c r="I126" s="17"/>
      <c r="J126" s="19">
        <f t="shared" si="45"/>
        <v>16.65134728908939</v>
      </c>
      <c r="K126" s="19">
        <f t="shared" si="46"/>
        <v>0.23348201692588333</v>
      </c>
      <c r="L126" s="19">
        <f t="shared" si="47"/>
        <v>0.2556419108828713</v>
      </c>
      <c r="M126" s="19">
        <f t="shared" si="48"/>
        <v>0.2556419108828713</v>
      </c>
      <c r="N126" s="19">
        <f t="shared" si="49"/>
        <v>0.2556419108828713</v>
      </c>
      <c r="O126" s="17"/>
      <c r="P126" s="19">
        <f t="shared" si="35"/>
        <v>180.38053605795085</v>
      </c>
      <c r="Q126" s="19">
        <f t="shared" si="54"/>
        <v>300.89711883643008</v>
      </c>
      <c r="R126" s="19">
        <f t="shared" si="55"/>
        <v>0</v>
      </c>
      <c r="S126" s="19">
        <f t="shared" si="56"/>
        <v>0</v>
      </c>
      <c r="T126" s="19">
        <f t="shared" si="57"/>
        <v>0</v>
      </c>
      <c r="U126" s="17"/>
      <c r="V126" s="19">
        <f t="shared" si="50"/>
        <v>481.27765489438093</v>
      </c>
      <c r="W126" s="17"/>
      <c r="X126" s="19">
        <f t="shared" si="51"/>
        <v>2.2742302015837272</v>
      </c>
      <c r="Y126" s="19">
        <f t="shared" si="52"/>
        <v>1.5080551056190643</v>
      </c>
      <c r="Z126" s="19"/>
      <c r="AA126" s="19">
        <f t="shared" si="53"/>
        <v>9.8008220456461121E-6</v>
      </c>
      <c r="AB126" s="17"/>
    </row>
    <row r="127" spans="2:28" x14ac:dyDescent="0.35">
      <c r="B127" s="27">
        <v>8.9</v>
      </c>
      <c r="C127" s="19">
        <v>467.53570999999999</v>
      </c>
      <c r="D127" s="19">
        <f t="shared" si="40"/>
        <v>19.604337758928253</v>
      </c>
      <c r="E127" s="19">
        <f t="shared" si="41"/>
        <v>-1.2150432743927202</v>
      </c>
      <c r="F127" s="19">
        <f t="shared" si="42"/>
        <v>-1.0972245773362195</v>
      </c>
      <c r="G127" s="19">
        <f t="shared" si="43"/>
        <v>-1.0972245773362195</v>
      </c>
      <c r="H127" s="19">
        <f t="shared" si="44"/>
        <v>-1.0972245773362195</v>
      </c>
      <c r="I127" s="17"/>
      <c r="J127" s="19">
        <f t="shared" si="45"/>
        <v>16.783916672014108</v>
      </c>
      <c r="K127" s="19">
        <f t="shared" si="46"/>
        <v>0.23464372113489515</v>
      </c>
      <c r="L127" s="19">
        <f t="shared" si="47"/>
        <v>0.25791205334486411</v>
      </c>
      <c r="M127" s="19">
        <f t="shared" si="48"/>
        <v>0.25791205334486411</v>
      </c>
      <c r="N127" s="19">
        <f t="shared" si="49"/>
        <v>0.25791205334486411</v>
      </c>
      <c r="O127" s="17"/>
      <c r="P127" s="19">
        <f t="shared" si="35"/>
        <v>177.62176542097438</v>
      </c>
      <c r="Q127" s="19">
        <f t="shared" si="54"/>
        <v>299.12567961919501</v>
      </c>
      <c r="R127" s="19">
        <f t="shared" si="55"/>
        <v>0</v>
      </c>
      <c r="S127" s="19">
        <f t="shared" si="56"/>
        <v>0</v>
      </c>
      <c r="T127" s="19">
        <f t="shared" si="57"/>
        <v>0</v>
      </c>
      <c r="U127" s="17"/>
      <c r="V127" s="19">
        <f t="shared" si="50"/>
        <v>476.7474450401694</v>
      </c>
      <c r="W127" s="17"/>
      <c r="X127" s="19">
        <f t="shared" si="51"/>
        <v>84.856062450284753</v>
      </c>
      <c r="Y127" s="19">
        <f t="shared" si="52"/>
        <v>9.2117350401694011</v>
      </c>
      <c r="Z127" s="19"/>
      <c r="AA127" s="19">
        <f t="shared" si="53"/>
        <v>5.9866894468210822E-5</v>
      </c>
      <c r="AB127" s="17"/>
    </row>
    <row r="128" spans="2:28" x14ac:dyDescent="0.35">
      <c r="B128" s="27">
        <v>9</v>
      </c>
      <c r="C128" s="19">
        <v>485.03570999999999</v>
      </c>
      <c r="D128" s="19">
        <f t="shared" si="40"/>
        <v>19.744837097350747</v>
      </c>
      <c r="E128" s="19">
        <f t="shared" si="41"/>
        <v>-1.2089183455655979</v>
      </c>
      <c r="F128" s="19">
        <f t="shared" si="42"/>
        <v>-1.0861134662251084</v>
      </c>
      <c r="G128" s="19">
        <f t="shared" si="43"/>
        <v>-1.0861134662251084</v>
      </c>
      <c r="H128" s="19">
        <f t="shared" si="44"/>
        <v>-1.0861134662251084</v>
      </c>
      <c r="I128" s="17"/>
      <c r="J128" s="19">
        <f t="shared" si="45"/>
        <v>16.916544962460168</v>
      </c>
      <c r="K128" s="19">
        <f t="shared" si="46"/>
        <v>0.23581010254189808</v>
      </c>
      <c r="L128" s="19">
        <f t="shared" si="47"/>
        <v>0.26019819266152577</v>
      </c>
      <c r="M128" s="19">
        <f t="shared" si="48"/>
        <v>0.26019819266152577</v>
      </c>
      <c r="N128" s="19">
        <f t="shared" si="49"/>
        <v>0.26019819266152577</v>
      </c>
      <c r="O128" s="17"/>
      <c r="P128" s="19">
        <f t="shared" si="35"/>
        <v>174.92463669071708</v>
      </c>
      <c r="Q128" s="19">
        <f t="shared" si="54"/>
        <v>297.36519786204815</v>
      </c>
      <c r="R128" s="19">
        <f t="shared" si="55"/>
        <v>0</v>
      </c>
      <c r="S128" s="19">
        <f t="shared" si="56"/>
        <v>0</v>
      </c>
      <c r="T128" s="19">
        <f t="shared" si="57"/>
        <v>0</v>
      </c>
      <c r="U128" s="17"/>
      <c r="V128" s="19">
        <f t="shared" si="50"/>
        <v>472.28983455276523</v>
      </c>
      <c r="W128" s="17"/>
      <c r="X128" s="19">
        <f t="shared" si="51"/>
        <v>162.45734091642205</v>
      </c>
      <c r="Y128" s="19">
        <f t="shared" si="52"/>
        <v>12.745875447234766</v>
      </c>
      <c r="Z128" s="19"/>
      <c r="AA128" s="19">
        <f t="shared" si="53"/>
        <v>8.283520715447443E-5</v>
      </c>
      <c r="AB128" s="17"/>
    </row>
    <row r="129" spans="2:28" x14ac:dyDescent="0.35">
      <c r="B129" s="27">
        <v>9.1</v>
      </c>
      <c r="C129" s="19">
        <v>491.28570999999999</v>
      </c>
      <c r="D129" s="19">
        <f t="shared" si="40"/>
        <v>19.885336435773233</v>
      </c>
      <c r="E129" s="19">
        <f t="shared" si="41"/>
        <v>-1.2027934167384755</v>
      </c>
      <c r="F129" s="19">
        <f t="shared" si="42"/>
        <v>-1.0750023551139973</v>
      </c>
      <c r="G129" s="19">
        <f t="shared" si="43"/>
        <v>-1.0750023551139973</v>
      </c>
      <c r="H129" s="19">
        <f t="shared" si="44"/>
        <v>-1.0750023551139973</v>
      </c>
      <c r="I129" s="17"/>
      <c r="J129" s="19">
        <f t="shared" si="45"/>
        <v>17.049231317101018</v>
      </c>
      <c r="K129" s="19">
        <f t="shared" si="46"/>
        <v>0.23698117110000771</v>
      </c>
      <c r="L129" s="19">
        <f t="shared" si="47"/>
        <v>0.26250038295631722</v>
      </c>
      <c r="M129" s="19">
        <f t="shared" si="48"/>
        <v>0.26250038295631722</v>
      </c>
      <c r="N129" s="19">
        <f t="shared" si="49"/>
        <v>0.26250038295631722</v>
      </c>
      <c r="O129" s="17"/>
      <c r="P129" s="19">
        <f t="shared" si="35"/>
        <v>172.28735266776002</v>
      </c>
      <c r="Q129" s="19">
        <f t="shared" si="54"/>
        <v>295.61560607130031</v>
      </c>
      <c r="R129" s="19">
        <f t="shared" si="55"/>
        <v>0</v>
      </c>
      <c r="S129" s="19">
        <f t="shared" si="56"/>
        <v>0</v>
      </c>
      <c r="T129" s="19">
        <f t="shared" si="57"/>
        <v>0</v>
      </c>
      <c r="U129" s="17"/>
      <c r="V129" s="19">
        <f t="shared" si="50"/>
        <v>467.9029587390603</v>
      </c>
      <c r="W129" s="17"/>
      <c r="X129" s="19">
        <f t="shared" si="51"/>
        <v>546.75305653097712</v>
      </c>
      <c r="Y129" s="19">
        <f t="shared" si="52"/>
        <v>23.382751260939699</v>
      </c>
      <c r="Z129" s="19"/>
      <c r="AA129" s="19">
        <f t="shared" si="53"/>
        <v>1.5196406496830348E-4</v>
      </c>
      <c r="AB129" s="17"/>
    </row>
    <row r="130" spans="2:28" x14ac:dyDescent="0.35">
      <c r="B130" s="27">
        <v>9.1999999999999993</v>
      </c>
      <c r="C130" s="19">
        <v>454.28570999999999</v>
      </c>
      <c r="D130" s="19">
        <f t="shared" si="40"/>
        <v>20.025835774195727</v>
      </c>
      <c r="E130" s="19">
        <f t="shared" si="41"/>
        <v>-1.1966684879113534</v>
      </c>
      <c r="F130" s="19">
        <f t="shared" si="42"/>
        <v>-1.0638912440028863</v>
      </c>
      <c r="G130" s="19">
        <f t="shared" si="43"/>
        <v>-1.0638912440028863</v>
      </c>
      <c r="H130" s="19">
        <f t="shared" si="44"/>
        <v>-1.0638912440028863</v>
      </c>
      <c r="I130" s="17"/>
      <c r="J130" s="19">
        <f t="shared" si="45"/>
        <v>17.181974910217374</v>
      </c>
      <c r="K130" s="19">
        <f t="shared" si="46"/>
        <v>0.23815693672066227</v>
      </c>
      <c r="L130" s="19">
        <f t="shared" si="47"/>
        <v>0.26481867782207197</v>
      </c>
      <c r="M130" s="19">
        <f t="shared" si="48"/>
        <v>0.26481867782207197</v>
      </c>
      <c r="N130" s="19">
        <f t="shared" si="49"/>
        <v>0.26481867782207197</v>
      </c>
      <c r="O130" s="17"/>
      <c r="P130" s="19">
        <f t="shared" si="35"/>
        <v>169.70818043427201</v>
      </c>
      <c r="Q130" s="19">
        <f t="shared" si="54"/>
        <v>293.87683715994552</v>
      </c>
      <c r="R130" s="19">
        <f t="shared" si="55"/>
        <v>0</v>
      </c>
      <c r="S130" s="19">
        <f t="shared" si="56"/>
        <v>0</v>
      </c>
      <c r="T130" s="19">
        <f t="shared" si="57"/>
        <v>0</v>
      </c>
      <c r="U130" s="17"/>
      <c r="V130" s="19">
        <f t="shared" si="50"/>
        <v>463.58501759421756</v>
      </c>
      <c r="W130" s="17"/>
      <c r="X130" s="19">
        <f t="shared" si="51"/>
        <v>86.477121731872501</v>
      </c>
      <c r="Y130" s="19">
        <f t="shared" si="52"/>
        <v>9.2993075942175665</v>
      </c>
      <c r="Z130" s="19"/>
      <c r="AA130" s="19">
        <f t="shared" si="53"/>
        <v>6.0436026866032892E-5</v>
      </c>
      <c r="AB130" s="17"/>
    </row>
    <row r="131" spans="2:28" x14ac:dyDescent="0.35">
      <c r="B131" s="27">
        <v>9.3000000000000007</v>
      </c>
      <c r="C131" s="19">
        <v>457.53570999999999</v>
      </c>
      <c r="D131" s="19">
        <f t="shared" si="40"/>
        <v>20.166335112618217</v>
      </c>
      <c r="E131" s="19">
        <f t="shared" si="41"/>
        <v>-1.190543559084231</v>
      </c>
      <c r="F131" s="19">
        <f t="shared" si="42"/>
        <v>-1.052780132891775</v>
      </c>
      <c r="G131" s="19">
        <f t="shared" si="43"/>
        <v>-1.052780132891775</v>
      </c>
      <c r="H131" s="19">
        <f t="shared" si="44"/>
        <v>-1.052780132891775</v>
      </c>
      <c r="I131" s="17"/>
      <c r="J131" s="19">
        <f t="shared" si="45"/>
        <v>17.314774933218594</v>
      </c>
      <c r="K131" s="19">
        <f t="shared" si="46"/>
        <v>0.23933740927323707</v>
      </c>
      <c r="L131" s="19">
        <f t="shared" si="47"/>
        <v>0.26715313031433519</v>
      </c>
      <c r="M131" s="19">
        <f t="shared" si="48"/>
        <v>0.26715313031433519</v>
      </c>
      <c r="N131" s="19">
        <f t="shared" si="49"/>
        <v>0.26715313031433519</v>
      </c>
      <c r="O131" s="17"/>
      <c r="P131" s="19">
        <f t="shared" si="35"/>
        <v>167.18544864105604</v>
      </c>
      <c r="Q131" s="19">
        <f t="shared" si="54"/>
        <v>292.14882444520418</v>
      </c>
      <c r="R131" s="19">
        <f t="shared" si="55"/>
        <v>0</v>
      </c>
      <c r="S131" s="19">
        <f t="shared" si="56"/>
        <v>0</v>
      </c>
      <c r="T131" s="19">
        <f t="shared" si="57"/>
        <v>0</v>
      </c>
      <c r="U131" s="17"/>
      <c r="V131" s="19">
        <f t="shared" si="50"/>
        <v>459.33427308626023</v>
      </c>
      <c r="W131" s="17"/>
      <c r="X131" s="19">
        <f t="shared" si="51"/>
        <v>3.2348291752579259</v>
      </c>
      <c r="Y131" s="19">
        <f t="shared" si="52"/>
        <v>1.7985630862602306</v>
      </c>
      <c r="Z131" s="19"/>
      <c r="AA131" s="19">
        <f t="shared" si="53"/>
        <v>1.168882800145983E-5</v>
      </c>
      <c r="AB131" s="17"/>
    </row>
    <row r="132" spans="2:28" x14ac:dyDescent="0.35">
      <c r="B132" s="27">
        <v>9.4</v>
      </c>
      <c r="C132" s="19">
        <v>451.53570999999999</v>
      </c>
      <c r="D132" s="19">
        <f t="shared" si="40"/>
        <v>20.306834451040707</v>
      </c>
      <c r="E132" s="19">
        <f t="shared" si="41"/>
        <v>-1.1844186302571087</v>
      </c>
      <c r="F132" s="19">
        <f t="shared" si="42"/>
        <v>-1.0416690217806639</v>
      </c>
      <c r="G132" s="19">
        <f t="shared" si="43"/>
        <v>-1.0416690217806639</v>
      </c>
      <c r="H132" s="19">
        <f t="shared" si="44"/>
        <v>-1.0416690217806639</v>
      </c>
      <c r="I132" s="17"/>
      <c r="J132" s="19">
        <f t="shared" si="45"/>
        <v>17.447630594180037</v>
      </c>
      <c r="K132" s="19">
        <f t="shared" si="46"/>
        <v>0.24052259858466121</v>
      </c>
      <c r="L132" s="19">
        <f t="shared" si="47"/>
        <v>0.26950379294479576</v>
      </c>
      <c r="M132" s="19">
        <f t="shared" si="48"/>
        <v>0.26950379294479576</v>
      </c>
      <c r="N132" s="19">
        <f t="shared" si="49"/>
        <v>0.26950379294479576</v>
      </c>
      <c r="O132" s="17"/>
      <c r="P132" s="19">
        <f t="shared" si="35"/>
        <v>164.71754492612226</v>
      </c>
      <c r="Q132" s="19">
        <f t="shared" si="54"/>
        <v>290.43150164608187</v>
      </c>
      <c r="R132" s="19">
        <f t="shared" si="55"/>
        <v>0</v>
      </c>
      <c r="S132" s="19">
        <f t="shared" si="56"/>
        <v>0</v>
      </c>
      <c r="T132" s="19">
        <f t="shared" si="57"/>
        <v>0</v>
      </c>
      <c r="U132" s="17"/>
      <c r="V132" s="19">
        <f t="shared" si="50"/>
        <v>455.14904657220416</v>
      </c>
      <c r="W132" s="17"/>
      <c r="X132" s="19">
        <f t="shared" si="51"/>
        <v>13.05620118402812</v>
      </c>
      <c r="Y132" s="19">
        <f t="shared" si="52"/>
        <v>3.6133365722041617</v>
      </c>
      <c r="Z132" s="19"/>
      <c r="AA132" s="19">
        <f t="shared" si="53"/>
        <v>2.3483007088564191E-5</v>
      </c>
      <c r="AB132" s="17"/>
    </row>
    <row r="133" spans="2:28" x14ac:dyDescent="0.35">
      <c r="B133" s="27">
        <v>9.5</v>
      </c>
      <c r="C133" s="19">
        <v>489.53570999999999</v>
      </c>
      <c r="D133" s="19">
        <f t="shared" si="40"/>
        <v>20.447333789463197</v>
      </c>
      <c r="E133" s="19">
        <f t="shared" si="41"/>
        <v>-1.1782937014299866</v>
      </c>
      <c r="F133" s="19">
        <f t="shared" si="42"/>
        <v>-1.0305579106695528</v>
      </c>
      <c r="G133" s="19">
        <f t="shared" si="43"/>
        <v>-1.0305579106695528</v>
      </c>
      <c r="H133" s="19">
        <f t="shared" si="44"/>
        <v>-1.0305579106695528</v>
      </c>
      <c r="I133" s="17"/>
      <c r="J133" s="19">
        <f t="shared" si="45"/>
        <v>17.5805411173957</v>
      </c>
      <c r="K133" s="19">
        <f t="shared" si="46"/>
        <v>0.24171251443903602</v>
      </c>
      <c r="L133" s="19">
        <f t="shared" si="47"/>
        <v>0.27187071767481724</v>
      </c>
      <c r="M133" s="19">
        <f t="shared" si="48"/>
        <v>0.27187071767481724</v>
      </c>
      <c r="N133" s="19">
        <f t="shared" si="49"/>
        <v>0.27187071767481724</v>
      </c>
      <c r="O133" s="17"/>
      <c r="P133" s="19">
        <f t="shared" si="35"/>
        <v>162.30291345760654</v>
      </c>
      <c r="Q133" s="19">
        <f t="shared" si="54"/>
        <v>288.72480288094334</v>
      </c>
      <c r="R133" s="19">
        <f t="shared" si="55"/>
        <v>0</v>
      </c>
      <c r="S133" s="19">
        <f t="shared" si="56"/>
        <v>0</v>
      </c>
      <c r="T133" s="19">
        <f t="shared" si="57"/>
        <v>0</v>
      </c>
      <c r="U133" s="17"/>
      <c r="V133" s="19">
        <f t="shared" si="50"/>
        <v>451.02771633854991</v>
      </c>
      <c r="W133" s="17"/>
      <c r="X133" s="19">
        <f t="shared" si="51"/>
        <v>1482.86557583028</v>
      </c>
      <c r="Y133" s="19">
        <f t="shared" si="52"/>
        <v>38.507993661450087</v>
      </c>
      <c r="Z133" s="19"/>
      <c r="AA133" s="19">
        <f t="shared" si="53"/>
        <v>2.5026273363917432E-4</v>
      </c>
      <c r="AB133" s="17"/>
    </row>
    <row r="134" spans="2:28" x14ac:dyDescent="0.35">
      <c r="B134" s="27">
        <v>9.6</v>
      </c>
      <c r="C134" s="19">
        <v>441.03570999999999</v>
      </c>
      <c r="D134" s="19">
        <f t="shared" si="40"/>
        <v>20.587833127885688</v>
      </c>
      <c r="E134" s="19">
        <f t="shared" si="41"/>
        <v>-1.1721687726028642</v>
      </c>
      <c r="F134" s="19">
        <f t="shared" si="42"/>
        <v>-1.0194467995584418</v>
      </c>
      <c r="G134" s="19">
        <f t="shared" si="43"/>
        <v>-1.0194467995584418</v>
      </c>
      <c r="H134" s="19">
        <f t="shared" si="44"/>
        <v>-1.0194467995584418</v>
      </c>
      <c r="I134" s="17"/>
      <c r="J134" s="19">
        <f t="shared" si="45"/>
        <v>17.713505742945514</v>
      </c>
      <c r="K134" s="19">
        <f t="shared" si="46"/>
        <v>0.24290716657725597</v>
      </c>
      <c r="L134" s="19">
        <f t="shared" si="47"/>
        <v>0.27425395590906587</v>
      </c>
      <c r="M134" s="19">
        <f t="shared" si="48"/>
        <v>0.27425395590906587</v>
      </c>
      <c r="N134" s="19">
        <f t="shared" si="49"/>
        <v>0.27425395590906587</v>
      </c>
      <c r="O134" s="17"/>
      <c r="P134" s="19">
        <f t="shared" si="35"/>
        <v>159.94005259428664</v>
      </c>
      <c r="Q134" s="19">
        <f t="shared" si="54"/>
        <v>287.02866266510176</v>
      </c>
      <c r="R134" s="19">
        <f t="shared" si="55"/>
        <v>0</v>
      </c>
      <c r="S134" s="19">
        <f t="shared" si="56"/>
        <v>0</v>
      </c>
      <c r="T134" s="19">
        <f t="shared" si="57"/>
        <v>0</v>
      </c>
      <c r="U134" s="17"/>
      <c r="V134" s="19">
        <f t="shared" si="50"/>
        <v>446.96871525938843</v>
      </c>
      <c r="W134" s="17"/>
      <c r="X134" s="19">
        <f t="shared" si="51"/>
        <v>35.20055140793086</v>
      </c>
      <c r="Y134" s="19">
        <f t="shared" si="52"/>
        <v>5.9330052593884375</v>
      </c>
      <c r="Z134" s="19"/>
      <c r="AA134" s="19">
        <f t="shared" si="53"/>
        <v>3.8558490685443712E-5</v>
      </c>
      <c r="AB134" s="17"/>
    </row>
    <row r="135" spans="2:28" x14ac:dyDescent="0.35">
      <c r="B135" s="27">
        <v>9.6999999999999993</v>
      </c>
      <c r="C135" s="19">
        <v>446.03570999999999</v>
      </c>
      <c r="D135" s="19">
        <f t="shared" si="40"/>
        <v>20.728332466308178</v>
      </c>
      <c r="E135" s="19">
        <f t="shared" si="41"/>
        <v>-1.1660438437757421</v>
      </c>
      <c r="F135" s="19">
        <f t="shared" si="42"/>
        <v>-1.0083356884473307</v>
      </c>
      <c r="G135" s="19">
        <f t="shared" si="43"/>
        <v>-1.0083356884473307</v>
      </c>
      <c r="H135" s="19">
        <f t="shared" si="44"/>
        <v>-1.0083356884473307</v>
      </c>
      <c r="I135" s="17"/>
      <c r="J135" s="19">
        <f t="shared" si="45"/>
        <v>17.846523726276814</v>
      </c>
      <c r="K135" s="19">
        <f t="shared" si="46"/>
        <v>0.24410656469663061</v>
      </c>
      <c r="L135" s="19">
        <f t="shared" si="47"/>
        <v>0.27665355848924106</v>
      </c>
      <c r="M135" s="19">
        <f t="shared" si="48"/>
        <v>0.27665355848924106</v>
      </c>
      <c r="N135" s="19">
        <f t="shared" si="49"/>
        <v>0.27665355848924106</v>
      </c>
      <c r="O135" s="17"/>
      <c r="P135" s="19">
        <f t="shared" si="35"/>
        <v>157.62751265735432</v>
      </c>
      <c r="Q135" s="19">
        <f t="shared" si="54"/>
        <v>285.34301590842398</v>
      </c>
      <c r="R135" s="19">
        <f t="shared" si="55"/>
        <v>0</v>
      </c>
      <c r="S135" s="19">
        <f t="shared" si="56"/>
        <v>0</v>
      </c>
      <c r="T135" s="19">
        <f t="shared" si="57"/>
        <v>0</v>
      </c>
      <c r="U135" s="17"/>
      <c r="V135" s="19">
        <f t="shared" si="50"/>
        <v>442.9705285657783</v>
      </c>
      <c r="W135" s="17"/>
      <c r="X135" s="19">
        <f t="shared" si="51"/>
        <v>9.3953372246973945</v>
      </c>
      <c r="Y135" s="19">
        <f t="shared" si="52"/>
        <v>3.0651814342216994</v>
      </c>
      <c r="Z135" s="19"/>
      <c r="AA135" s="19">
        <f t="shared" si="53"/>
        <v>1.9920557055568003E-5</v>
      </c>
      <c r="AB135" s="17"/>
    </row>
    <row r="136" spans="2:28" x14ac:dyDescent="0.35">
      <c r="B136" s="27">
        <v>9.8000000000000007</v>
      </c>
      <c r="C136" s="19">
        <v>439.03570999999999</v>
      </c>
      <c r="D136" s="19">
        <f t="shared" si="40"/>
        <v>20.868831804730672</v>
      </c>
      <c r="E136" s="19">
        <f t="shared" si="41"/>
        <v>-1.1599189149486198</v>
      </c>
      <c r="F136" s="19">
        <f t="shared" si="42"/>
        <v>-0.99722457733621939</v>
      </c>
      <c r="G136" s="19">
        <f t="shared" si="43"/>
        <v>-0.99722457733621939</v>
      </c>
      <c r="H136" s="19">
        <f t="shared" si="44"/>
        <v>-0.99722457733621939</v>
      </c>
      <c r="I136" s="17"/>
      <c r="J136" s="19">
        <f t="shared" si="45"/>
        <v>17.979594337799373</v>
      </c>
      <c r="K136" s="19">
        <f t="shared" si="46"/>
        <v>0.24531071845050972</v>
      </c>
      <c r="L136" s="19">
        <f t="shared" si="47"/>
        <v>0.27906957568790813</v>
      </c>
      <c r="M136" s="19">
        <f t="shared" si="48"/>
        <v>0.27906957568790813</v>
      </c>
      <c r="N136" s="19">
        <f t="shared" si="49"/>
        <v>0.27906957568790813</v>
      </c>
      <c r="O136" s="17"/>
      <c r="P136" s="19">
        <f t="shared" si="35"/>
        <v>155.36389380748199</v>
      </c>
      <c r="Q136" s="19">
        <f t="shared" si="54"/>
        <v>283.66779791294971</v>
      </c>
      <c r="R136" s="19">
        <f t="shared" si="55"/>
        <v>0</v>
      </c>
      <c r="S136" s="19">
        <f t="shared" si="56"/>
        <v>0</v>
      </c>
      <c r="T136" s="19">
        <f t="shared" si="57"/>
        <v>0</v>
      </c>
      <c r="U136" s="17"/>
      <c r="V136" s="19">
        <f t="shared" si="50"/>
        <v>439.0316917204317</v>
      </c>
      <c r="W136" s="17"/>
      <c r="X136" s="19">
        <f t="shared" si="51"/>
        <v>1.6146570689013029E-5</v>
      </c>
      <c r="Y136" s="19">
        <f t="shared" si="52"/>
        <v>4.0182795682994765E-3</v>
      </c>
      <c r="Z136" s="19"/>
      <c r="AA136" s="19">
        <f t="shared" si="53"/>
        <v>2.6114724078595364E-8</v>
      </c>
      <c r="AB136" s="17"/>
    </row>
    <row r="137" spans="2:28" x14ac:dyDescent="0.35">
      <c r="B137" s="27">
        <v>9.9</v>
      </c>
      <c r="C137" s="19">
        <v>438.03570999999999</v>
      </c>
      <c r="D137" s="19">
        <f t="shared" si="40"/>
        <v>21.009331143153162</v>
      </c>
      <c r="E137" s="19">
        <f t="shared" si="41"/>
        <v>-1.1537939861214974</v>
      </c>
      <c r="F137" s="19">
        <f t="shared" si="42"/>
        <v>-0.98611346622510831</v>
      </c>
      <c r="G137" s="19">
        <f t="shared" si="43"/>
        <v>-0.98611346622510831</v>
      </c>
      <c r="H137" s="19">
        <f t="shared" si="44"/>
        <v>-0.98611346622510831</v>
      </c>
      <c r="I137" s="17"/>
      <c r="J137" s="19">
        <f t="shared" si="45"/>
        <v>18.11271686249351</v>
      </c>
      <c r="K137" s="19">
        <f t="shared" si="46"/>
        <v>0.24651963744790953</v>
      </c>
      <c r="L137" s="19">
        <f t="shared" si="47"/>
        <v>0.28150205720243648</v>
      </c>
      <c r="M137" s="19">
        <f t="shared" si="48"/>
        <v>0.28150205720243648</v>
      </c>
      <c r="N137" s="19">
        <f t="shared" si="49"/>
        <v>0.28150205720243648</v>
      </c>
      <c r="O137" s="17"/>
      <c r="P137" s="19">
        <f t="shared" si="35"/>
        <v>153.14784402157693</v>
      </c>
      <c r="Q137" s="19">
        <f t="shared" si="54"/>
        <v>282.00294437052725</v>
      </c>
      <c r="R137" s="19">
        <f t="shared" si="55"/>
        <v>0</v>
      </c>
      <c r="S137" s="19">
        <f t="shared" si="56"/>
        <v>0</v>
      </c>
      <c r="T137" s="19">
        <f t="shared" si="57"/>
        <v>0</v>
      </c>
      <c r="U137" s="17"/>
      <c r="V137" s="19">
        <f t="shared" si="50"/>
        <v>435.15078839210418</v>
      </c>
      <c r="W137" s="17"/>
      <c r="X137" s="19">
        <f t="shared" si="51"/>
        <v>8.3227726837041995</v>
      </c>
      <c r="Y137" s="19">
        <f t="shared" si="52"/>
        <v>2.8849216078958193</v>
      </c>
      <c r="Z137" s="19"/>
      <c r="AA137" s="19">
        <f t="shared" si="53"/>
        <v>1.8749051801405697E-5</v>
      </c>
      <c r="AB137" s="17"/>
    </row>
    <row r="138" spans="2:28" x14ac:dyDescent="0.35">
      <c r="B138" s="27">
        <v>10</v>
      </c>
      <c r="C138" s="19">
        <v>418.28572000000003</v>
      </c>
      <c r="D138" s="19">
        <f t="shared" si="40"/>
        <v>21.149830481575652</v>
      </c>
      <c r="E138" s="19">
        <f t="shared" si="41"/>
        <v>-1.1476690572943753</v>
      </c>
      <c r="F138" s="19">
        <f t="shared" si="42"/>
        <v>-0.97500235511399724</v>
      </c>
      <c r="G138" s="19">
        <f t="shared" si="43"/>
        <v>-0.97500235511399724</v>
      </c>
      <c r="H138" s="19">
        <f t="shared" si="44"/>
        <v>-0.97500235511399724</v>
      </c>
      <c r="I138" s="17"/>
      <c r="J138" s="19">
        <f t="shared" si="45"/>
        <v>18.245890599530764</v>
      </c>
      <c r="K138" s="19">
        <f t="shared" si="46"/>
        <v>0.24773333125314159</v>
      </c>
      <c r="L138" s="19">
        <f t="shared" si="47"/>
        <v>0.28395105214904504</v>
      </c>
      <c r="M138" s="19">
        <f t="shared" si="48"/>
        <v>0.28395105214904504</v>
      </c>
      <c r="N138" s="19">
        <f t="shared" si="49"/>
        <v>0.28395105214904504</v>
      </c>
      <c r="O138" s="17"/>
      <c r="P138" s="19">
        <f t="shared" si="35"/>
        <v>150.97805716394737</v>
      </c>
      <c r="Q138" s="19">
        <f t="shared" si="54"/>
        <v>280.34839136046281</v>
      </c>
      <c r="R138" s="19">
        <f t="shared" si="55"/>
        <v>0</v>
      </c>
      <c r="S138" s="19">
        <f t="shared" si="56"/>
        <v>0</v>
      </c>
      <c r="T138" s="19">
        <f t="shared" si="57"/>
        <v>0</v>
      </c>
      <c r="U138" s="17"/>
      <c r="V138" s="19">
        <f t="shared" si="50"/>
        <v>431.32644852441018</v>
      </c>
      <c r="W138" s="17"/>
      <c r="X138" s="19">
        <f t="shared" si="51"/>
        <v>170.06060044736469</v>
      </c>
      <c r="Y138" s="19">
        <f t="shared" si="52"/>
        <v>13.040728524410156</v>
      </c>
      <c r="Z138" s="19"/>
      <c r="AA138" s="19">
        <f t="shared" si="53"/>
        <v>8.4751451811741695E-5</v>
      </c>
      <c r="AB138" s="17"/>
    </row>
    <row r="139" spans="2:28" x14ac:dyDescent="0.35">
      <c r="B139" s="27">
        <v>10.1</v>
      </c>
      <c r="C139" s="19">
        <v>423.03570999999999</v>
      </c>
      <c r="D139" s="19">
        <f t="shared" si="40"/>
        <v>21.290329819998142</v>
      </c>
      <c r="E139" s="19">
        <f t="shared" si="41"/>
        <v>-1.1415441284672529</v>
      </c>
      <c r="F139" s="19">
        <f t="shared" si="42"/>
        <v>-0.96389124400288617</v>
      </c>
      <c r="G139" s="19">
        <f t="shared" si="43"/>
        <v>-0.96389124400288617</v>
      </c>
      <c r="H139" s="19">
        <f t="shared" si="44"/>
        <v>-0.96389124400288617</v>
      </c>
      <c r="I139" s="17"/>
      <c r="J139" s="19">
        <f t="shared" si="45"/>
        <v>18.379114861906679</v>
      </c>
      <c r="K139" s="19">
        <f t="shared" si="46"/>
        <v>0.24895180938544409</v>
      </c>
      <c r="L139" s="19">
        <f t="shared" si="47"/>
        <v>0.28641660905695621</v>
      </c>
      <c r="M139" s="19">
        <f t="shared" si="48"/>
        <v>0.28641660905695621</v>
      </c>
      <c r="N139" s="19">
        <f t="shared" si="49"/>
        <v>0.28641660905695621</v>
      </c>
      <c r="O139" s="17"/>
      <c r="P139" s="19">
        <f t="shared" si="35"/>
        <v>148.85327114691421</v>
      </c>
      <c r="Q139" s="19">
        <f t="shared" si="54"/>
        <v>278.70407534718538</v>
      </c>
      <c r="R139" s="19">
        <f t="shared" si="55"/>
        <v>0</v>
      </c>
      <c r="S139" s="19">
        <f t="shared" si="56"/>
        <v>0</v>
      </c>
      <c r="T139" s="19">
        <f t="shared" si="57"/>
        <v>0</v>
      </c>
      <c r="U139" s="17"/>
      <c r="V139" s="19">
        <f t="shared" si="50"/>
        <v>427.55734649409959</v>
      </c>
      <c r="W139" s="17"/>
      <c r="X139" s="19">
        <f t="shared" si="51"/>
        <v>20.445196584773285</v>
      </c>
      <c r="Y139" s="19">
        <f t="shared" si="52"/>
        <v>4.5216364940995959</v>
      </c>
      <c r="Z139" s="19"/>
      <c r="AA139" s="19">
        <f t="shared" si="53"/>
        <v>2.9386031364933098E-5</v>
      </c>
    </row>
    <row r="140" spans="2:28" x14ac:dyDescent="0.35">
      <c r="B140" s="27">
        <v>10.199999999999999</v>
      </c>
      <c r="C140" s="27">
        <v>432.53570999999999</v>
      </c>
      <c r="D140" s="19">
        <f t="shared" si="40"/>
        <v>21.430829158420632</v>
      </c>
      <c r="E140" s="19">
        <f t="shared" si="41"/>
        <v>-1.1354191996401308</v>
      </c>
      <c r="F140" s="19">
        <f t="shared" si="42"/>
        <v>-0.9527801328917751</v>
      </c>
      <c r="G140" s="19">
        <f t="shared" si="43"/>
        <v>-0.9527801328917751</v>
      </c>
      <c r="H140" s="19">
        <f t="shared" si="44"/>
        <v>-0.9527801328917751</v>
      </c>
      <c r="I140" s="17"/>
      <c r="J140" s="19">
        <f t="shared" si="45"/>
        <v>18.512388976085202</v>
      </c>
      <c r="K140" s="19">
        <f t="shared" si="46"/>
        <v>0.25017508131861443</v>
      </c>
      <c r="L140" s="19">
        <f t="shared" si="47"/>
        <v>0.28889877586266083</v>
      </c>
      <c r="M140" s="19">
        <f t="shared" si="48"/>
        <v>0.28889877586266083</v>
      </c>
      <c r="N140" s="19">
        <f t="shared" si="49"/>
        <v>0.28889877586266083</v>
      </c>
      <c r="O140" s="17"/>
      <c r="P140" s="19">
        <f t="shared" si="35"/>
        <v>146.77226617619439</v>
      </c>
      <c r="Q140" s="19">
        <f t="shared" si="54"/>
        <v>277.06993317792694</v>
      </c>
      <c r="R140" s="19">
        <f t="shared" si="55"/>
        <v>0</v>
      </c>
      <c r="S140" s="19">
        <f t="shared" si="56"/>
        <v>0</v>
      </c>
      <c r="T140" s="19">
        <f t="shared" si="57"/>
        <v>0</v>
      </c>
      <c r="U140" s="17"/>
      <c r="V140" s="19">
        <f t="shared" si="50"/>
        <v>423.84219935412136</v>
      </c>
      <c r="W140" s="17"/>
      <c r="X140" s="19">
        <f t="shared" si="51"/>
        <v>75.577127350005114</v>
      </c>
      <c r="Y140" s="19">
        <f t="shared" si="52"/>
        <v>8.6935106458786322</v>
      </c>
      <c r="Z140" s="19"/>
      <c r="AA140" s="19">
        <f t="shared" si="53"/>
        <v>5.6498963781041662E-5</v>
      </c>
    </row>
    <row r="141" spans="2:28" x14ac:dyDescent="0.35">
      <c r="B141" s="27">
        <v>10.3</v>
      </c>
      <c r="C141" s="28">
        <v>416.53572000000003</v>
      </c>
      <c r="D141" s="19">
        <f t="shared" si="40"/>
        <v>21.571328496843126</v>
      </c>
      <c r="E141" s="19">
        <f t="shared" si="41"/>
        <v>-1.1292942708130083</v>
      </c>
      <c r="F141" s="19">
        <f t="shared" si="42"/>
        <v>-0.94166902178066403</v>
      </c>
      <c r="G141" s="19">
        <f t="shared" si="43"/>
        <v>-0.94166902178066403</v>
      </c>
      <c r="H141" s="19">
        <f t="shared" si="44"/>
        <v>-0.94166902178066403</v>
      </c>
      <c r="I141" s="17"/>
      <c r="J141" s="19">
        <f t="shared" si="45"/>
        <v>18.645712281654323</v>
      </c>
      <c r="K141" s="19">
        <f t="shared" si="46"/>
        <v>0.2514031564806451</v>
      </c>
      <c r="L141" s="19">
        <f t="shared" si="47"/>
        <v>0.29139759990429576</v>
      </c>
      <c r="M141" s="19">
        <f t="shared" si="48"/>
        <v>0.29139759990429576</v>
      </c>
      <c r="N141" s="19">
        <f t="shared" si="49"/>
        <v>0.29139759990429576</v>
      </c>
      <c r="O141" s="17"/>
      <c r="P141" s="19">
        <f t="shared" si="35"/>
        <v>144.73386307664927</v>
      </c>
      <c r="Q141" s="19">
        <f t="shared" si="54"/>
        <v>275.44590208041581</v>
      </c>
      <c r="R141" s="19">
        <f t="shared" si="55"/>
        <v>0</v>
      </c>
      <c r="S141" s="19">
        <f t="shared" si="56"/>
        <v>0</v>
      </c>
      <c r="T141" s="19">
        <f t="shared" si="57"/>
        <v>0</v>
      </c>
      <c r="U141" s="17"/>
      <c r="V141" s="19">
        <f t="shared" si="50"/>
        <v>420.17976515706505</v>
      </c>
      <c r="W141" s="17"/>
      <c r="X141" s="19">
        <f t="shared" si="51"/>
        <v>13.279065106729044</v>
      </c>
      <c r="Y141" s="19">
        <f t="shared" si="52"/>
        <v>3.6440451570650225</v>
      </c>
      <c r="Z141" s="19"/>
      <c r="AA141" s="19">
        <f t="shared" si="53"/>
        <v>2.368258160966325E-5</v>
      </c>
    </row>
    <row r="142" spans="2:28" x14ac:dyDescent="0.35">
      <c r="B142" s="27">
        <v>10.4</v>
      </c>
      <c r="C142" s="27">
        <v>416.28570999999999</v>
      </c>
      <c r="D142" s="19">
        <f t="shared" si="40"/>
        <v>21.711827835265616</v>
      </c>
      <c r="E142" s="19">
        <f t="shared" si="41"/>
        <v>-1.1231693419858861</v>
      </c>
      <c r="F142" s="19">
        <f t="shared" si="42"/>
        <v>-0.93055791066955273</v>
      </c>
      <c r="G142" s="19">
        <f t="shared" si="43"/>
        <v>-0.93055791066955273</v>
      </c>
      <c r="H142" s="19">
        <f t="shared" si="44"/>
        <v>-0.93055791066955273</v>
      </c>
      <c r="I142" s="17"/>
      <c r="J142" s="19">
        <f t="shared" si="45"/>
        <v>18.779084130992473</v>
      </c>
      <c r="K142" s="19">
        <f t="shared" si="46"/>
        <v>0.25263604425336061</v>
      </c>
      <c r="L142" s="19">
        <f t="shared" si="47"/>
        <v>0.29391312791613627</v>
      </c>
      <c r="M142" s="19">
        <f t="shared" si="48"/>
        <v>0.29391312791613627</v>
      </c>
      <c r="N142" s="19">
        <f t="shared" si="49"/>
        <v>0.29391312791613627</v>
      </c>
      <c r="O142" s="17"/>
      <c r="P142" s="19">
        <f t="shared" si="35"/>
        <v>142.7369216942503</v>
      </c>
      <c r="Q142" s="19">
        <f t="shared" si="54"/>
        <v>273.83191966058678</v>
      </c>
      <c r="R142" s="19">
        <f t="shared" si="55"/>
        <v>0</v>
      </c>
      <c r="S142" s="19">
        <f t="shared" si="56"/>
        <v>0</v>
      </c>
      <c r="T142" s="19">
        <f t="shared" si="57"/>
        <v>0</v>
      </c>
      <c r="U142" s="17"/>
      <c r="V142" s="19">
        <f t="shared" si="50"/>
        <v>416.5688413548371</v>
      </c>
      <c r="W142" s="17"/>
      <c r="X142" s="19">
        <f t="shared" si="51"/>
        <v>8.0163364091897463E-2</v>
      </c>
      <c r="Y142" s="19">
        <f t="shared" si="52"/>
        <v>0.28313135483710994</v>
      </c>
      <c r="Z142" s="19"/>
      <c r="AA142" s="19">
        <f t="shared" si="53"/>
        <v>1.8400654020942295E-6</v>
      </c>
    </row>
    <row r="143" spans="2:28" x14ac:dyDescent="0.35">
      <c r="B143" s="27">
        <v>10.5</v>
      </c>
      <c r="C143" s="27">
        <v>383.78570999999999</v>
      </c>
      <c r="D143" s="19">
        <f t="shared" si="40"/>
        <v>21.852327173688106</v>
      </c>
      <c r="E143" s="19">
        <f t="shared" si="41"/>
        <v>-1.117044413158764</v>
      </c>
      <c r="F143" s="19">
        <f t="shared" si="42"/>
        <v>-0.91944679955844166</v>
      </c>
      <c r="G143" s="19">
        <f t="shared" si="43"/>
        <v>-0.91944679955844166</v>
      </c>
      <c r="H143" s="19">
        <f t="shared" si="44"/>
        <v>-0.91944679955844166</v>
      </c>
      <c r="I143" s="17"/>
      <c r="J143" s="19">
        <f t="shared" si="45"/>
        <v>18.912503888945345</v>
      </c>
      <c r="K143" s="19">
        <f t="shared" si="46"/>
        <v>0.25387375397205841</v>
      </c>
      <c r="L143" s="19">
        <f t="shared" si="47"/>
        <v>0.29644540602320335</v>
      </c>
      <c r="M143" s="19">
        <f t="shared" si="48"/>
        <v>0.29644540602320335</v>
      </c>
      <c r="N143" s="19">
        <f t="shared" si="49"/>
        <v>0.29644540602320335</v>
      </c>
      <c r="O143" s="17"/>
      <c r="P143" s="19">
        <f t="shared" si="35"/>
        <v>140.78033937034809</v>
      </c>
      <c r="Q143" s="19">
        <f t="shared" si="54"/>
        <v>272.22792390030321</v>
      </c>
      <c r="R143" s="19">
        <f t="shared" si="55"/>
        <v>0</v>
      </c>
      <c r="S143" s="19">
        <f t="shared" si="56"/>
        <v>0</v>
      </c>
      <c r="T143" s="19">
        <f t="shared" si="57"/>
        <v>0</v>
      </c>
      <c r="U143" s="17"/>
      <c r="V143" s="19">
        <f t="shared" si="50"/>
        <v>413.0082632706513</v>
      </c>
      <c r="W143" s="17"/>
      <c r="X143" s="19">
        <f t="shared" si="51"/>
        <v>853.95761965605323</v>
      </c>
      <c r="Y143" s="19">
        <f t="shared" si="52"/>
        <v>29.222553270651304</v>
      </c>
      <c r="Z143" s="19"/>
      <c r="AA143" s="19">
        <f t="shared" si="53"/>
        <v>1.8991682946989955E-4</v>
      </c>
    </row>
    <row r="144" spans="2:28" x14ac:dyDescent="0.35">
      <c r="B144" s="27">
        <v>10.6</v>
      </c>
      <c r="C144" s="27">
        <v>403.78570999999999</v>
      </c>
      <c r="D144" s="19">
        <f t="shared" si="40"/>
        <v>21.992826512110597</v>
      </c>
      <c r="E144" s="19">
        <f t="shared" si="41"/>
        <v>-1.1109194843316414</v>
      </c>
      <c r="F144" s="19">
        <f t="shared" si="42"/>
        <v>-0.90833568844733059</v>
      </c>
      <c r="G144" s="19">
        <f t="shared" si="43"/>
        <v>-0.90833568844733059</v>
      </c>
      <c r="H144" s="19">
        <f t="shared" si="44"/>
        <v>-0.90833568844733059</v>
      </c>
      <c r="I144" s="17"/>
      <c r="J144" s="19">
        <f t="shared" si="45"/>
        <v>19.045970932512713</v>
      </c>
      <c r="K144" s="19">
        <f t="shared" si="46"/>
        <v>0.25511629492515064</v>
      </c>
      <c r="L144" s="19">
        <f t="shared" si="47"/>
        <v>0.29899447973599019</v>
      </c>
      <c r="M144" s="19">
        <f t="shared" si="48"/>
        <v>0.29899447973599019</v>
      </c>
      <c r="N144" s="19">
        <f t="shared" si="49"/>
        <v>0.29899447973599019</v>
      </c>
      <c r="O144" s="17"/>
      <c r="P144" s="19">
        <f t="shared" si="35"/>
        <v>138.86304948455657</v>
      </c>
      <c r="Q144" s="19">
        <f t="shared" si="54"/>
        <v>270.63385315509532</v>
      </c>
      <c r="R144" s="19">
        <f t="shared" si="55"/>
        <v>0</v>
      </c>
      <c r="S144" s="19">
        <f t="shared" si="56"/>
        <v>0</v>
      </c>
      <c r="T144" s="19">
        <f t="shared" si="57"/>
        <v>0</v>
      </c>
      <c r="U144" s="17"/>
      <c r="V144" s="19">
        <f t="shared" si="50"/>
        <v>409.49690263965192</v>
      </c>
      <c r="W144" s="17"/>
      <c r="X144" s="19">
        <f t="shared" si="51"/>
        <v>32.617721367214344</v>
      </c>
      <c r="Y144" s="19">
        <f t="shared" si="52"/>
        <v>5.7111926396519266</v>
      </c>
      <c r="Z144" s="19"/>
      <c r="AA144" s="19">
        <f t="shared" si="53"/>
        <v>3.7116934600778165E-5</v>
      </c>
    </row>
    <row r="145" spans="2:27" x14ac:dyDescent="0.35">
      <c r="B145" s="27">
        <v>10.7</v>
      </c>
      <c r="C145" s="27">
        <v>407.53570999999999</v>
      </c>
      <c r="D145" s="19">
        <f t="shared" si="40"/>
        <v>22.133325850533087</v>
      </c>
      <c r="E145" s="19">
        <f t="shared" si="41"/>
        <v>-1.1047945555045193</v>
      </c>
      <c r="F145" s="19">
        <f t="shared" si="42"/>
        <v>-0.89722457733621952</v>
      </c>
      <c r="G145" s="19">
        <f t="shared" si="43"/>
        <v>-0.89722457733621952</v>
      </c>
      <c r="H145" s="19">
        <f t="shared" si="44"/>
        <v>-0.89722457733621952</v>
      </c>
      <c r="I145" s="17"/>
      <c r="J145" s="19">
        <f t="shared" si="45"/>
        <v>19.179484650544882</v>
      </c>
      <c r="K145" s="19">
        <f t="shared" si="46"/>
        <v>0.25636367635380841</v>
      </c>
      <c r="L145" s="19">
        <f t="shared" si="47"/>
        <v>0.3015603939453072</v>
      </c>
      <c r="M145" s="19">
        <f t="shared" si="48"/>
        <v>0.3015603939453072</v>
      </c>
      <c r="N145" s="19">
        <f t="shared" si="49"/>
        <v>0.3015603939453072</v>
      </c>
      <c r="O145" s="17"/>
      <c r="P145" s="19">
        <f t="shared" si="35"/>
        <v>136.98402006277271</v>
      </c>
      <c r="Q145" s="19">
        <f t="shared" si="54"/>
        <v>269.04964615191329</v>
      </c>
      <c r="R145" s="19">
        <f t="shared" si="55"/>
        <v>0</v>
      </c>
      <c r="S145" s="19">
        <f t="shared" si="56"/>
        <v>0</v>
      </c>
      <c r="T145" s="19">
        <f t="shared" si="57"/>
        <v>0</v>
      </c>
      <c r="U145" s="17"/>
      <c r="V145" s="19">
        <f t="shared" si="50"/>
        <v>406.03366621468604</v>
      </c>
      <c r="W145" s="17"/>
      <c r="X145" s="19">
        <f t="shared" si="51"/>
        <v>2.2561355330002844</v>
      </c>
      <c r="Y145" s="19">
        <f t="shared" si="52"/>
        <v>1.5020437853139583</v>
      </c>
      <c r="Z145" s="19"/>
      <c r="AA145" s="19">
        <f t="shared" si="53"/>
        <v>9.7617545869370773E-6</v>
      </c>
    </row>
    <row r="146" spans="2:27" x14ac:dyDescent="0.35">
      <c r="B146" s="27">
        <v>10.8</v>
      </c>
      <c r="C146" s="27">
        <v>415.78570999999999</v>
      </c>
      <c r="D146" s="19">
        <f t="shared" si="40"/>
        <v>22.273825188955577</v>
      </c>
      <c r="E146" s="19">
        <f t="shared" si="41"/>
        <v>-1.0986696266773972</v>
      </c>
      <c r="F146" s="19">
        <f t="shared" si="42"/>
        <v>-0.88611346622510845</v>
      </c>
      <c r="G146" s="19">
        <f t="shared" si="43"/>
        <v>-0.88611346622510845</v>
      </c>
      <c r="H146" s="19">
        <f t="shared" si="44"/>
        <v>-0.88611346622510845</v>
      </c>
      <c r="I146" s="17"/>
      <c r="J146" s="19">
        <f t="shared" si="45"/>
        <v>19.313044443448458</v>
      </c>
      <c r="K146" s="19">
        <f t="shared" si="46"/>
        <v>0.25761590745160962</v>
      </c>
      <c r="L146" s="19">
        <f t="shared" si="47"/>
        <v>0.30414319291724784</v>
      </c>
      <c r="M146" s="19">
        <f t="shared" si="48"/>
        <v>0.30414319291724784</v>
      </c>
      <c r="N146" s="19">
        <f t="shared" si="49"/>
        <v>0.30414319291724784</v>
      </c>
      <c r="O146" s="17"/>
      <c r="P146" s="19">
        <f t="shared" si="35"/>
        <v>135.14225244704704</v>
      </c>
      <c r="Q146" s="19">
        <f t="shared" si="54"/>
        <v>267.47524198689234</v>
      </c>
      <c r="R146" s="19">
        <f t="shared" si="55"/>
        <v>0</v>
      </c>
      <c r="S146" s="19">
        <f t="shared" si="56"/>
        <v>0</v>
      </c>
      <c r="T146" s="19">
        <f t="shared" si="57"/>
        <v>0</v>
      </c>
      <c r="U146" s="17"/>
      <c r="V146" s="19">
        <f t="shared" si="50"/>
        <v>402.61749443393938</v>
      </c>
      <c r="W146" s="17"/>
      <c r="X146" s="19">
        <f t="shared" si="51"/>
        <v>173.40190119424096</v>
      </c>
      <c r="Y146" s="19">
        <f t="shared" si="52"/>
        <v>13.16821556606061</v>
      </c>
      <c r="Z146" s="19"/>
      <c r="AA146" s="19">
        <f t="shared" si="53"/>
        <v>8.5579987721130134E-5</v>
      </c>
    </row>
    <row r="147" spans="2:27" x14ac:dyDescent="0.35">
      <c r="B147" s="27">
        <v>10.9</v>
      </c>
      <c r="C147" s="27">
        <v>409.78570999999999</v>
      </c>
      <c r="D147" s="19">
        <f t="shared" si="40"/>
        <v>22.414324527378071</v>
      </c>
      <c r="E147" s="19">
        <f t="shared" si="41"/>
        <v>-1.0925446978502746</v>
      </c>
      <c r="F147" s="19">
        <f t="shared" si="42"/>
        <v>-0.87500235511399715</v>
      </c>
      <c r="G147" s="19">
        <f t="shared" si="43"/>
        <v>-0.87500235511399715</v>
      </c>
      <c r="H147" s="19">
        <f t="shared" si="44"/>
        <v>-0.87500235511399715</v>
      </c>
      <c r="I147" s="17"/>
      <c r="J147" s="19">
        <f t="shared" si="45"/>
        <v>19.446649722901068</v>
      </c>
      <c r="K147" s="19">
        <f t="shared" si="46"/>
        <v>0.25887299736418845</v>
      </c>
      <c r="L147" s="19">
        <f t="shared" si="47"/>
        <v>0.30674292028827738</v>
      </c>
      <c r="M147" s="19">
        <f t="shared" si="48"/>
        <v>0.30674292028827738</v>
      </c>
      <c r="N147" s="19">
        <f t="shared" si="49"/>
        <v>0.30674292028827738</v>
      </c>
      <c r="O147" s="17"/>
      <c r="P147" s="19">
        <f t="shared" si="35"/>
        <v>133.33678002420532</v>
      </c>
      <c r="Q147" s="19">
        <f t="shared" si="54"/>
        <v>265.91058012313346</v>
      </c>
      <c r="R147" s="19">
        <f t="shared" si="55"/>
        <v>0</v>
      </c>
      <c r="S147" s="19">
        <f t="shared" si="56"/>
        <v>0</v>
      </c>
      <c r="T147" s="19">
        <f t="shared" si="57"/>
        <v>0</v>
      </c>
      <c r="U147" s="17"/>
      <c r="V147" s="19">
        <f t="shared" si="50"/>
        <v>399.24736014733878</v>
      </c>
      <c r="W147" s="17"/>
      <c r="X147" s="19">
        <f t="shared" si="51"/>
        <v>111.0568176170846</v>
      </c>
      <c r="Y147" s="19">
        <f t="shared" si="52"/>
        <v>10.538349852661213</v>
      </c>
      <c r="Z147" s="19"/>
      <c r="AA147" s="19">
        <f t="shared" si="53"/>
        <v>6.8488539427937322E-5</v>
      </c>
    </row>
    <row r="148" spans="2:27" x14ac:dyDescent="0.35">
      <c r="B148" s="27">
        <v>11</v>
      </c>
      <c r="C148" s="27">
        <v>411.03570999999999</v>
      </c>
      <c r="D148" s="19">
        <f t="shared" si="40"/>
        <v>22.554823865800557</v>
      </c>
      <c r="E148" s="19">
        <f t="shared" si="41"/>
        <v>-1.0864197690231525</v>
      </c>
      <c r="F148" s="19">
        <f t="shared" si="42"/>
        <v>-0.86389124400288608</v>
      </c>
      <c r="G148" s="19">
        <f t="shared" si="43"/>
        <v>-0.86389124400288608</v>
      </c>
      <c r="H148" s="19">
        <f t="shared" si="44"/>
        <v>-0.86389124400288608</v>
      </c>
      <c r="I148" s="17"/>
      <c r="J148" s="19">
        <f t="shared" si="45"/>
        <v>19.580299911574709</v>
      </c>
      <c r="K148" s="19">
        <f t="shared" si="46"/>
        <v>0.26013495518888652</v>
      </c>
      <c r="L148" s="19">
        <f t="shared" si="47"/>
        <v>0.30935961906044485</v>
      </c>
      <c r="M148" s="19">
        <f t="shared" si="48"/>
        <v>0.30935961906044485</v>
      </c>
      <c r="N148" s="19">
        <f t="shared" si="49"/>
        <v>0.30935961906044485</v>
      </c>
      <c r="O148" s="17"/>
      <c r="P148" s="19">
        <f t="shared" si="35"/>
        <v>131.56666701029445</v>
      </c>
      <c r="Q148" s="19">
        <f t="shared" si="54"/>
        <v>264.35560038849906</v>
      </c>
      <c r="R148" s="19">
        <f t="shared" si="55"/>
        <v>0</v>
      </c>
      <c r="S148" s="19">
        <f t="shared" si="56"/>
        <v>0</v>
      </c>
      <c r="T148" s="19">
        <f t="shared" si="57"/>
        <v>0</v>
      </c>
      <c r="U148" s="17"/>
      <c r="V148" s="19">
        <f t="shared" si="50"/>
        <v>395.92226739879351</v>
      </c>
      <c r="W148" s="17"/>
      <c r="X148" s="19">
        <f t="shared" si="51"/>
        <v>228.41614725996308</v>
      </c>
      <c r="Y148" s="19">
        <f t="shared" si="52"/>
        <v>15.113442601206486</v>
      </c>
      <c r="Z148" s="19"/>
      <c r="AA148" s="19">
        <f t="shared" si="53"/>
        <v>9.822198199495232E-5</v>
      </c>
    </row>
    <row r="149" spans="2:27" x14ac:dyDescent="0.35">
      <c r="B149" s="27">
        <v>11.1</v>
      </c>
      <c r="C149" s="27">
        <v>397.53570999999999</v>
      </c>
      <c r="D149" s="19">
        <f t="shared" si="40"/>
        <v>22.695323204223051</v>
      </c>
      <c r="E149" s="19">
        <f t="shared" si="41"/>
        <v>-1.0802948401960304</v>
      </c>
      <c r="F149" s="19">
        <f t="shared" si="42"/>
        <v>-0.85278013289177501</v>
      </c>
      <c r="G149" s="19">
        <f t="shared" si="43"/>
        <v>-0.85278013289177501</v>
      </c>
      <c r="H149" s="19">
        <f t="shared" si="44"/>
        <v>-0.85278013289177501</v>
      </c>
      <c r="I149" s="17"/>
      <c r="J149" s="19">
        <f t="shared" si="45"/>
        <v>19.713994442867463</v>
      </c>
      <c r="K149" s="19">
        <f t="shared" si="46"/>
        <v>0.2614017899744086</v>
      </c>
      <c r="L149" s="19">
        <f t="shared" si="47"/>
        <v>0.31199333159672077</v>
      </c>
      <c r="M149" s="19">
        <f t="shared" si="48"/>
        <v>0.31199333159672077</v>
      </c>
      <c r="N149" s="19">
        <f t="shared" si="49"/>
        <v>0.31199333159672077</v>
      </c>
      <c r="O149" s="17"/>
      <c r="P149" s="19">
        <f t="shared" si="35"/>
        <v>129.83100728808668</v>
      </c>
      <c r="Q149" s="19">
        <f t="shared" si="54"/>
        <v>262.81024297342026</v>
      </c>
      <c r="R149" s="19">
        <f t="shared" si="55"/>
        <v>0</v>
      </c>
      <c r="S149" s="19">
        <f t="shared" si="56"/>
        <v>0</v>
      </c>
      <c r="T149" s="19">
        <f t="shared" si="57"/>
        <v>0</v>
      </c>
      <c r="U149" s="17"/>
      <c r="V149" s="19">
        <f t="shared" si="50"/>
        <v>392.64125026150691</v>
      </c>
      <c r="W149" s="17"/>
      <c r="X149" s="19">
        <f t="shared" si="51"/>
        <v>23.955736131729779</v>
      </c>
      <c r="Y149" s="19">
        <f t="shared" si="52"/>
        <v>4.894459738493083</v>
      </c>
      <c r="Z149" s="19"/>
      <c r="AA149" s="19">
        <f t="shared" si="53"/>
        <v>3.180900268684711E-5</v>
      </c>
    </row>
    <row r="150" spans="2:27" x14ac:dyDescent="0.35">
      <c r="B150" s="27">
        <v>11.2</v>
      </c>
      <c r="C150" s="27">
        <v>382.28570999999999</v>
      </c>
      <c r="D150" s="19">
        <f t="shared" si="40"/>
        <v>22.835822542645541</v>
      </c>
      <c r="E150" s="19">
        <f t="shared" si="41"/>
        <v>-1.074169911368908</v>
      </c>
      <c r="F150" s="19">
        <f t="shared" si="42"/>
        <v>-0.84166902178066416</v>
      </c>
      <c r="G150" s="19">
        <f t="shared" si="43"/>
        <v>-0.84166902178066416</v>
      </c>
      <c r="H150" s="19">
        <f t="shared" si="44"/>
        <v>-0.84166902178066416</v>
      </c>
      <c r="I150" s="17"/>
      <c r="J150" s="19">
        <f t="shared" si="45"/>
        <v>19.847732760643179</v>
      </c>
      <c r="K150" s="19">
        <f t="shared" si="46"/>
        <v>0.26267351072047912</v>
      </c>
      <c r="L150" s="19">
        <f t="shared" si="47"/>
        <v>0.31464409961646095</v>
      </c>
      <c r="M150" s="19">
        <f t="shared" si="48"/>
        <v>0.31464409961646095</v>
      </c>
      <c r="N150" s="19">
        <f t="shared" si="49"/>
        <v>0.31464409961646095</v>
      </c>
      <c r="O150" s="17"/>
      <c r="P150" s="19">
        <f t="shared" si="35"/>
        <v>128.12892329503003</v>
      </c>
      <c r="Q150" s="19">
        <f t="shared" si="54"/>
        <v>261.27444842871967</v>
      </c>
      <c r="R150" s="19">
        <f t="shared" si="55"/>
        <v>0</v>
      </c>
      <c r="S150" s="19">
        <f t="shared" si="56"/>
        <v>0</v>
      </c>
      <c r="T150" s="19">
        <f t="shared" si="57"/>
        <v>0</v>
      </c>
      <c r="U150" s="17"/>
      <c r="V150" s="19">
        <f t="shared" si="50"/>
        <v>389.40337172374973</v>
      </c>
      <c r="W150" s="17"/>
      <c r="X150" s="19">
        <f t="shared" si="51"/>
        <v>50.66110841373203</v>
      </c>
      <c r="Y150" s="19">
        <f t="shared" si="52"/>
        <v>7.1176617237497339</v>
      </c>
      <c r="Z150" s="19"/>
      <c r="AA150" s="19">
        <f t="shared" si="53"/>
        <v>4.6257550984479112E-5</v>
      </c>
    </row>
    <row r="151" spans="2:27" x14ac:dyDescent="0.35">
      <c r="B151" s="27">
        <v>11.3</v>
      </c>
      <c r="C151" s="27">
        <v>369.78570999999999</v>
      </c>
      <c r="D151" s="19">
        <f t="shared" si="40"/>
        <v>22.976321881068031</v>
      </c>
      <c r="E151" s="19">
        <f t="shared" si="41"/>
        <v>-1.0680449825417857</v>
      </c>
      <c r="F151" s="19">
        <f t="shared" si="42"/>
        <v>-0.83055791066955265</v>
      </c>
      <c r="G151" s="19">
        <f t="shared" si="43"/>
        <v>-0.83055791066955265</v>
      </c>
      <c r="H151" s="19">
        <f t="shared" si="44"/>
        <v>-0.83055791066955265</v>
      </c>
      <c r="I151" s="17"/>
      <c r="J151" s="19">
        <f t="shared" si="45"/>
        <v>19.981514318978984</v>
      </c>
      <c r="K151" s="19">
        <f t="shared" si="46"/>
        <v>0.26395012637750181</v>
      </c>
      <c r="L151" s="19">
        <f t="shared" si="47"/>
        <v>0.31731196419099861</v>
      </c>
      <c r="M151" s="19">
        <f t="shared" si="48"/>
        <v>0.31731196419099861</v>
      </c>
      <c r="N151" s="19">
        <f t="shared" si="49"/>
        <v>0.31731196419099861</v>
      </c>
      <c r="O151" s="17"/>
      <c r="P151" s="19">
        <f t="shared" si="35"/>
        <v>126.45956495917385</v>
      </c>
      <c r="Q151" s="19">
        <f t="shared" si="54"/>
        <v>259.74815766344807</v>
      </c>
      <c r="R151" s="19">
        <f t="shared" si="55"/>
        <v>0</v>
      </c>
      <c r="S151" s="19">
        <f t="shared" si="56"/>
        <v>0</v>
      </c>
      <c r="T151" s="19">
        <f t="shared" si="57"/>
        <v>0</v>
      </c>
      <c r="U151" s="17"/>
      <c r="V151" s="19">
        <f t="shared" si="50"/>
        <v>386.20772262262193</v>
      </c>
      <c r="W151" s="17"/>
      <c r="X151" s="19">
        <f t="shared" si="51"/>
        <v>269.68249857755416</v>
      </c>
      <c r="Y151" s="19">
        <f t="shared" si="52"/>
        <v>16.422012622621935</v>
      </c>
      <c r="Z151" s="19"/>
      <c r="AA151" s="19">
        <f t="shared" si="53"/>
        <v>1.0672635419353679E-4</v>
      </c>
    </row>
    <row r="152" spans="2:27" x14ac:dyDescent="0.35">
      <c r="B152" s="27">
        <v>11.4</v>
      </c>
      <c r="C152" s="27">
        <v>399.53570999999999</v>
      </c>
      <c r="D152" s="19">
        <f t="shared" si="40"/>
        <v>23.116821219490525</v>
      </c>
      <c r="E152" s="19">
        <f t="shared" si="41"/>
        <v>-1.0619200537146634</v>
      </c>
      <c r="F152" s="19">
        <f t="shared" si="42"/>
        <v>-0.81944679955844157</v>
      </c>
      <c r="G152" s="19">
        <f t="shared" si="43"/>
        <v>-0.81944679955844157</v>
      </c>
      <c r="H152" s="19">
        <f t="shared" si="44"/>
        <v>-0.81944679955844157</v>
      </c>
      <c r="I152" s="17"/>
      <c r="J152" s="19">
        <f t="shared" si="45"/>
        <v>20.115338581920209</v>
      </c>
      <c r="K152" s="19">
        <f t="shared" si="46"/>
        <v>0.26523164584622222</v>
      </c>
      <c r="L152" s="19">
        <f t="shared" si="47"/>
        <v>0.31999696573936443</v>
      </c>
      <c r="M152" s="19">
        <f t="shared" si="48"/>
        <v>0.31999696573936443</v>
      </c>
      <c r="N152" s="19">
        <f t="shared" si="49"/>
        <v>0.31999696573936443</v>
      </c>
      <c r="O152" s="17"/>
      <c r="P152" s="19">
        <f t="shared" si="35"/>
        <v>124.8221086807348</v>
      </c>
      <c r="Q152" s="19">
        <f t="shared" si="54"/>
        <v>258.23131194273378</v>
      </c>
      <c r="R152" s="19">
        <f t="shared" si="55"/>
        <v>0</v>
      </c>
      <c r="S152" s="19">
        <f t="shared" si="56"/>
        <v>0</v>
      </c>
      <c r="T152" s="19">
        <f t="shared" si="57"/>
        <v>0</v>
      </c>
      <c r="U152" s="17"/>
      <c r="V152" s="19">
        <f t="shared" si="50"/>
        <v>383.05342062346858</v>
      </c>
      <c r="W152" s="17"/>
      <c r="X152" s="19">
        <f t="shared" si="51"/>
        <v>271.66586309172027</v>
      </c>
      <c r="Y152" s="19">
        <f t="shared" si="52"/>
        <v>16.482289376531412</v>
      </c>
      <c r="Z152" s="19"/>
      <c r="AA152" s="19">
        <f t="shared" si="53"/>
        <v>1.0711809169461005E-4</v>
      </c>
    </row>
    <row r="153" spans="2:27" x14ac:dyDescent="0.35">
      <c r="B153" s="27">
        <v>11.5</v>
      </c>
      <c r="C153" s="27">
        <v>384.28570999999999</v>
      </c>
      <c r="D153" s="19">
        <f t="shared" si="40"/>
        <v>23.257320557913012</v>
      </c>
      <c r="E153" s="19">
        <f t="shared" si="41"/>
        <v>-1.0557951248875412</v>
      </c>
      <c r="F153" s="19">
        <f t="shared" si="42"/>
        <v>-0.8083356884473305</v>
      </c>
      <c r="G153" s="19">
        <f t="shared" si="43"/>
        <v>-0.8083356884473305</v>
      </c>
      <c r="H153" s="19">
        <f t="shared" si="44"/>
        <v>-0.8083356884473305</v>
      </c>
      <c r="I153" s="17"/>
      <c r="J153" s="19">
        <f t="shared" si="45"/>
        <v>20.249205023242563</v>
      </c>
      <c r="K153" s="19">
        <f t="shared" si="46"/>
        <v>0.2665180779773928</v>
      </c>
      <c r="L153" s="19">
        <f t="shared" si="47"/>
        <v>0.32269914402413835</v>
      </c>
      <c r="M153" s="19">
        <f t="shared" si="48"/>
        <v>0.32269914402413835</v>
      </c>
      <c r="N153" s="19">
        <f t="shared" si="49"/>
        <v>0.32269914402413835</v>
      </c>
      <c r="O153" s="17"/>
      <c r="P153" s="19">
        <f t="shared" si="35"/>
        <v>123.21575635709371</v>
      </c>
      <c r="Q153" s="19">
        <f t="shared" si="54"/>
        <v>256.72385288564624</v>
      </c>
      <c r="R153" s="19">
        <f t="shared" si="55"/>
        <v>0</v>
      </c>
      <c r="S153" s="19">
        <f t="shared" si="56"/>
        <v>0</v>
      </c>
      <c r="T153" s="19">
        <f t="shared" si="57"/>
        <v>0</v>
      </c>
      <c r="U153" s="17"/>
      <c r="V153" s="19">
        <f t="shared" si="50"/>
        <v>379.93960924273995</v>
      </c>
      <c r="W153" s="17"/>
      <c r="X153" s="19">
        <f t="shared" si="51"/>
        <v>18.888591792256349</v>
      </c>
      <c r="Y153" s="19">
        <f t="shared" si="52"/>
        <v>4.3461007572600465</v>
      </c>
      <c r="Z153" s="19"/>
      <c r="AA153" s="19">
        <f t="shared" si="53"/>
        <v>2.8245227880361782E-5</v>
      </c>
    </row>
    <row r="154" spans="2:27" x14ac:dyDescent="0.35">
      <c r="B154" s="27">
        <v>11.6</v>
      </c>
      <c r="C154" s="27">
        <v>379.53570999999999</v>
      </c>
      <c r="D154" s="19">
        <f t="shared" si="40"/>
        <v>23.397819896335506</v>
      </c>
      <c r="E154" s="19">
        <f t="shared" si="41"/>
        <v>-1.0496701960604189</v>
      </c>
      <c r="F154" s="19">
        <f t="shared" si="42"/>
        <v>-0.79722457733621965</v>
      </c>
      <c r="G154" s="19">
        <f t="shared" si="43"/>
        <v>-0.79722457733621965</v>
      </c>
      <c r="H154" s="19">
        <f t="shared" si="44"/>
        <v>-0.79722457733621965</v>
      </c>
      <c r="I154" s="17"/>
      <c r="J154" s="19">
        <f t="shared" si="45"/>
        <v>20.383113126221286</v>
      </c>
      <c r="K154" s="19">
        <f t="shared" si="46"/>
        <v>0.26780943157144044</v>
      </c>
      <c r="L154" s="19">
        <f t="shared" si="47"/>
        <v>0.32541853814743105</v>
      </c>
      <c r="M154" s="19">
        <f t="shared" si="48"/>
        <v>0.32541853814743105</v>
      </c>
      <c r="N154" s="19">
        <f t="shared" si="49"/>
        <v>0.32541853814743105</v>
      </c>
      <c r="O154" s="17"/>
      <c r="P154" s="19">
        <f t="shared" si="35"/>
        <v>121.63973444913285</v>
      </c>
      <c r="Q154" s="19">
        <f t="shared" si="54"/>
        <v>255.22572246307308</v>
      </c>
      <c r="R154" s="19">
        <f t="shared" si="55"/>
        <v>0</v>
      </c>
      <c r="S154" s="19">
        <f t="shared" si="56"/>
        <v>0</v>
      </c>
      <c r="T154" s="19">
        <f t="shared" si="57"/>
        <v>0</v>
      </c>
      <c r="U154" s="17"/>
      <c r="V154" s="19">
        <f t="shared" si="50"/>
        <v>376.8654569122059</v>
      </c>
      <c r="W154" s="17"/>
      <c r="X154" s="19">
        <f t="shared" si="51"/>
        <v>7.1302515528738954</v>
      </c>
      <c r="Y154" s="19">
        <f t="shared" si="52"/>
        <v>2.6702530877940944</v>
      </c>
      <c r="Z154" s="19"/>
      <c r="AA154" s="19">
        <f t="shared" si="53"/>
        <v>1.7353925087216074E-5</v>
      </c>
    </row>
    <row r="155" spans="2:27" x14ac:dyDescent="0.35">
      <c r="B155" s="27">
        <v>11.7</v>
      </c>
      <c r="C155" s="27">
        <v>361.78570999999999</v>
      </c>
      <c r="D155" s="19">
        <f t="shared" si="40"/>
        <v>23.538319234757992</v>
      </c>
      <c r="E155" s="19">
        <f t="shared" si="41"/>
        <v>-1.0435452672332968</v>
      </c>
      <c r="F155" s="19">
        <f t="shared" si="42"/>
        <v>-0.78611346622510858</v>
      </c>
      <c r="G155" s="19">
        <f t="shared" si="43"/>
        <v>-0.78611346622510858</v>
      </c>
      <c r="H155" s="19">
        <f t="shared" si="44"/>
        <v>-0.78611346622510858</v>
      </c>
      <c r="I155" s="17"/>
      <c r="J155" s="19">
        <f t="shared" si="45"/>
        <v>20.517062383406973</v>
      </c>
      <c r="K155" s="19">
        <f t="shared" si="46"/>
        <v>0.26910571537813682</v>
      </c>
      <c r="L155" s="19">
        <f t="shared" si="47"/>
        <v>0.3281551865469986</v>
      </c>
      <c r="M155" s="19">
        <f t="shared" si="48"/>
        <v>0.3281551865469986</v>
      </c>
      <c r="N155" s="19">
        <f t="shared" si="49"/>
        <v>0.3281551865469986</v>
      </c>
      <c r="O155" s="17"/>
      <c r="P155" s="19">
        <f t="shared" si="35"/>
        <v>120.09329308693582</v>
      </c>
      <c r="Q155" s="19">
        <f t="shared" si="54"/>
        <v>253.73686299561069</v>
      </c>
      <c r="R155" s="19">
        <f t="shared" si="55"/>
        <v>0</v>
      </c>
      <c r="S155" s="19">
        <f t="shared" si="56"/>
        <v>0</v>
      </c>
      <c r="T155" s="19">
        <f t="shared" si="57"/>
        <v>0</v>
      </c>
      <c r="U155" s="17"/>
      <c r="V155" s="19">
        <f t="shared" si="50"/>
        <v>373.83015608254652</v>
      </c>
      <c r="W155" s="17"/>
      <c r="X155" s="19">
        <f t="shared" si="51"/>
        <v>145.06868143537042</v>
      </c>
      <c r="Y155" s="19">
        <f t="shared" si="52"/>
        <v>12.044446082546528</v>
      </c>
      <c r="Z155" s="19"/>
      <c r="AA155" s="19">
        <f t="shared" si="53"/>
        <v>7.8276630776671585E-5</v>
      </c>
    </row>
    <row r="156" spans="2:27" x14ac:dyDescent="0.35">
      <c r="B156" s="27">
        <v>11.8</v>
      </c>
      <c r="C156" s="27">
        <v>394.78570999999999</v>
      </c>
      <c r="D156" s="19">
        <f t="shared" si="40"/>
        <v>23.678818573180486</v>
      </c>
      <c r="E156" s="19">
        <f t="shared" si="41"/>
        <v>-1.0374203384061744</v>
      </c>
      <c r="F156" s="19">
        <f t="shared" si="42"/>
        <v>-0.77500235511399707</v>
      </c>
      <c r="G156" s="19">
        <f t="shared" si="43"/>
        <v>-0.77500235511399707</v>
      </c>
      <c r="H156" s="19">
        <f t="shared" si="44"/>
        <v>-0.77500235511399707</v>
      </c>
      <c r="I156" s="17"/>
      <c r="J156" s="19">
        <f t="shared" si="45"/>
        <v>20.651052296407968</v>
      </c>
      <c r="K156" s="19">
        <f t="shared" si="46"/>
        <v>0.27040693809627198</v>
      </c>
      <c r="L156" s="19">
        <f t="shared" si="47"/>
        <v>0.33090912699249025</v>
      </c>
      <c r="M156" s="19">
        <f t="shared" si="48"/>
        <v>0.33090912699249025</v>
      </c>
      <c r="N156" s="19">
        <f t="shared" si="49"/>
        <v>0.33090912699249025</v>
      </c>
      <c r="O156" s="17"/>
      <c r="P156" s="19">
        <f t="shared" si="35"/>
        <v>118.57570521297579</v>
      </c>
      <c r="Q156" s="19">
        <f t="shared" si="54"/>
        <v>252.25721715146778</v>
      </c>
      <c r="R156" s="19">
        <f t="shared" si="55"/>
        <v>0</v>
      </c>
      <c r="S156" s="19">
        <f t="shared" si="56"/>
        <v>0</v>
      </c>
      <c r="T156" s="19">
        <f t="shared" si="57"/>
        <v>0</v>
      </c>
      <c r="U156" s="17"/>
      <c r="V156" s="19">
        <f t="shared" si="50"/>
        <v>370.83292236444356</v>
      </c>
      <c r="W156" s="17"/>
      <c r="X156" s="19">
        <f t="shared" si="51"/>
        <v>573.73603551406518</v>
      </c>
      <c r="Y156" s="19">
        <f t="shared" si="52"/>
        <v>23.952787635556433</v>
      </c>
      <c r="Z156" s="19"/>
      <c r="AA156" s="19">
        <f t="shared" si="53"/>
        <v>1.556687207506732E-4</v>
      </c>
    </row>
    <row r="157" spans="2:27" x14ac:dyDescent="0.35">
      <c r="B157" s="27">
        <v>11.9</v>
      </c>
      <c r="C157" s="27">
        <v>364.03570999999999</v>
      </c>
      <c r="D157" s="19">
        <f t="shared" si="40"/>
        <v>23.81931791160298</v>
      </c>
      <c r="E157" s="19">
        <f t="shared" si="41"/>
        <v>-1.0312954095790521</v>
      </c>
      <c r="F157" s="19">
        <f t="shared" si="42"/>
        <v>-0.76389124400288599</v>
      </c>
      <c r="G157" s="19">
        <f t="shared" si="43"/>
        <v>-0.76389124400288599</v>
      </c>
      <c r="H157" s="19">
        <f t="shared" si="44"/>
        <v>-0.76389124400288599</v>
      </c>
      <c r="I157" s="17"/>
      <c r="J157" s="19">
        <f t="shared" si="45"/>
        <v>20.785082375678954</v>
      </c>
      <c r="K157" s="19">
        <f t="shared" si="46"/>
        <v>0.27171310837332968</v>
      </c>
      <c r="L157" s="19">
        <f t="shared" si="47"/>
        <v>0.33368039658182935</v>
      </c>
      <c r="M157" s="19">
        <f t="shared" si="48"/>
        <v>0.33368039658182935</v>
      </c>
      <c r="N157" s="19">
        <f t="shared" si="49"/>
        <v>0.33368039658182935</v>
      </c>
      <c r="O157" s="17"/>
      <c r="P157" s="19">
        <f t="shared" si="35"/>
        <v>117.08626576101919</v>
      </c>
      <c r="Q157" s="19">
        <f t="shared" si="54"/>
        <v>250.78672794438253</v>
      </c>
      <c r="R157" s="19">
        <f t="shared" si="55"/>
        <v>0</v>
      </c>
      <c r="S157" s="19">
        <f t="shared" si="56"/>
        <v>0</v>
      </c>
      <c r="T157" s="19">
        <f t="shared" si="57"/>
        <v>0</v>
      </c>
      <c r="U157" s="17"/>
      <c r="V157" s="19">
        <f t="shared" si="50"/>
        <v>367.87299370540171</v>
      </c>
      <c r="W157" s="17"/>
      <c r="X157" s="19">
        <f t="shared" si="51"/>
        <v>14.724746235741529</v>
      </c>
      <c r="Y157" s="19">
        <f t="shared" si="52"/>
        <v>3.8372837054017168</v>
      </c>
      <c r="Z157" s="19"/>
      <c r="AA157" s="19">
        <f t="shared" si="53"/>
        <v>2.4938435336460237E-5</v>
      </c>
    </row>
    <row r="158" spans="2:27" x14ac:dyDescent="0.35">
      <c r="B158" s="27">
        <v>12</v>
      </c>
      <c r="C158" s="27">
        <v>371.03570999999999</v>
      </c>
      <c r="D158" s="19">
        <f t="shared" si="40"/>
        <v>23.959817250025466</v>
      </c>
      <c r="E158" s="19">
        <f t="shared" si="41"/>
        <v>-1.02517048075193</v>
      </c>
      <c r="F158" s="19">
        <f t="shared" si="42"/>
        <v>-0.75278013289177492</v>
      </c>
      <c r="G158" s="19">
        <f t="shared" si="43"/>
        <v>-0.75278013289177492</v>
      </c>
      <c r="H158" s="19">
        <f t="shared" si="44"/>
        <v>-0.75278013289177492</v>
      </c>
      <c r="I158" s="17"/>
      <c r="J158" s="19">
        <f t="shared" si="45"/>
        <v>20.919152140315653</v>
      </c>
      <c r="K158" s="19">
        <f t="shared" si="46"/>
        <v>0.27302423480516663</v>
      </c>
      <c r="L158" s="19">
        <f t="shared" si="47"/>
        <v>0.33646903173773085</v>
      </c>
      <c r="M158" s="19">
        <f t="shared" si="48"/>
        <v>0.33646903173773085</v>
      </c>
      <c r="N158" s="19">
        <f t="shared" si="49"/>
        <v>0.33646903173773085</v>
      </c>
      <c r="O158" s="17"/>
      <c r="P158" s="19">
        <f t="shared" si="35"/>
        <v>115.62429086906332</v>
      </c>
      <c r="Q158" s="19">
        <f t="shared" si="54"/>
        <v>249.32533873155307</v>
      </c>
      <c r="R158" s="19">
        <f t="shared" si="55"/>
        <v>0</v>
      </c>
      <c r="S158" s="19">
        <f t="shared" si="56"/>
        <v>0</v>
      </c>
      <c r="T158" s="19">
        <f t="shared" si="57"/>
        <v>0</v>
      </c>
      <c r="U158" s="17"/>
      <c r="V158" s="19">
        <f t="shared" si="50"/>
        <v>364.94962960061639</v>
      </c>
      <c r="W158" s="17"/>
      <c r="X158" s="19">
        <f t="shared" si="51"/>
        <v>37.040374627761295</v>
      </c>
      <c r="Y158" s="19">
        <f t="shared" si="52"/>
        <v>6.0860803993836043</v>
      </c>
      <c r="Z158" s="19"/>
      <c r="AA158" s="19">
        <f t="shared" si="53"/>
        <v>3.9553323169425877E-5</v>
      </c>
    </row>
    <row r="159" spans="2:27" x14ac:dyDescent="0.35">
      <c r="B159" s="27">
        <v>12.1</v>
      </c>
      <c r="C159" s="27">
        <v>347.28570999999999</v>
      </c>
      <c r="D159" s="19">
        <f t="shared" si="40"/>
        <v>24.10031658844796</v>
      </c>
      <c r="E159" s="19">
        <f t="shared" si="41"/>
        <v>-1.0190455519248074</v>
      </c>
      <c r="F159" s="19">
        <f t="shared" si="42"/>
        <v>-0.74166902178066407</v>
      </c>
      <c r="G159" s="19">
        <f t="shared" si="43"/>
        <v>-0.74166902178066407</v>
      </c>
      <c r="H159" s="19">
        <f t="shared" si="44"/>
        <v>-0.74166902178066407</v>
      </c>
      <c r="I159" s="17"/>
      <c r="J159" s="19">
        <f t="shared" si="45"/>
        <v>21.053261117855378</v>
      </c>
      <c r="K159" s="19">
        <f t="shared" si="46"/>
        <v>0.27434032593569446</v>
      </c>
      <c r="L159" s="19">
        <f t="shared" si="47"/>
        <v>0.33927506820435333</v>
      </c>
      <c r="M159" s="19">
        <f t="shared" si="48"/>
        <v>0.33927506820435333</v>
      </c>
      <c r="N159" s="19">
        <f t="shared" si="49"/>
        <v>0.33927506820435333</v>
      </c>
      <c r="O159" s="17"/>
      <c r="P159" s="19">
        <f t="shared" si="35"/>
        <v>114.18911712471517</v>
      </c>
      <c r="Q159" s="19">
        <f t="shared" si="54"/>
        <v>247.87299321157985</v>
      </c>
      <c r="R159" s="19">
        <f t="shared" si="55"/>
        <v>0</v>
      </c>
      <c r="S159" s="19">
        <f t="shared" si="56"/>
        <v>0</v>
      </c>
      <c r="T159" s="19">
        <f t="shared" si="57"/>
        <v>0</v>
      </c>
      <c r="U159" s="17"/>
      <c r="V159" s="19">
        <f t="shared" si="50"/>
        <v>362.06211033629501</v>
      </c>
      <c r="W159" s="17"/>
      <c r="X159" s="19">
        <f t="shared" si="51"/>
        <v>218.34200689845935</v>
      </c>
      <c r="Y159" s="19">
        <f t="shared" si="52"/>
        <v>14.776400336295012</v>
      </c>
      <c r="Z159" s="19"/>
      <c r="AA159" s="19">
        <f t="shared" si="53"/>
        <v>9.6031550592312793E-5</v>
      </c>
    </row>
    <row r="160" spans="2:27" x14ac:dyDescent="0.35">
      <c r="B160" s="27">
        <v>12.2</v>
      </c>
      <c r="C160" s="27">
        <v>354.53570999999999</v>
      </c>
      <c r="D160" s="19">
        <f t="shared" si="40"/>
        <v>24.240815926870447</v>
      </c>
      <c r="E160" s="19">
        <f t="shared" si="41"/>
        <v>-1.0129206230976853</v>
      </c>
      <c r="F160" s="19">
        <f t="shared" si="42"/>
        <v>-0.730557910669553</v>
      </c>
      <c r="G160" s="19">
        <f t="shared" si="43"/>
        <v>-0.730557910669553</v>
      </c>
      <c r="H160" s="19">
        <f t="shared" si="44"/>
        <v>-0.730557910669553</v>
      </c>
      <c r="I160" s="17"/>
      <c r="J160" s="19">
        <f t="shared" si="45"/>
        <v>21.18740884408319</v>
      </c>
      <c r="K160" s="19">
        <f t="shared" si="46"/>
        <v>0.27566139025656328</v>
      </c>
      <c r="L160" s="19">
        <f t="shared" si="47"/>
        <v>0.34209854104408799</v>
      </c>
      <c r="M160" s="19">
        <f t="shared" si="48"/>
        <v>0.34209854104408799</v>
      </c>
      <c r="N160" s="19">
        <f t="shared" si="49"/>
        <v>0.34209854104408799</v>
      </c>
      <c r="O160" s="17"/>
      <c r="P160" s="19">
        <f t="shared" si="35"/>
        <v>112.78010084150242</v>
      </c>
      <c r="Q160" s="19">
        <f t="shared" si="54"/>
        <v>246.42963542242342</v>
      </c>
      <c r="R160" s="19">
        <f t="shared" si="55"/>
        <v>0</v>
      </c>
      <c r="S160" s="19">
        <f t="shared" si="56"/>
        <v>0</v>
      </c>
      <c r="T160" s="19">
        <f t="shared" si="57"/>
        <v>0</v>
      </c>
      <c r="U160" s="17"/>
      <c r="V160" s="19">
        <f t="shared" si="50"/>
        <v>359.20973626392583</v>
      </c>
      <c r="W160" s="17"/>
      <c r="X160" s="19">
        <f t="shared" si="51"/>
        <v>21.846521515868538</v>
      </c>
      <c r="Y160" s="19">
        <f t="shared" si="52"/>
        <v>4.674026263925839</v>
      </c>
      <c r="Z160" s="19"/>
      <c r="AA160" s="19">
        <f t="shared" si="53"/>
        <v>3.0376409640951645E-5</v>
      </c>
    </row>
    <row r="161" spans="2:27" x14ac:dyDescent="0.35">
      <c r="B161" s="27">
        <v>12.3</v>
      </c>
      <c r="C161" s="27">
        <v>345.03570999999999</v>
      </c>
      <c r="D161" s="19">
        <f t="shared" si="40"/>
        <v>24.38131526529294</v>
      </c>
      <c r="E161" s="19">
        <f t="shared" si="41"/>
        <v>-1.0067956942705631</v>
      </c>
      <c r="F161" s="19">
        <f t="shared" si="42"/>
        <v>-0.71944679955844149</v>
      </c>
      <c r="G161" s="19">
        <f t="shared" si="43"/>
        <v>-0.71944679955844149</v>
      </c>
      <c r="H161" s="19">
        <f t="shared" si="44"/>
        <v>-0.71944679955844149</v>
      </c>
      <c r="I161" s="17"/>
      <c r="J161" s="19">
        <f t="shared" si="45"/>
        <v>21.321594862843611</v>
      </c>
      <c r="K161" s="19">
        <f t="shared" si="46"/>
        <v>0.27698743620685018</v>
      </c>
      <c r="L161" s="19">
        <f t="shared" si="47"/>
        <v>0.34493948463448443</v>
      </c>
      <c r="M161" s="19">
        <f t="shared" si="48"/>
        <v>0.34493948463448443</v>
      </c>
      <c r="N161" s="19">
        <f t="shared" si="49"/>
        <v>0.34493948463448443</v>
      </c>
      <c r="O161" s="17"/>
      <c r="P161" s="19">
        <f t="shared" si="35"/>
        <v>111.39661736468341</v>
      </c>
      <c r="Q161" s="19">
        <f t="shared" si="54"/>
        <v>244.99520973937211</v>
      </c>
      <c r="R161" s="19">
        <f t="shared" si="55"/>
        <v>0</v>
      </c>
      <c r="S161" s="19">
        <f t="shared" si="56"/>
        <v>0</v>
      </c>
      <c r="T161" s="19">
        <f t="shared" si="57"/>
        <v>0</v>
      </c>
      <c r="U161" s="17"/>
      <c r="V161" s="19">
        <f t="shared" si="50"/>
        <v>356.39182710405555</v>
      </c>
      <c r="W161" s="17"/>
      <c r="X161" s="19">
        <f t="shared" si="51"/>
        <v>128.96139568102316</v>
      </c>
      <c r="Y161" s="19">
        <f t="shared" si="52"/>
        <v>11.356117104055556</v>
      </c>
      <c r="Z161" s="19"/>
      <c r="AA161" s="19">
        <f t="shared" si="53"/>
        <v>7.3803193564785333E-5</v>
      </c>
    </row>
    <row r="162" spans="2:27" x14ac:dyDescent="0.35">
      <c r="B162" s="27">
        <v>12.4</v>
      </c>
      <c r="C162" s="27">
        <v>356.53570999999999</v>
      </c>
      <c r="D162" s="19">
        <f t="shared" si="40"/>
        <v>24.521814603715434</v>
      </c>
      <c r="E162" s="19">
        <f t="shared" si="41"/>
        <v>-1.0006707654434406</v>
      </c>
      <c r="F162" s="19">
        <f t="shared" si="42"/>
        <v>-0.70833568844733041</v>
      </c>
      <c r="G162" s="19">
        <f t="shared" si="43"/>
        <v>-0.70833568844733041</v>
      </c>
      <c r="H162" s="19">
        <f t="shared" si="44"/>
        <v>-0.70833568844733041</v>
      </c>
      <c r="I162" s="17"/>
      <c r="J162" s="19">
        <f t="shared" si="45"/>
        <v>21.455818725857519</v>
      </c>
      <c r="K162" s="19">
        <f t="shared" si="46"/>
        <v>0.27831847217274908</v>
      </c>
      <c r="L162" s="19">
        <f t="shared" si="47"/>
        <v>0.34779793266531411</v>
      </c>
      <c r="M162" s="19">
        <f t="shared" si="48"/>
        <v>0.34779793266531411</v>
      </c>
      <c r="N162" s="19">
        <f t="shared" si="49"/>
        <v>0.34779793266531411</v>
      </c>
      <c r="O162" s="17"/>
      <c r="P162" s="19">
        <f t="shared" si="35"/>
        <v>110.0380604052</v>
      </c>
      <c r="Q162" s="19">
        <f t="shared" si="54"/>
        <v>243.56966087302516</v>
      </c>
      <c r="R162" s="19">
        <f t="shared" si="55"/>
        <v>0</v>
      </c>
      <c r="S162" s="19">
        <f t="shared" si="56"/>
        <v>0</v>
      </c>
      <c r="T162" s="19">
        <f t="shared" si="57"/>
        <v>0</v>
      </c>
      <c r="U162" s="17"/>
      <c r="V162" s="19">
        <f t="shared" si="50"/>
        <v>353.60772127822514</v>
      </c>
      <c r="W162" s="17"/>
      <c r="X162" s="19">
        <f t="shared" si="51"/>
        <v>8.5731179548407344</v>
      </c>
      <c r="Y162" s="19">
        <f t="shared" si="52"/>
        <v>2.9279887217748524</v>
      </c>
      <c r="Z162" s="19"/>
      <c r="AA162" s="19">
        <f t="shared" si="53"/>
        <v>1.9028944172430633E-5</v>
      </c>
    </row>
    <row r="163" spans="2:27" x14ac:dyDescent="0.35">
      <c r="B163" s="27">
        <v>12.5</v>
      </c>
      <c r="C163" s="27">
        <v>342.03570999999999</v>
      </c>
      <c r="D163" s="19">
        <f t="shared" si="40"/>
        <v>24.662313942137921</v>
      </c>
      <c r="E163" s="19">
        <f t="shared" si="41"/>
        <v>-0.99454583661631857</v>
      </c>
      <c r="F163" s="19">
        <f t="shared" si="42"/>
        <v>-0.69722457733621956</v>
      </c>
      <c r="G163" s="19">
        <f t="shared" si="43"/>
        <v>-0.69722457733621956</v>
      </c>
      <c r="H163" s="19">
        <f t="shared" si="44"/>
        <v>-0.69722457733621956</v>
      </c>
      <c r="I163" s="17"/>
      <c r="J163" s="19">
        <f t="shared" si="45"/>
        <v>21.590079992544229</v>
      </c>
      <c r="K163" s="19">
        <f t="shared" si="46"/>
        <v>0.2796545064872642</v>
      </c>
      <c r="L163" s="19">
        <f t="shared" si="47"/>
        <v>0.3506739181357727</v>
      </c>
      <c r="M163" s="19">
        <f t="shared" si="48"/>
        <v>0.3506739181357727</v>
      </c>
      <c r="N163" s="19">
        <f t="shared" si="49"/>
        <v>0.3506739181357727</v>
      </c>
      <c r="O163" s="17"/>
      <c r="P163" s="19">
        <f t="shared" si="35"/>
        <v>108.70384140048301</v>
      </c>
      <c r="Q163" s="19">
        <f t="shared" si="54"/>
        <v>242.15293386728706</v>
      </c>
      <c r="R163" s="19">
        <f t="shared" si="55"/>
        <v>0</v>
      </c>
      <c r="S163" s="19">
        <f t="shared" si="56"/>
        <v>0</v>
      </c>
      <c r="T163" s="19">
        <f t="shared" si="57"/>
        <v>0</v>
      </c>
      <c r="U163" s="17"/>
      <c r="V163" s="19">
        <f t="shared" si="50"/>
        <v>350.8567752677701</v>
      </c>
      <c r="W163" s="17"/>
      <c r="X163" s="19">
        <f t="shared" si="51"/>
        <v>77.811192458260152</v>
      </c>
      <c r="Y163" s="19">
        <f t="shared" si="52"/>
        <v>8.8210652677701091</v>
      </c>
      <c r="Z163" s="19"/>
      <c r="AA163" s="19">
        <f t="shared" si="53"/>
        <v>5.7327938893157911E-5</v>
      </c>
    </row>
    <row r="164" spans="2:27" x14ac:dyDescent="0.35">
      <c r="B164" s="27">
        <v>12.6</v>
      </c>
      <c r="C164" s="27">
        <v>348.28570999999999</v>
      </c>
      <c r="D164" s="19">
        <f t="shared" si="40"/>
        <v>24.802813280560414</v>
      </c>
      <c r="E164" s="19">
        <f t="shared" si="41"/>
        <v>-0.98842090778919622</v>
      </c>
      <c r="F164" s="19">
        <f t="shared" si="42"/>
        <v>-0.68611346622510849</v>
      </c>
      <c r="G164" s="19">
        <f t="shared" si="43"/>
        <v>-0.68611346622510849</v>
      </c>
      <c r="H164" s="19">
        <f t="shared" si="44"/>
        <v>-0.68611346622510849</v>
      </c>
      <c r="I164" s="17"/>
      <c r="J164" s="19">
        <f t="shared" si="45"/>
        <v>21.724378229848508</v>
      </c>
      <c r="K164" s="19">
        <f t="shared" si="46"/>
        <v>0.28099554742990684</v>
      </c>
      <c r="L164" s="19">
        <f t="shared" si="47"/>
        <v>0.35356747335182037</v>
      </c>
      <c r="M164" s="19">
        <f t="shared" si="48"/>
        <v>0.35356747335182037</v>
      </c>
      <c r="N164" s="19">
        <f t="shared" si="49"/>
        <v>0.35356747335182037</v>
      </c>
      <c r="O164" s="17"/>
      <c r="P164" s="19">
        <f t="shared" si="35"/>
        <v>107.39338890088847</v>
      </c>
      <c r="Q164" s="19">
        <f t="shared" si="54"/>
        <v>240.74497409737481</v>
      </c>
      <c r="R164" s="19">
        <f t="shared" si="55"/>
        <v>0</v>
      </c>
      <c r="S164" s="19">
        <f t="shared" si="56"/>
        <v>0</v>
      </c>
      <c r="T164" s="19">
        <f t="shared" si="57"/>
        <v>0</v>
      </c>
      <c r="U164" s="17"/>
      <c r="V164" s="19">
        <f t="shared" si="50"/>
        <v>348.13836299826329</v>
      </c>
      <c r="W164" s="17"/>
      <c r="X164" s="19">
        <f t="shared" si="51"/>
        <v>2.1711138920796517E-2</v>
      </c>
      <c r="Y164" s="19">
        <f t="shared" si="52"/>
        <v>0.1473470017367049</v>
      </c>
      <c r="Z164" s="19"/>
      <c r="AA164" s="19">
        <f t="shared" si="53"/>
        <v>9.5760542012033047E-7</v>
      </c>
    </row>
    <row r="165" spans="2:27" x14ac:dyDescent="0.35">
      <c r="B165" s="27">
        <v>12.7</v>
      </c>
      <c r="C165" s="27">
        <v>343.78570999999999</v>
      </c>
      <c r="D165" s="19">
        <f t="shared" si="40"/>
        <v>24.943312618982901</v>
      </c>
      <c r="E165" s="19">
        <f t="shared" si="41"/>
        <v>-0.98229597896207399</v>
      </c>
      <c r="F165" s="19">
        <f t="shared" si="42"/>
        <v>-0.6750023551139972</v>
      </c>
      <c r="G165" s="19">
        <f t="shared" si="43"/>
        <v>-0.6750023551139972</v>
      </c>
      <c r="H165" s="19">
        <f t="shared" si="44"/>
        <v>-0.6750023551139972</v>
      </c>
      <c r="I165" s="17"/>
      <c r="J165" s="19">
        <f t="shared" si="45"/>
        <v>21.858713012072307</v>
      </c>
      <c r="K165" s="19">
        <f t="shared" si="46"/>
        <v>0.28234160322639412</v>
      </c>
      <c r="L165" s="19">
        <f t="shared" si="47"/>
        <v>0.35647862992366131</v>
      </c>
      <c r="M165" s="19">
        <f t="shared" si="48"/>
        <v>0.35647862992366131</v>
      </c>
      <c r="N165" s="19">
        <f t="shared" si="49"/>
        <v>0.35647862992366131</v>
      </c>
      <c r="O165" s="17"/>
      <c r="P165" s="19">
        <f t="shared" si="35"/>
        <v>106.10614798060392</v>
      </c>
      <c r="Q165" s="19">
        <f t="shared" si="54"/>
        <v>239.34572726783881</v>
      </c>
      <c r="R165" s="19">
        <f t="shared" si="55"/>
        <v>0</v>
      </c>
      <c r="S165" s="19">
        <f t="shared" si="56"/>
        <v>0</v>
      </c>
      <c r="T165" s="19">
        <f t="shared" si="57"/>
        <v>0</v>
      </c>
      <c r="U165" s="17"/>
      <c r="V165" s="19">
        <f t="shared" si="50"/>
        <v>345.45187524844272</v>
      </c>
      <c r="W165" s="17"/>
      <c r="X165" s="19">
        <f t="shared" si="51"/>
        <v>2.7761066351182029</v>
      </c>
      <c r="Y165" s="19">
        <f t="shared" si="52"/>
        <v>1.6661652484427236</v>
      </c>
      <c r="Z165" s="19"/>
      <c r="AA165" s="19">
        <f t="shared" si="53"/>
        <v>1.0828376919239576E-5</v>
      </c>
    </row>
    <row r="166" spans="2:27" x14ac:dyDescent="0.35">
      <c r="B166" s="27">
        <v>12.8</v>
      </c>
      <c r="C166" s="27">
        <v>337.53570999999999</v>
      </c>
      <c r="D166" s="19">
        <f t="shared" si="40"/>
        <v>25.083811957405395</v>
      </c>
      <c r="E166" s="19">
        <f t="shared" si="41"/>
        <v>-0.97617105013495165</v>
      </c>
      <c r="F166" s="19">
        <f t="shared" si="42"/>
        <v>-0.66389124400288591</v>
      </c>
      <c r="G166" s="19">
        <f t="shared" si="43"/>
        <v>-0.66389124400288591</v>
      </c>
      <c r="H166" s="19">
        <f t="shared" si="44"/>
        <v>-0.66389124400288591</v>
      </c>
      <c r="I166" s="17"/>
      <c r="J166" s="19">
        <f t="shared" si="45"/>
        <v>21.993083920711218</v>
      </c>
      <c r="K166" s="19">
        <f t="shared" si="46"/>
        <v>0.2836926820483523</v>
      </c>
      <c r="L166" s="19">
        <f t="shared" si="47"/>
        <v>0.35940741876336302</v>
      </c>
      <c r="M166" s="19">
        <f t="shared" si="48"/>
        <v>0.35940741876336302</v>
      </c>
      <c r="N166" s="19">
        <f t="shared" si="49"/>
        <v>0.35940741876336302</v>
      </c>
      <c r="O166" s="17"/>
      <c r="P166" s="19">
        <f t="shared" si="35"/>
        <v>104.84157967192141</v>
      </c>
      <c r="Q166" s="19">
        <f t="shared" si="54"/>
        <v>237.95513941059423</v>
      </c>
      <c r="R166" s="19">
        <f t="shared" si="55"/>
        <v>0</v>
      </c>
      <c r="S166" s="19">
        <f t="shared" si="56"/>
        <v>0</v>
      </c>
      <c r="T166" s="19">
        <f t="shared" si="57"/>
        <v>0</v>
      </c>
      <c r="U166" s="17"/>
      <c r="V166" s="19">
        <f t="shared" si="50"/>
        <v>342.79671908251566</v>
      </c>
      <c r="W166" s="17"/>
      <c r="X166" s="19">
        <f t="shared" si="51"/>
        <v>27.678216566312376</v>
      </c>
      <c r="Y166" s="19">
        <f t="shared" si="52"/>
        <v>5.2610090825156703</v>
      </c>
      <c r="Z166" s="19"/>
      <c r="AA166" s="19">
        <f t="shared" si="53"/>
        <v>3.4191200047094739E-5</v>
      </c>
    </row>
    <row r="167" spans="2:27" x14ac:dyDescent="0.35">
      <c r="B167" s="27">
        <v>12.9</v>
      </c>
      <c r="C167" s="27">
        <v>337.03570999999999</v>
      </c>
      <c r="D167" s="19">
        <f t="shared" si="40"/>
        <v>25.224311295827889</v>
      </c>
      <c r="E167" s="19">
        <f t="shared" si="41"/>
        <v>-0.97004612130782941</v>
      </c>
      <c r="F167" s="19">
        <f t="shared" si="42"/>
        <v>-0.65278013289177506</v>
      </c>
      <c r="G167" s="19">
        <f t="shared" si="43"/>
        <v>-0.65278013289177506</v>
      </c>
      <c r="H167" s="19">
        <f t="shared" si="44"/>
        <v>-0.65278013289177506</v>
      </c>
      <c r="I167" s="17"/>
      <c r="J167" s="19">
        <f t="shared" si="45"/>
        <v>22.127490544295284</v>
      </c>
      <c r="K167" s="19">
        <f t="shared" si="46"/>
        <v>0.2850487920130218</v>
      </c>
      <c r="L167" s="19">
        <f t="shared" si="47"/>
        <v>0.36235387008261477</v>
      </c>
      <c r="M167" s="19">
        <f t="shared" si="48"/>
        <v>0.36235387008261477</v>
      </c>
      <c r="N167" s="19">
        <f t="shared" si="49"/>
        <v>0.36235387008261477</v>
      </c>
      <c r="O167" s="17"/>
      <c r="P167" s="19">
        <f t="shared" si="35"/>
        <v>103.59916042183148</v>
      </c>
      <c r="Q167" s="19">
        <f t="shared" si="54"/>
        <v>236.5731568829668</v>
      </c>
      <c r="R167" s="19">
        <f t="shared" si="55"/>
        <v>0</v>
      </c>
      <c r="S167" s="19">
        <f t="shared" si="56"/>
        <v>0</v>
      </c>
      <c r="T167" s="19">
        <f t="shared" si="57"/>
        <v>0</v>
      </c>
      <c r="U167" s="17"/>
      <c r="V167" s="19">
        <f t="shared" si="50"/>
        <v>340.1723173047983</v>
      </c>
      <c r="W167" s="17"/>
      <c r="X167" s="19">
        <f t="shared" si="51"/>
        <v>9.8383053845140775</v>
      </c>
      <c r="Y167" s="19">
        <f t="shared" si="52"/>
        <v>3.1366073047983036</v>
      </c>
      <c r="Z167" s="19"/>
      <c r="AA167" s="19">
        <f t="shared" si="53"/>
        <v>2.0384752458221596E-5</v>
      </c>
    </row>
    <row r="168" spans="2:27" x14ac:dyDescent="0.35">
      <c r="B168" s="27">
        <v>13</v>
      </c>
      <c r="C168" s="27">
        <v>320.53570999999999</v>
      </c>
      <c r="D168" s="19">
        <f t="shared" si="40"/>
        <v>25.364810634250375</v>
      </c>
      <c r="E168" s="19">
        <f t="shared" si="41"/>
        <v>-0.96392119248070718</v>
      </c>
      <c r="F168" s="19">
        <f t="shared" si="42"/>
        <v>-0.64166902178066398</v>
      </c>
      <c r="G168" s="19">
        <f t="shared" si="43"/>
        <v>-0.64166902178066398</v>
      </c>
      <c r="H168" s="19">
        <f t="shared" si="44"/>
        <v>-0.64166902178066398</v>
      </c>
      <c r="I168" s="17"/>
      <c r="J168" s="19">
        <f t="shared" si="45"/>
        <v>22.26193247823424</v>
      </c>
      <c r="K168" s="19">
        <f t="shared" si="46"/>
        <v>0.28640994118296637</v>
      </c>
      <c r="L168" s="19">
        <f t="shared" si="47"/>
        <v>0.36531801339062692</v>
      </c>
      <c r="M168" s="19">
        <f t="shared" si="48"/>
        <v>0.36531801339062692</v>
      </c>
      <c r="N168" s="19">
        <f t="shared" si="49"/>
        <v>0.36531801339062692</v>
      </c>
      <c r="O168" s="17"/>
      <c r="P168" s="19">
        <f t="shared" ref="P168:P231" si="58">(C$21*C$23/(1-C$23)^2*$A$21*C$22)/(J168+J168^2)</f>
        <v>102.37838156994181</v>
      </c>
      <c r="Q168" s="19">
        <f t="shared" si="54"/>
        <v>235.19972636574971</v>
      </c>
      <c r="R168" s="19">
        <f t="shared" si="55"/>
        <v>0</v>
      </c>
      <c r="S168" s="19">
        <f t="shared" si="56"/>
        <v>0</v>
      </c>
      <c r="T168" s="19">
        <f t="shared" si="57"/>
        <v>0</v>
      </c>
      <c r="U168" s="17"/>
      <c r="V168" s="19">
        <f t="shared" si="50"/>
        <v>337.57810793569149</v>
      </c>
      <c r="W168" s="17"/>
      <c r="X168" s="19">
        <f t="shared" si="51"/>
        <v>290.4433273984618</v>
      </c>
      <c r="Y168" s="19">
        <f t="shared" si="52"/>
        <v>17.042397935691497</v>
      </c>
      <c r="Z168" s="19"/>
      <c r="AA168" s="19">
        <f t="shared" si="53"/>
        <v>1.1075822678922104E-4</v>
      </c>
    </row>
    <row r="169" spans="2:27" x14ac:dyDescent="0.35">
      <c r="B169" s="27">
        <v>13.1</v>
      </c>
      <c r="C169" s="27">
        <v>352.53570999999999</v>
      </c>
      <c r="D169" s="19">
        <f t="shared" si="40"/>
        <v>25.505309972672869</v>
      </c>
      <c r="E169" s="19">
        <f t="shared" si="41"/>
        <v>-0.95779626365358483</v>
      </c>
      <c r="F169" s="19">
        <f t="shared" si="42"/>
        <v>-0.63055791066955291</v>
      </c>
      <c r="G169" s="19">
        <f t="shared" si="43"/>
        <v>-0.63055791066955291</v>
      </c>
      <c r="H169" s="19">
        <f t="shared" si="44"/>
        <v>-0.63055791066955291</v>
      </c>
      <c r="I169" s="17"/>
      <c r="J169" s="19">
        <f t="shared" si="45"/>
        <v>22.396409324666916</v>
      </c>
      <c r="K169" s="19">
        <f t="shared" si="46"/>
        <v>0.2877761375657848</v>
      </c>
      <c r="L169" s="19">
        <f t="shared" si="47"/>
        <v>0.3682998774921688</v>
      </c>
      <c r="M169" s="19">
        <f t="shared" si="48"/>
        <v>0.3682998774921688</v>
      </c>
      <c r="N169" s="19">
        <f t="shared" si="49"/>
        <v>0.3682998774921688</v>
      </c>
      <c r="O169" s="17"/>
      <c r="P169" s="19">
        <f t="shared" si="58"/>
        <v>101.17874884677553</v>
      </c>
      <c r="Q169" s="19">
        <f t="shared" si="54"/>
        <v>233.83479486127334</v>
      </c>
      <c r="R169" s="19">
        <f t="shared" si="55"/>
        <v>0</v>
      </c>
      <c r="S169" s="19">
        <f t="shared" si="56"/>
        <v>0</v>
      </c>
      <c r="T169" s="19">
        <f t="shared" si="57"/>
        <v>0</v>
      </c>
      <c r="U169" s="17"/>
      <c r="V169" s="19">
        <f t="shared" si="50"/>
        <v>335.01354370804887</v>
      </c>
      <c r="W169" s="17"/>
      <c r="X169" s="19">
        <f t="shared" si="51"/>
        <v>307.02631156278818</v>
      </c>
      <c r="Y169" s="19">
        <f t="shared" si="52"/>
        <v>17.522166291951123</v>
      </c>
      <c r="Z169" s="19"/>
      <c r="AA169" s="19">
        <f t="shared" si="53"/>
        <v>1.1387623240142478E-4</v>
      </c>
    </row>
    <row r="170" spans="2:27" x14ac:dyDescent="0.35">
      <c r="B170" s="27">
        <v>13.2</v>
      </c>
      <c r="C170" s="27">
        <v>318.03570999999999</v>
      </c>
      <c r="D170" s="19">
        <f t="shared" si="40"/>
        <v>25.645809311095356</v>
      </c>
      <c r="E170" s="19">
        <f t="shared" si="41"/>
        <v>-0.95167133482646271</v>
      </c>
      <c r="F170" s="19">
        <f t="shared" si="42"/>
        <v>-0.61944679955844162</v>
      </c>
      <c r="G170" s="19">
        <f t="shared" si="43"/>
        <v>-0.61944679955844162</v>
      </c>
      <c r="H170" s="19">
        <f t="shared" si="44"/>
        <v>-0.61944679955844162</v>
      </c>
      <c r="I170" s="17"/>
      <c r="J170" s="19">
        <f t="shared" si="45"/>
        <v>22.530920692314627</v>
      </c>
      <c r="K170" s="19">
        <f t="shared" si="46"/>
        <v>0.28914738911382581</v>
      </c>
      <c r="L170" s="19">
        <f t="shared" si="47"/>
        <v>0.37129949048574862</v>
      </c>
      <c r="M170" s="19">
        <f t="shared" si="48"/>
        <v>0.37129949048574862</v>
      </c>
      <c r="N170" s="19">
        <f t="shared" si="49"/>
        <v>0.37129949048574862</v>
      </c>
      <c r="O170" s="17"/>
      <c r="P170" s="19">
        <f t="shared" si="58"/>
        <v>99.999781891551407</v>
      </c>
      <c r="Q170" s="19">
        <f t="shared" si="54"/>
        <v>232.47830969148688</v>
      </c>
      <c r="R170" s="19">
        <f t="shared" si="55"/>
        <v>0</v>
      </c>
      <c r="S170" s="19">
        <f t="shared" si="56"/>
        <v>0</v>
      </c>
      <c r="T170" s="19">
        <f t="shared" si="57"/>
        <v>0</v>
      </c>
      <c r="U170" s="17"/>
      <c r="V170" s="19">
        <f t="shared" si="50"/>
        <v>332.47809158303829</v>
      </c>
      <c r="W170" s="17"/>
      <c r="X170" s="19">
        <f t="shared" si="51"/>
        <v>208.5823857900838</v>
      </c>
      <c r="Y170" s="19">
        <f t="shared" si="52"/>
        <v>14.442381583038298</v>
      </c>
      <c r="Z170" s="19"/>
      <c r="AA170" s="19">
        <f t="shared" si="53"/>
        <v>9.3860768935608152E-5</v>
      </c>
    </row>
    <row r="171" spans="2:27" x14ac:dyDescent="0.35">
      <c r="B171" s="27">
        <v>13.3</v>
      </c>
      <c r="C171" s="27">
        <v>319.53570999999999</v>
      </c>
      <c r="D171" s="19">
        <f t="shared" si="40"/>
        <v>25.786308649517849</v>
      </c>
      <c r="E171" s="19">
        <f t="shared" si="41"/>
        <v>-0.94554640599934037</v>
      </c>
      <c r="F171" s="19">
        <f t="shared" si="42"/>
        <v>-0.60833568844733055</v>
      </c>
      <c r="G171" s="19">
        <f t="shared" si="43"/>
        <v>-0.60833568844733055</v>
      </c>
      <c r="H171" s="19">
        <f t="shared" si="44"/>
        <v>-0.60833568844733055</v>
      </c>
      <c r="I171" s="17"/>
      <c r="J171" s="19">
        <f t="shared" si="45"/>
        <v>22.66546619633862</v>
      </c>
      <c r="K171" s="19">
        <f t="shared" si="46"/>
        <v>0.29052370372390685</v>
      </c>
      <c r="L171" s="19">
        <f t="shared" si="47"/>
        <v>0.37431687976193145</v>
      </c>
      <c r="M171" s="19">
        <f t="shared" si="48"/>
        <v>0.37431687976193145</v>
      </c>
      <c r="N171" s="19">
        <f t="shared" si="49"/>
        <v>0.37431687976193145</v>
      </c>
      <c r="O171" s="17"/>
      <c r="P171" s="19">
        <f t="shared" si="58"/>
        <v>98.841013788588583</v>
      </c>
      <c r="Q171" s="19">
        <f t="shared" si="54"/>
        <v>231.13021849605218</v>
      </c>
      <c r="R171" s="19">
        <f t="shared" si="55"/>
        <v>0</v>
      </c>
      <c r="S171" s="19">
        <f t="shared" si="56"/>
        <v>0</v>
      </c>
      <c r="T171" s="19">
        <f t="shared" si="57"/>
        <v>0</v>
      </c>
      <c r="U171" s="17"/>
      <c r="V171" s="19">
        <f t="shared" si="50"/>
        <v>329.97123228464079</v>
      </c>
      <c r="W171" s="17"/>
      <c r="X171" s="19">
        <f t="shared" si="51"/>
        <v>108.90012535323467</v>
      </c>
      <c r="Y171" s="19">
        <f t="shared" si="52"/>
        <v>10.435522284640797</v>
      </c>
      <c r="Z171" s="19"/>
      <c r="AA171" s="19">
        <f t="shared" si="53"/>
        <v>6.7820264978416485E-5</v>
      </c>
    </row>
    <row r="172" spans="2:27" x14ac:dyDescent="0.35">
      <c r="B172" s="27">
        <v>13.4</v>
      </c>
      <c r="C172" s="27">
        <v>333.78570999999999</v>
      </c>
      <c r="D172" s="19">
        <f t="shared" si="40"/>
        <v>25.926807987940343</v>
      </c>
      <c r="E172" s="19">
        <f t="shared" si="41"/>
        <v>-0.93942147717221802</v>
      </c>
      <c r="F172" s="19">
        <f t="shared" si="42"/>
        <v>-0.59722457733621948</v>
      </c>
      <c r="G172" s="19">
        <f t="shared" si="43"/>
        <v>-0.59722457733621948</v>
      </c>
      <c r="H172" s="19">
        <f t="shared" si="44"/>
        <v>-0.59722457733621948</v>
      </c>
      <c r="I172" s="17"/>
      <c r="J172" s="19">
        <f t="shared" si="45"/>
        <v>22.800045458201183</v>
      </c>
      <c r="K172" s="19">
        <f t="shared" si="46"/>
        <v>0.29190508923703518</v>
      </c>
      <c r="L172" s="19">
        <f t="shared" si="47"/>
        <v>0.37735207200179982</v>
      </c>
      <c r="M172" s="19">
        <f t="shared" si="48"/>
        <v>0.37735207200179982</v>
      </c>
      <c r="N172" s="19">
        <f t="shared" si="49"/>
        <v>0.37735207200179982</v>
      </c>
      <c r="O172" s="17"/>
      <c r="P172" s="19">
        <f t="shared" si="58"/>
        <v>97.701990621525681</v>
      </c>
      <c r="Q172" s="19">
        <f t="shared" si="54"/>
        <v>229.79046923044939</v>
      </c>
      <c r="R172" s="19">
        <f t="shared" si="55"/>
        <v>0</v>
      </c>
      <c r="S172" s="19">
        <f t="shared" si="56"/>
        <v>0</v>
      </c>
      <c r="T172" s="19">
        <f t="shared" si="57"/>
        <v>0</v>
      </c>
      <c r="U172" s="17"/>
      <c r="V172" s="19">
        <f t="shared" si="50"/>
        <v>327.49245985197507</v>
      </c>
      <c r="W172" s="17"/>
      <c r="X172" s="19">
        <f t="shared" si="51"/>
        <v>39.604997425615728</v>
      </c>
      <c r="Y172" s="19">
        <f t="shared" si="52"/>
        <v>6.2932501480249243</v>
      </c>
      <c r="Z172" s="19"/>
      <c r="AA172" s="19">
        <f t="shared" si="53"/>
        <v>4.0899715507550225E-5</v>
      </c>
    </row>
    <row r="173" spans="2:27" x14ac:dyDescent="0.35">
      <c r="B173" s="27">
        <v>13.5</v>
      </c>
      <c r="C173" s="27">
        <v>325.28570999999999</v>
      </c>
      <c r="D173" s="19">
        <f t="shared" si="40"/>
        <v>26.06730732636283</v>
      </c>
      <c r="E173" s="19">
        <f t="shared" si="41"/>
        <v>-0.93329654834509579</v>
      </c>
      <c r="F173" s="19">
        <f t="shared" si="42"/>
        <v>-0.5861134662251084</v>
      </c>
      <c r="G173" s="19">
        <f t="shared" si="43"/>
        <v>-0.5861134662251084</v>
      </c>
      <c r="H173" s="19">
        <f t="shared" si="44"/>
        <v>-0.5861134662251084</v>
      </c>
      <c r="I173" s="17"/>
      <c r="J173" s="19">
        <f t="shared" si="45"/>
        <v>22.934658105530517</v>
      </c>
      <c r="K173" s="19">
        <f t="shared" si="46"/>
        <v>0.29329155343813296</v>
      </c>
      <c r="L173" s="19">
        <f t="shared" si="47"/>
        <v>0.38040509317555188</v>
      </c>
      <c r="M173" s="19">
        <f t="shared" si="48"/>
        <v>0.38040509317555188</v>
      </c>
      <c r="N173" s="19">
        <f t="shared" si="49"/>
        <v>0.38040509317555188</v>
      </c>
      <c r="O173" s="17"/>
      <c r="P173" s="19">
        <f t="shared" si="58"/>
        <v>96.582271044578945</v>
      </c>
      <c r="Q173" s="19">
        <f t="shared" si="54"/>
        <v>228.45901016409488</v>
      </c>
      <c r="R173" s="19">
        <f t="shared" si="55"/>
        <v>0</v>
      </c>
      <c r="S173" s="19">
        <f t="shared" si="56"/>
        <v>0</v>
      </c>
      <c r="T173" s="19">
        <f t="shared" si="57"/>
        <v>0</v>
      </c>
      <c r="U173" s="17"/>
      <c r="V173" s="19">
        <f t="shared" si="50"/>
        <v>325.04128120867381</v>
      </c>
      <c r="W173" s="17"/>
      <c r="X173" s="19">
        <f t="shared" si="51"/>
        <v>5.9745434029180179E-2</v>
      </c>
      <c r="Y173" s="19">
        <f t="shared" si="52"/>
        <v>0.244428791326186</v>
      </c>
      <c r="Z173" s="19"/>
      <c r="AA173" s="19">
        <f t="shared" si="53"/>
        <v>1.5885381626269616E-6</v>
      </c>
    </row>
    <row r="174" spans="2:27" x14ac:dyDescent="0.35">
      <c r="B174" s="27">
        <v>13.6</v>
      </c>
      <c r="C174" s="27">
        <v>302.28570999999999</v>
      </c>
      <c r="D174" s="19">
        <f t="shared" si="40"/>
        <v>26.207806664785323</v>
      </c>
      <c r="E174" s="19">
        <f t="shared" si="41"/>
        <v>-0.92717161951797356</v>
      </c>
      <c r="F174" s="19">
        <f t="shared" si="42"/>
        <v>-0.57500235511399733</v>
      </c>
      <c r="G174" s="19">
        <f t="shared" si="43"/>
        <v>-0.57500235511399733</v>
      </c>
      <c r="H174" s="19">
        <f t="shared" si="44"/>
        <v>-0.57500235511399733</v>
      </c>
      <c r="I174" s="17"/>
      <c r="J174" s="19">
        <f t="shared" si="45"/>
        <v>23.069303771989201</v>
      </c>
      <c r="K174" s="19">
        <f t="shared" si="46"/>
        <v>0.29468310405576514</v>
      </c>
      <c r="L174" s="19">
        <f t="shared" si="47"/>
        <v>0.38347596854124116</v>
      </c>
      <c r="M174" s="19">
        <f t="shared" si="48"/>
        <v>0.38347596854124116</v>
      </c>
      <c r="N174" s="19">
        <f t="shared" si="49"/>
        <v>0.38347596854124116</v>
      </c>
      <c r="O174" s="17"/>
      <c r="P174" s="19">
        <f t="shared" si="58"/>
        <v>95.481425870103308</v>
      </c>
      <c r="Q174" s="19">
        <f t="shared" si="54"/>
        <v>227.13578987847086</v>
      </c>
      <c r="R174" s="19">
        <f t="shared" si="55"/>
        <v>0</v>
      </c>
      <c r="S174" s="19">
        <f t="shared" si="56"/>
        <v>0</v>
      </c>
      <c r="T174" s="19">
        <f t="shared" si="57"/>
        <v>0</v>
      </c>
      <c r="U174" s="17"/>
      <c r="V174" s="19">
        <f t="shared" si="50"/>
        <v>322.61721574857415</v>
      </c>
      <c r="W174" s="17"/>
      <c r="X174" s="19">
        <f t="shared" si="51"/>
        <v>413.3701260043041</v>
      </c>
      <c r="Y174" s="19">
        <f t="shared" si="52"/>
        <v>20.331505748574159</v>
      </c>
      <c r="Z174" s="19"/>
      <c r="AA174" s="19">
        <f t="shared" si="53"/>
        <v>1.3213407720933832E-4</v>
      </c>
    </row>
    <row r="175" spans="2:27" x14ac:dyDescent="0.35">
      <c r="B175" s="27">
        <v>13.7</v>
      </c>
      <c r="C175" s="27">
        <v>344.78570999999999</v>
      </c>
      <c r="D175" s="19">
        <f t="shared" si="40"/>
        <v>26.34830600320781</v>
      </c>
      <c r="E175" s="19">
        <f t="shared" si="41"/>
        <v>-0.92104669069085132</v>
      </c>
      <c r="F175" s="19">
        <f t="shared" si="42"/>
        <v>-0.56389124400288604</v>
      </c>
      <c r="G175" s="19">
        <f t="shared" si="43"/>
        <v>-0.56389124400288604</v>
      </c>
      <c r="H175" s="19">
        <f t="shared" si="44"/>
        <v>-0.56389124400288604</v>
      </c>
      <c r="I175" s="17"/>
      <c r="J175" s="19">
        <f t="shared" si="45"/>
        <v>23.203982097146007</v>
      </c>
      <c r="K175" s="19">
        <f t="shared" si="46"/>
        <v>0.29607974876187093</v>
      </c>
      <c r="L175" s="19">
        <f t="shared" si="47"/>
        <v>0.38656472264365577</v>
      </c>
      <c r="M175" s="19">
        <f t="shared" si="48"/>
        <v>0.38656472264365577</v>
      </c>
      <c r="N175" s="19">
        <f t="shared" si="49"/>
        <v>0.38656472264365577</v>
      </c>
      <c r="O175" s="17"/>
      <c r="P175" s="19">
        <f t="shared" si="58"/>
        <v>94.399037671757185</v>
      </c>
      <c r="Q175" s="19">
        <f t="shared" si="54"/>
        <v>225.82075726526662</v>
      </c>
      <c r="R175" s="19">
        <f t="shared" si="55"/>
        <v>0</v>
      </c>
      <c r="S175" s="19">
        <f t="shared" si="56"/>
        <v>0</v>
      </c>
      <c r="T175" s="19">
        <f t="shared" si="57"/>
        <v>0</v>
      </c>
      <c r="U175" s="17"/>
      <c r="V175" s="19">
        <f t="shared" si="50"/>
        <v>320.21979493702383</v>
      </c>
      <c r="W175" s="17"/>
      <c r="X175" s="19">
        <f t="shared" si="51"/>
        <v>603.48418288135895</v>
      </c>
      <c r="Y175" s="19">
        <f t="shared" si="52"/>
        <v>24.56591506297616</v>
      </c>
      <c r="Z175" s="19"/>
      <c r="AA175" s="19">
        <f t="shared" si="53"/>
        <v>1.5965342448268885E-4</v>
      </c>
    </row>
    <row r="176" spans="2:27" x14ac:dyDescent="0.35">
      <c r="B176" s="27">
        <v>13.8</v>
      </c>
      <c r="C176" s="27">
        <v>319.03570999999999</v>
      </c>
      <c r="D176" s="19">
        <f t="shared" si="40"/>
        <v>26.488805341630304</v>
      </c>
      <c r="E176" s="19">
        <f t="shared" si="41"/>
        <v>-0.91492176186372898</v>
      </c>
      <c r="F176" s="19">
        <f t="shared" si="42"/>
        <v>-0.55278013289177497</v>
      </c>
      <c r="G176" s="19">
        <f t="shared" si="43"/>
        <v>-0.55278013289177497</v>
      </c>
      <c r="H176" s="19">
        <f t="shared" si="44"/>
        <v>-0.55278013289177497</v>
      </c>
      <c r="I176" s="17"/>
      <c r="J176" s="19">
        <f t="shared" si="45"/>
        <v>23.338692726351173</v>
      </c>
      <c r="K176" s="19">
        <f t="shared" si="46"/>
        <v>0.29748149517149869</v>
      </c>
      <c r="L176" s="19">
        <f t="shared" si="47"/>
        <v>0.3896713793133359</v>
      </c>
      <c r="M176" s="19">
        <f t="shared" si="48"/>
        <v>0.3896713793133359</v>
      </c>
      <c r="N176" s="19">
        <f t="shared" si="49"/>
        <v>0.3896713793133359</v>
      </c>
      <c r="O176" s="17"/>
      <c r="P176" s="19">
        <f t="shared" si="58"/>
        <v>93.334700402601655</v>
      </c>
      <c r="Q176" s="19">
        <f t="shared" si="54"/>
        <v>224.51386152453159</v>
      </c>
      <c r="R176" s="19">
        <f t="shared" si="55"/>
        <v>0</v>
      </c>
      <c r="S176" s="19">
        <f t="shared" si="56"/>
        <v>0</v>
      </c>
      <c r="T176" s="19">
        <f t="shared" si="57"/>
        <v>0</v>
      </c>
      <c r="U176" s="17"/>
      <c r="V176" s="19">
        <f t="shared" si="50"/>
        <v>317.84856192713323</v>
      </c>
      <c r="W176" s="17"/>
      <c r="X176" s="19">
        <f t="shared" si="51"/>
        <v>1.4093205469112671</v>
      </c>
      <c r="Y176" s="19">
        <f t="shared" si="52"/>
        <v>1.187148072866762</v>
      </c>
      <c r="Z176" s="19"/>
      <c r="AA176" s="19">
        <f t="shared" si="53"/>
        <v>7.7152532163091096E-6</v>
      </c>
    </row>
    <row r="177" spans="2:27" x14ac:dyDescent="0.35">
      <c r="B177" s="27">
        <v>13.9</v>
      </c>
      <c r="C177" s="27">
        <v>300.53570999999999</v>
      </c>
      <c r="D177" s="19">
        <f t="shared" si="40"/>
        <v>26.62930468005279</v>
      </c>
      <c r="E177" s="19">
        <f t="shared" si="41"/>
        <v>-0.90879683303660674</v>
      </c>
      <c r="F177" s="19">
        <f t="shared" si="42"/>
        <v>-0.5416690217806639</v>
      </c>
      <c r="G177" s="19">
        <f t="shared" si="43"/>
        <v>-0.5416690217806639</v>
      </c>
      <c r="H177" s="19">
        <f t="shared" si="44"/>
        <v>-0.5416690217806639</v>
      </c>
      <c r="I177" s="17"/>
      <c r="J177" s="19">
        <f t="shared" si="45"/>
        <v>23.473435310614839</v>
      </c>
      <c r="K177" s="19">
        <f t="shared" si="46"/>
        <v>0.29888835084254367</v>
      </c>
      <c r="L177" s="19">
        <f t="shared" si="47"/>
        <v>0.392795961665732</v>
      </c>
      <c r="M177" s="19">
        <f t="shared" si="48"/>
        <v>0.392795961665732</v>
      </c>
      <c r="N177" s="19">
        <f t="shared" si="49"/>
        <v>0.392795961665732</v>
      </c>
      <c r="O177" s="17"/>
      <c r="P177" s="19">
        <f t="shared" si="58"/>
        <v>92.288019027500553</v>
      </c>
      <c r="Q177" s="19">
        <f t="shared" si="54"/>
        <v>223.21505216284024</v>
      </c>
      <c r="R177" s="19">
        <f t="shared" si="55"/>
        <v>0</v>
      </c>
      <c r="S177" s="19">
        <f t="shared" si="56"/>
        <v>0</v>
      </c>
      <c r="T177" s="19">
        <f t="shared" si="57"/>
        <v>0</v>
      </c>
      <c r="U177" s="17"/>
      <c r="V177" s="19">
        <f t="shared" si="50"/>
        <v>315.50307119034079</v>
      </c>
      <c r="W177" s="17"/>
      <c r="X177" s="19">
        <f t="shared" si="51"/>
        <v>224.02190100211985</v>
      </c>
      <c r="Y177" s="19">
        <f t="shared" si="52"/>
        <v>14.967361190340796</v>
      </c>
      <c r="Z177" s="19"/>
      <c r="AA177" s="19">
        <f t="shared" si="53"/>
        <v>9.727260162633256E-5</v>
      </c>
    </row>
    <row r="178" spans="2:27" x14ac:dyDescent="0.35">
      <c r="B178" s="27">
        <v>14</v>
      </c>
      <c r="C178" s="27">
        <v>318.78570999999999</v>
      </c>
      <c r="D178" s="19">
        <f t="shared" ref="D178:D241" si="59">$C$23/(1-$C$23)-LN((1-$C$23)/$C$23)+$C$22/(1-$C$23)*B178</f>
        <v>26.769804018475284</v>
      </c>
      <c r="E178" s="19">
        <f t="shared" ref="E178:E241" si="60">$D$23/(1-$D$23)-LN((1-$D$23)/$D$23)+$D$22*B178/(1-$D$23)</f>
        <v>-0.90267190420948451</v>
      </c>
      <c r="F178" s="19">
        <f t="shared" ref="F178:F241" si="61">$E$23/(1-$E$23)-LN((1-$E$23)/$E$23)+$E$22*B178/(1-$E$23)</f>
        <v>-0.53055791066955282</v>
      </c>
      <c r="G178" s="19">
        <f t="shared" ref="G178:G241" si="62">$F$23/(1-$F$23)-LN((1-$F$23)/$F$23)+$F$22*B178/(1-$F$23)</f>
        <v>-0.53055791066955282</v>
      </c>
      <c r="H178" s="19">
        <f t="shared" ref="H178:H241" si="63">$G$23/(1-$G$23)-LN((1-$G$23)/$G$23)+$G$22*B178/(1-$G$23)</f>
        <v>-0.53055791066955282</v>
      </c>
      <c r="I178" s="17"/>
      <c r="J178" s="19">
        <f t="shared" ref="J178:J241" si="64">lmb_2(D178)</f>
        <v>23.608209506488699</v>
      </c>
      <c r="K178" s="19">
        <f t="shared" ref="K178:K241" si="65">lmb_2(E178)</f>
        <v>0.30030032327548983</v>
      </c>
      <c r="L178" s="19">
        <f t="shared" ref="L178:L241" si="66">lmb_2(F178)</f>
        <v>0.39593849210050058</v>
      </c>
      <c r="M178" s="19">
        <f t="shared" ref="M178:M241" si="67">lmb_2(G178)</f>
        <v>0.39593849210050058</v>
      </c>
      <c r="N178" s="19">
        <f t="shared" ref="N178:N241" si="68">lmb_2(H178)</f>
        <v>0.39593849210050058</v>
      </c>
      <c r="O178" s="17"/>
      <c r="P178" s="19">
        <f t="shared" si="58"/>
        <v>91.258609169214566</v>
      </c>
      <c r="Q178" s="19">
        <f t="shared" si="54"/>
        <v>221.92427899146804</v>
      </c>
      <c r="R178" s="19">
        <f t="shared" si="55"/>
        <v>0</v>
      </c>
      <c r="S178" s="19">
        <f t="shared" si="56"/>
        <v>0</v>
      </c>
      <c r="T178" s="19">
        <f t="shared" si="57"/>
        <v>0</v>
      </c>
      <c r="U178" s="17"/>
      <c r="V178" s="19">
        <f t="shared" ref="V178:V241" si="69">SUM(P178:T178)</f>
        <v>313.18288816068264</v>
      </c>
      <c r="W178" s="17"/>
      <c r="X178" s="19">
        <f t="shared" ref="X178:X241" si="70">(V178-C178)^2</f>
        <v>31.391612563131535</v>
      </c>
      <c r="Y178" s="19">
        <f t="shared" ref="Y178:Y241" si="71">ABS(V178-C178)</f>
        <v>5.6028218393173574</v>
      </c>
      <c r="Z178" s="19"/>
      <c r="AA178" s="19">
        <f t="shared" ref="AA178:AA241" si="72">Y178/$Z$39</f>
        <v>3.6412634787683901E-5</v>
      </c>
    </row>
    <row r="179" spans="2:27" x14ac:dyDescent="0.35">
      <c r="B179" s="27">
        <v>14.1</v>
      </c>
      <c r="C179" s="27">
        <v>288.03570999999999</v>
      </c>
      <c r="D179" s="19">
        <f t="shared" si="59"/>
        <v>26.910303356897778</v>
      </c>
      <c r="E179" s="19">
        <f t="shared" si="60"/>
        <v>-0.89654697538236217</v>
      </c>
      <c r="F179" s="19">
        <f t="shared" si="61"/>
        <v>-0.51944679955844153</v>
      </c>
      <c r="G179" s="19">
        <f t="shared" si="62"/>
        <v>-0.51944679955844153</v>
      </c>
      <c r="H179" s="19">
        <f t="shared" si="63"/>
        <v>-0.51944679955844153</v>
      </c>
      <c r="I179" s="17"/>
      <c r="J179" s="19">
        <f t="shared" si="64"/>
        <v>23.743014975950622</v>
      </c>
      <c r="K179" s="19">
        <f t="shared" si="65"/>
        <v>0.30171741991315465</v>
      </c>
      <c r="L179" s="19">
        <f t="shared" si="66"/>
        <v>0.39909899230093843</v>
      </c>
      <c r="M179" s="19">
        <f t="shared" si="67"/>
        <v>0.39909899230093843</v>
      </c>
      <c r="N179" s="19">
        <f t="shared" si="68"/>
        <v>0.39909899230093843</v>
      </c>
      <c r="O179" s="17"/>
      <c r="P179" s="19">
        <f t="shared" si="58"/>
        <v>90.246096767613892</v>
      </c>
      <c r="Q179" s="19">
        <f t="shared" si="54"/>
        <v>220.64149212457923</v>
      </c>
      <c r="R179" s="19">
        <f t="shared" si="55"/>
        <v>0</v>
      </c>
      <c r="S179" s="19">
        <f t="shared" si="56"/>
        <v>0</v>
      </c>
      <c r="T179" s="19">
        <f t="shared" si="57"/>
        <v>0</v>
      </c>
      <c r="U179" s="17"/>
      <c r="V179" s="19">
        <f t="shared" si="69"/>
        <v>310.88758889219309</v>
      </c>
      <c r="W179" s="17"/>
      <c r="X179" s="19">
        <f t="shared" si="70"/>
        <v>522.2083689034605</v>
      </c>
      <c r="Y179" s="19">
        <f t="shared" si="71"/>
        <v>22.851878892193099</v>
      </c>
      <c r="Z179" s="19"/>
      <c r="AA179" s="19">
        <f t="shared" si="72"/>
        <v>1.4851393533069968E-4</v>
      </c>
    </row>
    <row r="180" spans="2:27" x14ac:dyDescent="0.35">
      <c r="B180" s="27">
        <v>14.2</v>
      </c>
      <c r="C180" s="27">
        <v>310.28570999999999</v>
      </c>
      <c r="D180" s="19">
        <f t="shared" si="59"/>
        <v>27.050802695320264</v>
      </c>
      <c r="E180" s="19">
        <f t="shared" si="60"/>
        <v>-0.89042204655524004</v>
      </c>
      <c r="F180" s="19">
        <f t="shared" si="61"/>
        <v>-0.50833568844733068</v>
      </c>
      <c r="G180" s="19">
        <f t="shared" si="62"/>
        <v>-0.50833568844733068</v>
      </c>
      <c r="H180" s="19">
        <f t="shared" si="63"/>
        <v>-0.50833568844733068</v>
      </c>
      <c r="I180" s="17"/>
      <c r="J180" s="19">
        <f t="shared" si="64"/>
        <v>23.877851386292292</v>
      </c>
      <c r="K180" s="19">
        <f t="shared" si="65"/>
        <v>0.30313964814043731</v>
      </c>
      <c r="L180" s="19">
        <f t="shared" si="66"/>
        <v>0.40227748323355456</v>
      </c>
      <c r="M180" s="19">
        <f t="shared" si="67"/>
        <v>0.40227748323355456</v>
      </c>
      <c r="N180" s="19">
        <f t="shared" si="68"/>
        <v>0.40227748323355456</v>
      </c>
      <c r="O180" s="17"/>
      <c r="P180" s="19">
        <f t="shared" si="58"/>
        <v>89.250117751458475</v>
      </c>
      <c r="Q180" s="19">
        <f t="shared" si="54"/>
        <v>219.36664197742604</v>
      </c>
      <c r="R180" s="19">
        <f t="shared" si="55"/>
        <v>0</v>
      </c>
      <c r="S180" s="19">
        <f t="shared" si="56"/>
        <v>0</v>
      </c>
      <c r="T180" s="19">
        <f t="shared" si="57"/>
        <v>0</v>
      </c>
      <c r="U180" s="17"/>
      <c r="V180" s="19">
        <f t="shared" si="69"/>
        <v>308.61675972888452</v>
      </c>
      <c r="W180" s="17"/>
      <c r="X180" s="19">
        <f t="shared" si="70"/>
        <v>2.7853950074564251</v>
      </c>
      <c r="Y180" s="19">
        <f t="shared" si="71"/>
        <v>1.6689502711154773</v>
      </c>
      <c r="Z180" s="19"/>
      <c r="AA180" s="19">
        <f t="shared" si="72"/>
        <v>1.0846476729721996E-5</v>
      </c>
    </row>
    <row r="181" spans="2:27" x14ac:dyDescent="0.35">
      <c r="B181" s="27">
        <v>14.3</v>
      </c>
      <c r="C181" s="27">
        <v>306.03570999999999</v>
      </c>
      <c r="D181" s="19">
        <f t="shared" si="59"/>
        <v>27.191302033742758</v>
      </c>
      <c r="E181" s="19">
        <f t="shared" si="60"/>
        <v>-0.8842971177281177</v>
      </c>
      <c r="F181" s="19">
        <f t="shared" si="61"/>
        <v>-0.49722457733621939</v>
      </c>
      <c r="G181" s="19">
        <f t="shared" si="62"/>
        <v>-0.49722457733621939</v>
      </c>
      <c r="H181" s="19">
        <f t="shared" si="63"/>
        <v>-0.49722457733621939</v>
      </c>
      <c r="I181" s="17"/>
      <c r="J181" s="19">
        <f t="shared" si="64"/>
        <v>24.012718410009711</v>
      </c>
      <c r="K181" s="19">
        <f t="shared" si="65"/>
        <v>0.30456701528407082</v>
      </c>
      <c r="L181" s="19">
        <f t="shared" si="66"/>
        <v>0.40547398514777988</v>
      </c>
      <c r="M181" s="19">
        <f t="shared" si="67"/>
        <v>0.40547398514777988</v>
      </c>
      <c r="N181" s="19">
        <f t="shared" si="68"/>
        <v>0.40547398514777988</v>
      </c>
      <c r="O181" s="17"/>
      <c r="P181" s="19">
        <f t="shared" si="58"/>
        <v>88.2703177222226</v>
      </c>
      <c r="Q181" s="19">
        <f t="shared" si="54"/>
        <v>218.09967926455869</v>
      </c>
      <c r="R181" s="19">
        <f t="shared" si="55"/>
        <v>0</v>
      </c>
      <c r="S181" s="19">
        <f t="shared" si="56"/>
        <v>0</v>
      </c>
      <c r="T181" s="19">
        <f t="shared" si="57"/>
        <v>0</v>
      </c>
      <c r="U181" s="17"/>
      <c r="V181" s="19">
        <f t="shared" si="69"/>
        <v>306.3699969867813</v>
      </c>
      <c r="W181" s="17"/>
      <c r="X181" s="19">
        <f t="shared" si="70"/>
        <v>0.1117477895313263</v>
      </c>
      <c r="Y181" s="19">
        <f t="shared" si="71"/>
        <v>0.33428698678130786</v>
      </c>
      <c r="Z181" s="19"/>
      <c r="AA181" s="19">
        <f t="shared" si="72"/>
        <v>2.1725249013854304E-6</v>
      </c>
    </row>
    <row r="182" spans="2:27" x14ac:dyDescent="0.35">
      <c r="B182" s="27">
        <v>14.4</v>
      </c>
      <c r="C182" s="27">
        <v>318.78570999999999</v>
      </c>
      <c r="D182" s="19">
        <f t="shared" si="59"/>
        <v>27.331801372165245</v>
      </c>
      <c r="E182" s="19">
        <f t="shared" si="60"/>
        <v>-0.87817218890099535</v>
      </c>
      <c r="F182" s="19">
        <f t="shared" si="61"/>
        <v>-0.48611346622510831</v>
      </c>
      <c r="G182" s="19">
        <f t="shared" si="62"/>
        <v>-0.48611346622510831</v>
      </c>
      <c r="H182" s="19">
        <f t="shared" si="63"/>
        <v>-0.48611346622510831</v>
      </c>
      <c r="I182" s="17"/>
      <c r="J182" s="19">
        <f t="shared" si="64"/>
        <v>24.147615724696411</v>
      </c>
      <c r="K182" s="19">
        <f t="shared" si="65"/>
        <v>0.30599952861237667</v>
      </c>
      <c r="L182" s="19">
        <f t="shared" si="66"/>
        <v>0.40868851757581198</v>
      </c>
      <c r="M182" s="19">
        <f t="shared" si="67"/>
        <v>0.40868851757581198</v>
      </c>
      <c r="N182" s="19">
        <f t="shared" si="68"/>
        <v>0.40868851757581198</v>
      </c>
      <c r="O182" s="17"/>
      <c r="P182" s="19">
        <f t="shared" si="58"/>
        <v>87.306351649464006</v>
      </c>
      <c r="Q182" s="19">
        <f t="shared" si="54"/>
        <v>216.84055499804771</v>
      </c>
      <c r="R182" s="19">
        <f t="shared" si="55"/>
        <v>0</v>
      </c>
      <c r="S182" s="19">
        <f t="shared" si="56"/>
        <v>0</v>
      </c>
      <c r="T182" s="19">
        <f t="shared" si="57"/>
        <v>0</v>
      </c>
      <c r="U182" s="17"/>
      <c r="V182" s="19">
        <f t="shared" si="69"/>
        <v>304.14690664751174</v>
      </c>
      <c r="W182" s="17"/>
      <c r="X182" s="19">
        <f t="shared" si="70"/>
        <v>214.29456359282131</v>
      </c>
      <c r="Y182" s="19">
        <f t="shared" si="71"/>
        <v>14.638803352488253</v>
      </c>
      <c r="Z182" s="19"/>
      <c r="AA182" s="19">
        <f t="shared" si="72"/>
        <v>9.5137310357136442E-5</v>
      </c>
    </row>
    <row r="183" spans="2:27" x14ac:dyDescent="0.35">
      <c r="B183" s="27">
        <v>14.5</v>
      </c>
      <c r="C183" s="27">
        <v>281.53570999999999</v>
      </c>
      <c r="D183" s="19">
        <f t="shared" si="59"/>
        <v>27.472300710587739</v>
      </c>
      <c r="E183" s="19">
        <f t="shared" si="60"/>
        <v>-0.87204726007387312</v>
      </c>
      <c r="F183" s="19">
        <f t="shared" si="61"/>
        <v>-0.47500235511399724</v>
      </c>
      <c r="G183" s="19">
        <f t="shared" si="62"/>
        <v>-0.47500235511399724</v>
      </c>
      <c r="H183" s="19">
        <f t="shared" si="63"/>
        <v>-0.47500235511399724</v>
      </c>
      <c r="I183" s="17"/>
      <c r="J183" s="19">
        <f t="shared" si="64"/>
        <v>24.282543012939477</v>
      </c>
      <c r="K183" s="19">
        <f t="shared" si="65"/>
        <v>0.30743719533502423</v>
      </c>
      <c r="L183" s="19">
        <f t="shared" si="66"/>
        <v>0.41192109933259763</v>
      </c>
      <c r="M183" s="19">
        <f t="shared" si="67"/>
        <v>0.41192109933259763</v>
      </c>
      <c r="N183" s="19">
        <f t="shared" si="68"/>
        <v>0.41192109933259763</v>
      </c>
      <c r="O183" s="17"/>
      <c r="P183" s="19">
        <f t="shared" si="58"/>
        <v>86.357883577260012</v>
      </c>
      <c r="Q183" s="19">
        <f t="shared" ref="Q183:Q246" si="73">(D$21*D$23/(1-D$23)^2*$A$21*D$22)/(K183+K183^2)</f>
        <v>215.58922048571586</v>
      </c>
      <c r="R183" s="19">
        <f t="shared" ref="R183:R246" si="74">(E$21*E$23/(1-E$23)^2*$A$21*E$22)/(L183+L183^2)</f>
        <v>0</v>
      </c>
      <c r="S183" s="19">
        <f t="shared" ref="S183:S246" si="75">(F$21*F$23/(1-F$23)^2*$A$21*F$22)/(M183+M183^2)</f>
        <v>0</v>
      </c>
      <c r="T183" s="19">
        <f t="shared" ref="T183:T246" si="76">(G$21*G$23/(1-G$23)^2*$A$21*G$22)/(N183+N183^2)</f>
        <v>0</v>
      </c>
      <c r="U183" s="17"/>
      <c r="V183" s="19">
        <f t="shared" si="69"/>
        <v>301.94710406297588</v>
      </c>
      <c r="W183" s="17"/>
      <c r="X183" s="19">
        <f t="shared" si="70"/>
        <v>416.62500759408732</v>
      </c>
      <c r="Y183" s="19">
        <f t="shared" si="71"/>
        <v>20.411394062975887</v>
      </c>
      <c r="Z183" s="19"/>
      <c r="AA183" s="19">
        <f t="shared" si="72"/>
        <v>1.326532698768082E-4</v>
      </c>
    </row>
    <row r="184" spans="2:27" x14ac:dyDescent="0.35">
      <c r="B184" s="27">
        <v>14.6</v>
      </c>
      <c r="C184" s="27">
        <v>299.53570999999999</v>
      </c>
      <c r="D184" s="19">
        <f t="shared" si="59"/>
        <v>27.612800049010225</v>
      </c>
      <c r="E184" s="19">
        <f t="shared" si="60"/>
        <v>-0.86592233124675089</v>
      </c>
      <c r="F184" s="19">
        <f t="shared" si="61"/>
        <v>-0.46389124400288617</v>
      </c>
      <c r="G184" s="19">
        <f t="shared" si="62"/>
        <v>-0.46389124400288617</v>
      </c>
      <c r="H184" s="19">
        <f t="shared" si="63"/>
        <v>-0.46389124400288617</v>
      </c>
      <c r="I184" s="17"/>
      <c r="J184" s="19">
        <f t="shared" si="64"/>
        <v>24.417499962218059</v>
      </c>
      <c r="K184" s="19">
        <f t="shared" si="65"/>
        <v>0.30888002260279285</v>
      </c>
      <c r="L184" s="19">
        <f t="shared" si="66"/>
        <v>0.41517174851594851</v>
      </c>
      <c r="M184" s="19">
        <f t="shared" si="67"/>
        <v>0.41517174851594851</v>
      </c>
      <c r="N184" s="19">
        <f t="shared" si="68"/>
        <v>0.41517174851594851</v>
      </c>
      <c r="O184" s="17"/>
      <c r="P184" s="19">
        <f t="shared" si="58"/>
        <v>85.424586341257523</v>
      </c>
      <c r="Q184" s="19">
        <f t="shared" si="73"/>
        <v>214.34562732938247</v>
      </c>
      <c r="R184" s="19">
        <f t="shared" si="74"/>
        <v>0</v>
      </c>
      <c r="S184" s="19">
        <f t="shared" si="75"/>
        <v>0</v>
      </c>
      <c r="T184" s="19">
        <f t="shared" si="76"/>
        <v>0</v>
      </c>
      <c r="U184" s="17"/>
      <c r="V184" s="19">
        <f t="shared" si="69"/>
        <v>299.77021367063998</v>
      </c>
      <c r="W184" s="17"/>
      <c r="X184" s="19">
        <f t="shared" si="70"/>
        <v>5.4991971543624694E-2</v>
      </c>
      <c r="Y184" s="19">
        <f t="shared" si="71"/>
        <v>0.23450367063998101</v>
      </c>
      <c r="Z184" s="19"/>
      <c r="AA184" s="19">
        <f t="shared" si="72"/>
        <v>1.5240349881311434E-6</v>
      </c>
    </row>
    <row r="185" spans="2:27" x14ac:dyDescent="0.35">
      <c r="B185" s="27">
        <v>14.7</v>
      </c>
      <c r="C185" s="27">
        <v>282.28570999999999</v>
      </c>
      <c r="D185" s="19">
        <f t="shared" si="59"/>
        <v>27.753299387432719</v>
      </c>
      <c r="E185" s="19">
        <f t="shared" si="60"/>
        <v>-0.85979740241962865</v>
      </c>
      <c r="F185" s="19">
        <f t="shared" si="61"/>
        <v>-0.4527801328917751</v>
      </c>
      <c r="G185" s="19">
        <f t="shared" si="62"/>
        <v>-0.4527801328917751</v>
      </c>
      <c r="H185" s="19">
        <f t="shared" si="63"/>
        <v>-0.4527801328917751</v>
      </c>
      <c r="I185" s="17"/>
      <c r="J185" s="19">
        <f t="shared" si="64"/>
        <v>24.552486264804546</v>
      </c>
      <c r="K185" s="19">
        <f t="shared" si="65"/>
        <v>0.31032801750733729</v>
      </c>
      <c r="L185" s="19">
        <f t="shared" si="66"/>
        <v>0.41844048250679333</v>
      </c>
      <c r="M185" s="19">
        <f t="shared" si="67"/>
        <v>0.41844048250679333</v>
      </c>
      <c r="N185" s="19">
        <f t="shared" si="68"/>
        <v>0.41844048250679333</v>
      </c>
      <c r="O185" s="17"/>
      <c r="P185" s="19">
        <f t="shared" si="58"/>
        <v>84.506141295900889</v>
      </c>
      <c r="Q185" s="19">
        <f t="shared" si="73"/>
        <v>213.10972742311847</v>
      </c>
      <c r="R185" s="19">
        <f t="shared" si="74"/>
        <v>0</v>
      </c>
      <c r="S185" s="19">
        <f t="shared" si="75"/>
        <v>0</v>
      </c>
      <c r="T185" s="19">
        <f t="shared" si="76"/>
        <v>0</v>
      </c>
      <c r="U185" s="17"/>
      <c r="V185" s="19">
        <f t="shared" si="69"/>
        <v>297.61586871901937</v>
      </c>
      <c r="W185" s="17"/>
      <c r="X185" s="19">
        <f t="shared" si="70"/>
        <v>235.01376635032591</v>
      </c>
      <c r="Y185" s="19">
        <f t="shared" si="71"/>
        <v>15.33015871901938</v>
      </c>
      <c r="Z185" s="19"/>
      <c r="AA185" s="19">
        <f t="shared" si="72"/>
        <v>9.963041600853271E-5</v>
      </c>
    </row>
    <row r="186" spans="2:27" x14ac:dyDescent="0.35">
      <c r="B186" s="27">
        <v>14.8</v>
      </c>
      <c r="C186" s="27">
        <v>293.03570999999999</v>
      </c>
      <c r="D186" s="19">
        <f t="shared" si="59"/>
        <v>27.893798725855213</v>
      </c>
      <c r="E186" s="19">
        <f t="shared" si="60"/>
        <v>-0.85367247359250631</v>
      </c>
      <c r="F186" s="19">
        <f t="shared" si="61"/>
        <v>-0.44166902178066381</v>
      </c>
      <c r="G186" s="19">
        <f t="shared" si="62"/>
        <v>-0.44166902178066381</v>
      </c>
      <c r="H186" s="19">
        <f t="shared" si="63"/>
        <v>-0.44166902178066381</v>
      </c>
      <c r="I186" s="17"/>
      <c r="J186" s="19">
        <f t="shared" si="64"/>
        <v>24.687501617668079</v>
      </c>
      <c r="K186" s="19">
        <f t="shared" si="65"/>
        <v>0.3117811870809577</v>
      </c>
      <c r="L186" s="19">
        <f t="shared" si="66"/>
        <v>0.42172731796956092</v>
      </c>
      <c r="M186" s="19">
        <f t="shared" si="67"/>
        <v>0.42172731796956092</v>
      </c>
      <c r="N186" s="19">
        <f t="shared" si="68"/>
        <v>0.42172731796956092</v>
      </c>
      <c r="O186" s="17"/>
      <c r="P186" s="19">
        <f t="shared" si="58"/>
        <v>83.602238051425786</v>
      </c>
      <c r="Q186" s="19">
        <f t="shared" si="73"/>
        <v>211.88147295151165</v>
      </c>
      <c r="R186" s="19">
        <f t="shared" si="74"/>
        <v>0</v>
      </c>
      <c r="S186" s="19">
        <f t="shared" si="75"/>
        <v>0</v>
      </c>
      <c r="T186" s="19">
        <f t="shared" si="76"/>
        <v>0</v>
      </c>
      <c r="U186" s="17"/>
      <c r="V186" s="19">
        <f t="shared" si="69"/>
        <v>295.48371100293741</v>
      </c>
      <c r="W186" s="17"/>
      <c r="X186" s="19">
        <f t="shared" si="70"/>
        <v>5.9927089103825999</v>
      </c>
      <c r="Y186" s="19">
        <f t="shared" si="71"/>
        <v>2.4480010029374171</v>
      </c>
      <c r="Z186" s="19"/>
      <c r="AA186" s="19">
        <f t="shared" si="72"/>
        <v>1.5909512926919085E-5</v>
      </c>
    </row>
    <row r="187" spans="2:27" x14ac:dyDescent="0.35">
      <c r="B187" s="27">
        <v>14.9</v>
      </c>
      <c r="C187" s="27">
        <v>261.28570999999999</v>
      </c>
      <c r="D187" s="19">
        <f t="shared" si="59"/>
        <v>28.034298064277699</v>
      </c>
      <c r="E187" s="19">
        <f t="shared" si="60"/>
        <v>-0.84754754476538396</v>
      </c>
      <c r="F187" s="19">
        <f t="shared" si="61"/>
        <v>-0.43055791066955273</v>
      </c>
      <c r="G187" s="19">
        <f t="shared" si="62"/>
        <v>-0.43055791066955273</v>
      </c>
      <c r="H187" s="19">
        <f t="shared" si="63"/>
        <v>-0.43055791066955273</v>
      </c>
      <c r="I187" s="17"/>
      <c r="J187" s="19">
        <f t="shared" si="64"/>
        <v>24.822545722380553</v>
      </c>
      <c r="K187" s="19">
        <f t="shared" si="65"/>
        <v>0.31323953829637191</v>
      </c>
      <c r="L187" s="19">
        <f t="shared" si="66"/>
        <v>0.42503227085269824</v>
      </c>
      <c r="M187" s="19">
        <f t="shared" si="67"/>
        <v>0.42503227085269824</v>
      </c>
      <c r="N187" s="19">
        <f t="shared" si="68"/>
        <v>0.42503227085269824</v>
      </c>
      <c r="O187" s="17"/>
      <c r="P187" s="19">
        <f t="shared" si="58"/>
        <v>82.712574220221697</v>
      </c>
      <c r="Q187" s="19">
        <f t="shared" si="73"/>
        <v>210.66081638794401</v>
      </c>
      <c r="R187" s="19">
        <f t="shared" si="74"/>
        <v>0</v>
      </c>
      <c r="S187" s="19">
        <f t="shared" si="75"/>
        <v>0</v>
      </c>
      <c r="T187" s="19">
        <f t="shared" si="76"/>
        <v>0</v>
      </c>
      <c r="U187" s="17"/>
      <c r="V187" s="19">
        <f t="shared" si="69"/>
        <v>293.37339060816572</v>
      </c>
      <c r="W187" s="17"/>
      <c r="X187" s="19">
        <f t="shared" si="70"/>
        <v>1029.6192468116549</v>
      </c>
      <c r="Y187" s="19">
        <f t="shared" si="71"/>
        <v>32.087680608165726</v>
      </c>
      <c r="Z187" s="19"/>
      <c r="AA187" s="19">
        <f t="shared" si="72"/>
        <v>2.0853723867674182E-4</v>
      </c>
    </row>
    <row r="188" spans="2:27" x14ac:dyDescent="0.35">
      <c r="B188" s="27">
        <v>15</v>
      </c>
      <c r="C188" s="27">
        <v>273.03570999999999</v>
      </c>
      <c r="D188" s="19">
        <f t="shared" si="59"/>
        <v>28.174797402700193</v>
      </c>
      <c r="E188" s="19">
        <f t="shared" si="60"/>
        <v>-0.84142261593826184</v>
      </c>
      <c r="F188" s="19">
        <f t="shared" si="61"/>
        <v>-0.41944679955844189</v>
      </c>
      <c r="G188" s="19">
        <f t="shared" si="62"/>
        <v>-0.41944679955844189</v>
      </c>
      <c r="H188" s="19">
        <f t="shared" si="63"/>
        <v>-0.41944679955844189</v>
      </c>
      <c r="I188" s="17"/>
      <c r="J188" s="19">
        <f t="shared" si="64"/>
        <v>24.957618285024907</v>
      </c>
      <c r="K188" s="19">
        <f t="shared" si="65"/>
        <v>0.31470307806649273</v>
      </c>
      <c r="L188" s="19">
        <f t="shared" si="66"/>
        <v>0.42835535638931871</v>
      </c>
      <c r="M188" s="19">
        <f t="shared" si="67"/>
        <v>0.42835535638931871</v>
      </c>
      <c r="N188" s="19">
        <f t="shared" si="68"/>
        <v>0.42835535638931871</v>
      </c>
      <c r="O188" s="17"/>
      <c r="P188" s="19">
        <f t="shared" si="58"/>
        <v>81.836855172186546</v>
      </c>
      <c r="Q188" s="19">
        <f t="shared" si="73"/>
        <v>209.44771049287846</v>
      </c>
      <c r="R188" s="19">
        <f t="shared" si="74"/>
        <v>0</v>
      </c>
      <c r="S188" s="19">
        <f t="shared" si="75"/>
        <v>0</v>
      </c>
      <c r="T188" s="19">
        <f t="shared" si="76"/>
        <v>0</v>
      </c>
      <c r="U188" s="17"/>
      <c r="V188" s="19">
        <f t="shared" si="69"/>
        <v>291.28456566506497</v>
      </c>
      <c r="W188" s="17"/>
      <c r="X188" s="19">
        <f t="shared" si="70"/>
        <v>333.02073308437423</v>
      </c>
      <c r="Y188" s="19">
        <f t="shared" si="71"/>
        <v>18.24885566506498</v>
      </c>
      <c r="Z188" s="19"/>
      <c r="AA188" s="19">
        <f t="shared" si="72"/>
        <v>1.1859897310354744E-4</v>
      </c>
    </row>
    <row r="189" spans="2:27" x14ac:dyDescent="0.35">
      <c r="B189" s="27">
        <v>15.1</v>
      </c>
      <c r="C189" s="27">
        <v>297.53570999999999</v>
      </c>
      <c r="D189" s="19">
        <f t="shared" si="59"/>
        <v>28.31529674112268</v>
      </c>
      <c r="E189" s="19">
        <f t="shared" si="60"/>
        <v>-0.83529768711113961</v>
      </c>
      <c r="F189" s="19">
        <f t="shared" si="61"/>
        <v>-0.40833568844733059</v>
      </c>
      <c r="G189" s="19">
        <f t="shared" si="62"/>
        <v>-0.40833568844733059</v>
      </c>
      <c r="H189" s="19">
        <f t="shared" si="63"/>
        <v>-0.40833568844733059</v>
      </c>
      <c r="I189" s="17"/>
      <c r="J189" s="19">
        <f t="shared" si="64"/>
        <v>25.092719016105622</v>
      </c>
      <c r="K189" s="19">
        <f t="shared" si="65"/>
        <v>0.31617181324420751</v>
      </c>
      <c r="L189" s="19">
        <f t="shared" si="66"/>
        <v>0.43169658909798198</v>
      </c>
      <c r="M189" s="19">
        <f t="shared" si="67"/>
        <v>0.43169658909798198</v>
      </c>
      <c r="N189" s="19">
        <f t="shared" si="68"/>
        <v>0.43169658909798198</v>
      </c>
      <c r="O189" s="17"/>
      <c r="P189" s="19">
        <f t="shared" si="58"/>
        <v>80.97479379871271</v>
      </c>
      <c r="Q189" s="19">
        <f t="shared" si="73"/>
        <v>208.24210831215754</v>
      </c>
      <c r="R189" s="19">
        <f t="shared" si="74"/>
        <v>0</v>
      </c>
      <c r="S189" s="19">
        <f t="shared" si="75"/>
        <v>0</v>
      </c>
      <c r="T189" s="19">
        <f t="shared" si="76"/>
        <v>0</v>
      </c>
      <c r="U189" s="17"/>
      <c r="V189" s="19">
        <f t="shared" si="69"/>
        <v>289.21690211087025</v>
      </c>
      <c r="W189" s="17"/>
      <c r="X189" s="19">
        <f t="shared" si="70"/>
        <v>69.202564696247265</v>
      </c>
      <c r="Y189" s="19">
        <f t="shared" si="71"/>
        <v>8.3188078891297437</v>
      </c>
      <c r="Z189" s="19"/>
      <c r="AA189" s="19">
        <f t="shared" si="72"/>
        <v>5.4063777543333627E-5</v>
      </c>
    </row>
    <row r="190" spans="2:27" x14ac:dyDescent="0.35">
      <c r="B190" s="27">
        <v>15.2</v>
      </c>
      <c r="C190" s="27">
        <v>289.28570999999999</v>
      </c>
      <c r="D190" s="19">
        <f t="shared" si="59"/>
        <v>28.455796079545173</v>
      </c>
      <c r="E190" s="19">
        <f t="shared" si="60"/>
        <v>-0.82917275828401726</v>
      </c>
      <c r="F190" s="19">
        <f t="shared" si="61"/>
        <v>-0.39722457733621952</v>
      </c>
      <c r="G190" s="19">
        <f t="shared" si="62"/>
        <v>-0.39722457733621952</v>
      </c>
      <c r="H190" s="19">
        <f t="shared" si="63"/>
        <v>-0.39722457733621952</v>
      </c>
      <c r="I190" s="17"/>
      <c r="J190" s="19">
        <f t="shared" si="64"/>
        <v>25.22784763046149</v>
      </c>
      <c r="K190" s="19">
        <f t="shared" si="65"/>
        <v>0.31764575062216227</v>
      </c>
      <c r="L190" s="19">
        <f t="shared" si="66"/>
        <v>0.43505598278360225</v>
      </c>
      <c r="M190" s="19">
        <f t="shared" si="67"/>
        <v>0.43505598278360225</v>
      </c>
      <c r="N190" s="19">
        <f t="shared" si="68"/>
        <v>0.43505598278360225</v>
      </c>
      <c r="O190" s="17"/>
      <c r="P190" s="19">
        <f t="shared" si="58"/>
        <v>80.126110284959822</v>
      </c>
      <c r="Q190" s="19">
        <f t="shared" si="73"/>
        <v>207.04396317531206</v>
      </c>
      <c r="R190" s="19">
        <f t="shared" si="74"/>
        <v>0</v>
      </c>
      <c r="S190" s="19">
        <f t="shared" si="75"/>
        <v>0</v>
      </c>
      <c r="T190" s="19">
        <f t="shared" si="76"/>
        <v>0</v>
      </c>
      <c r="U190" s="17"/>
      <c r="V190" s="19">
        <f t="shared" si="69"/>
        <v>287.17007346027185</v>
      </c>
      <c r="W190" s="17"/>
      <c r="X190" s="19">
        <f t="shared" si="70"/>
        <v>4.4759179682328716</v>
      </c>
      <c r="Y190" s="19">
        <f t="shared" si="71"/>
        <v>2.1156365397281434</v>
      </c>
      <c r="Z190" s="19"/>
      <c r="AA190" s="19">
        <f t="shared" si="72"/>
        <v>1.3749482470423541E-5</v>
      </c>
    </row>
    <row r="191" spans="2:27" x14ac:dyDescent="0.35">
      <c r="B191" s="27">
        <v>15.3</v>
      </c>
      <c r="C191" s="27">
        <v>291.28570999999999</v>
      </c>
      <c r="D191" s="19">
        <f t="shared" si="59"/>
        <v>28.596295417967667</v>
      </c>
      <c r="E191" s="19">
        <f t="shared" si="60"/>
        <v>-0.82304782945689503</v>
      </c>
      <c r="F191" s="19">
        <f t="shared" si="61"/>
        <v>-0.38611346622510823</v>
      </c>
      <c r="G191" s="19">
        <f t="shared" si="62"/>
        <v>-0.38611346622510823</v>
      </c>
      <c r="H191" s="19">
        <f t="shared" si="63"/>
        <v>-0.38611346622510823</v>
      </c>
      <c r="I191" s="17"/>
      <c r="J191" s="19">
        <f t="shared" si="64"/>
        <v>25.363003847180412</v>
      </c>
      <c r="K191" s="19">
        <f t="shared" si="65"/>
        <v>0.31912489693254892</v>
      </c>
      <c r="L191" s="19">
        <f t="shared" si="66"/>
        <v>0.43843355053848632</v>
      </c>
      <c r="M191" s="19">
        <f t="shared" si="67"/>
        <v>0.43843355053848632</v>
      </c>
      <c r="N191" s="19">
        <f t="shared" si="68"/>
        <v>0.43843355053848632</v>
      </c>
      <c r="O191" s="17"/>
      <c r="P191" s="19">
        <f t="shared" si="58"/>
        <v>79.290531890085077</v>
      </c>
      <c r="Q191" s="19">
        <f t="shared" si="73"/>
        <v>205.85322869388054</v>
      </c>
      <c r="R191" s="19">
        <f t="shared" si="74"/>
        <v>0</v>
      </c>
      <c r="S191" s="19">
        <f t="shared" si="75"/>
        <v>0</v>
      </c>
      <c r="T191" s="19">
        <f t="shared" si="76"/>
        <v>0</v>
      </c>
      <c r="U191" s="17"/>
      <c r="V191" s="19">
        <f t="shared" si="69"/>
        <v>285.14376058396562</v>
      </c>
      <c r="W191" s="17"/>
      <c r="X191" s="19">
        <f t="shared" si="70"/>
        <v>37.723542629125049</v>
      </c>
      <c r="Y191" s="19">
        <f t="shared" si="71"/>
        <v>6.1419494160343788</v>
      </c>
      <c r="Z191" s="19"/>
      <c r="AA191" s="19">
        <f t="shared" si="72"/>
        <v>3.9916414868143815E-5</v>
      </c>
    </row>
    <row r="192" spans="2:27" x14ac:dyDescent="0.35">
      <c r="B192" s="27">
        <v>15.4</v>
      </c>
      <c r="C192" s="27">
        <v>280.28570999999999</v>
      </c>
      <c r="D192" s="19">
        <f t="shared" si="59"/>
        <v>28.736794756390154</v>
      </c>
      <c r="E192" s="19">
        <f t="shared" si="60"/>
        <v>-0.81692290062977269</v>
      </c>
      <c r="F192" s="19">
        <f t="shared" si="61"/>
        <v>-0.37500235511399738</v>
      </c>
      <c r="G192" s="19">
        <f t="shared" si="62"/>
        <v>-0.37500235511399738</v>
      </c>
      <c r="H192" s="19">
        <f t="shared" si="63"/>
        <v>-0.37500235511399738</v>
      </c>
      <c r="I192" s="17"/>
      <c r="J192" s="19">
        <f t="shared" si="64"/>
        <v>25.498187389516339</v>
      </c>
      <c r="K192" s="19">
        <f t="shared" si="65"/>
        <v>0.32060925884689678</v>
      </c>
      <c r="L192" s="19">
        <f t="shared" si="66"/>
        <v>0.44182930474349819</v>
      </c>
      <c r="M192" s="19">
        <f t="shared" si="67"/>
        <v>0.44182930474349819</v>
      </c>
      <c r="N192" s="19">
        <f t="shared" si="68"/>
        <v>0.44182930474349819</v>
      </c>
      <c r="O192" s="17"/>
      <c r="P192" s="19">
        <f t="shared" si="58"/>
        <v>78.467792735116689</v>
      </c>
      <c r="Q192" s="19">
        <f t="shared" si="73"/>
        <v>204.66985875973882</v>
      </c>
      <c r="R192" s="19">
        <f t="shared" si="74"/>
        <v>0</v>
      </c>
      <c r="S192" s="19">
        <f t="shared" si="75"/>
        <v>0</v>
      </c>
      <c r="T192" s="19">
        <f t="shared" si="76"/>
        <v>0</v>
      </c>
      <c r="U192" s="17"/>
      <c r="V192" s="19">
        <f t="shared" si="69"/>
        <v>283.1376514948555</v>
      </c>
      <c r="W192" s="17"/>
      <c r="X192" s="19">
        <f t="shared" si="70"/>
        <v>8.1335702900786782</v>
      </c>
      <c r="Y192" s="19">
        <f t="shared" si="71"/>
        <v>2.8519414948555095</v>
      </c>
      <c r="Z192" s="19"/>
      <c r="AA192" s="19">
        <f t="shared" si="72"/>
        <v>1.8534714660972967E-5</v>
      </c>
    </row>
    <row r="193" spans="2:27" x14ac:dyDescent="0.35">
      <c r="B193" s="27">
        <v>15.5</v>
      </c>
      <c r="C193" s="27">
        <v>291.53570999999999</v>
      </c>
      <c r="D193" s="19">
        <f t="shared" si="59"/>
        <v>28.877294094812648</v>
      </c>
      <c r="E193" s="19">
        <f t="shared" si="60"/>
        <v>-0.81079797180265045</v>
      </c>
      <c r="F193" s="19">
        <f t="shared" si="61"/>
        <v>-0.36389124400288608</v>
      </c>
      <c r="G193" s="19">
        <f t="shared" si="62"/>
        <v>-0.36389124400288608</v>
      </c>
      <c r="H193" s="19">
        <f t="shared" si="63"/>
        <v>-0.36389124400288608</v>
      </c>
      <c r="I193" s="17"/>
      <c r="J193" s="19">
        <f t="shared" si="64"/>
        <v>25.633397984808173</v>
      </c>
      <c r="K193" s="19">
        <f t="shared" si="65"/>
        <v>0.32209884297586699</v>
      </c>
      <c r="L193" s="19">
        <f t="shared" si="66"/>
        <v>0.44524325706935092</v>
      </c>
      <c r="M193" s="19">
        <f t="shared" si="67"/>
        <v>0.44524325706935092</v>
      </c>
      <c r="N193" s="19">
        <f t="shared" si="68"/>
        <v>0.44524325706935092</v>
      </c>
      <c r="O193" s="17"/>
      <c r="P193" s="19">
        <f t="shared" si="58"/>
        <v>77.657633598169511</v>
      </c>
      <c r="Q193" s="19">
        <f t="shared" si="73"/>
        <v>203.49380754344062</v>
      </c>
      <c r="R193" s="19">
        <f t="shared" si="74"/>
        <v>0</v>
      </c>
      <c r="S193" s="19">
        <f t="shared" si="75"/>
        <v>0</v>
      </c>
      <c r="T193" s="19">
        <f t="shared" si="76"/>
        <v>0</v>
      </c>
      <c r="U193" s="17"/>
      <c r="V193" s="19">
        <f t="shared" si="69"/>
        <v>281.15144114161012</v>
      </c>
      <c r="W193" s="17"/>
      <c r="X193" s="19">
        <f t="shared" si="70"/>
        <v>107.83303972332573</v>
      </c>
      <c r="Y193" s="19">
        <f t="shared" si="71"/>
        <v>10.384268858389873</v>
      </c>
      <c r="Z193" s="19"/>
      <c r="AA193" s="19">
        <f t="shared" si="72"/>
        <v>6.7487169915747189E-5</v>
      </c>
    </row>
    <row r="194" spans="2:27" x14ac:dyDescent="0.35">
      <c r="B194" s="27">
        <v>15.6</v>
      </c>
      <c r="C194" s="27">
        <v>285.78570999999999</v>
      </c>
      <c r="D194" s="19">
        <f t="shared" si="59"/>
        <v>29.017793433235134</v>
      </c>
      <c r="E194" s="19">
        <f t="shared" si="60"/>
        <v>-0.80467304297552833</v>
      </c>
      <c r="F194" s="19">
        <f t="shared" si="61"/>
        <v>-0.35278013289177501</v>
      </c>
      <c r="G194" s="19">
        <f t="shared" si="62"/>
        <v>-0.35278013289177501</v>
      </c>
      <c r="H194" s="19">
        <f t="shared" si="63"/>
        <v>-0.35278013289177501</v>
      </c>
      <c r="I194" s="17"/>
      <c r="J194" s="19">
        <f t="shared" si="64"/>
        <v>25.768635364400602</v>
      </c>
      <c r="K194" s="19">
        <f t="shared" si="65"/>
        <v>0.32359365586905103</v>
      </c>
      <c r="L194" s="19">
        <f t="shared" si="66"/>
        <v>0.44867541847802178</v>
      </c>
      <c r="M194" s="19">
        <f t="shared" si="67"/>
        <v>0.44867541847802178</v>
      </c>
      <c r="N194" s="19">
        <f t="shared" si="68"/>
        <v>0.44867541847802178</v>
      </c>
      <c r="O194" s="17"/>
      <c r="P194" s="19">
        <f t="shared" si="58"/>
        <v>76.859801716715566</v>
      </c>
      <c r="Q194" s="19">
        <f t="shared" si="73"/>
        <v>202.3250294925684</v>
      </c>
      <c r="R194" s="19">
        <f t="shared" si="74"/>
        <v>0</v>
      </c>
      <c r="S194" s="19">
        <f t="shared" si="75"/>
        <v>0</v>
      </c>
      <c r="T194" s="19">
        <f t="shared" si="76"/>
        <v>0</v>
      </c>
      <c r="U194" s="17"/>
      <c r="V194" s="19">
        <f t="shared" si="69"/>
        <v>279.18483120928397</v>
      </c>
      <c r="W194" s="17"/>
      <c r="X194" s="19">
        <f t="shared" si="70"/>
        <v>43.571600809724643</v>
      </c>
      <c r="Y194" s="19">
        <f t="shared" si="71"/>
        <v>6.600878790716024</v>
      </c>
      <c r="Z194" s="19"/>
      <c r="AA194" s="19">
        <f t="shared" si="72"/>
        <v>4.2898988327174043E-5</v>
      </c>
    </row>
    <row r="195" spans="2:27" x14ac:dyDescent="0.35">
      <c r="B195" s="27">
        <v>15.7</v>
      </c>
      <c r="C195" s="27">
        <v>259.03570999999999</v>
      </c>
      <c r="D195" s="19">
        <f t="shared" si="59"/>
        <v>29.158292771657628</v>
      </c>
      <c r="E195" s="19">
        <f t="shared" si="60"/>
        <v>-0.79854811414840599</v>
      </c>
      <c r="F195" s="19">
        <f t="shared" si="61"/>
        <v>-0.34166902178066394</v>
      </c>
      <c r="G195" s="19">
        <f t="shared" si="62"/>
        <v>-0.34166902178066394</v>
      </c>
      <c r="H195" s="19">
        <f t="shared" si="63"/>
        <v>-0.34166902178066394</v>
      </c>
      <c r="I195" s="17"/>
      <c r="J195" s="19">
        <f t="shared" si="64"/>
        <v>25.903899263566888</v>
      </c>
      <c r="K195" s="19">
        <f t="shared" si="65"/>
        <v>0.3250937040147735</v>
      </c>
      <c r="L195" s="19">
        <f t="shared" si="66"/>
        <v>0.45212579922429263</v>
      </c>
      <c r="M195" s="19">
        <f t="shared" si="67"/>
        <v>0.45212579922429263</v>
      </c>
      <c r="N195" s="19">
        <f t="shared" si="68"/>
        <v>0.45212579922429263</v>
      </c>
      <c r="O195" s="17"/>
      <c r="P195" s="19">
        <f t="shared" si="58"/>
        <v>76.074050596633967</v>
      </c>
      <c r="Q195" s="19">
        <f t="shared" si="73"/>
        <v>201.16347933009368</v>
      </c>
      <c r="R195" s="19">
        <f t="shared" si="74"/>
        <v>0</v>
      </c>
      <c r="S195" s="19">
        <f t="shared" si="75"/>
        <v>0</v>
      </c>
      <c r="T195" s="19">
        <f t="shared" si="76"/>
        <v>0</v>
      </c>
      <c r="U195" s="17"/>
      <c r="V195" s="19">
        <f t="shared" si="69"/>
        <v>277.23752992672763</v>
      </c>
      <c r="W195" s="17"/>
      <c r="X195" s="19">
        <f t="shared" si="70"/>
        <v>331.30624864501931</v>
      </c>
      <c r="Y195" s="19">
        <f t="shared" si="71"/>
        <v>18.201819926727637</v>
      </c>
      <c r="Z195" s="19"/>
      <c r="AA195" s="19">
        <f t="shared" si="72"/>
        <v>1.1829328871607897E-4</v>
      </c>
    </row>
    <row r="196" spans="2:27" x14ac:dyDescent="0.35">
      <c r="B196" s="27">
        <v>15.8</v>
      </c>
      <c r="C196" s="27">
        <v>267.28570999999999</v>
      </c>
      <c r="D196" s="19">
        <f t="shared" si="59"/>
        <v>29.298792110080122</v>
      </c>
      <c r="E196" s="19">
        <f t="shared" si="60"/>
        <v>-0.79242318532128364</v>
      </c>
      <c r="F196" s="19">
        <f t="shared" si="61"/>
        <v>-0.33055791066955287</v>
      </c>
      <c r="G196" s="19">
        <f t="shared" si="62"/>
        <v>-0.33055791066955287</v>
      </c>
      <c r="H196" s="19">
        <f t="shared" si="63"/>
        <v>-0.33055791066955287</v>
      </c>
      <c r="I196" s="17"/>
      <c r="J196" s="19">
        <f t="shared" si="64"/>
        <v>26.039189421433409</v>
      </c>
      <c r="K196" s="19">
        <f t="shared" si="65"/>
        <v>0.32659899383989732</v>
      </c>
      <c r="L196" s="19">
        <f t="shared" si="66"/>
        <v>0.45559440885741265</v>
      </c>
      <c r="M196" s="19">
        <f t="shared" si="67"/>
        <v>0.45559440885741265</v>
      </c>
      <c r="N196" s="19">
        <f t="shared" si="68"/>
        <v>0.45559440885741265</v>
      </c>
      <c r="O196" s="17"/>
      <c r="P196" s="19">
        <f t="shared" si="58"/>
        <v>75.300139827777997</v>
      </c>
      <c r="Q196" s="19">
        <f t="shared" si="73"/>
        <v>200.00911205274878</v>
      </c>
      <c r="R196" s="19">
        <f t="shared" si="74"/>
        <v>0</v>
      </c>
      <c r="S196" s="19">
        <f t="shared" si="75"/>
        <v>0</v>
      </c>
      <c r="T196" s="19">
        <f t="shared" si="76"/>
        <v>0</v>
      </c>
      <c r="U196" s="17"/>
      <c r="V196" s="19">
        <f t="shared" si="69"/>
        <v>275.30925188052674</v>
      </c>
      <c r="W196" s="17"/>
      <c r="X196" s="19">
        <f t="shared" si="70"/>
        <v>64.377224308566738</v>
      </c>
      <c r="Y196" s="19">
        <f t="shared" si="71"/>
        <v>8.02354188052675</v>
      </c>
      <c r="Z196" s="19"/>
      <c r="AA196" s="19">
        <f t="shared" si="72"/>
        <v>5.2144849252408734E-5</v>
      </c>
    </row>
    <row r="197" spans="2:27" x14ac:dyDescent="0.35">
      <c r="B197" s="27">
        <v>15.9</v>
      </c>
      <c r="C197" s="27">
        <v>269.78570999999999</v>
      </c>
      <c r="D197" s="19">
        <f t="shared" si="59"/>
        <v>29.439291448502608</v>
      </c>
      <c r="E197" s="19">
        <f t="shared" si="60"/>
        <v>-0.7862982564941613</v>
      </c>
      <c r="F197" s="19">
        <f t="shared" si="61"/>
        <v>-0.3194467995584418</v>
      </c>
      <c r="G197" s="19">
        <f t="shared" si="62"/>
        <v>-0.3194467995584418</v>
      </c>
      <c r="H197" s="19">
        <f t="shared" si="63"/>
        <v>-0.3194467995584418</v>
      </c>
      <c r="I197" s="17"/>
      <c r="J197" s="19">
        <f t="shared" si="64"/>
        <v>26.174505580906029</v>
      </c>
      <c r="K197" s="19">
        <f t="shared" si="65"/>
        <v>0.32810953170963408</v>
      </c>
      <c r="L197" s="19">
        <f t="shared" si="66"/>
        <v>0.45908125622288098</v>
      </c>
      <c r="M197" s="19">
        <f t="shared" si="67"/>
        <v>0.45908125622288098</v>
      </c>
      <c r="N197" s="19">
        <f t="shared" si="68"/>
        <v>0.45908125622288098</v>
      </c>
      <c r="O197" s="17"/>
      <c r="P197" s="19">
        <f t="shared" si="58"/>
        <v>74.537834905806704</v>
      </c>
      <c r="Q197" s="19">
        <f t="shared" si="73"/>
        <v>198.86188292940776</v>
      </c>
      <c r="R197" s="19">
        <f t="shared" si="74"/>
        <v>0</v>
      </c>
      <c r="S197" s="19">
        <f t="shared" si="75"/>
        <v>0</v>
      </c>
      <c r="T197" s="19">
        <f t="shared" si="76"/>
        <v>0</v>
      </c>
      <c r="U197" s="17"/>
      <c r="V197" s="19">
        <f t="shared" si="69"/>
        <v>273.39971783521446</v>
      </c>
      <c r="W197" s="17"/>
      <c r="X197" s="19">
        <f t="shared" si="70"/>
        <v>13.061052632991547</v>
      </c>
      <c r="Y197" s="19">
        <f t="shared" si="71"/>
        <v>3.6140078352144656</v>
      </c>
      <c r="Z197" s="19"/>
      <c r="AA197" s="19">
        <f t="shared" si="72"/>
        <v>2.3487369614366661E-5</v>
      </c>
    </row>
    <row r="198" spans="2:27" x14ac:dyDescent="0.35">
      <c r="B198" s="27">
        <v>16</v>
      </c>
      <c r="C198" s="27">
        <v>278.28570999999999</v>
      </c>
      <c r="D198" s="19">
        <f t="shared" si="59"/>
        <v>29.579790786925102</v>
      </c>
      <c r="E198" s="19">
        <f t="shared" si="60"/>
        <v>-0.78017332766703917</v>
      </c>
      <c r="F198" s="19">
        <f t="shared" si="61"/>
        <v>-0.3083356884473305</v>
      </c>
      <c r="G198" s="19">
        <f t="shared" si="62"/>
        <v>-0.3083356884473305</v>
      </c>
      <c r="H198" s="19">
        <f t="shared" si="63"/>
        <v>-0.3083356884473305</v>
      </c>
      <c r="I198" s="17"/>
      <c r="J198" s="19">
        <f t="shared" si="64"/>
        <v>26.309847488598244</v>
      </c>
      <c r="K198" s="19">
        <f t="shared" si="65"/>
        <v>0.32962532392735705</v>
      </c>
      <c r="L198" s="19">
        <f t="shared" si="66"/>
        <v>0.46258634946435012</v>
      </c>
      <c r="M198" s="19">
        <f t="shared" si="67"/>
        <v>0.46258634946435012</v>
      </c>
      <c r="N198" s="19">
        <f t="shared" si="68"/>
        <v>0.46258634946435012</v>
      </c>
      <c r="O198" s="17"/>
      <c r="P198" s="19">
        <f t="shared" si="58"/>
        <v>73.786907060040775</v>
      </c>
      <c r="Q198" s="19">
        <f t="shared" si="73"/>
        <v>197.72174749947811</v>
      </c>
      <c r="R198" s="19">
        <f t="shared" si="74"/>
        <v>0</v>
      </c>
      <c r="S198" s="19">
        <f t="shared" si="75"/>
        <v>0</v>
      </c>
      <c r="T198" s="19">
        <f t="shared" si="76"/>
        <v>0</v>
      </c>
      <c r="U198" s="17"/>
      <c r="V198" s="19">
        <f t="shared" si="69"/>
        <v>271.5086545595189</v>
      </c>
      <c r="W198" s="17"/>
      <c r="X198" s="19">
        <f t="shared" si="70"/>
        <v>45.928480443354374</v>
      </c>
      <c r="Y198" s="19">
        <f t="shared" si="71"/>
        <v>6.7770554404810923</v>
      </c>
      <c r="Z198" s="19"/>
      <c r="AA198" s="19">
        <f t="shared" si="72"/>
        <v>4.404395709291205E-5</v>
      </c>
    </row>
    <row r="199" spans="2:27" x14ac:dyDescent="0.35">
      <c r="B199" s="27">
        <v>16.100000000000001</v>
      </c>
      <c r="C199" s="27">
        <v>239.03570999999999</v>
      </c>
      <c r="D199" s="19">
        <f t="shared" si="59"/>
        <v>29.720290125347596</v>
      </c>
      <c r="E199" s="19">
        <f t="shared" si="60"/>
        <v>-0.77404839883991683</v>
      </c>
      <c r="F199" s="19">
        <f t="shared" si="61"/>
        <v>-0.29722457733621921</v>
      </c>
      <c r="G199" s="19">
        <f t="shared" si="62"/>
        <v>-0.29722457733621921</v>
      </c>
      <c r="H199" s="19">
        <f t="shared" si="63"/>
        <v>-0.29722457733621921</v>
      </c>
      <c r="I199" s="17"/>
      <c r="J199" s="19">
        <f t="shared" si="64"/>
        <v>26.445214894760912</v>
      </c>
      <c r="K199" s="19">
        <f t="shared" si="65"/>
        <v>0.33114637673441871</v>
      </c>
      <c r="L199" s="19">
        <f t="shared" si="66"/>
        <v>0.46610969602564739</v>
      </c>
      <c r="M199" s="19">
        <f t="shared" si="67"/>
        <v>0.46610969602564739</v>
      </c>
      <c r="N199" s="19">
        <f t="shared" si="68"/>
        <v>0.46610969602564739</v>
      </c>
      <c r="O199" s="17"/>
      <c r="P199" s="19">
        <f t="shared" si="58"/>
        <v>73.047133087112243</v>
      </c>
      <c r="Q199" s="19">
        <f t="shared" si="73"/>
        <v>196.58866157130191</v>
      </c>
      <c r="R199" s="19">
        <f t="shared" si="74"/>
        <v>0</v>
      </c>
      <c r="S199" s="19">
        <f t="shared" si="75"/>
        <v>0</v>
      </c>
      <c r="T199" s="19">
        <f t="shared" si="76"/>
        <v>0</v>
      </c>
      <c r="U199" s="17"/>
      <c r="V199" s="19">
        <f t="shared" si="69"/>
        <v>269.63579465841417</v>
      </c>
      <c r="W199" s="17"/>
      <c r="X199" s="19">
        <f t="shared" si="70"/>
        <v>936.36518110211455</v>
      </c>
      <c r="Y199" s="19">
        <f t="shared" si="71"/>
        <v>30.600084658414175</v>
      </c>
      <c r="Z199" s="19"/>
      <c r="AA199" s="19">
        <f t="shared" si="72"/>
        <v>1.9886938030405068E-4</v>
      </c>
    </row>
    <row r="200" spans="2:27" x14ac:dyDescent="0.35">
      <c r="B200" s="27">
        <v>16.2</v>
      </c>
      <c r="C200" s="27">
        <v>287.03570999999999</v>
      </c>
      <c r="D200" s="19">
        <f t="shared" si="59"/>
        <v>29.860789463770082</v>
      </c>
      <c r="E200" s="19">
        <f t="shared" si="60"/>
        <v>-0.7679234700127946</v>
      </c>
      <c r="F200" s="19">
        <f t="shared" si="61"/>
        <v>-0.28611346622510836</v>
      </c>
      <c r="G200" s="19">
        <f t="shared" si="62"/>
        <v>-0.28611346622510836</v>
      </c>
      <c r="H200" s="19">
        <f t="shared" si="63"/>
        <v>-0.28611346622510836</v>
      </c>
      <c r="I200" s="17"/>
      <c r="J200" s="19">
        <f t="shared" si="64"/>
        <v>26.580607553213717</v>
      </c>
      <c r="K200" s="19">
        <f t="shared" si="65"/>
        <v>0.3326726963099717</v>
      </c>
      <c r="L200" s="19">
        <f t="shared" si="66"/>
        <v>0.46965130265291249</v>
      </c>
      <c r="M200" s="19">
        <f t="shared" si="67"/>
        <v>0.46965130265291249</v>
      </c>
      <c r="N200" s="19">
        <f t="shared" si="68"/>
        <v>0.46965130265291249</v>
      </c>
      <c r="O200" s="17"/>
      <c r="P200" s="19">
        <f t="shared" si="58"/>
        <v>72.318295190186774</v>
      </c>
      <c r="Q200" s="19">
        <f t="shared" si="73"/>
        <v>195.46258122056722</v>
      </c>
      <c r="R200" s="19">
        <f t="shared" si="74"/>
        <v>0</v>
      </c>
      <c r="S200" s="19">
        <f t="shared" si="75"/>
        <v>0</v>
      </c>
      <c r="T200" s="19">
        <f t="shared" si="76"/>
        <v>0</v>
      </c>
      <c r="U200" s="17"/>
      <c r="V200" s="19">
        <f t="shared" si="69"/>
        <v>267.78087641075399</v>
      </c>
      <c r="W200" s="17"/>
      <c r="X200" s="19">
        <f t="shared" si="70"/>
        <v>370.74861654955617</v>
      </c>
      <c r="Y200" s="19">
        <f t="shared" si="71"/>
        <v>19.254833589246005</v>
      </c>
      <c r="Z200" s="19"/>
      <c r="AA200" s="19">
        <f t="shared" si="72"/>
        <v>1.2513680489763121E-4</v>
      </c>
    </row>
    <row r="201" spans="2:27" x14ac:dyDescent="0.35">
      <c r="B201" s="27">
        <v>16.3</v>
      </c>
      <c r="C201" s="27">
        <v>263.78570999999999</v>
      </c>
      <c r="D201" s="19">
        <f t="shared" si="59"/>
        <v>30.001288802192576</v>
      </c>
      <c r="E201" s="19">
        <f t="shared" si="60"/>
        <v>-0.76179854118567225</v>
      </c>
      <c r="F201" s="19">
        <f t="shared" si="61"/>
        <v>-0.27500235511399729</v>
      </c>
      <c r="G201" s="19">
        <f t="shared" si="62"/>
        <v>-0.27500235511399729</v>
      </c>
      <c r="H201" s="19">
        <f t="shared" si="63"/>
        <v>-0.27500235511399729</v>
      </c>
      <c r="I201" s="17"/>
      <c r="J201" s="19">
        <f t="shared" si="64"/>
        <v>26.716025221278194</v>
      </c>
      <c r="K201" s="19">
        <f t="shared" si="65"/>
        <v>0.33420428877079361</v>
      </c>
      <c r="L201" s="19">
        <f t="shared" si="66"/>
        <v>0.4732111753968517</v>
      </c>
      <c r="M201" s="19">
        <f t="shared" si="67"/>
        <v>0.4732111753968517</v>
      </c>
      <c r="N201" s="19">
        <f t="shared" si="68"/>
        <v>0.4732111753968517</v>
      </c>
      <c r="O201" s="17"/>
      <c r="P201" s="19">
        <f t="shared" si="58"/>
        <v>71.600180823547689</v>
      </c>
      <c r="Q201" s="19">
        <f t="shared" si="73"/>
        <v>194.3434627887292</v>
      </c>
      <c r="R201" s="19">
        <f t="shared" si="74"/>
        <v>0</v>
      </c>
      <c r="S201" s="19">
        <f t="shared" si="75"/>
        <v>0</v>
      </c>
      <c r="T201" s="19">
        <f t="shared" si="76"/>
        <v>0</v>
      </c>
      <c r="U201" s="17"/>
      <c r="V201" s="19">
        <f t="shared" si="69"/>
        <v>265.9436436122769</v>
      </c>
      <c r="W201" s="17"/>
      <c r="X201" s="19">
        <f t="shared" si="70"/>
        <v>4.6566774749944582</v>
      </c>
      <c r="Y201" s="19">
        <f t="shared" si="71"/>
        <v>2.1579336122769064</v>
      </c>
      <c r="Z201" s="19"/>
      <c r="AA201" s="19">
        <f t="shared" si="72"/>
        <v>1.4024370357184174E-5</v>
      </c>
    </row>
    <row r="202" spans="2:27" x14ac:dyDescent="0.35">
      <c r="B202" s="27">
        <v>16.399999999999999</v>
      </c>
      <c r="C202" s="27">
        <v>230.03570999999999</v>
      </c>
      <c r="D202" s="19">
        <f t="shared" si="59"/>
        <v>30.141788140615063</v>
      </c>
      <c r="E202" s="19">
        <f t="shared" si="60"/>
        <v>-0.75567361235855013</v>
      </c>
      <c r="F202" s="19">
        <f t="shared" si="61"/>
        <v>-0.26389124400288644</v>
      </c>
      <c r="G202" s="19">
        <f t="shared" si="62"/>
        <v>-0.26389124400288644</v>
      </c>
      <c r="H202" s="19">
        <f t="shared" si="63"/>
        <v>-0.26389124400288644</v>
      </c>
      <c r="I202" s="17"/>
      <c r="J202" s="19">
        <f t="shared" si="64"/>
        <v>26.851467659712274</v>
      </c>
      <c r="K202" s="19">
        <f t="shared" si="65"/>
        <v>0.33574116017111566</v>
      </c>
      <c r="L202" s="19">
        <f t="shared" si="66"/>
        <v>0.47678931961510429</v>
      </c>
      <c r="M202" s="19">
        <f t="shared" si="67"/>
        <v>0.47678931961510429</v>
      </c>
      <c r="N202" s="19">
        <f t="shared" si="68"/>
        <v>0.47678931961510429</v>
      </c>
      <c r="O202" s="17"/>
      <c r="P202" s="19">
        <f t="shared" si="58"/>
        <v>70.892582542339312</v>
      </c>
      <c r="Q202" s="19">
        <f t="shared" si="73"/>
        <v>193.23126288144135</v>
      </c>
      <c r="R202" s="19">
        <f t="shared" si="74"/>
        <v>0</v>
      </c>
      <c r="S202" s="19">
        <f t="shared" si="75"/>
        <v>0</v>
      </c>
      <c r="T202" s="19">
        <f t="shared" si="76"/>
        <v>0</v>
      </c>
      <c r="U202" s="17"/>
      <c r="V202" s="19">
        <f t="shared" si="69"/>
        <v>264.12384542378066</v>
      </c>
      <c r="W202" s="17"/>
      <c r="X202" s="19">
        <f t="shared" si="70"/>
        <v>1162.0009766700107</v>
      </c>
      <c r="Y202" s="19">
        <f t="shared" si="71"/>
        <v>34.08813542378067</v>
      </c>
      <c r="Z202" s="19"/>
      <c r="AA202" s="19">
        <f t="shared" si="72"/>
        <v>2.215381572672793E-4</v>
      </c>
    </row>
    <row r="203" spans="2:27" x14ac:dyDescent="0.35">
      <c r="B203" s="27">
        <v>16.5</v>
      </c>
      <c r="C203" s="27">
        <v>266.53570999999999</v>
      </c>
      <c r="D203" s="19">
        <f t="shared" si="59"/>
        <v>30.282287479037556</v>
      </c>
      <c r="E203" s="19">
        <f t="shared" si="60"/>
        <v>-0.74954868353142778</v>
      </c>
      <c r="F203" s="19">
        <f t="shared" si="61"/>
        <v>-0.25278013289177492</v>
      </c>
      <c r="G203" s="19">
        <f t="shared" si="62"/>
        <v>-0.25278013289177492</v>
      </c>
      <c r="H203" s="19">
        <f t="shared" si="63"/>
        <v>-0.25278013289177492</v>
      </c>
      <c r="I203" s="17"/>
      <c r="J203" s="19">
        <f t="shared" si="64"/>
        <v>26.986934632646403</v>
      </c>
      <c r="K203" s="19">
        <f t="shared" si="65"/>
        <v>0.33728331650245535</v>
      </c>
      <c r="L203" s="19">
        <f t="shared" si="66"/>
        <v>0.48038573997472234</v>
      </c>
      <c r="M203" s="19">
        <f t="shared" si="67"/>
        <v>0.48038573997472234</v>
      </c>
      <c r="N203" s="19">
        <f t="shared" si="68"/>
        <v>0.48038573997472234</v>
      </c>
      <c r="O203" s="17"/>
      <c r="P203" s="19">
        <f t="shared" si="58"/>
        <v>70.195297857275378</v>
      </c>
      <c r="Q203" s="19">
        <f t="shared" si="73"/>
        <v>192.12593836699588</v>
      </c>
      <c r="R203" s="19">
        <f t="shared" si="74"/>
        <v>0</v>
      </c>
      <c r="S203" s="19">
        <f t="shared" si="75"/>
        <v>0</v>
      </c>
      <c r="T203" s="19">
        <f t="shared" si="76"/>
        <v>0</v>
      </c>
      <c r="U203" s="17"/>
      <c r="V203" s="19">
        <f t="shared" si="69"/>
        <v>262.32123622427127</v>
      </c>
      <c r="W203" s="17"/>
      <c r="X203" s="19">
        <f t="shared" si="70"/>
        <v>17.761789206305096</v>
      </c>
      <c r="Y203" s="19">
        <f t="shared" si="71"/>
        <v>4.2144737757287203</v>
      </c>
      <c r="Z203" s="19"/>
      <c r="AA203" s="19">
        <f t="shared" si="72"/>
        <v>2.7389786578789117E-5</v>
      </c>
    </row>
    <row r="204" spans="2:27" x14ac:dyDescent="0.35">
      <c r="B204" s="27">
        <v>16.600000000000001</v>
      </c>
      <c r="C204" s="27">
        <v>260.53570999999999</v>
      </c>
      <c r="D204" s="19">
        <f t="shared" si="59"/>
        <v>30.42278681746005</v>
      </c>
      <c r="E204" s="19">
        <f t="shared" si="60"/>
        <v>-0.74342375470430544</v>
      </c>
      <c r="F204" s="19">
        <f t="shared" si="61"/>
        <v>-0.24166902178066385</v>
      </c>
      <c r="G204" s="19">
        <f t="shared" si="62"/>
        <v>-0.24166902178066385</v>
      </c>
      <c r="H204" s="19">
        <f t="shared" si="63"/>
        <v>-0.24166902178066385</v>
      </c>
      <c r="I204" s="17"/>
      <c r="J204" s="19">
        <f t="shared" si="64"/>
        <v>27.122425907521052</v>
      </c>
      <c r="K204" s="19">
        <f t="shared" si="65"/>
        <v>0.33883076369345227</v>
      </c>
      <c r="L204" s="19">
        <f t="shared" si="66"/>
        <v>0.48400044045475993</v>
      </c>
      <c r="M204" s="19">
        <f t="shared" si="67"/>
        <v>0.48400044045475993</v>
      </c>
      <c r="N204" s="19">
        <f t="shared" si="68"/>
        <v>0.48400044045475993</v>
      </c>
      <c r="O204" s="17"/>
      <c r="P204" s="19">
        <f t="shared" si="58"/>
        <v>69.508129094127312</v>
      </c>
      <c r="Q204" s="19">
        <f t="shared" si="73"/>
        <v>191.02744637477446</v>
      </c>
      <c r="R204" s="19">
        <f t="shared" si="74"/>
        <v>0</v>
      </c>
      <c r="S204" s="19">
        <f t="shared" si="75"/>
        <v>0</v>
      </c>
      <c r="T204" s="19">
        <f t="shared" si="76"/>
        <v>0</v>
      </c>
      <c r="U204" s="17"/>
      <c r="V204" s="19">
        <f t="shared" si="69"/>
        <v>260.53557546890175</v>
      </c>
      <c r="W204" s="17"/>
      <c r="X204" s="19">
        <f t="shared" si="70"/>
        <v>1.8098616393695923E-8</v>
      </c>
      <c r="Y204" s="19">
        <f t="shared" si="71"/>
        <v>1.3453109824013154E-4</v>
      </c>
      <c r="Z204" s="19"/>
      <c r="AA204" s="19">
        <f t="shared" si="72"/>
        <v>8.7431510197739544E-10</v>
      </c>
    </row>
    <row r="205" spans="2:27" x14ac:dyDescent="0.35">
      <c r="B205" s="27">
        <v>16.7</v>
      </c>
      <c r="C205" s="27">
        <v>243.28570999999999</v>
      </c>
      <c r="D205" s="19">
        <f t="shared" si="59"/>
        <v>30.563286155882537</v>
      </c>
      <c r="E205" s="19">
        <f t="shared" si="60"/>
        <v>-0.73729882587718332</v>
      </c>
      <c r="F205" s="19">
        <f t="shared" si="61"/>
        <v>-0.230557910669553</v>
      </c>
      <c r="G205" s="19">
        <f t="shared" si="62"/>
        <v>-0.230557910669553</v>
      </c>
      <c r="H205" s="19">
        <f t="shared" si="63"/>
        <v>-0.230557910669553</v>
      </c>
      <c r="I205" s="17"/>
      <c r="J205" s="19">
        <f t="shared" si="64"/>
        <v>27.257941255025706</v>
      </c>
      <c r="K205" s="19">
        <f t="shared" si="65"/>
        <v>0.34038350760970854</v>
      </c>
      <c r="L205" s="19">
        <f t="shared" si="66"/>
        <v>0.48763342434897261</v>
      </c>
      <c r="M205" s="19">
        <f t="shared" si="67"/>
        <v>0.48763342434897261</v>
      </c>
      <c r="N205" s="19">
        <f t="shared" si="68"/>
        <v>0.48763342434897261</v>
      </c>
      <c r="O205" s="17"/>
      <c r="P205" s="19">
        <f t="shared" si="58"/>
        <v>68.830883257813895</v>
      </c>
      <c r="Q205" s="19">
        <f t="shared" si="73"/>
        <v>189.93574429370813</v>
      </c>
      <c r="R205" s="19">
        <f t="shared" si="74"/>
        <v>0</v>
      </c>
      <c r="S205" s="19">
        <f t="shared" si="75"/>
        <v>0</v>
      </c>
      <c r="T205" s="19">
        <f t="shared" si="76"/>
        <v>0</v>
      </c>
      <c r="U205" s="17"/>
      <c r="V205" s="19">
        <f t="shared" si="69"/>
        <v>258.76662755152199</v>
      </c>
      <c r="W205" s="17"/>
      <c r="X205" s="19">
        <f t="shared" si="70"/>
        <v>239.65880823702184</v>
      </c>
      <c r="Y205" s="19">
        <f t="shared" si="71"/>
        <v>15.480917551521998</v>
      </c>
      <c r="Z205" s="19"/>
      <c r="AA205" s="19">
        <f t="shared" si="72"/>
        <v>1.0061019485325933E-4</v>
      </c>
    </row>
    <row r="206" spans="2:27" x14ac:dyDescent="0.35">
      <c r="B206" s="27">
        <v>16.8</v>
      </c>
      <c r="C206" s="27">
        <v>245.53570999999999</v>
      </c>
      <c r="D206" s="19">
        <f t="shared" si="59"/>
        <v>30.703785494305031</v>
      </c>
      <c r="E206" s="19">
        <f t="shared" si="60"/>
        <v>-0.73117389705006097</v>
      </c>
      <c r="F206" s="19">
        <f t="shared" si="61"/>
        <v>-0.21944679955844171</v>
      </c>
      <c r="G206" s="19">
        <f t="shared" si="62"/>
        <v>-0.21944679955844171</v>
      </c>
      <c r="H206" s="19">
        <f t="shared" si="63"/>
        <v>-0.21944679955844171</v>
      </c>
      <c r="I206" s="17"/>
      <c r="J206" s="19">
        <f t="shared" si="64"/>
        <v>27.393480449039259</v>
      </c>
      <c r="K206" s="19">
        <f t="shared" si="65"/>
        <v>0.34194155405363325</v>
      </c>
      <c r="L206" s="19">
        <f t="shared" si="66"/>
        <v>0.49128469426862337</v>
      </c>
      <c r="M206" s="19">
        <f t="shared" si="67"/>
        <v>0.49128469426862337</v>
      </c>
      <c r="N206" s="19">
        <f t="shared" si="68"/>
        <v>0.49128469426862337</v>
      </c>
      <c r="O206" s="17"/>
      <c r="P206" s="19">
        <f t="shared" si="58"/>
        <v>68.16337190092176</v>
      </c>
      <c r="Q206" s="19">
        <f t="shared" si="73"/>
        <v>188.85078977074647</v>
      </c>
      <c r="R206" s="19">
        <f t="shared" si="74"/>
        <v>0</v>
      </c>
      <c r="S206" s="19">
        <f t="shared" si="75"/>
        <v>0</v>
      </c>
      <c r="T206" s="19">
        <f t="shared" si="76"/>
        <v>0</v>
      </c>
      <c r="U206" s="17"/>
      <c r="V206" s="19">
        <f t="shared" si="69"/>
        <v>257.01416167166826</v>
      </c>
      <c r="W206" s="17"/>
      <c r="X206" s="19">
        <f t="shared" si="70"/>
        <v>131.75485277882404</v>
      </c>
      <c r="Y206" s="19">
        <f t="shared" si="71"/>
        <v>11.478451671668267</v>
      </c>
      <c r="Z206" s="19"/>
      <c r="AA206" s="19">
        <f t="shared" si="72"/>
        <v>7.4598243641361311E-5</v>
      </c>
    </row>
    <row r="207" spans="2:27" x14ac:dyDescent="0.35">
      <c r="B207" s="27">
        <v>16.899999999999999</v>
      </c>
      <c r="C207" s="27">
        <v>275.03570999999999</v>
      </c>
      <c r="D207" s="19">
        <f t="shared" si="59"/>
        <v>30.844284832727517</v>
      </c>
      <c r="E207" s="19">
        <f t="shared" si="60"/>
        <v>-0.72504896822293885</v>
      </c>
      <c r="F207" s="19">
        <f t="shared" si="61"/>
        <v>-0.20833568844733064</v>
      </c>
      <c r="G207" s="19">
        <f t="shared" si="62"/>
        <v>-0.20833568844733064</v>
      </c>
      <c r="H207" s="19">
        <f t="shared" si="63"/>
        <v>-0.20833568844733064</v>
      </c>
      <c r="I207" s="17"/>
      <c r="J207" s="19">
        <f t="shared" si="64"/>
        <v>27.529043266571662</v>
      </c>
      <c r="K207" s="19">
        <f t="shared" si="65"/>
        <v>0.34350490876428924</v>
      </c>
      <c r="L207" s="19">
        <f t="shared" si="66"/>
        <v>0.49495425214539401</v>
      </c>
      <c r="M207" s="19">
        <f t="shared" si="67"/>
        <v>0.49495425214539401</v>
      </c>
      <c r="N207" s="19">
        <f t="shared" si="68"/>
        <v>0.49495425214539401</v>
      </c>
      <c r="O207" s="17"/>
      <c r="P207" s="19">
        <f t="shared" si="58"/>
        <v>67.505410996493865</v>
      </c>
      <c r="Q207" s="19">
        <f t="shared" si="73"/>
        <v>187.77254070933731</v>
      </c>
      <c r="R207" s="19">
        <f t="shared" si="74"/>
        <v>0</v>
      </c>
      <c r="S207" s="19">
        <f t="shared" si="75"/>
        <v>0</v>
      </c>
      <c r="T207" s="19">
        <f t="shared" si="76"/>
        <v>0</v>
      </c>
      <c r="U207" s="17"/>
      <c r="V207" s="19">
        <f t="shared" si="69"/>
        <v>255.27795170583119</v>
      </c>
      <c r="W207" s="17"/>
      <c r="X207" s="19">
        <f t="shared" si="70"/>
        <v>390.36901281079639</v>
      </c>
      <c r="Y207" s="19">
        <f t="shared" si="71"/>
        <v>19.757758294168809</v>
      </c>
      <c r="Z207" s="19"/>
      <c r="AA207" s="19">
        <f t="shared" si="72"/>
        <v>1.2840530318853691E-4</v>
      </c>
    </row>
    <row r="208" spans="2:27" x14ac:dyDescent="0.35">
      <c r="B208" s="27">
        <v>17</v>
      </c>
      <c r="C208" s="27">
        <v>240.78570999999999</v>
      </c>
      <c r="D208" s="19">
        <f t="shared" si="59"/>
        <v>30.984784171150011</v>
      </c>
      <c r="E208" s="19">
        <f t="shared" si="60"/>
        <v>-0.71892403939581651</v>
      </c>
      <c r="F208" s="19">
        <f t="shared" si="61"/>
        <v>-0.19722457733621934</v>
      </c>
      <c r="G208" s="19">
        <f t="shared" si="62"/>
        <v>-0.19722457733621934</v>
      </c>
      <c r="H208" s="19">
        <f t="shared" si="63"/>
        <v>-0.19722457733621934</v>
      </c>
      <c r="I208" s="17"/>
      <c r="J208" s="19">
        <f t="shared" si="64"/>
        <v>27.66462948770701</v>
      </c>
      <c r="K208" s="19">
        <f t="shared" si="65"/>
        <v>0.34507357741724604</v>
      </c>
      <c r="L208" s="19">
        <f t="shared" si="66"/>
        <v>0.49864209923440084</v>
      </c>
      <c r="M208" s="19">
        <f t="shared" si="67"/>
        <v>0.49864209923440084</v>
      </c>
      <c r="N208" s="19">
        <f t="shared" si="68"/>
        <v>0.49864209923440084</v>
      </c>
      <c r="O208" s="17"/>
      <c r="P208" s="19">
        <f t="shared" si="58"/>
        <v>66.856820814927815</v>
      </c>
      <c r="Q208" s="19">
        <f t="shared" si="73"/>
        <v>186.70095526791434</v>
      </c>
      <c r="R208" s="19">
        <f t="shared" si="74"/>
        <v>0</v>
      </c>
      <c r="S208" s="19">
        <f t="shared" si="75"/>
        <v>0</v>
      </c>
      <c r="T208" s="19">
        <f t="shared" si="76"/>
        <v>0</v>
      </c>
      <c r="U208" s="17"/>
      <c r="V208" s="19">
        <f t="shared" si="69"/>
        <v>253.55777608284217</v>
      </c>
      <c r="W208" s="17"/>
      <c r="X208" s="19">
        <f t="shared" si="70"/>
        <v>163.12567202448741</v>
      </c>
      <c r="Y208" s="19">
        <f t="shared" si="71"/>
        <v>12.772066082842173</v>
      </c>
      <c r="Z208" s="19"/>
      <c r="AA208" s="19">
        <f t="shared" si="72"/>
        <v>8.3005419607516833E-5</v>
      </c>
    </row>
    <row r="209" spans="2:27" x14ac:dyDescent="0.35">
      <c r="B209" s="27">
        <v>17.100000000000001</v>
      </c>
      <c r="C209" s="27">
        <v>260.78570999999999</v>
      </c>
      <c r="D209" s="19">
        <f t="shared" si="59"/>
        <v>31.125283509572498</v>
      </c>
      <c r="E209" s="19">
        <f t="shared" si="60"/>
        <v>-0.71279911056869416</v>
      </c>
      <c r="F209" s="19">
        <f t="shared" si="61"/>
        <v>-0.18611346622510827</v>
      </c>
      <c r="G209" s="19">
        <f t="shared" si="62"/>
        <v>-0.18611346622510827</v>
      </c>
      <c r="H209" s="19">
        <f t="shared" si="63"/>
        <v>-0.18611346622510827</v>
      </c>
      <c r="I209" s="17"/>
      <c r="J209" s="19">
        <f t="shared" si="64"/>
        <v>27.8002388955478</v>
      </c>
      <c r="K209" s="19">
        <f t="shared" si="65"/>
        <v>0.34664756562443433</v>
      </c>
      <c r="L209" s="19">
        <f t="shared" si="66"/>
        <v>0.50234823611731216</v>
      </c>
      <c r="M209" s="19">
        <f t="shared" si="67"/>
        <v>0.50234823611731216</v>
      </c>
      <c r="N209" s="19">
        <f t="shared" si="68"/>
        <v>0.50234823611731216</v>
      </c>
      <c r="O209" s="17"/>
      <c r="P209" s="19">
        <f t="shared" si="58"/>
        <v>66.21742580483496</v>
      </c>
      <c r="Q209" s="19">
        <f t="shared" si="73"/>
        <v>185.63599185839576</v>
      </c>
      <c r="R209" s="19">
        <f t="shared" si="74"/>
        <v>0</v>
      </c>
      <c r="S209" s="19">
        <f t="shared" si="75"/>
        <v>0</v>
      </c>
      <c r="T209" s="19">
        <f t="shared" si="76"/>
        <v>0</v>
      </c>
      <c r="U209" s="17"/>
      <c r="V209" s="19">
        <f t="shared" si="69"/>
        <v>251.85341766323072</v>
      </c>
      <c r="W209" s="17"/>
      <c r="X209" s="19">
        <f t="shared" si="70"/>
        <v>79.785846389507199</v>
      </c>
      <c r="Y209" s="19">
        <f t="shared" si="71"/>
        <v>8.9322923367692795</v>
      </c>
      <c r="Z209" s="19"/>
      <c r="AA209" s="19">
        <f t="shared" si="72"/>
        <v>5.8050801543108736E-5</v>
      </c>
    </row>
    <row r="210" spans="2:27" x14ac:dyDescent="0.35">
      <c r="B210" s="27">
        <v>17.2</v>
      </c>
      <c r="C210" s="27">
        <v>260.03570999999999</v>
      </c>
      <c r="D210" s="19">
        <f t="shared" si="59"/>
        <v>31.265782847994991</v>
      </c>
      <c r="E210" s="19">
        <f t="shared" si="60"/>
        <v>-0.70667418174157204</v>
      </c>
      <c r="F210" s="19">
        <f t="shared" si="61"/>
        <v>-0.17500235511399742</v>
      </c>
      <c r="G210" s="19">
        <f t="shared" si="62"/>
        <v>-0.17500235511399742</v>
      </c>
      <c r="H210" s="19">
        <f t="shared" si="63"/>
        <v>-0.17500235511399742</v>
      </c>
      <c r="I210" s="17"/>
      <c r="J210" s="19">
        <f t="shared" si="64"/>
        <v>27.935871276160537</v>
      </c>
      <c r="K210" s="19">
        <f t="shared" si="65"/>
        <v>0.34822687893400622</v>
      </c>
      <c r="L210" s="19">
        <f t="shared" si="66"/>
        <v>0.50607266270556661</v>
      </c>
      <c r="M210" s="19">
        <f t="shared" si="67"/>
        <v>0.50607266270556661</v>
      </c>
      <c r="N210" s="19">
        <f t="shared" si="68"/>
        <v>0.50607266270556661</v>
      </c>
      <c r="O210" s="17"/>
      <c r="P210" s="19">
        <f t="shared" si="58"/>
        <v>65.587054477714986</v>
      </c>
      <c r="Q210" s="19">
        <f t="shared" si="73"/>
        <v>184.57760914469046</v>
      </c>
      <c r="R210" s="19">
        <f t="shared" si="74"/>
        <v>0</v>
      </c>
      <c r="S210" s="19">
        <f t="shared" si="75"/>
        <v>0</v>
      </c>
      <c r="T210" s="19">
        <f t="shared" si="76"/>
        <v>0</v>
      </c>
      <c r="U210" s="17"/>
      <c r="V210" s="19">
        <f t="shared" si="69"/>
        <v>250.16466362240544</v>
      </c>
      <c r="W210" s="17"/>
      <c r="X210" s="19">
        <f t="shared" si="70"/>
        <v>97.437556588622542</v>
      </c>
      <c r="Y210" s="19">
        <f t="shared" si="71"/>
        <v>9.8710463775945527</v>
      </c>
      <c r="Z210" s="19"/>
      <c r="AA210" s="19">
        <f t="shared" si="72"/>
        <v>6.4151746571230119E-5</v>
      </c>
    </row>
    <row r="211" spans="2:27" x14ac:dyDescent="0.35">
      <c r="B211" s="27">
        <v>17.3</v>
      </c>
      <c r="C211" s="27">
        <v>222.78570999999999</v>
      </c>
      <c r="D211" s="19">
        <f t="shared" si="59"/>
        <v>31.406282186417485</v>
      </c>
      <c r="E211" s="19">
        <f t="shared" si="60"/>
        <v>-0.70054925291444969</v>
      </c>
      <c r="F211" s="19">
        <f t="shared" si="61"/>
        <v>-0.16389124400288591</v>
      </c>
      <c r="G211" s="19">
        <f t="shared" si="62"/>
        <v>-0.16389124400288591</v>
      </c>
      <c r="H211" s="19">
        <f t="shared" si="63"/>
        <v>-0.16389124400288591</v>
      </c>
      <c r="I211" s="17"/>
      <c r="J211" s="19">
        <f t="shared" si="64"/>
        <v>28.071526418522446</v>
      </c>
      <c r="K211" s="19">
        <f t="shared" si="65"/>
        <v>0.34981152283019862</v>
      </c>
      <c r="L211" s="19">
        <f t="shared" si="66"/>
        <v>0.50981537824368961</v>
      </c>
      <c r="M211" s="19">
        <f t="shared" si="67"/>
        <v>0.50981537824368961</v>
      </c>
      <c r="N211" s="19">
        <f t="shared" si="68"/>
        <v>0.50981537824368961</v>
      </c>
      <c r="O211" s="17"/>
      <c r="P211" s="19">
        <f t="shared" si="58"/>
        <v>64.965539296308407</v>
      </c>
      <c r="Q211" s="19">
        <f t="shared" si="73"/>
        <v>183.52576604121458</v>
      </c>
      <c r="R211" s="19">
        <f t="shared" si="74"/>
        <v>0</v>
      </c>
      <c r="S211" s="19">
        <f t="shared" si="75"/>
        <v>0</v>
      </c>
      <c r="T211" s="19">
        <f t="shared" si="76"/>
        <v>0</v>
      </c>
      <c r="U211" s="17"/>
      <c r="V211" s="19">
        <f t="shared" si="69"/>
        <v>248.49130533752299</v>
      </c>
      <c r="W211" s="17"/>
      <c r="X211" s="19">
        <f t="shared" si="70"/>
        <v>660.77763165648389</v>
      </c>
      <c r="Y211" s="19">
        <f t="shared" si="71"/>
        <v>25.705595337522993</v>
      </c>
      <c r="Z211" s="19"/>
      <c r="AA211" s="19">
        <f t="shared" si="72"/>
        <v>1.6706018536174927E-4</v>
      </c>
    </row>
    <row r="212" spans="2:27" x14ac:dyDescent="0.35">
      <c r="B212" s="27">
        <v>17.399999999999999</v>
      </c>
      <c r="C212" s="27">
        <v>237.28570999999999</v>
      </c>
      <c r="D212" s="19">
        <f t="shared" si="59"/>
        <v>31.546781524839972</v>
      </c>
      <c r="E212" s="19">
        <f t="shared" si="60"/>
        <v>-0.69442432408732735</v>
      </c>
      <c r="F212" s="19">
        <f t="shared" si="61"/>
        <v>-0.15278013289177506</v>
      </c>
      <c r="G212" s="19">
        <f t="shared" si="62"/>
        <v>-0.15278013289177506</v>
      </c>
      <c r="H212" s="19">
        <f t="shared" si="63"/>
        <v>-0.15278013289177506</v>
      </c>
      <c r="I212" s="17"/>
      <c r="J212" s="19">
        <f t="shared" si="64"/>
        <v>28.207204114469437</v>
      </c>
      <c r="K212" s="19">
        <f t="shared" si="65"/>
        <v>0.35140150273319981</v>
      </c>
      <c r="L212" s="19">
        <f t="shared" si="66"/>
        <v>0.51357638131270589</v>
      </c>
      <c r="M212" s="19">
        <f t="shared" si="67"/>
        <v>0.51357638131270589</v>
      </c>
      <c r="N212" s="19">
        <f t="shared" si="68"/>
        <v>0.51357638131270589</v>
      </c>
      <c r="O212" s="17"/>
      <c r="P212" s="19">
        <f t="shared" si="58"/>
        <v>64.352716566493541</v>
      </c>
      <c r="Q212" s="19">
        <f t="shared" si="73"/>
        <v>182.48042171141716</v>
      </c>
      <c r="R212" s="19">
        <f t="shared" si="74"/>
        <v>0</v>
      </c>
      <c r="S212" s="19">
        <f t="shared" si="75"/>
        <v>0</v>
      </c>
      <c r="T212" s="19">
        <f t="shared" si="76"/>
        <v>0</v>
      </c>
      <c r="U212" s="17"/>
      <c r="V212" s="19">
        <f t="shared" si="69"/>
        <v>246.83313827791071</v>
      </c>
      <c r="W212" s="17"/>
      <c r="X212" s="19">
        <f t="shared" si="70"/>
        <v>91.153386721849088</v>
      </c>
      <c r="Y212" s="19">
        <f t="shared" si="71"/>
        <v>9.5474282779107114</v>
      </c>
      <c r="Z212" s="19"/>
      <c r="AA212" s="19">
        <f t="shared" si="72"/>
        <v>6.2048558568395516E-5</v>
      </c>
    </row>
    <row r="213" spans="2:27" x14ac:dyDescent="0.35">
      <c r="B213" s="27">
        <v>17.5</v>
      </c>
      <c r="C213" s="27">
        <v>242.28572</v>
      </c>
      <c r="D213" s="19">
        <f t="shared" si="59"/>
        <v>31.687280863262465</v>
      </c>
      <c r="E213" s="19">
        <f t="shared" si="60"/>
        <v>-0.688299395260205</v>
      </c>
      <c r="F213" s="19">
        <f t="shared" si="61"/>
        <v>-0.14166902178066398</v>
      </c>
      <c r="G213" s="19">
        <f t="shared" si="62"/>
        <v>-0.14166902178066398</v>
      </c>
      <c r="H213" s="19">
        <f t="shared" si="63"/>
        <v>-0.14166902178066398</v>
      </c>
      <c r="I213" s="17"/>
      <c r="J213" s="19">
        <f t="shared" si="64"/>
        <v>28.342904158645215</v>
      </c>
      <c r="K213" s="19">
        <f t="shared" si="65"/>
        <v>0.35299682399902133</v>
      </c>
      <c r="L213" s="19">
        <f t="shared" si="66"/>
        <v>0.51735566983364867</v>
      </c>
      <c r="M213" s="19">
        <f t="shared" si="67"/>
        <v>0.51735566983364867</v>
      </c>
      <c r="N213" s="19">
        <f t="shared" si="68"/>
        <v>0.51735566983364867</v>
      </c>
      <c r="O213" s="17"/>
      <c r="P213" s="19">
        <f t="shared" si="58"/>
        <v>63.748426332600673</v>
      </c>
      <c r="Q213" s="19">
        <f t="shared" si="73"/>
        <v>181.44153556631431</v>
      </c>
      <c r="R213" s="19">
        <f t="shared" si="74"/>
        <v>0</v>
      </c>
      <c r="S213" s="19">
        <f t="shared" si="75"/>
        <v>0</v>
      </c>
      <c r="T213" s="19">
        <f t="shared" si="76"/>
        <v>0</v>
      </c>
      <c r="U213" s="17"/>
      <c r="V213" s="19">
        <f t="shared" si="69"/>
        <v>245.18996189891499</v>
      </c>
      <c r="W213" s="17"/>
      <c r="X213" s="19">
        <f t="shared" si="70"/>
        <v>8.4346210074133428</v>
      </c>
      <c r="Y213" s="19">
        <f t="shared" si="71"/>
        <v>2.9042418989149894</v>
      </c>
      <c r="Z213" s="19"/>
      <c r="AA213" s="19">
        <f t="shared" si="72"/>
        <v>1.8874614012921337E-5</v>
      </c>
    </row>
    <row r="214" spans="2:27" x14ac:dyDescent="0.35">
      <c r="B214" s="27">
        <v>17.600000000000001</v>
      </c>
      <c r="C214" s="27">
        <v>231.78572</v>
      </c>
      <c r="D214" s="19">
        <f t="shared" si="59"/>
        <v>31.827780201684952</v>
      </c>
      <c r="E214" s="19">
        <f t="shared" si="60"/>
        <v>-0.68217446643308288</v>
      </c>
      <c r="F214" s="19">
        <f t="shared" si="61"/>
        <v>-0.13055791066955269</v>
      </c>
      <c r="G214" s="19">
        <f t="shared" si="62"/>
        <v>-0.13055791066955269</v>
      </c>
      <c r="H214" s="19">
        <f t="shared" si="63"/>
        <v>-0.13055791066955269</v>
      </c>
      <c r="I214" s="17"/>
      <c r="J214" s="19">
        <f t="shared" si="64"/>
        <v>28.478626348451453</v>
      </c>
      <c r="K214" s="19">
        <f t="shared" si="65"/>
        <v>0.35459749191937279</v>
      </c>
      <c r="L214" s="19">
        <f t="shared" si="66"/>
        <v>0.52115324107116068</v>
      </c>
      <c r="M214" s="19">
        <f t="shared" si="67"/>
        <v>0.52115324107116068</v>
      </c>
      <c r="N214" s="19">
        <f t="shared" si="68"/>
        <v>0.52115324107116068</v>
      </c>
      <c r="O214" s="17"/>
      <c r="P214" s="19">
        <f t="shared" si="58"/>
        <v>63.152512276021533</v>
      </c>
      <c r="Q214" s="19">
        <f t="shared" si="73"/>
        <v>180.40906726303268</v>
      </c>
      <c r="R214" s="19">
        <f t="shared" si="74"/>
        <v>0</v>
      </c>
      <c r="S214" s="19">
        <f t="shared" si="75"/>
        <v>0</v>
      </c>
      <c r="T214" s="19">
        <f t="shared" si="76"/>
        <v>0</v>
      </c>
      <c r="U214" s="17"/>
      <c r="V214" s="19">
        <f t="shared" si="69"/>
        <v>243.56157953905421</v>
      </c>
      <c r="W214" s="17"/>
      <c r="X214" s="19">
        <f t="shared" si="70"/>
        <v>138.67086788353402</v>
      </c>
      <c r="Y214" s="19">
        <f t="shared" si="71"/>
        <v>11.77585953905421</v>
      </c>
      <c r="Z214" s="19"/>
      <c r="AA214" s="19">
        <f t="shared" si="72"/>
        <v>7.6531091832626969E-5</v>
      </c>
    </row>
    <row r="215" spans="2:27" x14ac:dyDescent="0.35">
      <c r="B215" s="27">
        <v>17.7</v>
      </c>
      <c r="C215" s="27">
        <v>253.03570999999999</v>
      </c>
      <c r="D215" s="19">
        <f t="shared" si="59"/>
        <v>31.968279540107446</v>
      </c>
      <c r="E215" s="19">
        <f t="shared" si="60"/>
        <v>-0.67604953760596054</v>
      </c>
      <c r="F215" s="19">
        <f t="shared" si="61"/>
        <v>-0.11944679955844184</v>
      </c>
      <c r="G215" s="19">
        <f t="shared" si="62"/>
        <v>-0.11944679955844184</v>
      </c>
      <c r="H215" s="19">
        <f t="shared" si="63"/>
        <v>-0.11944679955844184</v>
      </c>
      <c r="I215" s="17"/>
      <c r="J215" s="19">
        <f t="shared" si="64"/>
        <v>28.614370483999149</v>
      </c>
      <c r="K215" s="19">
        <f t="shared" si="65"/>
        <v>0.35620351172154091</v>
      </c>
      <c r="L215" s="19">
        <f t="shared" si="66"/>
        <v>0.52496909163718586</v>
      </c>
      <c r="M215" s="19">
        <f t="shared" si="67"/>
        <v>0.52496909163718586</v>
      </c>
      <c r="N215" s="19">
        <f t="shared" si="68"/>
        <v>0.52496909163718586</v>
      </c>
      <c r="O215" s="17"/>
      <c r="P215" s="19">
        <f t="shared" si="58"/>
        <v>62.564821616995665</v>
      </c>
      <c r="Q215" s="19">
        <f t="shared" si="73"/>
        <v>179.382976703362</v>
      </c>
      <c r="R215" s="19">
        <f t="shared" si="74"/>
        <v>0</v>
      </c>
      <c r="S215" s="19">
        <f t="shared" si="75"/>
        <v>0</v>
      </c>
      <c r="T215" s="19">
        <f t="shared" si="76"/>
        <v>0</v>
      </c>
      <c r="U215" s="17"/>
      <c r="V215" s="19">
        <f t="shared" si="69"/>
        <v>241.94779832035766</v>
      </c>
      <c r="W215" s="17"/>
      <c r="X215" s="19">
        <f t="shared" si="70"/>
        <v>122.94178541554884</v>
      </c>
      <c r="Y215" s="19">
        <f t="shared" si="71"/>
        <v>11.087911679642332</v>
      </c>
      <c r="Z215" s="19"/>
      <c r="AA215" s="19">
        <f t="shared" si="72"/>
        <v>7.2060131506537835E-5</v>
      </c>
    </row>
    <row r="216" spans="2:27" x14ac:dyDescent="0.35">
      <c r="B216" s="27">
        <v>17.8</v>
      </c>
      <c r="C216" s="27">
        <v>244.03570999999999</v>
      </c>
      <c r="D216" s="19">
        <f t="shared" si="59"/>
        <v>32.108778878529932</v>
      </c>
      <c r="E216" s="19">
        <f t="shared" si="60"/>
        <v>-0.66992460877883819</v>
      </c>
      <c r="F216" s="19">
        <f t="shared" si="61"/>
        <v>-0.10833568844733032</v>
      </c>
      <c r="G216" s="19">
        <f t="shared" si="62"/>
        <v>-0.10833568844733032</v>
      </c>
      <c r="H216" s="19">
        <f t="shared" si="63"/>
        <v>-0.10833568844733032</v>
      </c>
      <c r="I216" s="17"/>
      <c r="J216" s="19">
        <f t="shared" si="64"/>
        <v>28.750136368060922</v>
      </c>
      <c r="K216" s="19">
        <f t="shared" si="65"/>
        <v>0.35781488856827248</v>
      </c>
      <c r="L216" s="19">
        <f t="shared" si="66"/>
        <v>0.52880321749475179</v>
      </c>
      <c r="M216" s="19">
        <f t="shared" si="67"/>
        <v>0.52880321749475179</v>
      </c>
      <c r="N216" s="19">
        <f t="shared" si="68"/>
        <v>0.52880321749475179</v>
      </c>
      <c r="O216" s="17"/>
      <c r="P216" s="19">
        <f t="shared" si="58"/>
        <v>61.985205019462136</v>
      </c>
      <c r="Q216" s="19">
        <f t="shared" si="73"/>
        <v>178.3632240323164</v>
      </c>
      <c r="R216" s="19">
        <f t="shared" si="74"/>
        <v>0</v>
      </c>
      <c r="S216" s="19">
        <f t="shared" si="75"/>
        <v>0</v>
      </c>
      <c r="T216" s="19">
        <f t="shared" si="76"/>
        <v>0</v>
      </c>
      <c r="U216" s="17"/>
      <c r="V216" s="19">
        <f t="shared" si="69"/>
        <v>240.34842905177854</v>
      </c>
      <c r="W216" s="17"/>
      <c r="X216" s="19">
        <f t="shared" si="70"/>
        <v>13.596040791116922</v>
      </c>
      <c r="Y216" s="19">
        <f t="shared" si="71"/>
        <v>3.6872809482214564</v>
      </c>
      <c r="Z216" s="19"/>
      <c r="AA216" s="19">
        <f t="shared" si="72"/>
        <v>2.3963570211172595E-5</v>
      </c>
    </row>
    <row r="217" spans="2:27" x14ac:dyDescent="0.35">
      <c r="B217" s="27">
        <v>17.899999999999999</v>
      </c>
      <c r="C217" s="27">
        <v>219.28572</v>
      </c>
      <c r="D217" s="19">
        <f t="shared" si="59"/>
        <v>32.249278216952426</v>
      </c>
      <c r="E217" s="19">
        <f t="shared" si="60"/>
        <v>-0.66379967995171607</v>
      </c>
      <c r="F217" s="19">
        <f t="shared" si="61"/>
        <v>-9.7224577336219475E-2</v>
      </c>
      <c r="G217" s="19">
        <f t="shared" si="62"/>
        <v>-9.7224577336219475E-2</v>
      </c>
      <c r="H217" s="19">
        <f t="shared" si="63"/>
        <v>-9.7224577336219475E-2</v>
      </c>
      <c r="I217" s="17"/>
      <c r="J217" s="19">
        <f t="shared" si="64"/>
        <v>28.885923806024472</v>
      </c>
      <c r="K217" s="19">
        <f t="shared" si="65"/>
        <v>0.35943162755766106</v>
      </c>
      <c r="L217" s="19">
        <f t="shared" si="66"/>
        <v>0.53265561396183825</v>
      </c>
      <c r="M217" s="19">
        <f t="shared" si="67"/>
        <v>0.53265561396183825</v>
      </c>
      <c r="N217" s="19">
        <f t="shared" si="68"/>
        <v>0.53265561396183825</v>
      </c>
      <c r="O217" s="17"/>
      <c r="P217" s="19">
        <f t="shared" si="58"/>
        <v>61.413516498866969</v>
      </c>
      <c r="Q217" s="19">
        <f t="shared" si="73"/>
        <v>177.34976963670468</v>
      </c>
      <c r="R217" s="19">
        <f t="shared" si="74"/>
        <v>0</v>
      </c>
      <c r="S217" s="19">
        <f t="shared" si="75"/>
        <v>0</v>
      </c>
      <c r="T217" s="19">
        <f t="shared" si="76"/>
        <v>0</v>
      </c>
      <c r="U217" s="17"/>
      <c r="V217" s="19">
        <f t="shared" si="69"/>
        <v>238.76328613557166</v>
      </c>
      <c r="W217" s="17"/>
      <c r="X217" s="19">
        <f t="shared" si="70"/>
        <v>379.3755825655681</v>
      </c>
      <c r="Y217" s="19">
        <f t="shared" si="71"/>
        <v>19.477566135571664</v>
      </c>
      <c r="Z217" s="19"/>
      <c r="AA217" s="19">
        <f t="shared" si="72"/>
        <v>1.2658433956806708E-4</v>
      </c>
    </row>
    <row r="218" spans="2:27" x14ac:dyDescent="0.35">
      <c r="B218" s="27">
        <v>18</v>
      </c>
      <c r="C218" s="27">
        <v>236.03572</v>
      </c>
      <c r="D218" s="19">
        <f t="shared" si="59"/>
        <v>32.38977755537492</v>
      </c>
      <c r="E218" s="19">
        <f t="shared" si="60"/>
        <v>-0.65767475112459373</v>
      </c>
      <c r="F218" s="19">
        <f t="shared" si="61"/>
        <v>-8.6113466225108404E-2</v>
      </c>
      <c r="G218" s="19">
        <f t="shared" si="62"/>
        <v>-8.6113466225108404E-2</v>
      </c>
      <c r="H218" s="19">
        <f t="shared" si="63"/>
        <v>-8.6113466225108404E-2</v>
      </c>
      <c r="I218" s="17"/>
      <c r="J218" s="19">
        <f t="shared" si="64"/>
        <v>29.02173260584695</v>
      </c>
      <c r="K218" s="19">
        <f t="shared" si="65"/>
        <v>0.36105373372303806</v>
      </c>
      <c r="L218" s="19">
        <f t="shared" si="66"/>
        <v>0.53652627571533207</v>
      </c>
      <c r="M218" s="19">
        <f t="shared" si="67"/>
        <v>0.53652627571533207</v>
      </c>
      <c r="N218" s="19">
        <f t="shared" si="68"/>
        <v>0.53652627571533207</v>
      </c>
      <c r="O218" s="17"/>
      <c r="P218" s="19">
        <f t="shared" si="58"/>
        <v>60.849613332823353</v>
      </c>
      <c r="Q218" s="19">
        <f t="shared" si="73"/>
        <v>176.34257414370896</v>
      </c>
      <c r="R218" s="19">
        <f t="shared" si="74"/>
        <v>0</v>
      </c>
      <c r="S218" s="19">
        <f t="shared" si="75"/>
        <v>0</v>
      </c>
      <c r="T218" s="19">
        <f t="shared" si="76"/>
        <v>0</v>
      </c>
      <c r="U218" s="17"/>
      <c r="V218" s="19">
        <f t="shared" si="69"/>
        <v>237.1921874765323</v>
      </c>
      <c r="W218" s="17"/>
      <c r="X218" s="19">
        <f t="shared" si="70"/>
        <v>1.3374170242769838</v>
      </c>
      <c r="Y218" s="19">
        <f t="shared" si="71"/>
        <v>1.1564674765322991</v>
      </c>
      <c r="Z218" s="19"/>
      <c r="AA218" s="19">
        <f t="shared" si="72"/>
        <v>7.5158605921218538E-6</v>
      </c>
    </row>
    <row r="219" spans="2:27" x14ac:dyDescent="0.35">
      <c r="B219" s="27">
        <v>18.100000000000001</v>
      </c>
      <c r="C219" s="27">
        <v>246.03570999999999</v>
      </c>
      <c r="D219" s="19">
        <f t="shared" si="59"/>
        <v>32.530276893797407</v>
      </c>
      <c r="E219" s="19">
        <f t="shared" si="60"/>
        <v>-0.65154982229747138</v>
      </c>
      <c r="F219" s="19">
        <f t="shared" si="61"/>
        <v>-7.5002355113996888E-2</v>
      </c>
      <c r="G219" s="19">
        <f t="shared" si="62"/>
        <v>-7.5002355113996888E-2</v>
      </c>
      <c r="H219" s="19">
        <f t="shared" si="63"/>
        <v>-7.5002355113996888E-2</v>
      </c>
      <c r="I219" s="17"/>
      <c r="J219" s="19">
        <f t="shared" si="64"/>
        <v>29.157562578010335</v>
      </c>
      <c r="K219" s="19">
        <f t="shared" si="65"/>
        <v>0.36268121203286696</v>
      </c>
      <c r="L219" s="19">
        <f t="shared" si="66"/>
        <v>0.54041519679506511</v>
      </c>
      <c r="M219" s="19">
        <f t="shared" si="67"/>
        <v>0.54041519679506511</v>
      </c>
      <c r="N219" s="19">
        <f t="shared" si="68"/>
        <v>0.54041519679506511</v>
      </c>
      <c r="O219" s="17"/>
      <c r="P219" s="19">
        <f t="shared" si="58"/>
        <v>60.293355974524047</v>
      </c>
      <c r="Q219" s="19">
        <f t="shared" si="73"/>
        <v>175.34159841947275</v>
      </c>
      <c r="R219" s="19">
        <f t="shared" si="74"/>
        <v>0</v>
      </c>
      <c r="S219" s="19">
        <f t="shared" si="75"/>
        <v>0</v>
      </c>
      <c r="T219" s="19">
        <f t="shared" si="76"/>
        <v>0</v>
      </c>
      <c r="U219" s="17"/>
      <c r="V219" s="19">
        <f t="shared" si="69"/>
        <v>235.63495439399679</v>
      </c>
      <c r="W219" s="17"/>
      <c r="X219" s="19">
        <f t="shared" si="70"/>
        <v>108.17571717580702</v>
      </c>
      <c r="Y219" s="19">
        <f t="shared" si="71"/>
        <v>10.400755606003202</v>
      </c>
      <c r="Z219" s="19"/>
      <c r="AA219" s="19">
        <f t="shared" si="72"/>
        <v>6.7594316981439703E-5</v>
      </c>
    </row>
    <row r="220" spans="2:27" x14ac:dyDescent="0.35">
      <c r="B220" s="27">
        <v>18.2</v>
      </c>
      <c r="C220" s="27">
        <v>238.78570999999999</v>
      </c>
      <c r="D220" s="19">
        <f t="shared" si="59"/>
        <v>32.6707762322199</v>
      </c>
      <c r="E220" s="19">
        <f t="shared" si="60"/>
        <v>-0.64542489347034926</v>
      </c>
      <c r="F220" s="19">
        <f t="shared" si="61"/>
        <v>-6.389124400288626E-2</v>
      </c>
      <c r="G220" s="19">
        <f t="shared" si="62"/>
        <v>-6.389124400288626E-2</v>
      </c>
      <c r="H220" s="19">
        <f t="shared" si="63"/>
        <v>-6.389124400288626E-2</v>
      </c>
      <c r="I220" s="17"/>
      <c r="J220" s="19">
        <f t="shared" si="64"/>
        <v>29.293413535477836</v>
      </c>
      <c r="K220" s="19">
        <f t="shared" si="65"/>
        <v>0.36431406739064243</v>
      </c>
      <c r="L220" s="19">
        <f t="shared" si="66"/>
        <v>0.54432237060793309</v>
      </c>
      <c r="M220" s="19">
        <f t="shared" si="67"/>
        <v>0.54432237060793309</v>
      </c>
      <c r="N220" s="19">
        <f t="shared" si="68"/>
        <v>0.54432237060793309</v>
      </c>
      <c r="O220" s="17"/>
      <c r="P220" s="19">
        <f t="shared" si="58"/>
        <v>59.744607968809802</v>
      </c>
      <c r="Q220" s="19">
        <f t="shared" si="73"/>
        <v>174.3468035676969</v>
      </c>
      <c r="R220" s="19">
        <f t="shared" si="74"/>
        <v>0</v>
      </c>
      <c r="S220" s="19">
        <f t="shared" si="75"/>
        <v>0</v>
      </c>
      <c r="T220" s="19">
        <f t="shared" si="76"/>
        <v>0</v>
      </c>
      <c r="U220" s="17"/>
      <c r="V220" s="19">
        <f t="shared" si="69"/>
        <v>234.09141153650671</v>
      </c>
      <c r="W220" s="17"/>
      <c r="X220" s="19">
        <f t="shared" si="70"/>
        <v>22.036438064355394</v>
      </c>
      <c r="Y220" s="19">
        <f t="shared" si="71"/>
        <v>4.6942984634932827</v>
      </c>
      <c r="Z220" s="19"/>
      <c r="AA220" s="19">
        <f t="shared" si="72"/>
        <v>3.0508158288394328E-5</v>
      </c>
    </row>
    <row r="221" spans="2:27" x14ac:dyDescent="0.35">
      <c r="B221" s="27">
        <v>18.3</v>
      </c>
      <c r="C221" s="27">
        <v>206.53570999999999</v>
      </c>
      <c r="D221" s="19">
        <f t="shared" si="59"/>
        <v>32.811275570642387</v>
      </c>
      <c r="E221" s="19">
        <f t="shared" si="60"/>
        <v>-0.63929996464322691</v>
      </c>
      <c r="F221" s="19">
        <f t="shared" si="61"/>
        <v>-5.2780132891775189E-2</v>
      </c>
      <c r="G221" s="19">
        <f t="shared" si="62"/>
        <v>-5.2780132891775189E-2</v>
      </c>
      <c r="H221" s="19">
        <f t="shared" si="63"/>
        <v>-5.2780132891775189E-2</v>
      </c>
      <c r="I221" s="17"/>
      <c r="J221" s="19">
        <f t="shared" si="64"/>
        <v>29.429285293651077</v>
      </c>
      <c r="K221" s="19">
        <f t="shared" si="65"/>
        <v>0.36595230463479267</v>
      </c>
      <c r="L221" s="19">
        <f t="shared" si="66"/>
        <v>0.54824778993209644</v>
      </c>
      <c r="M221" s="19">
        <f t="shared" si="67"/>
        <v>0.54824778993209644</v>
      </c>
      <c r="N221" s="19">
        <f t="shared" si="68"/>
        <v>0.54824778993209644</v>
      </c>
      <c r="O221" s="17"/>
      <c r="P221" s="19">
        <f t="shared" si="58"/>
        <v>59.203235870802374</v>
      </c>
      <c r="Q221" s="19">
        <f t="shared" si="73"/>
        <v>173.35815092824467</v>
      </c>
      <c r="R221" s="19">
        <f t="shared" si="74"/>
        <v>0</v>
      </c>
      <c r="S221" s="19">
        <f t="shared" si="75"/>
        <v>0</v>
      </c>
      <c r="T221" s="19">
        <f t="shared" si="76"/>
        <v>0</v>
      </c>
      <c r="U221" s="17"/>
      <c r="V221" s="19">
        <f t="shared" si="69"/>
        <v>232.56138679904706</v>
      </c>
      <c r="W221" s="17"/>
      <c r="X221" s="19">
        <f t="shared" si="70"/>
        <v>677.33585284845651</v>
      </c>
      <c r="Y221" s="19">
        <f t="shared" si="71"/>
        <v>26.025676799047062</v>
      </c>
      <c r="Z221" s="19"/>
      <c r="AA221" s="19">
        <f t="shared" si="72"/>
        <v>1.691403888190493E-4</v>
      </c>
    </row>
    <row r="222" spans="2:27" x14ac:dyDescent="0.35">
      <c r="B222" s="27">
        <v>18.399999999999999</v>
      </c>
      <c r="C222" s="27">
        <v>248.53572</v>
      </c>
      <c r="D222" s="19">
        <f t="shared" si="59"/>
        <v>32.951774909064881</v>
      </c>
      <c r="E222" s="19">
        <f t="shared" si="60"/>
        <v>-0.63317503581610479</v>
      </c>
      <c r="F222" s="19">
        <f t="shared" si="61"/>
        <v>-4.1669021780664117E-2</v>
      </c>
      <c r="G222" s="19">
        <f t="shared" si="62"/>
        <v>-4.1669021780664117E-2</v>
      </c>
      <c r="H222" s="19">
        <f t="shared" si="63"/>
        <v>-4.1669021780664117E-2</v>
      </c>
      <c r="I222" s="17"/>
      <c r="J222" s="19">
        <f t="shared" si="64"/>
        <v>29.565177670328378</v>
      </c>
      <c r="K222" s="19">
        <f t="shared" si="65"/>
        <v>0.36759592853858569</v>
      </c>
      <c r="L222" s="19">
        <f t="shared" si="66"/>
        <v>0.55219144692125544</v>
      </c>
      <c r="M222" s="19">
        <f t="shared" si="67"/>
        <v>0.55219144692125544</v>
      </c>
      <c r="N222" s="19">
        <f t="shared" si="68"/>
        <v>0.55219144692125544</v>
      </c>
      <c r="O222" s="17"/>
      <c r="P222" s="19">
        <f t="shared" si="58"/>
        <v>58.66910916701206</v>
      </c>
      <c r="Q222" s="19">
        <f t="shared" si="73"/>
        <v>172.37560207575521</v>
      </c>
      <c r="R222" s="19">
        <f t="shared" si="74"/>
        <v>0</v>
      </c>
      <c r="S222" s="19">
        <f t="shared" si="75"/>
        <v>0</v>
      </c>
      <c r="T222" s="19">
        <f t="shared" si="76"/>
        <v>0</v>
      </c>
      <c r="U222" s="17"/>
      <c r="V222" s="19">
        <f t="shared" si="69"/>
        <v>231.04471124276728</v>
      </c>
      <c r="W222" s="17"/>
      <c r="X222" s="19">
        <f t="shared" si="70"/>
        <v>305.93538734559172</v>
      </c>
      <c r="Y222" s="19">
        <f t="shared" si="71"/>
        <v>17.49100875723272</v>
      </c>
      <c r="Z222" s="19"/>
      <c r="AA222" s="19">
        <f t="shared" si="72"/>
        <v>1.1367374016356272E-4</v>
      </c>
    </row>
    <row r="223" spans="2:27" x14ac:dyDescent="0.35">
      <c r="B223" s="27">
        <v>18.5</v>
      </c>
      <c r="C223" s="27">
        <v>218.28570999999999</v>
      </c>
      <c r="D223" s="19">
        <f t="shared" si="59"/>
        <v>33.092274247487367</v>
      </c>
      <c r="E223" s="19">
        <f t="shared" si="60"/>
        <v>-0.62705010698898245</v>
      </c>
      <c r="F223" s="19">
        <f t="shared" si="61"/>
        <v>-3.0557910669552601E-2</v>
      </c>
      <c r="G223" s="19">
        <f t="shared" si="62"/>
        <v>-3.0557910669552601E-2</v>
      </c>
      <c r="H223" s="19">
        <f t="shared" si="63"/>
        <v>-3.0557910669552601E-2</v>
      </c>
      <c r="I223" s="17"/>
      <c r="J223" s="19">
        <f t="shared" si="64"/>
        <v>29.701090485663741</v>
      </c>
      <c r="K223" s="19">
        <f t="shared" si="65"/>
        <v>0.36924494381004036</v>
      </c>
      <c r="L223" s="19">
        <f t="shared" si="66"/>
        <v>0.55615333310900417</v>
      </c>
      <c r="M223" s="19">
        <f t="shared" si="67"/>
        <v>0.55615333310900417</v>
      </c>
      <c r="N223" s="19">
        <f t="shared" si="68"/>
        <v>0.55615333310900417</v>
      </c>
      <c r="O223" s="17"/>
      <c r="P223" s="19">
        <f t="shared" si="58"/>
        <v>58.142100198835749</v>
      </c>
      <c r="Q223" s="19">
        <f t="shared" si="73"/>
        <v>171.39911881826518</v>
      </c>
      <c r="R223" s="19">
        <f t="shared" si="74"/>
        <v>0</v>
      </c>
      <c r="S223" s="19">
        <f t="shared" si="75"/>
        <v>0</v>
      </c>
      <c r="T223" s="19">
        <f t="shared" si="76"/>
        <v>0</v>
      </c>
      <c r="U223" s="17"/>
      <c r="V223" s="19">
        <f t="shared" si="69"/>
        <v>229.54121901710093</v>
      </c>
      <c r="W223" s="17"/>
      <c r="X223" s="19">
        <f t="shared" si="70"/>
        <v>126.68648323404044</v>
      </c>
      <c r="Y223" s="19">
        <f t="shared" si="71"/>
        <v>11.255509017100934</v>
      </c>
      <c r="Z223" s="19"/>
      <c r="AA223" s="19">
        <f t="shared" si="72"/>
        <v>7.3149343481375829E-5</v>
      </c>
    </row>
    <row r="224" spans="2:27" x14ac:dyDescent="0.35">
      <c r="B224" s="27">
        <v>18.600000000000001</v>
      </c>
      <c r="C224" s="27">
        <v>205.78570999999999</v>
      </c>
      <c r="D224" s="19">
        <f t="shared" si="59"/>
        <v>33.232773585909861</v>
      </c>
      <c r="E224" s="19">
        <f t="shared" si="60"/>
        <v>-0.6209251781618601</v>
      </c>
      <c r="F224" s="19">
        <f t="shared" si="61"/>
        <v>-1.944679955844153E-2</v>
      </c>
      <c r="G224" s="19">
        <f t="shared" si="62"/>
        <v>-1.944679955844153E-2</v>
      </c>
      <c r="H224" s="19">
        <f t="shared" si="63"/>
        <v>-1.944679955844153E-2</v>
      </c>
      <c r="I224" s="17"/>
      <c r="J224" s="19">
        <f t="shared" si="64"/>
        <v>29.837023562126841</v>
      </c>
      <c r="K224" s="19">
        <f t="shared" si="65"/>
        <v>0.37089935509184019</v>
      </c>
      <c r="L224" s="19">
        <f t="shared" si="66"/>
        <v>0.56013343941325533</v>
      </c>
      <c r="M224" s="19">
        <f t="shared" si="67"/>
        <v>0.56013343941325533</v>
      </c>
      <c r="N224" s="19">
        <f t="shared" si="68"/>
        <v>0.56013343941325533</v>
      </c>
      <c r="O224" s="17"/>
      <c r="P224" s="19">
        <f t="shared" si="58"/>
        <v>57.622084088362485</v>
      </c>
      <c r="Q224" s="19">
        <f t="shared" si="73"/>
        <v>170.42866319583936</v>
      </c>
      <c r="R224" s="19">
        <f t="shared" si="74"/>
        <v>0</v>
      </c>
      <c r="S224" s="19">
        <f t="shared" si="75"/>
        <v>0</v>
      </c>
      <c r="T224" s="19">
        <f t="shared" si="76"/>
        <v>0</v>
      </c>
      <c r="U224" s="17"/>
      <c r="V224" s="19">
        <f t="shared" si="69"/>
        <v>228.05074728420186</v>
      </c>
      <c r="W224" s="17"/>
      <c r="X224" s="19">
        <f t="shared" si="70"/>
        <v>495.73188526689927</v>
      </c>
      <c r="Y224" s="19">
        <f t="shared" si="71"/>
        <v>22.265037284201867</v>
      </c>
      <c r="Z224" s="19"/>
      <c r="AA224" s="19">
        <f t="shared" si="72"/>
        <v>1.4470006264960699E-4</v>
      </c>
    </row>
    <row r="225" spans="2:27" x14ac:dyDescent="0.35">
      <c r="B225" s="27">
        <v>18.7</v>
      </c>
      <c r="C225" s="27">
        <v>228.03570999999999</v>
      </c>
      <c r="D225" s="19">
        <f t="shared" si="59"/>
        <v>33.373272924332348</v>
      </c>
      <c r="E225" s="19">
        <f t="shared" si="60"/>
        <v>-0.61480024933473798</v>
      </c>
      <c r="F225" s="19">
        <f t="shared" si="61"/>
        <v>-8.3356884473304582E-3</v>
      </c>
      <c r="G225" s="19">
        <f t="shared" si="62"/>
        <v>-8.3356884473304582E-3</v>
      </c>
      <c r="H225" s="19">
        <f t="shared" si="63"/>
        <v>-8.3356884473304582E-3</v>
      </c>
      <c r="I225" s="17"/>
      <c r="J225" s="19">
        <f t="shared" si="64"/>
        <v>29.972976724463759</v>
      </c>
      <c r="K225" s="19">
        <f t="shared" si="65"/>
        <v>0.37255916696125163</v>
      </c>
      <c r="L225" s="19">
        <f t="shared" si="66"/>
        <v>0.56413175614073985</v>
      </c>
      <c r="M225" s="19">
        <f t="shared" si="67"/>
        <v>0.56413175614073985</v>
      </c>
      <c r="N225" s="19">
        <f t="shared" si="68"/>
        <v>0.56413175614073985</v>
      </c>
      <c r="O225" s="17"/>
      <c r="P225" s="19">
        <f t="shared" si="58"/>
        <v>57.108938666408314</v>
      </c>
      <c r="Q225" s="19">
        <f t="shared" si="73"/>
        <v>169.46419747920919</v>
      </c>
      <c r="R225" s="19">
        <f t="shared" si="74"/>
        <v>0</v>
      </c>
      <c r="S225" s="19">
        <f t="shared" si="75"/>
        <v>0</v>
      </c>
      <c r="T225" s="19">
        <f t="shared" si="76"/>
        <v>0</v>
      </c>
      <c r="U225" s="17"/>
      <c r="V225" s="19">
        <f t="shared" si="69"/>
        <v>226.5731361456175</v>
      </c>
      <c r="W225" s="17"/>
      <c r="X225" s="19">
        <f t="shared" si="70"/>
        <v>2.1391222795232765</v>
      </c>
      <c r="Y225" s="19">
        <f t="shared" si="71"/>
        <v>1.462573854382498</v>
      </c>
      <c r="Z225" s="19"/>
      <c r="AA225" s="19">
        <f t="shared" si="72"/>
        <v>9.5052402408950685E-6</v>
      </c>
    </row>
    <row r="226" spans="2:27" x14ac:dyDescent="0.35">
      <c r="B226" s="27">
        <v>18.8</v>
      </c>
      <c r="C226" s="27">
        <v>224.28570999999999</v>
      </c>
      <c r="D226" s="19">
        <f t="shared" si="59"/>
        <v>33.513772262754841</v>
      </c>
      <c r="E226" s="19">
        <f t="shared" si="60"/>
        <v>-0.60867532050761564</v>
      </c>
      <c r="F226" s="19">
        <f t="shared" si="61"/>
        <v>2.7754226637806134E-3</v>
      </c>
      <c r="G226" s="19">
        <f t="shared" si="62"/>
        <v>2.7754226637806134E-3</v>
      </c>
      <c r="H226" s="19">
        <f t="shared" si="63"/>
        <v>2.7754226637806134E-3</v>
      </c>
      <c r="I226" s="17"/>
      <c r="J226" s="19">
        <f t="shared" si="64"/>
        <v>30.108949799658632</v>
      </c>
      <c r="K226" s="19">
        <f t="shared" si="65"/>
        <v>0.37422438393004681</v>
      </c>
      <c r="L226" s="19">
        <f t="shared" si="66"/>
        <v>0.56814827299157356</v>
      </c>
      <c r="M226" s="19">
        <f t="shared" si="67"/>
        <v>0.56814827299157356</v>
      </c>
      <c r="N226" s="19">
        <f t="shared" si="68"/>
        <v>0.56814827299157356</v>
      </c>
      <c r="O226" s="17"/>
      <c r="P226" s="19">
        <f t="shared" si="58"/>
        <v>56.602544402703892</v>
      </c>
      <c r="Q226" s="19">
        <f t="shared" si="73"/>
        <v>168.50568416841975</v>
      </c>
      <c r="R226" s="19">
        <f t="shared" si="74"/>
        <v>0</v>
      </c>
      <c r="S226" s="19">
        <f t="shared" si="75"/>
        <v>0</v>
      </c>
      <c r="T226" s="19">
        <f t="shared" si="76"/>
        <v>0</v>
      </c>
      <c r="U226" s="17"/>
      <c r="V226" s="19">
        <f t="shared" si="69"/>
        <v>225.10822857112365</v>
      </c>
      <c r="W226" s="17"/>
      <c r="X226" s="19">
        <f t="shared" si="70"/>
        <v>0.67653679984329418</v>
      </c>
      <c r="Y226" s="19">
        <f t="shared" si="71"/>
        <v>0.82251857112365201</v>
      </c>
      <c r="Z226" s="19"/>
      <c r="AA226" s="19">
        <f t="shared" si="72"/>
        <v>5.3455328752809734E-6</v>
      </c>
    </row>
    <row r="227" spans="2:27" x14ac:dyDescent="0.35">
      <c r="B227" s="27">
        <v>18.899999999999999</v>
      </c>
      <c r="C227" s="27">
        <v>206.28570999999999</v>
      </c>
      <c r="D227" s="19">
        <f t="shared" si="59"/>
        <v>33.654271601177335</v>
      </c>
      <c r="E227" s="19">
        <f t="shared" si="60"/>
        <v>-0.60255039168049329</v>
      </c>
      <c r="F227" s="19">
        <f t="shared" si="61"/>
        <v>1.3886533774891241E-2</v>
      </c>
      <c r="G227" s="19">
        <f t="shared" si="62"/>
        <v>1.3886533774891241E-2</v>
      </c>
      <c r="H227" s="19">
        <f t="shared" si="63"/>
        <v>1.3886533774891241E-2</v>
      </c>
      <c r="I227" s="17"/>
      <c r="J227" s="19">
        <f t="shared" si="64"/>
        <v>30.244942616895973</v>
      </c>
      <c r="K227" s="19">
        <f t="shared" si="65"/>
        <v>0.37589501044442925</v>
      </c>
      <c r="L227" s="19">
        <f t="shared" si="66"/>
        <v>0.57218297906389282</v>
      </c>
      <c r="M227" s="19">
        <f t="shared" si="67"/>
        <v>0.57218297906389282</v>
      </c>
      <c r="N227" s="19">
        <f t="shared" si="68"/>
        <v>0.57218297906389282</v>
      </c>
      <c r="O227" s="17"/>
      <c r="P227" s="19">
        <f t="shared" si="58"/>
        <v>56.102784338162792</v>
      </c>
      <c r="Q227" s="19">
        <f t="shared" si="73"/>
        <v>167.55308599148481</v>
      </c>
      <c r="R227" s="19">
        <f t="shared" si="74"/>
        <v>0</v>
      </c>
      <c r="S227" s="19">
        <f t="shared" si="75"/>
        <v>0</v>
      </c>
      <c r="T227" s="19">
        <f t="shared" si="76"/>
        <v>0</v>
      </c>
      <c r="U227" s="17"/>
      <c r="V227" s="19">
        <f t="shared" si="69"/>
        <v>223.6558703296476</v>
      </c>
      <c r="W227" s="17"/>
      <c r="X227" s="19">
        <f t="shared" si="70"/>
        <v>301.72246987766334</v>
      </c>
      <c r="Y227" s="19">
        <f t="shared" si="71"/>
        <v>17.370160329647604</v>
      </c>
      <c r="Z227" s="19"/>
      <c r="AA227" s="19">
        <f t="shared" si="72"/>
        <v>1.1288834848334844E-4</v>
      </c>
    </row>
    <row r="228" spans="2:27" x14ac:dyDescent="0.35">
      <c r="B228" s="27">
        <v>19</v>
      </c>
      <c r="C228" s="27">
        <v>208.28570999999999</v>
      </c>
      <c r="D228" s="19">
        <f t="shared" si="59"/>
        <v>33.794770939599822</v>
      </c>
      <c r="E228" s="19">
        <f t="shared" si="60"/>
        <v>-0.59642546285337117</v>
      </c>
      <c r="F228" s="19">
        <f t="shared" si="61"/>
        <v>2.4997644886002757E-2</v>
      </c>
      <c r="G228" s="19">
        <f t="shared" si="62"/>
        <v>2.4997644886002757E-2</v>
      </c>
      <c r="H228" s="19">
        <f t="shared" si="63"/>
        <v>2.4997644886002757E-2</v>
      </c>
      <c r="I228" s="17"/>
      <c r="J228" s="19">
        <f t="shared" si="64"/>
        <v>30.380955007523909</v>
      </c>
      <c r="K228" s="19">
        <f t="shared" si="65"/>
        <v>0.37757105088496395</v>
      </c>
      <c r="L228" s="19">
        <f t="shared" si="66"/>
        <v>0.57623586285855644</v>
      </c>
      <c r="M228" s="19">
        <f t="shared" si="67"/>
        <v>0.57623586285855644</v>
      </c>
      <c r="N228" s="19">
        <f t="shared" si="68"/>
        <v>0.57623586285855644</v>
      </c>
      <c r="O228" s="17"/>
      <c r="P228" s="19">
        <f t="shared" si="58"/>
        <v>55.609544019159173</v>
      </c>
      <c r="Q228" s="19">
        <f t="shared" si="73"/>
        <v>166.60636590305043</v>
      </c>
      <c r="R228" s="19">
        <f t="shared" si="74"/>
        <v>0</v>
      </c>
      <c r="S228" s="19">
        <f t="shared" si="75"/>
        <v>0</v>
      </c>
      <c r="T228" s="19">
        <f t="shared" si="76"/>
        <v>0</v>
      </c>
      <c r="U228" s="17"/>
      <c r="V228" s="19">
        <f t="shared" si="69"/>
        <v>222.21590992220962</v>
      </c>
      <c r="W228" s="17"/>
      <c r="X228" s="19">
        <f t="shared" si="70"/>
        <v>194.05046987272902</v>
      </c>
      <c r="Y228" s="19">
        <f t="shared" si="71"/>
        <v>13.930199922209624</v>
      </c>
      <c r="Z228" s="19"/>
      <c r="AA228" s="19">
        <f t="shared" si="72"/>
        <v>9.0532109860670277E-5</v>
      </c>
    </row>
    <row r="229" spans="2:27" x14ac:dyDescent="0.35">
      <c r="B229" s="27">
        <v>19.100000000000001</v>
      </c>
      <c r="C229" s="27">
        <v>219.53572</v>
      </c>
      <c r="D229" s="19">
        <f t="shared" si="59"/>
        <v>33.935270278022315</v>
      </c>
      <c r="E229" s="19">
        <f t="shared" si="60"/>
        <v>-0.59030053402624882</v>
      </c>
      <c r="F229" s="19">
        <f t="shared" si="61"/>
        <v>3.6108755997113828E-2</v>
      </c>
      <c r="G229" s="19">
        <f t="shared" si="62"/>
        <v>3.6108755997113828E-2</v>
      </c>
      <c r="H229" s="19">
        <f t="shared" si="63"/>
        <v>3.6108755997113828E-2</v>
      </c>
      <c r="I229" s="17"/>
      <c r="J229" s="19">
        <f t="shared" si="64"/>
        <v>30.51698680501811</v>
      </c>
      <c r="K229" s="19">
        <f t="shared" si="65"/>
        <v>0.37925250956651174</v>
      </c>
      <c r="L229" s="19">
        <f t="shared" si="66"/>
        <v>0.58030691228390918</v>
      </c>
      <c r="M229" s="19">
        <f t="shared" si="67"/>
        <v>0.58030691228390918</v>
      </c>
      <c r="N229" s="19">
        <f t="shared" si="68"/>
        <v>0.58030691228390918</v>
      </c>
      <c r="O229" s="17"/>
      <c r="P229" s="19">
        <f t="shared" si="58"/>
        <v>55.122711433747945</v>
      </c>
      <c r="Q229" s="19">
        <f t="shared" si="73"/>
        <v>165.66548708306632</v>
      </c>
      <c r="R229" s="19">
        <f t="shared" si="74"/>
        <v>0</v>
      </c>
      <c r="S229" s="19">
        <f t="shared" si="75"/>
        <v>0</v>
      </c>
      <c r="T229" s="19">
        <f t="shared" si="76"/>
        <v>0</v>
      </c>
      <c r="U229" s="17"/>
      <c r="V229" s="19">
        <f t="shared" si="69"/>
        <v>220.78819851681428</v>
      </c>
      <c r="W229" s="17"/>
      <c r="X229" s="19">
        <f t="shared" si="70"/>
        <v>1.5687024350812948</v>
      </c>
      <c r="Y229" s="19">
        <f t="shared" si="71"/>
        <v>1.2524785168142785</v>
      </c>
      <c r="Z229" s="19"/>
      <c r="AA229" s="19">
        <f t="shared" si="72"/>
        <v>8.1398345548204913E-6</v>
      </c>
    </row>
    <row r="230" spans="2:27" x14ac:dyDescent="0.35">
      <c r="B230" s="27">
        <v>19.2</v>
      </c>
      <c r="C230" s="27">
        <v>214.28570999999999</v>
      </c>
      <c r="D230" s="19">
        <f t="shared" si="59"/>
        <v>34.075769616444802</v>
      </c>
      <c r="E230" s="19">
        <f t="shared" si="60"/>
        <v>-0.58417560519912648</v>
      </c>
      <c r="F230" s="19">
        <f t="shared" si="61"/>
        <v>4.72198671082249E-2</v>
      </c>
      <c r="G230" s="19">
        <f t="shared" si="62"/>
        <v>4.72198671082249E-2</v>
      </c>
      <c r="H230" s="19">
        <f t="shared" si="63"/>
        <v>4.72198671082249E-2</v>
      </c>
      <c r="I230" s="17"/>
      <c r="J230" s="19">
        <f t="shared" si="64"/>
        <v>30.653037844946436</v>
      </c>
      <c r="K230" s="19">
        <f t="shared" si="65"/>
        <v>0.38093939073816702</v>
      </c>
      <c r="L230" s="19">
        <f t="shared" si="66"/>
        <v>0.58439611466061014</v>
      </c>
      <c r="M230" s="19">
        <f t="shared" si="67"/>
        <v>0.58439611466061014</v>
      </c>
      <c r="N230" s="19">
        <f t="shared" si="68"/>
        <v>0.58439611466061014</v>
      </c>
      <c r="O230" s="17"/>
      <c r="P230" s="19">
        <f t="shared" si="58"/>
        <v>54.642176949762423</v>
      </c>
      <c r="Q230" s="19">
        <f t="shared" si="73"/>
        <v>164.73041293546527</v>
      </c>
      <c r="R230" s="19">
        <f t="shared" si="74"/>
        <v>0</v>
      </c>
      <c r="S230" s="19">
        <f t="shared" si="75"/>
        <v>0</v>
      </c>
      <c r="T230" s="19">
        <f t="shared" si="76"/>
        <v>0</v>
      </c>
      <c r="U230" s="17"/>
      <c r="V230" s="19">
        <f t="shared" si="69"/>
        <v>219.37258988522768</v>
      </c>
      <c r="W230" s="17"/>
      <c r="X230" s="19">
        <f t="shared" si="70"/>
        <v>25.876346966734058</v>
      </c>
      <c r="Y230" s="19">
        <f t="shared" si="71"/>
        <v>5.0868798852276882</v>
      </c>
      <c r="Z230" s="19"/>
      <c r="AA230" s="19">
        <f t="shared" si="72"/>
        <v>3.3059537636873894E-5</v>
      </c>
    </row>
    <row r="231" spans="2:27" x14ac:dyDescent="0.35">
      <c r="B231" s="27">
        <v>19.3</v>
      </c>
      <c r="C231" s="27">
        <v>216.28570999999999</v>
      </c>
      <c r="D231" s="19">
        <f t="shared" si="59"/>
        <v>34.216268954867296</v>
      </c>
      <c r="E231" s="19">
        <f t="shared" si="60"/>
        <v>-0.57805067637200436</v>
      </c>
      <c r="F231" s="19">
        <f t="shared" si="61"/>
        <v>5.8330978219335972E-2</v>
      </c>
      <c r="G231" s="19">
        <f t="shared" si="62"/>
        <v>5.8330978219335972E-2</v>
      </c>
      <c r="H231" s="19">
        <f t="shared" si="63"/>
        <v>5.8330978219335972E-2</v>
      </c>
      <c r="I231" s="17"/>
      <c r="J231" s="19">
        <f t="shared" si="64"/>
        <v>30.789107964934384</v>
      </c>
      <c r="K231" s="19">
        <f t="shared" si="65"/>
        <v>0.38263169858319923</v>
      </c>
      <c r="L231" s="19">
        <f t="shared" si="66"/>
        <v>0.58850345672651794</v>
      </c>
      <c r="M231" s="19">
        <f t="shared" si="67"/>
        <v>0.58850345672651794</v>
      </c>
      <c r="N231" s="19">
        <f t="shared" si="68"/>
        <v>0.58850345672651794</v>
      </c>
      <c r="O231" s="17"/>
      <c r="P231" s="19">
        <f t="shared" si="58"/>
        <v>54.167833254726219</v>
      </c>
      <c r="Q231" s="19">
        <f t="shared" si="73"/>
        <v>163.80110708685115</v>
      </c>
      <c r="R231" s="19">
        <f t="shared" si="74"/>
        <v>0</v>
      </c>
      <c r="S231" s="19">
        <f t="shared" si="75"/>
        <v>0</v>
      </c>
      <c r="T231" s="19">
        <f t="shared" si="76"/>
        <v>0</v>
      </c>
      <c r="U231" s="17"/>
      <c r="V231" s="19">
        <f t="shared" si="69"/>
        <v>217.96894034157737</v>
      </c>
      <c r="W231" s="17"/>
      <c r="X231" s="19">
        <f t="shared" si="70"/>
        <v>2.8332643828066724</v>
      </c>
      <c r="Y231" s="19">
        <f t="shared" si="71"/>
        <v>1.6832303415773708</v>
      </c>
      <c r="Z231" s="19"/>
      <c r="AA231" s="19">
        <f t="shared" si="72"/>
        <v>1.0939282641704139E-5</v>
      </c>
    </row>
    <row r="232" spans="2:27" x14ac:dyDescent="0.35">
      <c r="B232" s="27">
        <v>19.399999999999999</v>
      </c>
      <c r="C232" s="27">
        <v>201.53570999999999</v>
      </c>
      <c r="D232" s="19">
        <f t="shared" si="59"/>
        <v>34.356768293289782</v>
      </c>
      <c r="E232" s="19">
        <f t="shared" si="60"/>
        <v>-0.57192574754488223</v>
      </c>
      <c r="F232" s="19">
        <f t="shared" si="61"/>
        <v>6.9442089330447043E-2</v>
      </c>
      <c r="G232" s="19">
        <f t="shared" si="62"/>
        <v>6.9442089330447043E-2</v>
      </c>
      <c r="H232" s="19">
        <f t="shared" si="63"/>
        <v>6.9442089330447043E-2</v>
      </c>
      <c r="I232" s="17"/>
      <c r="J232" s="19">
        <f t="shared" si="64"/>
        <v>30.925197004631162</v>
      </c>
      <c r="K232" s="19">
        <f t="shared" si="65"/>
        <v>0.38432943721899948</v>
      </c>
      <c r="L232" s="19">
        <f t="shared" si="66"/>
        <v>0.59262892464163586</v>
      </c>
      <c r="M232" s="19">
        <f t="shared" si="67"/>
        <v>0.59262892464163586</v>
      </c>
      <c r="N232" s="19">
        <f t="shared" si="68"/>
        <v>0.59262892464163586</v>
      </c>
      <c r="O232" s="17"/>
      <c r="P232" s="19">
        <f t="shared" ref="P232:P295" si="77">(C$21*C$23/(1-C$23)^2*$A$21*C$22)/(J232+J232^2)</f>
        <v>53.699575297519878</v>
      </c>
      <c r="Q232" s="19">
        <f t="shared" si="73"/>
        <v>162.8775333851938</v>
      </c>
      <c r="R232" s="19">
        <f t="shared" si="74"/>
        <v>0</v>
      </c>
      <c r="S232" s="19">
        <f t="shared" si="75"/>
        <v>0</v>
      </c>
      <c r="T232" s="19">
        <f t="shared" si="76"/>
        <v>0</v>
      </c>
      <c r="U232" s="17"/>
      <c r="V232" s="19">
        <f t="shared" si="69"/>
        <v>216.57710868271369</v>
      </c>
      <c r="W232" s="17"/>
      <c r="X232" s="19">
        <f t="shared" si="70"/>
        <v>226.24367433234116</v>
      </c>
      <c r="Y232" s="19">
        <f t="shared" si="71"/>
        <v>15.041398682713691</v>
      </c>
      <c r="Z232" s="19"/>
      <c r="AA232" s="19">
        <f t="shared" si="72"/>
        <v>9.7753769910401828E-5</v>
      </c>
    </row>
    <row r="233" spans="2:27" x14ac:dyDescent="0.35">
      <c r="B233" s="27">
        <v>19.5</v>
      </c>
      <c r="C233" s="27">
        <v>195.03570999999999</v>
      </c>
      <c r="D233" s="19">
        <f t="shared" si="59"/>
        <v>34.497267631712276</v>
      </c>
      <c r="E233" s="19">
        <f t="shared" si="60"/>
        <v>-0.56580081871775967</v>
      </c>
      <c r="F233" s="19">
        <f t="shared" si="61"/>
        <v>8.0553200441558559E-2</v>
      </c>
      <c r="G233" s="19">
        <f t="shared" si="62"/>
        <v>8.0553200441558559E-2</v>
      </c>
      <c r="H233" s="19">
        <f t="shared" si="63"/>
        <v>8.0553200441558559E-2</v>
      </c>
      <c r="I233" s="17"/>
      <c r="J233" s="19">
        <f t="shared" si="64"/>
        <v>31.061304805676528</v>
      </c>
      <c r="K233" s="19">
        <f t="shared" si="65"/>
        <v>0.38603261069702965</v>
      </c>
      <c r="L233" s="19">
        <f t="shared" si="66"/>
        <v>0.59677250399311144</v>
      </c>
      <c r="M233" s="19">
        <f t="shared" si="67"/>
        <v>0.59677250399311144</v>
      </c>
      <c r="N233" s="19">
        <f t="shared" si="68"/>
        <v>0.59677250399311144</v>
      </c>
      <c r="O233" s="17"/>
      <c r="P233" s="19">
        <f t="shared" si="77"/>
        <v>53.237300231743461</v>
      </c>
      <c r="Q233" s="19">
        <f t="shared" si="73"/>
        <v>161.9596558985329</v>
      </c>
      <c r="R233" s="19">
        <f t="shared" si="74"/>
        <v>0</v>
      </c>
      <c r="S233" s="19">
        <f t="shared" si="75"/>
        <v>0</v>
      </c>
      <c r="T233" s="19">
        <f t="shared" si="76"/>
        <v>0</v>
      </c>
      <c r="U233" s="17"/>
      <c r="V233" s="19">
        <f t="shared" si="69"/>
        <v>215.19695613027636</v>
      </c>
      <c r="W233" s="17"/>
      <c r="X233" s="19">
        <f t="shared" si="70"/>
        <v>406.47584552558379</v>
      </c>
      <c r="Y233" s="19">
        <f t="shared" si="71"/>
        <v>20.161246130276368</v>
      </c>
      <c r="Z233" s="19"/>
      <c r="AA233" s="19">
        <f t="shared" si="72"/>
        <v>1.3102756312090831E-4</v>
      </c>
    </row>
    <row r="234" spans="2:27" x14ac:dyDescent="0.35">
      <c r="B234" s="27">
        <v>19.600000000000001</v>
      </c>
      <c r="C234" s="27">
        <v>219.28572</v>
      </c>
      <c r="D234" s="19">
        <f t="shared" si="59"/>
        <v>34.63776697013477</v>
      </c>
      <c r="E234" s="19">
        <f t="shared" si="60"/>
        <v>-0.55967588989063732</v>
      </c>
      <c r="F234" s="19">
        <f t="shared" si="61"/>
        <v>9.1664311552669631E-2</v>
      </c>
      <c r="G234" s="19">
        <f t="shared" si="62"/>
        <v>9.1664311552669631E-2</v>
      </c>
      <c r="H234" s="19">
        <f t="shared" si="63"/>
        <v>9.1664311552669631E-2</v>
      </c>
      <c r="I234" s="17"/>
      <c r="J234" s="19">
        <f t="shared" si="64"/>
        <v>31.197431211668228</v>
      </c>
      <c r="K234" s="19">
        <f t="shared" si="65"/>
        <v>0.38774122300277569</v>
      </c>
      <c r="L234" s="19">
        <f t="shared" si="66"/>
        <v>0.60093417980028985</v>
      </c>
      <c r="M234" s="19">
        <f t="shared" si="67"/>
        <v>0.60093417980028985</v>
      </c>
      <c r="N234" s="19">
        <f t="shared" si="68"/>
        <v>0.60093417980028985</v>
      </c>
      <c r="O234" s="17"/>
      <c r="P234" s="19">
        <f t="shared" si="77"/>
        <v>52.78090736071983</v>
      </c>
      <c r="Q234" s="19">
        <f t="shared" si="73"/>
        <v>161.04743891368921</v>
      </c>
      <c r="R234" s="19">
        <f t="shared" si="74"/>
        <v>0</v>
      </c>
      <c r="S234" s="19">
        <f t="shared" si="75"/>
        <v>0</v>
      </c>
      <c r="T234" s="19">
        <f t="shared" si="76"/>
        <v>0</v>
      </c>
      <c r="U234" s="17"/>
      <c r="V234" s="19">
        <f t="shared" si="69"/>
        <v>213.82834627440903</v>
      </c>
      <c r="W234" s="17"/>
      <c r="X234" s="19">
        <f t="shared" si="70"/>
        <v>29.782927980770655</v>
      </c>
      <c r="Y234" s="19">
        <f t="shared" si="71"/>
        <v>5.4573737255909691</v>
      </c>
      <c r="Z234" s="19"/>
      <c r="AA234" s="19">
        <f t="shared" si="72"/>
        <v>3.5467370205378036E-5</v>
      </c>
    </row>
    <row r="235" spans="2:27" x14ac:dyDescent="0.35">
      <c r="B235" s="27">
        <v>19.7</v>
      </c>
      <c r="C235" s="27">
        <v>198.53570999999999</v>
      </c>
      <c r="D235" s="19">
        <f t="shared" si="59"/>
        <v>34.778266308557257</v>
      </c>
      <c r="E235" s="19">
        <f t="shared" si="60"/>
        <v>-0.55355096106351542</v>
      </c>
      <c r="F235" s="19">
        <f t="shared" si="61"/>
        <v>0.10277542266378026</v>
      </c>
      <c r="G235" s="19">
        <f t="shared" si="62"/>
        <v>0.10277542266378026</v>
      </c>
      <c r="H235" s="19">
        <f t="shared" si="63"/>
        <v>0.10277542266378026</v>
      </c>
      <c r="I235" s="17"/>
      <c r="J235" s="19">
        <f t="shared" si="64"/>
        <v>31.333576068130153</v>
      </c>
      <c r="K235" s="19">
        <f t="shared" si="65"/>
        <v>0.38945527805570579</v>
      </c>
      <c r="L235" s="19">
        <f t="shared" si="66"/>
        <v>0.60511393651982037</v>
      </c>
      <c r="M235" s="19">
        <f t="shared" si="67"/>
        <v>0.60511393651982037</v>
      </c>
      <c r="N235" s="19">
        <f t="shared" si="68"/>
        <v>0.60511393651982037</v>
      </c>
      <c r="O235" s="17"/>
      <c r="P235" s="19">
        <f t="shared" si="77"/>
        <v>52.330298084084255</v>
      </c>
      <c r="Q235" s="19">
        <f t="shared" si="73"/>
        <v>160.14084693498333</v>
      </c>
      <c r="R235" s="19">
        <f t="shared" si="74"/>
        <v>0</v>
      </c>
      <c r="S235" s="19">
        <f t="shared" si="75"/>
        <v>0</v>
      </c>
      <c r="T235" s="19">
        <f t="shared" si="76"/>
        <v>0</v>
      </c>
      <c r="U235" s="17"/>
      <c r="V235" s="19">
        <f t="shared" si="69"/>
        <v>212.47114501906759</v>
      </c>
      <c r="W235" s="17"/>
      <c r="X235" s="19">
        <f t="shared" si="70"/>
        <v>194.19634917065554</v>
      </c>
      <c r="Y235" s="19">
        <f t="shared" si="71"/>
        <v>13.935435019067597</v>
      </c>
      <c r="Z235" s="19"/>
      <c r="AA235" s="19">
        <f t="shared" si="72"/>
        <v>9.0566132657652658E-5</v>
      </c>
    </row>
    <row r="236" spans="2:27" x14ac:dyDescent="0.35">
      <c r="B236" s="27">
        <v>19.8</v>
      </c>
      <c r="C236" s="27">
        <v>215.28572</v>
      </c>
      <c r="D236" s="19">
        <f t="shared" si="59"/>
        <v>34.91876564697975</v>
      </c>
      <c r="E236" s="19">
        <f t="shared" si="60"/>
        <v>-0.54742603223639286</v>
      </c>
      <c r="F236" s="19">
        <f t="shared" si="61"/>
        <v>0.11388653377489177</v>
      </c>
      <c r="G236" s="19">
        <f t="shared" si="62"/>
        <v>0.11388653377489177</v>
      </c>
      <c r="H236" s="19">
        <f t="shared" si="63"/>
        <v>0.11388653377489177</v>
      </c>
      <c r="I236" s="17"/>
      <c r="J236" s="19">
        <f t="shared" si="64"/>
        <v>31.469739222481106</v>
      </c>
      <c r="K236" s="19">
        <f t="shared" si="65"/>
        <v>0.39117477970923165</v>
      </c>
      <c r="L236" s="19">
        <f t="shared" si="66"/>
        <v>0.60931175805081217</v>
      </c>
      <c r="M236" s="19">
        <f t="shared" si="67"/>
        <v>0.60931175805081217</v>
      </c>
      <c r="N236" s="19">
        <f t="shared" si="68"/>
        <v>0.60931175805081217</v>
      </c>
      <c r="O236" s="17"/>
      <c r="P236" s="19">
        <f t="shared" si="77"/>
        <v>51.885375845908769</v>
      </c>
      <c r="Q236" s="19">
        <f t="shared" si="73"/>
        <v>159.23984468296257</v>
      </c>
      <c r="R236" s="19">
        <f t="shared" si="74"/>
        <v>0</v>
      </c>
      <c r="S236" s="19">
        <f t="shared" si="75"/>
        <v>0</v>
      </c>
      <c r="T236" s="19">
        <f t="shared" si="76"/>
        <v>0</v>
      </c>
      <c r="U236" s="17"/>
      <c r="V236" s="19">
        <f t="shared" si="69"/>
        <v>211.12522052887135</v>
      </c>
      <c r="W236" s="17"/>
      <c r="X236" s="19">
        <f t="shared" si="70"/>
        <v>17.309755849261737</v>
      </c>
      <c r="Y236" s="19">
        <f t="shared" si="71"/>
        <v>4.1604994711286452</v>
      </c>
      <c r="Z236" s="19"/>
      <c r="AA236" s="19">
        <f t="shared" si="72"/>
        <v>2.7039008578401871E-5</v>
      </c>
    </row>
    <row r="237" spans="2:27" x14ac:dyDescent="0.35">
      <c r="B237" s="27">
        <v>19.899999999999999</v>
      </c>
      <c r="C237" s="27">
        <v>208.03570999999999</v>
      </c>
      <c r="D237" s="19">
        <f t="shared" si="59"/>
        <v>35.059264985402237</v>
      </c>
      <c r="E237" s="19">
        <f t="shared" si="60"/>
        <v>-0.54130110340927073</v>
      </c>
      <c r="F237" s="19">
        <f t="shared" si="61"/>
        <v>0.12499764488600285</v>
      </c>
      <c r="G237" s="19">
        <f t="shared" si="62"/>
        <v>0.12499764488600285</v>
      </c>
      <c r="H237" s="19">
        <f t="shared" si="63"/>
        <v>0.12499764488600285</v>
      </c>
      <c r="I237" s="17"/>
      <c r="J237" s="19">
        <f t="shared" si="64"/>
        <v>31.60592052400419</v>
      </c>
      <c r="K237" s="19">
        <f t="shared" si="65"/>
        <v>0.392899731750673</v>
      </c>
      <c r="L237" s="19">
        <f t="shared" si="66"/>
        <v>0.61352762774003544</v>
      </c>
      <c r="M237" s="19">
        <f t="shared" si="67"/>
        <v>0.61352762774003544</v>
      </c>
      <c r="N237" s="19">
        <f t="shared" si="68"/>
        <v>0.61352762774003544</v>
      </c>
      <c r="O237" s="17"/>
      <c r="P237" s="19">
        <f t="shared" si="77"/>
        <v>51.446046084311227</v>
      </c>
      <c r="Q237" s="19">
        <f t="shared" si="73"/>
        <v>158.34439709313577</v>
      </c>
      <c r="R237" s="19">
        <f t="shared" si="74"/>
        <v>0</v>
      </c>
      <c r="S237" s="19">
        <f t="shared" si="75"/>
        <v>0</v>
      </c>
      <c r="T237" s="19">
        <f t="shared" si="76"/>
        <v>0</v>
      </c>
      <c r="U237" s="17"/>
      <c r="V237" s="19">
        <f t="shared" si="69"/>
        <v>209.790443177447</v>
      </c>
      <c r="W237" s="17"/>
      <c r="X237" s="19">
        <f t="shared" si="70"/>
        <v>3.0790885240332733</v>
      </c>
      <c r="Y237" s="19">
        <f t="shared" si="71"/>
        <v>1.7547331774470081</v>
      </c>
      <c r="Z237" s="19"/>
      <c r="AA237" s="19">
        <f t="shared" si="72"/>
        <v>1.1403978240363765E-5</v>
      </c>
    </row>
    <row r="238" spans="2:27" x14ac:dyDescent="0.35">
      <c r="B238" s="27">
        <v>20</v>
      </c>
      <c r="C238" s="27">
        <v>202.78572</v>
      </c>
      <c r="D238" s="19">
        <f t="shared" si="59"/>
        <v>35.199764323824731</v>
      </c>
      <c r="E238" s="19">
        <f t="shared" si="60"/>
        <v>-0.53517617458214861</v>
      </c>
      <c r="F238" s="19">
        <f t="shared" si="61"/>
        <v>0.13610875599711392</v>
      </c>
      <c r="G238" s="19">
        <f t="shared" si="62"/>
        <v>0.13610875599711392</v>
      </c>
      <c r="H238" s="19">
        <f t="shared" si="63"/>
        <v>0.13610875599711392</v>
      </c>
      <c r="I238" s="17"/>
      <c r="J238" s="19">
        <f t="shared" si="64"/>
        <v>31.742119823816843</v>
      </c>
      <c r="K238" s="19">
        <f t="shared" si="65"/>
        <v>0.39463013790122786</v>
      </c>
      <c r="L238" s="19">
        <f t="shared" si="66"/>
        <v>0.61776152838717369</v>
      </c>
      <c r="M238" s="19">
        <f t="shared" si="67"/>
        <v>0.61776152838717369</v>
      </c>
      <c r="N238" s="19">
        <f t="shared" si="68"/>
        <v>0.61776152838717369</v>
      </c>
      <c r="O238" s="17"/>
      <c r="P238" s="19">
        <f t="shared" si="77"/>
        <v>51.012216182500751</v>
      </c>
      <c r="Q238" s="19">
        <f t="shared" si="73"/>
        <v>157.45446931471469</v>
      </c>
      <c r="R238" s="19">
        <f t="shared" si="74"/>
        <v>0</v>
      </c>
      <c r="S238" s="19">
        <f t="shared" si="75"/>
        <v>0</v>
      </c>
      <c r="T238" s="19">
        <f t="shared" si="76"/>
        <v>0</v>
      </c>
      <c r="U238" s="17"/>
      <c r="V238" s="19">
        <f t="shared" si="69"/>
        <v>208.46668549721545</v>
      </c>
      <c r="W238" s="17"/>
      <c r="X238" s="19">
        <f t="shared" si="70"/>
        <v>32.273368980552419</v>
      </c>
      <c r="Y238" s="19">
        <f t="shared" si="71"/>
        <v>5.6809654972154533</v>
      </c>
      <c r="Z238" s="19"/>
      <c r="AA238" s="19">
        <f t="shared" si="72"/>
        <v>3.6920488965028893E-5</v>
      </c>
    </row>
    <row r="239" spans="2:27" x14ac:dyDescent="0.35">
      <c r="B239" s="27">
        <v>20.100000000000001</v>
      </c>
      <c r="C239" s="27">
        <v>197.03570999999999</v>
      </c>
      <c r="D239" s="19">
        <f t="shared" si="59"/>
        <v>35.340263662247224</v>
      </c>
      <c r="E239" s="19">
        <f t="shared" si="60"/>
        <v>-0.52905124575502605</v>
      </c>
      <c r="F239" s="19">
        <f t="shared" si="61"/>
        <v>0.14721986710822499</v>
      </c>
      <c r="G239" s="19">
        <f t="shared" si="62"/>
        <v>0.14721986710822499</v>
      </c>
      <c r="H239" s="19">
        <f t="shared" si="63"/>
        <v>0.14721986710822499</v>
      </c>
      <c r="I239" s="17"/>
      <c r="J239" s="19">
        <f t="shared" si="64"/>
        <v>31.8783369748414</v>
      </c>
      <c r="K239" s="19">
        <f t="shared" si="65"/>
        <v>0.39636600181594478</v>
      </c>
      <c r="L239" s="19">
        <f t="shared" si="66"/>
        <v>0.62201344225011468</v>
      </c>
      <c r="M239" s="19">
        <f t="shared" si="67"/>
        <v>0.62201344225011468</v>
      </c>
      <c r="N239" s="19">
        <f t="shared" si="68"/>
        <v>0.62201344225011468</v>
      </c>
      <c r="O239" s="17"/>
      <c r="P239" s="19">
        <f t="shared" si="77"/>
        <v>50.583795421213509</v>
      </c>
      <c r="Q239" s="19">
        <f t="shared" si="73"/>
        <v>156.57002670936413</v>
      </c>
      <c r="R239" s="19">
        <f t="shared" si="74"/>
        <v>0</v>
      </c>
      <c r="S239" s="19">
        <f t="shared" si="75"/>
        <v>0</v>
      </c>
      <c r="T239" s="19">
        <f t="shared" si="76"/>
        <v>0</v>
      </c>
      <c r="U239" s="17"/>
      <c r="V239" s="19">
        <f t="shared" si="69"/>
        <v>207.15382213057762</v>
      </c>
      <c r="W239" s="17"/>
      <c r="X239" s="19">
        <f t="shared" si="70"/>
        <v>102.37619308694217</v>
      </c>
      <c r="Y239" s="19">
        <f t="shared" si="71"/>
        <v>10.118112130577629</v>
      </c>
      <c r="Z239" s="19"/>
      <c r="AA239" s="19">
        <f t="shared" si="72"/>
        <v>6.5757422298554877E-5</v>
      </c>
    </row>
    <row r="240" spans="2:27" x14ac:dyDescent="0.35">
      <c r="B240" s="27">
        <v>20.2</v>
      </c>
      <c r="C240" s="27">
        <v>207.78570999999999</v>
      </c>
      <c r="D240" s="19">
        <f t="shared" si="59"/>
        <v>35.480763000669711</v>
      </c>
      <c r="E240" s="19">
        <f t="shared" si="60"/>
        <v>-0.52292631692790392</v>
      </c>
      <c r="F240" s="19">
        <f t="shared" si="61"/>
        <v>0.15833097821933606</v>
      </c>
      <c r="G240" s="19">
        <f t="shared" si="62"/>
        <v>0.15833097821933606</v>
      </c>
      <c r="H240" s="19">
        <f t="shared" si="63"/>
        <v>0.15833097821933606</v>
      </c>
      <c r="I240" s="17"/>
      <c r="J240" s="19">
        <f t="shared" si="64"/>
        <v>32.014571831776308</v>
      </c>
      <c r="K240" s="19">
        <f t="shared" si="65"/>
        <v>0.39810732708369978</v>
      </c>
      <c r="L240" s="19">
        <f t="shared" si="66"/>
        <v>0.62628335105028654</v>
      </c>
      <c r="M240" s="19">
        <f t="shared" si="67"/>
        <v>0.62628335105028654</v>
      </c>
      <c r="N240" s="19">
        <f t="shared" si="68"/>
        <v>0.62628335105028654</v>
      </c>
      <c r="O240" s="17"/>
      <c r="P240" s="19">
        <f t="shared" si="77"/>
        <v>50.160694932493513</v>
      </c>
      <c r="Q240" s="19">
        <f t="shared" si="73"/>
        <v>155.6910348499591</v>
      </c>
      <c r="R240" s="19">
        <f t="shared" si="74"/>
        <v>0</v>
      </c>
      <c r="S240" s="19">
        <f t="shared" si="75"/>
        <v>0</v>
      </c>
      <c r="T240" s="19">
        <f t="shared" si="76"/>
        <v>0</v>
      </c>
      <c r="U240" s="17"/>
      <c r="V240" s="19">
        <f t="shared" si="69"/>
        <v>205.85172978245259</v>
      </c>
      <c r="W240" s="17"/>
      <c r="X240" s="19">
        <f t="shared" si="70"/>
        <v>3.7402794818646909</v>
      </c>
      <c r="Y240" s="19">
        <f t="shared" si="71"/>
        <v>1.9339802175474006</v>
      </c>
      <c r="Z240" s="19"/>
      <c r="AA240" s="19">
        <f t="shared" si="72"/>
        <v>1.2568901415708592E-5</v>
      </c>
    </row>
    <row r="241" spans="2:27" x14ac:dyDescent="0.35">
      <c r="B241" s="27">
        <v>20.3</v>
      </c>
      <c r="C241" s="27">
        <v>182.28570999999999</v>
      </c>
      <c r="D241" s="19">
        <f t="shared" si="59"/>
        <v>35.621262339092205</v>
      </c>
      <c r="E241" s="19">
        <f t="shared" si="60"/>
        <v>-0.51680138810078158</v>
      </c>
      <c r="F241" s="19">
        <f t="shared" si="61"/>
        <v>0.16944208933044758</v>
      </c>
      <c r="G241" s="19">
        <f t="shared" si="62"/>
        <v>0.16944208933044758</v>
      </c>
      <c r="H241" s="19">
        <f t="shared" si="63"/>
        <v>0.16944208933044758</v>
      </c>
      <c r="I241" s="17"/>
      <c r="J241" s="19">
        <f t="shared" si="64"/>
        <v>32.150824251067917</v>
      </c>
      <c r="K241" s="19">
        <f t="shared" si="65"/>
        <v>0.39985411722717745</v>
      </c>
      <c r="L241" s="19">
        <f t="shared" si="66"/>
        <v>0.63057123597803344</v>
      </c>
      <c r="M241" s="19">
        <f t="shared" si="67"/>
        <v>0.63057123597803344</v>
      </c>
      <c r="N241" s="19">
        <f t="shared" si="68"/>
        <v>0.63057123597803344</v>
      </c>
      <c r="O241" s="17"/>
      <c r="P241" s="19">
        <f t="shared" si="77"/>
        <v>49.742827654775766</v>
      </c>
      <c r="Q241" s="19">
        <f t="shared" si="73"/>
        <v>154.8174595193492</v>
      </c>
      <c r="R241" s="19">
        <f t="shared" si="74"/>
        <v>0</v>
      </c>
      <c r="S241" s="19">
        <f t="shared" si="75"/>
        <v>0</v>
      </c>
      <c r="T241" s="19">
        <f t="shared" si="76"/>
        <v>0</v>
      </c>
      <c r="U241" s="17"/>
      <c r="V241" s="19">
        <f t="shared" si="69"/>
        <v>204.56028717412497</v>
      </c>
      <c r="W241" s="17"/>
      <c r="X241" s="19">
        <f t="shared" si="70"/>
        <v>496.15678828604916</v>
      </c>
      <c r="Y241" s="19">
        <f t="shared" si="71"/>
        <v>22.274577174124971</v>
      </c>
      <c r="Z241" s="19"/>
      <c r="AA241" s="19">
        <f t="shared" si="72"/>
        <v>1.4476206221654791E-4</v>
      </c>
    </row>
    <row r="242" spans="2:27" x14ac:dyDescent="0.35">
      <c r="B242" s="27">
        <v>20.399999999999999</v>
      </c>
      <c r="C242" s="27">
        <v>202.53570999999999</v>
      </c>
      <c r="D242" s="19">
        <f t="shared" ref="D242:D305" si="78">$C$23/(1-$C$23)-LN((1-$C$23)/$C$23)+$C$22/(1-$C$23)*B242</f>
        <v>35.761761677514691</v>
      </c>
      <c r="E242" s="19">
        <f t="shared" ref="E242:E305" si="79">$D$23/(1-$D$23)-LN((1-$D$23)/$D$23)+$D$22*B242/(1-$D$23)</f>
        <v>-0.51067645927365946</v>
      </c>
      <c r="F242" s="19">
        <f t="shared" ref="F242:F305" si="80">$E$23/(1-$E$23)-LN((1-$E$23)/$E$23)+$E$22*B242/(1-$E$23)</f>
        <v>0.1805532004415582</v>
      </c>
      <c r="G242" s="19">
        <f t="shared" ref="G242:G305" si="81">$F$23/(1-$F$23)-LN((1-$F$23)/$F$23)+$F$22*B242/(1-$F$23)</f>
        <v>0.1805532004415582</v>
      </c>
      <c r="H242" s="19">
        <f t="shared" ref="H242:H305" si="82">$G$23/(1-$G$23)-LN((1-$G$23)/$G$23)+$G$22*B242/(1-$G$23)</f>
        <v>0.1805532004415582</v>
      </c>
      <c r="I242" s="17"/>
      <c r="J242" s="19">
        <f t="shared" ref="J242:J305" si="83">lmb_2(D242)</f>
        <v>32.287094090882704</v>
      </c>
      <c r="K242" s="19">
        <f t="shared" ref="K242:K305" si="84">lmb_2(E242)</f>
        <v>0.40160637570285512</v>
      </c>
      <c r="L242" s="19">
        <f t="shared" ref="L242:L305" si="85">lmb_2(F242)</f>
        <v>0.63487707769802815</v>
      </c>
      <c r="M242" s="19">
        <f t="shared" ref="M242:M305" si="86">lmb_2(G242)</f>
        <v>0.63487707769802815</v>
      </c>
      <c r="N242" s="19">
        <f t="shared" ref="N242:N305" si="87">lmb_2(H242)</f>
        <v>0.63487707769802815</v>
      </c>
      <c r="O242" s="17"/>
      <c r="P242" s="19">
        <f t="shared" si="77"/>
        <v>49.330108289230218</v>
      </c>
      <c r="Q242" s="19">
        <f t="shared" si="73"/>
        <v>153.94926670913082</v>
      </c>
      <c r="R242" s="19">
        <f t="shared" si="74"/>
        <v>0</v>
      </c>
      <c r="S242" s="19">
        <f t="shared" si="75"/>
        <v>0</v>
      </c>
      <c r="T242" s="19">
        <f t="shared" si="76"/>
        <v>0</v>
      </c>
      <c r="U242" s="17"/>
      <c r="V242" s="19">
        <f t="shared" ref="V242:V305" si="88">SUM(P242:T242)</f>
        <v>203.27937499836105</v>
      </c>
      <c r="W242" s="17"/>
      <c r="X242" s="19">
        <f t="shared" ref="X242:X305" si="89">(V242-C242)^2</f>
        <v>0.55303762978734805</v>
      </c>
      <c r="Y242" s="19">
        <f t="shared" ref="Y242:Y305" si="90">ABS(V242-C242)</f>
        <v>0.74366499836105504</v>
      </c>
      <c r="Z242" s="19"/>
      <c r="AA242" s="19">
        <f t="shared" ref="AA242:AA305" si="91">Y242/$Z$39</f>
        <v>4.833064974452926E-6</v>
      </c>
    </row>
    <row r="243" spans="2:27" x14ac:dyDescent="0.35">
      <c r="B243" s="27">
        <v>20.5</v>
      </c>
      <c r="C243" s="27">
        <v>204.78572</v>
      </c>
      <c r="D243" s="19">
        <f t="shared" si="78"/>
        <v>35.902261015937185</v>
      </c>
      <c r="E243" s="19">
        <f t="shared" si="79"/>
        <v>-0.50455153044653711</v>
      </c>
      <c r="F243" s="19">
        <f t="shared" si="80"/>
        <v>0.19166431155266972</v>
      </c>
      <c r="G243" s="19">
        <f t="shared" si="81"/>
        <v>0.19166431155266972</v>
      </c>
      <c r="H243" s="19">
        <f t="shared" si="82"/>
        <v>0.19166431155266972</v>
      </c>
      <c r="I243" s="17"/>
      <c r="J243" s="19">
        <f t="shared" si="83"/>
        <v>32.423381211080226</v>
      </c>
      <c r="K243" s="19">
        <f t="shared" si="84"/>
        <v>0.40336410590099187</v>
      </c>
      <c r="L243" s="19">
        <f t="shared" si="85"/>
        <v>0.63920085635472323</v>
      </c>
      <c r="M243" s="19">
        <f t="shared" si="86"/>
        <v>0.63920085635472323</v>
      </c>
      <c r="N243" s="19">
        <f t="shared" si="87"/>
        <v>0.63920085635472323</v>
      </c>
      <c r="O243" s="17"/>
      <c r="P243" s="19">
        <f t="shared" si="77"/>
        <v>48.922453257325721</v>
      </c>
      <c r="Q243" s="19">
        <f t="shared" si="73"/>
        <v>153.08642261842635</v>
      </c>
      <c r="R243" s="19">
        <f t="shared" si="74"/>
        <v>0</v>
      </c>
      <c r="S243" s="19">
        <f t="shared" si="75"/>
        <v>0</v>
      </c>
      <c r="T243" s="19">
        <f t="shared" si="76"/>
        <v>0</v>
      </c>
      <c r="U243" s="17"/>
      <c r="V243" s="19">
        <f t="shared" si="88"/>
        <v>202.00887587575207</v>
      </c>
      <c r="W243" s="17"/>
      <c r="X243" s="19">
        <f t="shared" si="89"/>
        <v>7.7108632903702521</v>
      </c>
      <c r="Y243" s="19">
        <f t="shared" si="90"/>
        <v>2.7768441242479298</v>
      </c>
      <c r="Z243" s="19"/>
      <c r="AA243" s="19">
        <f t="shared" si="91"/>
        <v>1.8046658247995482E-5</v>
      </c>
    </row>
    <row r="244" spans="2:27" x14ac:dyDescent="0.35">
      <c r="B244" s="27">
        <v>20.6</v>
      </c>
      <c r="C244" s="27">
        <v>189.78570999999999</v>
      </c>
      <c r="D244" s="19">
        <f t="shared" si="78"/>
        <v>36.042760354359679</v>
      </c>
      <c r="E244" s="19">
        <f t="shared" si="79"/>
        <v>-0.49842660161941477</v>
      </c>
      <c r="F244" s="19">
        <f t="shared" si="80"/>
        <v>0.20277542266378035</v>
      </c>
      <c r="G244" s="19">
        <f t="shared" si="81"/>
        <v>0.20277542266378035</v>
      </c>
      <c r="H244" s="19">
        <f t="shared" si="82"/>
        <v>0.20277542266378035</v>
      </c>
      <c r="I244" s="17"/>
      <c r="J244" s="19">
        <f t="shared" si="83"/>
        <v>32.55968547318642</v>
      </c>
      <c r="K244" s="19">
        <f t="shared" si="84"/>
        <v>0.40512731114561995</v>
      </c>
      <c r="L244" s="19">
        <f t="shared" si="85"/>
        <v>0.64354255157783347</v>
      </c>
      <c r="M244" s="19">
        <f t="shared" si="86"/>
        <v>0.64354255157783347</v>
      </c>
      <c r="N244" s="19">
        <f t="shared" si="87"/>
        <v>0.64354255157783347</v>
      </c>
      <c r="O244" s="17"/>
      <c r="P244" s="19">
        <f t="shared" si="77"/>
        <v>48.519780659576377</v>
      </c>
      <c r="Q244" s="19">
        <f t="shared" si="73"/>
        <v>152.22889365267119</v>
      </c>
      <c r="R244" s="19">
        <f t="shared" si="74"/>
        <v>0</v>
      </c>
      <c r="S244" s="19">
        <f t="shared" si="75"/>
        <v>0</v>
      </c>
      <c r="T244" s="19">
        <f t="shared" si="76"/>
        <v>0</v>
      </c>
      <c r="U244" s="17"/>
      <c r="V244" s="19">
        <f t="shared" si="88"/>
        <v>200.74867431224757</v>
      </c>
      <c r="W244" s="17"/>
      <c r="X244" s="19">
        <f t="shared" si="89"/>
        <v>120.18658651161402</v>
      </c>
      <c r="Y244" s="19">
        <f t="shared" si="90"/>
        <v>10.962964312247578</v>
      </c>
      <c r="Z244" s="19"/>
      <c r="AA244" s="19">
        <f t="shared" si="91"/>
        <v>7.1248100892838713E-5</v>
      </c>
    </row>
    <row r="245" spans="2:27" x14ac:dyDescent="0.35">
      <c r="B245" s="27">
        <v>20.7</v>
      </c>
      <c r="C245" s="27">
        <v>215.78570999999999</v>
      </c>
      <c r="D245" s="19">
        <f t="shared" si="78"/>
        <v>36.183259692782165</v>
      </c>
      <c r="E245" s="19">
        <f t="shared" si="79"/>
        <v>-0.49230167279229264</v>
      </c>
      <c r="F245" s="19">
        <f t="shared" si="80"/>
        <v>0.21388653377489142</v>
      </c>
      <c r="G245" s="19">
        <f t="shared" si="81"/>
        <v>0.21388653377489142</v>
      </c>
      <c r="H245" s="19">
        <f t="shared" si="82"/>
        <v>0.21388653377489142</v>
      </c>
      <c r="I245" s="17"/>
      <c r="J245" s="19">
        <f t="shared" si="83"/>
        <v>32.696006740367544</v>
      </c>
      <c r="K245" s="19">
        <f t="shared" si="84"/>
        <v>0.40689599469454146</v>
      </c>
      <c r="L245" s="19">
        <f t="shared" si="85"/>
        <v>0.64790214248785494</v>
      </c>
      <c r="M245" s="19">
        <f t="shared" si="86"/>
        <v>0.64790214248785494</v>
      </c>
      <c r="N245" s="19">
        <f t="shared" si="87"/>
        <v>0.64790214248785494</v>
      </c>
      <c r="O245" s="17"/>
      <c r="P245" s="19">
        <f t="shared" si="77"/>
        <v>48.122010235431915</v>
      </c>
      <c r="Q245" s="19">
        <f t="shared" si="73"/>
        <v>151.37664642240742</v>
      </c>
      <c r="R245" s="19">
        <f t="shared" si="74"/>
        <v>0</v>
      </c>
      <c r="S245" s="19">
        <f t="shared" si="75"/>
        <v>0</v>
      </c>
      <c r="T245" s="19">
        <f t="shared" si="76"/>
        <v>0</v>
      </c>
      <c r="U245" s="17"/>
      <c r="V245" s="19">
        <f t="shared" si="88"/>
        <v>199.49865665783932</v>
      </c>
      <c r="W245" s="17"/>
      <c r="X245" s="19">
        <f t="shared" si="89"/>
        <v>265.2681065703872</v>
      </c>
      <c r="Y245" s="19">
        <f t="shared" si="90"/>
        <v>16.287053342160675</v>
      </c>
      <c r="Z245" s="19"/>
      <c r="AA245" s="19">
        <f t="shared" si="91"/>
        <v>1.0584925634327867E-4</v>
      </c>
    </row>
    <row r="246" spans="2:27" x14ac:dyDescent="0.35">
      <c r="B246" s="27">
        <v>20.8</v>
      </c>
      <c r="C246" s="27">
        <v>207.03572</v>
      </c>
      <c r="D246" s="19">
        <f t="shared" si="78"/>
        <v>36.323759031204659</v>
      </c>
      <c r="E246" s="19">
        <f t="shared" si="79"/>
        <v>-0.4861767439651703</v>
      </c>
      <c r="F246" s="19">
        <f t="shared" si="80"/>
        <v>0.22499764488600293</v>
      </c>
      <c r="G246" s="19">
        <f t="shared" si="81"/>
        <v>0.22499764488600293</v>
      </c>
      <c r="H246" s="19">
        <f t="shared" si="82"/>
        <v>0.22499764488600293</v>
      </c>
      <c r="I246" s="17"/>
      <c r="J246" s="19">
        <f t="shared" si="83"/>
        <v>32.832344877404608</v>
      </c>
      <c r="K246" s="19">
        <f t="shared" si="84"/>
        <v>0.40867015973932819</v>
      </c>
      <c r="L246" s="19">
        <f t="shared" si="85"/>
        <v>0.6522796077016102</v>
      </c>
      <c r="M246" s="19">
        <f t="shared" si="86"/>
        <v>0.6522796077016102</v>
      </c>
      <c r="N246" s="19">
        <f t="shared" si="87"/>
        <v>0.6522796077016102</v>
      </c>
      <c r="O246" s="17"/>
      <c r="P246" s="19">
        <f t="shared" si="77"/>
        <v>47.729063324276623</v>
      </c>
      <c r="Q246" s="19">
        <f t="shared" si="73"/>
        <v>150.5296477420851</v>
      </c>
      <c r="R246" s="19">
        <f t="shared" si="74"/>
        <v>0</v>
      </c>
      <c r="S246" s="19">
        <f t="shared" si="75"/>
        <v>0</v>
      </c>
      <c r="T246" s="19">
        <f t="shared" si="76"/>
        <v>0</v>
      </c>
      <c r="U246" s="17"/>
      <c r="V246" s="19">
        <f t="shared" si="88"/>
        <v>198.25871106636174</v>
      </c>
      <c r="W246" s="17"/>
      <c r="X246" s="19">
        <f t="shared" si="89"/>
        <v>77.035885821165778</v>
      </c>
      <c r="Y246" s="19">
        <f t="shared" si="90"/>
        <v>8.7770089336382568</v>
      </c>
      <c r="Z246" s="19"/>
      <c r="AA246" s="19">
        <f t="shared" si="91"/>
        <v>5.7041617598132979E-5</v>
      </c>
    </row>
    <row r="247" spans="2:27" x14ac:dyDescent="0.35">
      <c r="B247" s="27">
        <v>20.9</v>
      </c>
      <c r="C247" s="27">
        <v>193.78570999999999</v>
      </c>
      <c r="D247" s="19">
        <f t="shared" si="78"/>
        <v>36.464258369627146</v>
      </c>
      <c r="E247" s="19">
        <f t="shared" si="79"/>
        <v>-0.48005181513804795</v>
      </c>
      <c r="F247" s="19">
        <f t="shared" si="80"/>
        <v>0.23610875599711356</v>
      </c>
      <c r="G247" s="19">
        <f t="shared" si="81"/>
        <v>0.23610875599711356</v>
      </c>
      <c r="H247" s="19">
        <f t="shared" si="82"/>
        <v>0.23610875599711356</v>
      </c>
      <c r="I247" s="17"/>
      <c r="J247" s="19">
        <f t="shared" si="83"/>
        <v>32.968699750668215</v>
      </c>
      <c r="K247" s="19">
        <f t="shared" si="84"/>
        <v>0.41044980940532483</v>
      </c>
      <c r="L247" s="19">
        <f t="shared" si="85"/>
        <v>0.65667492533782512</v>
      </c>
      <c r="M247" s="19">
        <f t="shared" si="86"/>
        <v>0.65667492533782512</v>
      </c>
      <c r="N247" s="19">
        <f t="shared" si="87"/>
        <v>0.65667492533782512</v>
      </c>
      <c r="O247" s="17"/>
      <c r="P247" s="19">
        <f t="shared" si="77"/>
        <v>47.340862827502363</v>
      </c>
      <c r="Q247" s="19">
        <f t="shared" ref="Q247:Q310" si="92">(D$21*D$23/(1-D$23)^2*$A$21*D$22)/(K247+K247^2)</f>
        <v>149.68786462887059</v>
      </c>
      <c r="R247" s="19">
        <f t="shared" ref="R247:R310" si="93">(E$21*E$23/(1-E$23)^2*$A$21*E$22)/(L247+L247^2)</f>
        <v>0</v>
      </c>
      <c r="S247" s="19">
        <f t="shared" ref="S247:S310" si="94">(F$21*F$23/(1-F$23)^2*$A$21*F$22)/(M247+M247^2)</f>
        <v>0</v>
      </c>
      <c r="T247" s="19">
        <f t="shared" ref="T247:T310" si="95">(G$21*G$23/(1-G$23)^2*$A$21*G$22)/(N247+N247^2)</f>
        <v>0</v>
      </c>
      <c r="U247" s="17"/>
      <c r="V247" s="19">
        <f t="shared" si="88"/>
        <v>197.02872745637296</v>
      </c>
      <c r="W247" s="17"/>
      <c r="X247" s="19">
        <f t="shared" si="89"/>
        <v>10.517162222339795</v>
      </c>
      <c r="Y247" s="19">
        <f t="shared" si="90"/>
        <v>3.2430174563729679</v>
      </c>
      <c r="Z247" s="19"/>
      <c r="AA247" s="19">
        <f t="shared" si="91"/>
        <v>2.1076310051540041E-5</v>
      </c>
    </row>
    <row r="248" spans="2:27" x14ac:dyDescent="0.35">
      <c r="B248" s="27">
        <v>21</v>
      </c>
      <c r="C248" s="27">
        <v>200.03570999999999</v>
      </c>
      <c r="D248" s="19">
        <f t="shared" si="78"/>
        <v>36.60475770804964</v>
      </c>
      <c r="E248" s="19">
        <f t="shared" si="79"/>
        <v>-0.47392688631092583</v>
      </c>
      <c r="F248" s="19">
        <f t="shared" si="80"/>
        <v>0.24721986710822508</v>
      </c>
      <c r="G248" s="19">
        <f t="shared" si="81"/>
        <v>0.24721986710822508</v>
      </c>
      <c r="H248" s="19">
        <f t="shared" si="82"/>
        <v>0.24721986710822508</v>
      </c>
      <c r="I248" s="17"/>
      <c r="J248" s="19">
        <f t="shared" si="83"/>
        <v>33.105071228093998</v>
      </c>
      <c r="K248" s="19">
        <f t="shared" si="84"/>
        <v>0.41223494675165684</v>
      </c>
      <c r="L248" s="19">
        <f t="shared" si="85"/>
        <v>0.66108807302273354</v>
      </c>
      <c r="M248" s="19">
        <f t="shared" si="86"/>
        <v>0.66108807302273354</v>
      </c>
      <c r="N248" s="19">
        <f t="shared" si="87"/>
        <v>0.66108807302273354</v>
      </c>
      <c r="O248" s="17"/>
      <c r="P248" s="19">
        <f t="shared" si="77"/>
        <v>46.957333171621393</v>
      </c>
      <c r="Q248" s="19">
        <f t="shared" si="92"/>
        <v>148.85126430146195</v>
      </c>
      <c r="R248" s="19">
        <f t="shared" si="93"/>
        <v>0</v>
      </c>
      <c r="S248" s="19">
        <f t="shared" si="94"/>
        <v>0</v>
      </c>
      <c r="T248" s="19">
        <f t="shared" si="95"/>
        <v>0</v>
      </c>
      <c r="U248" s="17"/>
      <c r="V248" s="19">
        <f t="shared" si="88"/>
        <v>195.80859747308335</v>
      </c>
      <c r="W248" s="17"/>
      <c r="X248" s="19">
        <f t="shared" si="89"/>
        <v>17.868480315215596</v>
      </c>
      <c r="Y248" s="19">
        <f t="shared" si="90"/>
        <v>4.2271125269166419</v>
      </c>
      <c r="Z248" s="19"/>
      <c r="AA248" s="19">
        <f t="shared" si="91"/>
        <v>2.7471925587377378E-5</v>
      </c>
    </row>
    <row r="249" spans="2:27" x14ac:dyDescent="0.35">
      <c r="B249" s="27">
        <v>21.1</v>
      </c>
      <c r="C249" s="27">
        <v>201.53570999999999</v>
      </c>
      <c r="D249" s="19">
        <f t="shared" si="78"/>
        <v>36.745257046472133</v>
      </c>
      <c r="E249" s="19">
        <f t="shared" si="79"/>
        <v>-0.46780195748380349</v>
      </c>
      <c r="F249" s="19">
        <f t="shared" si="80"/>
        <v>0.25833097821933615</v>
      </c>
      <c r="G249" s="19">
        <f t="shared" si="81"/>
        <v>0.25833097821933615</v>
      </c>
      <c r="H249" s="19">
        <f t="shared" si="82"/>
        <v>0.25833097821933615</v>
      </c>
      <c r="I249" s="17"/>
      <c r="J249" s="19">
        <f t="shared" si="83"/>
        <v>33.241459179158426</v>
      </c>
      <c r="K249" s="19">
        <f t="shared" si="84"/>
        <v>0.41402557477124169</v>
      </c>
      <c r="L249" s="19">
        <f t="shared" si="85"/>
        <v>0.66551902789570327</v>
      </c>
      <c r="M249" s="19">
        <f t="shared" si="86"/>
        <v>0.66551902789570327</v>
      </c>
      <c r="N249" s="19">
        <f t="shared" si="87"/>
        <v>0.66551902789570327</v>
      </c>
      <c r="O249" s="17"/>
      <c r="P249" s="19">
        <f t="shared" si="77"/>
        <v>46.57840027238727</v>
      </c>
      <c r="Q249" s="19">
        <f t="shared" si="92"/>
        <v>148.01981417891136</v>
      </c>
      <c r="R249" s="19">
        <f t="shared" si="93"/>
        <v>0</v>
      </c>
      <c r="S249" s="19">
        <f t="shared" si="94"/>
        <v>0</v>
      </c>
      <c r="T249" s="19">
        <f t="shared" si="95"/>
        <v>0</v>
      </c>
      <c r="U249" s="17"/>
      <c r="V249" s="19">
        <f t="shared" si="88"/>
        <v>194.59821445129865</v>
      </c>
      <c r="W249" s="17"/>
      <c r="X249" s="19">
        <f t="shared" si="89"/>
        <v>48.12884448825104</v>
      </c>
      <c r="Y249" s="19">
        <f t="shared" si="90"/>
        <v>6.9374955487013494</v>
      </c>
      <c r="Z249" s="19"/>
      <c r="AA249" s="19">
        <f t="shared" si="91"/>
        <v>4.5086654368225108E-5</v>
      </c>
    </row>
    <row r="250" spans="2:27" x14ac:dyDescent="0.35">
      <c r="B250" s="27">
        <v>21.2</v>
      </c>
      <c r="C250" s="27">
        <v>187.03570999999999</v>
      </c>
      <c r="D250" s="19">
        <f t="shared" si="78"/>
        <v>36.88575638489462</v>
      </c>
      <c r="E250" s="19">
        <f t="shared" si="79"/>
        <v>-0.46167702865668114</v>
      </c>
      <c r="F250" s="19">
        <f t="shared" si="80"/>
        <v>0.26944208933044722</v>
      </c>
      <c r="G250" s="19">
        <f t="shared" si="81"/>
        <v>0.26944208933044722</v>
      </c>
      <c r="H250" s="19">
        <f t="shared" si="82"/>
        <v>0.26944208933044722</v>
      </c>
      <c r="I250" s="17"/>
      <c r="J250" s="19">
        <f t="shared" si="83"/>
        <v>33.377863474855154</v>
      </c>
      <c r="K250" s="19">
        <f t="shared" si="84"/>
        <v>0.41582169639080346</v>
      </c>
      <c r="L250" s="19">
        <f t="shared" si="85"/>
        <v>0.66996776661488922</v>
      </c>
      <c r="M250" s="19">
        <f t="shared" si="86"/>
        <v>0.66996776661488922</v>
      </c>
      <c r="N250" s="19">
        <f t="shared" si="87"/>
        <v>0.66996776661488922</v>
      </c>
      <c r="O250" s="17"/>
      <c r="P250" s="19">
        <f t="shared" si="77"/>
        <v>46.20399149989246</v>
      </c>
      <c r="Q250" s="19">
        <f t="shared" si="92"/>
        <v>147.19348187945474</v>
      </c>
      <c r="R250" s="19">
        <f t="shared" si="93"/>
        <v>0</v>
      </c>
      <c r="S250" s="19">
        <f t="shared" si="94"/>
        <v>0</v>
      </c>
      <c r="T250" s="19">
        <f t="shared" si="95"/>
        <v>0</v>
      </c>
      <c r="U250" s="17"/>
      <c r="V250" s="19">
        <f t="shared" si="88"/>
        <v>193.39747337934719</v>
      </c>
      <c r="W250" s="17"/>
      <c r="X250" s="19">
        <f t="shared" si="89"/>
        <v>40.472033294803047</v>
      </c>
      <c r="Y250" s="19">
        <f t="shared" si="90"/>
        <v>6.3617633793471953</v>
      </c>
      <c r="Z250" s="19"/>
      <c r="AA250" s="19">
        <f t="shared" si="91"/>
        <v>4.1344981721934427E-5</v>
      </c>
    </row>
    <row r="251" spans="2:27" x14ac:dyDescent="0.35">
      <c r="B251" s="27">
        <v>21.3</v>
      </c>
      <c r="C251" s="27">
        <v>175.03570999999999</v>
      </c>
      <c r="D251" s="19">
        <f t="shared" si="78"/>
        <v>37.026255723317114</v>
      </c>
      <c r="E251" s="19">
        <f t="shared" si="79"/>
        <v>-0.45555209982955902</v>
      </c>
      <c r="F251" s="19">
        <f t="shared" si="80"/>
        <v>0.28055320044155874</v>
      </c>
      <c r="G251" s="19">
        <f t="shared" si="81"/>
        <v>0.28055320044155874</v>
      </c>
      <c r="H251" s="19">
        <f t="shared" si="82"/>
        <v>0.28055320044155874</v>
      </c>
      <c r="I251" s="17"/>
      <c r="J251" s="19">
        <f t="shared" si="83"/>
        <v>33.514283987671796</v>
      </c>
      <c r="K251" s="19">
        <f t="shared" si="84"/>
        <v>0.41762331447089168</v>
      </c>
      <c r="L251" s="19">
        <f t="shared" si="85"/>
        <v>0.67443426536290696</v>
      </c>
      <c r="M251" s="19">
        <f t="shared" si="86"/>
        <v>0.67443426536290696</v>
      </c>
      <c r="N251" s="19">
        <f t="shared" si="87"/>
        <v>0.67443426536290696</v>
      </c>
      <c r="O251" s="17"/>
      <c r="P251" s="19">
        <f t="shared" si="77"/>
        <v>45.83403564461215</v>
      </c>
      <c r="Q251" s="19">
        <f t="shared" si="92"/>
        <v>146.37223521934814</v>
      </c>
      <c r="R251" s="19">
        <f t="shared" si="93"/>
        <v>0</v>
      </c>
      <c r="S251" s="19">
        <f t="shared" si="94"/>
        <v>0</v>
      </c>
      <c r="T251" s="19">
        <f t="shared" si="95"/>
        <v>0</v>
      </c>
      <c r="U251" s="17"/>
      <c r="V251" s="19">
        <f t="shared" si="88"/>
        <v>192.2062708639603</v>
      </c>
      <c r="W251" s="17"/>
      <c r="X251" s="19">
        <f t="shared" si="89"/>
        <v>294.82816038296522</v>
      </c>
      <c r="Y251" s="19">
        <f t="shared" si="90"/>
        <v>17.170560863960304</v>
      </c>
      <c r="Z251" s="19"/>
      <c r="AA251" s="19">
        <f t="shared" si="91"/>
        <v>1.1159115527315456E-4</v>
      </c>
    </row>
    <row r="252" spans="2:27" x14ac:dyDescent="0.35">
      <c r="B252" s="27">
        <v>21.4</v>
      </c>
      <c r="C252" s="27">
        <v>173.28570999999999</v>
      </c>
      <c r="D252" s="19">
        <f t="shared" si="78"/>
        <v>37.1667550617396</v>
      </c>
      <c r="E252" s="19">
        <f t="shared" si="79"/>
        <v>-0.4494271710024369</v>
      </c>
      <c r="F252" s="19">
        <f t="shared" si="80"/>
        <v>0.29166431155266936</v>
      </c>
      <c r="G252" s="19">
        <f t="shared" si="81"/>
        <v>0.29166431155266936</v>
      </c>
      <c r="H252" s="19">
        <f t="shared" si="82"/>
        <v>0.29166431155266936</v>
      </c>
      <c r="I252" s="17"/>
      <c r="J252" s="19">
        <f t="shared" si="83"/>
        <v>33.650720591567087</v>
      </c>
      <c r="K252" s="19">
        <f t="shared" si="84"/>
        <v>0.41943043180590417</v>
      </c>
      <c r="L252" s="19">
        <f t="shared" si="85"/>
        <v>0.67891849985252428</v>
      </c>
      <c r="M252" s="19">
        <f t="shared" si="86"/>
        <v>0.67891849985252428</v>
      </c>
      <c r="N252" s="19">
        <f t="shared" si="87"/>
        <v>0.67891849985252428</v>
      </c>
      <c r="O252" s="17"/>
      <c r="P252" s="19">
        <f t="shared" si="77"/>
        <v>45.468462884365884</v>
      </c>
      <c r="Q252" s="19">
        <f t="shared" si="92"/>
        <v>145.55604221171106</v>
      </c>
      <c r="R252" s="19">
        <f t="shared" si="93"/>
        <v>0</v>
      </c>
      <c r="S252" s="19">
        <f t="shared" si="94"/>
        <v>0</v>
      </c>
      <c r="T252" s="19">
        <f t="shared" si="95"/>
        <v>0</v>
      </c>
      <c r="U252" s="17"/>
      <c r="V252" s="19">
        <f t="shared" si="88"/>
        <v>191.02450509607695</v>
      </c>
      <c r="W252" s="17"/>
      <c r="X252" s="19">
        <f t="shared" si="89"/>
        <v>314.66485146060387</v>
      </c>
      <c r="Y252" s="19">
        <f t="shared" si="90"/>
        <v>17.738795096076956</v>
      </c>
      <c r="Z252" s="19"/>
      <c r="AA252" s="19">
        <f t="shared" si="91"/>
        <v>1.1528409896497908E-4</v>
      </c>
    </row>
    <row r="253" spans="2:27" x14ac:dyDescent="0.35">
      <c r="B253" s="27">
        <v>21.5</v>
      </c>
      <c r="C253" s="27">
        <v>176.28570999999999</v>
      </c>
      <c r="D253" s="19">
        <f t="shared" si="78"/>
        <v>37.307254400162094</v>
      </c>
      <c r="E253" s="19">
        <f t="shared" si="79"/>
        <v>-0.44330224217531433</v>
      </c>
      <c r="F253" s="19">
        <f t="shared" si="80"/>
        <v>0.30277542266378044</v>
      </c>
      <c r="G253" s="19">
        <f t="shared" si="81"/>
        <v>0.30277542266378044</v>
      </c>
      <c r="H253" s="19">
        <f t="shared" si="82"/>
        <v>0.30277542266378044</v>
      </c>
      <c r="I253" s="17"/>
      <c r="J253" s="19">
        <f t="shared" si="83"/>
        <v>33.787173161948573</v>
      </c>
      <c r="K253" s="19">
        <f t="shared" si="84"/>
        <v>0.42124305112411281</v>
      </c>
      <c r="L253" s="19">
        <f t="shared" si="85"/>
        <v>0.683420445332375</v>
      </c>
      <c r="M253" s="19">
        <f t="shared" si="86"/>
        <v>0.683420445332375</v>
      </c>
      <c r="N253" s="19">
        <f t="shared" si="87"/>
        <v>0.683420445332375</v>
      </c>
      <c r="O253" s="17"/>
      <c r="P253" s="19">
        <f t="shared" si="77"/>
        <v>45.107204752168009</v>
      </c>
      <c r="Q253" s="19">
        <f t="shared" si="92"/>
        <v>144.7448710653766</v>
      </c>
      <c r="R253" s="19">
        <f t="shared" si="93"/>
        <v>0</v>
      </c>
      <c r="S253" s="19">
        <f t="shared" si="94"/>
        <v>0</v>
      </c>
      <c r="T253" s="19">
        <f t="shared" si="95"/>
        <v>0</v>
      </c>
      <c r="U253" s="17"/>
      <c r="V253" s="19">
        <f t="shared" si="88"/>
        <v>189.8520758175446</v>
      </c>
      <c r="W253" s="17"/>
      <c r="X253" s="19">
        <f t="shared" si="89"/>
        <v>184.04628149544277</v>
      </c>
      <c r="Y253" s="19">
        <f t="shared" si="90"/>
        <v>13.566365817544607</v>
      </c>
      <c r="Z253" s="19"/>
      <c r="AA253" s="19">
        <f t="shared" si="91"/>
        <v>8.816755879043932E-5</v>
      </c>
    </row>
    <row r="254" spans="2:27" x14ac:dyDescent="0.35">
      <c r="B254" s="27">
        <v>21.6</v>
      </c>
      <c r="C254" s="27">
        <v>182.03570999999999</v>
      </c>
      <c r="D254" s="19">
        <f t="shared" si="78"/>
        <v>37.447753738584588</v>
      </c>
      <c r="E254" s="19">
        <f t="shared" si="79"/>
        <v>-0.43717731334819221</v>
      </c>
      <c r="F254" s="19">
        <f t="shared" si="80"/>
        <v>0.31388653377489151</v>
      </c>
      <c r="G254" s="19">
        <f t="shared" si="81"/>
        <v>0.31388653377489151</v>
      </c>
      <c r="H254" s="19">
        <f t="shared" si="82"/>
        <v>0.31388653377489151</v>
      </c>
      <c r="I254" s="17"/>
      <c r="J254" s="19">
        <f t="shared" si="83"/>
        <v>33.923641575650599</v>
      </c>
      <c r="K254" s="19">
        <f t="shared" si="84"/>
        <v>0.42306117508769298</v>
      </c>
      <c r="L254" s="19">
        <f t="shared" si="85"/>
        <v>0.68794007659268386</v>
      </c>
      <c r="M254" s="19">
        <f t="shared" si="86"/>
        <v>0.68794007659268386</v>
      </c>
      <c r="N254" s="19">
        <f t="shared" si="87"/>
        <v>0.68794007659268386</v>
      </c>
      <c r="O254" s="17"/>
      <c r="P254" s="19">
        <f t="shared" si="77"/>
        <v>44.750194104940718</v>
      </c>
      <c r="Q254" s="19">
        <f t="shared" si="92"/>
        <v>143.93869018374886</v>
      </c>
      <c r="R254" s="19">
        <f t="shared" si="93"/>
        <v>0</v>
      </c>
      <c r="S254" s="19">
        <f t="shared" si="94"/>
        <v>0</v>
      </c>
      <c r="T254" s="19">
        <f t="shared" si="95"/>
        <v>0</v>
      </c>
      <c r="U254" s="17"/>
      <c r="V254" s="19">
        <f t="shared" si="88"/>
        <v>188.68888428868956</v>
      </c>
      <c r="W254" s="17"/>
      <c r="X254" s="19">
        <f t="shared" si="89"/>
        <v>44.264728115679965</v>
      </c>
      <c r="Y254" s="19">
        <f t="shared" si="90"/>
        <v>6.6531742886895699</v>
      </c>
      <c r="Z254" s="19"/>
      <c r="AA254" s="19">
        <f t="shared" si="91"/>
        <v>4.3238855794561296E-5</v>
      </c>
    </row>
    <row r="255" spans="2:27" x14ac:dyDescent="0.35">
      <c r="B255" s="27">
        <v>21.7</v>
      </c>
      <c r="C255" s="27">
        <v>190.28570999999999</v>
      </c>
      <c r="D255" s="19">
        <f t="shared" si="78"/>
        <v>37.588253077007074</v>
      </c>
      <c r="E255" s="19">
        <f t="shared" si="79"/>
        <v>-0.43105238452106986</v>
      </c>
      <c r="F255" s="19">
        <f t="shared" si="80"/>
        <v>0.32499764488600258</v>
      </c>
      <c r="G255" s="19">
        <f t="shared" si="81"/>
        <v>0.32499764488600258</v>
      </c>
      <c r="H255" s="19">
        <f t="shared" si="82"/>
        <v>0.32499764488600258</v>
      </c>
      <c r="I255" s="17"/>
      <c r="J255" s="19">
        <f t="shared" si="83"/>
        <v>34.06012571091285</v>
      </c>
      <c r="K255" s="19">
        <f t="shared" si="84"/>
        <v>0.42488480629275821</v>
      </c>
      <c r="L255" s="19">
        <f t="shared" si="85"/>
        <v>0.69247736797101112</v>
      </c>
      <c r="M255" s="19">
        <f t="shared" si="86"/>
        <v>0.69247736797101112</v>
      </c>
      <c r="N255" s="19">
        <f t="shared" si="87"/>
        <v>0.69247736797101112</v>
      </c>
      <c r="O255" s="17"/>
      <c r="P255" s="19">
        <f t="shared" si="77"/>
        <v>44.39736509306254</v>
      </c>
      <c r="Q255" s="19">
        <f t="shared" si="92"/>
        <v>143.13746816366614</v>
      </c>
      <c r="R255" s="19">
        <f t="shared" si="93"/>
        <v>0</v>
      </c>
      <c r="S255" s="19">
        <f t="shared" si="94"/>
        <v>0</v>
      </c>
      <c r="T255" s="19">
        <f t="shared" si="95"/>
        <v>0</v>
      </c>
      <c r="U255" s="17"/>
      <c r="V255" s="19">
        <f t="shared" si="88"/>
        <v>187.53483325672869</v>
      </c>
      <c r="W255" s="17"/>
      <c r="X255" s="19">
        <f t="shared" si="89"/>
        <v>7.5673228566709456</v>
      </c>
      <c r="Y255" s="19">
        <f t="shared" si="90"/>
        <v>2.7508767432713057</v>
      </c>
      <c r="Z255" s="19"/>
      <c r="AA255" s="19">
        <f t="shared" si="91"/>
        <v>1.7877896722640666E-5</v>
      </c>
    </row>
    <row r="256" spans="2:27" x14ac:dyDescent="0.35">
      <c r="B256" s="27">
        <v>21.8</v>
      </c>
      <c r="C256" s="27">
        <v>184.28570999999999</v>
      </c>
      <c r="D256" s="19">
        <f t="shared" si="78"/>
        <v>37.728752415429568</v>
      </c>
      <c r="E256" s="19">
        <f t="shared" si="79"/>
        <v>-0.42492745569394752</v>
      </c>
      <c r="F256" s="19">
        <f t="shared" si="80"/>
        <v>0.33610875599711409</v>
      </c>
      <c r="G256" s="19">
        <f t="shared" si="81"/>
        <v>0.33610875599711409</v>
      </c>
      <c r="H256" s="19">
        <f t="shared" si="82"/>
        <v>0.33610875599711409</v>
      </c>
      <c r="I256" s="17"/>
      <c r="J256" s="19">
        <f t="shared" si="83"/>
        <v>34.196625447359175</v>
      </c>
      <c r="K256" s="19">
        <f t="shared" si="84"/>
        <v>0.42671394726939643</v>
      </c>
      <c r="L256" s="19">
        <f t="shared" si="85"/>
        <v>0.69703229335800621</v>
      </c>
      <c r="M256" s="19">
        <f t="shared" si="86"/>
        <v>0.69703229335800621</v>
      </c>
      <c r="N256" s="19">
        <f t="shared" si="87"/>
        <v>0.69703229335800621</v>
      </c>
      <c r="O256" s="17"/>
      <c r="P256" s="19">
        <f t="shared" si="77"/>
        <v>44.04865313072775</v>
      </c>
      <c r="Q256" s="19">
        <f t="shared" si="92"/>
        <v>142.34117379427195</v>
      </c>
      <c r="R256" s="19">
        <f t="shared" si="93"/>
        <v>0</v>
      </c>
      <c r="S256" s="19">
        <f t="shared" si="94"/>
        <v>0</v>
      </c>
      <c r="T256" s="19">
        <f t="shared" si="95"/>
        <v>0</v>
      </c>
      <c r="U256" s="17"/>
      <c r="V256" s="19">
        <f t="shared" si="88"/>
        <v>186.38982692499971</v>
      </c>
      <c r="W256" s="17"/>
      <c r="X256" s="19">
        <f t="shared" si="89"/>
        <v>4.4273080340702577</v>
      </c>
      <c r="Y256" s="19">
        <f t="shared" si="90"/>
        <v>2.1041169249997154</v>
      </c>
      <c r="Z256" s="19"/>
      <c r="AA256" s="19">
        <f t="shared" si="91"/>
        <v>1.3674616708842912E-5</v>
      </c>
    </row>
    <row r="257" spans="2:27" x14ac:dyDescent="0.35">
      <c r="B257" s="27">
        <v>21.9</v>
      </c>
      <c r="C257" s="27">
        <v>166.28570999999999</v>
      </c>
      <c r="D257" s="19">
        <f t="shared" si="78"/>
        <v>37.869251753852055</v>
      </c>
      <c r="E257" s="19">
        <f t="shared" si="79"/>
        <v>-0.4188025268668254</v>
      </c>
      <c r="F257" s="19">
        <f t="shared" si="80"/>
        <v>0.34721986710822472</v>
      </c>
      <c r="G257" s="19">
        <f t="shared" si="81"/>
        <v>0.34721986710822472</v>
      </c>
      <c r="H257" s="19">
        <f t="shared" si="82"/>
        <v>0.34721986710822472</v>
      </c>
      <c r="I257" s="17"/>
      <c r="J257" s="19">
        <f t="shared" si="83"/>
        <v>34.333140665976849</v>
      </c>
      <c r="K257" s="19">
        <f t="shared" si="84"/>
        <v>0.42854860048171134</v>
      </c>
      <c r="L257" s="19">
        <f t="shared" si="85"/>
        <v>0.70160482620317521</v>
      </c>
      <c r="M257" s="19">
        <f t="shared" si="86"/>
        <v>0.70160482620317521</v>
      </c>
      <c r="N257" s="19">
        <f t="shared" si="87"/>
        <v>0.70160482620317521</v>
      </c>
      <c r="O257" s="17"/>
      <c r="P257" s="19">
        <f t="shared" si="77"/>
        <v>43.703994867091787</v>
      </c>
      <c r="Q257" s="19">
        <f t="shared" si="92"/>
        <v>141.54977605589195</v>
      </c>
      <c r="R257" s="19">
        <f t="shared" si="93"/>
        <v>0</v>
      </c>
      <c r="S257" s="19">
        <f t="shared" si="94"/>
        <v>0</v>
      </c>
      <c r="T257" s="19">
        <f t="shared" si="95"/>
        <v>0</v>
      </c>
      <c r="U257" s="17"/>
      <c r="V257" s="19">
        <f t="shared" si="88"/>
        <v>185.25377092298373</v>
      </c>
      <c r="W257" s="17"/>
      <c r="X257" s="19">
        <f t="shared" si="89"/>
        <v>359.78733517802272</v>
      </c>
      <c r="Y257" s="19">
        <f t="shared" si="90"/>
        <v>18.968060922983739</v>
      </c>
      <c r="Z257" s="19"/>
      <c r="AA257" s="19">
        <f t="shared" si="91"/>
        <v>1.232730746804001E-4</v>
      </c>
    </row>
    <row r="258" spans="2:27" x14ac:dyDescent="0.35">
      <c r="B258" s="27">
        <v>22</v>
      </c>
      <c r="C258" s="27">
        <v>176.53570999999999</v>
      </c>
      <c r="D258" s="19">
        <f t="shared" si="78"/>
        <v>38.009751092274549</v>
      </c>
      <c r="E258" s="19">
        <f t="shared" si="79"/>
        <v>-0.41267759803970305</v>
      </c>
      <c r="F258" s="19">
        <f t="shared" si="80"/>
        <v>0.35833097821933624</v>
      </c>
      <c r="G258" s="19">
        <f t="shared" si="81"/>
        <v>0.35833097821933624</v>
      </c>
      <c r="H258" s="19">
        <f t="shared" si="82"/>
        <v>0.35833097821933624</v>
      </c>
      <c r="I258" s="17"/>
      <c r="J258" s="19">
        <f t="shared" si="83"/>
        <v>34.469671249096265</v>
      </c>
      <c r="K258" s="19">
        <f t="shared" si="84"/>
        <v>0.43038876832786654</v>
      </c>
      <c r="L258" s="19">
        <f t="shared" si="85"/>
        <v>0.70619493952065804</v>
      </c>
      <c r="M258" s="19">
        <f t="shared" si="86"/>
        <v>0.70619493952065804</v>
      </c>
      <c r="N258" s="19">
        <f t="shared" si="87"/>
        <v>0.70619493952065804</v>
      </c>
      <c r="O258" s="17"/>
      <c r="P258" s="19">
        <f t="shared" si="77"/>
        <v>43.36332815817893</v>
      </c>
      <c r="Q258" s="19">
        <f t="shared" si="92"/>
        <v>140.76324411891792</v>
      </c>
      <c r="R258" s="19">
        <f t="shared" si="93"/>
        <v>0</v>
      </c>
      <c r="S258" s="19">
        <f t="shared" si="94"/>
        <v>0</v>
      </c>
      <c r="T258" s="19">
        <f t="shared" si="95"/>
        <v>0</v>
      </c>
      <c r="U258" s="17"/>
      <c r="V258" s="19">
        <f t="shared" si="88"/>
        <v>184.12657227709684</v>
      </c>
      <c r="W258" s="17"/>
      <c r="X258" s="19">
        <f t="shared" si="89"/>
        <v>57.621190109851916</v>
      </c>
      <c r="Y258" s="19">
        <f t="shared" si="90"/>
        <v>7.5908622770968464</v>
      </c>
      <c r="Z258" s="19"/>
      <c r="AA258" s="19">
        <f t="shared" si="91"/>
        <v>4.9332872567872111E-5</v>
      </c>
    </row>
    <row r="259" spans="2:27" x14ac:dyDescent="0.35">
      <c r="B259" s="27">
        <v>22.1</v>
      </c>
      <c r="C259" s="27">
        <v>176.53570999999999</v>
      </c>
      <c r="D259" s="19">
        <f t="shared" si="78"/>
        <v>38.150250430697042</v>
      </c>
      <c r="E259" s="19">
        <f t="shared" si="79"/>
        <v>-0.40655266921258071</v>
      </c>
      <c r="F259" s="19">
        <f t="shared" si="80"/>
        <v>0.36944208933044775</v>
      </c>
      <c r="G259" s="19">
        <f t="shared" si="81"/>
        <v>0.36944208933044775</v>
      </c>
      <c r="H259" s="19">
        <f t="shared" si="82"/>
        <v>0.36944208933044775</v>
      </c>
      <c r="I259" s="17"/>
      <c r="J259" s="19">
        <f t="shared" si="83"/>
        <v>34.60621708037089</v>
      </c>
      <c r="K259" s="19">
        <f t="shared" si="84"/>
        <v>0.43223445314013403</v>
      </c>
      <c r="L259" s="19">
        <f t="shared" si="85"/>
        <v>0.71080260589501121</v>
      </c>
      <c r="M259" s="19">
        <f t="shared" si="86"/>
        <v>0.71080260589501121</v>
      </c>
      <c r="N259" s="19">
        <f t="shared" si="87"/>
        <v>0.71080260589501121</v>
      </c>
      <c r="O259" s="17"/>
      <c r="P259" s="19">
        <f t="shared" si="77"/>
        <v>43.026592039530001</v>
      </c>
      <c r="Q259" s="19">
        <f t="shared" si="92"/>
        <v>139.98154734269789</v>
      </c>
      <c r="R259" s="19">
        <f t="shared" si="93"/>
        <v>0</v>
      </c>
      <c r="S259" s="19">
        <f t="shared" si="94"/>
        <v>0</v>
      </c>
      <c r="T259" s="19">
        <f t="shared" si="95"/>
        <v>0</v>
      </c>
      <c r="U259" s="17"/>
      <c r="V259" s="19">
        <f t="shared" si="88"/>
        <v>183.00813938222791</v>
      </c>
      <c r="W259" s="17"/>
      <c r="X259" s="19">
        <f t="shared" si="89"/>
        <v>41.892342107927227</v>
      </c>
      <c r="Y259" s="19">
        <f t="shared" si="90"/>
        <v>6.4724293822279151</v>
      </c>
      <c r="Z259" s="19"/>
      <c r="AA259" s="19">
        <f t="shared" si="91"/>
        <v>4.2064198013630648E-5</v>
      </c>
    </row>
    <row r="260" spans="2:27" x14ac:dyDescent="0.35">
      <c r="B260" s="27">
        <v>22.2</v>
      </c>
      <c r="C260" s="27">
        <v>167.03570999999999</v>
      </c>
      <c r="D260" s="19">
        <f t="shared" si="78"/>
        <v>38.290749769119529</v>
      </c>
      <c r="E260" s="19">
        <f t="shared" si="79"/>
        <v>-0.40042774038545859</v>
      </c>
      <c r="F260" s="19">
        <f t="shared" si="80"/>
        <v>0.38055320044155838</v>
      </c>
      <c r="G260" s="19">
        <f t="shared" si="81"/>
        <v>0.38055320044155838</v>
      </c>
      <c r="H260" s="19">
        <f t="shared" si="82"/>
        <v>0.38055320044155838</v>
      </c>
      <c r="I260" s="17"/>
      <c r="J260" s="19">
        <f t="shared" si="83"/>
        <v>34.742778044757692</v>
      </c>
      <c r="K260" s="19">
        <f t="shared" si="84"/>
        <v>0.43408565718494579</v>
      </c>
      <c r="L260" s="19">
        <f t="shared" si="85"/>
        <v>0.71542779748699992</v>
      </c>
      <c r="M260" s="19">
        <f t="shared" si="86"/>
        <v>0.71542779748699992</v>
      </c>
      <c r="N260" s="19">
        <f t="shared" si="87"/>
        <v>0.71542779748699992</v>
      </c>
      <c r="O260" s="17"/>
      <c r="P260" s="19">
        <f t="shared" si="77"/>
        <v>42.693726699567137</v>
      </c>
      <c r="Q260" s="19">
        <f t="shared" si="92"/>
        <v>139.20465527443329</v>
      </c>
      <c r="R260" s="19">
        <f t="shared" si="93"/>
        <v>0</v>
      </c>
      <c r="S260" s="19">
        <f t="shared" si="94"/>
        <v>0</v>
      </c>
      <c r="T260" s="19">
        <f t="shared" si="95"/>
        <v>0</v>
      </c>
      <c r="U260" s="17"/>
      <c r="V260" s="19">
        <f t="shared" si="88"/>
        <v>181.89838197400042</v>
      </c>
      <c r="W260" s="17"/>
      <c r="X260" s="19">
        <f t="shared" si="89"/>
        <v>220.89901820673757</v>
      </c>
      <c r="Y260" s="19">
        <f t="shared" si="90"/>
        <v>14.862671974000421</v>
      </c>
      <c r="Z260" s="19"/>
      <c r="AA260" s="19">
        <f t="shared" si="91"/>
        <v>9.659222835905134E-5</v>
      </c>
    </row>
    <row r="261" spans="2:27" x14ac:dyDescent="0.35">
      <c r="B261" s="27">
        <v>22.3</v>
      </c>
      <c r="C261" s="27">
        <v>182.03570999999999</v>
      </c>
      <c r="D261" s="19">
        <f t="shared" si="78"/>
        <v>38.431249107542023</v>
      </c>
      <c r="E261" s="19">
        <f t="shared" si="79"/>
        <v>-0.39430281155833624</v>
      </c>
      <c r="F261" s="19">
        <f t="shared" si="80"/>
        <v>0.39166431155266945</v>
      </c>
      <c r="G261" s="19">
        <f t="shared" si="81"/>
        <v>0.39166431155266945</v>
      </c>
      <c r="H261" s="19">
        <f t="shared" si="82"/>
        <v>0.39166431155266945</v>
      </c>
      <c r="I261" s="17"/>
      <c r="J261" s="19">
        <f t="shared" si="83"/>
        <v>34.879354028497914</v>
      </c>
      <c r="K261" s="19">
        <f t="shared" si="84"/>
        <v>0.43594238266294921</v>
      </c>
      <c r="L261" s="19">
        <f t="shared" si="85"/>
        <v>0.72007048603939439</v>
      </c>
      <c r="M261" s="19">
        <f t="shared" si="86"/>
        <v>0.72007048603939439</v>
      </c>
      <c r="N261" s="19">
        <f t="shared" si="87"/>
        <v>0.72007048603939439</v>
      </c>
      <c r="O261" s="17"/>
      <c r="P261" s="19">
        <f t="shared" si="77"/>
        <v>42.364673453654923</v>
      </c>
      <c r="Q261" s="19">
        <f t="shared" si="92"/>
        <v>138.43253764808225</v>
      </c>
      <c r="R261" s="19">
        <f t="shared" si="93"/>
        <v>0</v>
      </c>
      <c r="S261" s="19">
        <f t="shared" si="94"/>
        <v>0</v>
      </c>
      <c r="T261" s="19">
        <f t="shared" si="95"/>
        <v>0</v>
      </c>
      <c r="U261" s="17"/>
      <c r="V261" s="19">
        <f t="shared" si="88"/>
        <v>180.79721110173716</v>
      </c>
      <c r="W261" s="17"/>
      <c r="X261" s="19">
        <f t="shared" si="89"/>
        <v>1.533879520998251</v>
      </c>
      <c r="Y261" s="19">
        <f t="shared" si="90"/>
        <v>1.2384988982628329</v>
      </c>
      <c r="Z261" s="19"/>
      <c r="AA261" s="19">
        <f t="shared" si="91"/>
        <v>8.0489812742087817E-6</v>
      </c>
    </row>
    <row r="262" spans="2:27" x14ac:dyDescent="0.35">
      <c r="B262" s="27">
        <v>22.4</v>
      </c>
      <c r="C262" s="27">
        <v>156.78570999999999</v>
      </c>
      <c r="D262" s="19">
        <f t="shared" si="78"/>
        <v>38.571748445964509</v>
      </c>
      <c r="E262" s="19">
        <f t="shared" si="79"/>
        <v>-0.38817788273121412</v>
      </c>
      <c r="F262" s="19">
        <f t="shared" si="80"/>
        <v>0.40277542266378008</v>
      </c>
      <c r="G262" s="19">
        <f t="shared" si="81"/>
        <v>0.40277542266378008</v>
      </c>
      <c r="H262" s="19">
        <f t="shared" si="82"/>
        <v>0.40277542266378008</v>
      </c>
      <c r="I262" s="17"/>
      <c r="J262" s="19">
        <f t="shared" si="83"/>
        <v>35.015944919098111</v>
      </c>
      <c r="K262" s="19">
        <f t="shared" si="84"/>
        <v>0.43780463170906542</v>
      </c>
      <c r="L262" s="19">
        <f t="shared" si="85"/>
        <v>0.72473064288276878</v>
      </c>
      <c r="M262" s="19">
        <f t="shared" si="86"/>
        <v>0.72473064288276878</v>
      </c>
      <c r="N262" s="19">
        <f t="shared" si="87"/>
        <v>0.72473064288276878</v>
      </c>
      <c r="O262" s="17"/>
      <c r="P262" s="19">
        <f t="shared" si="77"/>
        <v>42.039374718837209</v>
      </c>
      <c r="Q262" s="19">
        <f t="shared" si="92"/>
        <v>137.66516438326963</v>
      </c>
      <c r="R262" s="19">
        <f t="shared" si="93"/>
        <v>0</v>
      </c>
      <c r="S262" s="19">
        <f t="shared" si="94"/>
        <v>0</v>
      </c>
      <c r="T262" s="19">
        <f t="shared" si="95"/>
        <v>0</v>
      </c>
      <c r="U262" s="17"/>
      <c r="V262" s="19">
        <f t="shared" si="88"/>
        <v>179.70453910210682</v>
      </c>
      <c r="W262" s="17"/>
      <c r="X262" s="19">
        <f t="shared" si="89"/>
        <v>525.27272741157878</v>
      </c>
      <c r="Y262" s="19">
        <f t="shared" si="90"/>
        <v>22.918829102106827</v>
      </c>
      <c r="Z262" s="19"/>
      <c r="AA262" s="19">
        <f t="shared" si="91"/>
        <v>1.4894904349805921E-4</v>
      </c>
    </row>
    <row r="263" spans="2:27" x14ac:dyDescent="0.35">
      <c r="B263" s="27">
        <v>22.5</v>
      </c>
      <c r="C263" s="27">
        <v>181.53570999999999</v>
      </c>
      <c r="D263" s="19">
        <f t="shared" si="78"/>
        <v>38.712247784387003</v>
      </c>
      <c r="E263" s="19">
        <f t="shared" si="79"/>
        <v>-0.38205295390409177</v>
      </c>
      <c r="F263" s="19">
        <f t="shared" si="80"/>
        <v>0.4138865337748916</v>
      </c>
      <c r="G263" s="19">
        <f t="shared" si="81"/>
        <v>0.4138865337748916</v>
      </c>
      <c r="H263" s="19">
        <f t="shared" si="82"/>
        <v>0.4138865337748916</v>
      </c>
      <c r="I263" s="17"/>
      <c r="J263" s="19">
        <f t="shared" si="83"/>
        <v>35.152550605311674</v>
      </c>
      <c r="K263" s="19">
        <f t="shared" si="84"/>
        <v>0.43967240639255273</v>
      </c>
      <c r="L263" s="19">
        <f t="shared" si="85"/>
        <v>0.72940823894130302</v>
      </c>
      <c r="M263" s="19">
        <f t="shared" si="86"/>
        <v>0.72940823894130302</v>
      </c>
      <c r="N263" s="19">
        <f t="shared" si="87"/>
        <v>0.72940823894130302</v>
      </c>
      <c r="O263" s="17"/>
      <c r="P263" s="19">
        <f t="shared" si="77"/>
        <v>41.71777398922903</v>
      </c>
      <c r="Q263" s="19">
        <f t="shared" si="92"/>
        <v>136.90250558420286</v>
      </c>
      <c r="R263" s="19">
        <f t="shared" si="93"/>
        <v>0</v>
      </c>
      <c r="S263" s="19">
        <f t="shared" si="94"/>
        <v>0</v>
      </c>
      <c r="T263" s="19">
        <f t="shared" si="95"/>
        <v>0</v>
      </c>
      <c r="U263" s="17"/>
      <c r="V263" s="19">
        <f t="shared" si="88"/>
        <v>178.6202795734319</v>
      </c>
      <c r="W263" s="17"/>
      <c r="X263" s="19">
        <f t="shared" si="89"/>
        <v>8.4997345721590154</v>
      </c>
      <c r="Y263" s="19">
        <f t="shared" si="90"/>
        <v>2.9154304265680935</v>
      </c>
      <c r="Z263" s="19"/>
      <c r="AA263" s="19">
        <f t="shared" si="91"/>
        <v>1.8947328045765547E-5</v>
      </c>
    </row>
    <row r="264" spans="2:27" x14ac:dyDescent="0.35">
      <c r="B264" s="27">
        <v>22.6</v>
      </c>
      <c r="C264" s="27">
        <v>176.03570999999999</v>
      </c>
      <c r="D264" s="19">
        <f t="shared" si="78"/>
        <v>38.852747122809497</v>
      </c>
      <c r="E264" s="19">
        <f t="shared" si="79"/>
        <v>-0.37592802507696943</v>
      </c>
      <c r="F264" s="19">
        <f t="shared" si="80"/>
        <v>0.42499764488600311</v>
      </c>
      <c r="G264" s="19">
        <f t="shared" si="81"/>
        <v>0.42499764488600311</v>
      </c>
      <c r="H264" s="19">
        <f t="shared" si="82"/>
        <v>0.42499764488600311</v>
      </c>
      <c r="I264" s="17"/>
      <c r="J264" s="19">
        <f t="shared" si="83"/>
        <v>35.289170977120541</v>
      </c>
      <c r="K264" s="19">
        <f t="shared" si="84"/>
        <v>0.44154570871707183</v>
      </c>
      <c r="L264" s="19">
        <f t="shared" si="85"/>
        <v>0.73410324473858313</v>
      </c>
      <c r="M264" s="19">
        <f t="shared" si="86"/>
        <v>0.73410324473858313</v>
      </c>
      <c r="N264" s="19">
        <f t="shared" si="87"/>
        <v>0.73410324473858313</v>
      </c>
      <c r="O264" s="17"/>
      <c r="P264" s="19">
        <f t="shared" si="77"/>
        <v>41.399815812045382</v>
      </c>
      <c r="Q264" s="19">
        <f t="shared" si="92"/>
        <v>136.14453153859495</v>
      </c>
      <c r="R264" s="19">
        <f t="shared" si="93"/>
        <v>0</v>
      </c>
      <c r="S264" s="19">
        <f t="shared" si="94"/>
        <v>0</v>
      </c>
      <c r="T264" s="19">
        <f t="shared" si="95"/>
        <v>0</v>
      </c>
      <c r="U264" s="17"/>
      <c r="V264" s="19">
        <f t="shared" si="88"/>
        <v>177.54434735064032</v>
      </c>
      <c r="W264" s="17"/>
      <c r="X264" s="19">
        <f t="shared" si="89"/>
        <v>2.2759866557470669</v>
      </c>
      <c r="Y264" s="19">
        <f t="shared" si="90"/>
        <v>1.5086373506403277</v>
      </c>
      <c r="Z264" s="19"/>
      <c r="AA264" s="19">
        <f t="shared" si="91"/>
        <v>9.8046060451956662E-6</v>
      </c>
    </row>
    <row r="265" spans="2:27" x14ac:dyDescent="0.35">
      <c r="B265" s="27">
        <v>22.7</v>
      </c>
      <c r="C265" s="27">
        <v>176.03570999999999</v>
      </c>
      <c r="D265" s="19">
        <f t="shared" si="78"/>
        <v>38.993246461231983</v>
      </c>
      <c r="E265" s="19">
        <f t="shared" si="79"/>
        <v>-0.36980309624984731</v>
      </c>
      <c r="F265" s="19">
        <f t="shared" si="80"/>
        <v>0.43610875599711374</v>
      </c>
      <c r="G265" s="19">
        <f t="shared" si="81"/>
        <v>0.43610875599711374</v>
      </c>
      <c r="H265" s="19">
        <f t="shared" si="82"/>
        <v>0.43610875599711374</v>
      </c>
      <c r="I265" s="17"/>
      <c r="J265" s="19">
        <f t="shared" si="83"/>
        <v>35.425805925717341</v>
      </c>
      <c r="K265" s="19">
        <f t="shared" si="84"/>
        <v>0.4434245406207552</v>
      </c>
      <c r="L265" s="19">
        <f t="shared" si="85"/>
        <v>0.73881563040340326</v>
      </c>
      <c r="M265" s="19">
        <f t="shared" si="86"/>
        <v>0.73881563040340326</v>
      </c>
      <c r="N265" s="19">
        <f t="shared" si="87"/>
        <v>0.73881563040340326</v>
      </c>
      <c r="O265" s="17"/>
      <c r="P265" s="19">
        <f t="shared" si="77"/>
        <v>41.085445764247112</v>
      </c>
      <c r="Q265" s="19">
        <f t="shared" si="92"/>
        <v>135.39121271659326</v>
      </c>
      <c r="R265" s="19">
        <f t="shared" si="93"/>
        <v>0</v>
      </c>
      <c r="S265" s="19">
        <f t="shared" si="94"/>
        <v>0</v>
      </c>
      <c r="T265" s="19">
        <f t="shared" si="95"/>
        <v>0</v>
      </c>
      <c r="U265" s="17"/>
      <c r="V265" s="19">
        <f t="shared" si="88"/>
        <v>176.47665848084037</v>
      </c>
      <c r="W265" s="17"/>
      <c r="X265" s="19">
        <f t="shared" si="89"/>
        <v>0.1944355627554355</v>
      </c>
      <c r="Y265" s="19">
        <f t="shared" si="90"/>
        <v>0.44094848084037608</v>
      </c>
      <c r="Z265" s="19"/>
      <c r="AA265" s="19">
        <f t="shared" si="91"/>
        <v>2.8657159648290558E-6</v>
      </c>
    </row>
    <row r="266" spans="2:27" x14ac:dyDescent="0.35">
      <c r="B266" s="27">
        <v>22.8</v>
      </c>
      <c r="C266" s="27">
        <v>178.53570999999999</v>
      </c>
      <c r="D266" s="19">
        <f t="shared" si="78"/>
        <v>39.133745799654477</v>
      </c>
      <c r="E266" s="19">
        <f t="shared" si="79"/>
        <v>-0.36367816742272474</v>
      </c>
      <c r="F266" s="19">
        <f t="shared" si="80"/>
        <v>0.44721986710822526</v>
      </c>
      <c r="G266" s="19">
        <f t="shared" si="81"/>
        <v>0.44721986710822526</v>
      </c>
      <c r="H266" s="19">
        <f t="shared" si="82"/>
        <v>0.44721986710822526</v>
      </c>
      <c r="I266" s="17"/>
      <c r="J266" s="19">
        <f t="shared" si="83"/>
        <v>35.562455343487862</v>
      </c>
      <c r="K266" s="19">
        <f t="shared" si="84"/>
        <v>0.44530890397628115</v>
      </c>
      <c r="L266" s="19">
        <f t="shared" si="85"/>
        <v>0.7435453656755644</v>
      </c>
      <c r="M266" s="19">
        <f t="shared" si="86"/>
        <v>0.7435453656755644</v>
      </c>
      <c r="N266" s="19">
        <f t="shared" si="87"/>
        <v>0.7435453656755644</v>
      </c>
      <c r="O266" s="17"/>
      <c r="P266" s="19">
        <f t="shared" si="77"/>
        <v>40.774610429786478</v>
      </c>
      <c r="Q266" s="19">
        <f t="shared" si="92"/>
        <v>134.64251976971445</v>
      </c>
      <c r="R266" s="19">
        <f t="shared" si="93"/>
        <v>0</v>
      </c>
      <c r="S266" s="19">
        <f t="shared" si="94"/>
        <v>0</v>
      </c>
      <c r="T266" s="19">
        <f t="shared" si="95"/>
        <v>0</v>
      </c>
      <c r="U266" s="17"/>
      <c r="V266" s="19">
        <f t="shared" si="88"/>
        <v>175.41713019950095</v>
      </c>
      <c r="W266" s="17"/>
      <c r="X266" s="19">
        <f t="shared" si="89"/>
        <v>9.7255399720806874</v>
      </c>
      <c r="Y266" s="19">
        <f t="shared" si="90"/>
        <v>3.1185798004990488</v>
      </c>
      <c r="Z266" s="19"/>
      <c r="AA266" s="19">
        <f t="shared" si="91"/>
        <v>2.0267592043522037E-5</v>
      </c>
    </row>
    <row r="267" spans="2:27" x14ac:dyDescent="0.35">
      <c r="B267" s="27">
        <v>22.9</v>
      </c>
      <c r="C267" s="27">
        <v>159.53570999999999</v>
      </c>
      <c r="D267" s="19">
        <f t="shared" si="78"/>
        <v>39.274245138076964</v>
      </c>
      <c r="E267" s="19">
        <f t="shared" si="79"/>
        <v>-0.35755323859560262</v>
      </c>
      <c r="F267" s="19">
        <f t="shared" si="80"/>
        <v>0.45833097821933588</v>
      </c>
      <c r="G267" s="19">
        <f t="shared" si="81"/>
        <v>0.45833097821933588</v>
      </c>
      <c r="H267" s="19">
        <f t="shared" si="82"/>
        <v>0.45833097821933588</v>
      </c>
      <c r="I267" s="17"/>
      <c r="J267" s="19">
        <f t="shared" si="83"/>
        <v>35.699119123993725</v>
      </c>
      <c r="K267" s="19">
        <f t="shared" si="84"/>
        <v>0.44719880059094869</v>
      </c>
      <c r="L267" s="19">
        <f t="shared" si="85"/>
        <v>0.74829241991166662</v>
      </c>
      <c r="M267" s="19">
        <f t="shared" si="86"/>
        <v>0.74829241991166662</v>
      </c>
      <c r="N267" s="19">
        <f t="shared" si="87"/>
        <v>0.74829241991166662</v>
      </c>
      <c r="O267" s="17"/>
      <c r="P267" s="19">
        <f t="shared" si="77"/>
        <v>40.467257377435075</v>
      </c>
      <c r="Q267" s="19">
        <f t="shared" si="92"/>
        <v>133.89842352978633</v>
      </c>
      <c r="R267" s="19">
        <f t="shared" si="93"/>
        <v>0</v>
      </c>
      <c r="S267" s="19">
        <f t="shared" si="94"/>
        <v>0</v>
      </c>
      <c r="T267" s="19">
        <f t="shared" si="95"/>
        <v>0</v>
      </c>
      <c r="U267" s="17"/>
      <c r="V267" s="19">
        <f t="shared" si="88"/>
        <v>174.36568090722142</v>
      </c>
      <c r="W267" s="17"/>
      <c r="X267" s="19">
        <f t="shared" si="89"/>
        <v>219.9280371090338</v>
      </c>
      <c r="Y267" s="19">
        <f t="shared" si="90"/>
        <v>14.829970907221423</v>
      </c>
      <c r="Z267" s="19"/>
      <c r="AA267" s="19">
        <f t="shared" si="91"/>
        <v>9.6379704735073961E-5</v>
      </c>
    </row>
    <row r="268" spans="2:27" x14ac:dyDescent="0.35">
      <c r="B268" s="27">
        <v>23</v>
      </c>
      <c r="C268" s="27">
        <v>179.28570999999999</v>
      </c>
      <c r="D268" s="19">
        <f t="shared" si="78"/>
        <v>39.414744476499457</v>
      </c>
      <c r="E268" s="19">
        <f t="shared" si="79"/>
        <v>-0.3514283097684805</v>
      </c>
      <c r="F268" s="19">
        <f t="shared" si="80"/>
        <v>0.4694420893304474</v>
      </c>
      <c r="G268" s="19">
        <f t="shared" si="81"/>
        <v>0.4694420893304474</v>
      </c>
      <c r="H268" s="19">
        <f t="shared" si="82"/>
        <v>0.4694420893304474</v>
      </c>
      <c r="I268" s="17"/>
      <c r="J268" s="19">
        <f t="shared" si="83"/>
        <v>35.835797161955512</v>
      </c>
      <c r="K268" s="19">
        <f t="shared" si="84"/>
        <v>0.44909423220675876</v>
      </c>
      <c r="L268" s="19">
        <f t="shared" si="85"/>
        <v>0.7530567620909</v>
      </c>
      <c r="M268" s="19">
        <f t="shared" si="86"/>
        <v>0.7530567620909</v>
      </c>
      <c r="N268" s="19">
        <f t="shared" si="87"/>
        <v>0.7530567620909</v>
      </c>
      <c r="O268" s="17"/>
      <c r="P268" s="19">
        <f t="shared" si="77"/>
        <v>40.163335139176496</v>
      </c>
      <c r="Q268" s="19">
        <f t="shared" si="92"/>
        <v>133.15889500789498</v>
      </c>
      <c r="R268" s="19">
        <f t="shared" si="93"/>
        <v>0</v>
      </c>
      <c r="S268" s="19">
        <f t="shared" si="94"/>
        <v>0</v>
      </c>
      <c r="T268" s="19">
        <f t="shared" si="95"/>
        <v>0</v>
      </c>
      <c r="U268" s="17"/>
      <c r="V268" s="19">
        <f t="shared" si="88"/>
        <v>173.32223014707148</v>
      </c>
      <c r="W268" s="17"/>
      <c r="X268" s="19">
        <f t="shared" si="89"/>
        <v>35.563091956284303</v>
      </c>
      <c r="Y268" s="19">
        <f t="shared" si="90"/>
        <v>5.9634798529285149</v>
      </c>
      <c r="Z268" s="19"/>
      <c r="AA268" s="19">
        <f t="shared" si="91"/>
        <v>3.8756544501306822E-5</v>
      </c>
    </row>
    <row r="269" spans="2:27" x14ac:dyDescent="0.35">
      <c r="B269" s="27">
        <v>23.1</v>
      </c>
      <c r="C269" s="27">
        <v>145.53570999999999</v>
      </c>
      <c r="D269" s="19">
        <f t="shared" si="78"/>
        <v>39.555243814921951</v>
      </c>
      <c r="E269" s="19">
        <f t="shared" si="79"/>
        <v>-0.34530338094135793</v>
      </c>
      <c r="F269" s="19">
        <f t="shared" si="80"/>
        <v>0.48055320044155847</v>
      </c>
      <c r="G269" s="19">
        <f t="shared" si="81"/>
        <v>0.48055320044155847</v>
      </c>
      <c r="H269" s="19">
        <f t="shared" si="82"/>
        <v>0.48055320044155847</v>
      </c>
      <c r="I269" s="17"/>
      <c r="J269" s="19">
        <f t="shared" si="83"/>
        <v>35.972489353236092</v>
      </c>
      <c r="K269" s="19">
        <f t="shared" si="84"/>
        <v>0.45099520050049724</v>
      </c>
      <c r="L269" s="19">
        <f t="shared" si="85"/>
        <v>0.75783836082082523</v>
      </c>
      <c r="M269" s="19">
        <f t="shared" si="86"/>
        <v>0.75783836082082523</v>
      </c>
      <c r="N269" s="19">
        <f t="shared" si="87"/>
        <v>0.75783836082082523</v>
      </c>
      <c r="O269" s="17"/>
      <c r="P269" s="19">
        <f t="shared" si="77"/>
        <v>39.86279318914815</v>
      </c>
      <c r="Q269" s="19">
        <f t="shared" si="92"/>
        <v>132.42390539333869</v>
      </c>
      <c r="R269" s="19">
        <f t="shared" si="93"/>
        <v>0</v>
      </c>
      <c r="S269" s="19">
        <f t="shared" si="94"/>
        <v>0</v>
      </c>
      <c r="T269" s="19">
        <f t="shared" si="95"/>
        <v>0</v>
      </c>
      <c r="U269" s="17"/>
      <c r="V269" s="19">
        <f t="shared" si="88"/>
        <v>172.28669858248685</v>
      </c>
      <c r="W269" s="17"/>
      <c r="X269" s="19">
        <f t="shared" si="89"/>
        <v>715.61539014034202</v>
      </c>
      <c r="Y269" s="19">
        <f t="shared" si="90"/>
        <v>26.750988582486855</v>
      </c>
      <c r="Z269" s="19"/>
      <c r="AA269" s="19">
        <f t="shared" si="91"/>
        <v>1.7385417659153621E-4</v>
      </c>
    </row>
    <row r="270" spans="2:27" x14ac:dyDescent="0.35">
      <c r="B270" s="27">
        <v>23.2</v>
      </c>
      <c r="C270" s="27">
        <v>170.53570999999999</v>
      </c>
      <c r="D270" s="19">
        <f t="shared" si="78"/>
        <v>39.695743153344438</v>
      </c>
      <c r="E270" s="19">
        <f t="shared" si="79"/>
        <v>-0.33917845211423581</v>
      </c>
      <c r="F270" s="19">
        <f t="shared" si="80"/>
        <v>0.4916643115526691</v>
      </c>
      <c r="G270" s="19">
        <f t="shared" si="81"/>
        <v>0.4916643115526691</v>
      </c>
      <c r="H270" s="19">
        <f t="shared" si="82"/>
        <v>0.4916643115526691</v>
      </c>
      <c r="I270" s="17"/>
      <c r="J270" s="19">
        <f t="shared" si="83"/>
        <v>36.109195594824264</v>
      </c>
      <c r="K270" s="19">
        <f t="shared" si="84"/>
        <v>0.4529017070838211</v>
      </c>
      <c r="L270" s="19">
        <f t="shared" si="85"/>
        <v>0.76263718434314876</v>
      </c>
      <c r="M270" s="19">
        <f t="shared" si="86"/>
        <v>0.76263718434314876</v>
      </c>
      <c r="N270" s="19">
        <f t="shared" si="87"/>
        <v>0.76263718434314876</v>
      </c>
      <c r="O270" s="17"/>
      <c r="P270" s="19">
        <f t="shared" si="77"/>
        <v>39.565581923116078</v>
      </c>
      <c r="Q270" s="19">
        <f t="shared" si="92"/>
        <v>131.69342605258777</v>
      </c>
      <c r="R270" s="19">
        <f t="shared" si="93"/>
        <v>0</v>
      </c>
      <c r="S270" s="19">
        <f t="shared" si="94"/>
        <v>0</v>
      </c>
      <c r="T270" s="19">
        <f t="shared" si="95"/>
        <v>0</v>
      </c>
      <c r="U270" s="17"/>
      <c r="V270" s="19">
        <f t="shared" si="88"/>
        <v>171.25900797570384</v>
      </c>
      <c r="W270" s="17"/>
      <c r="X270" s="19">
        <f t="shared" si="89"/>
        <v>0.52315996165727785</v>
      </c>
      <c r="Y270" s="19">
        <f t="shared" si="90"/>
        <v>0.72329797570384358</v>
      </c>
      <c r="Z270" s="19"/>
      <c r="AA270" s="19">
        <f t="shared" si="91"/>
        <v>4.7007000735158154E-6</v>
      </c>
    </row>
    <row r="271" spans="2:27" x14ac:dyDescent="0.35">
      <c r="B271" s="27">
        <v>23.3</v>
      </c>
      <c r="C271" s="27">
        <v>156.53570999999999</v>
      </c>
      <c r="D271" s="19">
        <f t="shared" si="78"/>
        <v>39.836242491766932</v>
      </c>
      <c r="E271" s="19">
        <f t="shared" si="79"/>
        <v>-0.33305352328711368</v>
      </c>
      <c r="F271" s="19">
        <f t="shared" si="80"/>
        <v>0.50277542266378061</v>
      </c>
      <c r="G271" s="19">
        <f t="shared" si="81"/>
        <v>0.50277542266378061</v>
      </c>
      <c r="H271" s="19">
        <f t="shared" si="82"/>
        <v>0.50277542266378061</v>
      </c>
      <c r="I271" s="17"/>
      <c r="J271" s="19">
        <f t="shared" si="83"/>
        <v>36.245915784818763</v>
      </c>
      <c r="K271" s="19">
        <f t="shared" si="84"/>
        <v>0.45481375350334935</v>
      </c>
      <c r="L271" s="19">
        <f t="shared" si="85"/>
        <v>0.7674532005394884</v>
      </c>
      <c r="M271" s="19">
        <f t="shared" si="86"/>
        <v>0.7674532005394884</v>
      </c>
      <c r="N271" s="19">
        <f t="shared" si="87"/>
        <v>0.7674532005394884</v>
      </c>
      <c r="O271" s="17"/>
      <c r="P271" s="19">
        <f t="shared" si="77"/>
        <v>39.271652638467266</v>
      </c>
      <c r="Q271" s="19">
        <f t="shared" si="92"/>
        <v>130.96742852825031</v>
      </c>
      <c r="R271" s="19">
        <f t="shared" si="93"/>
        <v>0</v>
      </c>
      <c r="S271" s="19">
        <f t="shared" si="94"/>
        <v>0</v>
      </c>
      <c r="T271" s="19">
        <f t="shared" si="95"/>
        <v>0</v>
      </c>
      <c r="U271" s="17"/>
      <c r="V271" s="19">
        <f t="shared" si="88"/>
        <v>170.23908116671757</v>
      </c>
      <c r="W271" s="17"/>
      <c r="X271" s="19">
        <f t="shared" si="89"/>
        <v>187.78238133282656</v>
      </c>
      <c r="Y271" s="19">
        <f t="shared" si="90"/>
        <v>13.703371166717574</v>
      </c>
      <c r="Z271" s="19"/>
      <c r="AA271" s="19">
        <f t="shared" si="91"/>
        <v>8.9057954003149168E-5</v>
      </c>
    </row>
    <row r="272" spans="2:27" x14ac:dyDescent="0.35">
      <c r="B272" s="27">
        <v>23.4</v>
      </c>
      <c r="C272" s="27">
        <v>166.78570999999999</v>
      </c>
      <c r="D272" s="19">
        <f t="shared" si="78"/>
        <v>39.976741830189418</v>
      </c>
      <c r="E272" s="19">
        <f t="shared" si="79"/>
        <v>-0.32692859445999134</v>
      </c>
      <c r="F272" s="19">
        <f t="shared" si="80"/>
        <v>0.51388653377489124</v>
      </c>
      <c r="G272" s="19">
        <f t="shared" si="81"/>
        <v>0.51388653377489124</v>
      </c>
      <c r="H272" s="19">
        <f t="shared" si="82"/>
        <v>0.51388653377489124</v>
      </c>
      <c r="I272" s="17"/>
      <c r="J272" s="19">
        <f t="shared" si="83"/>
        <v>36.382649822412411</v>
      </c>
      <c r="K272" s="19">
        <f t="shared" si="84"/>
        <v>0.45673134124075632</v>
      </c>
      <c r="L272" s="19">
        <f t="shared" si="85"/>
        <v>0.77228637693712465</v>
      </c>
      <c r="M272" s="19">
        <f t="shared" si="86"/>
        <v>0.77228637693712465</v>
      </c>
      <c r="N272" s="19">
        <f t="shared" si="87"/>
        <v>0.77228637693712465</v>
      </c>
      <c r="O272" s="17"/>
      <c r="P272" s="19">
        <f t="shared" si="77"/>
        <v>38.98095751470516</v>
      </c>
      <c r="Q272" s="19">
        <f t="shared" si="92"/>
        <v>130.24588453804401</v>
      </c>
      <c r="R272" s="19">
        <f t="shared" si="93"/>
        <v>0</v>
      </c>
      <c r="S272" s="19">
        <f t="shared" si="94"/>
        <v>0</v>
      </c>
      <c r="T272" s="19">
        <f t="shared" si="95"/>
        <v>0</v>
      </c>
      <c r="U272" s="17"/>
      <c r="V272" s="19">
        <f t="shared" si="88"/>
        <v>169.22684205274916</v>
      </c>
      <c r="W272" s="17"/>
      <c r="X272" s="19">
        <f t="shared" si="89"/>
        <v>5.9591256989593679</v>
      </c>
      <c r="Y272" s="19">
        <f t="shared" si="90"/>
        <v>2.4411320527491682</v>
      </c>
      <c r="Z272" s="19"/>
      <c r="AA272" s="19">
        <f t="shared" si="91"/>
        <v>1.5864871747571864E-5</v>
      </c>
    </row>
    <row r="273" spans="2:27" x14ac:dyDescent="0.35">
      <c r="B273" s="27">
        <v>23.5</v>
      </c>
      <c r="C273" s="27">
        <v>154.53570999999999</v>
      </c>
      <c r="D273" s="19">
        <f t="shared" si="78"/>
        <v>40.117241168611912</v>
      </c>
      <c r="E273" s="19">
        <f t="shared" si="79"/>
        <v>-0.320803665632869</v>
      </c>
      <c r="F273" s="19">
        <f t="shared" si="80"/>
        <v>0.52499764488600276</v>
      </c>
      <c r="G273" s="19">
        <f t="shared" si="81"/>
        <v>0.52499764488600276</v>
      </c>
      <c r="H273" s="19">
        <f t="shared" si="82"/>
        <v>0.52499764488600276</v>
      </c>
      <c r="I273" s="17"/>
      <c r="J273" s="19">
        <f t="shared" si="83"/>
        <v>36.519397607876698</v>
      </c>
      <c r="K273" s="19">
        <f t="shared" si="84"/>
        <v>0.45865447171286811</v>
      </c>
      <c r="L273" s="19">
        <f t="shared" si="85"/>
        <v>0.7771366807147474</v>
      </c>
      <c r="M273" s="19">
        <f t="shared" si="86"/>
        <v>0.7771366807147474</v>
      </c>
      <c r="N273" s="19">
        <f t="shared" si="87"/>
        <v>0.7771366807147474</v>
      </c>
      <c r="O273" s="17"/>
      <c r="P273" s="19">
        <f t="shared" si="77"/>
        <v>38.693449594433417</v>
      </c>
      <c r="Q273" s="19">
        <f t="shared" si="92"/>
        <v>129.52876597377426</v>
      </c>
      <c r="R273" s="19">
        <f t="shared" si="93"/>
        <v>0</v>
      </c>
      <c r="S273" s="19">
        <f t="shared" si="94"/>
        <v>0</v>
      </c>
      <c r="T273" s="19">
        <f t="shared" si="95"/>
        <v>0</v>
      </c>
      <c r="U273" s="17"/>
      <c r="V273" s="19">
        <f t="shared" si="88"/>
        <v>168.22221556820767</v>
      </c>
      <c r="W273" s="17"/>
      <c r="X273" s="19">
        <f t="shared" si="89"/>
        <v>187.32043466857979</v>
      </c>
      <c r="Y273" s="19">
        <f t="shared" si="90"/>
        <v>13.686505568207679</v>
      </c>
      <c r="Z273" s="19"/>
      <c r="AA273" s="19">
        <f t="shared" si="91"/>
        <v>8.8948344792535509E-5</v>
      </c>
    </row>
    <row r="274" spans="2:27" x14ac:dyDescent="0.35">
      <c r="B274" s="27">
        <v>23.6</v>
      </c>
      <c r="C274" s="27">
        <v>153.78570999999999</v>
      </c>
      <c r="D274" s="19">
        <f t="shared" si="78"/>
        <v>40.257740507034406</v>
      </c>
      <c r="E274" s="19">
        <f t="shared" si="79"/>
        <v>-0.31467873680574687</v>
      </c>
      <c r="F274" s="19">
        <f t="shared" si="80"/>
        <v>0.53610875599711427</v>
      </c>
      <c r="G274" s="19">
        <f t="shared" si="81"/>
        <v>0.53610875599711427</v>
      </c>
      <c r="H274" s="19">
        <f t="shared" si="82"/>
        <v>0.53610875599711427</v>
      </c>
      <c r="I274" s="17"/>
      <c r="J274" s="19">
        <f t="shared" si="83"/>
        <v>36.656159042546491</v>
      </c>
      <c r="K274" s="19">
        <f t="shared" si="84"/>
        <v>0.46058314627176339</v>
      </c>
      <c r="L274" s="19">
        <f t="shared" si="85"/>
        <v>0.78200407870818067</v>
      </c>
      <c r="M274" s="19">
        <f t="shared" si="86"/>
        <v>0.78200407870818067</v>
      </c>
      <c r="N274" s="19">
        <f t="shared" si="87"/>
        <v>0.78200407870818067</v>
      </c>
      <c r="O274" s="17"/>
      <c r="P274" s="19">
        <f t="shared" si="77"/>
        <v>38.409082764814656</v>
      </c>
      <c r="Q274" s="19">
        <f t="shared" si="92"/>
        <v>128.81604490031754</v>
      </c>
      <c r="R274" s="19">
        <f t="shared" si="93"/>
        <v>0</v>
      </c>
      <c r="S274" s="19">
        <f t="shared" si="94"/>
        <v>0</v>
      </c>
      <c r="T274" s="19">
        <f t="shared" si="95"/>
        <v>0</v>
      </c>
      <c r="U274" s="17"/>
      <c r="V274" s="19">
        <f t="shared" si="88"/>
        <v>167.22512766513219</v>
      </c>
      <c r="W274" s="17"/>
      <c r="X274" s="19">
        <f t="shared" si="89"/>
        <v>180.61794717786736</v>
      </c>
      <c r="Y274" s="19">
        <f t="shared" si="90"/>
        <v>13.439417665132197</v>
      </c>
      <c r="Z274" s="19"/>
      <c r="AA274" s="19">
        <f t="shared" si="91"/>
        <v>8.7342525112172744E-5</v>
      </c>
    </row>
    <row r="275" spans="2:27" x14ac:dyDescent="0.35">
      <c r="B275" s="27">
        <v>23.7</v>
      </c>
      <c r="C275" s="27">
        <v>159.53570999999999</v>
      </c>
      <c r="D275" s="19">
        <f t="shared" si="78"/>
        <v>40.398239845456892</v>
      </c>
      <c r="E275" s="19">
        <f t="shared" si="79"/>
        <v>-0.30855380797862453</v>
      </c>
      <c r="F275" s="19">
        <f t="shared" si="80"/>
        <v>0.5472198671082249</v>
      </c>
      <c r="G275" s="19">
        <f t="shared" si="81"/>
        <v>0.5472198671082249</v>
      </c>
      <c r="H275" s="19">
        <f t="shared" si="82"/>
        <v>0.5472198671082249</v>
      </c>
      <c r="I275" s="17"/>
      <c r="J275" s="19">
        <f t="shared" si="83"/>
        <v>36.792934028805121</v>
      </c>
      <c r="K275" s="19">
        <f t="shared" si="84"/>
        <v>0.46251736620487682</v>
      </c>
      <c r="L275" s="19">
        <f t="shared" si="85"/>
        <v>0.78688853741609999</v>
      </c>
      <c r="M275" s="19">
        <f t="shared" si="86"/>
        <v>0.78688853741609999</v>
      </c>
      <c r="N275" s="19">
        <f t="shared" si="87"/>
        <v>0.78688853741609999</v>
      </c>
      <c r="O275" s="17"/>
      <c r="P275" s="19">
        <f t="shared" si="77"/>
        <v>38.12781173949012</v>
      </c>
      <c r="Q275" s="19">
        <f t="shared" si="92"/>
        <v>128.10769355461127</v>
      </c>
      <c r="R275" s="19">
        <f t="shared" si="93"/>
        <v>0</v>
      </c>
      <c r="S275" s="19">
        <f t="shared" si="94"/>
        <v>0</v>
      </c>
      <c r="T275" s="19">
        <f t="shared" si="95"/>
        <v>0</v>
      </c>
      <c r="U275" s="17"/>
      <c r="V275" s="19">
        <f t="shared" si="88"/>
        <v>166.23550529410139</v>
      </c>
      <c r="W275" s="17"/>
      <c r="X275" s="19">
        <f t="shared" si="89"/>
        <v>44.887256982863157</v>
      </c>
      <c r="Y275" s="19">
        <f t="shared" si="90"/>
        <v>6.6997952941013921</v>
      </c>
      <c r="Z275" s="19"/>
      <c r="AA275" s="19">
        <f t="shared" si="91"/>
        <v>4.3541844840470736E-5</v>
      </c>
    </row>
    <row r="276" spans="2:27" x14ac:dyDescent="0.35">
      <c r="B276" s="27">
        <v>23.8</v>
      </c>
      <c r="C276" s="27">
        <v>143.53570999999999</v>
      </c>
      <c r="D276" s="19">
        <f t="shared" si="78"/>
        <v>40.538739183879386</v>
      </c>
      <c r="E276" s="19">
        <f t="shared" si="79"/>
        <v>-0.30242887915150218</v>
      </c>
      <c r="F276" s="19">
        <f t="shared" si="80"/>
        <v>0.55833097821933642</v>
      </c>
      <c r="G276" s="19">
        <f t="shared" si="81"/>
        <v>0.55833097821933642</v>
      </c>
      <c r="H276" s="19">
        <f t="shared" si="82"/>
        <v>0.55833097821933642</v>
      </c>
      <c r="I276" s="17"/>
      <c r="J276" s="19">
        <f t="shared" si="83"/>
        <v>36.929722470069699</v>
      </c>
      <c r="K276" s="19">
        <f t="shared" si="84"/>
        <v>0.4644571327351053</v>
      </c>
      <c r="L276" s="19">
        <f t="shared" si="85"/>
        <v>0.79179002300573198</v>
      </c>
      <c r="M276" s="19">
        <f t="shared" si="86"/>
        <v>0.79179002300573198</v>
      </c>
      <c r="N276" s="19">
        <f t="shared" si="87"/>
        <v>0.79179002300573198</v>
      </c>
      <c r="O276" s="17"/>
      <c r="P276" s="19">
        <f t="shared" si="77"/>
        <v>37.849592040947691</v>
      </c>
      <c r="Q276" s="19">
        <f t="shared" si="92"/>
        <v>127.40368434464942</v>
      </c>
      <c r="R276" s="19">
        <f t="shared" si="93"/>
        <v>0</v>
      </c>
      <c r="S276" s="19">
        <f t="shared" si="94"/>
        <v>0</v>
      </c>
      <c r="T276" s="19">
        <f t="shared" si="95"/>
        <v>0</v>
      </c>
      <c r="U276" s="17"/>
      <c r="V276" s="19">
        <f t="shared" si="88"/>
        <v>165.2532763855971</v>
      </c>
      <c r="W276" s="17"/>
      <c r="X276" s="19">
        <f t="shared" si="89"/>
        <v>471.65268971281751</v>
      </c>
      <c r="Y276" s="19">
        <f t="shared" si="90"/>
        <v>21.71756638559711</v>
      </c>
      <c r="Z276" s="19"/>
      <c r="AA276" s="19">
        <f t="shared" si="91"/>
        <v>1.4114205947558336E-4</v>
      </c>
    </row>
    <row r="277" spans="2:27" x14ac:dyDescent="0.35">
      <c r="B277" s="27">
        <v>23.9</v>
      </c>
      <c r="C277" s="27">
        <v>175.53570999999999</v>
      </c>
      <c r="D277" s="19">
        <f t="shared" si="78"/>
        <v>40.679238522301873</v>
      </c>
      <c r="E277" s="19">
        <f t="shared" si="79"/>
        <v>-0.29630395032438006</v>
      </c>
      <c r="F277" s="19">
        <f t="shared" si="80"/>
        <v>0.56944208933044704</v>
      </c>
      <c r="G277" s="19">
        <f t="shared" si="81"/>
        <v>0.56944208933044704</v>
      </c>
      <c r="H277" s="19">
        <f t="shared" si="82"/>
        <v>0.56944208933044704</v>
      </c>
      <c r="I277" s="17"/>
      <c r="J277" s="19">
        <f t="shared" si="83"/>
        <v>37.066524270776618</v>
      </c>
      <c r="K277" s="19">
        <f t="shared" si="84"/>
        <v>0.46640244702091849</v>
      </c>
      <c r="L277" s="19">
        <f t="shared" si="85"/>
        <v>0.79670850131853477</v>
      </c>
      <c r="M277" s="19">
        <f t="shared" si="86"/>
        <v>0.79670850131853477</v>
      </c>
      <c r="N277" s="19">
        <f t="shared" si="87"/>
        <v>0.79670850131853477</v>
      </c>
      <c r="O277" s="17"/>
      <c r="P277" s="19">
        <f t="shared" si="77"/>
        <v>37.574379983325564</v>
      </c>
      <c r="Q277" s="19">
        <f t="shared" si="92"/>
        <v>126.70398984848353</v>
      </c>
      <c r="R277" s="19">
        <f t="shared" si="93"/>
        <v>0</v>
      </c>
      <c r="S277" s="19">
        <f t="shared" si="94"/>
        <v>0</v>
      </c>
      <c r="T277" s="19">
        <f t="shared" si="95"/>
        <v>0</v>
      </c>
      <c r="U277" s="17"/>
      <c r="V277" s="19">
        <f t="shared" si="88"/>
        <v>164.2783698318091</v>
      </c>
      <c r="W277" s="17"/>
      <c r="X277" s="19">
        <f t="shared" si="89"/>
        <v>126.72770766236417</v>
      </c>
      <c r="Y277" s="19">
        <f t="shared" si="90"/>
        <v>11.257340168190893</v>
      </c>
      <c r="Z277" s="19"/>
      <c r="AA277" s="19">
        <f t="shared" si="91"/>
        <v>7.316124409820641E-5</v>
      </c>
    </row>
    <row r="278" spans="2:27" x14ac:dyDescent="0.35">
      <c r="B278" s="27">
        <v>24</v>
      </c>
      <c r="C278" s="27">
        <v>171.28570999999999</v>
      </c>
      <c r="D278" s="19">
        <f t="shared" si="78"/>
        <v>40.819737860724366</v>
      </c>
      <c r="E278" s="19">
        <f t="shared" si="79"/>
        <v>-0.29017902149725772</v>
      </c>
      <c r="F278" s="19">
        <f t="shared" si="80"/>
        <v>0.58055320044155856</v>
      </c>
      <c r="G278" s="19">
        <f t="shared" si="81"/>
        <v>0.58055320044155856</v>
      </c>
      <c r="H278" s="19">
        <f t="shared" si="82"/>
        <v>0.58055320044155856</v>
      </c>
      <c r="I278" s="17"/>
      <c r="J278" s="19">
        <f t="shared" si="83"/>
        <v>37.203339336367442</v>
      </c>
      <c r="K278" s="19">
        <f t="shared" si="84"/>
        <v>0.46835331015647236</v>
      </c>
      <c r="L278" s="19">
        <f t="shared" si="85"/>
        <v>0.80164393787586496</v>
      </c>
      <c r="M278" s="19">
        <f t="shared" si="86"/>
        <v>0.80164393787586496</v>
      </c>
      <c r="N278" s="19">
        <f t="shared" si="87"/>
        <v>0.80164393787586496</v>
      </c>
      <c r="O278" s="17"/>
      <c r="P278" s="19">
        <f t="shared" si="77"/>
        <v>37.30213265563907</v>
      </c>
      <c r="Q278" s="19">
        <f t="shared" si="92"/>
        <v>126.00858281322988</v>
      </c>
      <c r="R278" s="19">
        <f t="shared" si="93"/>
        <v>0</v>
      </c>
      <c r="S278" s="19">
        <f t="shared" si="94"/>
        <v>0</v>
      </c>
      <c r="T278" s="19">
        <f t="shared" si="95"/>
        <v>0</v>
      </c>
      <c r="U278" s="17"/>
      <c r="V278" s="19">
        <f t="shared" si="88"/>
        <v>163.31071546886895</v>
      </c>
      <c r="W278" s="17"/>
      <c r="X278" s="19">
        <f t="shared" si="89"/>
        <v>63.600537771570082</v>
      </c>
      <c r="Y278" s="19">
        <f t="shared" si="90"/>
        <v>7.9749945311310455</v>
      </c>
      <c r="Z278" s="19"/>
      <c r="AA278" s="19">
        <f t="shared" si="91"/>
        <v>5.1829340932823959E-5</v>
      </c>
    </row>
    <row r="279" spans="2:27" x14ac:dyDescent="0.35">
      <c r="B279" s="27">
        <v>24.1</v>
      </c>
      <c r="C279" s="27">
        <v>153.03570999999999</v>
      </c>
      <c r="D279" s="19">
        <f t="shared" si="78"/>
        <v>40.96023719914686</v>
      </c>
      <c r="E279" s="19">
        <f t="shared" si="79"/>
        <v>-0.28405409267013537</v>
      </c>
      <c r="F279" s="19">
        <f t="shared" si="80"/>
        <v>0.59166431155266963</v>
      </c>
      <c r="G279" s="19">
        <f t="shared" si="81"/>
        <v>0.59166431155266963</v>
      </c>
      <c r="H279" s="19">
        <f t="shared" si="82"/>
        <v>0.59166431155266963</v>
      </c>
      <c r="I279" s="17"/>
      <c r="J279" s="19">
        <f t="shared" si="83"/>
        <v>37.340167573274876</v>
      </c>
      <c r="K279" s="19">
        <f t="shared" si="84"/>
        <v>0.47030972317172481</v>
      </c>
      <c r="L279" s="19">
        <f t="shared" si="85"/>
        <v>0.80659629788462173</v>
      </c>
      <c r="M279" s="19">
        <f t="shared" si="86"/>
        <v>0.80659629788462173</v>
      </c>
      <c r="N279" s="19">
        <f t="shared" si="87"/>
        <v>0.80659629788462173</v>
      </c>
      <c r="O279" s="17"/>
      <c r="P279" s="19">
        <f t="shared" si="77"/>
        <v>37.03280790541929</v>
      </c>
      <c r="Q279" s="19">
        <f t="shared" si="92"/>
        <v>125.31743615408243</v>
      </c>
      <c r="R279" s="19">
        <f t="shared" si="93"/>
        <v>0</v>
      </c>
      <c r="S279" s="19">
        <f t="shared" si="94"/>
        <v>0</v>
      </c>
      <c r="T279" s="19">
        <f t="shared" si="95"/>
        <v>0</v>
      </c>
      <c r="U279" s="17"/>
      <c r="V279" s="19">
        <f t="shared" si="88"/>
        <v>162.35024405950173</v>
      </c>
      <c r="W279" s="17"/>
      <c r="X279" s="19">
        <f t="shared" si="89"/>
        <v>86.760544745617935</v>
      </c>
      <c r="Y279" s="19">
        <f t="shared" si="90"/>
        <v>9.3145340595017387</v>
      </c>
      <c r="Z279" s="19"/>
      <c r="AA279" s="19">
        <f t="shared" si="91"/>
        <v>6.0534983380339521E-5</v>
      </c>
    </row>
    <row r="280" spans="2:27" x14ac:dyDescent="0.35">
      <c r="B280" s="27">
        <v>24.2</v>
      </c>
      <c r="C280" s="27">
        <v>160.28570999999999</v>
      </c>
      <c r="D280" s="19">
        <f t="shared" si="78"/>
        <v>41.100736537569347</v>
      </c>
      <c r="E280" s="19">
        <f t="shared" si="79"/>
        <v>-0.27792916384301303</v>
      </c>
      <c r="F280" s="19">
        <f t="shared" si="80"/>
        <v>0.60277542266378026</v>
      </c>
      <c r="G280" s="19">
        <f t="shared" si="81"/>
        <v>0.60277542266378026</v>
      </c>
      <c r="H280" s="19">
        <f t="shared" si="82"/>
        <v>0.60277542266378026</v>
      </c>
      <c r="I280" s="17"/>
      <c r="J280" s="19">
        <f t="shared" si="83"/>
        <v>37.477008888909126</v>
      </c>
      <c r="K280" s="19">
        <f t="shared" si="84"/>
        <v>0.47227168703255623</v>
      </c>
      <c r="L280" s="19">
        <f t="shared" si="85"/>
        <v>0.81156554624287347</v>
      </c>
      <c r="M280" s="19">
        <f t="shared" si="86"/>
        <v>0.81156554624287347</v>
      </c>
      <c r="N280" s="19">
        <f t="shared" si="87"/>
        <v>0.81156554624287347</v>
      </c>
      <c r="O280" s="17"/>
      <c r="P280" s="19">
        <f t="shared" si="77"/>
        <v>36.766364322751613</v>
      </c>
      <c r="Q280" s="19">
        <f t="shared" si="92"/>
        <v>124.63052295333111</v>
      </c>
      <c r="R280" s="19">
        <f t="shared" si="93"/>
        <v>0</v>
      </c>
      <c r="S280" s="19">
        <f t="shared" si="94"/>
        <v>0</v>
      </c>
      <c r="T280" s="19">
        <f t="shared" si="95"/>
        <v>0</v>
      </c>
      <c r="U280" s="17"/>
      <c r="V280" s="19">
        <f t="shared" si="88"/>
        <v>161.39688727608274</v>
      </c>
      <c r="W280" s="17"/>
      <c r="X280" s="19">
        <f t="shared" si="89"/>
        <v>1.2347149388826624</v>
      </c>
      <c r="Y280" s="19">
        <f t="shared" si="90"/>
        <v>1.1111772760827421</v>
      </c>
      <c r="Z280" s="19"/>
      <c r="AA280" s="19">
        <f t="shared" si="91"/>
        <v>7.2215204228774846E-6</v>
      </c>
    </row>
    <row r="281" spans="2:27" x14ac:dyDescent="0.35">
      <c r="B281" s="27">
        <v>24.3</v>
      </c>
      <c r="C281" s="27">
        <v>139.28570999999999</v>
      </c>
      <c r="D281" s="19">
        <f t="shared" si="78"/>
        <v>41.24123587599184</v>
      </c>
      <c r="E281" s="19">
        <f t="shared" si="79"/>
        <v>-0.2718042350158909</v>
      </c>
      <c r="F281" s="19">
        <f t="shared" si="80"/>
        <v>0.61388653377489177</v>
      </c>
      <c r="G281" s="19">
        <f t="shared" si="81"/>
        <v>0.61388653377489177</v>
      </c>
      <c r="H281" s="19">
        <f t="shared" si="82"/>
        <v>0.61388653377489177</v>
      </c>
      <c r="I281" s="17"/>
      <c r="J281" s="19">
        <f t="shared" si="83"/>
        <v>37.613863191644398</v>
      </c>
      <c r="K281" s="19">
        <f t="shared" si="84"/>
        <v>0.47423920264089181</v>
      </c>
      <c r="L281" s="19">
        <f t="shared" si="85"/>
        <v>0.81655164754546294</v>
      </c>
      <c r="M281" s="19">
        <f t="shared" si="86"/>
        <v>0.81655164754546294</v>
      </c>
      <c r="N281" s="19">
        <f t="shared" si="87"/>
        <v>0.81655164754546294</v>
      </c>
      <c r="O281" s="17"/>
      <c r="P281" s="19">
        <f t="shared" si="77"/>
        <v>36.502761224703292</v>
      </c>
      <c r="Q281" s="19">
        <f t="shared" si="92"/>
        <v>123.94781645938602</v>
      </c>
      <c r="R281" s="19">
        <f t="shared" si="93"/>
        <v>0</v>
      </c>
      <c r="S281" s="19">
        <f t="shared" si="94"/>
        <v>0</v>
      </c>
      <c r="T281" s="19">
        <f t="shared" si="95"/>
        <v>0</v>
      </c>
      <c r="U281" s="17"/>
      <c r="V281" s="19">
        <f t="shared" si="88"/>
        <v>160.4505776840893</v>
      </c>
      <c r="W281" s="17"/>
      <c r="X281" s="19">
        <f t="shared" si="89"/>
        <v>447.95162408500767</v>
      </c>
      <c r="Y281" s="19">
        <f t="shared" si="90"/>
        <v>21.164867684089302</v>
      </c>
      <c r="Z281" s="19"/>
      <c r="AA281" s="19">
        <f t="shared" si="91"/>
        <v>1.3755008090785454E-4</v>
      </c>
    </row>
    <row r="282" spans="2:27" x14ac:dyDescent="0.35">
      <c r="B282" s="27">
        <v>24.4</v>
      </c>
      <c r="C282" s="27">
        <v>172.53570999999999</v>
      </c>
      <c r="D282" s="19">
        <f t="shared" si="78"/>
        <v>41.381735214414327</v>
      </c>
      <c r="E282" s="19">
        <f t="shared" si="79"/>
        <v>-0.26567930618876878</v>
      </c>
      <c r="F282" s="19">
        <f t="shared" si="80"/>
        <v>0.6249976448860024</v>
      </c>
      <c r="G282" s="19">
        <f t="shared" si="81"/>
        <v>0.6249976448860024</v>
      </c>
      <c r="H282" s="19">
        <f t="shared" si="82"/>
        <v>0.6249976448860024</v>
      </c>
      <c r="I282" s="17"/>
      <c r="J282" s="19">
        <f t="shared" si="83"/>
        <v>37.75073039080565</v>
      </c>
      <c r="K282" s="19">
        <f t="shared" si="84"/>
        <v>0.4762122708348277</v>
      </c>
      <c r="L282" s="19">
        <f t="shared" si="85"/>
        <v>0.82155456608958766</v>
      </c>
      <c r="M282" s="19">
        <f t="shared" si="86"/>
        <v>0.82155456608958766</v>
      </c>
      <c r="N282" s="19">
        <f t="shared" si="87"/>
        <v>0.82155456608958766</v>
      </c>
      <c r="O282" s="17"/>
      <c r="P282" s="19">
        <f t="shared" si="77"/>
        <v>36.241958640129297</v>
      </c>
      <c r="Q282" s="19">
        <f t="shared" si="92"/>
        <v>123.2692900858072</v>
      </c>
      <c r="R282" s="19">
        <f t="shared" si="93"/>
        <v>0</v>
      </c>
      <c r="S282" s="19">
        <f t="shared" si="94"/>
        <v>0</v>
      </c>
      <c r="T282" s="19">
        <f t="shared" si="95"/>
        <v>0</v>
      </c>
      <c r="U282" s="17"/>
      <c r="V282" s="19">
        <f t="shared" si="88"/>
        <v>159.5112487259365</v>
      </c>
      <c r="W282" s="17"/>
      <c r="X282" s="19">
        <f t="shared" si="89"/>
        <v>169.63659147957975</v>
      </c>
      <c r="Y282" s="19">
        <f t="shared" si="90"/>
        <v>13.024461274063498</v>
      </c>
      <c r="Z282" s="19"/>
      <c r="AA282" s="19">
        <f t="shared" si="91"/>
        <v>8.4645731254697379E-5</v>
      </c>
    </row>
    <row r="283" spans="2:27" x14ac:dyDescent="0.35">
      <c r="B283" s="27">
        <v>24.5</v>
      </c>
      <c r="C283" s="27">
        <v>161.28570999999999</v>
      </c>
      <c r="D283" s="19">
        <f t="shared" si="78"/>
        <v>41.522234552836821</v>
      </c>
      <c r="E283" s="19">
        <f t="shared" si="79"/>
        <v>-0.25955437736164622</v>
      </c>
      <c r="F283" s="19">
        <f t="shared" si="80"/>
        <v>0.63610875599711392</v>
      </c>
      <c r="G283" s="19">
        <f t="shared" si="81"/>
        <v>0.63610875599711392</v>
      </c>
      <c r="H283" s="19">
        <f t="shared" si="82"/>
        <v>0.63610875599711392</v>
      </c>
      <c r="I283" s="17"/>
      <c r="J283" s="19">
        <f t="shared" si="83"/>
        <v>37.88761039665561</v>
      </c>
      <c r="K283" s="19">
        <f t="shared" si="84"/>
        <v>0.4781908923887605</v>
      </c>
      <c r="L283" s="19">
        <f t="shared" si="85"/>
        <v>0.82657426588036254</v>
      </c>
      <c r="M283" s="19">
        <f t="shared" si="86"/>
        <v>0.82657426588036254</v>
      </c>
      <c r="N283" s="19">
        <f t="shared" si="87"/>
        <v>0.82657426588036254</v>
      </c>
      <c r="O283" s="17"/>
      <c r="P283" s="19">
        <f t="shared" si="77"/>
        <v>35.983917294845831</v>
      </c>
      <c r="Q283" s="19">
        <f t="shared" si="92"/>
        <v>122.59491741033982</v>
      </c>
      <c r="R283" s="19">
        <f t="shared" si="93"/>
        <v>0</v>
      </c>
      <c r="S283" s="19">
        <f t="shared" si="94"/>
        <v>0</v>
      </c>
      <c r="T283" s="19">
        <f t="shared" si="95"/>
        <v>0</v>
      </c>
      <c r="U283" s="17"/>
      <c r="V283" s="19">
        <f t="shared" si="88"/>
        <v>158.57883470518564</v>
      </c>
      <c r="W283" s="17"/>
      <c r="X283" s="19">
        <f t="shared" si="89"/>
        <v>7.3271738616762887</v>
      </c>
      <c r="Y283" s="19">
        <f t="shared" si="90"/>
        <v>2.7068752948143526</v>
      </c>
      <c r="Z283" s="19"/>
      <c r="AA283" s="19">
        <f t="shared" si="91"/>
        <v>1.7591932128594724E-5</v>
      </c>
    </row>
    <row r="284" spans="2:27" x14ac:dyDescent="0.35">
      <c r="B284" s="27">
        <v>24.6</v>
      </c>
      <c r="C284" s="27">
        <v>160.78570999999999</v>
      </c>
      <c r="D284" s="19">
        <f t="shared" si="78"/>
        <v>41.662733891259315</v>
      </c>
      <c r="E284" s="19">
        <f t="shared" si="79"/>
        <v>-0.25342944853452409</v>
      </c>
      <c r="F284" s="19">
        <f t="shared" si="80"/>
        <v>0.64721986710822543</v>
      </c>
      <c r="G284" s="19">
        <f t="shared" si="81"/>
        <v>0.64721986710822543</v>
      </c>
      <c r="H284" s="19">
        <f t="shared" si="82"/>
        <v>0.64721986710822543</v>
      </c>
      <c r="I284" s="17"/>
      <c r="J284" s="19">
        <f t="shared" si="83"/>
        <v>38.024503120381929</v>
      </c>
      <c r="K284" s="19">
        <f t="shared" si="84"/>
        <v>0.48017506801351828</v>
      </c>
      <c r="L284" s="19">
        <f t="shared" si="85"/>
        <v>0.83161071063635228</v>
      </c>
      <c r="M284" s="19">
        <f t="shared" si="86"/>
        <v>0.83161071063635228</v>
      </c>
      <c r="N284" s="19">
        <f t="shared" si="87"/>
        <v>0.83161071063635228</v>
      </c>
      <c r="O284" s="17"/>
      <c r="P284" s="19">
        <f t="shared" si="77"/>
        <v>35.728598597161685</v>
      </c>
      <c r="Q284" s="19">
        <f t="shared" si="92"/>
        <v>121.92467217395529</v>
      </c>
      <c r="R284" s="19">
        <f t="shared" si="93"/>
        <v>0</v>
      </c>
      <c r="S284" s="19">
        <f t="shared" si="94"/>
        <v>0</v>
      </c>
      <c r="T284" s="19">
        <f t="shared" si="95"/>
        <v>0</v>
      </c>
      <c r="U284" s="17"/>
      <c r="V284" s="19">
        <f t="shared" si="88"/>
        <v>157.65327077111698</v>
      </c>
      <c r="W284" s="17"/>
      <c r="X284" s="19">
        <f t="shared" si="89"/>
        <v>9.8121755226452194</v>
      </c>
      <c r="Y284" s="19">
        <f t="shared" si="90"/>
        <v>3.1324392288830154</v>
      </c>
      <c r="Z284" s="19"/>
      <c r="AA284" s="19">
        <f t="shared" si="91"/>
        <v>2.0357664210473703E-5</v>
      </c>
    </row>
    <row r="285" spans="2:27" x14ac:dyDescent="0.35">
      <c r="B285" s="27">
        <v>24.7</v>
      </c>
      <c r="C285" s="27">
        <v>160.78570999999999</v>
      </c>
      <c r="D285" s="19">
        <f t="shared" si="78"/>
        <v>41.803233229681801</v>
      </c>
      <c r="E285" s="19">
        <f t="shared" si="79"/>
        <v>-0.24730451970740197</v>
      </c>
      <c r="F285" s="19">
        <f t="shared" si="80"/>
        <v>0.65833097821933606</v>
      </c>
      <c r="G285" s="19">
        <f t="shared" si="81"/>
        <v>0.65833097821933606</v>
      </c>
      <c r="H285" s="19">
        <f t="shared" si="82"/>
        <v>0.65833097821933606</v>
      </c>
      <c r="I285" s="17"/>
      <c r="J285" s="19">
        <f t="shared" si="83"/>
        <v>38.161408474084624</v>
      </c>
      <c r="K285" s="19">
        <f t="shared" si="84"/>
        <v>0.48216479835649739</v>
      </c>
      <c r="L285" s="19">
        <f t="shared" si="85"/>
        <v>0.83666386379508262</v>
      </c>
      <c r="M285" s="19">
        <f t="shared" si="86"/>
        <v>0.83666386379508262</v>
      </c>
      <c r="N285" s="19">
        <f t="shared" si="87"/>
        <v>0.83666386379508262</v>
      </c>
      <c r="O285" s="17"/>
      <c r="P285" s="19">
        <f t="shared" si="77"/>
        <v>35.475964623757456</v>
      </c>
      <c r="Q285" s="19">
        <f t="shared" si="92"/>
        <v>121.25852827989729</v>
      </c>
      <c r="R285" s="19">
        <f t="shared" si="93"/>
        <v>0</v>
      </c>
      <c r="S285" s="19">
        <f t="shared" si="94"/>
        <v>0</v>
      </c>
      <c r="T285" s="19">
        <f t="shared" si="95"/>
        <v>0</v>
      </c>
      <c r="U285" s="17"/>
      <c r="V285" s="19">
        <f t="shared" si="88"/>
        <v>156.73449290365474</v>
      </c>
      <c r="W285" s="17"/>
      <c r="X285" s="19">
        <f t="shared" si="89"/>
        <v>16.412359961720078</v>
      </c>
      <c r="Y285" s="19">
        <f t="shared" si="90"/>
        <v>4.0512170963452547</v>
      </c>
      <c r="Z285" s="19"/>
      <c r="AA285" s="19">
        <f t="shared" si="91"/>
        <v>2.632878445994173E-5</v>
      </c>
    </row>
    <row r="286" spans="2:27" x14ac:dyDescent="0.35">
      <c r="B286" s="27">
        <v>24.8</v>
      </c>
      <c r="C286" s="27">
        <v>147.78570999999999</v>
      </c>
      <c r="D286" s="19">
        <f t="shared" si="78"/>
        <v>41.943732568104295</v>
      </c>
      <c r="E286" s="19">
        <f t="shared" si="79"/>
        <v>-0.2411795908802794</v>
      </c>
      <c r="F286" s="19">
        <f t="shared" si="80"/>
        <v>0.66944208933044758</v>
      </c>
      <c r="G286" s="19">
        <f t="shared" si="81"/>
        <v>0.66944208933044758</v>
      </c>
      <c r="H286" s="19">
        <f t="shared" si="82"/>
        <v>0.66944208933044758</v>
      </c>
      <c r="I286" s="17"/>
      <c r="J286" s="19">
        <f t="shared" si="83"/>
        <v>38.29832637076376</v>
      </c>
      <c r="K286" s="19">
        <f t="shared" si="84"/>
        <v>0.48416008400179966</v>
      </c>
      <c r="L286" s="19">
        <f t="shared" si="85"/>
        <v>0.84173368851852637</v>
      </c>
      <c r="M286" s="19">
        <f t="shared" si="86"/>
        <v>0.84173368851852637</v>
      </c>
      <c r="N286" s="19">
        <f t="shared" si="87"/>
        <v>0.84173368851852637</v>
      </c>
      <c r="O286" s="17"/>
      <c r="P286" s="19">
        <f t="shared" si="77"/>
        <v>35.225978105902911</v>
      </c>
      <c r="Q286" s="19">
        <f t="shared" si="92"/>
        <v>120.5964597927338</v>
      </c>
      <c r="R286" s="19">
        <f t="shared" si="93"/>
        <v>0</v>
      </c>
      <c r="S286" s="19">
        <f t="shared" si="94"/>
        <v>0</v>
      </c>
      <c r="T286" s="19">
        <f t="shared" si="95"/>
        <v>0</v>
      </c>
      <c r="U286" s="17"/>
      <c r="V286" s="19">
        <f t="shared" si="88"/>
        <v>155.82243789863671</v>
      </c>
      <c r="W286" s="17"/>
      <c r="X286" s="19">
        <f t="shared" si="89"/>
        <v>64.588995316725672</v>
      </c>
      <c r="Y286" s="19">
        <f t="shared" si="90"/>
        <v>8.0367278986367126</v>
      </c>
      <c r="Z286" s="19"/>
      <c r="AA286" s="19">
        <f t="shared" si="91"/>
        <v>5.2230544938531128E-5</v>
      </c>
    </row>
    <row r="287" spans="2:27" x14ac:dyDescent="0.35">
      <c r="B287" s="27">
        <v>24.9</v>
      </c>
      <c r="C287" s="27">
        <v>153.28570999999999</v>
      </c>
      <c r="D287" s="19">
        <f t="shared" si="78"/>
        <v>42.084231906526782</v>
      </c>
      <c r="E287" s="19">
        <f t="shared" si="79"/>
        <v>-0.23505466205315728</v>
      </c>
      <c r="F287" s="19">
        <f t="shared" si="80"/>
        <v>0.68055320044155865</v>
      </c>
      <c r="G287" s="19">
        <f t="shared" si="81"/>
        <v>0.68055320044155865</v>
      </c>
      <c r="H287" s="19">
        <f t="shared" si="82"/>
        <v>0.68055320044155865</v>
      </c>
      <c r="I287" s="17"/>
      <c r="J287" s="19">
        <f t="shared" si="83"/>
        <v>38.435256724307195</v>
      </c>
      <c r="K287" s="19">
        <f t="shared" si="84"/>
        <v>0.48616092547037387</v>
      </c>
      <c r="L287" s="19">
        <f t="shared" si="85"/>
        <v>0.84682014769855807</v>
      </c>
      <c r="M287" s="19">
        <f t="shared" si="86"/>
        <v>0.84682014769855807</v>
      </c>
      <c r="N287" s="19">
        <f t="shared" si="87"/>
        <v>0.84682014769855807</v>
      </c>
      <c r="O287" s="17"/>
      <c r="P287" s="19">
        <f t="shared" si="77"/>
        <v>34.978602416004065</v>
      </c>
      <c r="Q287" s="19">
        <f t="shared" si="92"/>
        <v>119.93844093741426</v>
      </c>
      <c r="R287" s="19">
        <f t="shared" si="93"/>
        <v>0</v>
      </c>
      <c r="S287" s="19">
        <f t="shared" si="94"/>
        <v>0</v>
      </c>
      <c r="T287" s="19">
        <f t="shared" si="95"/>
        <v>0</v>
      </c>
      <c r="U287" s="17"/>
      <c r="V287" s="19">
        <f t="shared" si="88"/>
        <v>154.91704335341831</v>
      </c>
      <c r="W287" s="17"/>
      <c r="X287" s="19">
        <f t="shared" si="89"/>
        <v>2.6612485099750383</v>
      </c>
      <c r="Y287" s="19">
        <f t="shared" si="90"/>
        <v>1.631333353418313</v>
      </c>
      <c r="Z287" s="19"/>
      <c r="AA287" s="19">
        <f t="shared" si="91"/>
        <v>1.060200508217946E-5</v>
      </c>
    </row>
    <row r="288" spans="2:27" x14ac:dyDescent="0.35">
      <c r="B288" s="27">
        <v>25</v>
      </c>
      <c r="C288" s="27">
        <v>154.78570999999999</v>
      </c>
      <c r="D288" s="19">
        <f t="shared" si="78"/>
        <v>42.224731244949275</v>
      </c>
      <c r="E288" s="19">
        <f t="shared" si="79"/>
        <v>-0.22892973322603516</v>
      </c>
      <c r="F288" s="19">
        <f t="shared" si="80"/>
        <v>0.69166431155266928</v>
      </c>
      <c r="G288" s="19">
        <f t="shared" si="81"/>
        <v>0.69166431155266928</v>
      </c>
      <c r="H288" s="19">
        <f t="shared" si="82"/>
        <v>0.69166431155266928</v>
      </c>
      <c r="I288" s="17"/>
      <c r="J288" s="19">
        <f t="shared" si="83"/>
        <v>38.572199449478703</v>
      </c>
      <c r="K288" s="19">
        <f t="shared" si="84"/>
        <v>0.48816732322016054</v>
      </c>
      <c r="L288" s="19">
        <f t="shared" si="85"/>
        <v>0.85192320396238508</v>
      </c>
      <c r="M288" s="19">
        <f t="shared" si="86"/>
        <v>0.85192320396238508</v>
      </c>
      <c r="N288" s="19">
        <f t="shared" si="87"/>
        <v>0.85192320396238508</v>
      </c>
      <c r="O288" s="17"/>
      <c r="P288" s="19">
        <f t="shared" si="77"/>
        <v>34.733801554470006</v>
      </c>
      <c r="Q288" s="19">
        <f t="shared" si="92"/>
        <v>119.28444609833221</v>
      </c>
      <c r="R288" s="19">
        <f t="shared" si="93"/>
        <v>0</v>
      </c>
      <c r="S288" s="19">
        <f t="shared" si="94"/>
        <v>0</v>
      </c>
      <c r="T288" s="19">
        <f t="shared" si="95"/>
        <v>0</v>
      </c>
      <c r="U288" s="17"/>
      <c r="V288" s="19">
        <f t="shared" si="88"/>
        <v>154.01824765280222</v>
      </c>
      <c r="W288" s="17"/>
      <c r="X288" s="19">
        <f t="shared" si="89"/>
        <v>0.58899845436632303</v>
      </c>
      <c r="Y288" s="19">
        <f t="shared" si="90"/>
        <v>0.76746234719777817</v>
      </c>
      <c r="Z288" s="19"/>
      <c r="AA288" s="19">
        <f t="shared" si="91"/>
        <v>4.9877235013448484E-6</v>
      </c>
    </row>
    <row r="289" spans="2:27" x14ac:dyDescent="0.35">
      <c r="B289" s="27">
        <v>25.1</v>
      </c>
      <c r="C289" s="27">
        <v>157.78570999999999</v>
      </c>
      <c r="D289" s="19">
        <f t="shared" si="78"/>
        <v>42.365230583371769</v>
      </c>
      <c r="E289" s="19">
        <f t="shared" si="79"/>
        <v>-0.22280480439891259</v>
      </c>
      <c r="F289" s="19">
        <f t="shared" si="80"/>
        <v>0.70277542266378079</v>
      </c>
      <c r="G289" s="19">
        <f t="shared" si="81"/>
        <v>0.70277542266378079</v>
      </c>
      <c r="H289" s="19">
        <f t="shared" si="82"/>
        <v>0.70277542266378079</v>
      </c>
      <c r="I289" s="17"/>
      <c r="J289" s="19">
        <f t="shared" si="83"/>
        <v>38.709154461906174</v>
      </c>
      <c r="K289" s="19">
        <f t="shared" si="84"/>
        <v>0.49017927764623875</v>
      </c>
      <c r="L289" s="19">
        <f t="shared" si="85"/>
        <v>0.85704281967794993</v>
      </c>
      <c r="M289" s="19">
        <f t="shared" si="86"/>
        <v>0.85704281967794993</v>
      </c>
      <c r="N289" s="19">
        <f t="shared" si="87"/>
        <v>0.85704281967794993</v>
      </c>
      <c r="O289" s="17"/>
      <c r="P289" s="19">
        <f t="shared" si="77"/>
        <v>34.491540136891608</v>
      </c>
      <c r="Q289" s="19">
        <f t="shared" si="92"/>
        <v>118.63444981839312</v>
      </c>
      <c r="R289" s="19">
        <f t="shared" si="93"/>
        <v>0</v>
      </c>
      <c r="S289" s="19">
        <f t="shared" si="94"/>
        <v>0</v>
      </c>
      <c r="T289" s="19">
        <f t="shared" si="95"/>
        <v>0</v>
      </c>
      <c r="U289" s="17"/>
      <c r="V289" s="19">
        <f t="shared" si="88"/>
        <v>153.12598995528472</v>
      </c>
      <c r="W289" s="17"/>
      <c r="X289" s="19">
        <f t="shared" si="89"/>
        <v>21.712990895121294</v>
      </c>
      <c r="Y289" s="19">
        <f t="shared" si="90"/>
        <v>4.6597200447152716</v>
      </c>
      <c r="Z289" s="19"/>
      <c r="AA289" s="19">
        <f t="shared" si="91"/>
        <v>3.0283433788738862E-5</v>
      </c>
    </row>
    <row r="290" spans="2:27" x14ac:dyDescent="0.35">
      <c r="B290" s="27">
        <v>25.2</v>
      </c>
      <c r="C290" s="27">
        <v>144.28570999999999</v>
      </c>
      <c r="D290" s="19">
        <f t="shared" si="78"/>
        <v>42.505729921794256</v>
      </c>
      <c r="E290" s="19">
        <f t="shared" si="79"/>
        <v>-0.21667987557179047</v>
      </c>
      <c r="F290" s="19">
        <f t="shared" si="80"/>
        <v>0.71388653377489142</v>
      </c>
      <c r="G290" s="19">
        <f t="shared" si="81"/>
        <v>0.71388653377489142</v>
      </c>
      <c r="H290" s="19">
        <f t="shared" si="82"/>
        <v>0.71388653377489142</v>
      </c>
      <c r="I290" s="17"/>
      <c r="J290" s="19">
        <f t="shared" si="83"/>
        <v>38.846121678070062</v>
      </c>
      <c r="K290" s="19">
        <f t="shared" si="84"/>
        <v>0.49219678908097608</v>
      </c>
      <c r="L290" s="19">
        <f t="shared" si="85"/>
        <v>0.86217895695929891</v>
      </c>
      <c r="M290" s="19">
        <f t="shared" si="86"/>
        <v>0.86217895695929891</v>
      </c>
      <c r="N290" s="19">
        <f t="shared" si="87"/>
        <v>0.86217895695929891</v>
      </c>
      <c r="O290" s="17"/>
      <c r="P290" s="19">
        <f t="shared" si="77"/>
        <v>34.25178338152346</v>
      </c>
      <c r="Q290" s="19">
        <f t="shared" si="92"/>
        <v>117.98842679808806</v>
      </c>
      <c r="R290" s="19">
        <f t="shared" si="93"/>
        <v>0</v>
      </c>
      <c r="S290" s="19">
        <f t="shared" si="94"/>
        <v>0</v>
      </c>
      <c r="T290" s="19">
        <f t="shared" si="95"/>
        <v>0</v>
      </c>
      <c r="U290" s="17"/>
      <c r="V290" s="19">
        <f t="shared" si="88"/>
        <v>152.24021017961152</v>
      </c>
      <c r="W290" s="17"/>
      <c r="X290" s="19">
        <f t="shared" si="89"/>
        <v>63.27407310743984</v>
      </c>
      <c r="Y290" s="19">
        <f t="shared" si="90"/>
        <v>7.9545001796115287</v>
      </c>
      <c r="Z290" s="19"/>
      <c r="AA290" s="19">
        <f t="shared" si="91"/>
        <v>5.1696148523982082E-5</v>
      </c>
    </row>
    <row r="291" spans="2:27" x14ac:dyDescent="0.35">
      <c r="B291" s="27">
        <v>25.3</v>
      </c>
      <c r="C291" s="27">
        <v>158.53570999999999</v>
      </c>
      <c r="D291" s="19">
        <f t="shared" si="78"/>
        <v>42.646229260216749</v>
      </c>
      <c r="E291" s="19">
        <f t="shared" si="79"/>
        <v>-0.21055494674466835</v>
      </c>
      <c r="F291" s="19">
        <f t="shared" si="80"/>
        <v>0.72499764488600293</v>
      </c>
      <c r="G291" s="19">
        <f t="shared" si="81"/>
        <v>0.72499764488600293</v>
      </c>
      <c r="H291" s="19">
        <f t="shared" si="82"/>
        <v>0.72499764488600293</v>
      </c>
      <c r="I291" s="17"/>
      <c r="J291" s="19">
        <f t="shared" si="83"/>
        <v>38.983101015292043</v>
      </c>
      <c r="K291" s="19">
        <f t="shared" si="84"/>
        <v>0.49421985779418259</v>
      </c>
      <c r="L291" s="19">
        <f t="shared" si="85"/>
        <v>0.86733157767192726</v>
      </c>
      <c r="M291" s="19">
        <f t="shared" si="86"/>
        <v>0.86733157767192726</v>
      </c>
      <c r="N291" s="19">
        <f t="shared" si="87"/>
        <v>0.86733157767192726</v>
      </c>
      <c r="O291" s="17"/>
      <c r="P291" s="19">
        <f t="shared" si="77"/>
        <v>34.014497097060726</v>
      </c>
      <c r="Q291" s="19">
        <f t="shared" si="92"/>
        <v>117.34635189457173</v>
      </c>
      <c r="R291" s="19">
        <f t="shared" si="93"/>
        <v>0</v>
      </c>
      <c r="S291" s="19">
        <f t="shared" si="94"/>
        <v>0</v>
      </c>
      <c r="T291" s="19">
        <f t="shared" si="95"/>
        <v>0</v>
      </c>
      <c r="U291" s="17"/>
      <c r="V291" s="19">
        <f t="shared" si="88"/>
        <v>151.36084899163245</v>
      </c>
      <c r="W291" s="17"/>
      <c r="X291" s="19">
        <f t="shared" si="89"/>
        <v>51.47863048939292</v>
      </c>
      <c r="Y291" s="19">
        <f t="shared" si="90"/>
        <v>7.174861008367543</v>
      </c>
      <c r="Z291" s="19"/>
      <c r="AA291" s="19">
        <f t="shared" si="91"/>
        <v>4.6629288069940112E-5</v>
      </c>
    </row>
    <row r="292" spans="2:27" x14ac:dyDescent="0.35">
      <c r="B292" s="27">
        <v>25.4</v>
      </c>
      <c r="C292" s="27">
        <v>168.28570999999999</v>
      </c>
      <c r="D292" s="19">
        <f t="shared" si="78"/>
        <v>42.786728598639236</v>
      </c>
      <c r="E292" s="19">
        <f t="shared" si="79"/>
        <v>-0.204430017917546</v>
      </c>
      <c r="F292" s="19">
        <f t="shared" si="80"/>
        <v>0.73610875599711401</v>
      </c>
      <c r="G292" s="19">
        <f t="shared" si="81"/>
        <v>0.73610875599711401</v>
      </c>
      <c r="H292" s="19">
        <f t="shared" si="82"/>
        <v>0.73610875599711401</v>
      </c>
      <c r="I292" s="17"/>
      <c r="J292" s="19">
        <f t="shared" si="83"/>
        <v>39.12009239172378</v>
      </c>
      <c r="K292" s="19">
        <f t="shared" si="84"/>
        <v>0.49624848399326593</v>
      </c>
      <c r="L292" s="19">
        <f t="shared" si="85"/>
        <v>0.87250064343808587</v>
      </c>
      <c r="M292" s="19">
        <f t="shared" si="86"/>
        <v>0.87250064343808587</v>
      </c>
      <c r="N292" s="19">
        <f t="shared" si="87"/>
        <v>0.87250064343808587</v>
      </c>
      <c r="O292" s="17"/>
      <c r="P292" s="19">
        <f t="shared" si="77"/>
        <v>33.779647670703334</v>
      </c>
      <c r="Q292" s="19">
        <f t="shared" si="92"/>
        <v>116.70820012074667</v>
      </c>
      <c r="R292" s="19">
        <f t="shared" si="93"/>
        <v>0</v>
      </c>
      <c r="S292" s="19">
        <f t="shared" si="94"/>
        <v>0</v>
      </c>
      <c r="T292" s="19">
        <f t="shared" si="95"/>
        <v>0</v>
      </c>
      <c r="U292" s="17"/>
      <c r="V292" s="19">
        <f t="shared" si="88"/>
        <v>150.48784779145001</v>
      </c>
      <c r="W292" s="17"/>
      <c r="X292" s="19">
        <f t="shared" si="89"/>
        <v>316.7638991945318</v>
      </c>
      <c r="Y292" s="19">
        <f t="shared" si="90"/>
        <v>17.797862208549986</v>
      </c>
      <c r="Z292" s="19"/>
      <c r="AA292" s="19">
        <f t="shared" si="91"/>
        <v>1.1566797502888504E-4</v>
      </c>
    </row>
    <row r="293" spans="2:27" x14ac:dyDescent="0.35">
      <c r="B293" s="27">
        <v>25.5</v>
      </c>
      <c r="C293" s="27">
        <v>159.53570999999999</v>
      </c>
      <c r="D293" s="19">
        <f t="shared" si="78"/>
        <v>42.92722793706173</v>
      </c>
      <c r="E293" s="19">
        <f t="shared" si="79"/>
        <v>-0.19830508909042366</v>
      </c>
      <c r="F293" s="19">
        <f t="shared" si="80"/>
        <v>0.74721986710822508</v>
      </c>
      <c r="G293" s="19">
        <f t="shared" si="81"/>
        <v>0.74721986710822508</v>
      </c>
      <c r="H293" s="19">
        <f t="shared" si="82"/>
        <v>0.74721986710822508</v>
      </c>
      <c r="I293" s="17"/>
      <c r="J293" s="19">
        <f t="shared" si="83"/>
        <v>39.257095726335976</v>
      </c>
      <c r="K293" s="19">
        <f t="shared" si="84"/>
        <v>0.49828266782339053</v>
      </c>
      <c r="L293" s="19">
        <f t="shared" si="85"/>
        <v>0.87768611564206356</v>
      </c>
      <c r="M293" s="19">
        <f t="shared" si="86"/>
        <v>0.87768611564206356</v>
      </c>
      <c r="N293" s="19">
        <f t="shared" si="87"/>
        <v>0.87768611564206356</v>
      </c>
      <c r="O293" s="17"/>
      <c r="P293" s="19">
        <f t="shared" si="77"/>
        <v>33.547202056499636</v>
      </c>
      <c r="Q293" s="19">
        <f t="shared" si="92"/>
        <v>116.07394664435218</v>
      </c>
      <c r="R293" s="19">
        <f t="shared" si="93"/>
        <v>0</v>
      </c>
      <c r="S293" s="19">
        <f t="shared" si="94"/>
        <v>0</v>
      </c>
      <c r="T293" s="19">
        <f t="shared" si="95"/>
        <v>0</v>
      </c>
      <c r="U293" s="17"/>
      <c r="V293" s="19">
        <f t="shared" si="88"/>
        <v>149.62114870085182</v>
      </c>
      <c r="W293" s="17"/>
      <c r="X293" s="19">
        <f t="shared" si="89"/>
        <v>98.298525754566754</v>
      </c>
      <c r="Y293" s="19">
        <f t="shared" si="90"/>
        <v>9.9145612991481755</v>
      </c>
      <c r="Z293" s="19"/>
      <c r="AA293" s="19">
        <f t="shared" si="91"/>
        <v>6.4434549235992326E-5</v>
      </c>
    </row>
    <row r="294" spans="2:27" x14ac:dyDescent="0.35">
      <c r="B294" s="27">
        <v>25.6</v>
      </c>
      <c r="C294" s="27">
        <v>137.78570999999999</v>
      </c>
      <c r="D294" s="19">
        <f t="shared" si="78"/>
        <v>43.067727275484224</v>
      </c>
      <c r="E294" s="19">
        <f t="shared" si="79"/>
        <v>-0.19218016026330131</v>
      </c>
      <c r="F294" s="19">
        <f t="shared" si="80"/>
        <v>0.75833097821933659</v>
      </c>
      <c r="G294" s="19">
        <f t="shared" si="81"/>
        <v>0.75833097821933659</v>
      </c>
      <c r="H294" s="19">
        <f t="shared" si="82"/>
        <v>0.75833097821933659</v>
      </c>
      <c r="I294" s="17"/>
      <c r="J294" s="19">
        <f t="shared" si="83"/>
        <v>39.394110938907517</v>
      </c>
      <c r="K294" s="19">
        <f t="shared" si="84"/>
        <v>0.50032240936763928</v>
      </c>
      <c r="L294" s="19">
        <f t="shared" si="85"/>
        <v>0.88288795543543153</v>
      </c>
      <c r="M294" s="19">
        <f t="shared" si="86"/>
        <v>0.88288795543543153</v>
      </c>
      <c r="N294" s="19">
        <f t="shared" si="87"/>
        <v>0.88288795543543153</v>
      </c>
      <c r="O294" s="17"/>
      <c r="P294" s="19">
        <f t="shared" si="77"/>
        <v>33.317127763962127</v>
      </c>
      <c r="Q294" s="19">
        <f t="shared" si="92"/>
        <v>115.44356678705844</v>
      </c>
      <c r="R294" s="19">
        <f t="shared" si="93"/>
        <v>0</v>
      </c>
      <c r="S294" s="19">
        <f t="shared" si="94"/>
        <v>0</v>
      </c>
      <c r="T294" s="19">
        <f t="shared" si="95"/>
        <v>0</v>
      </c>
      <c r="U294" s="17"/>
      <c r="V294" s="19">
        <f t="shared" si="88"/>
        <v>148.76069455102058</v>
      </c>
      <c r="W294" s="17"/>
      <c r="X294" s="19">
        <f t="shared" si="89"/>
        <v>120.45028589514047</v>
      </c>
      <c r="Y294" s="19">
        <f t="shared" si="90"/>
        <v>10.974984551020583</v>
      </c>
      <c r="Z294" s="19"/>
      <c r="AA294" s="19">
        <f t="shared" si="91"/>
        <v>7.1326220200761502E-5</v>
      </c>
    </row>
    <row r="295" spans="2:27" x14ac:dyDescent="0.35">
      <c r="B295" s="27">
        <v>25.7</v>
      </c>
      <c r="C295" s="27">
        <v>162.78570999999999</v>
      </c>
      <c r="D295" s="19">
        <f t="shared" si="78"/>
        <v>43.20822661390671</v>
      </c>
      <c r="E295" s="19">
        <f t="shared" si="79"/>
        <v>-0.18605523143617919</v>
      </c>
      <c r="F295" s="19">
        <f t="shared" si="80"/>
        <v>0.76944208933044722</v>
      </c>
      <c r="G295" s="19">
        <f t="shared" si="81"/>
        <v>0.76944208933044722</v>
      </c>
      <c r="H295" s="19">
        <f t="shared" si="82"/>
        <v>0.76944208933044722</v>
      </c>
      <c r="I295" s="17"/>
      <c r="J295" s="19">
        <f t="shared" si="83"/>
        <v>39.531137950014859</v>
      </c>
      <c r="K295" s="19">
        <f t="shared" si="84"/>
        <v>0.50236770864717784</v>
      </c>
      <c r="L295" s="19">
        <f t="shared" si="85"/>
        <v>0.88810612374225584</v>
      </c>
      <c r="M295" s="19">
        <f t="shared" si="86"/>
        <v>0.88810612374225584</v>
      </c>
      <c r="N295" s="19">
        <f t="shared" si="87"/>
        <v>0.88810612374225584</v>
      </c>
      <c r="O295" s="17"/>
      <c r="P295" s="19">
        <f t="shared" si="77"/>
        <v>33.089392846948073</v>
      </c>
      <c r="Q295" s="19">
        <f t="shared" si="92"/>
        <v>114.81703602356596</v>
      </c>
      <c r="R295" s="19">
        <f t="shared" si="93"/>
        <v>0</v>
      </c>
      <c r="S295" s="19">
        <f t="shared" si="94"/>
        <v>0</v>
      </c>
      <c r="T295" s="19">
        <f t="shared" si="95"/>
        <v>0</v>
      </c>
      <c r="U295" s="17"/>
      <c r="V295" s="19">
        <f t="shared" si="88"/>
        <v>147.90642887051405</v>
      </c>
      <c r="W295" s="17"/>
      <c r="X295" s="19">
        <f t="shared" si="89"/>
        <v>221.39300693027658</v>
      </c>
      <c r="Y295" s="19">
        <f t="shared" si="90"/>
        <v>14.879281129485946</v>
      </c>
      <c r="Z295" s="19"/>
      <c r="AA295" s="19">
        <f t="shared" si="91"/>
        <v>9.6700170951225566E-5</v>
      </c>
    </row>
    <row r="296" spans="2:27" x14ac:dyDescent="0.35">
      <c r="B296" s="27">
        <v>25.8</v>
      </c>
      <c r="C296" s="27">
        <v>147.53570999999999</v>
      </c>
      <c r="D296" s="19">
        <f t="shared" si="78"/>
        <v>43.348725952329204</v>
      </c>
      <c r="E296" s="19">
        <f t="shared" si="79"/>
        <v>-0.17993030260905685</v>
      </c>
      <c r="F296" s="19">
        <f t="shared" si="80"/>
        <v>0.78055320044155829</v>
      </c>
      <c r="G296" s="19">
        <f t="shared" si="81"/>
        <v>0.78055320044155829</v>
      </c>
      <c r="H296" s="19">
        <f t="shared" si="82"/>
        <v>0.78055320044155829</v>
      </c>
      <c r="I296" s="17"/>
      <c r="J296" s="19">
        <f t="shared" si="83"/>
        <v>39.668176681021556</v>
      </c>
      <c r="K296" s="19">
        <f t="shared" si="84"/>
        <v>0.50441856562142195</v>
      </c>
      <c r="L296" s="19">
        <f t="shared" si="85"/>
        <v>0.89334058126427929</v>
      </c>
      <c r="M296" s="19">
        <f t="shared" si="86"/>
        <v>0.89334058126427929</v>
      </c>
      <c r="N296" s="19">
        <f t="shared" si="87"/>
        <v>0.89334058126427929</v>
      </c>
      <c r="O296" s="17"/>
      <c r="P296" s="19">
        <f t="shared" ref="P296:P359" si="96">(C$21*C$23/(1-C$23)^2*$A$21*C$22)/(J296+J296^2)</f>
        <v>32.863965892798028</v>
      </c>
      <c r="Q296" s="19">
        <f t="shared" si="92"/>
        <v>114.19432998070994</v>
      </c>
      <c r="R296" s="19">
        <f t="shared" si="93"/>
        <v>0</v>
      </c>
      <c r="S296" s="19">
        <f t="shared" si="94"/>
        <v>0</v>
      </c>
      <c r="T296" s="19">
        <f t="shared" si="95"/>
        <v>0</v>
      </c>
      <c r="U296" s="17"/>
      <c r="V296" s="19">
        <f t="shared" si="88"/>
        <v>147.05829587350797</v>
      </c>
      <c r="W296" s="17"/>
      <c r="X296" s="19">
        <f t="shared" si="89"/>
        <v>0.22792424817414014</v>
      </c>
      <c r="Y296" s="19">
        <f t="shared" si="90"/>
        <v>0.47741412649202175</v>
      </c>
      <c r="Z296" s="19"/>
      <c r="AA296" s="19">
        <f t="shared" si="91"/>
        <v>3.1027055167888673E-6</v>
      </c>
    </row>
    <row r="297" spans="2:27" x14ac:dyDescent="0.35">
      <c r="B297" s="27">
        <v>25.9</v>
      </c>
      <c r="C297" s="27">
        <v>153.53570999999999</v>
      </c>
      <c r="D297" s="19">
        <f t="shared" si="78"/>
        <v>43.489225290751691</v>
      </c>
      <c r="E297" s="19">
        <f t="shared" si="79"/>
        <v>-0.1738053737819345</v>
      </c>
      <c r="F297" s="19">
        <f t="shared" si="80"/>
        <v>0.79166431155266936</v>
      </c>
      <c r="G297" s="19">
        <f t="shared" si="81"/>
        <v>0.79166431155266936</v>
      </c>
      <c r="H297" s="19">
        <f t="shared" si="82"/>
        <v>0.79166431155266936</v>
      </c>
      <c r="I297" s="17"/>
      <c r="J297" s="19">
        <f t="shared" si="83"/>
        <v>39.805227054067942</v>
      </c>
      <c r="K297" s="19">
        <f t="shared" si="84"/>
        <v>0.50647498018820758</v>
      </c>
      <c r="L297" s="19">
        <f t="shared" si="85"/>
        <v>0.89859128848606407</v>
      </c>
      <c r="M297" s="19">
        <f t="shared" si="86"/>
        <v>0.89859128848606407</v>
      </c>
      <c r="N297" s="19">
        <f t="shared" si="87"/>
        <v>0.89859128848606407</v>
      </c>
      <c r="O297" s="17"/>
      <c r="P297" s="19">
        <f t="shared" si="96"/>
        <v>32.640816011725427</v>
      </c>
      <c r="Q297" s="19">
        <f t="shared" si="92"/>
        <v>113.57542443656969</v>
      </c>
      <c r="R297" s="19">
        <f t="shared" si="93"/>
        <v>0</v>
      </c>
      <c r="S297" s="19">
        <f t="shared" si="94"/>
        <v>0</v>
      </c>
      <c r="T297" s="19">
        <f t="shared" si="95"/>
        <v>0</v>
      </c>
      <c r="U297" s="17"/>
      <c r="V297" s="19">
        <f t="shared" si="88"/>
        <v>146.21624044829511</v>
      </c>
      <c r="W297" s="17"/>
      <c r="X297" s="19">
        <f t="shared" si="89"/>
        <v>53.574634518334896</v>
      </c>
      <c r="Y297" s="19">
        <f t="shared" si="90"/>
        <v>7.3194695517048842</v>
      </c>
      <c r="Z297" s="19"/>
      <c r="AA297" s="19">
        <f t="shared" si="91"/>
        <v>4.756909629992358E-5</v>
      </c>
    </row>
    <row r="298" spans="2:27" x14ac:dyDescent="0.35">
      <c r="B298" s="27">
        <v>26</v>
      </c>
      <c r="C298" s="27">
        <v>149.28570999999999</v>
      </c>
      <c r="D298" s="19">
        <f t="shared" si="78"/>
        <v>43.629724629174184</v>
      </c>
      <c r="E298" s="19">
        <f t="shared" si="79"/>
        <v>-0.16768044495481238</v>
      </c>
      <c r="F298" s="19">
        <f t="shared" si="80"/>
        <v>0.80277542266378044</v>
      </c>
      <c r="G298" s="19">
        <f t="shared" si="81"/>
        <v>0.80277542266378044</v>
      </c>
      <c r="H298" s="19">
        <f t="shared" si="82"/>
        <v>0.80277542266378044</v>
      </c>
      <c r="I298" s="17"/>
      <c r="J298" s="19">
        <f t="shared" si="83"/>
        <v>39.942288992061037</v>
      </c>
      <c r="K298" s="19">
        <f t="shared" si="84"/>
        <v>0.50853695218396289</v>
      </c>
      <c r="L298" s="19">
        <f t="shared" si="85"/>
        <v>0.90385820568010233</v>
      </c>
      <c r="M298" s="19">
        <f t="shared" si="86"/>
        <v>0.90385820568010233</v>
      </c>
      <c r="N298" s="19">
        <f t="shared" si="87"/>
        <v>0.90385820568010233</v>
      </c>
      <c r="O298" s="17"/>
      <c r="P298" s="19">
        <f t="shared" si="96"/>
        <v>32.419912826450627</v>
      </c>
      <c r="Q298" s="19">
        <f t="shared" si="92"/>
        <v>112.96029531958354</v>
      </c>
      <c r="R298" s="19">
        <f t="shared" si="93"/>
        <v>0</v>
      </c>
      <c r="S298" s="19">
        <f t="shared" si="94"/>
        <v>0</v>
      </c>
      <c r="T298" s="19">
        <f t="shared" si="95"/>
        <v>0</v>
      </c>
      <c r="U298" s="17"/>
      <c r="V298" s="19">
        <f t="shared" si="88"/>
        <v>145.38020814603416</v>
      </c>
      <c r="W298" s="17"/>
      <c r="X298" s="19">
        <f t="shared" si="89"/>
        <v>15.25294473133054</v>
      </c>
      <c r="Y298" s="19">
        <f t="shared" si="90"/>
        <v>3.9055018539658306</v>
      </c>
      <c r="Z298" s="19"/>
      <c r="AA298" s="19">
        <f t="shared" si="91"/>
        <v>2.5381783813494747E-5</v>
      </c>
    </row>
    <row r="299" spans="2:27" x14ac:dyDescent="0.35">
      <c r="B299" s="27">
        <v>26.1</v>
      </c>
      <c r="C299" s="27">
        <v>138.28570999999999</v>
      </c>
      <c r="D299" s="19">
        <f t="shared" si="78"/>
        <v>43.770223967596678</v>
      </c>
      <c r="E299" s="19">
        <f t="shared" si="79"/>
        <v>-0.16155551612769004</v>
      </c>
      <c r="F299" s="19">
        <f t="shared" si="80"/>
        <v>0.81388653377489195</v>
      </c>
      <c r="G299" s="19">
        <f t="shared" si="81"/>
        <v>0.81388653377489195</v>
      </c>
      <c r="H299" s="19">
        <f t="shared" si="82"/>
        <v>0.81388653377489195</v>
      </c>
      <c r="I299" s="17"/>
      <c r="J299" s="19">
        <f t="shared" si="83"/>
        <v>40.079362418664552</v>
      </c>
      <c r="K299" s="19">
        <f t="shared" si="84"/>
        <v>0.51060448138388481</v>
      </c>
      <c r="L299" s="19">
        <f t="shared" si="85"/>
        <v>0.90914129291189061</v>
      </c>
      <c r="M299" s="19">
        <f t="shared" si="86"/>
        <v>0.90914129291189061</v>
      </c>
      <c r="N299" s="19">
        <f t="shared" si="87"/>
        <v>0.90914129291189061</v>
      </c>
      <c r="O299" s="17"/>
      <c r="P299" s="19">
        <f t="shared" si="96"/>
        <v>32.20122646207318</v>
      </c>
      <c r="Q299" s="19">
        <f t="shared" si="92"/>
        <v>112.34891870766789</v>
      </c>
      <c r="R299" s="19">
        <f t="shared" si="93"/>
        <v>0</v>
      </c>
      <c r="S299" s="19">
        <f t="shared" si="94"/>
        <v>0</v>
      </c>
      <c r="T299" s="19">
        <f t="shared" si="95"/>
        <v>0</v>
      </c>
      <c r="U299" s="17"/>
      <c r="V299" s="19">
        <f t="shared" si="88"/>
        <v>144.55014516974109</v>
      </c>
      <c r="W299" s="17"/>
      <c r="X299" s="19">
        <f t="shared" si="89"/>
        <v>39.243147995889096</v>
      </c>
      <c r="Y299" s="19">
        <f t="shared" si="90"/>
        <v>6.2644351697410912</v>
      </c>
      <c r="Z299" s="19"/>
      <c r="AA299" s="19">
        <f t="shared" si="91"/>
        <v>4.0712447500329049E-5</v>
      </c>
    </row>
    <row r="300" spans="2:27" x14ac:dyDescent="0.35">
      <c r="B300" s="27">
        <v>26.2</v>
      </c>
      <c r="C300" s="27">
        <v>136.28570999999999</v>
      </c>
      <c r="D300" s="19">
        <f t="shared" si="78"/>
        <v>43.910723306019165</v>
      </c>
      <c r="E300" s="19">
        <f t="shared" si="79"/>
        <v>-0.15543058730056769</v>
      </c>
      <c r="F300" s="19">
        <f t="shared" si="80"/>
        <v>0.82499764488600258</v>
      </c>
      <c r="G300" s="19">
        <f t="shared" si="81"/>
        <v>0.82499764488600258</v>
      </c>
      <c r="H300" s="19">
        <f t="shared" si="82"/>
        <v>0.82499764488600258</v>
      </c>
      <c r="I300" s="17"/>
      <c r="J300" s="19">
        <f t="shared" si="83"/>
        <v>40.216447258289072</v>
      </c>
      <c r="K300" s="19">
        <f t="shared" si="84"/>
        <v>0.51267756750211591</v>
      </c>
      <c r="L300" s="19">
        <f t="shared" si="85"/>
        <v>0.91444051004496629</v>
      </c>
      <c r="M300" s="19">
        <f t="shared" si="86"/>
        <v>0.91444051004496629</v>
      </c>
      <c r="N300" s="19">
        <f t="shared" si="87"/>
        <v>0.91444051004496629</v>
      </c>
      <c r="O300" s="17"/>
      <c r="P300" s="19">
        <f t="shared" si="96"/>
        <v>31.984727536175907</v>
      </c>
      <c r="Q300" s="19">
        <f t="shared" si="92"/>
        <v>111.74127082734222</v>
      </c>
      <c r="R300" s="19">
        <f t="shared" si="93"/>
        <v>0</v>
      </c>
      <c r="S300" s="19">
        <f t="shared" si="94"/>
        <v>0</v>
      </c>
      <c r="T300" s="19">
        <f t="shared" si="95"/>
        <v>0</v>
      </c>
      <c r="U300" s="17"/>
      <c r="V300" s="19">
        <f t="shared" si="88"/>
        <v>143.72599836351813</v>
      </c>
      <c r="W300" s="17"/>
      <c r="X300" s="19">
        <f t="shared" si="89"/>
        <v>55.35789093230337</v>
      </c>
      <c r="Y300" s="19">
        <f t="shared" si="90"/>
        <v>7.4402883635181354</v>
      </c>
      <c r="Z300" s="19"/>
      <c r="AA300" s="19">
        <f t="shared" si="91"/>
        <v>4.8354295507788065E-5</v>
      </c>
    </row>
    <row r="301" spans="2:27" x14ac:dyDescent="0.35">
      <c r="B301" s="27">
        <v>26.3</v>
      </c>
      <c r="C301" s="27">
        <v>155.28570999999999</v>
      </c>
      <c r="D301" s="19">
        <f t="shared" si="78"/>
        <v>44.051222644441658</v>
      </c>
      <c r="E301" s="19">
        <f t="shared" si="79"/>
        <v>-0.14930565847344557</v>
      </c>
      <c r="F301" s="19">
        <f t="shared" si="80"/>
        <v>0.83610875599711409</v>
      </c>
      <c r="G301" s="19">
        <f t="shared" si="81"/>
        <v>0.83610875599711409</v>
      </c>
      <c r="H301" s="19">
        <f t="shared" si="82"/>
        <v>0.83610875599711409</v>
      </c>
      <c r="I301" s="17"/>
      <c r="J301" s="19">
        <f t="shared" si="83"/>
        <v>40.353543436082482</v>
      </c>
      <c r="K301" s="19">
        <f t="shared" si="84"/>
        <v>0.51475621019192552</v>
      </c>
      <c r="L301" s="19">
        <f t="shared" si="85"/>
        <v>0.919755816745911</v>
      </c>
      <c r="M301" s="19">
        <f t="shared" si="86"/>
        <v>0.919755816745911</v>
      </c>
      <c r="N301" s="19">
        <f t="shared" si="87"/>
        <v>0.919755816745911</v>
      </c>
      <c r="O301" s="17"/>
      <c r="P301" s="19">
        <f t="shared" si="96"/>
        <v>31.77038714915474</v>
      </c>
      <c r="Q301" s="19">
        <f t="shared" si="92"/>
        <v>111.13732805285827</v>
      </c>
      <c r="R301" s="19">
        <f t="shared" si="93"/>
        <v>0</v>
      </c>
      <c r="S301" s="19">
        <f t="shared" si="94"/>
        <v>0</v>
      </c>
      <c r="T301" s="19">
        <f t="shared" si="95"/>
        <v>0</v>
      </c>
      <c r="U301" s="17"/>
      <c r="V301" s="19">
        <f t="shared" si="88"/>
        <v>142.90771520201301</v>
      </c>
      <c r="W301" s="17"/>
      <c r="X301" s="19">
        <f t="shared" si="89"/>
        <v>153.21475521899288</v>
      </c>
      <c r="Y301" s="19">
        <f t="shared" si="90"/>
        <v>12.377994797986986</v>
      </c>
      <c r="Z301" s="19"/>
      <c r="AA301" s="19">
        <f t="shared" si="91"/>
        <v>8.0444357666362284E-5</v>
      </c>
    </row>
    <row r="302" spans="2:27" x14ac:dyDescent="0.35">
      <c r="B302" s="27">
        <v>26.4</v>
      </c>
      <c r="C302" s="27">
        <v>137.53570999999999</v>
      </c>
      <c r="D302" s="19">
        <f t="shared" si="78"/>
        <v>44.191721982864145</v>
      </c>
      <c r="E302" s="19">
        <f t="shared" si="79"/>
        <v>-0.14318072964632345</v>
      </c>
      <c r="F302" s="19">
        <f t="shared" si="80"/>
        <v>0.84721986710822517</v>
      </c>
      <c r="G302" s="19">
        <f t="shared" si="81"/>
        <v>0.84721986710822517</v>
      </c>
      <c r="H302" s="19">
        <f t="shared" si="82"/>
        <v>0.84721986710822517</v>
      </c>
      <c r="I302" s="17"/>
      <c r="J302" s="19">
        <f t="shared" si="83"/>
        <v>40.490650877920373</v>
      </c>
      <c r="K302" s="19">
        <f t="shared" si="84"/>
        <v>0.51684040904589301</v>
      </c>
      <c r="L302" s="19">
        <f t="shared" si="85"/>
        <v>0.92508717248931138</v>
      </c>
      <c r="M302" s="19">
        <f t="shared" si="86"/>
        <v>0.92508717248931138</v>
      </c>
      <c r="N302" s="19">
        <f t="shared" si="87"/>
        <v>0.92508717248931138</v>
      </c>
      <c r="O302" s="17"/>
      <c r="P302" s="19">
        <f t="shared" si="96"/>
        <v>31.55817687476884</v>
      </c>
      <c r="Q302" s="19">
        <f t="shared" si="92"/>
        <v>110.53706690533453</v>
      </c>
      <c r="R302" s="19">
        <f t="shared" si="93"/>
        <v>0</v>
      </c>
      <c r="S302" s="19">
        <f t="shared" si="94"/>
        <v>0</v>
      </c>
      <c r="T302" s="19">
        <f t="shared" si="95"/>
        <v>0</v>
      </c>
      <c r="U302" s="17"/>
      <c r="V302" s="19">
        <f t="shared" si="88"/>
        <v>142.09524378010337</v>
      </c>
      <c r="W302" s="17"/>
      <c r="X302" s="19">
        <f t="shared" si="89"/>
        <v>20.78934829190381</v>
      </c>
      <c r="Y302" s="19">
        <f t="shared" si="90"/>
        <v>4.5595337801033793</v>
      </c>
      <c r="Z302" s="19"/>
      <c r="AA302" s="19">
        <f t="shared" si="91"/>
        <v>2.9632325120878814E-5</v>
      </c>
    </row>
    <row r="303" spans="2:27" x14ac:dyDescent="0.35">
      <c r="B303" s="27">
        <v>26.5</v>
      </c>
      <c r="C303" s="27">
        <v>114.03570999999999</v>
      </c>
      <c r="D303" s="19">
        <f t="shared" si="78"/>
        <v>44.332221321286639</v>
      </c>
      <c r="E303" s="19">
        <f t="shared" si="79"/>
        <v>-0.13705580081920088</v>
      </c>
      <c r="F303" s="19">
        <f t="shared" si="80"/>
        <v>0.85833097821933624</v>
      </c>
      <c r="G303" s="19">
        <f t="shared" si="81"/>
        <v>0.85833097821933624</v>
      </c>
      <c r="H303" s="19">
        <f t="shared" si="82"/>
        <v>0.85833097821933624</v>
      </c>
      <c r="I303" s="17"/>
      <c r="J303" s="19">
        <f t="shared" si="83"/>
        <v>40.627769510396767</v>
      </c>
      <c r="K303" s="19">
        <f t="shared" si="84"/>
        <v>0.5189301635960939</v>
      </c>
      <c r="L303" s="19">
        <f t="shared" si="85"/>
        <v>0.93043453656268704</v>
      </c>
      <c r="M303" s="19">
        <f t="shared" si="86"/>
        <v>0.93043453656268704</v>
      </c>
      <c r="N303" s="19">
        <f t="shared" si="87"/>
        <v>0.93043453656268704</v>
      </c>
      <c r="O303" s="17"/>
      <c r="P303" s="19">
        <f t="shared" si="96"/>
        <v>31.348068750904766</v>
      </c>
      <c r="Q303" s="19">
        <f t="shared" si="92"/>
        <v>109.94046405189536</v>
      </c>
      <c r="R303" s="19">
        <f t="shared" si="93"/>
        <v>0</v>
      </c>
      <c r="S303" s="19">
        <f t="shared" si="94"/>
        <v>0</v>
      </c>
      <c r="T303" s="19">
        <f t="shared" si="95"/>
        <v>0</v>
      </c>
      <c r="U303" s="17"/>
      <c r="V303" s="19">
        <f t="shared" si="88"/>
        <v>141.28853280280012</v>
      </c>
      <c r="W303" s="17"/>
      <c r="X303" s="19">
        <f t="shared" si="89"/>
        <v>742.71635072082245</v>
      </c>
      <c r="Y303" s="19">
        <f t="shared" si="90"/>
        <v>27.252822802800125</v>
      </c>
      <c r="Z303" s="19"/>
      <c r="AA303" s="19">
        <f t="shared" si="91"/>
        <v>1.7711558784327353E-4</v>
      </c>
    </row>
    <row r="304" spans="2:27" x14ac:dyDescent="0.35">
      <c r="B304" s="27">
        <v>26.6</v>
      </c>
      <c r="C304" s="27">
        <v>142.03570999999999</v>
      </c>
      <c r="D304" s="19">
        <f t="shared" si="78"/>
        <v>44.472720659709132</v>
      </c>
      <c r="E304" s="19">
        <f t="shared" si="79"/>
        <v>-0.13093087199207876</v>
      </c>
      <c r="F304" s="19">
        <f t="shared" si="80"/>
        <v>0.86944208933044731</v>
      </c>
      <c r="G304" s="19">
        <f t="shared" si="81"/>
        <v>0.86944208933044731</v>
      </c>
      <c r="H304" s="19">
        <f t="shared" si="82"/>
        <v>0.86944208933044731</v>
      </c>
      <c r="I304" s="17"/>
      <c r="J304" s="19">
        <f t="shared" si="83"/>
        <v>40.7648992608149</v>
      </c>
      <c r="K304" s="19">
        <f t="shared" si="84"/>
        <v>0.52102547331428717</v>
      </c>
      <c r="L304" s="19">
        <f t="shared" si="85"/>
        <v>0.93579786807137655</v>
      </c>
      <c r="M304" s="19">
        <f t="shared" si="86"/>
        <v>0.93579786807137655</v>
      </c>
      <c r="N304" s="19">
        <f t="shared" si="87"/>
        <v>0.93579786807137655</v>
      </c>
      <c r="O304" s="17"/>
      <c r="P304" s="19">
        <f t="shared" si="96"/>
        <v>31.140035270549614</v>
      </c>
      <c r="Q304" s="19">
        <f t="shared" si="92"/>
        <v>109.34749630481539</v>
      </c>
      <c r="R304" s="19">
        <f t="shared" si="93"/>
        <v>0</v>
      </c>
      <c r="S304" s="19">
        <f t="shared" si="94"/>
        <v>0</v>
      </c>
      <c r="T304" s="19">
        <f t="shared" si="95"/>
        <v>0</v>
      </c>
      <c r="U304" s="17"/>
      <c r="V304" s="19">
        <f t="shared" si="88"/>
        <v>140.48753157536501</v>
      </c>
      <c r="W304" s="17"/>
      <c r="X304" s="19">
        <f t="shared" si="89"/>
        <v>2.3968564345052585</v>
      </c>
      <c r="Y304" s="19">
        <f t="shared" si="90"/>
        <v>1.5481784246349832</v>
      </c>
      <c r="Z304" s="19"/>
      <c r="AA304" s="19">
        <f t="shared" si="91"/>
        <v>1.0061582748680424E-5</v>
      </c>
    </row>
    <row r="305" spans="2:27" x14ac:dyDescent="0.35">
      <c r="B305" s="27">
        <v>26.7</v>
      </c>
      <c r="C305" s="27">
        <v>143.03570999999999</v>
      </c>
      <c r="D305" s="19">
        <f t="shared" si="78"/>
        <v>44.613219998131619</v>
      </c>
      <c r="E305" s="19">
        <f t="shared" si="79"/>
        <v>-0.12480594316495663</v>
      </c>
      <c r="F305" s="19">
        <f t="shared" si="80"/>
        <v>0.88055320044155794</v>
      </c>
      <c r="G305" s="19">
        <f t="shared" si="81"/>
        <v>0.88055320044155794</v>
      </c>
      <c r="H305" s="19">
        <f t="shared" si="82"/>
        <v>0.88055320044155794</v>
      </c>
      <c r="I305" s="17"/>
      <c r="J305" s="19">
        <f t="shared" si="83"/>
        <v>40.902040057178176</v>
      </c>
      <c r="K305" s="19">
        <f t="shared" si="84"/>
        <v>0.52312633761210758</v>
      </c>
      <c r="L305" s="19">
        <f t="shared" si="85"/>
        <v>0.94117712594338676</v>
      </c>
      <c r="M305" s="19">
        <f t="shared" si="86"/>
        <v>0.94117712594338676</v>
      </c>
      <c r="N305" s="19">
        <f t="shared" si="87"/>
        <v>0.94117712594338676</v>
      </c>
      <c r="O305" s="17"/>
      <c r="P305" s="19">
        <f t="shared" si="96"/>
        <v>30.934049372967525</v>
      </c>
      <c r="Q305" s="19">
        <f t="shared" si="92"/>
        <v>108.75814062066813</v>
      </c>
      <c r="R305" s="19">
        <f t="shared" si="93"/>
        <v>0</v>
      </c>
      <c r="S305" s="19">
        <f t="shared" si="94"/>
        <v>0</v>
      </c>
      <c r="T305" s="19">
        <f t="shared" si="95"/>
        <v>0</v>
      </c>
      <c r="U305" s="17"/>
      <c r="V305" s="19">
        <f t="shared" si="88"/>
        <v>139.69218999363565</v>
      </c>
      <c r="W305" s="17"/>
      <c r="X305" s="19">
        <f t="shared" si="89"/>
        <v>11.179126032958619</v>
      </c>
      <c r="Y305" s="19">
        <f t="shared" si="90"/>
        <v>3.3435200063643435</v>
      </c>
      <c r="Z305" s="19"/>
      <c r="AA305" s="19">
        <f t="shared" si="91"/>
        <v>2.1729474252190902E-5</v>
      </c>
    </row>
    <row r="306" spans="2:27" x14ac:dyDescent="0.35">
      <c r="B306" s="27">
        <v>26.8</v>
      </c>
      <c r="C306" s="27">
        <v>139.53570999999999</v>
      </c>
      <c r="D306" s="19">
        <f t="shared" ref="D306:D369" si="97">$C$23/(1-$C$23)-LN((1-$C$23)/$C$23)+$C$22/(1-$C$23)*B306</f>
        <v>44.753719336554113</v>
      </c>
      <c r="E306" s="19">
        <f t="shared" ref="E306:E369" si="98">$D$23/(1-$D$23)-LN((1-$D$23)/$D$23)+$D$22*B306/(1-$D$23)</f>
        <v>-0.11868101433783407</v>
      </c>
      <c r="F306" s="19">
        <f t="shared" ref="F306:F369" si="99">$E$23/(1-$E$23)-LN((1-$E$23)/$E$23)+$E$22*B306/(1-$E$23)</f>
        <v>0.89166431155266945</v>
      </c>
      <c r="G306" s="19">
        <f t="shared" ref="G306:G369" si="100">$F$23/(1-$F$23)-LN((1-$F$23)/$F$23)+$F$22*B306/(1-$F$23)</f>
        <v>0.89166431155266945</v>
      </c>
      <c r="H306" s="19">
        <f t="shared" ref="H306:H369" si="101">$G$23/(1-$G$23)-LN((1-$G$23)/$G$23)+$G$22*B306/(1-$G$23)</f>
        <v>0.89166431155266945</v>
      </c>
      <c r="I306" s="17"/>
      <c r="J306" s="19">
        <f t="shared" ref="J306:J369" si="102">lmb_2(D306)</f>
        <v>41.039191828181274</v>
      </c>
      <c r="K306" s="19">
        <f t="shared" ref="K306:K369" si="103">lmb_2(E306)</f>
        <v>0.52523275584125795</v>
      </c>
      <c r="L306" s="19">
        <f t="shared" ref="L306:L369" si="104">lmb_2(F306)</f>
        <v>0.9465722689342021</v>
      </c>
      <c r="M306" s="19">
        <f t="shared" ref="M306:M369" si="105">lmb_2(G306)</f>
        <v>0.9465722689342021</v>
      </c>
      <c r="N306" s="19">
        <f t="shared" ref="N306:N369" si="106">lmb_2(H306)</f>
        <v>0.9465722689342021</v>
      </c>
      <c r="O306" s="17"/>
      <c r="P306" s="19">
        <f t="shared" si="96"/>
        <v>30.73008443507447</v>
      </c>
      <c r="Q306" s="19">
        <f t="shared" si="92"/>
        <v>108.17237409947977</v>
      </c>
      <c r="R306" s="19">
        <f t="shared" si="93"/>
        <v>0</v>
      </c>
      <c r="S306" s="19">
        <f t="shared" si="94"/>
        <v>0</v>
      </c>
      <c r="T306" s="19">
        <f t="shared" si="95"/>
        <v>0</v>
      </c>
      <c r="U306" s="17"/>
      <c r="V306" s="19">
        <f t="shared" ref="V306:V369" si="107">SUM(P306:T306)</f>
        <v>138.90245853455423</v>
      </c>
      <c r="W306" s="17"/>
      <c r="X306" s="19">
        <f t="shared" ref="X306:X369" si="108">(V306-C306)^2</f>
        <v>0.40100741848921123</v>
      </c>
      <c r="Y306" s="19">
        <f t="shared" ref="Y306:Y369" si="109">ABS(V306-C306)</f>
        <v>0.63325146544576683</v>
      </c>
      <c r="Z306" s="19"/>
      <c r="AA306" s="19">
        <f t="shared" ref="AA306:AA369" si="110">Y306/$Z$39</f>
        <v>4.115489480360087E-6</v>
      </c>
    </row>
    <row r="307" spans="2:27" x14ac:dyDescent="0.35">
      <c r="B307" s="27">
        <v>26.9</v>
      </c>
      <c r="C307" s="27">
        <v>149.03570999999999</v>
      </c>
      <c r="D307" s="19">
        <f t="shared" si="97"/>
        <v>44.894218674976599</v>
      </c>
      <c r="E307" s="19">
        <f t="shared" si="98"/>
        <v>-0.11255608551071195</v>
      </c>
      <c r="F307" s="19">
        <f t="shared" si="99"/>
        <v>0.90277542266378052</v>
      </c>
      <c r="G307" s="19">
        <f t="shared" si="100"/>
        <v>0.90277542266378052</v>
      </c>
      <c r="H307" s="19">
        <f t="shared" si="101"/>
        <v>0.90277542266378052</v>
      </c>
      <c r="I307" s="17"/>
      <c r="J307" s="19">
        <f t="shared" si="102"/>
        <v>41.176354503201352</v>
      </c>
      <c r="K307" s="19">
        <f t="shared" si="103"/>
        <v>0.52734472729370507</v>
      </c>
      <c r="L307" s="19">
        <f t="shared" si="104"/>
        <v>0.95198325563155262</v>
      </c>
      <c r="M307" s="19">
        <f t="shared" si="105"/>
        <v>0.95198325563155262</v>
      </c>
      <c r="N307" s="19">
        <f t="shared" si="106"/>
        <v>0.95198325563155262</v>
      </c>
      <c r="O307" s="17"/>
      <c r="P307" s="19">
        <f t="shared" si="96"/>
        <v>30.528114263006191</v>
      </c>
      <c r="Q307" s="19">
        <f t="shared" si="92"/>
        <v>107.59017398388778</v>
      </c>
      <c r="R307" s="19">
        <f t="shared" si="93"/>
        <v>0</v>
      </c>
      <c r="S307" s="19">
        <f t="shared" si="94"/>
        <v>0</v>
      </c>
      <c r="T307" s="19">
        <f t="shared" si="95"/>
        <v>0</v>
      </c>
      <c r="U307" s="17"/>
      <c r="V307" s="19">
        <f t="shared" si="107"/>
        <v>138.11828824689397</v>
      </c>
      <c r="W307" s="17"/>
      <c r="X307" s="19">
        <f t="shared" si="108"/>
        <v>119.19009773519267</v>
      </c>
      <c r="Y307" s="19">
        <f t="shared" si="109"/>
        <v>10.917421753106026</v>
      </c>
      <c r="Z307" s="19"/>
      <c r="AA307" s="19">
        <f t="shared" si="110"/>
        <v>7.0952120649154954E-5</v>
      </c>
    </row>
    <row r="308" spans="2:27" x14ac:dyDescent="0.35">
      <c r="B308" s="27">
        <v>27</v>
      </c>
      <c r="C308" s="27">
        <v>136.78570999999999</v>
      </c>
      <c r="D308" s="19">
        <f t="shared" si="97"/>
        <v>45.034718013399093</v>
      </c>
      <c r="E308" s="19">
        <f t="shared" si="98"/>
        <v>-0.1064311566835896</v>
      </c>
      <c r="F308" s="19">
        <f t="shared" si="99"/>
        <v>0.9138865337748916</v>
      </c>
      <c r="G308" s="19">
        <f t="shared" si="100"/>
        <v>0.9138865337748916</v>
      </c>
      <c r="H308" s="19">
        <f t="shared" si="101"/>
        <v>0.9138865337748916</v>
      </c>
      <c r="I308" s="17"/>
      <c r="J308" s="19">
        <f t="shared" si="102"/>
        <v>41.313528012289474</v>
      </c>
      <c r="K308" s="19">
        <f t="shared" si="103"/>
        <v>0.52946225120187873</v>
      </c>
      <c r="L308" s="19">
        <f t="shared" si="104"/>
        <v>0.95741004446014533</v>
      </c>
      <c r="M308" s="19">
        <f t="shared" si="105"/>
        <v>0.95741004446014533</v>
      </c>
      <c r="N308" s="19">
        <f t="shared" si="106"/>
        <v>0.95741004446014533</v>
      </c>
      <c r="O308" s="17"/>
      <c r="P308" s="19">
        <f t="shared" si="96"/>
        <v>30.328113083874403</v>
      </c>
      <c r="Q308" s="19">
        <f t="shared" si="92"/>
        <v>107.01151765830372</v>
      </c>
      <c r="R308" s="19">
        <f t="shared" si="93"/>
        <v>0</v>
      </c>
      <c r="S308" s="19">
        <f t="shared" si="94"/>
        <v>0</v>
      </c>
      <c r="T308" s="19">
        <f t="shared" si="95"/>
        <v>0</v>
      </c>
      <c r="U308" s="17"/>
      <c r="V308" s="19">
        <f t="shared" si="107"/>
        <v>137.33963074217812</v>
      </c>
      <c r="W308" s="17"/>
      <c r="X308" s="19">
        <f t="shared" si="108"/>
        <v>0.30682818861516081</v>
      </c>
      <c r="Y308" s="19">
        <f t="shared" si="109"/>
        <v>0.55392074217812137</v>
      </c>
      <c r="Z308" s="19"/>
      <c r="AA308" s="19">
        <f t="shared" si="110"/>
        <v>3.599920587286103E-6</v>
      </c>
    </row>
    <row r="309" spans="2:27" x14ac:dyDescent="0.35">
      <c r="B309" s="27">
        <v>27.1</v>
      </c>
      <c r="C309" s="27">
        <v>141.53570999999999</v>
      </c>
      <c r="D309" s="19">
        <f t="shared" si="97"/>
        <v>45.17521735182158</v>
      </c>
      <c r="E309" s="19">
        <f t="shared" si="98"/>
        <v>-0.10030622785646726</v>
      </c>
      <c r="F309" s="19">
        <f t="shared" si="99"/>
        <v>0.92499764488600311</v>
      </c>
      <c r="G309" s="19">
        <f t="shared" si="100"/>
        <v>0.92499764488600311</v>
      </c>
      <c r="H309" s="19">
        <f t="shared" si="101"/>
        <v>0.92499764488600311</v>
      </c>
      <c r="I309" s="17"/>
      <c r="J309" s="19">
        <f t="shared" si="102"/>
        <v>41.450712286162059</v>
      </c>
      <c r="K309" s="19">
        <f t="shared" si="103"/>
        <v>0.53158532673887149</v>
      </c>
      <c r="L309" s="19">
        <f t="shared" si="104"/>
        <v>0.96285259368635256</v>
      </c>
      <c r="M309" s="19">
        <f t="shared" si="105"/>
        <v>0.96285259368635256</v>
      </c>
      <c r="N309" s="19">
        <f t="shared" si="106"/>
        <v>0.96285259368635256</v>
      </c>
      <c r="O309" s="17"/>
      <c r="P309" s="19">
        <f t="shared" si="96"/>
        <v>30.130055537706522</v>
      </c>
      <c r="Q309" s="19">
        <f t="shared" si="92"/>
        <v>106.43638264808143</v>
      </c>
      <c r="R309" s="19">
        <f t="shared" si="93"/>
        <v>0</v>
      </c>
      <c r="S309" s="19">
        <f t="shared" si="94"/>
        <v>0</v>
      </c>
      <c r="T309" s="19">
        <f t="shared" si="95"/>
        <v>0</v>
      </c>
      <c r="U309" s="17"/>
      <c r="V309" s="19">
        <f t="shared" si="107"/>
        <v>136.56643818578794</v>
      </c>
      <c r="W309" s="17"/>
      <c r="X309" s="19">
        <f t="shared" si="108"/>
        <v>24.693662363522318</v>
      </c>
      <c r="Y309" s="19">
        <f t="shared" si="109"/>
        <v>4.9692718142120498</v>
      </c>
      <c r="Z309" s="19"/>
      <c r="AA309" s="19">
        <f t="shared" si="110"/>
        <v>3.2295204973656783E-5</v>
      </c>
    </row>
    <row r="310" spans="2:27" x14ac:dyDescent="0.35">
      <c r="B310" s="27">
        <v>27.2</v>
      </c>
      <c r="C310" s="27">
        <v>124.28570999999999</v>
      </c>
      <c r="D310" s="19">
        <f t="shared" si="97"/>
        <v>45.315716690244074</v>
      </c>
      <c r="E310" s="19">
        <f t="shared" si="98"/>
        <v>-9.4181299029345134E-2</v>
      </c>
      <c r="F310" s="19">
        <f t="shared" si="99"/>
        <v>0.93610875599711374</v>
      </c>
      <c r="G310" s="19">
        <f t="shared" si="100"/>
        <v>0.93610875599711374</v>
      </c>
      <c r="H310" s="19">
        <f t="shared" si="101"/>
        <v>0.93610875599711374</v>
      </c>
      <c r="I310" s="17"/>
      <c r="J310" s="19">
        <f t="shared" si="102"/>
        <v>41.587907256192572</v>
      </c>
      <c r="K310" s="19">
        <f t="shared" si="103"/>
        <v>0.53371395301864188</v>
      </c>
      <c r="L310" s="19">
        <f t="shared" si="104"/>
        <v>0.96831086142285894</v>
      </c>
      <c r="M310" s="19">
        <f t="shared" si="105"/>
        <v>0.96831086142285894</v>
      </c>
      <c r="N310" s="19">
        <f t="shared" si="106"/>
        <v>0.96831086142285894</v>
      </c>
      <c r="O310" s="17"/>
      <c r="P310" s="19">
        <f t="shared" si="96"/>
        <v>29.933916669564198</v>
      </c>
      <c r="Q310" s="19">
        <f t="shared" si="92"/>
        <v>105.86474661868944</v>
      </c>
      <c r="R310" s="19">
        <f t="shared" si="93"/>
        <v>0</v>
      </c>
      <c r="S310" s="19">
        <f t="shared" si="94"/>
        <v>0</v>
      </c>
      <c r="T310" s="19">
        <f t="shared" si="95"/>
        <v>0</v>
      </c>
      <c r="U310" s="17"/>
      <c r="V310" s="19">
        <f t="shared" si="107"/>
        <v>135.79866328825364</v>
      </c>
      <c r="W310" s="17"/>
      <c r="X310" s="19">
        <f t="shared" si="108"/>
        <v>132.54809341751033</v>
      </c>
      <c r="Y310" s="19">
        <f t="shared" si="109"/>
        <v>11.512953288253641</v>
      </c>
      <c r="Z310" s="19"/>
      <c r="AA310" s="19">
        <f t="shared" si="110"/>
        <v>7.4822469004997175E-5</v>
      </c>
    </row>
    <row r="311" spans="2:27" x14ac:dyDescent="0.35">
      <c r="B311" s="27">
        <v>27.3</v>
      </c>
      <c r="C311" s="27">
        <v>164.03570999999999</v>
      </c>
      <c r="D311" s="19">
        <f t="shared" si="97"/>
        <v>45.456216028666567</v>
      </c>
      <c r="E311" s="19">
        <f t="shared" si="98"/>
        <v>-8.8056370202222789E-2</v>
      </c>
      <c r="F311" s="19">
        <f t="shared" si="99"/>
        <v>0.94721986710822526</v>
      </c>
      <c r="G311" s="19">
        <f t="shared" si="100"/>
        <v>0.94721986710822526</v>
      </c>
      <c r="H311" s="19">
        <f t="shared" si="101"/>
        <v>0.94721986710822526</v>
      </c>
      <c r="I311" s="17"/>
      <c r="J311" s="19">
        <f t="shared" si="102"/>
        <v>41.725112854403257</v>
      </c>
      <c r="K311" s="19">
        <f t="shared" si="103"/>
        <v>0.53584812909622015</v>
      </c>
      <c r="L311" s="19">
        <f t="shared" si="104"/>
        <v>0.9737848056332703</v>
      </c>
      <c r="M311" s="19">
        <f t="shared" si="105"/>
        <v>0.9737848056332703</v>
      </c>
      <c r="N311" s="19">
        <f t="shared" si="106"/>
        <v>0.9737848056332703</v>
      </c>
      <c r="O311" s="17"/>
      <c r="P311" s="19">
        <f t="shared" si="96"/>
        <v>29.739671921836241</v>
      </c>
      <c r="Q311" s="19">
        <f t="shared" ref="Q311:Q374" si="111">(D$21*D$23/(1-D$23)^2*$A$21*D$22)/(K311+K311^2)</f>
        <v>105.29658737488799</v>
      </c>
      <c r="R311" s="19">
        <f t="shared" ref="R311:R374" si="112">(E$21*E$23/(1-E$23)^2*$A$21*E$22)/(L311+L311^2)</f>
        <v>0</v>
      </c>
      <c r="S311" s="19">
        <f t="shared" ref="S311:S374" si="113">(F$21*F$23/(1-F$23)^2*$A$21*F$22)/(M311+M311^2)</f>
        <v>0</v>
      </c>
      <c r="T311" s="19">
        <f t="shared" ref="T311:T374" si="114">(G$21*G$23/(1-G$23)^2*$A$21*G$22)/(N311+N311^2)</f>
        <v>0</v>
      </c>
      <c r="U311" s="17"/>
      <c r="V311" s="19">
        <f t="shared" si="107"/>
        <v>135.03625929672424</v>
      </c>
      <c r="W311" s="17"/>
      <c r="X311" s="19">
        <f t="shared" si="108"/>
        <v>840.96814109172067</v>
      </c>
      <c r="Y311" s="19">
        <f t="shared" si="109"/>
        <v>28.999450703275755</v>
      </c>
      <c r="Z311" s="19"/>
      <c r="AA311" s="19">
        <f t="shared" si="110"/>
        <v>1.8846689003955167E-4</v>
      </c>
    </row>
    <row r="312" spans="2:27" x14ac:dyDescent="0.35">
      <c r="B312" s="27">
        <v>27.4</v>
      </c>
      <c r="C312" s="27">
        <v>117.28570999999999</v>
      </c>
      <c r="D312" s="19">
        <f t="shared" si="97"/>
        <v>45.596715367089054</v>
      </c>
      <c r="E312" s="19">
        <f t="shared" si="98"/>
        <v>-8.1931441375100666E-2</v>
      </c>
      <c r="F312" s="19">
        <f t="shared" si="99"/>
        <v>0.95833097821933633</v>
      </c>
      <c r="G312" s="19">
        <f t="shared" si="100"/>
        <v>0.95833097821933633</v>
      </c>
      <c r="H312" s="19">
        <f t="shared" si="101"/>
        <v>0.95833097821933633</v>
      </c>
      <c r="I312" s="17"/>
      <c r="J312" s="19">
        <f t="shared" si="102"/>
        <v>41.86232901345705</v>
      </c>
      <c r="K312" s="19">
        <f t="shared" si="103"/>
        <v>0.53798785396791526</v>
      </c>
      <c r="L312" s="19">
        <f t="shared" si="104"/>
        <v>0.979274384136677</v>
      </c>
      <c r="M312" s="19">
        <f t="shared" si="105"/>
        <v>0.979274384136677</v>
      </c>
      <c r="N312" s="19">
        <f t="shared" si="106"/>
        <v>0.979274384136677</v>
      </c>
      <c r="O312" s="17"/>
      <c r="P312" s="19">
        <f t="shared" si="96"/>
        <v>29.547297126701483</v>
      </c>
      <c r="Q312" s="19">
        <f t="shared" si="111"/>
        <v>104.73188285991101</v>
      </c>
      <c r="R312" s="19">
        <f t="shared" si="112"/>
        <v>0</v>
      </c>
      <c r="S312" s="19">
        <f t="shared" si="113"/>
        <v>0</v>
      </c>
      <c r="T312" s="19">
        <f t="shared" si="114"/>
        <v>0</v>
      </c>
      <c r="U312" s="17"/>
      <c r="V312" s="19">
        <f t="shared" si="107"/>
        <v>134.27917998661249</v>
      </c>
      <c r="W312" s="17"/>
      <c r="X312" s="19">
        <f t="shared" si="108"/>
        <v>288.77802218589972</v>
      </c>
      <c r="Y312" s="19">
        <f t="shared" si="109"/>
        <v>16.993469986612496</v>
      </c>
      <c r="Z312" s="19"/>
      <c r="AA312" s="19">
        <f t="shared" si="110"/>
        <v>1.1044024495938275E-4</v>
      </c>
    </row>
    <row r="313" spans="2:27" x14ac:dyDescent="0.35">
      <c r="B313" s="27">
        <v>27.5</v>
      </c>
      <c r="C313" s="27">
        <v>131.28570999999999</v>
      </c>
      <c r="D313" s="19">
        <f t="shared" si="97"/>
        <v>45.737214705511548</v>
      </c>
      <c r="E313" s="19">
        <f t="shared" si="98"/>
        <v>-7.5806512547978322E-2</v>
      </c>
      <c r="F313" s="19">
        <f t="shared" si="99"/>
        <v>0.96944208933044695</v>
      </c>
      <c r="G313" s="19">
        <f t="shared" si="100"/>
        <v>0.96944208933044695</v>
      </c>
      <c r="H313" s="19">
        <f t="shared" si="101"/>
        <v>0.96944208933044695</v>
      </c>
      <c r="I313" s="17"/>
      <c r="J313" s="19">
        <f t="shared" si="102"/>
        <v>41.999555666649627</v>
      </c>
      <c r="K313" s="19">
        <f t="shared" si="103"/>
        <v>0.54013312657152535</v>
      </c>
      <c r="L313" s="19">
        <f t="shared" si="104"/>
        <v>0.9847795546121787</v>
      </c>
      <c r="M313" s="19">
        <f t="shared" si="105"/>
        <v>0.9847795546121787</v>
      </c>
      <c r="N313" s="19">
        <f t="shared" si="106"/>
        <v>0.9847795546121787</v>
      </c>
      <c r="O313" s="17"/>
      <c r="P313" s="19">
        <f t="shared" si="96"/>
        <v>29.356768498757329</v>
      </c>
      <c r="Q313" s="19">
        <f t="shared" si="111"/>
        <v>104.17061115465216</v>
      </c>
      <c r="R313" s="19">
        <f t="shared" si="112"/>
        <v>0</v>
      </c>
      <c r="S313" s="19">
        <f t="shared" si="113"/>
        <v>0</v>
      </c>
      <c r="T313" s="19">
        <f t="shared" si="114"/>
        <v>0</v>
      </c>
      <c r="U313" s="17"/>
      <c r="V313" s="19">
        <f t="shared" si="107"/>
        <v>133.5273796534095</v>
      </c>
      <c r="W313" s="17"/>
      <c r="X313" s="19">
        <f t="shared" si="108"/>
        <v>5.0250828350170789</v>
      </c>
      <c r="Y313" s="19">
        <f t="shared" si="109"/>
        <v>2.2416696534095024</v>
      </c>
      <c r="Z313" s="19"/>
      <c r="AA313" s="19">
        <f t="shared" si="110"/>
        <v>1.4568569329018551E-5</v>
      </c>
    </row>
    <row r="314" spans="2:27" x14ac:dyDescent="0.35">
      <c r="B314" s="27">
        <v>27.6</v>
      </c>
      <c r="C314" s="27">
        <v>118.53570999999999</v>
      </c>
      <c r="D314" s="19">
        <f t="shared" si="97"/>
        <v>45.877714043934034</v>
      </c>
      <c r="E314" s="19">
        <f t="shared" si="98"/>
        <v>-6.9681583720855977E-2</v>
      </c>
      <c r="F314" s="19">
        <f t="shared" si="99"/>
        <v>0.98055320044155847</v>
      </c>
      <c r="G314" s="19">
        <f t="shared" si="100"/>
        <v>0.98055320044155847</v>
      </c>
      <c r="H314" s="19">
        <f t="shared" si="101"/>
        <v>0.98055320044155847</v>
      </c>
      <c r="I314" s="17"/>
      <c r="J314" s="19">
        <f t="shared" si="102"/>
        <v>42.136792747901509</v>
      </c>
      <c r="K314" s="19">
        <f t="shared" si="103"/>
        <v>0.54228394578654937</v>
      </c>
      <c r="L314" s="19">
        <f t="shared" si="104"/>
        <v>0.99030027460336689</v>
      </c>
      <c r="M314" s="19">
        <f t="shared" si="105"/>
        <v>0.99030027460336689</v>
      </c>
      <c r="N314" s="19">
        <f t="shared" si="106"/>
        <v>0.99030027460336689</v>
      </c>
      <c r="O314" s="17"/>
      <c r="P314" s="19">
        <f t="shared" si="96"/>
        <v>29.168062627809935</v>
      </c>
      <c r="Q314" s="19">
        <f t="shared" si="111"/>
        <v>103.61275047685595</v>
      </c>
      <c r="R314" s="19">
        <f t="shared" si="112"/>
        <v>0</v>
      </c>
      <c r="S314" s="19">
        <f t="shared" si="113"/>
        <v>0</v>
      </c>
      <c r="T314" s="19">
        <f t="shared" si="114"/>
        <v>0</v>
      </c>
      <c r="U314" s="17"/>
      <c r="V314" s="19">
        <f t="shared" si="107"/>
        <v>132.7808131046659</v>
      </c>
      <c r="W314" s="17"/>
      <c r="X314" s="19">
        <f t="shared" si="108"/>
        <v>202.92296246256208</v>
      </c>
      <c r="Y314" s="19">
        <f t="shared" si="109"/>
        <v>14.245103104665901</v>
      </c>
      <c r="Z314" s="19"/>
      <c r="AA314" s="19">
        <f t="shared" si="110"/>
        <v>9.2578659778748136E-5</v>
      </c>
    </row>
    <row r="315" spans="2:27" x14ac:dyDescent="0.35">
      <c r="B315" s="27">
        <v>27.7</v>
      </c>
      <c r="C315" s="27">
        <v>129.53570999999999</v>
      </c>
      <c r="D315" s="19">
        <f t="shared" si="97"/>
        <v>46.018213382356528</v>
      </c>
      <c r="E315" s="19">
        <f t="shared" si="98"/>
        <v>-6.3556654893733855E-2</v>
      </c>
      <c r="F315" s="19">
        <f t="shared" si="99"/>
        <v>0.9916643115526691</v>
      </c>
      <c r="G315" s="19">
        <f t="shared" si="100"/>
        <v>0.9916643115526691</v>
      </c>
      <c r="H315" s="19">
        <f t="shared" si="101"/>
        <v>0.9916643115526691</v>
      </c>
      <c r="I315" s="17"/>
      <c r="J315" s="19">
        <f t="shared" si="102"/>
        <v>42.274040191750373</v>
      </c>
      <c r="K315" s="19">
        <f t="shared" si="103"/>
        <v>0.544440310434402</v>
      </c>
      <c r="L315" s="19">
        <f t="shared" si="104"/>
        <v>0.99583650152276049</v>
      </c>
      <c r="M315" s="19">
        <f t="shared" si="105"/>
        <v>0.99583650152276049</v>
      </c>
      <c r="N315" s="19">
        <f t="shared" si="106"/>
        <v>0.99583650152276049</v>
      </c>
      <c r="O315" s="17"/>
      <c r="P315" s="19">
        <f t="shared" si="96"/>
        <v>28.981156471821869</v>
      </c>
      <c r="Q315" s="19">
        <f t="shared" si="111"/>
        <v>103.05827918031289</v>
      </c>
      <c r="R315" s="19">
        <f t="shared" si="112"/>
        <v>0</v>
      </c>
      <c r="S315" s="19">
        <f t="shared" si="113"/>
        <v>0</v>
      </c>
      <c r="T315" s="19">
        <f t="shared" si="114"/>
        <v>0</v>
      </c>
      <c r="U315" s="17"/>
      <c r="V315" s="19">
        <f t="shared" si="107"/>
        <v>132.03943565213476</v>
      </c>
      <c r="W315" s="17"/>
      <c r="X315" s="19">
        <f t="shared" si="108"/>
        <v>6.2686421411576365</v>
      </c>
      <c r="Y315" s="19">
        <f t="shared" si="109"/>
        <v>2.5037256521347615</v>
      </c>
      <c r="Z315" s="19"/>
      <c r="AA315" s="19">
        <f t="shared" si="110"/>
        <v>1.6271666384245853E-5</v>
      </c>
    </row>
    <row r="316" spans="2:27" x14ac:dyDescent="0.35">
      <c r="B316" s="27">
        <v>27.8</v>
      </c>
      <c r="C316" s="27">
        <v>149.53570999999999</v>
      </c>
      <c r="D316" s="19">
        <f t="shared" si="97"/>
        <v>46.158712720779015</v>
      </c>
      <c r="E316" s="19">
        <f t="shared" si="98"/>
        <v>-5.743172606661151E-2</v>
      </c>
      <c r="F316" s="19">
        <f t="shared" si="99"/>
        <v>1.0027754226637806</v>
      </c>
      <c r="G316" s="19">
        <f t="shared" si="100"/>
        <v>1.0027754226637806</v>
      </c>
      <c r="H316" s="19">
        <f t="shared" si="101"/>
        <v>1.0027754226637806</v>
      </c>
      <c r="I316" s="17"/>
      <c r="J316" s="19">
        <f t="shared" si="102"/>
        <v>42.411297933343384</v>
      </c>
      <c r="K316" s="19">
        <f t="shared" si="103"/>
        <v>0.54660221927862984</v>
      </c>
      <c r="L316" s="19">
        <f t="shared" si="104"/>
        <v>1.0013881926562072</v>
      </c>
      <c r="M316" s="19">
        <f t="shared" si="105"/>
        <v>1.0013881926562072</v>
      </c>
      <c r="N316" s="19">
        <f t="shared" si="106"/>
        <v>1.0013881926562072</v>
      </c>
      <c r="O316" s="17"/>
      <c r="P316" s="19">
        <f t="shared" si="96"/>
        <v>28.796027350013503</v>
      </c>
      <c r="Q316" s="19">
        <f t="shared" si="111"/>
        <v>102.50717575405943</v>
      </c>
      <c r="R316" s="19">
        <f t="shared" si="112"/>
        <v>0</v>
      </c>
      <c r="S316" s="19">
        <f t="shared" si="113"/>
        <v>0</v>
      </c>
      <c r="T316" s="19">
        <f t="shared" si="114"/>
        <v>0</v>
      </c>
      <c r="U316" s="17"/>
      <c r="V316" s="19">
        <f t="shared" si="107"/>
        <v>131.30320310407294</v>
      </c>
      <c r="W316" s="17"/>
      <c r="X316" s="19">
        <f t="shared" si="108"/>
        <v>332.42430771002779</v>
      </c>
      <c r="Y316" s="19">
        <f t="shared" si="109"/>
        <v>18.23250689592706</v>
      </c>
      <c r="Z316" s="19"/>
      <c r="AA316" s="19">
        <f t="shared" si="110"/>
        <v>1.184927227573969E-4</v>
      </c>
    </row>
    <row r="317" spans="2:27" x14ac:dyDescent="0.35">
      <c r="B317" s="27">
        <v>27.9</v>
      </c>
      <c r="C317" s="27">
        <v>127.28570999999999</v>
      </c>
      <c r="D317" s="19">
        <f t="shared" si="97"/>
        <v>46.299212059201508</v>
      </c>
      <c r="E317" s="19">
        <f t="shared" si="98"/>
        <v>-5.1306797239489388E-2</v>
      </c>
      <c r="F317" s="19">
        <f t="shared" si="99"/>
        <v>1.0138865337748917</v>
      </c>
      <c r="G317" s="19">
        <f t="shared" si="100"/>
        <v>1.0138865337748917</v>
      </c>
      <c r="H317" s="19">
        <f t="shared" si="101"/>
        <v>1.0138865337748917</v>
      </c>
      <c r="I317" s="17"/>
      <c r="J317" s="19">
        <f t="shared" si="102"/>
        <v>42.548565908429786</v>
      </c>
      <c r="K317" s="19">
        <f t="shared" si="103"/>
        <v>0.54876967102512986</v>
      </c>
      <c r="L317" s="19">
        <f t="shared" si="104"/>
        <v>1.0069553051672326</v>
      </c>
      <c r="M317" s="19">
        <f t="shared" si="105"/>
        <v>1.0069553051672326</v>
      </c>
      <c r="N317" s="19">
        <f t="shared" si="106"/>
        <v>1.0069553051672326</v>
      </c>
      <c r="O317" s="17"/>
      <c r="P317" s="19">
        <f t="shared" si="96"/>
        <v>28.612652936114056</v>
      </c>
      <c r="Q317" s="19">
        <f t="shared" si="111"/>
        <v>101.95941882158237</v>
      </c>
      <c r="R317" s="19">
        <f t="shared" si="112"/>
        <v>0</v>
      </c>
      <c r="S317" s="19">
        <f t="shared" si="113"/>
        <v>0</v>
      </c>
      <c r="T317" s="19">
        <f t="shared" si="114"/>
        <v>0</v>
      </c>
      <c r="U317" s="17"/>
      <c r="V317" s="19">
        <f t="shared" si="107"/>
        <v>130.57207175769642</v>
      </c>
      <c r="W317" s="17"/>
      <c r="X317" s="19">
        <f t="shared" si="108"/>
        <v>10.800173602449542</v>
      </c>
      <c r="Y317" s="19">
        <f t="shared" si="109"/>
        <v>3.2863617576964259</v>
      </c>
      <c r="Z317" s="19"/>
      <c r="AA317" s="19">
        <f t="shared" si="110"/>
        <v>2.1358003858603999E-5</v>
      </c>
    </row>
    <row r="318" spans="2:27" x14ac:dyDescent="0.35">
      <c r="B318" s="27">
        <v>28</v>
      </c>
      <c r="C318" s="27">
        <v>128.03570999999999</v>
      </c>
      <c r="D318" s="19">
        <f t="shared" si="97"/>
        <v>46.439711397623995</v>
      </c>
      <c r="E318" s="19">
        <f t="shared" si="98"/>
        <v>-4.5181868412367043E-2</v>
      </c>
      <c r="F318" s="19">
        <f t="shared" si="99"/>
        <v>1.0249976448860028</v>
      </c>
      <c r="G318" s="19">
        <f t="shared" si="100"/>
        <v>1.0249976448860028</v>
      </c>
      <c r="H318" s="19">
        <f t="shared" si="101"/>
        <v>1.0249976448860028</v>
      </c>
      <c r="I318" s="17"/>
      <c r="J318" s="19">
        <f t="shared" si="102"/>
        <v>42.685844053353399</v>
      </c>
      <c r="K318" s="19">
        <f t="shared" si="103"/>
        <v>0.55094266432237127</v>
      </c>
      <c r="L318" s="19">
        <f t="shared" si="104"/>
        <v>1.0125377961013542</v>
      </c>
      <c r="M318" s="19">
        <f t="shared" si="105"/>
        <v>1.0125377961013542</v>
      </c>
      <c r="N318" s="19">
        <f t="shared" si="106"/>
        <v>1.0125377961013542</v>
      </c>
      <c r="O318" s="17"/>
      <c r="P318" s="19">
        <f t="shared" si="96"/>
        <v>28.431011251759074</v>
      </c>
      <c r="Q318" s="19">
        <f t="shared" si="111"/>
        <v>101.41498714002731</v>
      </c>
      <c r="R318" s="19">
        <f t="shared" si="112"/>
        <v>0</v>
      </c>
      <c r="S318" s="19">
        <f t="shared" si="113"/>
        <v>0</v>
      </c>
      <c r="T318" s="19">
        <f t="shared" si="114"/>
        <v>0</v>
      </c>
      <c r="U318" s="17"/>
      <c r="V318" s="19">
        <f t="shared" si="107"/>
        <v>129.8459983917864</v>
      </c>
      <c r="W318" s="17"/>
      <c r="X318" s="19">
        <f t="shared" si="108"/>
        <v>3.2771440614365925</v>
      </c>
      <c r="Y318" s="19">
        <f t="shared" si="109"/>
        <v>1.8102883917864006</v>
      </c>
      <c r="Z318" s="19"/>
      <c r="AA318" s="19">
        <f t="shared" si="110"/>
        <v>1.176503054370423E-5</v>
      </c>
    </row>
    <row r="319" spans="2:27" x14ac:dyDescent="0.35">
      <c r="B319" s="27">
        <v>28.1</v>
      </c>
      <c r="C319" s="27">
        <v>127.03570999999999</v>
      </c>
      <c r="D319" s="19">
        <f t="shared" si="97"/>
        <v>46.580210736046489</v>
      </c>
      <c r="E319" s="19">
        <f t="shared" si="98"/>
        <v>-3.9056939585244477E-2</v>
      </c>
      <c r="F319" s="19">
        <f t="shared" si="99"/>
        <v>1.0361087559971143</v>
      </c>
      <c r="G319" s="19">
        <f t="shared" si="100"/>
        <v>1.0361087559971143</v>
      </c>
      <c r="H319" s="19">
        <f t="shared" si="101"/>
        <v>1.0361087559971143</v>
      </c>
      <c r="I319" s="17"/>
      <c r="J319" s="19">
        <f t="shared" si="102"/>
        <v>42.823132305045483</v>
      </c>
      <c r="K319" s="19">
        <f t="shared" si="103"/>
        <v>0.55312119776161695</v>
      </c>
      <c r="L319" s="19">
        <f t="shared" si="104"/>
        <v>1.0181356223903477</v>
      </c>
      <c r="M319" s="19">
        <f t="shared" si="105"/>
        <v>1.0181356223903477</v>
      </c>
      <c r="N319" s="19">
        <f t="shared" si="106"/>
        <v>1.0181356223903477</v>
      </c>
      <c r="O319" s="17"/>
      <c r="P319" s="19">
        <f t="shared" si="96"/>
        <v>28.251080660030087</v>
      </c>
      <c r="Q319" s="19">
        <f t="shared" si="111"/>
        <v>100.87385959941209</v>
      </c>
      <c r="R319" s="19">
        <f t="shared" si="112"/>
        <v>0</v>
      </c>
      <c r="S319" s="19">
        <f t="shared" si="113"/>
        <v>0</v>
      </c>
      <c r="T319" s="19">
        <f t="shared" si="114"/>
        <v>0</v>
      </c>
      <c r="U319" s="17"/>
      <c r="V319" s="19">
        <f t="shared" si="107"/>
        <v>129.12494025944218</v>
      </c>
      <c r="W319" s="17"/>
      <c r="X319" s="19">
        <f t="shared" si="108"/>
        <v>4.3648830769688773</v>
      </c>
      <c r="Y319" s="19">
        <f t="shared" si="109"/>
        <v>2.0892302594421892</v>
      </c>
      <c r="Z319" s="19"/>
      <c r="AA319" s="19">
        <f t="shared" si="110"/>
        <v>1.3577868546631379E-5</v>
      </c>
    </row>
    <row r="320" spans="2:27" x14ac:dyDescent="0.35">
      <c r="B320" s="27">
        <v>28.2</v>
      </c>
      <c r="C320" s="27">
        <v>138.28570999999999</v>
      </c>
      <c r="D320" s="19">
        <f t="shared" si="97"/>
        <v>46.720710074468982</v>
      </c>
      <c r="E320" s="19">
        <f t="shared" si="98"/>
        <v>-3.2932010758122354E-2</v>
      </c>
      <c r="F320" s="19">
        <f t="shared" si="99"/>
        <v>1.0472198671082253</v>
      </c>
      <c r="G320" s="19">
        <f t="shared" si="100"/>
        <v>1.0472198671082253</v>
      </c>
      <c r="H320" s="19">
        <f t="shared" si="101"/>
        <v>1.0472198671082253</v>
      </c>
      <c r="I320" s="17"/>
      <c r="J320" s="19">
        <f t="shared" si="102"/>
        <v>42.960430601017457</v>
      </c>
      <c r="K320" s="19">
        <f t="shared" si="103"/>
        <v>0.55530526987714923</v>
      </c>
      <c r="L320" s="19">
        <f t="shared" si="104"/>
        <v>1.0237487408564698</v>
      </c>
      <c r="M320" s="19">
        <f t="shared" si="105"/>
        <v>1.0237487408564698</v>
      </c>
      <c r="N320" s="19">
        <f t="shared" si="106"/>
        <v>1.0237487408564698</v>
      </c>
      <c r="O320" s="17"/>
      <c r="P320" s="19">
        <f t="shared" si="96"/>
        <v>28.072839859133662</v>
      </c>
      <c r="Q320" s="19">
        <f t="shared" si="111"/>
        <v>100.33601522184424</v>
      </c>
      <c r="R320" s="19">
        <f t="shared" si="112"/>
        <v>0</v>
      </c>
      <c r="S320" s="19">
        <f t="shared" si="113"/>
        <v>0</v>
      </c>
      <c r="T320" s="19">
        <f t="shared" si="114"/>
        <v>0</v>
      </c>
      <c r="U320" s="17"/>
      <c r="V320" s="19">
        <f t="shared" si="107"/>
        <v>128.4088550809779</v>
      </c>
      <c r="W320" s="17"/>
      <c r="X320" s="19">
        <f t="shared" si="108"/>
        <v>97.552263091410936</v>
      </c>
      <c r="Y320" s="19">
        <f t="shared" si="109"/>
        <v>9.8768549190220938</v>
      </c>
      <c r="Z320" s="19"/>
      <c r="AA320" s="19">
        <f t="shared" si="110"/>
        <v>6.4189496173790386E-5</v>
      </c>
    </row>
    <row r="321" spans="2:27" x14ac:dyDescent="0.35">
      <c r="B321" s="27">
        <v>28.3</v>
      </c>
      <c r="C321" s="27">
        <v>138.03570999999999</v>
      </c>
      <c r="D321" s="19">
        <f t="shared" si="97"/>
        <v>46.861209412891469</v>
      </c>
      <c r="E321" s="19">
        <f t="shared" si="98"/>
        <v>-2.6807081931000232E-2</v>
      </c>
      <c r="F321" s="19">
        <f t="shared" si="99"/>
        <v>1.058330978219336</v>
      </c>
      <c r="G321" s="19">
        <f t="shared" si="100"/>
        <v>1.058330978219336</v>
      </c>
      <c r="H321" s="19">
        <f t="shared" si="101"/>
        <v>1.058330978219336</v>
      </c>
      <c r="I321" s="17"/>
      <c r="J321" s="19">
        <f t="shared" si="102"/>
        <v>43.097738879353919</v>
      </c>
      <c r="K321" s="19">
        <f t="shared" si="103"/>
        <v>0.55749487914649742</v>
      </c>
      <c r="L321" s="19">
        <f t="shared" si="104"/>
        <v>1.029377108216641</v>
      </c>
      <c r="M321" s="19">
        <f t="shared" si="105"/>
        <v>1.029377108216641</v>
      </c>
      <c r="N321" s="19">
        <f t="shared" si="106"/>
        <v>1.029377108216641</v>
      </c>
      <c r="O321" s="17"/>
      <c r="P321" s="19">
        <f t="shared" si="96"/>
        <v>27.896267876215862</v>
      </c>
      <c r="Q321" s="19">
        <f t="shared" si="111"/>
        <v>99.801433160742533</v>
      </c>
      <c r="R321" s="19">
        <f t="shared" si="112"/>
        <v>0</v>
      </c>
      <c r="S321" s="19">
        <f t="shared" si="113"/>
        <v>0</v>
      </c>
      <c r="T321" s="19">
        <f t="shared" si="114"/>
        <v>0</v>
      </c>
      <c r="U321" s="17"/>
      <c r="V321" s="19">
        <f t="shared" si="107"/>
        <v>127.69770103695839</v>
      </c>
      <c r="W321" s="17"/>
      <c r="X321" s="19">
        <f t="shared" si="108"/>
        <v>106.87442931992851</v>
      </c>
      <c r="Y321" s="19">
        <f t="shared" si="109"/>
        <v>10.338008963041602</v>
      </c>
      <c r="Z321" s="19"/>
      <c r="AA321" s="19">
        <f t="shared" si="110"/>
        <v>6.7186527717415519E-5</v>
      </c>
    </row>
    <row r="322" spans="2:27" x14ac:dyDescent="0.35">
      <c r="B322" s="27">
        <v>28.4</v>
      </c>
      <c r="C322" s="27">
        <v>127.53570999999999</v>
      </c>
      <c r="D322" s="19">
        <f t="shared" si="97"/>
        <v>47.001708751313963</v>
      </c>
      <c r="E322" s="19">
        <f t="shared" si="98"/>
        <v>-2.0682153103878109E-2</v>
      </c>
      <c r="F322" s="19">
        <f t="shared" si="99"/>
        <v>1.069442089330447</v>
      </c>
      <c r="G322" s="19">
        <f t="shared" si="100"/>
        <v>1.069442089330447</v>
      </c>
      <c r="H322" s="19">
        <f t="shared" si="101"/>
        <v>1.069442089330447</v>
      </c>
      <c r="I322" s="17"/>
      <c r="J322" s="19">
        <f t="shared" si="102"/>
        <v>43.235057078705708</v>
      </c>
      <c r="K322" s="19">
        <f t="shared" si="103"/>
        <v>0.55969002399066581</v>
      </c>
      <c r="L322" s="19">
        <f t="shared" si="104"/>
        <v>1.0350206810865812</v>
      </c>
      <c r="M322" s="19">
        <f t="shared" si="105"/>
        <v>1.0350206810865812</v>
      </c>
      <c r="N322" s="19">
        <f t="shared" si="106"/>
        <v>1.0350206810865812</v>
      </c>
      <c r="O322" s="17"/>
      <c r="P322" s="19">
        <f t="shared" si="96"/>
        <v>27.721344061309125</v>
      </c>
      <c r="Q322" s="19">
        <f t="shared" si="111"/>
        <v>99.270092700063557</v>
      </c>
      <c r="R322" s="19">
        <f t="shared" si="112"/>
        <v>0</v>
      </c>
      <c r="S322" s="19">
        <f t="shared" si="113"/>
        <v>0</v>
      </c>
      <c r="T322" s="19">
        <f t="shared" si="114"/>
        <v>0</v>
      </c>
      <c r="U322" s="17"/>
      <c r="V322" s="19">
        <f t="shared" si="107"/>
        <v>126.99143676137268</v>
      </c>
      <c r="W322" s="17"/>
      <c r="X322" s="19">
        <f t="shared" si="108"/>
        <v>0.29623335828586306</v>
      </c>
      <c r="Y322" s="19">
        <f t="shared" si="109"/>
        <v>0.54427323862731214</v>
      </c>
      <c r="Z322" s="19"/>
      <c r="AA322" s="19">
        <f t="shared" si="110"/>
        <v>3.5372216413829256E-6</v>
      </c>
    </row>
    <row r="323" spans="2:27" x14ac:dyDescent="0.35">
      <c r="B323" s="27">
        <v>28.5</v>
      </c>
      <c r="C323" s="27">
        <v>118.53570999999999</v>
      </c>
      <c r="D323" s="19">
        <f t="shared" si="97"/>
        <v>47.142208089736449</v>
      </c>
      <c r="E323" s="19">
        <f t="shared" si="98"/>
        <v>-1.4557224276755543E-2</v>
      </c>
      <c r="F323" s="19">
        <f t="shared" si="99"/>
        <v>1.0805532004415581</v>
      </c>
      <c r="G323" s="19">
        <f t="shared" si="100"/>
        <v>1.0805532004415581</v>
      </c>
      <c r="H323" s="19">
        <f t="shared" si="101"/>
        <v>1.0805532004415581</v>
      </c>
      <c r="I323" s="17"/>
      <c r="J323" s="19">
        <f t="shared" si="102"/>
        <v>43.372385138283001</v>
      </c>
      <c r="K323" s="19">
        <f t="shared" si="103"/>
        <v>0.56189070277436515</v>
      </c>
      <c r="L323" s="19">
        <f t="shared" si="104"/>
        <v>1.0406794159849027</v>
      </c>
      <c r="M323" s="19">
        <f t="shared" si="105"/>
        <v>1.0406794159849027</v>
      </c>
      <c r="N323" s="19">
        <f t="shared" si="106"/>
        <v>1.0406794159849027</v>
      </c>
      <c r="O323" s="17"/>
      <c r="P323" s="19">
        <f t="shared" si="96"/>
        <v>27.548048081408336</v>
      </c>
      <c r="Q323" s="19">
        <f t="shared" si="111"/>
        <v>98.741973253531881</v>
      </c>
      <c r="R323" s="19">
        <f t="shared" si="112"/>
        <v>0</v>
      </c>
      <c r="S323" s="19">
        <f t="shared" si="113"/>
        <v>0</v>
      </c>
      <c r="T323" s="19">
        <f t="shared" si="114"/>
        <v>0</v>
      </c>
      <c r="U323" s="17"/>
      <c r="V323" s="19">
        <f t="shared" si="107"/>
        <v>126.29002133494022</v>
      </c>
      <c r="W323" s="17"/>
      <c r="X323" s="19">
        <f t="shared" si="108"/>
        <v>60.129344279182476</v>
      </c>
      <c r="Y323" s="19">
        <f t="shared" si="109"/>
        <v>7.7543113349402262</v>
      </c>
      <c r="Z323" s="19"/>
      <c r="AA323" s="19">
        <f t="shared" si="110"/>
        <v>5.039512495074766E-5</v>
      </c>
    </row>
    <row r="324" spans="2:27" x14ac:dyDescent="0.35">
      <c r="B324" s="27">
        <v>28.6</v>
      </c>
      <c r="C324" s="27">
        <v>126.53570999999999</v>
      </c>
      <c r="D324" s="19">
        <f t="shared" si="97"/>
        <v>47.282707428158943</v>
      </c>
      <c r="E324" s="19">
        <f t="shared" si="98"/>
        <v>-8.4322954496334201E-3</v>
      </c>
      <c r="F324" s="19">
        <f t="shared" si="99"/>
        <v>1.0916643115526696</v>
      </c>
      <c r="G324" s="19">
        <f t="shared" si="100"/>
        <v>1.0916643115526696</v>
      </c>
      <c r="H324" s="19">
        <f t="shared" si="101"/>
        <v>1.0916643115526696</v>
      </c>
      <c r="I324" s="17"/>
      <c r="J324" s="19">
        <f t="shared" si="102"/>
        <v>43.509722997848627</v>
      </c>
      <c r="K324" s="19">
        <f t="shared" si="103"/>
        <v>0.56409691380624527</v>
      </c>
      <c r="L324" s="19">
        <f t="shared" si="104"/>
        <v>1.0463532693371596</v>
      </c>
      <c r="M324" s="19">
        <f t="shared" si="105"/>
        <v>1.0463532693371596</v>
      </c>
      <c r="N324" s="19">
        <f t="shared" si="106"/>
        <v>1.0463532693371596</v>
      </c>
      <c r="O324" s="17"/>
      <c r="P324" s="19">
        <f t="shared" si="96"/>
        <v>27.376359914672783</v>
      </c>
      <c r="Q324" s="19">
        <f t="shared" si="111"/>
        <v>98.217054363875008</v>
      </c>
      <c r="R324" s="19">
        <f t="shared" si="112"/>
        <v>0</v>
      </c>
      <c r="S324" s="19">
        <f t="shared" si="113"/>
        <v>0</v>
      </c>
      <c r="T324" s="19">
        <f t="shared" si="114"/>
        <v>0</v>
      </c>
      <c r="U324" s="17"/>
      <c r="V324" s="19">
        <f t="shared" si="107"/>
        <v>125.59341427854778</v>
      </c>
      <c r="W324" s="17"/>
      <c r="X324" s="19">
        <f t="shared" si="108"/>
        <v>0.88792122666714357</v>
      </c>
      <c r="Y324" s="19">
        <f t="shared" si="109"/>
        <v>0.94229572145221141</v>
      </c>
      <c r="Z324" s="19"/>
      <c r="AA324" s="19">
        <f t="shared" si="110"/>
        <v>6.1239623445561795E-6</v>
      </c>
    </row>
    <row r="325" spans="2:27" x14ac:dyDescent="0.35">
      <c r="B325" s="27">
        <v>28.7</v>
      </c>
      <c r="C325" s="27">
        <v>132.78570999999999</v>
      </c>
      <c r="D325" s="19">
        <f t="shared" si="97"/>
        <v>47.42320676658143</v>
      </c>
      <c r="E325" s="19">
        <f t="shared" si="98"/>
        <v>-2.3073666225110756E-3</v>
      </c>
      <c r="F325" s="19">
        <f t="shared" si="99"/>
        <v>1.1027754226637807</v>
      </c>
      <c r="G325" s="19">
        <f t="shared" si="100"/>
        <v>1.1027754226637807</v>
      </c>
      <c r="H325" s="19">
        <f t="shared" si="101"/>
        <v>1.1027754226637807</v>
      </c>
      <c r="I325" s="17"/>
      <c r="J325" s="19">
        <f t="shared" si="102"/>
        <v>43.647070597711412</v>
      </c>
      <c r="K325" s="19">
        <f t="shared" si="103"/>
        <v>0.56630865533913044</v>
      </c>
      <c r="L325" s="19">
        <f t="shared" si="104"/>
        <v>1.0520421974798515</v>
      </c>
      <c r="M325" s="19">
        <f t="shared" si="105"/>
        <v>1.0520421974798515</v>
      </c>
      <c r="N325" s="19">
        <f t="shared" si="106"/>
        <v>1.0520421974798515</v>
      </c>
      <c r="O325" s="17"/>
      <c r="P325" s="19">
        <f t="shared" si="96"/>
        <v>27.206259844751134</v>
      </c>
      <c r="Q325" s="19">
        <f t="shared" si="111"/>
        <v>97.695315702062103</v>
      </c>
      <c r="R325" s="19">
        <f t="shared" si="112"/>
        <v>0</v>
      </c>
      <c r="S325" s="19">
        <f t="shared" si="113"/>
        <v>0</v>
      </c>
      <c r="T325" s="19">
        <f t="shared" si="114"/>
        <v>0</v>
      </c>
      <c r="U325" s="17"/>
      <c r="V325" s="19">
        <f t="shared" si="107"/>
        <v>124.90157554681323</v>
      </c>
      <c r="W325" s="17"/>
      <c r="X325" s="19">
        <f t="shared" si="108"/>
        <v>62.159576075926502</v>
      </c>
      <c r="Y325" s="19">
        <f t="shared" si="109"/>
        <v>7.8841344531867605</v>
      </c>
      <c r="Z325" s="19"/>
      <c r="AA325" s="19">
        <f t="shared" si="110"/>
        <v>5.1238842978427317E-5</v>
      </c>
    </row>
    <row r="326" spans="2:27" x14ac:dyDescent="0.35">
      <c r="B326" s="27">
        <v>28.8</v>
      </c>
      <c r="C326" s="27">
        <v>140.53570999999999</v>
      </c>
      <c r="D326" s="19">
        <f t="shared" si="97"/>
        <v>47.563706105003924</v>
      </c>
      <c r="E326" s="19">
        <f t="shared" si="98"/>
        <v>3.8175622046112689E-3</v>
      </c>
      <c r="F326" s="19">
        <f t="shared" si="99"/>
        <v>1.1138865337748918</v>
      </c>
      <c r="G326" s="19">
        <f t="shared" si="100"/>
        <v>1.1138865337748918</v>
      </c>
      <c r="H326" s="19">
        <f t="shared" si="101"/>
        <v>1.1138865337748918</v>
      </c>
      <c r="I326" s="17"/>
      <c r="J326" s="19">
        <f t="shared" si="102"/>
        <v>43.784427878719654</v>
      </c>
      <c r="K326" s="19">
        <f t="shared" si="103"/>
        <v>0.56852592557025539</v>
      </c>
      <c r="L326" s="19">
        <f t="shared" si="104"/>
        <v>1.0577461566643871</v>
      </c>
      <c r="M326" s="19">
        <f t="shared" si="105"/>
        <v>1.0577461566643871</v>
      </c>
      <c r="N326" s="19">
        <f t="shared" si="106"/>
        <v>1.0577461566643871</v>
      </c>
      <c r="O326" s="17"/>
      <c r="P326" s="19">
        <f t="shared" si="96"/>
        <v>27.03772845522635</v>
      </c>
      <c r="Q326" s="19">
        <f t="shared" si="111"/>
        <v>97.176737066547389</v>
      </c>
      <c r="R326" s="19">
        <f t="shared" si="112"/>
        <v>0</v>
      </c>
      <c r="S326" s="19">
        <f t="shared" si="113"/>
        <v>0</v>
      </c>
      <c r="T326" s="19">
        <f t="shared" si="114"/>
        <v>0</v>
      </c>
      <c r="U326" s="17"/>
      <c r="V326" s="19">
        <f t="shared" si="107"/>
        <v>124.21446552177375</v>
      </c>
      <c r="W326" s="17"/>
      <c r="X326" s="19">
        <f t="shared" si="108"/>
        <v>266.38302131803079</v>
      </c>
      <c r="Y326" s="19">
        <f t="shared" si="109"/>
        <v>16.321244478226248</v>
      </c>
      <c r="Z326" s="19"/>
      <c r="AA326" s="19">
        <f t="shared" si="110"/>
        <v>1.060714638997987E-4</v>
      </c>
    </row>
    <row r="327" spans="2:27" x14ac:dyDescent="0.35">
      <c r="B327" s="27">
        <v>28.9</v>
      </c>
      <c r="C327" s="27">
        <v>107.78570999999999</v>
      </c>
      <c r="D327" s="19">
        <f t="shared" si="97"/>
        <v>47.704205443426417</v>
      </c>
      <c r="E327" s="19">
        <f t="shared" si="98"/>
        <v>9.9424910317331694E-3</v>
      </c>
      <c r="F327" s="19">
        <f t="shared" si="99"/>
        <v>1.1249976448860028</v>
      </c>
      <c r="G327" s="19">
        <f t="shared" si="100"/>
        <v>1.1249976448860028</v>
      </c>
      <c r="H327" s="19">
        <f t="shared" si="101"/>
        <v>1.1249976448860028</v>
      </c>
      <c r="I327" s="17"/>
      <c r="J327" s="19">
        <f t="shared" si="102"/>
        <v>43.921794782254651</v>
      </c>
      <c r="K327" s="19">
        <f t="shared" si="103"/>
        <v>0.57074872264150411</v>
      </c>
      <c r="L327" s="19">
        <f t="shared" si="104"/>
        <v>1.0634651030609985</v>
      </c>
      <c r="M327" s="19">
        <f t="shared" si="105"/>
        <v>1.0634651030609985</v>
      </c>
      <c r="N327" s="19">
        <f t="shared" si="106"/>
        <v>1.0634651030609985</v>
      </c>
      <c r="O327" s="17"/>
      <c r="P327" s="19">
        <f t="shared" si="96"/>
        <v>26.870746624177794</v>
      </c>
      <c r="Q327" s="19">
        <f t="shared" si="111"/>
        <v>96.66129838251733</v>
      </c>
      <c r="R327" s="19">
        <f t="shared" si="112"/>
        <v>0</v>
      </c>
      <c r="S327" s="19">
        <f t="shared" si="113"/>
        <v>0</v>
      </c>
      <c r="T327" s="19">
        <f t="shared" si="114"/>
        <v>0</v>
      </c>
      <c r="U327" s="17"/>
      <c r="V327" s="19">
        <f t="shared" si="107"/>
        <v>123.53204500669513</v>
      </c>
      <c r="W327" s="17"/>
      <c r="X327" s="19">
        <f t="shared" si="108"/>
        <v>247.94706614307262</v>
      </c>
      <c r="Y327" s="19">
        <f t="shared" si="109"/>
        <v>15.746335006695134</v>
      </c>
      <c r="Z327" s="19"/>
      <c r="AA327" s="19">
        <f t="shared" si="110"/>
        <v>1.0233513795133817E-4</v>
      </c>
    </row>
    <row r="328" spans="2:27" x14ac:dyDescent="0.35">
      <c r="B328" s="27">
        <v>29</v>
      </c>
      <c r="C328" s="27">
        <v>115.53570999999999</v>
      </c>
      <c r="D328" s="19">
        <f t="shared" si="97"/>
        <v>47.844704781848904</v>
      </c>
      <c r="E328" s="19">
        <f t="shared" si="98"/>
        <v>1.6067419858855736E-2</v>
      </c>
      <c r="F328" s="19">
        <f t="shared" si="99"/>
        <v>1.1361087559971139</v>
      </c>
      <c r="G328" s="19">
        <f t="shared" si="100"/>
        <v>1.1361087559971139</v>
      </c>
      <c r="H328" s="19">
        <f t="shared" si="101"/>
        <v>1.1361087559971139</v>
      </c>
      <c r="I328" s="17"/>
      <c r="J328" s="19">
        <f t="shared" si="102"/>
        <v>44.059171250224367</v>
      </c>
      <c r="K328" s="19">
        <f t="shared" si="103"/>
        <v>0.57297704463965093</v>
      </c>
      <c r="L328" s="19">
        <f t="shared" si="104"/>
        <v>1.0691989927626155</v>
      </c>
      <c r="M328" s="19">
        <f t="shared" si="105"/>
        <v>1.0691989927626155</v>
      </c>
      <c r="N328" s="19">
        <f t="shared" si="106"/>
        <v>1.0691989927626155</v>
      </c>
      <c r="O328" s="17"/>
      <c r="P328" s="19">
        <f t="shared" si="96"/>
        <v>26.705295518857564</v>
      </c>
      <c r="Q328" s="19">
        <f t="shared" si="111"/>
        <v>96.148979701142167</v>
      </c>
      <c r="R328" s="19">
        <f t="shared" si="112"/>
        <v>0</v>
      </c>
      <c r="S328" s="19">
        <f t="shared" si="113"/>
        <v>0</v>
      </c>
      <c r="T328" s="19">
        <f t="shared" si="114"/>
        <v>0</v>
      </c>
      <c r="U328" s="17"/>
      <c r="V328" s="19">
        <f t="shared" si="107"/>
        <v>122.85427521999974</v>
      </c>
      <c r="W328" s="17"/>
      <c r="X328" s="19">
        <f t="shared" si="108"/>
        <v>53.561396879389854</v>
      </c>
      <c r="Y328" s="19">
        <f t="shared" si="109"/>
        <v>7.3185652199997406</v>
      </c>
      <c r="Z328" s="19"/>
      <c r="AA328" s="19">
        <f t="shared" si="110"/>
        <v>4.7563219065013977E-5</v>
      </c>
    </row>
    <row r="329" spans="2:27" x14ac:dyDescent="0.35">
      <c r="B329" s="27">
        <v>29.1</v>
      </c>
      <c r="C329" s="27">
        <v>138.78570999999999</v>
      </c>
      <c r="D329" s="19">
        <f t="shared" si="97"/>
        <v>47.985204120271398</v>
      </c>
      <c r="E329" s="19">
        <f t="shared" si="98"/>
        <v>2.2192348685978081E-2</v>
      </c>
      <c r="F329" s="19">
        <f t="shared" si="99"/>
        <v>1.147219867108225</v>
      </c>
      <c r="G329" s="19">
        <f t="shared" si="100"/>
        <v>1.147219867108225</v>
      </c>
      <c r="H329" s="19">
        <f t="shared" si="101"/>
        <v>1.147219867108225</v>
      </c>
      <c r="I329" s="17"/>
      <c r="J329" s="19">
        <f t="shared" si="102"/>
        <v>44.196557225057205</v>
      </c>
      <c r="K329" s="19">
        <f t="shared" si="103"/>
        <v>0.57521088959660116</v>
      </c>
      <c r="L329" s="19">
        <f t="shared" si="104"/>
        <v>1.0749477817886923</v>
      </c>
      <c r="M329" s="19">
        <f t="shared" si="105"/>
        <v>1.0749477817886923</v>
      </c>
      <c r="N329" s="19">
        <f t="shared" si="106"/>
        <v>1.0749477817886923</v>
      </c>
      <c r="O329" s="17"/>
      <c r="P329" s="19">
        <f t="shared" si="96"/>
        <v>26.541356590478387</v>
      </c>
      <c r="Q329" s="19">
        <f t="shared" si="111"/>
        <v>95.639761198831749</v>
      </c>
      <c r="R329" s="19">
        <f t="shared" si="112"/>
        <v>0</v>
      </c>
      <c r="S329" s="19">
        <f t="shared" si="113"/>
        <v>0</v>
      </c>
      <c r="T329" s="19">
        <f t="shared" si="114"/>
        <v>0</v>
      </c>
      <c r="U329" s="17"/>
      <c r="V329" s="19">
        <f t="shared" si="107"/>
        <v>122.18111778931014</v>
      </c>
      <c r="W329" s="17"/>
      <c r="X329" s="19">
        <f t="shared" si="108"/>
        <v>275.71248248330232</v>
      </c>
      <c r="Y329" s="19">
        <f t="shared" si="109"/>
        <v>16.604592210689859</v>
      </c>
      <c r="Z329" s="19"/>
      <c r="AA329" s="19">
        <f t="shared" si="110"/>
        <v>1.0791293553605777E-4</v>
      </c>
    </row>
    <row r="330" spans="2:27" x14ac:dyDescent="0.35">
      <c r="B330" s="27">
        <v>29.2</v>
      </c>
      <c r="C330" s="27">
        <v>113.78570999999999</v>
      </c>
      <c r="D330" s="19">
        <f t="shared" si="97"/>
        <v>48.125703458693884</v>
      </c>
      <c r="E330" s="19">
        <f t="shared" si="98"/>
        <v>2.8317277513100203E-2</v>
      </c>
      <c r="F330" s="19">
        <f t="shared" si="99"/>
        <v>1.1583309782193361</v>
      </c>
      <c r="G330" s="19">
        <f t="shared" si="100"/>
        <v>1.1583309782193361</v>
      </c>
      <c r="H330" s="19">
        <f t="shared" si="101"/>
        <v>1.1583309782193361</v>
      </c>
      <c r="I330" s="17"/>
      <c r="J330" s="19">
        <f t="shared" si="102"/>
        <v>44.333952649695803</v>
      </c>
      <c r="K330" s="19">
        <f t="shared" si="103"/>
        <v>0.57745025548963591</v>
      </c>
      <c r="L330" s="19">
        <f t="shared" si="104"/>
        <v>1.0807114260889936</v>
      </c>
      <c r="M330" s="19">
        <f t="shared" si="105"/>
        <v>1.0807114260889936</v>
      </c>
      <c r="N330" s="19">
        <f t="shared" si="106"/>
        <v>1.0807114260889936</v>
      </c>
      <c r="O330" s="17"/>
      <c r="P330" s="19">
        <f t="shared" si="96"/>
        <v>26.378911569110517</v>
      </c>
      <c r="Q330" s="19">
        <f t="shared" si="111"/>
        <v>95.133623176495149</v>
      </c>
      <c r="R330" s="19">
        <f t="shared" si="112"/>
        <v>0</v>
      </c>
      <c r="S330" s="19">
        <f t="shared" si="113"/>
        <v>0</v>
      </c>
      <c r="T330" s="19">
        <f t="shared" si="114"/>
        <v>0</v>
      </c>
      <c r="U330" s="17"/>
      <c r="V330" s="19">
        <f t="shared" si="107"/>
        <v>121.51253474560566</v>
      </c>
      <c r="W330" s="17"/>
      <c r="X330" s="19">
        <f t="shared" si="108"/>
        <v>59.703820649304106</v>
      </c>
      <c r="Y330" s="19">
        <f t="shared" si="109"/>
        <v>7.7268247456056685</v>
      </c>
      <c r="Z330" s="19"/>
      <c r="AA330" s="19">
        <f t="shared" si="110"/>
        <v>5.0216490118568121E-5</v>
      </c>
    </row>
    <row r="331" spans="2:27" x14ac:dyDescent="0.35">
      <c r="B331" s="27">
        <v>29.3</v>
      </c>
      <c r="C331" s="27">
        <v>111.53572</v>
      </c>
      <c r="D331" s="19">
        <f t="shared" si="97"/>
        <v>48.266202797116378</v>
      </c>
      <c r="E331" s="19">
        <f t="shared" si="98"/>
        <v>3.4442206340222548E-2</v>
      </c>
      <c r="F331" s="19">
        <f t="shared" si="99"/>
        <v>1.1694420893304471</v>
      </c>
      <c r="G331" s="19">
        <f t="shared" si="100"/>
        <v>1.1694420893304471</v>
      </c>
      <c r="H331" s="19">
        <f t="shared" si="101"/>
        <v>1.1694420893304471</v>
      </c>
      <c r="I331" s="17"/>
      <c r="J331" s="19">
        <f t="shared" si="102"/>
        <v>44.471357467591012</v>
      </c>
      <c r="K331" s="19">
        <f t="shared" si="103"/>
        <v>0.57969514024165802</v>
      </c>
      <c r="L331" s="19">
        <f t="shared" si="104"/>
        <v>1.0864898815473323</v>
      </c>
      <c r="M331" s="19">
        <f t="shared" si="105"/>
        <v>1.0864898815473323</v>
      </c>
      <c r="N331" s="19">
        <f t="shared" si="106"/>
        <v>1.0864898815473323</v>
      </c>
      <c r="O331" s="17"/>
      <c r="P331" s="19">
        <f t="shared" si="96"/>
        <v>26.217942458684856</v>
      </c>
      <c r="Q331" s="19">
        <f t="shared" si="111"/>
        <v>94.630546058804413</v>
      </c>
      <c r="R331" s="19">
        <f t="shared" si="112"/>
        <v>0</v>
      </c>
      <c r="S331" s="19">
        <f t="shared" si="113"/>
        <v>0</v>
      </c>
      <c r="T331" s="19">
        <f t="shared" si="114"/>
        <v>0</v>
      </c>
      <c r="U331" s="17"/>
      <c r="V331" s="19">
        <f t="shared" si="107"/>
        <v>120.84848851748927</v>
      </c>
      <c r="W331" s="17"/>
      <c r="X331" s="19">
        <f t="shared" si="108"/>
        <v>86.727657460339387</v>
      </c>
      <c r="Y331" s="19">
        <f t="shared" si="109"/>
        <v>9.3127685174892747</v>
      </c>
      <c r="Z331" s="19"/>
      <c r="AA331" s="19">
        <f t="shared" si="110"/>
        <v>6.0523509155681683E-5</v>
      </c>
    </row>
    <row r="332" spans="2:27" x14ac:dyDescent="0.35">
      <c r="B332" s="27">
        <v>29.4</v>
      </c>
      <c r="C332" s="27">
        <v>140.03570999999999</v>
      </c>
      <c r="D332" s="19">
        <f t="shared" si="97"/>
        <v>48.406702135538865</v>
      </c>
      <c r="E332" s="19">
        <f t="shared" si="98"/>
        <v>4.056713516734467E-2</v>
      </c>
      <c r="F332" s="19">
        <f t="shared" si="99"/>
        <v>1.1805532004415582</v>
      </c>
      <c r="G332" s="19">
        <f t="shared" si="100"/>
        <v>1.1805532004415582</v>
      </c>
      <c r="H332" s="19">
        <f t="shared" si="101"/>
        <v>1.1805532004415582</v>
      </c>
      <c r="I332" s="17"/>
      <c r="J332" s="19">
        <f t="shared" si="102"/>
        <v>44.608771622695862</v>
      </c>
      <c r="K332" s="19">
        <f t="shared" si="103"/>
        <v>0.58194554172143886</v>
      </c>
      <c r="L332" s="19">
        <f t="shared" si="104"/>
        <v>1.092283103985267</v>
      </c>
      <c r="M332" s="19">
        <f t="shared" si="105"/>
        <v>1.092283103985267</v>
      </c>
      <c r="N332" s="19">
        <f t="shared" si="106"/>
        <v>1.092283103985267</v>
      </c>
      <c r="O332" s="17"/>
      <c r="P332" s="19">
        <f t="shared" si="96"/>
        <v>26.058431532099984</v>
      </c>
      <c r="Q332" s="19">
        <f t="shared" si="111"/>
        <v>94.130510393462671</v>
      </c>
      <c r="R332" s="19">
        <f t="shared" si="112"/>
        <v>0</v>
      </c>
      <c r="S332" s="19">
        <f t="shared" si="113"/>
        <v>0</v>
      </c>
      <c r="T332" s="19">
        <f t="shared" si="114"/>
        <v>0</v>
      </c>
      <c r="U332" s="17"/>
      <c r="V332" s="19">
        <f t="shared" si="107"/>
        <v>120.18894192556266</v>
      </c>
      <c r="W332" s="17"/>
      <c r="X332" s="19">
        <f t="shared" si="108"/>
        <v>393.89420300050506</v>
      </c>
      <c r="Y332" s="19">
        <f t="shared" si="109"/>
        <v>19.846768074437335</v>
      </c>
      <c r="Z332" s="19"/>
      <c r="AA332" s="19">
        <f t="shared" si="110"/>
        <v>1.2898377609279842E-4</v>
      </c>
    </row>
    <row r="333" spans="2:27" x14ac:dyDescent="0.35">
      <c r="B333" s="27">
        <v>29.5</v>
      </c>
      <c r="C333" s="27">
        <v>118.78572</v>
      </c>
      <c r="D333" s="19">
        <f t="shared" si="97"/>
        <v>48.547201473961358</v>
      </c>
      <c r="E333" s="19">
        <f t="shared" si="98"/>
        <v>4.6692063994467237E-2</v>
      </c>
      <c r="F333" s="19">
        <f t="shared" si="99"/>
        <v>1.1916643115526693</v>
      </c>
      <c r="G333" s="19">
        <f t="shared" si="100"/>
        <v>1.1916643115526693</v>
      </c>
      <c r="H333" s="19">
        <f t="shared" si="101"/>
        <v>1.1916643115526693</v>
      </c>
      <c r="I333" s="17"/>
      <c r="J333" s="19">
        <f t="shared" si="102"/>
        <v>44.746195059459716</v>
      </c>
      <c r="K333" s="19">
        <f t="shared" si="103"/>
        <v>0.584201457743867</v>
      </c>
      <c r="L333" s="19">
        <f t="shared" si="104"/>
        <v>1.0980910491657516</v>
      </c>
      <c r="M333" s="19">
        <f t="shared" si="105"/>
        <v>1.0980910491657516</v>
      </c>
      <c r="N333" s="19">
        <f t="shared" si="106"/>
        <v>1.0980910491657516</v>
      </c>
      <c r="O333" s="17"/>
      <c r="P333" s="19">
        <f t="shared" si="96"/>
        <v>25.900361326430474</v>
      </c>
      <c r="Q333" s="19">
        <f t="shared" si="111"/>
        <v>93.633496850476007</v>
      </c>
      <c r="R333" s="19">
        <f t="shared" si="112"/>
        <v>0</v>
      </c>
      <c r="S333" s="19">
        <f t="shared" si="113"/>
        <v>0</v>
      </c>
      <c r="T333" s="19">
        <f t="shared" si="114"/>
        <v>0</v>
      </c>
      <c r="U333" s="17"/>
      <c r="V333" s="19">
        <f t="shared" si="107"/>
        <v>119.53385817690648</v>
      </c>
      <c r="W333" s="17"/>
      <c r="X333" s="19">
        <f t="shared" si="108"/>
        <v>0.55971073174495101</v>
      </c>
      <c r="Y333" s="19">
        <f t="shared" si="109"/>
        <v>0.74813817690647966</v>
      </c>
      <c r="Z333" s="19"/>
      <c r="AA333" s="19">
        <f t="shared" si="110"/>
        <v>4.8621360785118936E-6</v>
      </c>
    </row>
    <row r="334" spans="2:27" x14ac:dyDescent="0.35">
      <c r="B334" s="27">
        <v>29.6</v>
      </c>
      <c r="C334" s="27">
        <v>119.53570999999999</v>
      </c>
      <c r="D334" s="19">
        <f t="shared" si="97"/>
        <v>48.687700812383852</v>
      </c>
      <c r="E334" s="19">
        <f t="shared" si="98"/>
        <v>5.2816992821589359E-2</v>
      </c>
      <c r="F334" s="19">
        <f t="shared" si="99"/>
        <v>1.2027754226637808</v>
      </c>
      <c r="G334" s="19">
        <f t="shared" si="100"/>
        <v>1.2027754226637808</v>
      </c>
      <c r="H334" s="19">
        <f t="shared" si="101"/>
        <v>1.2027754226637808</v>
      </c>
      <c r="I334" s="17"/>
      <c r="J334" s="19">
        <f t="shared" si="102"/>
        <v>44.883627722822418</v>
      </c>
      <c r="K334" s="19">
        <f t="shared" si="103"/>
        <v>0.58646288607019914</v>
      </c>
      <c r="L334" s="19">
        <f t="shared" si="104"/>
        <v>1.1039136727967449</v>
      </c>
      <c r="M334" s="19">
        <f t="shared" si="105"/>
        <v>1.1039136727967449</v>
      </c>
      <c r="N334" s="19">
        <f t="shared" si="106"/>
        <v>1.1039136727967449</v>
      </c>
      <c r="O334" s="17"/>
      <c r="P334" s="19">
        <f t="shared" si="96"/>
        <v>25.743714638234252</v>
      </c>
      <c r="Q334" s="19">
        <f t="shared" si="111"/>
        <v>93.139486221429465</v>
      </c>
      <c r="R334" s="19">
        <f t="shared" si="112"/>
        <v>0</v>
      </c>
      <c r="S334" s="19">
        <f t="shared" si="113"/>
        <v>0</v>
      </c>
      <c r="T334" s="19">
        <f t="shared" si="114"/>
        <v>0</v>
      </c>
      <c r="U334" s="17"/>
      <c r="V334" s="19">
        <f t="shared" si="107"/>
        <v>118.88320085966372</v>
      </c>
      <c r="W334" s="17"/>
      <c r="X334" s="19">
        <f t="shared" si="108"/>
        <v>0.42576817822238844</v>
      </c>
      <c r="Y334" s="19">
        <f t="shared" si="109"/>
        <v>0.65250914033627794</v>
      </c>
      <c r="Z334" s="19"/>
      <c r="AA334" s="19">
        <f t="shared" si="110"/>
        <v>4.240644750821724E-6</v>
      </c>
    </row>
    <row r="335" spans="2:27" x14ac:dyDescent="0.35">
      <c r="B335" s="27">
        <v>29.7</v>
      </c>
      <c r="C335" s="27">
        <v>120.78570999999999</v>
      </c>
      <c r="D335" s="19">
        <f t="shared" si="97"/>
        <v>48.828200150806339</v>
      </c>
      <c r="E335" s="19">
        <f t="shared" si="98"/>
        <v>5.8941921648711482E-2</v>
      </c>
      <c r="F335" s="19">
        <f t="shared" si="99"/>
        <v>1.2138865337748919</v>
      </c>
      <c r="G335" s="19">
        <f t="shared" si="100"/>
        <v>1.2138865337748919</v>
      </c>
      <c r="H335" s="19">
        <f t="shared" si="101"/>
        <v>1.2138865337748919</v>
      </c>
      <c r="I335" s="17"/>
      <c r="J335" s="19">
        <f t="shared" si="102"/>
        <v>45.021069558208609</v>
      </c>
      <c r="K335" s="19">
        <f t="shared" si="103"/>
        <v>0.58872982440831279</v>
      </c>
      <c r="L335" s="19">
        <f t="shared" si="104"/>
        <v>1.1097509305347699</v>
      </c>
      <c r="M335" s="19">
        <f t="shared" si="105"/>
        <v>1.1097509305347699</v>
      </c>
      <c r="N335" s="19">
        <f t="shared" si="106"/>
        <v>1.1097509305347699</v>
      </c>
      <c r="O335" s="17"/>
      <c r="P335" s="19">
        <f t="shared" si="96"/>
        <v>25.588474518956527</v>
      </c>
      <c r="Q335" s="19">
        <f t="shared" si="111"/>
        <v>92.648459418766762</v>
      </c>
      <c r="R335" s="19">
        <f t="shared" si="112"/>
        <v>0</v>
      </c>
      <c r="S335" s="19">
        <f t="shared" si="113"/>
        <v>0</v>
      </c>
      <c r="T335" s="19">
        <f t="shared" si="114"/>
        <v>0</v>
      </c>
      <c r="U335" s="17"/>
      <c r="V335" s="19">
        <f t="shared" si="107"/>
        <v>118.23693393772329</v>
      </c>
      <c r="W335" s="17"/>
      <c r="X335" s="19">
        <f t="shared" si="108"/>
        <v>6.4962594156347269</v>
      </c>
      <c r="Y335" s="19">
        <f t="shared" si="109"/>
        <v>2.5487760622767013</v>
      </c>
      <c r="Z335" s="19"/>
      <c r="AA335" s="19">
        <f t="shared" si="110"/>
        <v>1.6564448160746834E-5</v>
      </c>
    </row>
    <row r="336" spans="2:27" x14ac:dyDescent="0.35">
      <c r="B336" s="27">
        <v>29.8</v>
      </c>
      <c r="C336" s="27">
        <v>130.78570999999999</v>
      </c>
      <c r="D336" s="19">
        <f t="shared" si="97"/>
        <v>48.968699489228833</v>
      </c>
      <c r="E336" s="19">
        <f t="shared" si="98"/>
        <v>6.5066850475834048E-2</v>
      </c>
      <c r="F336" s="19">
        <f t="shared" si="99"/>
        <v>1.2249976448860029</v>
      </c>
      <c r="G336" s="19">
        <f t="shared" si="100"/>
        <v>1.2249976448860029</v>
      </c>
      <c r="H336" s="19">
        <f t="shared" si="101"/>
        <v>1.2249976448860029</v>
      </c>
      <c r="I336" s="17"/>
      <c r="J336" s="19">
        <f t="shared" si="102"/>
        <v>45.15852051152207</v>
      </c>
      <c r="K336" s="19">
        <f t="shared" si="103"/>
        <v>0.59100227041295905</v>
      </c>
      <c r="L336" s="19">
        <f t="shared" si="104"/>
        <v>1.1156027779884365</v>
      </c>
      <c r="M336" s="19">
        <f t="shared" si="105"/>
        <v>1.1156027779884365</v>
      </c>
      <c r="N336" s="19">
        <f t="shared" si="106"/>
        <v>1.1156027779884365</v>
      </c>
      <c r="O336" s="17"/>
      <c r="P336" s="19">
        <f t="shared" si="96"/>
        <v>25.434624270428177</v>
      </c>
      <c r="Q336" s="19">
        <f t="shared" si="111"/>
        <v>92.160397475074518</v>
      </c>
      <c r="R336" s="19">
        <f t="shared" si="112"/>
        <v>0</v>
      </c>
      <c r="S336" s="19">
        <f t="shared" si="113"/>
        <v>0</v>
      </c>
      <c r="T336" s="19">
        <f t="shared" si="114"/>
        <v>0</v>
      </c>
      <c r="U336" s="17"/>
      <c r="V336" s="19">
        <f t="shared" si="107"/>
        <v>117.59502174550269</v>
      </c>
      <c r="W336" s="17"/>
      <c r="X336" s="19">
        <f t="shared" si="108"/>
        <v>173.9942566273331</v>
      </c>
      <c r="Y336" s="19">
        <f t="shared" si="109"/>
        <v>13.190688254497303</v>
      </c>
      <c r="Z336" s="19"/>
      <c r="AA336" s="19">
        <f t="shared" si="110"/>
        <v>8.572603730475252E-5</v>
      </c>
    </row>
    <row r="337" spans="2:27" x14ac:dyDescent="0.35">
      <c r="B337" s="27">
        <v>29.9</v>
      </c>
      <c r="C337" s="27">
        <v>137.28570999999999</v>
      </c>
      <c r="D337" s="19">
        <f t="shared" si="97"/>
        <v>49.109198827651319</v>
      </c>
      <c r="E337" s="19">
        <f t="shared" si="98"/>
        <v>7.1191779302955949E-2</v>
      </c>
      <c r="F337" s="19">
        <f t="shared" si="99"/>
        <v>1.236108755997114</v>
      </c>
      <c r="G337" s="19">
        <f t="shared" si="100"/>
        <v>1.236108755997114</v>
      </c>
      <c r="H337" s="19">
        <f t="shared" si="101"/>
        <v>1.236108755997114</v>
      </c>
      <c r="I337" s="17"/>
      <c r="J337" s="19">
        <f t="shared" si="102"/>
        <v>45.295980529140131</v>
      </c>
      <c r="K337" s="19">
        <f t="shared" si="103"/>
        <v>0.59328022168601857</v>
      </c>
      <c r="L337" s="19">
        <f t="shared" si="104"/>
        <v>1.1214691707219142</v>
      </c>
      <c r="M337" s="19">
        <f t="shared" si="105"/>
        <v>1.1214691707219142</v>
      </c>
      <c r="N337" s="19">
        <f t="shared" si="106"/>
        <v>1.1214691707219142</v>
      </c>
      <c r="O337" s="17"/>
      <c r="P337" s="19">
        <f t="shared" si="96"/>
        <v>25.282147440456374</v>
      </c>
      <c r="Q337" s="19">
        <f t="shared" si="111"/>
        <v>91.675281542369902</v>
      </c>
      <c r="R337" s="19">
        <f t="shared" si="112"/>
        <v>0</v>
      </c>
      <c r="S337" s="19">
        <f t="shared" si="113"/>
        <v>0</v>
      </c>
      <c r="T337" s="19">
        <f t="shared" si="114"/>
        <v>0</v>
      </c>
      <c r="U337" s="17"/>
      <c r="V337" s="19">
        <f t="shared" si="107"/>
        <v>116.95742898282627</v>
      </c>
      <c r="W337" s="17"/>
      <c r="X337" s="19">
        <f t="shared" si="108"/>
        <v>413.23900911318549</v>
      </c>
      <c r="Y337" s="19">
        <f t="shared" si="109"/>
        <v>20.328281017173722</v>
      </c>
      <c r="Z337" s="19"/>
      <c r="AA337" s="19">
        <f t="shared" si="110"/>
        <v>1.3211311974002375E-4</v>
      </c>
    </row>
    <row r="338" spans="2:27" x14ac:dyDescent="0.35">
      <c r="B338" s="27">
        <v>30</v>
      </c>
      <c r="C338" s="27">
        <v>108.03570999999999</v>
      </c>
      <c r="D338" s="19">
        <f t="shared" si="97"/>
        <v>49.249698166073813</v>
      </c>
      <c r="E338" s="19">
        <f t="shared" si="98"/>
        <v>7.7316708130078293E-2</v>
      </c>
      <c r="F338" s="19">
        <f t="shared" si="99"/>
        <v>1.2472198671082246</v>
      </c>
      <c r="G338" s="19">
        <f t="shared" si="100"/>
        <v>1.2472198671082246</v>
      </c>
      <c r="H338" s="19">
        <f t="shared" si="101"/>
        <v>1.2472198671082246</v>
      </c>
      <c r="I338" s="17"/>
      <c r="J338" s="19">
        <f t="shared" si="102"/>
        <v>45.433449557908261</v>
      </c>
      <c r="K338" s="19">
        <f t="shared" si="103"/>
        <v>0.59556367577675817</v>
      </c>
      <c r="L338" s="19">
        <f t="shared" si="104"/>
        <v>1.1273500642583629</v>
      </c>
      <c r="M338" s="19">
        <f t="shared" si="105"/>
        <v>1.1273500642583629</v>
      </c>
      <c r="N338" s="19">
        <f t="shared" si="106"/>
        <v>1.1273500642583629</v>
      </c>
      <c r="O338" s="17"/>
      <c r="P338" s="19">
        <f t="shared" si="96"/>
        <v>25.131027818505036</v>
      </c>
      <c r="Q338" s="19">
        <f t="shared" si="111"/>
        <v>91.193092891392425</v>
      </c>
      <c r="R338" s="19">
        <f t="shared" si="112"/>
        <v>0</v>
      </c>
      <c r="S338" s="19">
        <f t="shared" si="113"/>
        <v>0</v>
      </c>
      <c r="T338" s="19">
        <f t="shared" si="114"/>
        <v>0</v>
      </c>
      <c r="U338" s="17"/>
      <c r="V338" s="19">
        <f t="shared" si="107"/>
        <v>116.32412070989746</v>
      </c>
      <c r="W338" s="17"/>
      <c r="X338" s="19">
        <f t="shared" si="108"/>
        <v>68.69775209594296</v>
      </c>
      <c r="Y338" s="19">
        <f t="shared" si="109"/>
        <v>8.2884107098974624</v>
      </c>
      <c r="Z338" s="19"/>
      <c r="AA338" s="19">
        <f t="shared" si="110"/>
        <v>5.3866226841615135E-5</v>
      </c>
    </row>
    <row r="339" spans="2:27" x14ac:dyDescent="0.35">
      <c r="B339" s="27">
        <v>30.1</v>
      </c>
      <c r="C339" s="27">
        <v>102.28570999999999</v>
      </c>
      <c r="D339" s="19">
        <f t="shared" si="97"/>
        <v>49.390197504496307</v>
      </c>
      <c r="E339" s="19">
        <f t="shared" si="98"/>
        <v>8.344163695720086E-2</v>
      </c>
      <c r="F339" s="19">
        <f t="shared" si="99"/>
        <v>1.2583309782193361</v>
      </c>
      <c r="G339" s="19">
        <f t="shared" si="100"/>
        <v>1.2583309782193361</v>
      </c>
      <c r="H339" s="19">
        <f t="shared" si="101"/>
        <v>1.2583309782193361</v>
      </c>
      <c r="I339" s="17"/>
      <c r="J339" s="19">
        <f t="shared" si="102"/>
        <v>45.570927545134602</v>
      </c>
      <c r="K339" s="19">
        <f t="shared" si="103"/>
        <v>0.59785263018208934</v>
      </c>
      <c r="L339" s="19">
        <f t="shared" si="104"/>
        <v>1.1332454140833221</v>
      </c>
      <c r="M339" s="19">
        <f t="shared" si="105"/>
        <v>1.1332454140833221</v>
      </c>
      <c r="N339" s="19">
        <f t="shared" si="106"/>
        <v>1.1332454140833221</v>
      </c>
      <c r="O339" s="17"/>
      <c r="P339" s="19">
        <f t="shared" si="96"/>
        <v>24.981249431463514</v>
      </c>
      <c r="Q339" s="19">
        <f t="shared" si="111"/>
        <v>90.713812910899549</v>
      </c>
      <c r="R339" s="19">
        <f t="shared" si="112"/>
        <v>0</v>
      </c>
      <c r="S339" s="19">
        <f t="shared" si="113"/>
        <v>0</v>
      </c>
      <c r="T339" s="19">
        <f t="shared" si="114"/>
        <v>0</v>
      </c>
      <c r="U339" s="17"/>
      <c r="V339" s="19">
        <f t="shared" si="107"/>
        <v>115.69506234236306</v>
      </c>
      <c r="W339" s="17"/>
      <c r="X339" s="19">
        <f t="shared" si="108"/>
        <v>179.8107302416378</v>
      </c>
      <c r="Y339" s="19">
        <f t="shared" si="109"/>
        <v>13.409352342363064</v>
      </c>
      <c r="Z339" s="19"/>
      <c r="AA339" s="19">
        <f t="shared" si="110"/>
        <v>8.7147131139427806E-5</v>
      </c>
    </row>
    <row r="340" spans="2:27" x14ac:dyDescent="0.35">
      <c r="B340" s="27">
        <v>30.2</v>
      </c>
      <c r="C340" s="27">
        <v>120.78570999999999</v>
      </c>
      <c r="D340" s="19">
        <f t="shared" si="97"/>
        <v>49.530696842918793</v>
      </c>
      <c r="E340" s="19">
        <f t="shared" si="98"/>
        <v>8.956656578432276E-2</v>
      </c>
      <c r="F340" s="19">
        <f t="shared" si="99"/>
        <v>1.2694420893304472</v>
      </c>
      <c r="G340" s="19">
        <f t="shared" si="100"/>
        <v>1.2694420893304472</v>
      </c>
      <c r="H340" s="19">
        <f t="shared" si="101"/>
        <v>1.2694420893304472</v>
      </c>
      <c r="I340" s="17"/>
      <c r="J340" s="19">
        <f t="shared" si="102"/>
        <v>45.708414438584668</v>
      </c>
      <c r="K340" s="19">
        <f t="shared" si="103"/>
        <v>0.6001470823468269</v>
      </c>
      <c r="L340" s="19">
        <f t="shared" si="104"/>
        <v>1.1391551756480511</v>
      </c>
      <c r="M340" s="19">
        <f t="shared" si="105"/>
        <v>1.1391551756480511</v>
      </c>
      <c r="N340" s="19">
        <f t="shared" si="106"/>
        <v>1.1391551756480511</v>
      </c>
      <c r="O340" s="17"/>
      <c r="P340" s="19">
        <f t="shared" si="96"/>
        <v>24.832796539501011</v>
      </c>
      <c r="Q340" s="19">
        <f t="shared" si="111"/>
        <v>90.237423106966475</v>
      </c>
      <c r="R340" s="19">
        <f t="shared" si="112"/>
        <v>0</v>
      </c>
      <c r="S340" s="19">
        <f t="shared" si="113"/>
        <v>0</v>
      </c>
      <c r="T340" s="19">
        <f t="shared" si="114"/>
        <v>0</v>
      </c>
      <c r="U340" s="17"/>
      <c r="V340" s="19">
        <f t="shared" si="107"/>
        <v>115.07021964646748</v>
      </c>
      <c r="W340" s="17"/>
      <c r="X340" s="19">
        <f t="shared" si="108"/>
        <v>32.666829981323247</v>
      </c>
      <c r="Y340" s="19">
        <f t="shared" si="109"/>
        <v>5.7154903535325161</v>
      </c>
      <c r="Z340" s="19"/>
      <c r="AA340" s="19">
        <f t="shared" si="110"/>
        <v>3.7144865363248191E-5</v>
      </c>
    </row>
    <row r="341" spans="2:27" x14ac:dyDescent="0.35">
      <c r="B341" s="27">
        <v>30.3</v>
      </c>
      <c r="C341" s="27">
        <v>106.78570999999999</v>
      </c>
      <c r="D341" s="19">
        <f t="shared" si="97"/>
        <v>49.671196181341287</v>
      </c>
      <c r="E341" s="19">
        <f t="shared" si="98"/>
        <v>9.5691494611445105E-2</v>
      </c>
      <c r="F341" s="19">
        <f t="shared" si="99"/>
        <v>1.2805532004415583</v>
      </c>
      <c r="G341" s="19">
        <f t="shared" si="100"/>
        <v>1.2805532004415583</v>
      </c>
      <c r="H341" s="19">
        <f t="shared" si="101"/>
        <v>1.2805532004415583</v>
      </c>
      <c r="I341" s="17"/>
      <c r="J341" s="19">
        <f t="shared" si="102"/>
        <v>45.845910186476111</v>
      </c>
      <c r="K341" s="19">
        <f t="shared" si="103"/>
        <v>0.60244702966395214</v>
      </c>
      <c r="L341" s="19">
        <f t="shared" si="104"/>
        <v>1.1450793043728316</v>
      </c>
      <c r="M341" s="19">
        <f t="shared" si="105"/>
        <v>1.1450793043728316</v>
      </c>
      <c r="N341" s="19">
        <f t="shared" si="106"/>
        <v>1.1450793043728316</v>
      </c>
      <c r="O341" s="17"/>
      <c r="P341" s="19">
        <f t="shared" si="96"/>
        <v>24.685653632004978</v>
      </c>
      <c r="Q341" s="19">
        <f t="shared" si="111"/>
        <v>89.763905102288987</v>
      </c>
      <c r="R341" s="19">
        <f t="shared" si="112"/>
        <v>0</v>
      </c>
      <c r="S341" s="19">
        <f t="shared" si="113"/>
        <v>0</v>
      </c>
      <c r="T341" s="19">
        <f t="shared" si="114"/>
        <v>0</v>
      </c>
      <c r="U341" s="17"/>
      <c r="V341" s="19">
        <f t="shared" si="107"/>
        <v>114.44955873429396</v>
      </c>
      <c r="W341" s="17"/>
      <c r="X341" s="19">
        <f t="shared" si="108"/>
        <v>58.734577422139196</v>
      </c>
      <c r="Y341" s="19">
        <f t="shared" si="109"/>
        <v>7.6638487342939641</v>
      </c>
      <c r="Z341" s="19"/>
      <c r="AA341" s="19">
        <f t="shared" si="110"/>
        <v>4.9807210193908312E-5</v>
      </c>
    </row>
    <row r="342" spans="2:27" x14ac:dyDescent="0.35">
      <c r="B342" s="27">
        <v>30.4</v>
      </c>
      <c r="C342" s="27">
        <v>127.78570999999999</v>
      </c>
      <c r="D342" s="19">
        <f t="shared" si="97"/>
        <v>49.811695519763774</v>
      </c>
      <c r="E342" s="19">
        <f t="shared" si="98"/>
        <v>0.10181642343856745</v>
      </c>
      <c r="F342" s="19">
        <f t="shared" si="99"/>
        <v>1.2916643115526694</v>
      </c>
      <c r="G342" s="19">
        <f t="shared" si="100"/>
        <v>1.2916643115526694</v>
      </c>
      <c r="H342" s="19">
        <f t="shared" si="101"/>
        <v>1.2916643115526694</v>
      </c>
      <c r="I342" s="17"/>
      <c r="J342" s="19">
        <f t="shared" si="102"/>
        <v>45.983414737473524</v>
      </c>
      <c r="K342" s="19">
        <f t="shared" si="103"/>
        <v>0.60475246947487327</v>
      </c>
      <c r="L342" s="19">
        <f t="shared" si="104"/>
        <v>1.1510177556502212</v>
      </c>
      <c r="M342" s="19">
        <f t="shared" si="105"/>
        <v>1.1510177556502212</v>
      </c>
      <c r="N342" s="19">
        <f t="shared" si="106"/>
        <v>1.1510177556502212</v>
      </c>
      <c r="O342" s="17"/>
      <c r="P342" s="19">
        <f t="shared" si="96"/>
        <v>24.53980542360156</v>
      </c>
      <c r="Q342" s="19">
        <f t="shared" si="111"/>
        <v>89.293240635491273</v>
      </c>
      <c r="R342" s="19">
        <f t="shared" si="112"/>
        <v>0</v>
      </c>
      <c r="S342" s="19">
        <f t="shared" si="113"/>
        <v>0</v>
      </c>
      <c r="T342" s="19">
        <f t="shared" si="114"/>
        <v>0</v>
      </c>
      <c r="U342" s="17"/>
      <c r="V342" s="19">
        <f t="shared" si="107"/>
        <v>113.83304605909284</v>
      </c>
      <c r="W342" s="17"/>
      <c r="X342" s="19">
        <f t="shared" si="108"/>
        <v>194.67683104789086</v>
      </c>
      <c r="Y342" s="19">
        <f t="shared" si="109"/>
        <v>13.952663940907158</v>
      </c>
      <c r="Z342" s="19"/>
      <c r="AA342" s="19">
        <f t="shared" si="110"/>
        <v>9.0678103099819333E-5</v>
      </c>
    </row>
    <row r="343" spans="2:27" x14ac:dyDescent="0.35">
      <c r="B343" s="27">
        <v>30.5</v>
      </c>
      <c r="C343" s="27">
        <v>91.035709999999995</v>
      </c>
      <c r="D343" s="19">
        <f t="shared" si="97"/>
        <v>49.952194858186267</v>
      </c>
      <c r="E343" s="19">
        <f t="shared" si="98"/>
        <v>0.10794135226568979</v>
      </c>
      <c r="F343" s="19">
        <f t="shared" si="99"/>
        <v>1.3027754226637809</v>
      </c>
      <c r="G343" s="19">
        <f t="shared" si="100"/>
        <v>1.3027754226637809</v>
      </c>
      <c r="H343" s="19">
        <f t="shared" si="101"/>
        <v>1.3027754226637809</v>
      </c>
      <c r="I343" s="17"/>
      <c r="J343" s="19">
        <f t="shared" si="102"/>
        <v>46.120928040683367</v>
      </c>
      <c r="K343" s="19">
        <f t="shared" si="103"/>
        <v>0.60706339906969053</v>
      </c>
      <c r="L343" s="19">
        <f t="shared" si="104"/>
        <v>1.1569704848482691</v>
      </c>
      <c r="M343" s="19">
        <f t="shared" si="105"/>
        <v>1.1569704848482691</v>
      </c>
      <c r="N343" s="19">
        <f t="shared" si="106"/>
        <v>1.1569704848482691</v>
      </c>
      <c r="O343" s="17"/>
      <c r="P343" s="19">
        <f t="shared" si="96"/>
        <v>24.395236850256087</v>
      </c>
      <c r="Q343" s="19">
        <f t="shared" si="111"/>
        <v>88.825411560436436</v>
      </c>
      <c r="R343" s="19">
        <f t="shared" si="112"/>
        <v>0</v>
      </c>
      <c r="S343" s="19">
        <f t="shared" si="113"/>
        <v>0</v>
      </c>
      <c r="T343" s="19">
        <f t="shared" si="114"/>
        <v>0</v>
      </c>
      <c r="U343" s="17"/>
      <c r="V343" s="19">
        <f t="shared" si="107"/>
        <v>113.22064841069252</v>
      </c>
      <c r="W343" s="17"/>
      <c r="X343" s="19">
        <f t="shared" si="108"/>
        <v>492.17149228622054</v>
      </c>
      <c r="Y343" s="19">
        <f t="shared" si="109"/>
        <v>22.184938410692524</v>
      </c>
      <c r="Z343" s="19"/>
      <c r="AA343" s="19">
        <f t="shared" si="110"/>
        <v>1.4417950156241812E-4</v>
      </c>
    </row>
    <row r="344" spans="2:27" x14ac:dyDescent="0.35">
      <c r="B344" s="27">
        <v>30.6</v>
      </c>
      <c r="C344" s="27">
        <v>112.28570999999999</v>
      </c>
      <c r="D344" s="19">
        <f t="shared" si="97"/>
        <v>50.092694196608761</v>
      </c>
      <c r="E344" s="19">
        <f t="shared" si="98"/>
        <v>0.11406628109281192</v>
      </c>
      <c r="F344" s="19">
        <f t="shared" si="99"/>
        <v>1.313886533774892</v>
      </c>
      <c r="G344" s="19">
        <f t="shared" si="100"/>
        <v>1.313886533774892</v>
      </c>
      <c r="H344" s="19">
        <f t="shared" si="101"/>
        <v>1.313886533774892</v>
      </c>
      <c r="I344" s="17"/>
      <c r="J344" s="19">
        <f t="shared" si="102"/>
        <v>46.258450045648907</v>
      </c>
      <c r="K344" s="19">
        <f t="shared" si="103"/>
        <v>0.6093798156874608</v>
      </c>
      <c r="L344" s="19">
        <f t="shared" si="104"/>
        <v>1.1629374473136829</v>
      </c>
      <c r="M344" s="19">
        <f t="shared" si="105"/>
        <v>1.1629374473136829</v>
      </c>
      <c r="N344" s="19">
        <f t="shared" si="106"/>
        <v>1.1629374473136829</v>
      </c>
      <c r="O344" s="17"/>
      <c r="P344" s="19">
        <f t="shared" si="96"/>
        <v>24.251933065451944</v>
      </c>
      <c r="Q344" s="19">
        <f t="shared" si="111"/>
        <v>88.360399845541522</v>
      </c>
      <c r="R344" s="19">
        <f t="shared" si="112"/>
        <v>0</v>
      </c>
      <c r="S344" s="19">
        <f t="shared" si="113"/>
        <v>0</v>
      </c>
      <c r="T344" s="19">
        <f t="shared" si="114"/>
        <v>0</v>
      </c>
      <c r="U344" s="17"/>
      <c r="V344" s="19">
        <f t="shared" si="107"/>
        <v>112.61233291099347</v>
      </c>
      <c r="W344" s="17"/>
      <c r="X344" s="19">
        <f t="shared" si="108"/>
        <v>0.10668252598585372</v>
      </c>
      <c r="Y344" s="19">
        <f t="shared" si="109"/>
        <v>0.3266229109934784</v>
      </c>
      <c r="Z344" s="19"/>
      <c r="AA344" s="19">
        <f t="shared" si="110"/>
        <v>2.1227162155748237E-6</v>
      </c>
    </row>
    <row r="345" spans="2:27" x14ac:dyDescent="0.35">
      <c r="B345" s="27">
        <v>30.7</v>
      </c>
      <c r="C345" s="27">
        <v>129.53570999999999</v>
      </c>
      <c r="D345" s="19">
        <f t="shared" si="97"/>
        <v>50.233193535031248</v>
      </c>
      <c r="E345" s="19">
        <f t="shared" si="98"/>
        <v>0.12019120991993426</v>
      </c>
      <c r="F345" s="19">
        <f t="shared" si="99"/>
        <v>1.324997644886003</v>
      </c>
      <c r="G345" s="19">
        <f t="shared" si="100"/>
        <v>1.324997644886003</v>
      </c>
      <c r="H345" s="19">
        <f t="shared" si="101"/>
        <v>1.324997644886003</v>
      </c>
      <c r="I345" s="17"/>
      <c r="J345" s="19">
        <f t="shared" si="102"/>
        <v>46.395980702345291</v>
      </c>
      <c r="K345" s="19">
        <f t="shared" si="103"/>
        <v>0.61170171651646477</v>
      </c>
      <c r="L345" s="19">
        <f t="shared" si="104"/>
        <v>1.168918598374957</v>
      </c>
      <c r="M345" s="19">
        <f t="shared" si="105"/>
        <v>1.168918598374957</v>
      </c>
      <c r="N345" s="19">
        <f t="shared" si="106"/>
        <v>1.168918598374957</v>
      </c>
      <c r="O345" s="17"/>
      <c r="P345" s="19">
        <f t="shared" si="96"/>
        <v>24.109879436445866</v>
      </c>
      <c r="Q345" s="19">
        <f t="shared" si="111"/>
        <v>87.898187573095939</v>
      </c>
      <c r="R345" s="19">
        <f t="shared" si="112"/>
        <v>0</v>
      </c>
      <c r="S345" s="19">
        <f t="shared" si="113"/>
        <v>0</v>
      </c>
      <c r="T345" s="19">
        <f t="shared" si="114"/>
        <v>0</v>
      </c>
      <c r="U345" s="17"/>
      <c r="V345" s="19">
        <f t="shared" si="107"/>
        <v>112.0080670095418</v>
      </c>
      <c r="W345" s="17"/>
      <c r="X345" s="19">
        <f t="shared" si="108"/>
        <v>307.21826880095813</v>
      </c>
      <c r="Y345" s="19">
        <f t="shared" si="109"/>
        <v>17.52764299045819</v>
      </c>
      <c r="Z345" s="19"/>
      <c r="AA345" s="19">
        <f t="shared" si="110"/>
        <v>1.1391182536302508E-4</v>
      </c>
    </row>
    <row r="346" spans="2:27" x14ac:dyDescent="0.35">
      <c r="B346" s="27">
        <v>30.8</v>
      </c>
      <c r="C346" s="27">
        <v>93.285709999999995</v>
      </c>
      <c r="D346" s="19">
        <f t="shared" si="97"/>
        <v>50.373692873453741</v>
      </c>
      <c r="E346" s="19">
        <f t="shared" si="98"/>
        <v>0.12631613874705661</v>
      </c>
      <c r="F346" s="19">
        <f t="shared" si="99"/>
        <v>1.3361087559971137</v>
      </c>
      <c r="G346" s="19">
        <f t="shared" si="100"/>
        <v>1.3361087559971137</v>
      </c>
      <c r="H346" s="19">
        <f t="shared" si="101"/>
        <v>1.3361087559971137</v>
      </c>
      <c r="I346" s="17"/>
      <c r="J346" s="19">
        <f t="shared" si="102"/>
        <v>46.533519961174662</v>
      </c>
      <c r="K346" s="19">
        <f t="shared" si="103"/>
        <v>0.61402909869447364</v>
      </c>
      <c r="L346" s="19">
        <f t="shared" si="104"/>
        <v>1.1749138933454548</v>
      </c>
      <c r="M346" s="19">
        <f t="shared" si="105"/>
        <v>1.1749138933454548</v>
      </c>
      <c r="N346" s="19">
        <f t="shared" si="106"/>
        <v>1.1749138933454548</v>
      </c>
      <c r="O346" s="17"/>
      <c r="P346" s="19">
        <f t="shared" si="96"/>
        <v>23.969061540598027</v>
      </c>
      <c r="Q346" s="19">
        <f t="shared" si="111"/>
        <v>87.43875693858385</v>
      </c>
      <c r="R346" s="19">
        <f t="shared" si="112"/>
        <v>0</v>
      </c>
      <c r="S346" s="19">
        <f t="shared" si="113"/>
        <v>0</v>
      </c>
      <c r="T346" s="19">
        <f t="shared" si="114"/>
        <v>0</v>
      </c>
      <c r="U346" s="17"/>
      <c r="V346" s="19">
        <f t="shared" si="107"/>
        <v>111.40781847918188</v>
      </c>
      <c r="W346" s="17"/>
      <c r="X346" s="19">
        <f t="shared" si="108"/>
        <v>328.41081573123614</v>
      </c>
      <c r="Y346" s="19">
        <f t="shared" si="109"/>
        <v>18.12210847918189</v>
      </c>
      <c r="Z346" s="19"/>
      <c r="AA346" s="19">
        <f t="shared" si="110"/>
        <v>1.1777524550301214E-4</v>
      </c>
    </row>
    <row r="347" spans="2:27" x14ac:dyDescent="0.35">
      <c r="B347" s="27">
        <v>30.9</v>
      </c>
      <c r="C347" s="27">
        <v>124.28570999999999</v>
      </c>
      <c r="D347" s="19">
        <f t="shared" si="97"/>
        <v>50.514192211876228</v>
      </c>
      <c r="E347" s="19">
        <f t="shared" si="98"/>
        <v>0.13244106757417851</v>
      </c>
      <c r="F347" s="19">
        <f t="shared" si="99"/>
        <v>1.3472198671082247</v>
      </c>
      <c r="G347" s="19">
        <f t="shared" si="100"/>
        <v>1.3472198671082247</v>
      </c>
      <c r="H347" s="19">
        <f t="shared" si="101"/>
        <v>1.3472198671082247</v>
      </c>
      <c r="I347" s="17"/>
      <c r="J347" s="19">
        <f t="shared" si="102"/>
        <v>46.671067772961287</v>
      </c>
      <c r="K347" s="19">
        <f t="shared" si="103"/>
        <v>0.61636195930901894</v>
      </c>
      <c r="L347" s="19">
        <f t="shared" si="104"/>
        <v>1.180923287526451</v>
      </c>
      <c r="M347" s="19">
        <f t="shared" si="105"/>
        <v>1.180923287526451</v>
      </c>
      <c r="N347" s="19">
        <f t="shared" si="106"/>
        <v>1.180923287526451</v>
      </c>
      <c r="O347" s="17"/>
      <c r="P347" s="19">
        <f t="shared" si="96"/>
        <v>23.829465161775257</v>
      </c>
      <c r="Q347" s="19">
        <f t="shared" si="111"/>
        <v>86.982090250010017</v>
      </c>
      <c r="R347" s="19">
        <f t="shared" si="112"/>
        <v>0</v>
      </c>
      <c r="S347" s="19">
        <f t="shared" si="113"/>
        <v>0</v>
      </c>
      <c r="T347" s="19">
        <f t="shared" si="114"/>
        <v>0</v>
      </c>
      <c r="U347" s="17"/>
      <c r="V347" s="19">
        <f t="shared" si="107"/>
        <v>110.81155541178528</v>
      </c>
      <c r="W347" s="17"/>
      <c r="X347" s="19">
        <f t="shared" si="108"/>
        <v>181.5528418671077</v>
      </c>
      <c r="Y347" s="19">
        <f t="shared" si="109"/>
        <v>13.474154588214716</v>
      </c>
      <c r="Z347" s="19"/>
      <c r="AA347" s="19">
        <f t="shared" si="110"/>
        <v>8.7568279728351254E-5</v>
      </c>
    </row>
    <row r="348" spans="2:27" x14ac:dyDescent="0.35">
      <c r="B348" s="27">
        <v>31</v>
      </c>
      <c r="C348" s="27">
        <v>131.03570999999999</v>
      </c>
      <c r="D348" s="19">
        <f t="shared" si="97"/>
        <v>50.654691550298722</v>
      </c>
      <c r="E348" s="19">
        <f t="shared" si="98"/>
        <v>0.13856599640130107</v>
      </c>
      <c r="F348" s="19">
        <f t="shared" si="99"/>
        <v>1.3583309782193362</v>
      </c>
      <c r="G348" s="19">
        <f t="shared" si="100"/>
        <v>1.3583309782193362</v>
      </c>
      <c r="H348" s="19">
        <f t="shared" si="101"/>
        <v>1.3583309782193362</v>
      </c>
      <c r="I348" s="17"/>
      <c r="J348" s="19">
        <f t="shared" si="102"/>
        <v>46.8086240889469</v>
      </c>
      <c r="K348" s="19">
        <f t="shared" si="103"/>
        <v>0.61870029539766291</v>
      </c>
      <c r="L348" s="19">
        <f t="shared" si="104"/>
        <v>1.1869467362101287</v>
      </c>
      <c r="M348" s="19">
        <f t="shared" si="105"/>
        <v>1.1869467362101287</v>
      </c>
      <c r="N348" s="19">
        <f t="shared" si="106"/>
        <v>1.1869467362101287</v>
      </c>
      <c r="O348" s="17"/>
      <c r="P348" s="19">
        <f t="shared" si="96"/>
        <v>23.691076286825496</v>
      </c>
      <c r="Q348" s="19">
        <f t="shared" si="111"/>
        <v>86.528169927229513</v>
      </c>
      <c r="R348" s="19">
        <f t="shared" si="112"/>
        <v>0</v>
      </c>
      <c r="S348" s="19">
        <f t="shared" si="113"/>
        <v>0</v>
      </c>
      <c r="T348" s="19">
        <f t="shared" si="114"/>
        <v>0</v>
      </c>
      <c r="U348" s="17"/>
      <c r="V348" s="19">
        <f t="shared" si="107"/>
        <v>110.219246214055</v>
      </c>
      <c r="W348" s="17"/>
      <c r="X348" s="19">
        <f t="shared" si="108"/>
        <v>433.32516455155923</v>
      </c>
      <c r="Y348" s="19">
        <f t="shared" si="109"/>
        <v>20.81646378594499</v>
      </c>
      <c r="Z348" s="19"/>
      <c r="AA348" s="19">
        <f t="shared" si="110"/>
        <v>1.3528581046243199E-4</v>
      </c>
    </row>
    <row r="349" spans="2:27" x14ac:dyDescent="0.35">
      <c r="B349" s="27">
        <v>31.1</v>
      </c>
      <c r="C349" s="27">
        <v>104.28572</v>
      </c>
      <c r="D349" s="19">
        <f t="shared" si="97"/>
        <v>50.795190888721216</v>
      </c>
      <c r="E349" s="19">
        <f t="shared" si="98"/>
        <v>0.14469092522842342</v>
      </c>
      <c r="F349" s="19">
        <f t="shared" si="99"/>
        <v>1.3694420893304473</v>
      </c>
      <c r="G349" s="19">
        <f t="shared" si="100"/>
        <v>1.3694420893304473</v>
      </c>
      <c r="H349" s="19">
        <f t="shared" si="101"/>
        <v>1.3694420893304473</v>
      </c>
      <c r="I349" s="17"/>
      <c r="J349" s="19">
        <f t="shared" si="102"/>
        <v>46.946188860785924</v>
      </c>
      <c r="K349" s="19">
        <f t="shared" si="103"/>
        <v>0.6210441039482687</v>
      </c>
      <c r="L349" s="19">
        <f t="shared" si="104"/>
        <v>1.1929841946825341</v>
      </c>
      <c r="M349" s="19">
        <f t="shared" si="105"/>
        <v>1.1929841946825341</v>
      </c>
      <c r="N349" s="19">
        <f t="shared" si="106"/>
        <v>1.1929841946825341</v>
      </c>
      <c r="O349" s="17"/>
      <c r="P349" s="19">
        <f t="shared" si="96"/>
        <v>23.553881102122304</v>
      </c>
      <c r="Q349" s="19">
        <f t="shared" si="111"/>
        <v>86.076978501281204</v>
      </c>
      <c r="R349" s="19">
        <f t="shared" si="112"/>
        <v>0</v>
      </c>
      <c r="S349" s="19">
        <f t="shared" si="113"/>
        <v>0</v>
      </c>
      <c r="T349" s="19">
        <f t="shared" si="114"/>
        <v>0</v>
      </c>
      <c r="U349" s="17"/>
      <c r="V349" s="19">
        <f t="shared" si="107"/>
        <v>109.63085960340351</v>
      </c>
      <c r="W349" s="17"/>
      <c r="X349" s="19">
        <f t="shared" si="108"/>
        <v>28.57051737987263</v>
      </c>
      <c r="Y349" s="19">
        <f t="shared" si="109"/>
        <v>5.3451396034035099</v>
      </c>
      <c r="Z349" s="19"/>
      <c r="AA349" s="19">
        <f t="shared" si="110"/>
        <v>3.4737962735511716E-5</v>
      </c>
    </row>
    <row r="350" spans="2:27" x14ac:dyDescent="0.35">
      <c r="B350" s="27">
        <v>31.2</v>
      </c>
      <c r="C350" s="27">
        <v>134.03570999999999</v>
      </c>
      <c r="D350" s="19">
        <f t="shared" si="97"/>
        <v>50.935690227143702</v>
      </c>
      <c r="E350" s="19">
        <f t="shared" si="98"/>
        <v>0.15081585405554532</v>
      </c>
      <c r="F350" s="19">
        <f t="shared" si="99"/>
        <v>1.3805532004415584</v>
      </c>
      <c r="G350" s="19">
        <f t="shared" si="100"/>
        <v>1.3805532004415584</v>
      </c>
      <c r="H350" s="19">
        <f t="shared" si="101"/>
        <v>1.3805532004415584</v>
      </c>
      <c r="I350" s="17"/>
      <c r="J350" s="19">
        <f t="shared" si="102"/>
        <v>47.08376204054089</v>
      </c>
      <c r="K350" s="19">
        <f t="shared" si="103"/>
        <v>0.62339338189927385</v>
      </c>
      <c r="L350" s="19">
        <f t="shared" si="104"/>
        <v>1.1990356182264934</v>
      </c>
      <c r="M350" s="19">
        <f t="shared" si="105"/>
        <v>1.1990356182264934</v>
      </c>
      <c r="N350" s="19">
        <f t="shared" si="106"/>
        <v>1.1990356182264934</v>
      </c>
      <c r="O350" s="17"/>
      <c r="P350" s="19">
        <f t="shared" si="96"/>
        <v>23.417865990177372</v>
      </c>
      <c r="Q350" s="19">
        <f t="shared" si="111"/>
        <v>85.628498613724616</v>
      </c>
      <c r="R350" s="19">
        <f t="shared" si="112"/>
        <v>0</v>
      </c>
      <c r="S350" s="19">
        <f t="shared" si="113"/>
        <v>0</v>
      </c>
      <c r="T350" s="19">
        <f t="shared" si="114"/>
        <v>0</v>
      </c>
      <c r="U350" s="17"/>
      <c r="V350" s="19">
        <f t="shared" si="107"/>
        <v>109.04636460390199</v>
      </c>
      <c r="W350" s="17"/>
      <c r="X350" s="19">
        <f t="shared" si="108"/>
        <v>624.46738332548443</v>
      </c>
      <c r="Y350" s="19">
        <f t="shared" si="109"/>
        <v>24.989345396098003</v>
      </c>
      <c r="Z350" s="19"/>
      <c r="AA350" s="19">
        <f t="shared" si="110"/>
        <v>1.624052903317503E-4</v>
      </c>
    </row>
    <row r="351" spans="2:27" x14ac:dyDescent="0.35">
      <c r="B351" s="27">
        <v>31.3</v>
      </c>
      <c r="C351" s="27">
        <v>107.53570999999999</v>
      </c>
      <c r="D351" s="19">
        <f t="shared" si="97"/>
        <v>51.076189565566196</v>
      </c>
      <c r="E351" s="19">
        <f t="shared" si="98"/>
        <v>0.15694078288266788</v>
      </c>
      <c r="F351" s="19">
        <f t="shared" si="99"/>
        <v>1.3916643115526695</v>
      </c>
      <c r="G351" s="19">
        <f t="shared" si="100"/>
        <v>1.3916643115526695</v>
      </c>
      <c r="H351" s="19">
        <f t="shared" si="101"/>
        <v>1.3916643115526695</v>
      </c>
      <c r="I351" s="17"/>
      <c r="J351" s="19">
        <f t="shared" si="102"/>
        <v>47.221343580677924</v>
      </c>
      <c r="K351" s="19">
        <f t="shared" si="103"/>
        <v>0.62574812613996389</v>
      </c>
      <c r="L351" s="19">
        <f t="shared" si="104"/>
        <v>1.2051009621244815</v>
      </c>
      <c r="M351" s="19">
        <f t="shared" si="105"/>
        <v>1.2051009621244815</v>
      </c>
      <c r="N351" s="19">
        <f t="shared" si="106"/>
        <v>1.2051009621244815</v>
      </c>
      <c r="O351" s="17"/>
      <c r="P351" s="19">
        <f t="shared" si="96"/>
        <v>23.283017526319824</v>
      </c>
      <c r="Q351" s="19">
        <f t="shared" si="111"/>
        <v>85.182713015980525</v>
      </c>
      <c r="R351" s="19">
        <f t="shared" si="112"/>
        <v>0</v>
      </c>
      <c r="S351" s="19">
        <f t="shared" si="113"/>
        <v>0</v>
      </c>
      <c r="T351" s="19">
        <f t="shared" si="114"/>
        <v>0</v>
      </c>
      <c r="U351" s="17"/>
      <c r="V351" s="19">
        <f t="shared" si="107"/>
        <v>108.46573054230035</v>
      </c>
      <c r="W351" s="17"/>
      <c r="X351" s="19">
        <f t="shared" si="108"/>
        <v>0.86493820910064578</v>
      </c>
      <c r="Y351" s="19">
        <f t="shared" si="109"/>
        <v>0.93002054230035469</v>
      </c>
      <c r="Z351" s="19"/>
      <c r="AA351" s="19">
        <f t="shared" si="110"/>
        <v>6.0441861838591964E-6</v>
      </c>
    </row>
    <row r="352" spans="2:27" x14ac:dyDescent="0.35">
      <c r="B352" s="27">
        <v>31.4</v>
      </c>
      <c r="C352" s="27">
        <v>114.03570999999999</v>
      </c>
      <c r="D352" s="19">
        <f t="shared" si="97"/>
        <v>51.216688903988683</v>
      </c>
      <c r="E352" s="19">
        <f t="shared" si="98"/>
        <v>0.16306571170979001</v>
      </c>
      <c r="F352" s="19">
        <f t="shared" si="99"/>
        <v>1.4027754226637805</v>
      </c>
      <c r="G352" s="19">
        <f t="shared" si="100"/>
        <v>1.4027754226637805</v>
      </c>
      <c r="H352" s="19">
        <f t="shared" si="101"/>
        <v>1.4027754226637805</v>
      </c>
      <c r="I352" s="17"/>
      <c r="J352" s="19">
        <f t="shared" si="102"/>
        <v>47.358933434062166</v>
      </c>
      <c r="K352" s="19">
        <f t="shared" si="103"/>
        <v>0.62810833351074635</v>
      </c>
      <c r="L352" s="19">
        <f t="shared" si="104"/>
        <v>1.2111801816614525</v>
      </c>
      <c r="M352" s="19">
        <f t="shared" si="105"/>
        <v>1.2111801816614525</v>
      </c>
      <c r="N352" s="19">
        <f t="shared" si="106"/>
        <v>1.2111801816614525</v>
      </c>
      <c r="O352" s="17"/>
      <c r="P352" s="19">
        <f t="shared" si="96"/>
        <v>23.149322475440798</v>
      </c>
      <c r="Q352" s="19">
        <f t="shared" si="111"/>
        <v>84.739604568675361</v>
      </c>
      <c r="R352" s="19">
        <f t="shared" si="112"/>
        <v>0</v>
      </c>
      <c r="S352" s="19">
        <f t="shared" si="113"/>
        <v>0</v>
      </c>
      <c r="T352" s="19">
        <f t="shared" si="114"/>
        <v>0</v>
      </c>
      <c r="U352" s="17"/>
      <c r="V352" s="19">
        <f t="shared" si="107"/>
        <v>107.88892704411616</v>
      </c>
      <c r="W352" s="17"/>
      <c r="X352" s="19">
        <f t="shared" si="108"/>
        <v>37.782940706744029</v>
      </c>
      <c r="Y352" s="19">
        <f t="shared" si="109"/>
        <v>6.1467829558838361</v>
      </c>
      <c r="Z352" s="19"/>
      <c r="AA352" s="19">
        <f t="shared" si="110"/>
        <v>3.994782795360638E-5</v>
      </c>
    </row>
    <row r="353" spans="2:27" x14ac:dyDescent="0.35">
      <c r="B353" s="27">
        <v>31.5</v>
      </c>
      <c r="C353" s="27">
        <v>117.28570999999999</v>
      </c>
      <c r="D353" s="19">
        <f t="shared" si="97"/>
        <v>51.357188242411176</v>
      </c>
      <c r="E353" s="19">
        <f t="shared" si="98"/>
        <v>0.16919064053691257</v>
      </c>
      <c r="F353" s="19">
        <f t="shared" si="99"/>
        <v>1.413886533774892</v>
      </c>
      <c r="G353" s="19">
        <f t="shared" si="100"/>
        <v>1.413886533774892</v>
      </c>
      <c r="H353" s="19">
        <f t="shared" si="101"/>
        <v>1.413886533774892</v>
      </c>
      <c r="I353" s="17"/>
      <c r="J353" s="19">
        <f t="shared" si="102"/>
        <v>47.496531553953432</v>
      </c>
      <c r="K353" s="19">
        <f t="shared" si="103"/>
        <v>0.63047400080342753</v>
      </c>
      <c r="L353" s="19">
        <f t="shared" si="104"/>
        <v>1.2172732321276296</v>
      </c>
      <c r="M353" s="19">
        <f t="shared" si="105"/>
        <v>1.2172732321276296</v>
      </c>
      <c r="N353" s="19">
        <f t="shared" si="106"/>
        <v>1.2172732321276296</v>
      </c>
      <c r="O353" s="17"/>
      <c r="P353" s="19">
        <f t="shared" si="96"/>
        <v>23.016767788801616</v>
      </c>
      <c r="Q353" s="19">
        <f t="shared" si="111"/>
        <v>84.299156240988836</v>
      </c>
      <c r="R353" s="19">
        <f t="shared" si="112"/>
        <v>0</v>
      </c>
      <c r="S353" s="19">
        <f t="shared" si="113"/>
        <v>0</v>
      </c>
      <c r="T353" s="19">
        <f t="shared" si="114"/>
        <v>0</v>
      </c>
      <c r="U353" s="17"/>
      <c r="V353" s="19">
        <f t="shared" si="107"/>
        <v>107.31592402979045</v>
      </c>
      <c r="W353" s="17"/>
      <c r="X353" s="19">
        <f t="shared" si="108"/>
        <v>99.396632291787029</v>
      </c>
      <c r="Y353" s="19">
        <f t="shared" si="109"/>
        <v>9.9697859702095428</v>
      </c>
      <c r="Z353" s="19"/>
      <c r="AA353" s="19">
        <f t="shared" si="110"/>
        <v>6.479345334472488E-5</v>
      </c>
    </row>
    <row r="354" spans="2:27" x14ac:dyDescent="0.35">
      <c r="B354" s="27">
        <v>31.6</v>
      </c>
      <c r="C354" s="27">
        <v>108.28570999999999</v>
      </c>
      <c r="D354" s="19">
        <f t="shared" si="97"/>
        <v>51.49768758083367</v>
      </c>
      <c r="E354" s="19">
        <f t="shared" si="98"/>
        <v>0.1753155693640347</v>
      </c>
      <c r="F354" s="19">
        <f t="shared" si="99"/>
        <v>1.4249976448860027</v>
      </c>
      <c r="G354" s="19">
        <f t="shared" si="100"/>
        <v>1.4249976448860027</v>
      </c>
      <c r="H354" s="19">
        <f t="shared" si="101"/>
        <v>1.4249976448860027</v>
      </c>
      <c r="I354" s="17"/>
      <c r="J354" s="19">
        <f t="shared" si="102"/>
        <v>47.634137894001782</v>
      </c>
      <c r="K354" s="19">
        <f t="shared" si="103"/>
        <v>0.63284512476148802</v>
      </c>
      <c r="L354" s="19">
        <f t="shared" si="104"/>
        <v>1.2233800688212486</v>
      </c>
      <c r="M354" s="19">
        <f t="shared" si="105"/>
        <v>1.2233800688212486</v>
      </c>
      <c r="N354" s="19">
        <f t="shared" si="106"/>
        <v>1.2233800688212486</v>
      </c>
      <c r="O354" s="17"/>
      <c r="P354" s="19">
        <f t="shared" si="96"/>
        <v>22.885340600904446</v>
      </c>
      <c r="Q354" s="19">
        <f t="shared" si="111"/>
        <v>83.861351110005586</v>
      </c>
      <c r="R354" s="19">
        <f t="shared" si="112"/>
        <v>0</v>
      </c>
      <c r="S354" s="19">
        <f t="shared" si="113"/>
        <v>0</v>
      </c>
      <c r="T354" s="19">
        <f t="shared" si="114"/>
        <v>0</v>
      </c>
      <c r="U354" s="17"/>
      <c r="V354" s="19">
        <f t="shared" si="107"/>
        <v>106.74669171091003</v>
      </c>
      <c r="W354" s="17"/>
      <c r="X354" s="19">
        <f t="shared" si="108"/>
        <v>2.368577294153408</v>
      </c>
      <c r="Y354" s="19">
        <f t="shared" si="109"/>
        <v>1.5390182890899666</v>
      </c>
      <c r="Z354" s="19"/>
      <c r="AA354" s="19">
        <f t="shared" si="110"/>
        <v>1.000205119837023E-5</v>
      </c>
    </row>
    <row r="355" spans="2:27" x14ac:dyDescent="0.35">
      <c r="B355" s="27">
        <v>31.7</v>
      </c>
      <c r="C355" s="27">
        <v>89.035709999999995</v>
      </c>
      <c r="D355" s="19">
        <f t="shared" si="97"/>
        <v>51.638186919256157</v>
      </c>
      <c r="E355" s="19">
        <f t="shared" si="98"/>
        <v>0.18144049819115682</v>
      </c>
      <c r="F355" s="19">
        <f t="shared" si="99"/>
        <v>1.4361087559971137</v>
      </c>
      <c r="G355" s="19">
        <f t="shared" si="100"/>
        <v>1.4361087559971137</v>
      </c>
      <c r="H355" s="19">
        <f t="shared" si="101"/>
        <v>1.4361087559971137</v>
      </c>
      <c r="I355" s="17"/>
      <c r="J355" s="19">
        <f t="shared" si="102"/>
        <v>47.771752408243209</v>
      </c>
      <c r="K355" s="19">
        <f t="shared" si="103"/>
        <v>0.63522170208036155</v>
      </c>
      <c r="L355" s="19">
        <f t="shared" si="104"/>
        <v>1.2295006470512684</v>
      </c>
      <c r="M355" s="19">
        <f t="shared" si="105"/>
        <v>1.2295006470512684</v>
      </c>
      <c r="N355" s="19">
        <f t="shared" si="106"/>
        <v>1.2295006470512684</v>
      </c>
      <c r="O355" s="17"/>
      <c r="P355" s="19">
        <f t="shared" si="96"/>
        <v>22.755028226423853</v>
      </c>
      <c r="Q355" s="19">
        <f t="shared" si="111"/>
        <v>83.426172360069856</v>
      </c>
      <c r="R355" s="19">
        <f t="shared" si="112"/>
        <v>0</v>
      </c>
      <c r="S355" s="19">
        <f t="shared" si="113"/>
        <v>0</v>
      </c>
      <c r="T355" s="19">
        <f t="shared" si="114"/>
        <v>0</v>
      </c>
      <c r="U355" s="17"/>
      <c r="V355" s="19">
        <f t="shared" si="107"/>
        <v>106.1812005864937</v>
      </c>
      <c r="W355" s="17"/>
      <c r="X355" s="19">
        <f t="shared" si="108"/>
        <v>293.96784745154434</v>
      </c>
      <c r="Y355" s="19">
        <f t="shared" si="109"/>
        <v>17.145490586493707</v>
      </c>
      <c r="Z355" s="19"/>
      <c r="AA355" s="19">
        <f t="shared" si="110"/>
        <v>1.114282240068039E-4</v>
      </c>
    </row>
    <row r="356" spans="2:27" x14ac:dyDescent="0.35">
      <c r="B356" s="27">
        <v>31.8</v>
      </c>
      <c r="C356" s="27">
        <v>85.035709999999995</v>
      </c>
      <c r="D356" s="19">
        <f t="shared" si="97"/>
        <v>51.77868625767865</v>
      </c>
      <c r="E356" s="19">
        <f t="shared" si="98"/>
        <v>0.18756542701827938</v>
      </c>
      <c r="F356" s="19">
        <f t="shared" si="99"/>
        <v>1.4472198671082248</v>
      </c>
      <c r="G356" s="19">
        <f t="shared" si="100"/>
        <v>1.4472198671082248</v>
      </c>
      <c r="H356" s="19">
        <f t="shared" si="101"/>
        <v>1.4472198671082248</v>
      </c>
      <c r="I356" s="17"/>
      <c r="J356" s="19">
        <f t="shared" si="102"/>
        <v>47.909375051095466</v>
      </c>
      <c r="K356" s="19">
        <f t="shared" si="103"/>
        <v>0.63760372940771337</v>
      </c>
      <c r="L356" s="19">
        <f t="shared" si="104"/>
        <v>1.2356349221400322</v>
      </c>
      <c r="M356" s="19">
        <f t="shared" si="105"/>
        <v>1.2356349221400322</v>
      </c>
      <c r="N356" s="19">
        <f t="shared" si="106"/>
        <v>1.2356349221400322</v>
      </c>
      <c r="O356" s="17"/>
      <c r="P356" s="19">
        <f t="shared" si="96"/>
        <v>22.625818157197841</v>
      </c>
      <c r="Q356" s="19">
        <f t="shared" si="111"/>
        <v>82.993603282144122</v>
      </c>
      <c r="R356" s="19">
        <f t="shared" si="112"/>
        <v>0</v>
      </c>
      <c r="S356" s="19">
        <f t="shared" si="113"/>
        <v>0</v>
      </c>
      <c r="T356" s="19">
        <f t="shared" si="114"/>
        <v>0</v>
      </c>
      <c r="U356" s="17"/>
      <c r="V356" s="19">
        <f t="shared" si="107"/>
        <v>105.61942143934196</v>
      </c>
      <c r="W356" s="17"/>
      <c r="X356" s="19">
        <f t="shared" si="108"/>
        <v>423.68917661809741</v>
      </c>
      <c r="Y356" s="19">
        <f t="shared" si="109"/>
        <v>20.583711439341968</v>
      </c>
      <c r="Z356" s="19"/>
      <c r="AA356" s="19">
        <f t="shared" si="110"/>
        <v>1.3377315729660067E-4</v>
      </c>
    </row>
    <row r="357" spans="2:27" x14ac:dyDescent="0.35">
      <c r="B357" s="27">
        <v>31.9</v>
      </c>
      <c r="C357" s="27">
        <v>116.53570999999999</v>
      </c>
      <c r="D357" s="19">
        <f t="shared" si="97"/>
        <v>51.919185596101137</v>
      </c>
      <c r="E357" s="19">
        <f t="shared" si="98"/>
        <v>0.19369035584540129</v>
      </c>
      <c r="F357" s="19">
        <f t="shared" si="99"/>
        <v>1.4583309782193359</v>
      </c>
      <c r="G357" s="19">
        <f t="shared" si="100"/>
        <v>1.4583309782193359</v>
      </c>
      <c r="H357" s="19">
        <f t="shared" si="101"/>
        <v>1.4583309782193359</v>
      </c>
      <c r="I357" s="17"/>
      <c r="J357" s="19">
        <f t="shared" si="102"/>
        <v>48.047005777353768</v>
      </c>
      <c r="K357" s="19">
        <f t="shared" si="103"/>
        <v>0.63999120334371951</v>
      </c>
      <c r="L357" s="19">
        <f t="shared" si="104"/>
        <v>1.2417828494258927</v>
      </c>
      <c r="M357" s="19">
        <f t="shared" si="105"/>
        <v>1.2417828494258927</v>
      </c>
      <c r="N357" s="19">
        <f t="shared" si="106"/>
        <v>1.2417828494258927</v>
      </c>
      <c r="O357" s="17"/>
      <c r="P357" s="19">
        <f t="shared" si="96"/>
        <v>22.497698059277418</v>
      </c>
      <c r="Q357" s="19">
        <f t="shared" si="111"/>
        <v>82.563627273171093</v>
      </c>
      <c r="R357" s="19">
        <f t="shared" si="112"/>
        <v>0</v>
      </c>
      <c r="S357" s="19">
        <f t="shared" si="113"/>
        <v>0</v>
      </c>
      <c r="T357" s="19">
        <f t="shared" si="114"/>
        <v>0</v>
      </c>
      <c r="U357" s="17"/>
      <c r="V357" s="19">
        <f t="shared" si="107"/>
        <v>105.06132533244852</v>
      </c>
      <c r="W357" s="17"/>
      <c r="X357" s="19">
        <f t="shared" si="108"/>
        <v>131.66150349894039</v>
      </c>
      <c r="Y357" s="19">
        <f t="shared" si="109"/>
        <v>11.474384667551476</v>
      </c>
      <c r="Z357" s="19"/>
      <c r="AA357" s="19">
        <f t="shared" si="110"/>
        <v>7.4571812257349503E-5</v>
      </c>
    </row>
    <row r="358" spans="2:27" x14ac:dyDescent="0.35">
      <c r="B358" s="27">
        <v>32</v>
      </c>
      <c r="C358" s="27">
        <v>111.03570999999999</v>
      </c>
      <c r="D358" s="19">
        <f t="shared" si="97"/>
        <v>52.059684934523631</v>
      </c>
      <c r="E358" s="19">
        <f t="shared" si="98"/>
        <v>0.19981528467252363</v>
      </c>
      <c r="F358" s="19">
        <f t="shared" si="99"/>
        <v>1.4694420893304474</v>
      </c>
      <c r="G358" s="19">
        <f t="shared" si="100"/>
        <v>1.4694420893304474</v>
      </c>
      <c r="H358" s="19">
        <f t="shared" si="101"/>
        <v>1.4694420893304474</v>
      </c>
      <c r="I358" s="17"/>
      <c r="J358" s="19">
        <f t="shared" si="102"/>
        <v>48.184644542186746</v>
      </c>
      <c r="K358" s="19">
        <f t="shared" si="103"/>
        <v>0.64238412044134807</v>
      </c>
      <c r="L358" s="19">
        <f t="shared" si="104"/>
        <v>1.2479443842657969</v>
      </c>
      <c r="M358" s="19">
        <f t="shared" si="105"/>
        <v>1.2479443842657969</v>
      </c>
      <c r="N358" s="19">
        <f t="shared" si="106"/>
        <v>1.2479443842657969</v>
      </c>
      <c r="O358" s="17"/>
      <c r="P358" s="19">
        <f t="shared" si="96"/>
        <v>22.370655770032915</v>
      </c>
      <c r="Q358" s="19">
        <f t="shared" si="111"/>
        <v>82.136227835439016</v>
      </c>
      <c r="R358" s="19">
        <f t="shared" si="112"/>
        <v>0</v>
      </c>
      <c r="S358" s="19">
        <f t="shared" si="113"/>
        <v>0</v>
      </c>
      <c r="T358" s="19">
        <f t="shared" si="114"/>
        <v>0</v>
      </c>
      <c r="U358" s="17"/>
      <c r="V358" s="19">
        <f t="shared" si="107"/>
        <v>104.50688360547193</v>
      </c>
      <c r="W358" s="17"/>
      <c r="X358" s="19">
        <f t="shared" si="108"/>
        <v>42.625574089886364</v>
      </c>
      <c r="Y358" s="19">
        <f t="shared" si="109"/>
        <v>6.5288263945280676</v>
      </c>
      <c r="Z358" s="19"/>
      <c r="AA358" s="19">
        <f t="shared" si="110"/>
        <v>4.2430721146240582E-5</v>
      </c>
    </row>
    <row r="359" spans="2:27" x14ac:dyDescent="0.35">
      <c r="B359" s="27">
        <v>32.1</v>
      </c>
      <c r="C359" s="27">
        <v>79.535709999999995</v>
      </c>
      <c r="D359" s="19">
        <f t="shared" si="97"/>
        <v>52.200184272946125</v>
      </c>
      <c r="E359" s="19">
        <f t="shared" si="98"/>
        <v>0.2059402134996462</v>
      </c>
      <c r="F359" s="19">
        <f t="shared" si="99"/>
        <v>1.4805532004415585</v>
      </c>
      <c r="G359" s="19">
        <f t="shared" si="100"/>
        <v>1.4805532004415585</v>
      </c>
      <c r="H359" s="19">
        <f t="shared" si="101"/>
        <v>1.4805532004415585</v>
      </c>
      <c r="I359" s="17"/>
      <c r="J359" s="19">
        <f t="shared" si="102"/>
        <v>48.32229130113231</v>
      </c>
      <c r="K359" s="19">
        <f t="shared" si="103"/>
        <v>0.6447824772066405</v>
      </c>
      <c r="L359" s="19">
        <f t="shared" si="104"/>
        <v>1.254119482037829</v>
      </c>
      <c r="M359" s="19">
        <f t="shared" si="105"/>
        <v>1.254119482037829</v>
      </c>
      <c r="N359" s="19">
        <f t="shared" si="106"/>
        <v>1.254119482037829</v>
      </c>
      <c r="O359" s="17"/>
      <c r="P359" s="19">
        <f t="shared" si="96"/>
        <v>22.244679295316214</v>
      </c>
      <c r="Q359" s="19">
        <f t="shared" si="111"/>
        <v>81.711388575950778</v>
      </c>
      <c r="R359" s="19">
        <f t="shared" si="112"/>
        <v>0</v>
      </c>
      <c r="S359" s="19">
        <f t="shared" si="113"/>
        <v>0</v>
      </c>
      <c r="T359" s="19">
        <f t="shared" si="114"/>
        <v>0</v>
      </c>
      <c r="U359" s="17"/>
      <c r="V359" s="19">
        <f t="shared" si="107"/>
        <v>103.956067871267</v>
      </c>
      <c r="W359" s="17"/>
      <c r="X359" s="19">
        <f t="shared" si="108"/>
        <v>596.35387856075215</v>
      </c>
      <c r="Y359" s="19">
        <f t="shared" si="109"/>
        <v>24.420357871267001</v>
      </c>
      <c r="Z359" s="19"/>
      <c r="AA359" s="19">
        <f t="shared" si="110"/>
        <v>1.5870745100460441E-4</v>
      </c>
    </row>
    <row r="360" spans="2:27" x14ac:dyDescent="0.35">
      <c r="B360" s="27">
        <v>32.200000000000003</v>
      </c>
      <c r="C360" s="27">
        <v>95.285709999999995</v>
      </c>
      <c r="D360" s="19">
        <f t="shared" si="97"/>
        <v>52.340683611368618</v>
      </c>
      <c r="E360" s="19">
        <f t="shared" si="98"/>
        <v>0.21206514232676832</v>
      </c>
      <c r="F360" s="19">
        <f t="shared" si="99"/>
        <v>1.49166431155267</v>
      </c>
      <c r="G360" s="19">
        <f t="shared" si="100"/>
        <v>1.49166431155267</v>
      </c>
      <c r="H360" s="19">
        <f t="shared" si="101"/>
        <v>1.49166431155267</v>
      </c>
      <c r="I360" s="17"/>
      <c r="J360" s="19">
        <f t="shared" si="102"/>
        <v>48.45994601009366</v>
      </c>
      <c r="K360" s="19">
        <f t="shared" si="103"/>
        <v>0.64718627009899321</v>
      </c>
      <c r="L360" s="19">
        <f t="shared" si="104"/>
        <v>1.2603080981437154</v>
      </c>
      <c r="M360" s="19">
        <f t="shared" si="105"/>
        <v>1.2603080981437154</v>
      </c>
      <c r="N360" s="19">
        <f t="shared" si="106"/>
        <v>1.2603080981437154</v>
      </c>
      <c r="O360" s="17"/>
      <c r="P360" s="19">
        <f t="shared" ref="P360:P423" si="115">(C$21*C$23/(1-C$23)^2*$A$21*C$22)/(J360+J360^2)</f>
        <v>22.119756806677451</v>
      </c>
      <c r="Q360" s="19">
        <f t="shared" si="111"/>
        <v>81.289093205796235</v>
      </c>
      <c r="R360" s="19">
        <f t="shared" si="112"/>
        <v>0</v>
      </c>
      <c r="S360" s="19">
        <f t="shared" si="113"/>
        <v>0</v>
      </c>
      <c r="T360" s="19">
        <f t="shared" si="114"/>
        <v>0</v>
      </c>
      <c r="U360" s="17"/>
      <c r="V360" s="19">
        <f t="shared" si="107"/>
        <v>103.40885001247369</v>
      </c>
      <c r="W360" s="17"/>
      <c r="X360" s="19">
        <f t="shared" si="108"/>
        <v>65.985403662251187</v>
      </c>
      <c r="Y360" s="19">
        <f t="shared" si="109"/>
        <v>8.1231400124736979</v>
      </c>
      <c r="Z360" s="19"/>
      <c r="AA360" s="19">
        <f t="shared" si="110"/>
        <v>5.2792135657032589E-5</v>
      </c>
    </row>
    <row r="361" spans="2:27" x14ac:dyDescent="0.35">
      <c r="B361" s="27">
        <v>32.299999999999997</v>
      </c>
      <c r="C361" s="27">
        <v>99.535709999999995</v>
      </c>
      <c r="D361" s="19">
        <f t="shared" si="97"/>
        <v>52.481182949791098</v>
      </c>
      <c r="E361" s="19">
        <f t="shared" si="98"/>
        <v>0.21819007115389022</v>
      </c>
      <c r="F361" s="19">
        <f t="shared" si="99"/>
        <v>1.5027754226637802</v>
      </c>
      <c r="G361" s="19">
        <f t="shared" si="100"/>
        <v>1.5027754226637802</v>
      </c>
      <c r="H361" s="19">
        <f t="shared" si="101"/>
        <v>1.5027754226637802</v>
      </c>
      <c r="I361" s="17"/>
      <c r="J361" s="19">
        <f t="shared" si="102"/>
        <v>48.597608625335283</v>
      </c>
      <c r="K361" s="19">
        <f t="shared" si="103"/>
        <v>0.64959549553144125</v>
      </c>
      <c r="L361" s="19">
        <f t="shared" si="104"/>
        <v>1.2665101880112861</v>
      </c>
      <c r="M361" s="19">
        <f t="shared" si="105"/>
        <v>1.2665101880112861</v>
      </c>
      <c r="N361" s="19">
        <f t="shared" si="106"/>
        <v>1.2665101880112861</v>
      </c>
      <c r="O361" s="17"/>
      <c r="P361" s="19">
        <f t="shared" si="115"/>
        <v>21.995876638635036</v>
      </c>
      <c r="Q361" s="19">
        <f t="shared" si="111"/>
        <v>80.869325539528106</v>
      </c>
      <c r="R361" s="19">
        <f t="shared" si="112"/>
        <v>0</v>
      </c>
      <c r="S361" s="19">
        <f t="shared" si="113"/>
        <v>0</v>
      </c>
      <c r="T361" s="19">
        <f t="shared" si="114"/>
        <v>0</v>
      </c>
      <c r="U361" s="17"/>
      <c r="V361" s="19">
        <f t="shared" si="107"/>
        <v>102.86520217816314</v>
      </c>
      <c r="W361" s="17"/>
      <c r="X361" s="19">
        <f t="shared" si="108"/>
        <v>11.085518164449597</v>
      </c>
      <c r="Y361" s="19">
        <f t="shared" si="109"/>
        <v>3.3294921781631501</v>
      </c>
      <c r="Z361" s="19"/>
      <c r="AA361" s="19">
        <f t="shared" si="110"/>
        <v>2.163830765796333E-5</v>
      </c>
    </row>
    <row r="362" spans="2:27" x14ac:dyDescent="0.35">
      <c r="B362" s="27">
        <v>32.4</v>
      </c>
      <c r="C362" s="27">
        <v>118.53570999999999</v>
      </c>
      <c r="D362" s="19">
        <f t="shared" si="97"/>
        <v>52.621682288213592</v>
      </c>
      <c r="E362" s="19">
        <f t="shared" si="98"/>
        <v>0.22431499998101279</v>
      </c>
      <c r="F362" s="19">
        <f t="shared" si="99"/>
        <v>1.5138865337748917</v>
      </c>
      <c r="G362" s="19">
        <f t="shared" si="100"/>
        <v>1.5138865337748917</v>
      </c>
      <c r="H362" s="19">
        <f t="shared" si="101"/>
        <v>1.5138865337748917</v>
      </c>
      <c r="I362" s="17"/>
      <c r="J362" s="19">
        <f t="shared" si="102"/>
        <v>48.735279103479101</v>
      </c>
      <c r="K362" s="19">
        <f t="shared" si="103"/>
        <v>0.65201014987094319</v>
      </c>
      <c r="L362" s="19">
        <f t="shared" si="104"/>
        <v>1.2727257070969058</v>
      </c>
      <c r="M362" s="19">
        <f t="shared" si="105"/>
        <v>1.2727257070969058</v>
      </c>
      <c r="N362" s="19">
        <f t="shared" si="106"/>
        <v>1.2727257070969058</v>
      </c>
      <c r="O362" s="17"/>
      <c r="P362" s="19">
        <f t="shared" si="115"/>
        <v>21.873027285997882</v>
      </c>
      <c r="Q362" s="19">
        <f t="shared" si="111"/>
        <v>80.452069494540893</v>
      </c>
      <c r="R362" s="19">
        <f t="shared" si="112"/>
        <v>0</v>
      </c>
      <c r="S362" s="19">
        <f t="shared" si="113"/>
        <v>0</v>
      </c>
      <c r="T362" s="19">
        <f t="shared" si="114"/>
        <v>0</v>
      </c>
      <c r="U362" s="17"/>
      <c r="V362" s="19">
        <f t="shared" si="107"/>
        <v>102.32509678053877</v>
      </c>
      <c r="W362" s="17"/>
      <c r="X362" s="19">
        <f t="shared" si="108"/>
        <v>262.78398095097094</v>
      </c>
      <c r="Y362" s="19">
        <f t="shared" si="109"/>
        <v>16.210613219461223</v>
      </c>
      <c r="Z362" s="19"/>
      <c r="AA362" s="19">
        <f t="shared" si="110"/>
        <v>1.0535247340946331E-4</v>
      </c>
    </row>
    <row r="363" spans="2:27" x14ac:dyDescent="0.35">
      <c r="B363" s="27">
        <v>32.5</v>
      </c>
      <c r="C363" s="27">
        <v>104.03570999999999</v>
      </c>
      <c r="D363" s="19">
        <f t="shared" si="97"/>
        <v>52.762181626636085</v>
      </c>
      <c r="E363" s="19">
        <f t="shared" si="98"/>
        <v>0.23043992880813491</v>
      </c>
      <c r="F363" s="19">
        <f t="shared" si="99"/>
        <v>1.5249976448860028</v>
      </c>
      <c r="G363" s="19">
        <f t="shared" si="100"/>
        <v>1.5249976448860028</v>
      </c>
      <c r="H363" s="19">
        <f t="shared" si="101"/>
        <v>1.5249976448860028</v>
      </c>
      <c r="I363" s="17"/>
      <c r="J363" s="19">
        <f t="shared" si="102"/>
        <v>48.872957401500543</v>
      </c>
      <c r="K363" s="19">
        <f t="shared" si="103"/>
        <v>0.65443022943866358</v>
      </c>
      <c r="L363" s="19">
        <f t="shared" si="104"/>
        <v>1.2789546108878516</v>
      </c>
      <c r="M363" s="19">
        <f t="shared" si="105"/>
        <v>1.2789546108878516</v>
      </c>
      <c r="N363" s="19">
        <f t="shared" si="106"/>
        <v>1.2789546108878516</v>
      </c>
      <c r="O363" s="17"/>
      <c r="P363" s="19">
        <f t="shared" si="115"/>
        <v>21.751197401238649</v>
      </c>
      <c r="Q363" s="19">
        <f t="shared" si="111"/>
        <v>80.037309090454002</v>
      </c>
      <c r="R363" s="19">
        <f t="shared" si="112"/>
        <v>0</v>
      </c>
      <c r="S363" s="19">
        <f t="shared" si="113"/>
        <v>0</v>
      </c>
      <c r="T363" s="19">
        <f t="shared" si="114"/>
        <v>0</v>
      </c>
      <c r="U363" s="17"/>
      <c r="V363" s="19">
        <f t="shared" si="107"/>
        <v>101.78850649169266</v>
      </c>
      <c r="W363" s="17"/>
      <c r="X363" s="19">
        <f t="shared" si="108"/>
        <v>5.0499236077488012</v>
      </c>
      <c r="Y363" s="19">
        <f t="shared" si="109"/>
        <v>2.2472035083073365</v>
      </c>
      <c r="Z363" s="19"/>
      <c r="AA363" s="19">
        <f t="shared" si="110"/>
        <v>1.4604533748937964E-5</v>
      </c>
    </row>
    <row r="364" spans="2:27" x14ac:dyDescent="0.35">
      <c r="B364" s="27">
        <v>32.6</v>
      </c>
      <c r="C364" s="27">
        <v>100.78570999999999</v>
      </c>
      <c r="D364" s="19">
        <f t="shared" si="97"/>
        <v>52.902680965058579</v>
      </c>
      <c r="E364" s="19">
        <f t="shared" si="98"/>
        <v>0.23656485763525748</v>
      </c>
      <c r="F364" s="19">
        <f t="shared" si="99"/>
        <v>1.5361087559971138</v>
      </c>
      <c r="G364" s="19">
        <f t="shared" si="100"/>
        <v>1.5361087559971138</v>
      </c>
      <c r="H364" s="19">
        <f t="shared" si="101"/>
        <v>1.5361087559971138</v>
      </c>
      <c r="I364" s="17"/>
      <c r="J364" s="19">
        <f t="shared" si="102"/>
        <v>49.010643476724745</v>
      </c>
      <c r="K364" s="19">
        <f t="shared" si="103"/>
        <v>0.65685573051026058</v>
      </c>
      <c r="L364" s="19">
        <f t="shared" si="104"/>
        <v>1.2851968549046666</v>
      </c>
      <c r="M364" s="19">
        <f t="shared" si="105"/>
        <v>1.2851968549046666</v>
      </c>
      <c r="N364" s="19">
        <f t="shared" si="106"/>
        <v>1.2851968549046666</v>
      </c>
      <c r="O364" s="17"/>
      <c r="P364" s="19">
        <f t="shared" si="115"/>
        <v>21.630375791916968</v>
      </c>
      <c r="Q364" s="19">
        <f t="shared" si="111"/>
        <v>79.625028448497261</v>
      </c>
      <c r="R364" s="19">
        <f t="shared" si="112"/>
        <v>0</v>
      </c>
      <c r="S364" s="19">
        <f t="shared" si="113"/>
        <v>0</v>
      </c>
      <c r="T364" s="19">
        <f t="shared" si="114"/>
        <v>0</v>
      </c>
      <c r="U364" s="17"/>
      <c r="V364" s="19">
        <f t="shared" si="107"/>
        <v>101.25540424041424</v>
      </c>
      <c r="W364" s="17"/>
      <c r="X364" s="19">
        <f t="shared" si="108"/>
        <v>0.22061267947831167</v>
      </c>
      <c r="Y364" s="19">
        <f t="shared" si="109"/>
        <v>0.4696942404142419</v>
      </c>
      <c r="Z364" s="19"/>
      <c r="AA364" s="19">
        <f t="shared" si="110"/>
        <v>3.0525341209432742E-6</v>
      </c>
    </row>
    <row r="365" spans="2:27" x14ac:dyDescent="0.35">
      <c r="B365" s="27">
        <v>32.700000000000003</v>
      </c>
      <c r="C365" s="27">
        <v>100.03572</v>
      </c>
      <c r="D365" s="19">
        <f t="shared" si="97"/>
        <v>53.043180303481073</v>
      </c>
      <c r="E365" s="19">
        <f t="shared" si="98"/>
        <v>0.24268978646238004</v>
      </c>
      <c r="F365" s="19">
        <f t="shared" si="99"/>
        <v>1.5472198671082253</v>
      </c>
      <c r="G365" s="19">
        <f t="shared" si="100"/>
        <v>1.5472198671082253</v>
      </c>
      <c r="H365" s="19">
        <f t="shared" si="101"/>
        <v>1.5472198671082253</v>
      </c>
      <c r="I365" s="17"/>
      <c r="J365" s="19">
        <f t="shared" si="102"/>
        <v>49.14833728682283</v>
      </c>
      <c r="K365" s="19">
        <f t="shared" si="103"/>
        <v>0.65928664931617065</v>
      </c>
      <c r="L365" s="19">
        <f t="shared" si="104"/>
        <v>1.2914523947034662</v>
      </c>
      <c r="M365" s="19">
        <f t="shared" si="105"/>
        <v>1.2914523947034662</v>
      </c>
      <c r="N365" s="19">
        <f t="shared" si="106"/>
        <v>1.2914523947034662</v>
      </c>
      <c r="O365" s="17"/>
      <c r="P365" s="19">
        <f t="shared" si="115"/>
        <v>21.510551418151465</v>
      </c>
      <c r="Q365" s="19">
        <f t="shared" si="111"/>
        <v>79.215211790900611</v>
      </c>
      <c r="R365" s="19">
        <f t="shared" si="112"/>
        <v>0</v>
      </c>
      <c r="S365" s="19">
        <f t="shared" si="113"/>
        <v>0</v>
      </c>
      <c r="T365" s="19">
        <f t="shared" si="114"/>
        <v>0</v>
      </c>
      <c r="U365" s="17"/>
      <c r="V365" s="19">
        <f t="shared" si="107"/>
        <v>100.72576320905208</v>
      </c>
      <c r="W365" s="17"/>
      <c r="X365" s="19">
        <f t="shared" si="108"/>
        <v>0.47615963035888992</v>
      </c>
      <c r="Y365" s="19">
        <f t="shared" si="109"/>
        <v>0.69004320905207805</v>
      </c>
      <c r="Z365" s="19"/>
      <c r="AA365" s="19">
        <f t="shared" si="110"/>
        <v>4.4845779643773383E-6</v>
      </c>
    </row>
    <row r="366" spans="2:27" x14ac:dyDescent="0.35">
      <c r="B366" s="27">
        <v>32.799999999999997</v>
      </c>
      <c r="C366" s="27">
        <v>116.53570999999999</v>
      </c>
      <c r="D366" s="19">
        <f t="shared" si="97"/>
        <v>53.183679641903552</v>
      </c>
      <c r="E366" s="19">
        <f t="shared" si="98"/>
        <v>0.24881471528950172</v>
      </c>
      <c r="F366" s="19">
        <f t="shared" si="99"/>
        <v>1.5583309782193355</v>
      </c>
      <c r="G366" s="19">
        <f t="shared" si="100"/>
        <v>1.5583309782193355</v>
      </c>
      <c r="H366" s="19">
        <f t="shared" si="101"/>
        <v>1.5583309782193355</v>
      </c>
      <c r="I366" s="17"/>
      <c r="J366" s="19">
        <f t="shared" si="102"/>
        <v>49.286038789808146</v>
      </c>
      <c r="K366" s="19">
        <f t="shared" si="103"/>
        <v>0.66172298204189584</v>
      </c>
      <c r="L366" s="19">
        <f t="shared" si="104"/>
        <v>1.2977211858782067</v>
      </c>
      <c r="M366" s="19">
        <f t="shared" si="105"/>
        <v>1.2977211858782067</v>
      </c>
      <c r="N366" s="19">
        <f t="shared" si="106"/>
        <v>1.2977211858782067</v>
      </c>
      <c r="O366" s="17"/>
      <c r="P366" s="19">
        <f t="shared" si="115"/>
        <v>21.391713390139625</v>
      </c>
      <c r="Q366" s="19">
        <f t="shared" si="111"/>
        <v>78.807843440286661</v>
      </c>
      <c r="R366" s="19">
        <f t="shared" si="112"/>
        <v>0</v>
      </c>
      <c r="S366" s="19">
        <f t="shared" si="113"/>
        <v>0</v>
      </c>
      <c r="T366" s="19">
        <f t="shared" si="114"/>
        <v>0</v>
      </c>
      <c r="U366" s="17"/>
      <c r="V366" s="19">
        <f t="shared" si="107"/>
        <v>100.19955683042629</v>
      </c>
      <c r="W366" s="17"/>
      <c r="X366" s="19">
        <f t="shared" si="108"/>
        <v>266.86990037977301</v>
      </c>
      <c r="Y366" s="19">
        <f t="shared" si="109"/>
        <v>16.336153169573706</v>
      </c>
      <c r="Z366" s="19"/>
      <c r="AA366" s="19">
        <f t="shared" si="110"/>
        <v>1.061683552072088E-4</v>
      </c>
    </row>
    <row r="367" spans="2:27" x14ac:dyDescent="0.35">
      <c r="B367" s="27">
        <v>32.9</v>
      </c>
      <c r="C367" s="27">
        <v>99.285709999999995</v>
      </c>
      <c r="D367" s="19">
        <f t="shared" si="97"/>
        <v>53.324178980326046</v>
      </c>
      <c r="E367" s="19">
        <f t="shared" si="98"/>
        <v>0.25493964411662384</v>
      </c>
      <c r="F367" s="19">
        <f t="shared" si="99"/>
        <v>1.569442089330447</v>
      </c>
      <c r="G367" s="19">
        <f t="shared" si="100"/>
        <v>1.569442089330447</v>
      </c>
      <c r="H367" s="19">
        <f t="shared" si="101"/>
        <v>1.569442089330447</v>
      </c>
      <c r="I367" s="17"/>
      <c r="J367" s="19">
        <f t="shared" si="102"/>
        <v>49.423747944032669</v>
      </c>
      <c r="K367" s="19">
        <f t="shared" si="103"/>
        <v>0.66416472482829214</v>
      </c>
      <c r="L367" s="19">
        <f t="shared" si="104"/>
        <v>1.3040031840629223</v>
      </c>
      <c r="M367" s="19">
        <f t="shared" si="105"/>
        <v>1.3040031840629223</v>
      </c>
      <c r="N367" s="19">
        <f t="shared" si="106"/>
        <v>1.3040031840629223</v>
      </c>
      <c r="O367" s="17"/>
      <c r="P367" s="19">
        <f t="shared" si="115"/>
        <v>21.273850965724385</v>
      </c>
      <c r="Q367" s="19">
        <f t="shared" si="111"/>
        <v>78.402907819066527</v>
      </c>
      <c r="R367" s="19">
        <f t="shared" si="112"/>
        <v>0</v>
      </c>
      <c r="S367" s="19">
        <f t="shared" si="113"/>
        <v>0</v>
      </c>
      <c r="T367" s="19">
        <f t="shared" si="114"/>
        <v>0</v>
      </c>
      <c r="U367" s="17"/>
      <c r="V367" s="19">
        <f t="shared" si="107"/>
        <v>99.676758784790906</v>
      </c>
      <c r="W367" s="17"/>
      <c r="X367" s="19">
        <f t="shared" si="108"/>
        <v>0.15291915208644821</v>
      </c>
      <c r="Y367" s="19">
        <f t="shared" si="109"/>
        <v>0.39104878479091099</v>
      </c>
      <c r="Z367" s="19"/>
      <c r="AA367" s="19">
        <f t="shared" si="110"/>
        <v>2.5414187695273781E-6</v>
      </c>
    </row>
    <row r="368" spans="2:27" x14ac:dyDescent="0.35">
      <c r="B368" s="27">
        <v>33</v>
      </c>
      <c r="C368" s="27">
        <v>88.535709999999995</v>
      </c>
      <c r="D368" s="19">
        <f t="shared" si="97"/>
        <v>53.46467831874854</v>
      </c>
      <c r="E368" s="19">
        <f t="shared" si="98"/>
        <v>0.26106457294374641</v>
      </c>
      <c r="F368" s="19">
        <f t="shared" si="99"/>
        <v>1.5805532004415586</v>
      </c>
      <c r="G368" s="19">
        <f t="shared" si="100"/>
        <v>1.5805532004415586</v>
      </c>
      <c r="H368" s="19">
        <f t="shared" si="101"/>
        <v>1.5805532004415586</v>
      </c>
      <c r="I368" s="17"/>
      <c r="J368" s="19">
        <f t="shared" si="102"/>
        <v>49.56146470818333</v>
      </c>
      <c r="K368" s="19">
        <f t="shared" si="103"/>
        <v>0.66661187377185604</v>
      </c>
      <c r="L368" s="19">
        <f t="shared" si="104"/>
        <v>1.3102983449339149</v>
      </c>
      <c r="M368" s="19">
        <f t="shared" si="105"/>
        <v>1.3102983449339149</v>
      </c>
      <c r="N368" s="19">
        <f t="shared" si="106"/>
        <v>1.3102983449339149</v>
      </c>
      <c r="O368" s="17"/>
      <c r="P368" s="19">
        <f t="shared" si="115"/>
        <v>21.156953548006584</v>
      </c>
      <c r="Q368" s="19">
        <f t="shared" si="111"/>
        <v>78.000389448839442</v>
      </c>
      <c r="R368" s="19">
        <f t="shared" si="112"/>
        <v>0</v>
      </c>
      <c r="S368" s="19">
        <f t="shared" si="113"/>
        <v>0</v>
      </c>
      <c r="T368" s="19">
        <f t="shared" si="114"/>
        <v>0</v>
      </c>
      <c r="U368" s="17"/>
      <c r="V368" s="19">
        <f t="shared" si="107"/>
        <v>99.157342996846026</v>
      </c>
      <c r="W368" s="17"/>
      <c r="X368" s="19">
        <f t="shared" si="108"/>
        <v>112.81908751968841</v>
      </c>
      <c r="Y368" s="19">
        <f t="shared" si="109"/>
        <v>10.621632996846031</v>
      </c>
      <c r="Z368" s="19"/>
      <c r="AA368" s="19">
        <f t="shared" si="110"/>
        <v>6.9029795030942778E-5</v>
      </c>
    </row>
    <row r="369" spans="2:27" x14ac:dyDescent="0.35">
      <c r="B369" s="27">
        <v>33.1</v>
      </c>
      <c r="C369" s="27">
        <v>93.035709999999995</v>
      </c>
      <c r="D369" s="19">
        <f t="shared" si="97"/>
        <v>53.605177657171033</v>
      </c>
      <c r="E369" s="19">
        <f t="shared" si="98"/>
        <v>0.26718950177086898</v>
      </c>
      <c r="F369" s="19">
        <f t="shared" si="99"/>
        <v>1.5916643115526696</v>
      </c>
      <c r="G369" s="19">
        <f t="shared" si="100"/>
        <v>1.5916643115526696</v>
      </c>
      <c r="H369" s="19">
        <f t="shared" si="101"/>
        <v>1.5916643115526696</v>
      </c>
      <c r="I369" s="17"/>
      <c r="J369" s="19">
        <f t="shared" si="102"/>
        <v>49.699189041278466</v>
      </c>
      <c r="K369" s="19">
        <f t="shared" si="103"/>
        <v>0.66906442492501383</v>
      </c>
      <c r="L369" s="19">
        <f t="shared" si="104"/>
        <v>1.3166066242119143</v>
      </c>
      <c r="M369" s="19">
        <f t="shared" si="105"/>
        <v>1.3166066242119143</v>
      </c>
      <c r="N369" s="19">
        <f t="shared" si="106"/>
        <v>1.3166066242119143</v>
      </c>
      <c r="O369" s="17"/>
      <c r="P369" s="19">
        <f t="shared" si="115"/>
        <v>21.04101068300216</v>
      </c>
      <c r="Q369" s="19">
        <f t="shared" si="111"/>
        <v>77.600272949795269</v>
      </c>
      <c r="R369" s="19">
        <f t="shared" si="112"/>
        <v>0</v>
      </c>
      <c r="S369" s="19">
        <f t="shared" si="113"/>
        <v>0</v>
      </c>
      <c r="T369" s="19">
        <f t="shared" si="114"/>
        <v>0</v>
      </c>
      <c r="U369" s="17"/>
      <c r="V369" s="19">
        <f t="shared" si="107"/>
        <v>98.641283632797425</v>
      </c>
      <c r="W369" s="17"/>
      <c r="X369" s="19">
        <f t="shared" si="108"/>
        <v>31.422455752713777</v>
      </c>
      <c r="Y369" s="19">
        <f t="shared" si="109"/>
        <v>5.6055736327974302</v>
      </c>
      <c r="Z369" s="19"/>
      <c r="AA369" s="19">
        <f t="shared" si="110"/>
        <v>3.6430518642261938E-5</v>
      </c>
    </row>
    <row r="370" spans="2:27" x14ac:dyDescent="0.35">
      <c r="B370" s="27">
        <v>33.200000000000003</v>
      </c>
      <c r="C370" s="27">
        <v>89.285709999999995</v>
      </c>
      <c r="D370" s="19">
        <f t="shared" ref="D370:D433" si="116">$C$23/(1-$C$23)-LN((1-$C$23)/$C$23)+$C$22/(1-$C$23)*B370</f>
        <v>53.745676995593527</v>
      </c>
      <c r="E370" s="19">
        <f t="shared" ref="E370:E433" si="117">$D$23/(1-$D$23)-LN((1-$D$23)/$D$23)+$D$22*B370/(1-$D$23)</f>
        <v>0.2733144305979911</v>
      </c>
      <c r="F370" s="19">
        <f t="shared" ref="F370:F433" si="118">$E$23/(1-$E$23)-LN((1-$E$23)/$E$23)+$E$22*B370/(1-$E$23)</f>
        <v>1.6027754226637807</v>
      </c>
      <c r="G370" s="19">
        <f t="shared" ref="G370:G433" si="119">$F$23/(1-$F$23)-LN((1-$F$23)/$F$23)+$F$22*B370/(1-$F$23)</f>
        <v>1.6027754226637807</v>
      </c>
      <c r="H370" s="19">
        <f t="shared" ref="H370:H433" si="120">$G$23/(1-$G$23)-LN((1-$G$23)/$G$23)+$G$22*B370/(1-$G$23)</f>
        <v>1.6027754226637807</v>
      </c>
      <c r="I370" s="17"/>
      <c r="J370" s="19">
        <f t="shared" ref="J370:J433" si="121">lmb_2(D370)</f>
        <v>49.836920902664339</v>
      </c>
      <c r="K370" s="19">
        <f t="shared" ref="K370:K433" si="122">lmb_2(E370)</f>
        <v>0.67152237429641115</v>
      </c>
      <c r="L370" s="19">
        <f t="shared" ref="L370:L433" si="123">lmb_2(F370)</f>
        <v>1.3229279776641987</v>
      </c>
      <c r="M370" s="19">
        <f t="shared" ref="M370:M433" si="124">lmb_2(G370)</f>
        <v>1.3229279776641987</v>
      </c>
      <c r="N370" s="19">
        <f t="shared" ref="N370:N433" si="125">lmb_2(H370)</f>
        <v>1.3229279776641987</v>
      </c>
      <c r="O370" s="17"/>
      <c r="P370" s="19">
        <f t="shared" si="115"/>
        <v>20.926012057343119</v>
      </c>
      <c r="Q370" s="19">
        <f t="shared" si="111"/>
        <v>77.202543040120219</v>
      </c>
      <c r="R370" s="19">
        <f t="shared" si="112"/>
        <v>0</v>
      </c>
      <c r="S370" s="19">
        <f t="shared" si="113"/>
        <v>0</v>
      </c>
      <c r="T370" s="19">
        <f t="shared" si="114"/>
        <v>0</v>
      </c>
      <c r="U370" s="17"/>
      <c r="V370" s="19">
        <f t="shared" ref="V370:V433" si="126">SUM(P370:T370)</f>
        <v>98.128555097463334</v>
      </c>
      <c r="W370" s="17"/>
      <c r="X370" s="19">
        <f t="shared" ref="X370:X433" si="127">(V370-C370)^2</f>
        <v>78.195909417731414</v>
      </c>
      <c r="Y370" s="19">
        <f t="shared" ref="Y370:Y433" si="128">ABS(V370-C370)</f>
        <v>8.8428450974633392</v>
      </c>
      <c r="Z370" s="19"/>
      <c r="AA370" s="19">
        <f t="shared" ref="AA370:AA433" si="129">Y370/$Z$39</f>
        <v>5.7469485600710218E-5</v>
      </c>
    </row>
    <row r="371" spans="2:27" x14ac:dyDescent="0.35">
      <c r="B371" s="27">
        <v>33.299999999999997</v>
      </c>
      <c r="C371" s="27">
        <v>112.03570999999999</v>
      </c>
      <c r="D371" s="19">
        <f t="shared" si="116"/>
        <v>53.886176334016007</v>
      </c>
      <c r="E371" s="19">
        <f t="shared" si="117"/>
        <v>0.27943935942511278</v>
      </c>
      <c r="F371" s="19">
        <f t="shared" si="118"/>
        <v>1.6138865337748918</v>
      </c>
      <c r="G371" s="19">
        <f t="shared" si="119"/>
        <v>1.6138865337748918</v>
      </c>
      <c r="H371" s="19">
        <f t="shared" si="120"/>
        <v>1.6138865337748918</v>
      </c>
      <c r="I371" s="17"/>
      <c r="J371" s="19">
        <f t="shared" si="121"/>
        <v>49.974660252011603</v>
      </c>
      <c r="K371" s="19">
        <f t="shared" si="122"/>
        <v>0.67398571785120298</v>
      </c>
      <c r="L371" s="19">
        <f t="shared" si="123"/>
        <v>1.3292623611066772</v>
      </c>
      <c r="M371" s="19">
        <f t="shared" si="124"/>
        <v>1.3292623611066772</v>
      </c>
      <c r="N371" s="19">
        <f t="shared" si="125"/>
        <v>1.3292623611066772</v>
      </c>
      <c r="O371" s="17"/>
      <c r="P371" s="19">
        <f t="shared" si="115"/>
        <v>20.81194749602156</v>
      </c>
      <c r="Q371" s="19">
        <f t="shared" si="111"/>
        <v>76.807184535406023</v>
      </c>
      <c r="R371" s="19">
        <f t="shared" si="112"/>
        <v>0</v>
      </c>
      <c r="S371" s="19">
        <f t="shared" si="113"/>
        <v>0</v>
      </c>
      <c r="T371" s="19">
        <f t="shared" si="114"/>
        <v>0</v>
      </c>
      <c r="U371" s="17"/>
      <c r="V371" s="19">
        <f t="shared" si="126"/>
        <v>97.619132031427583</v>
      </c>
      <c r="W371" s="17"/>
      <c r="X371" s="19">
        <f t="shared" si="127"/>
        <v>207.83772032392744</v>
      </c>
      <c r="Y371" s="19">
        <f t="shared" si="128"/>
        <v>14.416577968572412</v>
      </c>
      <c r="Z371" s="19"/>
      <c r="AA371" s="19">
        <f t="shared" si="129"/>
        <v>9.3693071725756667E-5</v>
      </c>
    </row>
    <row r="372" spans="2:27" x14ac:dyDescent="0.35">
      <c r="B372" s="27">
        <v>33.4</v>
      </c>
      <c r="C372" s="27">
        <v>106.03570999999999</v>
      </c>
      <c r="D372" s="19">
        <f t="shared" si="116"/>
        <v>54.0266756724385</v>
      </c>
      <c r="E372" s="19">
        <f t="shared" si="117"/>
        <v>0.28556428825223534</v>
      </c>
      <c r="F372" s="19">
        <f t="shared" si="118"/>
        <v>1.6249976448860024</v>
      </c>
      <c r="G372" s="19">
        <f t="shared" si="119"/>
        <v>1.6249976448860024</v>
      </c>
      <c r="H372" s="19">
        <f t="shared" si="120"/>
        <v>1.6249976448860024</v>
      </c>
      <c r="I372" s="17"/>
      <c r="J372" s="19">
        <f t="shared" si="121"/>
        <v>50.112407049311962</v>
      </c>
      <c r="K372" s="19">
        <f t="shared" si="122"/>
        <v>0.67645445151134376</v>
      </c>
      <c r="L372" s="19">
        <f t="shared" si="123"/>
        <v>1.3356097304059378</v>
      </c>
      <c r="M372" s="19">
        <f t="shared" si="124"/>
        <v>1.3356097304059378</v>
      </c>
      <c r="N372" s="19">
        <f t="shared" si="125"/>
        <v>1.3356097304059378</v>
      </c>
      <c r="O372" s="17"/>
      <c r="P372" s="19">
        <f t="shared" si="115"/>
        <v>20.698806960175528</v>
      </c>
      <c r="Q372" s="19">
        <f t="shared" si="111"/>
        <v>76.414182348062212</v>
      </c>
      <c r="R372" s="19">
        <f t="shared" si="112"/>
        <v>0</v>
      </c>
      <c r="S372" s="19">
        <f t="shared" si="113"/>
        <v>0</v>
      </c>
      <c r="T372" s="19">
        <f t="shared" si="114"/>
        <v>0</v>
      </c>
      <c r="U372" s="17"/>
      <c r="V372" s="19">
        <f t="shared" si="126"/>
        <v>97.112989308237744</v>
      </c>
      <c r="W372" s="17"/>
      <c r="X372" s="19">
        <f t="shared" si="127"/>
        <v>79.614944543202228</v>
      </c>
      <c r="Y372" s="19">
        <f t="shared" si="128"/>
        <v>8.922720691762251</v>
      </c>
      <c r="Z372" s="19"/>
      <c r="AA372" s="19">
        <f t="shared" si="129"/>
        <v>5.7988595600468814E-5</v>
      </c>
    </row>
    <row r="373" spans="2:27" x14ac:dyDescent="0.35">
      <c r="B373" s="27">
        <v>33.5</v>
      </c>
      <c r="C373" s="27">
        <v>86.035709999999995</v>
      </c>
      <c r="D373" s="19">
        <f t="shared" si="116"/>
        <v>54.167175010860994</v>
      </c>
      <c r="E373" s="19">
        <f t="shared" si="117"/>
        <v>0.29168921707935747</v>
      </c>
      <c r="F373" s="19">
        <f t="shared" si="118"/>
        <v>1.6361087559971139</v>
      </c>
      <c r="G373" s="19">
        <f t="shared" si="119"/>
        <v>1.6361087559971139</v>
      </c>
      <c r="H373" s="19">
        <f t="shared" si="120"/>
        <v>1.6361087559971139</v>
      </c>
      <c r="I373" s="17"/>
      <c r="J373" s="19">
        <f t="shared" si="121"/>
        <v>50.250161254874726</v>
      </c>
      <c r="K373" s="19">
        <f t="shared" si="122"/>
        <v>0.67892857115587735</v>
      </c>
      <c r="L373" s="19">
        <f t="shared" si="123"/>
        <v>1.3419700414812596</v>
      </c>
      <c r="M373" s="19">
        <f t="shared" si="124"/>
        <v>1.3419700414812596</v>
      </c>
      <c r="N373" s="19">
        <f t="shared" si="125"/>
        <v>1.3419700414812596</v>
      </c>
      <c r="O373" s="17"/>
      <c r="P373" s="19">
        <f t="shared" si="115"/>
        <v>20.586580544916096</v>
      </c>
      <c r="Q373" s="19">
        <f t="shared" si="111"/>
        <v>76.023521486731923</v>
      </c>
      <c r="R373" s="19">
        <f t="shared" si="112"/>
        <v>0</v>
      </c>
      <c r="S373" s="19">
        <f t="shared" si="113"/>
        <v>0</v>
      </c>
      <c r="T373" s="19">
        <f t="shared" si="114"/>
        <v>0</v>
      </c>
      <c r="U373" s="17"/>
      <c r="V373" s="19">
        <f t="shared" si="126"/>
        <v>96.610102031648012</v>
      </c>
      <c r="W373" s="17"/>
      <c r="X373" s="19">
        <f t="shared" si="127"/>
        <v>111.81776683898107</v>
      </c>
      <c r="Y373" s="19">
        <f t="shared" si="128"/>
        <v>10.574392031648017</v>
      </c>
      <c r="Z373" s="19"/>
      <c r="AA373" s="19">
        <f t="shared" si="129"/>
        <v>6.8722776877928914E-5</v>
      </c>
    </row>
    <row r="374" spans="2:27" x14ac:dyDescent="0.35">
      <c r="B374" s="27">
        <v>33.6</v>
      </c>
      <c r="C374" s="27">
        <v>99.285709999999995</v>
      </c>
      <c r="D374" s="19">
        <f t="shared" si="116"/>
        <v>54.307674349283488</v>
      </c>
      <c r="E374" s="19">
        <f t="shared" si="117"/>
        <v>0.29781414590648003</v>
      </c>
      <c r="F374" s="19">
        <f t="shared" si="118"/>
        <v>1.647219867108225</v>
      </c>
      <c r="G374" s="19">
        <f t="shared" si="119"/>
        <v>1.647219867108225</v>
      </c>
      <c r="H374" s="19">
        <f t="shared" si="120"/>
        <v>1.647219867108225</v>
      </c>
      <c r="I374" s="17"/>
      <c r="J374" s="19">
        <f t="shared" si="121"/>
        <v>50.387922829323472</v>
      </c>
      <c r="K374" s="19">
        <f t="shared" si="122"/>
        <v>0.6814080726212296</v>
      </c>
      <c r="L374" s="19">
        <f t="shared" si="123"/>
        <v>1.3483432503065851</v>
      </c>
      <c r="M374" s="19">
        <f t="shared" si="124"/>
        <v>1.3483432503065851</v>
      </c>
      <c r="N374" s="19">
        <f t="shared" si="125"/>
        <v>1.3483432503065851</v>
      </c>
      <c r="O374" s="17"/>
      <c r="P374" s="19">
        <f t="shared" si="115"/>
        <v>20.475258477194675</v>
      </c>
      <c r="Q374" s="19">
        <f t="shared" si="111"/>
        <v>75.635187055710276</v>
      </c>
      <c r="R374" s="19">
        <f t="shared" si="112"/>
        <v>0</v>
      </c>
      <c r="S374" s="19">
        <f t="shared" si="113"/>
        <v>0</v>
      </c>
      <c r="T374" s="19">
        <f t="shared" si="114"/>
        <v>0</v>
      </c>
      <c r="U374" s="17"/>
      <c r="V374" s="19">
        <f t="shared" si="126"/>
        <v>96.110445532904947</v>
      </c>
      <c r="W374" s="17"/>
      <c r="X374" s="19">
        <f t="shared" si="127"/>
        <v>10.082304435996395</v>
      </c>
      <c r="Y374" s="19">
        <f t="shared" si="128"/>
        <v>3.1752644670950474</v>
      </c>
      <c r="Z374" s="19"/>
      <c r="AA374" s="19">
        <f t="shared" si="129"/>
        <v>2.063598463604345E-5</v>
      </c>
    </row>
    <row r="375" spans="2:27" x14ac:dyDescent="0.35">
      <c r="B375" s="27">
        <v>33.700000000000003</v>
      </c>
      <c r="C375" s="27">
        <v>78.035709999999995</v>
      </c>
      <c r="D375" s="19">
        <f t="shared" si="116"/>
        <v>54.448173687705982</v>
      </c>
      <c r="E375" s="19">
        <f t="shared" si="117"/>
        <v>0.3039390747336026</v>
      </c>
      <c r="F375" s="19">
        <f t="shared" si="118"/>
        <v>1.6583309782193365</v>
      </c>
      <c r="G375" s="19">
        <f t="shared" si="119"/>
        <v>1.6583309782193365</v>
      </c>
      <c r="H375" s="19">
        <f t="shared" si="120"/>
        <v>1.6583309782193365</v>
      </c>
      <c r="I375" s="17"/>
      <c r="J375" s="19">
        <f t="shared" si="121"/>
        <v>50.525691733592794</v>
      </c>
      <c r="K375" s="19">
        <f t="shared" si="122"/>
        <v>0.68389295170149922</v>
      </c>
      <c r="L375" s="19">
        <f t="shared" si="123"/>
        <v>1.3547293129124633</v>
      </c>
      <c r="M375" s="19">
        <f t="shared" si="124"/>
        <v>1.3547293129124633</v>
      </c>
      <c r="N375" s="19">
        <f t="shared" si="125"/>
        <v>1.3547293129124633</v>
      </c>
      <c r="O375" s="17"/>
      <c r="P375" s="19">
        <f t="shared" si="115"/>
        <v>20.364831113709617</v>
      </c>
      <c r="Q375" s="19">
        <f t="shared" ref="Q375:Q438" si="130">(D$21*D$23/(1-D$23)^2*$A$21*D$22)/(K375+K375^2)</f>
        <v>75.249164254366605</v>
      </c>
      <c r="R375" s="19">
        <f t="shared" ref="R375:R438" si="131">(E$21*E$23/(1-E$23)^2*$A$21*E$22)/(L375+L375^2)</f>
        <v>0</v>
      </c>
      <c r="S375" s="19">
        <f t="shared" ref="S375:S438" si="132">(F$21*F$23/(1-F$23)^2*$A$21*F$22)/(M375+M375^2)</f>
        <v>0</v>
      </c>
      <c r="T375" s="19">
        <f t="shared" ref="T375:T438" si="133">(G$21*G$23/(1-G$23)^2*$A$21*G$22)/(N375+N375^2)</f>
        <v>0</v>
      </c>
      <c r="U375" s="17"/>
      <c r="V375" s="19">
        <f t="shared" si="126"/>
        <v>95.613995368076218</v>
      </c>
      <c r="W375" s="17"/>
      <c r="X375" s="19">
        <f t="shared" si="127"/>
        <v>308.99611648152262</v>
      </c>
      <c r="Y375" s="19">
        <f t="shared" si="128"/>
        <v>17.578285368076223</v>
      </c>
      <c r="Z375" s="19"/>
      <c r="AA375" s="19">
        <f t="shared" si="129"/>
        <v>1.142409492320093E-4</v>
      </c>
    </row>
    <row r="376" spans="2:27" x14ac:dyDescent="0.35">
      <c r="B376" s="27">
        <v>33.799999999999997</v>
      </c>
      <c r="C376" s="27">
        <v>95.535709999999995</v>
      </c>
      <c r="D376" s="19">
        <f t="shared" si="116"/>
        <v>54.588673026128461</v>
      </c>
      <c r="E376" s="19">
        <f t="shared" si="117"/>
        <v>0.31006400356072428</v>
      </c>
      <c r="F376" s="19">
        <f t="shared" si="118"/>
        <v>1.6694420893304471</v>
      </c>
      <c r="G376" s="19">
        <f t="shared" si="119"/>
        <v>1.6694420893304471</v>
      </c>
      <c r="H376" s="19">
        <f t="shared" si="120"/>
        <v>1.6694420893304471</v>
      </c>
      <c r="I376" s="17"/>
      <c r="J376" s="19">
        <f t="shared" si="121"/>
        <v>50.663467928925009</v>
      </c>
      <c r="K376" s="19">
        <f t="shared" si="122"/>
        <v>0.6863832041487502</v>
      </c>
      <c r="L376" s="19">
        <f t="shared" si="123"/>
        <v>1.3611281853879518</v>
      </c>
      <c r="M376" s="19">
        <f t="shared" si="124"/>
        <v>1.3611281853879518</v>
      </c>
      <c r="N376" s="19">
        <f t="shared" si="125"/>
        <v>1.3611281853879518</v>
      </c>
      <c r="O376" s="17"/>
      <c r="P376" s="19">
        <f t="shared" si="115"/>
        <v>20.255288938851514</v>
      </c>
      <c r="Q376" s="19">
        <f t="shared" si="130"/>
        <v>74.865438376569358</v>
      </c>
      <c r="R376" s="19">
        <f t="shared" si="131"/>
        <v>0</v>
      </c>
      <c r="S376" s="19">
        <f t="shared" si="132"/>
        <v>0</v>
      </c>
      <c r="T376" s="19">
        <f t="shared" si="133"/>
        <v>0</v>
      </c>
      <c r="U376" s="17"/>
      <c r="V376" s="19">
        <f t="shared" si="126"/>
        <v>95.120727315420879</v>
      </c>
      <c r="W376" s="17"/>
      <c r="X376" s="19">
        <f t="shared" si="127"/>
        <v>0.17221062850048954</v>
      </c>
      <c r="Y376" s="19">
        <f t="shared" si="128"/>
        <v>0.41498268457911536</v>
      </c>
      <c r="Z376" s="19"/>
      <c r="AA376" s="19">
        <f t="shared" si="129"/>
        <v>2.6969647385098744E-6</v>
      </c>
    </row>
    <row r="377" spans="2:27" x14ac:dyDescent="0.35">
      <c r="B377" s="27">
        <v>33.9</v>
      </c>
      <c r="C377" s="27">
        <v>93.535709999999995</v>
      </c>
      <c r="D377" s="19">
        <f t="shared" si="116"/>
        <v>54.729172364550955</v>
      </c>
      <c r="E377" s="19">
        <f t="shared" si="117"/>
        <v>0.31618893238784684</v>
      </c>
      <c r="F377" s="19">
        <f t="shared" si="118"/>
        <v>1.6805532004415582</v>
      </c>
      <c r="G377" s="19">
        <f t="shared" si="119"/>
        <v>1.6805532004415582</v>
      </c>
      <c r="H377" s="19">
        <f t="shared" si="120"/>
        <v>1.6805532004415582</v>
      </c>
      <c r="I377" s="17"/>
      <c r="J377" s="19">
        <f t="shared" si="121"/>
        <v>50.801251376867022</v>
      </c>
      <c r="K377" s="19">
        <f t="shared" si="122"/>
        <v>0.68887882567330561</v>
      </c>
      <c r="L377" s="19">
        <f t="shared" si="123"/>
        <v>1.3675398238824898</v>
      </c>
      <c r="M377" s="19">
        <f t="shared" si="124"/>
        <v>1.3675398238824898</v>
      </c>
      <c r="N377" s="19">
        <f t="shared" si="125"/>
        <v>1.3675398238824898</v>
      </c>
      <c r="O377" s="17"/>
      <c r="P377" s="19">
        <f t="shared" si="115"/>
        <v>20.146622562686129</v>
      </c>
      <c r="Q377" s="19">
        <f t="shared" si="130"/>
        <v>74.483994810114183</v>
      </c>
      <c r="R377" s="19">
        <f t="shared" si="131"/>
        <v>0</v>
      </c>
      <c r="S377" s="19">
        <f t="shared" si="132"/>
        <v>0</v>
      </c>
      <c r="T377" s="19">
        <f t="shared" si="133"/>
        <v>0</v>
      </c>
      <c r="U377" s="17"/>
      <c r="V377" s="19">
        <f t="shared" si="126"/>
        <v>94.630617372800316</v>
      </c>
      <c r="W377" s="17"/>
      <c r="X377" s="19">
        <f t="shared" si="127"/>
        <v>1.1988221550125018</v>
      </c>
      <c r="Y377" s="19">
        <f t="shared" si="128"/>
        <v>1.0949073728003214</v>
      </c>
      <c r="Z377" s="19"/>
      <c r="AA377" s="19">
        <f t="shared" si="129"/>
        <v>7.1157826244530561E-6</v>
      </c>
    </row>
    <row r="378" spans="2:27" x14ac:dyDescent="0.35">
      <c r="B378" s="27">
        <v>34</v>
      </c>
      <c r="C378" s="27">
        <v>95.535709999999995</v>
      </c>
      <c r="D378" s="19">
        <f t="shared" si="116"/>
        <v>54.869671702973449</v>
      </c>
      <c r="E378" s="19">
        <f t="shared" si="117"/>
        <v>0.32231386121496897</v>
      </c>
      <c r="F378" s="19">
        <f t="shared" si="118"/>
        <v>1.6916643115526697</v>
      </c>
      <c r="G378" s="19">
        <f t="shared" si="119"/>
        <v>1.6916643115526697</v>
      </c>
      <c r="H378" s="19">
        <f t="shared" si="120"/>
        <v>1.6916643115526697</v>
      </c>
      <c r="I378" s="17"/>
      <c r="J378" s="19">
        <f t="shared" si="121"/>
        <v>50.939042039267065</v>
      </c>
      <c r="K378" s="19">
        <f t="shared" si="122"/>
        <v>0.69137981194403697</v>
      </c>
      <c r="L378" s="19">
        <f t="shared" si="123"/>
        <v>1.37396418460773</v>
      </c>
      <c r="M378" s="19">
        <f t="shared" si="124"/>
        <v>1.37396418460773</v>
      </c>
      <c r="N378" s="19">
        <f t="shared" si="125"/>
        <v>1.37396418460773</v>
      </c>
      <c r="O378" s="17"/>
      <c r="P378" s="19">
        <f t="shared" si="115"/>
        <v>20.038822718974423</v>
      </c>
      <c r="Q378" s="19">
        <f t="shared" si="130"/>
        <v>74.104819036155874</v>
      </c>
      <c r="R378" s="19">
        <f t="shared" si="131"/>
        <v>0</v>
      </c>
      <c r="S378" s="19">
        <f t="shared" si="132"/>
        <v>0</v>
      </c>
      <c r="T378" s="19">
        <f t="shared" si="133"/>
        <v>0</v>
      </c>
      <c r="U378" s="17"/>
      <c r="V378" s="19">
        <f t="shared" si="126"/>
        <v>94.14364175513029</v>
      </c>
      <c r="W378" s="17"/>
      <c r="X378" s="19">
        <f t="shared" si="127"/>
        <v>1.937853998374621</v>
      </c>
      <c r="Y378" s="19">
        <f t="shared" si="128"/>
        <v>1.392068244869705</v>
      </c>
      <c r="Z378" s="19"/>
      <c r="AA378" s="19">
        <f t="shared" si="129"/>
        <v>9.0470255977563923E-6</v>
      </c>
    </row>
    <row r="379" spans="2:27" x14ac:dyDescent="0.35">
      <c r="B379" s="27">
        <v>34.1</v>
      </c>
      <c r="C379" s="27">
        <v>123.53570999999999</v>
      </c>
      <c r="D379" s="19">
        <f t="shared" si="116"/>
        <v>55.010171041395942</v>
      </c>
      <c r="E379" s="19">
        <f t="shared" si="117"/>
        <v>0.32843879004209153</v>
      </c>
      <c r="F379" s="19">
        <f t="shared" si="118"/>
        <v>1.7027754226637803</v>
      </c>
      <c r="G379" s="19">
        <f t="shared" si="119"/>
        <v>1.7027754226637803</v>
      </c>
      <c r="H379" s="19">
        <f t="shared" si="120"/>
        <v>1.7027754226637803</v>
      </c>
      <c r="I379" s="17"/>
      <c r="J379" s="19">
        <f t="shared" si="121"/>
        <v>51.076839878271635</v>
      </c>
      <c r="K379" s="19">
        <f t="shared" si="122"/>
        <v>0.69388615858866198</v>
      </c>
      <c r="L379" s="19">
        <f t="shared" si="123"/>
        <v>1.3804012238393406</v>
      </c>
      <c r="M379" s="19">
        <f t="shared" si="124"/>
        <v>1.3804012238393406</v>
      </c>
      <c r="N379" s="19">
        <f t="shared" si="125"/>
        <v>1.3804012238393406</v>
      </c>
      <c r="O379" s="17"/>
      <c r="P379" s="19">
        <f t="shared" si="115"/>
        <v>19.931880263228663</v>
      </c>
      <c r="Q379" s="19">
        <f t="shared" si="130"/>
        <v>73.727896628642</v>
      </c>
      <c r="R379" s="19">
        <f t="shared" si="131"/>
        <v>0</v>
      </c>
      <c r="S379" s="19">
        <f t="shared" si="132"/>
        <v>0</v>
      </c>
      <c r="T379" s="19">
        <f t="shared" si="133"/>
        <v>0</v>
      </c>
      <c r="U379" s="17"/>
      <c r="V379" s="19">
        <f t="shared" si="126"/>
        <v>93.659776891870663</v>
      </c>
      <c r="W379" s="17"/>
      <c r="X379" s="19">
        <f t="shared" si="127"/>
        <v>892.57137908141829</v>
      </c>
      <c r="Y379" s="19">
        <f t="shared" si="128"/>
        <v>29.875933108129331</v>
      </c>
      <c r="Z379" s="19"/>
      <c r="AA379" s="19">
        <f t="shared" si="129"/>
        <v>1.941631328652298E-4</v>
      </c>
    </row>
    <row r="380" spans="2:27" x14ac:dyDescent="0.35">
      <c r="B380" s="27">
        <v>34.200000000000003</v>
      </c>
      <c r="C380" s="27">
        <v>98.035709999999995</v>
      </c>
      <c r="D380" s="19">
        <f t="shared" si="116"/>
        <v>55.150670379818429</v>
      </c>
      <c r="E380" s="19">
        <f t="shared" si="117"/>
        <v>0.33456371886921366</v>
      </c>
      <c r="F380" s="19">
        <f t="shared" si="118"/>
        <v>1.7138865337748919</v>
      </c>
      <c r="G380" s="19">
        <f t="shared" si="119"/>
        <v>1.7138865337748919</v>
      </c>
      <c r="H380" s="19">
        <f t="shared" si="120"/>
        <v>1.7138865337748919</v>
      </c>
      <c r="I380" s="17"/>
      <c r="J380" s="19">
        <f t="shared" si="121"/>
        <v>51.214644856322373</v>
      </c>
      <c r="K380" s="19">
        <f t="shared" si="122"/>
        <v>0.69639786119403424</v>
      </c>
      <c r="L380" s="19">
        <f t="shared" si="123"/>
        <v>1.3868508979187752</v>
      </c>
      <c r="M380" s="19">
        <f t="shared" si="124"/>
        <v>1.3868508979187752</v>
      </c>
      <c r="N380" s="19">
        <f t="shared" si="125"/>
        <v>1.3868508979187752</v>
      </c>
      <c r="O380" s="17"/>
      <c r="P380" s="19">
        <f t="shared" si="115"/>
        <v>19.825786170804065</v>
      </c>
      <c r="Q380" s="19">
        <f t="shared" si="130"/>
        <v>73.353213253751278</v>
      </c>
      <c r="R380" s="19">
        <f t="shared" si="131"/>
        <v>0</v>
      </c>
      <c r="S380" s="19">
        <f t="shared" si="132"/>
        <v>0</v>
      </c>
      <c r="T380" s="19">
        <f t="shared" si="133"/>
        <v>0</v>
      </c>
      <c r="U380" s="17"/>
      <c r="V380" s="19">
        <f t="shared" si="126"/>
        <v>93.178999424555343</v>
      </c>
      <c r="W380" s="17"/>
      <c r="X380" s="19">
        <f t="shared" si="127"/>
        <v>23.58763761363592</v>
      </c>
      <c r="Y380" s="19">
        <f t="shared" si="128"/>
        <v>4.8567105754446516</v>
      </c>
      <c r="Z380" s="19"/>
      <c r="AA380" s="19">
        <f t="shared" si="129"/>
        <v>3.1563671579229601E-5</v>
      </c>
    </row>
    <row r="381" spans="2:27" x14ac:dyDescent="0.35">
      <c r="B381" s="27">
        <v>34.299999999999997</v>
      </c>
      <c r="C381" s="27">
        <v>74.785709999999995</v>
      </c>
      <c r="D381" s="19">
        <f t="shared" si="116"/>
        <v>55.291169718240916</v>
      </c>
      <c r="E381" s="19">
        <f t="shared" si="117"/>
        <v>0.34068864769633578</v>
      </c>
      <c r="F381" s="19">
        <f t="shared" si="118"/>
        <v>1.7249976448860025</v>
      </c>
      <c r="G381" s="19">
        <f t="shared" si="119"/>
        <v>1.7249976448860025</v>
      </c>
      <c r="H381" s="19">
        <f t="shared" si="120"/>
        <v>1.7249976448860025</v>
      </c>
      <c r="I381" s="17"/>
      <c r="J381" s="19">
        <f t="shared" si="121"/>
        <v>51.352456936153075</v>
      </c>
      <c r="K381" s="19">
        <f t="shared" si="122"/>
        <v>0.69891491530643945</v>
      </c>
      <c r="L381" s="19">
        <f t="shared" si="123"/>
        <v>1.3933131632550015</v>
      </c>
      <c r="M381" s="19">
        <f t="shared" si="124"/>
        <v>1.3933131632550015</v>
      </c>
      <c r="N381" s="19">
        <f t="shared" si="125"/>
        <v>1.3933131632550015</v>
      </c>
      <c r="O381" s="17"/>
      <c r="P381" s="19">
        <f t="shared" si="115"/>
        <v>19.72053153502506</v>
      </c>
      <c r="Q381" s="19">
        <f t="shared" si="130"/>
        <v>72.980754669333606</v>
      </c>
      <c r="R381" s="19">
        <f t="shared" si="131"/>
        <v>0</v>
      </c>
      <c r="S381" s="19">
        <f t="shared" si="132"/>
        <v>0</v>
      </c>
      <c r="T381" s="19">
        <f t="shared" si="133"/>
        <v>0</v>
      </c>
      <c r="U381" s="17"/>
      <c r="V381" s="19">
        <f t="shared" si="126"/>
        <v>92.701286204358667</v>
      </c>
      <c r="W381" s="17"/>
      <c r="X381" s="19">
        <f t="shared" si="127"/>
        <v>320.96787073418267</v>
      </c>
      <c r="Y381" s="19">
        <f t="shared" si="128"/>
        <v>17.915576204358672</v>
      </c>
      <c r="Z381" s="19"/>
      <c r="AA381" s="19">
        <f t="shared" si="129"/>
        <v>1.1643299609535943E-4</v>
      </c>
    </row>
    <row r="382" spans="2:27" x14ac:dyDescent="0.35">
      <c r="B382" s="27">
        <v>34.4</v>
      </c>
      <c r="C382" s="27">
        <v>114.53570999999999</v>
      </c>
      <c r="D382" s="19">
        <f t="shared" si="116"/>
        <v>55.431669056663409</v>
      </c>
      <c r="E382" s="19">
        <f t="shared" si="117"/>
        <v>0.3468135765234579</v>
      </c>
      <c r="F382" s="19">
        <f t="shared" si="118"/>
        <v>1.7361087559971136</v>
      </c>
      <c r="G382" s="19">
        <f t="shared" si="119"/>
        <v>1.7361087559971136</v>
      </c>
      <c r="H382" s="19">
        <f t="shared" si="120"/>
        <v>1.7361087559971136</v>
      </c>
      <c r="I382" s="17"/>
      <c r="J382" s="19">
        <f t="shared" si="121"/>
        <v>51.490276080786629</v>
      </c>
      <c r="K382" s="19">
        <f t="shared" si="122"/>
        <v>0.70143731643188856</v>
      </c>
      <c r="L382" s="19">
        <f t="shared" si="123"/>
        <v>1.3997879763262067</v>
      </c>
      <c r="M382" s="19">
        <f t="shared" si="124"/>
        <v>1.3997879763262067</v>
      </c>
      <c r="N382" s="19">
        <f t="shared" si="125"/>
        <v>1.3997879763262067</v>
      </c>
      <c r="O382" s="17"/>
      <c r="P382" s="19">
        <f t="shared" si="115"/>
        <v>19.616107565345626</v>
      </c>
      <c r="Q382" s="19">
        <f t="shared" si="130"/>
        <v>72.610506724354096</v>
      </c>
      <c r="R382" s="19">
        <f t="shared" si="131"/>
        <v>0</v>
      </c>
      <c r="S382" s="19">
        <f t="shared" si="132"/>
        <v>0</v>
      </c>
      <c r="T382" s="19">
        <f t="shared" si="133"/>
        <v>0</v>
      </c>
      <c r="U382" s="17"/>
      <c r="V382" s="19">
        <f t="shared" si="126"/>
        <v>92.226614289699725</v>
      </c>
      <c r="W382" s="17"/>
      <c r="X382" s="19">
        <f t="shared" si="127"/>
        <v>497.69575141133788</v>
      </c>
      <c r="Y382" s="19">
        <f t="shared" si="128"/>
        <v>22.309095710300269</v>
      </c>
      <c r="Z382" s="19"/>
      <c r="AA382" s="19">
        <f t="shared" si="129"/>
        <v>1.4498639754028357E-4</v>
      </c>
    </row>
    <row r="383" spans="2:27" x14ac:dyDescent="0.35">
      <c r="B383" s="27">
        <v>34.5</v>
      </c>
      <c r="C383" s="27">
        <v>98.535709999999995</v>
      </c>
      <c r="D383" s="19">
        <f t="shared" si="116"/>
        <v>55.572168395085903</v>
      </c>
      <c r="E383" s="19">
        <f t="shared" si="117"/>
        <v>0.35293850535058047</v>
      </c>
      <c r="F383" s="19">
        <f t="shared" si="118"/>
        <v>1.7472198671082251</v>
      </c>
      <c r="G383" s="19">
        <f t="shared" si="119"/>
        <v>1.7472198671082251</v>
      </c>
      <c r="H383" s="19">
        <f t="shared" si="120"/>
        <v>1.7472198671082251</v>
      </c>
      <c r="I383" s="17"/>
      <c r="J383" s="19">
        <f t="shared" si="121"/>
        <v>51.628102253532063</v>
      </c>
      <c r="K383" s="19">
        <f t="shared" si="122"/>
        <v>0.70396506003641202</v>
      </c>
      <c r="L383" s="19">
        <f t="shared" si="123"/>
        <v>1.4062752936814611</v>
      </c>
      <c r="M383" s="19">
        <f t="shared" si="124"/>
        <v>1.4062752936814611</v>
      </c>
      <c r="N383" s="19">
        <f t="shared" si="125"/>
        <v>1.4062752936814611</v>
      </c>
      <c r="O383" s="17"/>
      <c r="P383" s="19">
        <f t="shared" si="115"/>
        <v>19.512505585542911</v>
      </c>
      <c r="Q383" s="19">
        <f t="shared" si="130"/>
        <v>72.24245535833974</v>
      </c>
      <c r="R383" s="19">
        <f t="shared" si="131"/>
        <v>0</v>
      </c>
      <c r="S383" s="19">
        <f t="shared" si="132"/>
        <v>0</v>
      </c>
      <c r="T383" s="19">
        <f t="shared" si="133"/>
        <v>0</v>
      </c>
      <c r="U383" s="17"/>
      <c r="V383" s="19">
        <f t="shared" si="126"/>
        <v>91.754960943882651</v>
      </c>
      <c r="W383" s="17"/>
      <c r="X383" s="19">
        <f t="shared" si="127"/>
        <v>45.978557762036246</v>
      </c>
      <c r="Y383" s="19">
        <f t="shared" si="128"/>
        <v>6.7807490561173438</v>
      </c>
      <c r="Z383" s="19"/>
      <c r="AA383" s="19">
        <f t="shared" si="129"/>
        <v>4.4067961832142751E-5</v>
      </c>
    </row>
    <row r="384" spans="2:27" x14ac:dyDescent="0.35">
      <c r="B384" s="27">
        <v>34.6</v>
      </c>
      <c r="C384" s="27">
        <v>93.535709999999995</v>
      </c>
      <c r="D384" s="19">
        <f t="shared" si="116"/>
        <v>55.712667733508397</v>
      </c>
      <c r="E384" s="19">
        <f t="shared" si="117"/>
        <v>0.35906343417770259</v>
      </c>
      <c r="F384" s="19">
        <f t="shared" si="118"/>
        <v>1.7583309782193366</v>
      </c>
      <c r="G384" s="19">
        <f t="shared" si="119"/>
        <v>1.7583309782193366</v>
      </c>
      <c r="H384" s="19">
        <f t="shared" si="120"/>
        <v>1.7583309782193366</v>
      </c>
      <c r="I384" s="17"/>
      <c r="J384" s="19">
        <f t="shared" si="121"/>
        <v>51.765935417981616</v>
      </c>
      <c r="K384" s="19">
        <f t="shared" si="122"/>
        <v>0.70649814154635426</v>
      </c>
      <c r="L384" s="19">
        <f t="shared" si="123"/>
        <v>1.4127750719423555</v>
      </c>
      <c r="M384" s="19">
        <f t="shared" si="124"/>
        <v>1.4127750719423555</v>
      </c>
      <c r="N384" s="19">
        <f t="shared" si="125"/>
        <v>1.4127750719423555</v>
      </c>
      <c r="O384" s="17"/>
      <c r="P384" s="19">
        <f t="shared" si="115"/>
        <v>19.409717031943398</v>
      </c>
      <c r="Q384" s="19">
        <f t="shared" si="130"/>
        <v>71.876586600829256</v>
      </c>
      <c r="R384" s="19">
        <f t="shared" si="131"/>
        <v>0</v>
      </c>
      <c r="S384" s="19">
        <f t="shared" si="132"/>
        <v>0</v>
      </c>
      <c r="T384" s="19">
        <f t="shared" si="133"/>
        <v>0</v>
      </c>
      <c r="U384" s="17"/>
      <c r="V384" s="19">
        <f t="shared" si="126"/>
        <v>91.286303632772658</v>
      </c>
      <c r="W384" s="17"/>
      <c r="X384" s="19">
        <f t="shared" si="127"/>
        <v>5.0598290049228849</v>
      </c>
      <c r="Y384" s="19">
        <f t="shared" si="128"/>
        <v>2.249406367227337</v>
      </c>
      <c r="Z384" s="19"/>
      <c r="AA384" s="19">
        <f t="shared" si="129"/>
        <v>1.4618850088033362E-5</v>
      </c>
    </row>
    <row r="385" spans="2:27" x14ac:dyDescent="0.35">
      <c r="B385" s="27">
        <v>34.700000000000003</v>
      </c>
      <c r="C385" s="27">
        <v>88.785709999999995</v>
      </c>
      <c r="D385" s="19">
        <f t="shared" si="116"/>
        <v>55.853167071930883</v>
      </c>
      <c r="E385" s="19">
        <f t="shared" si="117"/>
        <v>0.36518836300482516</v>
      </c>
      <c r="F385" s="19">
        <f t="shared" si="118"/>
        <v>1.7694420893304477</v>
      </c>
      <c r="G385" s="19">
        <f t="shared" si="119"/>
        <v>1.7694420893304477</v>
      </c>
      <c r="H385" s="19">
        <f t="shared" si="120"/>
        <v>1.7694420893304477</v>
      </c>
      <c r="I385" s="17"/>
      <c r="J385" s="19">
        <f t="shared" si="121"/>
        <v>51.903775538007864</v>
      </c>
      <c r="K385" s="19">
        <f t="shared" si="122"/>
        <v>0.70903655634866936</v>
      </c>
      <c r="L385" s="19">
        <f t="shared" si="123"/>
        <v>1.4192872678046018</v>
      </c>
      <c r="M385" s="19">
        <f t="shared" si="124"/>
        <v>1.4192872678046018</v>
      </c>
      <c r="N385" s="19">
        <f t="shared" si="125"/>
        <v>1.4192872678046018</v>
      </c>
      <c r="O385" s="17"/>
      <c r="P385" s="19">
        <f t="shared" si="115"/>
        <v>19.307733451681045</v>
      </c>
      <c r="Q385" s="19">
        <f t="shared" si="130"/>
        <v>71.512886570825657</v>
      </c>
      <c r="R385" s="19">
        <f t="shared" si="131"/>
        <v>0</v>
      </c>
      <c r="S385" s="19">
        <f t="shared" si="132"/>
        <v>0</v>
      </c>
      <c r="T385" s="19">
        <f t="shared" si="133"/>
        <v>0</v>
      </c>
      <c r="U385" s="17"/>
      <c r="V385" s="19">
        <f t="shared" si="126"/>
        <v>90.820620022506702</v>
      </c>
      <c r="W385" s="17"/>
      <c r="X385" s="19">
        <f t="shared" si="127"/>
        <v>4.1408587996982495</v>
      </c>
      <c r="Y385" s="19">
        <f t="shared" si="128"/>
        <v>2.0349100225067076</v>
      </c>
      <c r="Z385" s="19"/>
      <c r="AA385" s="19">
        <f t="shared" si="129"/>
        <v>1.3224842338438911E-5</v>
      </c>
    </row>
    <row r="386" spans="2:27" x14ac:dyDescent="0.35">
      <c r="B386" s="27">
        <v>34.799999999999997</v>
      </c>
      <c r="C386" s="27">
        <v>101.28570999999999</v>
      </c>
      <c r="D386" s="19">
        <f t="shared" si="116"/>
        <v>55.99366641035337</v>
      </c>
      <c r="E386" s="19">
        <f t="shared" si="117"/>
        <v>0.37131329183194728</v>
      </c>
      <c r="F386" s="19">
        <f t="shared" si="118"/>
        <v>1.7805532004415583</v>
      </c>
      <c r="G386" s="19">
        <f t="shared" si="119"/>
        <v>1.7805532004415583</v>
      </c>
      <c r="H386" s="19">
        <f t="shared" si="120"/>
        <v>1.7805532004415583</v>
      </c>
      <c r="I386" s="17"/>
      <c r="J386" s="19">
        <f t="shared" si="121"/>
        <v>52.041622577760833</v>
      </c>
      <c r="K386" s="19">
        <f t="shared" si="122"/>
        <v>0.71158029979121407</v>
      </c>
      <c r="L386" s="19">
        <f t="shared" si="123"/>
        <v>1.4258118380396052</v>
      </c>
      <c r="M386" s="19">
        <f t="shared" si="124"/>
        <v>1.4258118380396052</v>
      </c>
      <c r="N386" s="19">
        <f t="shared" si="125"/>
        <v>1.4258118380396052</v>
      </c>
      <c r="O386" s="17"/>
      <c r="P386" s="19">
        <f t="shared" si="115"/>
        <v>19.206546500986725</v>
      </c>
      <c r="Q386" s="19">
        <f t="shared" si="130"/>
        <v>71.151341476252469</v>
      </c>
      <c r="R386" s="19">
        <f t="shared" si="131"/>
        <v>0</v>
      </c>
      <c r="S386" s="19">
        <f t="shared" si="132"/>
        <v>0</v>
      </c>
      <c r="T386" s="19">
        <f t="shared" si="133"/>
        <v>0</v>
      </c>
      <c r="U386" s="17"/>
      <c r="V386" s="19">
        <f t="shared" si="126"/>
        <v>90.357887977239187</v>
      </c>
      <c r="W386" s="17"/>
      <c r="X386" s="19">
        <f t="shared" si="127"/>
        <v>119.4172941611361</v>
      </c>
      <c r="Y386" s="19">
        <f t="shared" si="128"/>
        <v>10.927822022760807</v>
      </c>
      <c r="Z386" s="19"/>
      <c r="AA386" s="19">
        <f t="shared" si="129"/>
        <v>7.1019711807948459E-5</v>
      </c>
    </row>
    <row r="387" spans="2:27" x14ac:dyDescent="0.35">
      <c r="B387" s="27">
        <v>34.9</v>
      </c>
      <c r="C387" s="27">
        <v>95.285709999999995</v>
      </c>
      <c r="D387" s="19">
        <f t="shared" si="116"/>
        <v>56.134165748775864</v>
      </c>
      <c r="E387" s="19">
        <f t="shared" si="117"/>
        <v>0.3774382206590694</v>
      </c>
      <c r="F387" s="19">
        <f t="shared" si="118"/>
        <v>1.7916643115526694</v>
      </c>
      <c r="G387" s="19">
        <f t="shared" si="119"/>
        <v>1.7916643115526694</v>
      </c>
      <c r="H387" s="19">
        <f t="shared" si="120"/>
        <v>1.7916643115526694</v>
      </c>
      <c r="I387" s="17"/>
      <c r="J387" s="19">
        <f t="shared" si="121"/>
        <v>52.179476501665228</v>
      </c>
      <c r="K387" s="19">
        <f t="shared" si="122"/>
        <v>0.71412936718304454</v>
      </c>
      <c r="L387" s="19">
        <f t="shared" si="123"/>
        <v>1.4323487394960035</v>
      </c>
      <c r="M387" s="19">
        <f t="shared" si="124"/>
        <v>1.4323487394960035</v>
      </c>
      <c r="N387" s="19">
        <f t="shared" si="125"/>
        <v>1.4323487394960035</v>
      </c>
      <c r="O387" s="17"/>
      <c r="P387" s="19">
        <f t="shared" si="115"/>
        <v>19.106147943508269</v>
      </c>
      <c r="Q387" s="19">
        <f t="shared" si="130"/>
        <v>70.791937613412074</v>
      </c>
      <c r="R387" s="19">
        <f t="shared" si="131"/>
        <v>0</v>
      </c>
      <c r="S387" s="19">
        <f t="shared" si="132"/>
        <v>0</v>
      </c>
      <c r="T387" s="19">
        <f t="shared" si="133"/>
        <v>0</v>
      </c>
      <c r="U387" s="17"/>
      <c r="V387" s="19">
        <f t="shared" si="126"/>
        <v>89.898085556920336</v>
      </c>
      <c r="W387" s="17"/>
      <c r="X387" s="19">
        <f t="shared" si="127"/>
        <v>29.026497139669406</v>
      </c>
      <c r="Y387" s="19">
        <f t="shared" si="128"/>
        <v>5.3876244430796589</v>
      </c>
      <c r="Z387" s="19"/>
      <c r="AA387" s="19">
        <f t="shared" si="129"/>
        <v>3.5014070917336288E-5</v>
      </c>
    </row>
    <row r="388" spans="2:27" x14ac:dyDescent="0.35">
      <c r="B388" s="27">
        <v>35</v>
      </c>
      <c r="C388" s="27">
        <v>104.53570999999999</v>
      </c>
      <c r="D388" s="19">
        <f t="shared" si="116"/>
        <v>56.274665087198358</v>
      </c>
      <c r="E388" s="19">
        <f t="shared" si="117"/>
        <v>0.38356314948619197</v>
      </c>
      <c r="F388" s="19">
        <f t="shared" si="118"/>
        <v>1.8027754226637804</v>
      </c>
      <c r="G388" s="19">
        <f t="shared" si="119"/>
        <v>1.8027754226637804</v>
      </c>
      <c r="H388" s="19">
        <f t="shared" si="120"/>
        <v>1.8027754226637804</v>
      </c>
      <c r="I388" s="17"/>
      <c r="J388" s="19">
        <f t="shared" si="121"/>
        <v>52.317337274417568</v>
      </c>
      <c r="K388" s="19">
        <f t="shared" si="122"/>
        <v>0.71668375379471072</v>
      </c>
      <c r="L388" s="19">
        <f t="shared" si="123"/>
        <v>1.4388979291011734</v>
      </c>
      <c r="M388" s="19">
        <f t="shared" si="124"/>
        <v>1.4388979291011734</v>
      </c>
      <c r="N388" s="19">
        <f t="shared" si="125"/>
        <v>1.4388979291011734</v>
      </c>
      <c r="O388" s="17"/>
      <c r="P388" s="19">
        <f t="shared" si="115"/>
        <v>19.00652964866061</v>
      </c>
      <c r="Q388" s="19">
        <f t="shared" si="130"/>
        <v>70.434661366447727</v>
      </c>
      <c r="R388" s="19">
        <f t="shared" si="131"/>
        <v>0</v>
      </c>
      <c r="S388" s="19">
        <f t="shared" si="132"/>
        <v>0</v>
      </c>
      <c r="T388" s="19">
        <f t="shared" si="133"/>
        <v>0</v>
      </c>
      <c r="U388" s="17"/>
      <c r="V388" s="19">
        <f t="shared" si="126"/>
        <v>89.44119101510833</v>
      </c>
      <c r="W388" s="17"/>
      <c r="X388" s="19">
        <f t="shared" si="127"/>
        <v>227.84450338525488</v>
      </c>
      <c r="Y388" s="19">
        <f t="shared" si="128"/>
        <v>15.094518984891664</v>
      </c>
      <c r="Z388" s="19"/>
      <c r="AA388" s="19">
        <f t="shared" si="129"/>
        <v>9.8098997764952631E-5</v>
      </c>
    </row>
    <row r="389" spans="2:27" x14ac:dyDescent="0.35">
      <c r="B389" s="27">
        <v>35.1</v>
      </c>
      <c r="C389" s="27">
        <v>91.285709999999995</v>
      </c>
      <c r="D389" s="19">
        <f t="shared" si="116"/>
        <v>56.415164425620844</v>
      </c>
      <c r="E389" s="19">
        <f t="shared" si="117"/>
        <v>0.38968807831331409</v>
      </c>
      <c r="F389" s="19">
        <f t="shared" si="118"/>
        <v>1.813886533774892</v>
      </c>
      <c r="G389" s="19">
        <f t="shared" si="119"/>
        <v>1.813886533774892</v>
      </c>
      <c r="H389" s="19">
        <f t="shared" si="120"/>
        <v>1.813886533774892</v>
      </c>
      <c r="I389" s="17"/>
      <c r="J389" s="19">
        <f t="shared" si="121"/>
        <v>52.455204860983514</v>
      </c>
      <c r="K389" s="19">
        <f t="shared" si="122"/>
        <v>0.71924345485855123</v>
      </c>
      <c r="L389" s="19">
        <f t="shared" si="123"/>
        <v>1.4454593638627087</v>
      </c>
      <c r="M389" s="19">
        <f t="shared" si="124"/>
        <v>1.4454593638627087</v>
      </c>
      <c r="N389" s="19">
        <f t="shared" si="125"/>
        <v>1.4454593638627087</v>
      </c>
      <c r="O389" s="17"/>
      <c r="P389" s="19">
        <f t="shared" si="115"/>
        <v>18.907683590005202</v>
      </c>
      <c r="Q389" s="19">
        <f t="shared" si="130"/>
        <v>70.079499206808251</v>
      </c>
      <c r="R389" s="19">
        <f t="shared" si="131"/>
        <v>0</v>
      </c>
      <c r="S389" s="19">
        <f t="shared" si="132"/>
        <v>0</v>
      </c>
      <c r="T389" s="19">
        <f t="shared" si="133"/>
        <v>0</v>
      </c>
      <c r="U389" s="17"/>
      <c r="V389" s="19">
        <f t="shared" si="126"/>
        <v>88.987182796813457</v>
      </c>
      <c r="W389" s="17"/>
      <c r="X389" s="19">
        <f t="shared" si="127"/>
        <v>5.2832273037885278</v>
      </c>
      <c r="Y389" s="19">
        <f t="shared" si="128"/>
        <v>2.2985272031865378</v>
      </c>
      <c r="Z389" s="19"/>
      <c r="AA389" s="19">
        <f t="shared" si="129"/>
        <v>1.4938085486113775E-5</v>
      </c>
    </row>
    <row r="390" spans="2:27" x14ac:dyDescent="0.35">
      <c r="B390" s="27">
        <v>35.200000000000003</v>
      </c>
      <c r="C390" s="27">
        <v>89.535709999999995</v>
      </c>
      <c r="D390" s="19">
        <f t="shared" si="116"/>
        <v>56.555663764043338</v>
      </c>
      <c r="E390" s="19">
        <f t="shared" si="117"/>
        <v>0.39581300714043621</v>
      </c>
      <c r="F390" s="19">
        <f t="shared" si="118"/>
        <v>1.824997644886003</v>
      </c>
      <c r="G390" s="19">
        <f t="shared" si="119"/>
        <v>1.824997644886003</v>
      </c>
      <c r="H390" s="19">
        <f t="shared" si="120"/>
        <v>1.824997644886003</v>
      </c>
      <c r="I390" s="17"/>
      <c r="J390" s="19">
        <f t="shared" si="121"/>
        <v>52.593079226595123</v>
      </c>
      <c r="K390" s="19">
        <f t="shared" si="122"/>
        <v>0.72180846556898925</v>
      </c>
      <c r="L390" s="19">
        <f t="shared" si="123"/>
        <v>1.452033000869865</v>
      </c>
      <c r="M390" s="19">
        <f t="shared" si="124"/>
        <v>1.452033000869865</v>
      </c>
      <c r="N390" s="19">
        <f t="shared" si="125"/>
        <v>1.452033000869865</v>
      </c>
      <c r="O390" s="17"/>
      <c r="P390" s="19">
        <f t="shared" si="115"/>
        <v>18.809601843658378</v>
      </c>
      <c r="Q390" s="19">
        <f t="shared" si="130"/>
        <v>69.726437692715578</v>
      </c>
      <c r="R390" s="19">
        <f t="shared" si="131"/>
        <v>0</v>
      </c>
      <c r="S390" s="19">
        <f t="shared" si="132"/>
        <v>0</v>
      </c>
      <c r="T390" s="19">
        <f t="shared" si="133"/>
        <v>0</v>
      </c>
      <c r="U390" s="17"/>
      <c r="V390" s="19">
        <f t="shared" si="126"/>
        <v>88.536039536373949</v>
      </c>
      <c r="W390" s="17"/>
      <c r="X390" s="19">
        <f t="shared" si="127"/>
        <v>0.99934103584631384</v>
      </c>
      <c r="Y390" s="19">
        <f t="shared" si="128"/>
        <v>0.99967046362604606</v>
      </c>
      <c r="Z390" s="19"/>
      <c r="AA390" s="19">
        <f t="shared" si="129"/>
        <v>6.4968397254060958E-6</v>
      </c>
    </row>
    <row r="391" spans="2:27" x14ac:dyDescent="0.35">
      <c r="B391" s="27">
        <v>35.299999999999997</v>
      </c>
      <c r="C391" s="27">
        <v>71.785709999999995</v>
      </c>
      <c r="D391" s="19">
        <f t="shared" si="116"/>
        <v>56.696163102465825</v>
      </c>
      <c r="E391" s="19">
        <f t="shared" si="117"/>
        <v>0.40193793596755834</v>
      </c>
      <c r="F391" s="19">
        <f t="shared" si="118"/>
        <v>1.8361087559971137</v>
      </c>
      <c r="G391" s="19">
        <f t="shared" si="119"/>
        <v>1.8361087559971137</v>
      </c>
      <c r="H391" s="19">
        <f t="shared" si="120"/>
        <v>1.8361087559971137</v>
      </c>
      <c r="I391" s="17"/>
      <c r="J391" s="19">
        <f t="shared" si="121"/>
        <v>52.730960336748154</v>
      </c>
      <c r="K391" s="19">
        <f t="shared" si="122"/>
        <v>0.72437878108282761</v>
      </c>
      <c r="L391" s="19">
        <f t="shared" si="123"/>
        <v>1.458618797294978</v>
      </c>
      <c r="M391" s="19">
        <f t="shared" si="124"/>
        <v>1.458618797294978</v>
      </c>
      <c r="N391" s="19">
        <f t="shared" si="125"/>
        <v>1.458618797294978</v>
      </c>
      <c r="O391" s="17"/>
      <c r="P391" s="19">
        <f t="shared" si="115"/>
        <v>18.712276586727874</v>
      </c>
      <c r="Q391" s="19">
        <f t="shared" si="130"/>
        <v>69.375463468635388</v>
      </c>
      <c r="R391" s="19">
        <f t="shared" si="131"/>
        <v>0</v>
      </c>
      <c r="S391" s="19">
        <f t="shared" si="132"/>
        <v>0</v>
      </c>
      <c r="T391" s="19">
        <f t="shared" si="133"/>
        <v>0</v>
      </c>
      <c r="U391" s="17"/>
      <c r="V391" s="19">
        <f t="shared" si="126"/>
        <v>88.08774005536327</v>
      </c>
      <c r="W391" s="17"/>
      <c r="X391" s="19">
        <f t="shared" si="127"/>
        <v>265.75618392596755</v>
      </c>
      <c r="Y391" s="19">
        <f t="shared" si="128"/>
        <v>16.302030055363275</v>
      </c>
      <c r="Z391" s="19"/>
      <c r="AA391" s="19">
        <f t="shared" si="129"/>
        <v>1.0594658972345851E-4</v>
      </c>
    </row>
    <row r="392" spans="2:27" x14ac:dyDescent="0.35">
      <c r="B392" s="27">
        <v>35.4</v>
      </c>
      <c r="C392" s="27">
        <v>99.535709999999995</v>
      </c>
      <c r="D392" s="19">
        <f t="shared" si="116"/>
        <v>56.836662440888318</v>
      </c>
      <c r="E392" s="19">
        <f t="shared" si="117"/>
        <v>0.4080628647946809</v>
      </c>
      <c r="F392" s="19">
        <f t="shared" si="118"/>
        <v>1.8472198671082247</v>
      </c>
      <c r="G392" s="19">
        <f t="shared" si="119"/>
        <v>1.8472198671082247</v>
      </c>
      <c r="H392" s="19">
        <f t="shared" si="120"/>
        <v>1.8472198671082247</v>
      </c>
      <c r="I392" s="17"/>
      <c r="J392" s="19">
        <f t="shared" si="121"/>
        <v>52.868848157199459</v>
      </c>
      <c r="K392" s="19">
        <f t="shared" si="122"/>
        <v>0.72695439651954408</v>
      </c>
      <c r="L392" s="19">
        <f t="shared" si="123"/>
        <v>1.4652167103948484</v>
      </c>
      <c r="M392" s="19">
        <f t="shared" si="124"/>
        <v>1.4652167103948484</v>
      </c>
      <c r="N392" s="19">
        <f t="shared" si="125"/>
        <v>1.4652167103948484</v>
      </c>
      <c r="O392" s="17"/>
      <c r="P392" s="19">
        <f t="shared" si="115"/>
        <v>18.615700095777036</v>
      </c>
      <c r="Q392" s="19">
        <f t="shared" si="130"/>
        <v>69.02656326475055</v>
      </c>
      <c r="R392" s="19">
        <f t="shared" si="131"/>
        <v>0</v>
      </c>
      <c r="S392" s="19">
        <f t="shared" si="132"/>
        <v>0</v>
      </c>
      <c r="T392" s="19">
        <f t="shared" si="133"/>
        <v>0</v>
      </c>
      <c r="U392" s="17"/>
      <c r="V392" s="19">
        <f t="shared" si="126"/>
        <v>87.642263360527579</v>
      </c>
      <c r="W392" s="17"/>
      <c r="X392" s="19">
        <f t="shared" si="127"/>
        <v>141.4540729659777</v>
      </c>
      <c r="Y392" s="19">
        <f t="shared" si="128"/>
        <v>11.893446639472415</v>
      </c>
      <c r="Z392" s="19"/>
      <c r="AA392" s="19">
        <f t="shared" si="129"/>
        <v>7.7295288208321911E-5</v>
      </c>
    </row>
    <row r="393" spans="2:27" x14ac:dyDescent="0.35">
      <c r="B393" s="27">
        <v>35.5</v>
      </c>
      <c r="C393" s="27">
        <v>86.035709999999995</v>
      </c>
      <c r="D393" s="19">
        <f t="shared" si="116"/>
        <v>56.977161779310812</v>
      </c>
      <c r="E393" s="19">
        <f t="shared" si="117"/>
        <v>0.41418779362180302</v>
      </c>
      <c r="F393" s="19">
        <f t="shared" si="118"/>
        <v>1.8583309782193362</v>
      </c>
      <c r="G393" s="19">
        <f t="shared" si="119"/>
        <v>1.8583309782193362</v>
      </c>
      <c r="H393" s="19">
        <f t="shared" si="120"/>
        <v>1.8583309782193362</v>
      </c>
      <c r="I393" s="17"/>
      <c r="J393" s="19">
        <f t="shared" si="121"/>
        <v>53.006742653964331</v>
      </c>
      <c r="K393" s="19">
        <f t="shared" si="122"/>
        <v>0.72953530696158586</v>
      </c>
      <c r="L393" s="19">
        <f t="shared" si="123"/>
        <v>1.4718266975120982</v>
      </c>
      <c r="M393" s="19">
        <f t="shared" si="124"/>
        <v>1.4718266975120982</v>
      </c>
      <c r="N393" s="19">
        <f t="shared" si="125"/>
        <v>1.4718266975120982</v>
      </c>
      <c r="O393" s="17"/>
      <c r="P393" s="19">
        <f t="shared" si="115"/>
        <v>18.519864745316124</v>
      </c>
      <c r="Q393" s="19">
        <f t="shared" si="130"/>
        <v>68.679723896437622</v>
      </c>
      <c r="R393" s="19">
        <f t="shared" si="131"/>
        <v>0</v>
      </c>
      <c r="S393" s="19">
        <f t="shared" si="132"/>
        <v>0</v>
      </c>
      <c r="T393" s="19">
        <f t="shared" si="133"/>
        <v>0</v>
      </c>
      <c r="U393" s="17"/>
      <c r="V393" s="19">
        <f t="shared" si="126"/>
        <v>87.199588641753749</v>
      </c>
      <c r="W393" s="17"/>
      <c r="X393" s="19">
        <f t="shared" si="127"/>
        <v>1.3546134927305644</v>
      </c>
      <c r="Y393" s="19">
        <f t="shared" si="128"/>
        <v>1.1638786417537546</v>
      </c>
      <c r="Z393" s="19"/>
      <c r="AA393" s="19">
        <f t="shared" si="129"/>
        <v>7.5640256168717609E-6</v>
      </c>
    </row>
    <row r="394" spans="2:27" x14ac:dyDescent="0.35">
      <c r="B394" s="27">
        <v>35.6</v>
      </c>
      <c r="C394" s="27">
        <v>67.785709999999995</v>
      </c>
      <c r="D394" s="19">
        <f t="shared" si="116"/>
        <v>57.117661117733299</v>
      </c>
      <c r="E394" s="19">
        <f t="shared" si="117"/>
        <v>0.42031272244892559</v>
      </c>
      <c r="F394" s="19">
        <f t="shared" si="118"/>
        <v>1.8694420893304478</v>
      </c>
      <c r="G394" s="19">
        <f t="shared" si="119"/>
        <v>1.8694420893304478</v>
      </c>
      <c r="H394" s="19">
        <f t="shared" si="120"/>
        <v>1.8694420893304478</v>
      </c>
      <c r="I394" s="17"/>
      <c r="J394" s="19">
        <f t="shared" si="121"/>
        <v>53.144643793313939</v>
      </c>
      <c r="K394" s="19">
        <f t="shared" si="122"/>
        <v>0.7321215074546672</v>
      </c>
      <c r="L394" s="19">
        <f t="shared" si="123"/>
        <v>1.478448716076497</v>
      </c>
      <c r="M394" s="19">
        <f t="shared" si="124"/>
        <v>1.478448716076497</v>
      </c>
      <c r="N394" s="19">
        <f t="shared" si="125"/>
        <v>1.478448716076497</v>
      </c>
      <c r="O394" s="17"/>
      <c r="P394" s="19">
        <f t="shared" si="115"/>
        <v>18.424763006320184</v>
      </c>
      <c r="Q394" s="19">
        <f t="shared" si="130"/>
        <v>68.334932263745813</v>
      </c>
      <c r="R394" s="19">
        <f t="shared" si="131"/>
        <v>0</v>
      </c>
      <c r="S394" s="19">
        <f t="shared" si="132"/>
        <v>0</v>
      </c>
      <c r="T394" s="19">
        <f t="shared" si="133"/>
        <v>0</v>
      </c>
      <c r="U394" s="17"/>
      <c r="V394" s="19">
        <f t="shared" si="126"/>
        <v>86.759695270066004</v>
      </c>
      <c r="W394" s="17"/>
      <c r="X394" s="19">
        <f t="shared" si="127"/>
        <v>360.01211702868187</v>
      </c>
      <c r="Y394" s="19">
        <f t="shared" si="128"/>
        <v>18.973985270066009</v>
      </c>
      <c r="Z394" s="19"/>
      <c r="AA394" s="19">
        <f t="shared" si="129"/>
        <v>1.2331157690175372E-4</v>
      </c>
    </row>
    <row r="395" spans="2:27" x14ac:dyDescent="0.35">
      <c r="B395" s="27">
        <v>35.700000000000003</v>
      </c>
      <c r="C395" s="27">
        <v>87.035709999999995</v>
      </c>
      <c r="D395" s="19">
        <f t="shared" si="116"/>
        <v>57.258160456155792</v>
      </c>
      <c r="E395" s="19">
        <f t="shared" si="117"/>
        <v>0.42643765127604771</v>
      </c>
      <c r="F395" s="19">
        <f t="shared" si="118"/>
        <v>1.8805532004415584</v>
      </c>
      <c r="G395" s="19">
        <f t="shared" si="119"/>
        <v>1.8805532004415584</v>
      </c>
      <c r="H395" s="19">
        <f t="shared" si="120"/>
        <v>1.8805532004415584</v>
      </c>
      <c r="I395" s="17"/>
      <c r="J395" s="19">
        <f t="shared" si="121"/>
        <v>53.282551541772776</v>
      </c>
      <c r="K395" s="19">
        <f t="shared" si="122"/>
        <v>0.73471299300806125</v>
      </c>
      <c r="L395" s="19">
        <f t="shared" si="123"/>
        <v>1.4850827236062616</v>
      </c>
      <c r="M395" s="19">
        <f t="shared" si="124"/>
        <v>1.4850827236062616</v>
      </c>
      <c r="N395" s="19">
        <f t="shared" si="125"/>
        <v>1.4850827236062616</v>
      </c>
      <c r="O395" s="17"/>
      <c r="P395" s="19">
        <f t="shared" si="115"/>
        <v>18.330387444772946</v>
      </c>
      <c r="Q395" s="19">
        <f t="shared" si="130"/>
        <v>67.992175350879535</v>
      </c>
      <c r="R395" s="19">
        <f t="shared" si="131"/>
        <v>0</v>
      </c>
      <c r="S395" s="19">
        <f t="shared" si="132"/>
        <v>0</v>
      </c>
      <c r="T395" s="19">
        <f t="shared" si="133"/>
        <v>0</v>
      </c>
      <c r="U395" s="17"/>
      <c r="V395" s="19">
        <f t="shared" si="126"/>
        <v>86.322562795652487</v>
      </c>
      <c r="W395" s="17"/>
      <c r="X395" s="19">
        <f t="shared" si="127"/>
        <v>0.50857893506866503</v>
      </c>
      <c r="Y395" s="19">
        <f t="shared" si="128"/>
        <v>0.71314720434750711</v>
      </c>
      <c r="Z395" s="19"/>
      <c r="AA395" s="19">
        <f t="shared" si="129"/>
        <v>4.6347303995172937E-6</v>
      </c>
    </row>
    <row r="396" spans="2:27" x14ac:dyDescent="0.35">
      <c r="B396" s="27">
        <v>35.799999999999997</v>
      </c>
      <c r="C396" s="27">
        <v>78.535709999999995</v>
      </c>
      <c r="D396" s="19">
        <f t="shared" si="116"/>
        <v>57.398659794578279</v>
      </c>
      <c r="E396" s="19">
        <f t="shared" si="117"/>
        <v>0.43256258010316984</v>
      </c>
      <c r="F396" s="19">
        <f t="shared" si="118"/>
        <v>1.8916643115526695</v>
      </c>
      <c r="G396" s="19">
        <f t="shared" si="119"/>
        <v>1.8916643115526695</v>
      </c>
      <c r="H396" s="19">
        <f t="shared" si="120"/>
        <v>1.8916643115526695</v>
      </c>
      <c r="I396" s="17"/>
      <c r="J396" s="19">
        <f t="shared" si="121"/>
        <v>53.420465866116146</v>
      </c>
      <c r="K396" s="19">
        <f t="shared" si="122"/>
        <v>0.73730975859489856</v>
      </c>
      <c r="L396" s="19">
        <f t="shared" si="123"/>
        <v>1.4917286777093268</v>
      </c>
      <c r="M396" s="19">
        <f t="shared" si="124"/>
        <v>1.4917286777093268</v>
      </c>
      <c r="N396" s="19">
        <f t="shared" si="125"/>
        <v>1.4917286777093268</v>
      </c>
      <c r="O396" s="17"/>
      <c r="P396" s="19">
        <f t="shared" si="115"/>
        <v>18.236730720236213</v>
      </c>
      <c r="Q396" s="19">
        <f t="shared" si="130"/>
        <v>67.651440225682919</v>
      </c>
      <c r="R396" s="19">
        <f t="shared" si="131"/>
        <v>0</v>
      </c>
      <c r="S396" s="19">
        <f t="shared" si="132"/>
        <v>0</v>
      </c>
      <c r="T396" s="19">
        <f t="shared" si="133"/>
        <v>0</v>
      </c>
      <c r="U396" s="17"/>
      <c r="V396" s="19">
        <f t="shared" si="126"/>
        <v>85.888170945919128</v>
      </c>
      <c r="W396" s="17"/>
      <c r="X396" s="19">
        <f t="shared" si="127"/>
        <v>54.058681961266082</v>
      </c>
      <c r="Y396" s="19">
        <f t="shared" si="128"/>
        <v>7.3524609459191339</v>
      </c>
      <c r="Z396" s="19"/>
      <c r="AA396" s="19">
        <f t="shared" si="129"/>
        <v>4.7783506756495646E-5</v>
      </c>
    </row>
    <row r="397" spans="2:27" x14ac:dyDescent="0.35">
      <c r="B397" s="27">
        <v>35.9</v>
      </c>
      <c r="C397" s="27">
        <v>76.285709999999995</v>
      </c>
      <c r="D397" s="19">
        <f t="shared" si="116"/>
        <v>57.539159133000773</v>
      </c>
      <c r="E397" s="19">
        <f t="shared" si="117"/>
        <v>0.43868750893029196</v>
      </c>
      <c r="F397" s="19">
        <f t="shared" si="118"/>
        <v>1.9027754226637801</v>
      </c>
      <c r="G397" s="19">
        <f t="shared" si="119"/>
        <v>1.9027754226637801</v>
      </c>
      <c r="H397" s="19">
        <f t="shared" si="120"/>
        <v>1.9027754226637801</v>
      </c>
      <c r="I397" s="17"/>
      <c r="J397" s="19">
        <f t="shared" si="121"/>
        <v>53.558386733367669</v>
      </c>
      <c r="K397" s="19">
        <f t="shared" si="122"/>
        <v>0.73991179915245975</v>
      </c>
      <c r="L397" s="19">
        <f t="shared" si="123"/>
        <v>1.4983865360845829</v>
      </c>
      <c r="M397" s="19">
        <f t="shared" si="124"/>
        <v>1.4983865360845829</v>
      </c>
      <c r="N397" s="19">
        <f t="shared" si="125"/>
        <v>1.4983865360845829</v>
      </c>
      <c r="O397" s="17"/>
      <c r="P397" s="19">
        <f t="shared" si="115"/>
        <v>18.143785584444291</v>
      </c>
      <c r="Q397" s="19">
        <f t="shared" si="130"/>
        <v>67.312714039127968</v>
      </c>
      <c r="R397" s="19">
        <f t="shared" si="131"/>
        <v>0</v>
      </c>
      <c r="S397" s="19">
        <f t="shared" si="132"/>
        <v>0</v>
      </c>
      <c r="T397" s="19">
        <f t="shared" si="133"/>
        <v>0</v>
      </c>
      <c r="U397" s="17"/>
      <c r="V397" s="19">
        <f t="shared" si="126"/>
        <v>85.456499623572256</v>
      </c>
      <c r="W397" s="17"/>
      <c r="X397" s="19">
        <f t="shared" si="127"/>
        <v>84.103382319820668</v>
      </c>
      <c r="Y397" s="19">
        <f t="shared" si="128"/>
        <v>9.1707896235722615</v>
      </c>
      <c r="Z397" s="19"/>
      <c r="AA397" s="19">
        <f t="shared" si="129"/>
        <v>5.9600790968306767E-5</v>
      </c>
    </row>
    <row r="398" spans="2:27" x14ac:dyDescent="0.35">
      <c r="B398" s="27">
        <v>36</v>
      </c>
      <c r="C398" s="27">
        <v>87.785709999999995</v>
      </c>
      <c r="D398" s="19">
        <f t="shared" si="116"/>
        <v>57.679658471423267</v>
      </c>
      <c r="E398" s="19">
        <f t="shared" si="117"/>
        <v>0.44481243775741452</v>
      </c>
      <c r="F398" s="19">
        <f t="shared" si="118"/>
        <v>1.9138865337748916</v>
      </c>
      <c r="G398" s="19">
        <f t="shared" si="119"/>
        <v>1.9138865337748916</v>
      </c>
      <c r="H398" s="19">
        <f t="shared" si="120"/>
        <v>1.9138865337748916</v>
      </c>
      <c r="I398" s="17"/>
      <c r="J398" s="19">
        <f t="shared" si="121"/>
        <v>53.696314110796827</v>
      </c>
      <c r="K398" s="19">
        <f t="shared" si="122"/>
        <v>0.74251910958247236</v>
      </c>
      <c r="L398" s="19">
        <f t="shared" si="123"/>
        <v>1.5050562565230938</v>
      </c>
      <c r="M398" s="19">
        <f t="shared" si="124"/>
        <v>1.5050562565230938</v>
      </c>
      <c r="N398" s="19">
        <f t="shared" si="125"/>
        <v>1.5050562565230938</v>
      </c>
      <c r="O398" s="17"/>
      <c r="P398" s="19">
        <f t="shared" si="115"/>
        <v>18.051544879922897</v>
      </c>
      <c r="Q398" s="19">
        <f t="shared" si="130"/>
        <v>66.975984024804873</v>
      </c>
      <c r="R398" s="19">
        <f t="shared" si="131"/>
        <v>0</v>
      </c>
      <c r="S398" s="19">
        <f t="shared" si="132"/>
        <v>0</v>
      </c>
      <c r="T398" s="19">
        <f t="shared" si="133"/>
        <v>0</v>
      </c>
      <c r="U398" s="17"/>
      <c r="V398" s="19">
        <f t="shared" si="126"/>
        <v>85.027528904727774</v>
      </c>
      <c r="W398" s="17"/>
      <c r="X398" s="19">
        <f t="shared" si="127"/>
        <v>7.6075629543170677</v>
      </c>
      <c r="Y398" s="19">
        <f t="shared" si="128"/>
        <v>2.7581810952722208</v>
      </c>
      <c r="Z398" s="19"/>
      <c r="AA398" s="19">
        <f t="shared" si="129"/>
        <v>1.7925367570259554E-5</v>
      </c>
    </row>
    <row r="399" spans="2:27" x14ac:dyDescent="0.35">
      <c r="B399" s="27">
        <v>36.1</v>
      </c>
      <c r="C399" s="27">
        <v>80.535709999999995</v>
      </c>
      <c r="D399" s="19">
        <f t="shared" si="116"/>
        <v>57.820157809845753</v>
      </c>
      <c r="E399" s="19">
        <f t="shared" si="117"/>
        <v>0.45093736658453709</v>
      </c>
      <c r="F399" s="19">
        <f t="shared" si="118"/>
        <v>1.9249976448860027</v>
      </c>
      <c r="G399" s="19">
        <f t="shared" si="119"/>
        <v>1.9249976448860027</v>
      </c>
      <c r="H399" s="19">
        <f t="shared" si="120"/>
        <v>1.9249976448860027</v>
      </c>
      <c r="I399" s="17"/>
      <c r="J399" s="19">
        <f t="shared" si="121"/>
        <v>53.834247965916539</v>
      </c>
      <c r="K399" s="19">
        <f t="shared" si="122"/>
        <v>0.74513168475140368</v>
      </c>
      <c r="L399" s="19">
        <f t="shared" si="123"/>
        <v>1.5117377969092778</v>
      </c>
      <c r="M399" s="19">
        <f t="shared" si="124"/>
        <v>1.5117377969092778</v>
      </c>
      <c r="N399" s="19">
        <f t="shared" si="125"/>
        <v>1.5117377969092778</v>
      </c>
      <c r="O399" s="17"/>
      <c r="P399" s="19">
        <f t="shared" si="115"/>
        <v>17.960001538632074</v>
      </c>
      <c r="Q399" s="19">
        <f t="shared" si="130"/>
        <v>66.641237498415762</v>
      </c>
      <c r="R399" s="19">
        <f t="shared" si="131"/>
        <v>0</v>
      </c>
      <c r="S399" s="19">
        <f t="shared" si="132"/>
        <v>0</v>
      </c>
      <c r="T399" s="19">
        <f t="shared" si="133"/>
        <v>0</v>
      </c>
      <c r="U399" s="17"/>
      <c r="V399" s="19">
        <f t="shared" si="126"/>
        <v>84.601239037047833</v>
      </c>
      <c r="W399" s="17"/>
      <c r="X399" s="19">
        <f t="shared" si="127"/>
        <v>16.528526351079122</v>
      </c>
      <c r="Y399" s="19">
        <f t="shared" si="128"/>
        <v>4.0655290370478383</v>
      </c>
      <c r="Z399" s="19"/>
      <c r="AA399" s="19">
        <f t="shared" si="129"/>
        <v>2.6421797496024571E-5</v>
      </c>
    </row>
    <row r="400" spans="2:27" x14ac:dyDescent="0.35">
      <c r="B400" s="27">
        <v>36.200000000000003</v>
      </c>
      <c r="C400" s="27">
        <v>102.28570999999999</v>
      </c>
      <c r="D400" s="19">
        <f t="shared" si="116"/>
        <v>57.960657148268247</v>
      </c>
      <c r="E400" s="19">
        <f t="shared" si="117"/>
        <v>0.45706229541165921</v>
      </c>
      <c r="F400" s="19">
        <f t="shared" si="118"/>
        <v>1.9361087559971146</v>
      </c>
      <c r="G400" s="19">
        <f t="shared" si="119"/>
        <v>1.9361087559971146</v>
      </c>
      <c r="H400" s="19">
        <f t="shared" si="120"/>
        <v>1.9361087559971146</v>
      </c>
      <c r="I400" s="17"/>
      <c r="J400" s="19">
        <f t="shared" si="121"/>
        <v>53.972188266480771</v>
      </c>
      <c r="K400" s="19">
        <f t="shared" si="122"/>
        <v>0.74774951949075663</v>
      </c>
      <c r="L400" s="19">
        <f t="shared" si="123"/>
        <v>1.5184311152220695</v>
      </c>
      <c r="M400" s="19">
        <f t="shared" si="124"/>
        <v>1.5184311152220695</v>
      </c>
      <c r="N400" s="19">
        <f t="shared" si="125"/>
        <v>1.5184311152220695</v>
      </c>
      <c r="O400" s="17"/>
      <c r="P400" s="19">
        <f t="shared" si="115"/>
        <v>17.869148580632665</v>
      </c>
      <c r="Q400" s="19">
        <f t="shared" si="130"/>
        <v>66.308461857270771</v>
      </c>
      <c r="R400" s="19">
        <f t="shared" si="131"/>
        <v>0</v>
      </c>
      <c r="S400" s="19">
        <f t="shared" si="132"/>
        <v>0</v>
      </c>
      <c r="T400" s="19">
        <f t="shared" si="133"/>
        <v>0</v>
      </c>
      <c r="U400" s="17"/>
      <c r="V400" s="19">
        <f t="shared" si="126"/>
        <v>84.177610437903439</v>
      </c>
      <c r="W400" s="17"/>
      <c r="X400" s="19">
        <f t="shared" si="127"/>
        <v>327.90326975080143</v>
      </c>
      <c r="Y400" s="19">
        <f t="shared" si="128"/>
        <v>18.108099562096555</v>
      </c>
      <c r="Z400" s="19"/>
      <c r="AA400" s="19">
        <f t="shared" si="129"/>
        <v>1.1768420181177434E-4</v>
      </c>
    </row>
    <row r="401" spans="2:27" x14ac:dyDescent="0.35">
      <c r="B401" s="27">
        <v>36.299999999999997</v>
      </c>
      <c r="C401" s="27">
        <v>86.535709999999995</v>
      </c>
      <c r="D401" s="19">
        <f t="shared" si="116"/>
        <v>58.101156486690734</v>
      </c>
      <c r="E401" s="19">
        <f t="shared" si="117"/>
        <v>0.46318722423878089</v>
      </c>
      <c r="F401" s="19">
        <f t="shared" si="118"/>
        <v>1.9472198671082248</v>
      </c>
      <c r="G401" s="19">
        <f t="shared" si="119"/>
        <v>1.9472198671082248</v>
      </c>
      <c r="H401" s="19">
        <f t="shared" si="120"/>
        <v>1.9472198671082248</v>
      </c>
      <c r="I401" s="17"/>
      <c r="J401" s="19">
        <f t="shared" si="121"/>
        <v>54.110134980482151</v>
      </c>
      <c r="K401" s="19">
        <f t="shared" si="122"/>
        <v>0.75037260859736465</v>
      </c>
      <c r="L401" s="19">
        <f t="shared" si="123"/>
        <v>1.5251361695360497</v>
      </c>
      <c r="M401" s="19">
        <f t="shared" si="124"/>
        <v>1.5251361695360497</v>
      </c>
      <c r="N401" s="19">
        <f t="shared" si="125"/>
        <v>1.5251361695360497</v>
      </c>
      <c r="O401" s="17"/>
      <c r="P401" s="19">
        <f t="shared" si="115"/>
        <v>17.778979112775886</v>
      </c>
      <c r="Q401" s="19">
        <f t="shared" si="130"/>
        <v>65.97764457978694</v>
      </c>
      <c r="R401" s="19">
        <f t="shared" si="131"/>
        <v>0</v>
      </c>
      <c r="S401" s="19">
        <f t="shared" si="132"/>
        <v>0</v>
      </c>
      <c r="T401" s="19">
        <f t="shared" si="133"/>
        <v>0</v>
      </c>
      <c r="U401" s="17"/>
      <c r="V401" s="19">
        <f t="shared" si="126"/>
        <v>83.756623692562826</v>
      </c>
      <c r="W401" s="17"/>
      <c r="X401" s="19">
        <f t="shared" si="127"/>
        <v>7.7233207041847569</v>
      </c>
      <c r="Y401" s="19">
        <f t="shared" si="128"/>
        <v>2.7790863074371686</v>
      </c>
      <c r="Z401" s="19"/>
      <c r="AA401" s="19">
        <f t="shared" si="129"/>
        <v>1.8061230154784288E-5</v>
      </c>
    </row>
    <row r="402" spans="2:27" x14ac:dyDescent="0.35">
      <c r="B402" s="27">
        <v>36.4</v>
      </c>
      <c r="C402" s="27">
        <v>72.785709999999995</v>
      </c>
      <c r="D402" s="19">
        <f t="shared" si="116"/>
        <v>58.241655825113227</v>
      </c>
      <c r="E402" s="19">
        <f t="shared" si="117"/>
        <v>0.46931215306590346</v>
      </c>
      <c r="F402" s="19">
        <f t="shared" si="118"/>
        <v>1.9583309782193359</v>
      </c>
      <c r="G402" s="19">
        <f t="shared" si="119"/>
        <v>1.9583309782193359</v>
      </c>
      <c r="H402" s="19">
        <f t="shared" si="120"/>
        <v>1.9583309782193359</v>
      </c>
      <c r="I402" s="17"/>
      <c r="J402" s="19">
        <f t="shared" si="121"/>
        <v>54.248088076149649</v>
      </c>
      <c r="K402" s="19">
        <f t="shared" si="122"/>
        <v>0.75300094683368501</v>
      </c>
      <c r="L402" s="19">
        <f t="shared" si="123"/>
        <v>1.5318529180225515</v>
      </c>
      <c r="M402" s="19">
        <f t="shared" si="124"/>
        <v>1.5318529180225515</v>
      </c>
      <c r="N402" s="19">
        <f t="shared" si="125"/>
        <v>1.5318529180225515</v>
      </c>
      <c r="O402" s="17"/>
      <c r="P402" s="19">
        <f t="shared" si="115"/>
        <v>17.689486327415487</v>
      </c>
      <c r="Q402" s="19">
        <f t="shared" si="130"/>
        <v>65.648773224990123</v>
      </c>
      <c r="R402" s="19">
        <f t="shared" si="131"/>
        <v>0</v>
      </c>
      <c r="S402" s="19">
        <f t="shared" si="132"/>
        <v>0</v>
      </c>
      <c r="T402" s="19">
        <f t="shared" si="133"/>
        <v>0</v>
      </c>
      <c r="U402" s="17"/>
      <c r="V402" s="19">
        <f t="shared" si="126"/>
        <v>83.338259552405617</v>
      </c>
      <c r="W402" s="17"/>
      <c r="X402" s="19">
        <f t="shared" si="127"/>
        <v>111.3563020559761</v>
      </c>
      <c r="Y402" s="19">
        <f t="shared" si="128"/>
        <v>10.552549552405623</v>
      </c>
      <c r="Z402" s="19"/>
      <c r="AA402" s="19">
        <f t="shared" si="129"/>
        <v>6.8580823012123361E-5</v>
      </c>
    </row>
    <row r="403" spans="2:27" x14ac:dyDescent="0.35">
      <c r="B403" s="27">
        <v>36.5</v>
      </c>
      <c r="C403" s="27">
        <v>91.285709999999995</v>
      </c>
      <c r="D403" s="19">
        <f t="shared" si="116"/>
        <v>58.382155163535714</v>
      </c>
      <c r="E403" s="19">
        <f t="shared" si="117"/>
        <v>0.47543708189302558</v>
      </c>
      <c r="F403" s="19">
        <f t="shared" si="118"/>
        <v>1.9694420893304478</v>
      </c>
      <c r="G403" s="19">
        <f t="shared" si="119"/>
        <v>1.9694420893304478</v>
      </c>
      <c r="H403" s="19">
        <f t="shared" si="120"/>
        <v>1.9694420893304478</v>
      </c>
      <c r="I403" s="17"/>
      <c r="J403" s="19">
        <f t="shared" si="121"/>
        <v>54.386047521946267</v>
      </c>
      <c r="K403" s="19">
        <f t="shared" si="122"/>
        <v>0.75563452892809324</v>
      </c>
      <c r="L403" s="19">
        <f t="shared" si="123"/>
        <v>1.5385813189507378</v>
      </c>
      <c r="M403" s="19">
        <f t="shared" si="124"/>
        <v>1.5385813189507378</v>
      </c>
      <c r="N403" s="19">
        <f t="shared" si="125"/>
        <v>1.5385813189507378</v>
      </c>
      <c r="O403" s="17"/>
      <c r="P403" s="19">
        <f t="shared" si="115"/>
        <v>17.60066350114209</v>
      </c>
      <c r="Q403" s="19">
        <f t="shared" si="130"/>
        <v>65.32183543201954</v>
      </c>
      <c r="R403" s="19">
        <f t="shared" si="131"/>
        <v>0</v>
      </c>
      <c r="S403" s="19">
        <f t="shared" si="132"/>
        <v>0</v>
      </c>
      <c r="T403" s="19">
        <f t="shared" si="133"/>
        <v>0</v>
      </c>
      <c r="U403" s="17"/>
      <c r="V403" s="19">
        <f t="shared" si="126"/>
        <v>82.922498933161634</v>
      </c>
      <c r="W403" s="17"/>
      <c r="X403" s="19">
        <f t="shared" si="127"/>
        <v>69.943299348487628</v>
      </c>
      <c r="Y403" s="19">
        <f t="shared" si="128"/>
        <v>8.3632110668383604</v>
      </c>
      <c r="Z403" s="19"/>
      <c r="AA403" s="19">
        <f t="shared" si="129"/>
        <v>5.4352352968304396E-5</v>
      </c>
    </row>
    <row r="404" spans="2:27" x14ac:dyDescent="0.35">
      <c r="B404" s="27">
        <v>36.6</v>
      </c>
      <c r="C404" s="27">
        <v>77.535709999999995</v>
      </c>
      <c r="D404" s="19">
        <f t="shared" si="116"/>
        <v>58.522654501958208</v>
      </c>
      <c r="E404" s="19">
        <f t="shared" si="117"/>
        <v>0.48156201072014815</v>
      </c>
      <c r="F404" s="19">
        <f t="shared" si="118"/>
        <v>1.980553200441558</v>
      </c>
      <c r="G404" s="19">
        <f t="shared" si="119"/>
        <v>1.980553200441558</v>
      </c>
      <c r="H404" s="19">
        <f t="shared" si="120"/>
        <v>1.980553200441558</v>
      </c>
      <c r="I404" s="17"/>
      <c r="J404" s="19">
        <f t="shared" si="121"/>
        <v>54.524013286566735</v>
      </c>
      <c r="K404" s="19">
        <f t="shared" si="122"/>
        <v>0.75827334957517678</v>
      </c>
      <c r="L404" s="19">
        <f t="shared" si="123"/>
        <v>1.5453213306886515</v>
      </c>
      <c r="M404" s="19">
        <f t="shared" si="124"/>
        <v>1.5453213306886515</v>
      </c>
      <c r="N404" s="19">
        <f t="shared" si="125"/>
        <v>1.5453213306886515</v>
      </c>
      <c r="O404" s="17"/>
      <c r="P404" s="19">
        <f t="shared" si="115"/>
        <v>17.512503993539326</v>
      </c>
      <c r="Q404" s="19">
        <f t="shared" si="130"/>
        <v>64.996818919634947</v>
      </c>
      <c r="R404" s="19">
        <f t="shared" si="131"/>
        <v>0</v>
      </c>
      <c r="S404" s="19">
        <f t="shared" si="132"/>
        <v>0</v>
      </c>
      <c r="T404" s="19">
        <f t="shared" si="133"/>
        <v>0</v>
      </c>
      <c r="U404" s="17"/>
      <c r="V404" s="19">
        <f t="shared" si="126"/>
        <v>82.509322913174273</v>
      </c>
      <c r="W404" s="17"/>
      <c r="X404" s="19">
        <f t="shared" si="127"/>
        <v>24.736825410093935</v>
      </c>
      <c r="Y404" s="19">
        <f t="shared" si="128"/>
        <v>4.9736129131742786</v>
      </c>
      <c r="Z404" s="19"/>
      <c r="AA404" s="19">
        <f t="shared" si="129"/>
        <v>3.2323417694964386E-5</v>
      </c>
    </row>
    <row r="405" spans="2:27" x14ac:dyDescent="0.35">
      <c r="B405" s="27">
        <v>36.700000000000003</v>
      </c>
      <c r="C405" s="27">
        <v>77.535709999999995</v>
      </c>
      <c r="D405" s="19">
        <f t="shared" si="116"/>
        <v>58.663153840380701</v>
      </c>
      <c r="E405" s="19">
        <f t="shared" si="117"/>
        <v>0.48768693954727071</v>
      </c>
      <c r="F405" s="19">
        <f t="shared" si="118"/>
        <v>1.99166431155267</v>
      </c>
      <c r="G405" s="19">
        <f t="shared" si="119"/>
        <v>1.99166431155267</v>
      </c>
      <c r="H405" s="19">
        <f t="shared" si="120"/>
        <v>1.99166431155267</v>
      </c>
      <c r="I405" s="17"/>
      <c r="J405" s="19">
        <f t="shared" si="121"/>
        <v>54.661985338935281</v>
      </c>
      <c r="K405" s="19">
        <f t="shared" si="122"/>
        <v>0.76091740343602909</v>
      </c>
      <c r="L405" s="19">
        <f t="shared" si="123"/>
        <v>1.5520729117042487</v>
      </c>
      <c r="M405" s="19">
        <f t="shared" si="124"/>
        <v>1.5520729117042487</v>
      </c>
      <c r="N405" s="19">
        <f t="shared" si="125"/>
        <v>1.5520729117042487</v>
      </c>
      <c r="O405" s="17"/>
      <c r="P405" s="19">
        <f t="shared" si="115"/>
        <v>17.425001245961237</v>
      </c>
      <c r="Q405" s="19">
        <f t="shared" si="130"/>
        <v>64.673711485726599</v>
      </c>
      <c r="R405" s="19">
        <f t="shared" si="131"/>
        <v>0</v>
      </c>
      <c r="S405" s="19">
        <f t="shared" si="132"/>
        <v>0</v>
      </c>
      <c r="T405" s="19">
        <f t="shared" si="133"/>
        <v>0</v>
      </c>
      <c r="U405" s="17"/>
      <c r="V405" s="19">
        <f t="shared" si="126"/>
        <v>82.09871273168784</v>
      </c>
      <c r="W405" s="17"/>
      <c r="X405" s="19">
        <f t="shared" si="127"/>
        <v>20.820993929390738</v>
      </c>
      <c r="Y405" s="19">
        <f t="shared" si="128"/>
        <v>4.5630027316878454</v>
      </c>
      <c r="Z405" s="19"/>
      <c r="AA405" s="19">
        <f t="shared" si="129"/>
        <v>2.965486977262107E-5</v>
      </c>
    </row>
    <row r="406" spans="2:27" x14ac:dyDescent="0.35">
      <c r="B406" s="27">
        <v>36.799999999999997</v>
      </c>
      <c r="C406" s="27">
        <v>97.285709999999995</v>
      </c>
      <c r="D406" s="19">
        <f t="shared" si="116"/>
        <v>58.803653178803188</v>
      </c>
      <c r="E406" s="19">
        <f t="shared" si="117"/>
        <v>0.49381186837439239</v>
      </c>
      <c r="F406" s="19">
        <f t="shared" si="118"/>
        <v>2.0027754226637802</v>
      </c>
      <c r="G406" s="19">
        <f t="shared" si="119"/>
        <v>2.0027754226637802</v>
      </c>
      <c r="H406" s="19">
        <f t="shared" si="120"/>
        <v>2.0027754226637802</v>
      </c>
      <c r="I406" s="17"/>
      <c r="J406" s="19">
        <f t="shared" si="121"/>
        <v>54.799963648203388</v>
      </c>
      <c r="K406" s="19">
        <f t="shared" si="122"/>
        <v>0.76356668513854209</v>
      </c>
      <c r="L406" s="19">
        <f t="shared" si="123"/>
        <v>1.5588360205663911</v>
      </c>
      <c r="M406" s="19">
        <f t="shared" si="124"/>
        <v>1.5588360205663911</v>
      </c>
      <c r="N406" s="19">
        <f t="shared" si="125"/>
        <v>1.5588360205663911</v>
      </c>
      <c r="O406" s="17"/>
      <c r="P406" s="19">
        <f t="shared" si="115"/>
        <v>17.338148780330602</v>
      </c>
      <c r="Q406" s="19">
        <f t="shared" si="130"/>
        <v>64.352501006828049</v>
      </c>
      <c r="R406" s="19">
        <f t="shared" si="131"/>
        <v>0</v>
      </c>
      <c r="S406" s="19">
        <f t="shared" si="132"/>
        <v>0</v>
      </c>
      <c r="T406" s="19">
        <f t="shared" si="133"/>
        <v>0</v>
      </c>
      <c r="U406" s="17"/>
      <c r="V406" s="19">
        <f t="shared" si="126"/>
        <v>81.690649787158648</v>
      </c>
      <c r="W406" s="17"/>
      <c r="X406" s="19">
        <f t="shared" si="127"/>
        <v>243.20590304214718</v>
      </c>
      <c r="Y406" s="19">
        <f t="shared" si="128"/>
        <v>15.595060212841346</v>
      </c>
      <c r="Z406" s="19"/>
      <c r="AA406" s="19">
        <f t="shared" si="129"/>
        <v>1.0135200588339948E-4</v>
      </c>
    </row>
    <row r="407" spans="2:27" x14ac:dyDescent="0.35">
      <c r="B407" s="27">
        <v>36.9</v>
      </c>
      <c r="C407" s="27">
        <v>82.285709999999995</v>
      </c>
      <c r="D407" s="19">
        <f t="shared" si="116"/>
        <v>58.944152517225682</v>
      </c>
      <c r="E407" s="19">
        <f t="shared" si="117"/>
        <v>0.49993679720151452</v>
      </c>
      <c r="F407" s="19">
        <f t="shared" si="118"/>
        <v>2.0138865337748912</v>
      </c>
      <c r="G407" s="19">
        <f t="shared" si="119"/>
        <v>2.0138865337748912</v>
      </c>
      <c r="H407" s="19">
        <f t="shared" si="120"/>
        <v>2.0138865337748912</v>
      </c>
      <c r="I407" s="17"/>
      <c r="J407" s="19">
        <f t="shared" si="121"/>
        <v>54.937948183747622</v>
      </c>
      <c r="K407" s="19">
        <f t="shared" si="122"/>
        <v>0.76622118927770011</v>
      </c>
      <c r="L407" s="19">
        <f t="shared" si="123"/>
        <v>1.5656106159458314</v>
      </c>
      <c r="M407" s="19">
        <f t="shared" si="124"/>
        <v>1.5656106159458314</v>
      </c>
      <c r="N407" s="19">
        <f t="shared" si="125"/>
        <v>1.5656106159458314</v>
      </c>
      <c r="O407" s="17"/>
      <c r="P407" s="19">
        <f t="shared" si="115"/>
        <v>17.251940197957762</v>
      </c>
      <c r="Q407" s="19">
        <f t="shared" si="130"/>
        <v>64.033175437631442</v>
      </c>
      <c r="R407" s="19">
        <f t="shared" si="131"/>
        <v>0</v>
      </c>
      <c r="S407" s="19">
        <f t="shared" si="132"/>
        <v>0</v>
      </c>
      <c r="T407" s="19">
        <f t="shared" si="133"/>
        <v>0</v>
      </c>
      <c r="U407" s="17"/>
      <c r="V407" s="19">
        <f t="shared" si="126"/>
        <v>81.285115635589207</v>
      </c>
      <c r="W407" s="17"/>
      <c r="X407" s="19">
        <f t="shared" si="127"/>
        <v>1.0011890820906275</v>
      </c>
      <c r="Y407" s="19">
        <f t="shared" si="128"/>
        <v>1.0005943644107873</v>
      </c>
      <c r="Z407" s="19"/>
      <c r="AA407" s="19">
        <f t="shared" si="129"/>
        <v>6.5028441393995513E-6</v>
      </c>
    </row>
    <row r="408" spans="2:27" x14ac:dyDescent="0.35">
      <c r="B408" s="27">
        <v>37</v>
      </c>
      <c r="C408" s="27">
        <v>71.785709999999995</v>
      </c>
      <c r="D408" s="19">
        <f t="shared" si="116"/>
        <v>59.084651855648168</v>
      </c>
      <c r="E408" s="19">
        <f t="shared" si="117"/>
        <v>0.50606172602863708</v>
      </c>
      <c r="F408" s="19">
        <f t="shared" si="118"/>
        <v>2.0249976448860032</v>
      </c>
      <c r="G408" s="19">
        <f t="shared" si="119"/>
        <v>2.0249976448860032</v>
      </c>
      <c r="H408" s="19">
        <f t="shared" si="120"/>
        <v>2.0249976448860032</v>
      </c>
      <c r="I408" s="17"/>
      <c r="J408" s="19">
        <f t="shared" si="121"/>
        <v>55.075938915167399</v>
      </c>
      <c r="K408" s="19">
        <f t="shared" si="122"/>
        <v>0.76888091041587192</v>
      </c>
      <c r="L408" s="19">
        <f t="shared" si="123"/>
        <v>1.5723966566161587</v>
      </c>
      <c r="M408" s="19">
        <f t="shared" si="124"/>
        <v>1.5723966566161587</v>
      </c>
      <c r="N408" s="19">
        <f t="shared" si="125"/>
        <v>1.5723966566161587</v>
      </c>
      <c r="O408" s="17"/>
      <c r="P408" s="19">
        <f t="shared" si="115"/>
        <v>17.166369178379561</v>
      </c>
      <c r="Q408" s="19">
        <f t="shared" si="130"/>
        <v>63.715722810505603</v>
      </c>
      <c r="R408" s="19">
        <f t="shared" si="131"/>
        <v>0</v>
      </c>
      <c r="S408" s="19">
        <f t="shared" si="132"/>
        <v>0</v>
      </c>
      <c r="T408" s="19">
        <f t="shared" si="133"/>
        <v>0</v>
      </c>
      <c r="U408" s="17"/>
      <c r="V408" s="19">
        <f t="shared" si="126"/>
        <v>80.882091988885165</v>
      </c>
      <c r="W408" s="17"/>
      <c r="X408" s="19">
        <f t="shared" si="127"/>
        <v>82.744165287714523</v>
      </c>
      <c r="Y408" s="19">
        <f t="shared" si="128"/>
        <v>9.0963819888851702</v>
      </c>
      <c r="Z408" s="19"/>
      <c r="AA408" s="19">
        <f t="shared" si="129"/>
        <v>5.9117217136231003E-5</v>
      </c>
    </row>
    <row r="409" spans="2:27" x14ac:dyDescent="0.35">
      <c r="B409" s="27">
        <v>37.1</v>
      </c>
      <c r="C409" s="27">
        <v>95.285709999999995</v>
      </c>
      <c r="D409" s="19">
        <f t="shared" si="116"/>
        <v>59.225151194070662</v>
      </c>
      <c r="E409" s="19">
        <f t="shared" si="117"/>
        <v>0.5121866548557592</v>
      </c>
      <c r="F409" s="19">
        <f t="shared" si="118"/>
        <v>2.0361087559971143</v>
      </c>
      <c r="G409" s="19">
        <f t="shared" si="119"/>
        <v>2.0361087559971143</v>
      </c>
      <c r="H409" s="19">
        <f t="shared" si="120"/>
        <v>2.0361087559971143</v>
      </c>
      <c r="I409" s="17"/>
      <c r="J409" s="19">
        <f t="shared" si="121"/>
        <v>55.213935812282926</v>
      </c>
      <c r="K409" s="19">
        <f t="shared" si="122"/>
        <v>0.77154584308310281</v>
      </c>
      <c r="L409" s="19">
        <f t="shared" si="123"/>
        <v>1.5791941014547262</v>
      </c>
      <c r="M409" s="19">
        <f t="shared" si="124"/>
        <v>1.5791941014547262</v>
      </c>
      <c r="N409" s="19">
        <f t="shared" si="125"/>
        <v>1.5791941014547262</v>
      </c>
      <c r="O409" s="17"/>
      <c r="P409" s="19">
        <f t="shared" si="115"/>
        <v>17.081429478217959</v>
      </c>
      <c r="Q409" s="19">
        <f t="shared" si="130"/>
        <v>63.400131235016865</v>
      </c>
      <c r="R409" s="19">
        <f t="shared" si="131"/>
        <v>0</v>
      </c>
      <c r="S409" s="19">
        <f t="shared" si="132"/>
        <v>0</v>
      </c>
      <c r="T409" s="19">
        <f t="shared" si="133"/>
        <v>0</v>
      </c>
      <c r="U409" s="17"/>
      <c r="V409" s="19">
        <f t="shared" si="126"/>
        <v>80.481560713234828</v>
      </c>
      <c r="W409" s="17"/>
      <c r="X409" s="19">
        <f t="shared" si="127"/>
        <v>219.16283610482961</v>
      </c>
      <c r="Y409" s="19">
        <f t="shared" si="128"/>
        <v>14.804149286765167</v>
      </c>
      <c r="Z409" s="19"/>
      <c r="AA409" s="19">
        <f t="shared" si="129"/>
        <v>9.6211890504626396E-5</v>
      </c>
    </row>
    <row r="410" spans="2:27" x14ac:dyDescent="0.35">
      <c r="B410" s="27">
        <v>37.200000000000003</v>
      </c>
      <c r="C410" s="27">
        <v>68.285709999999995</v>
      </c>
      <c r="D410" s="19">
        <f t="shared" si="116"/>
        <v>59.365650532493156</v>
      </c>
      <c r="E410" s="19">
        <f t="shared" si="117"/>
        <v>0.51831158368288177</v>
      </c>
      <c r="F410" s="19">
        <f t="shared" si="118"/>
        <v>2.0472198671082253</v>
      </c>
      <c r="G410" s="19">
        <f t="shared" si="119"/>
        <v>2.0472198671082253</v>
      </c>
      <c r="H410" s="19">
        <f t="shared" si="120"/>
        <v>2.0472198671082253</v>
      </c>
      <c r="I410" s="17"/>
      <c r="J410" s="19">
        <f t="shared" si="121"/>
        <v>55.351938845132977</v>
      </c>
      <c r="K410" s="19">
        <f t="shared" si="122"/>
        <v>0.77421598177740747</v>
      </c>
      <c r="L410" s="19">
        <f t="shared" si="123"/>
        <v>1.5860029094435582</v>
      </c>
      <c r="M410" s="19">
        <f t="shared" si="124"/>
        <v>1.5860029094435582</v>
      </c>
      <c r="N410" s="19">
        <f t="shared" si="125"/>
        <v>1.5860029094435582</v>
      </c>
      <c r="O410" s="17"/>
      <c r="P410" s="19">
        <f t="shared" si="115"/>
        <v>16.997114930058036</v>
      </c>
      <c r="Q410" s="19">
        <f t="shared" si="130"/>
        <v>63.086388897452323</v>
      </c>
      <c r="R410" s="19">
        <f t="shared" si="131"/>
        <v>0</v>
      </c>
      <c r="S410" s="19">
        <f t="shared" si="132"/>
        <v>0</v>
      </c>
      <c r="T410" s="19">
        <f t="shared" si="133"/>
        <v>0</v>
      </c>
      <c r="U410" s="17"/>
      <c r="V410" s="19">
        <f t="shared" si="126"/>
        <v>80.083503827510356</v>
      </c>
      <c r="W410" s="17"/>
      <c r="X410" s="19">
        <f t="shared" si="127"/>
        <v>139.18793919644156</v>
      </c>
      <c r="Y410" s="19">
        <f t="shared" si="128"/>
        <v>11.797793827510361</v>
      </c>
      <c r="Z410" s="19"/>
      <c r="AA410" s="19">
        <f t="shared" si="129"/>
        <v>7.6673642364802886E-5</v>
      </c>
    </row>
    <row r="411" spans="2:27" x14ac:dyDescent="0.35">
      <c r="B411" s="27">
        <v>37.299999999999997</v>
      </c>
      <c r="C411" s="27">
        <v>103.53570999999999</v>
      </c>
      <c r="D411" s="19">
        <f t="shared" si="116"/>
        <v>59.506149870915642</v>
      </c>
      <c r="E411" s="19">
        <f t="shared" si="117"/>
        <v>0.52443651251000389</v>
      </c>
      <c r="F411" s="19">
        <f t="shared" si="118"/>
        <v>2.0583309782193355</v>
      </c>
      <c r="G411" s="19">
        <f t="shared" si="119"/>
        <v>2.0583309782193355</v>
      </c>
      <c r="H411" s="19">
        <f t="shared" si="120"/>
        <v>2.0583309782193355</v>
      </c>
      <c r="I411" s="17"/>
      <c r="J411" s="19">
        <f t="shared" si="121"/>
        <v>55.489947983972883</v>
      </c>
      <c r="K411" s="19">
        <f t="shared" si="122"/>
        <v>0.77689132096506008</v>
      </c>
      <c r="L411" s="19">
        <f t="shared" si="123"/>
        <v>1.5928230396702248</v>
      </c>
      <c r="M411" s="19">
        <f t="shared" si="124"/>
        <v>1.5928230396702248</v>
      </c>
      <c r="N411" s="19">
        <f t="shared" si="125"/>
        <v>1.5928230396702248</v>
      </c>
      <c r="O411" s="17"/>
      <c r="P411" s="19">
        <f t="shared" si="115"/>
        <v>16.913419441344878</v>
      </c>
      <c r="Q411" s="19">
        <f t="shared" si="130"/>
        <v>62.774484060346111</v>
      </c>
      <c r="R411" s="19">
        <f t="shared" si="131"/>
        <v>0</v>
      </c>
      <c r="S411" s="19">
        <f t="shared" si="132"/>
        <v>0</v>
      </c>
      <c r="T411" s="19">
        <f t="shared" si="133"/>
        <v>0</v>
      </c>
      <c r="U411" s="17"/>
      <c r="V411" s="19">
        <f t="shared" si="126"/>
        <v>79.687903501690982</v>
      </c>
      <c r="W411" s="17"/>
      <c r="X411" s="19">
        <f t="shared" si="127"/>
        <v>568.71787478078954</v>
      </c>
      <c r="Y411" s="19">
        <f t="shared" si="128"/>
        <v>23.847806498309012</v>
      </c>
      <c r="Z411" s="19"/>
      <c r="AA411" s="19">
        <f t="shared" si="129"/>
        <v>1.5498645029485378E-4</v>
      </c>
    </row>
    <row r="412" spans="2:27" x14ac:dyDescent="0.35">
      <c r="B412" s="27">
        <v>37.4</v>
      </c>
      <c r="C412" s="27">
        <v>91.035709999999995</v>
      </c>
      <c r="D412" s="19">
        <f t="shared" si="116"/>
        <v>59.646649209338129</v>
      </c>
      <c r="E412" s="19">
        <f t="shared" si="117"/>
        <v>0.53056144133712602</v>
      </c>
      <c r="F412" s="19">
        <f t="shared" si="118"/>
        <v>2.0694420893304475</v>
      </c>
      <c r="G412" s="19">
        <f t="shared" si="119"/>
        <v>2.0694420893304475</v>
      </c>
      <c r="H412" s="19">
        <f t="shared" si="120"/>
        <v>2.0694420893304475</v>
      </c>
      <c r="I412" s="17"/>
      <c r="J412" s="19">
        <f t="shared" si="121"/>
        <v>55.627963199272422</v>
      </c>
      <c r="K412" s="19">
        <f t="shared" si="122"/>
        <v>0.77957185508088722</v>
      </c>
      <c r="L412" s="19">
        <f t="shared" si="123"/>
        <v>1.5996544513287023</v>
      </c>
      <c r="M412" s="19">
        <f t="shared" si="124"/>
        <v>1.5996544513287023</v>
      </c>
      <c r="N412" s="19">
        <f t="shared" si="125"/>
        <v>1.5996544513287023</v>
      </c>
      <c r="O412" s="17"/>
      <c r="P412" s="19">
        <f t="shared" si="115"/>
        <v>16.83033699329912</v>
      </c>
      <c r="Q412" s="19">
        <f t="shared" si="130"/>
        <v>62.464405062007785</v>
      </c>
      <c r="R412" s="19">
        <f t="shared" si="131"/>
        <v>0</v>
      </c>
      <c r="S412" s="19">
        <f t="shared" si="132"/>
        <v>0</v>
      </c>
      <c r="T412" s="19">
        <f t="shared" si="133"/>
        <v>0</v>
      </c>
      <c r="U412" s="17"/>
      <c r="V412" s="19">
        <f t="shared" si="126"/>
        <v>79.294742055306898</v>
      </c>
      <c r="W412" s="17"/>
      <c r="X412" s="19">
        <f t="shared" si="127"/>
        <v>137.85032827831083</v>
      </c>
      <c r="Y412" s="19">
        <f t="shared" si="128"/>
        <v>11.740967944693097</v>
      </c>
      <c r="Z412" s="19"/>
      <c r="AA412" s="19">
        <f t="shared" si="129"/>
        <v>7.6304332010689456E-5</v>
      </c>
    </row>
    <row r="413" spans="2:27" x14ac:dyDescent="0.35">
      <c r="B413" s="27">
        <v>37.5</v>
      </c>
      <c r="C413" s="27">
        <v>84.535709999999995</v>
      </c>
      <c r="D413" s="19">
        <f t="shared" si="116"/>
        <v>59.787148547760623</v>
      </c>
      <c r="E413" s="19">
        <f t="shared" si="117"/>
        <v>0.53668637016424858</v>
      </c>
      <c r="F413" s="19">
        <f t="shared" si="118"/>
        <v>2.0805532004415586</v>
      </c>
      <c r="G413" s="19">
        <f t="shared" si="119"/>
        <v>2.0805532004415586</v>
      </c>
      <c r="H413" s="19">
        <f t="shared" si="120"/>
        <v>2.0805532004415586</v>
      </c>
      <c r="I413" s="17"/>
      <c r="J413" s="19">
        <f t="shared" si="121"/>
        <v>55.765984461713764</v>
      </c>
      <c r="K413" s="19">
        <f t="shared" si="122"/>
        <v>0.78225757852855782</v>
      </c>
      <c r="L413" s="19">
        <f t="shared" si="123"/>
        <v>1.6064971037202007</v>
      </c>
      <c r="M413" s="19">
        <f t="shared" si="124"/>
        <v>1.6064971037202007</v>
      </c>
      <c r="N413" s="19">
        <f t="shared" si="125"/>
        <v>1.6064971037202007</v>
      </c>
      <c r="O413" s="17"/>
      <c r="P413" s="19">
        <f t="shared" si="115"/>
        <v>16.747861639850715</v>
      </c>
      <c r="Q413" s="19">
        <f t="shared" si="130"/>
        <v>62.156140316053822</v>
      </c>
      <c r="R413" s="19">
        <f t="shared" si="131"/>
        <v>0</v>
      </c>
      <c r="S413" s="19">
        <f t="shared" si="132"/>
        <v>0</v>
      </c>
      <c r="T413" s="19">
        <f t="shared" si="133"/>
        <v>0</v>
      </c>
      <c r="U413" s="17"/>
      <c r="V413" s="19">
        <f t="shared" si="126"/>
        <v>78.904001955904533</v>
      </c>
      <c r="W413" s="17"/>
      <c r="X413" s="19">
        <f t="shared" si="127"/>
        <v>31.716135493929524</v>
      </c>
      <c r="Y413" s="19">
        <f t="shared" si="128"/>
        <v>5.6317080440954612</v>
      </c>
      <c r="Z413" s="19"/>
      <c r="AA413" s="19">
        <f t="shared" si="129"/>
        <v>3.6600365694564828E-5</v>
      </c>
    </row>
    <row r="414" spans="2:27" x14ac:dyDescent="0.35">
      <c r="B414" s="27">
        <v>37.6</v>
      </c>
      <c r="C414" s="27">
        <v>88.035709999999995</v>
      </c>
      <c r="D414" s="19">
        <f t="shared" si="116"/>
        <v>59.927647886183117</v>
      </c>
      <c r="E414" s="19">
        <f t="shared" si="117"/>
        <v>0.54281129899137071</v>
      </c>
      <c r="F414" s="19">
        <f t="shared" si="118"/>
        <v>2.0916643115526696</v>
      </c>
      <c r="G414" s="19">
        <f t="shared" si="119"/>
        <v>2.0916643115526696</v>
      </c>
      <c r="H414" s="19">
        <f t="shared" si="120"/>
        <v>2.0916643115526696</v>
      </c>
      <c r="I414" s="17"/>
      <c r="J414" s="19">
        <f t="shared" si="121"/>
        <v>55.904011742189468</v>
      </c>
      <c r="K414" s="19">
        <f t="shared" si="122"/>
        <v>0.78494848568087272</v>
      </c>
      <c r="L414" s="19">
        <f t="shared" si="123"/>
        <v>1.6133509562539778</v>
      </c>
      <c r="M414" s="19">
        <f t="shared" si="124"/>
        <v>1.6133509562539778</v>
      </c>
      <c r="N414" s="19">
        <f t="shared" si="125"/>
        <v>1.6133509562539778</v>
      </c>
      <c r="O414" s="17"/>
      <c r="P414" s="19">
        <f t="shared" si="115"/>
        <v>16.665987506590561</v>
      </c>
      <c r="Q414" s="19">
        <f t="shared" si="130"/>
        <v>61.849678310941513</v>
      </c>
      <c r="R414" s="19">
        <f t="shared" si="131"/>
        <v>0</v>
      </c>
      <c r="S414" s="19">
        <f t="shared" si="132"/>
        <v>0</v>
      </c>
      <c r="T414" s="19">
        <f t="shared" si="133"/>
        <v>0</v>
      </c>
      <c r="U414" s="17"/>
      <c r="V414" s="19">
        <f t="shared" si="126"/>
        <v>78.515665817532067</v>
      </c>
      <c r="W414" s="17"/>
      <c r="X414" s="19">
        <f t="shared" si="127"/>
        <v>90.631241236141435</v>
      </c>
      <c r="Y414" s="19">
        <f t="shared" si="128"/>
        <v>9.5200441824679274</v>
      </c>
      <c r="Z414" s="19"/>
      <c r="AA414" s="19">
        <f t="shared" si="129"/>
        <v>6.1870589842109782E-5</v>
      </c>
    </row>
    <row r="415" spans="2:27" x14ac:dyDescent="0.35">
      <c r="B415" s="27">
        <v>37.700000000000003</v>
      </c>
      <c r="C415" s="27">
        <v>73.035709999999995</v>
      </c>
      <c r="D415" s="19">
        <f t="shared" si="116"/>
        <v>60.06814722460561</v>
      </c>
      <c r="E415" s="19">
        <f t="shared" si="117"/>
        <v>0.54893622781849327</v>
      </c>
      <c r="F415" s="19">
        <f t="shared" si="118"/>
        <v>2.1027754226637807</v>
      </c>
      <c r="G415" s="19">
        <f t="shared" si="119"/>
        <v>2.1027754226637807</v>
      </c>
      <c r="H415" s="19">
        <f t="shared" si="120"/>
        <v>2.1027754226637807</v>
      </c>
      <c r="I415" s="17"/>
      <c r="J415" s="19">
        <f t="shared" si="121"/>
        <v>56.042045011800468</v>
      </c>
      <c r="K415" s="19">
        <f t="shared" si="122"/>
        <v>0.78764457088005591</v>
      </c>
      <c r="L415" s="19">
        <f t="shared" si="123"/>
        <v>1.6202159684481239</v>
      </c>
      <c r="M415" s="19">
        <f t="shared" si="124"/>
        <v>1.6202159684481239</v>
      </c>
      <c r="N415" s="19">
        <f t="shared" si="125"/>
        <v>1.6202159684481239</v>
      </c>
      <c r="O415" s="17"/>
      <c r="P415" s="19">
        <f t="shared" si="115"/>
        <v>16.584708789739711</v>
      </c>
      <c r="Q415" s="19">
        <f t="shared" si="130"/>
        <v>61.545007609505376</v>
      </c>
      <c r="R415" s="19">
        <f t="shared" si="131"/>
        <v>0</v>
      </c>
      <c r="S415" s="19">
        <f t="shared" si="132"/>
        <v>0</v>
      </c>
      <c r="T415" s="19">
        <f t="shared" si="133"/>
        <v>0</v>
      </c>
      <c r="U415" s="17"/>
      <c r="V415" s="19">
        <f t="shared" si="126"/>
        <v>78.129716399245083</v>
      </c>
      <c r="W415" s="17"/>
      <c r="X415" s="19">
        <f t="shared" si="127"/>
        <v>25.948901195549915</v>
      </c>
      <c r="Y415" s="19">
        <f t="shared" si="128"/>
        <v>5.0940063992450888</v>
      </c>
      <c r="Z415" s="19"/>
      <c r="AA415" s="19">
        <f t="shared" si="129"/>
        <v>3.3105852718749949E-5</v>
      </c>
    </row>
    <row r="416" spans="2:27" x14ac:dyDescent="0.35">
      <c r="B416" s="27">
        <v>37.799999999999997</v>
      </c>
      <c r="C416" s="27">
        <v>67.535709999999995</v>
      </c>
      <c r="D416" s="19">
        <f t="shared" si="116"/>
        <v>60.208646563028097</v>
      </c>
      <c r="E416" s="19">
        <f t="shared" si="117"/>
        <v>0.55506115664561539</v>
      </c>
      <c r="F416" s="19">
        <f t="shared" si="118"/>
        <v>2.1138865337748909</v>
      </c>
      <c r="G416" s="19">
        <f t="shared" si="119"/>
        <v>2.1138865337748909</v>
      </c>
      <c r="H416" s="19">
        <f t="shared" si="120"/>
        <v>2.1138865337748909</v>
      </c>
      <c r="I416" s="17"/>
      <c r="J416" s="19">
        <f t="shared" si="121"/>
        <v>56.180084241854118</v>
      </c>
      <c r="K416" s="19">
        <f t="shared" si="122"/>
        <v>0.79034582843804302</v>
      </c>
      <c r="L416" s="19">
        <f t="shared" si="123"/>
        <v>1.627092099930328</v>
      </c>
      <c r="M416" s="19">
        <f t="shared" si="124"/>
        <v>1.627092099930328</v>
      </c>
      <c r="N416" s="19">
        <f t="shared" si="125"/>
        <v>1.627092099930328</v>
      </c>
      <c r="O416" s="17"/>
      <c r="P416" s="19">
        <f t="shared" si="115"/>
        <v>16.504019755135772</v>
      </c>
      <c r="Q416" s="19">
        <f t="shared" si="130"/>
        <v>61.242116848496302</v>
      </c>
      <c r="R416" s="19">
        <f t="shared" si="131"/>
        <v>0</v>
      </c>
      <c r="S416" s="19">
        <f t="shared" si="132"/>
        <v>0</v>
      </c>
      <c r="T416" s="19">
        <f t="shared" si="133"/>
        <v>0</v>
      </c>
      <c r="U416" s="17"/>
      <c r="V416" s="19">
        <f t="shared" si="126"/>
        <v>77.746136603632067</v>
      </c>
      <c r="W416" s="17"/>
      <c r="X416" s="19">
        <f t="shared" si="127"/>
        <v>104.25281142815757</v>
      </c>
      <c r="Y416" s="19">
        <f t="shared" si="128"/>
        <v>10.210426603632072</v>
      </c>
      <c r="Z416" s="19"/>
      <c r="AA416" s="19">
        <f t="shared" si="129"/>
        <v>6.6357372339686022E-5</v>
      </c>
    </row>
    <row r="417" spans="2:27" x14ac:dyDescent="0.35">
      <c r="B417" s="27">
        <v>37.9</v>
      </c>
      <c r="C417" s="27">
        <v>82.785709999999995</v>
      </c>
      <c r="D417" s="19">
        <f t="shared" si="116"/>
        <v>60.349145901450584</v>
      </c>
      <c r="E417" s="19">
        <f t="shared" si="117"/>
        <v>0.56118608547273752</v>
      </c>
      <c r="F417" s="19">
        <f t="shared" si="118"/>
        <v>2.1249976448860028</v>
      </c>
      <c r="G417" s="19">
        <f t="shared" si="119"/>
        <v>2.1249976448860028</v>
      </c>
      <c r="H417" s="19">
        <f t="shared" si="120"/>
        <v>2.1249976448860028</v>
      </c>
      <c r="I417" s="17"/>
      <c r="J417" s="19">
        <f t="shared" si="121"/>
        <v>56.318129403862216</v>
      </c>
      <c r="K417" s="19">
        <f t="shared" si="122"/>
        <v>0.7930522526367707</v>
      </c>
      <c r="L417" s="19">
        <f t="shared" si="123"/>
        <v>1.6339793104386222</v>
      </c>
      <c r="M417" s="19">
        <f t="shared" si="124"/>
        <v>1.6339793104386222</v>
      </c>
      <c r="N417" s="19">
        <f t="shared" si="125"/>
        <v>1.6339793104386222</v>
      </c>
      <c r="O417" s="17"/>
      <c r="P417" s="19">
        <f t="shared" si="115"/>
        <v>16.423914737236206</v>
      </c>
      <c r="Q417" s="19">
        <f t="shared" si="130"/>
        <v>60.940994738123116</v>
      </c>
      <c r="R417" s="19">
        <f t="shared" si="131"/>
        <v>0</v>
      </c>
      <c r="S417" s="19">
        <f t="shared" si="132"/>
        <v>0</v>
      </c>
      <c r="T417" s="19">
        <f t="shared" si="133"/>
        <v>0</v>
      </c>
      <c r="U417" s="17"/>
      <c r="V417" s="19">
        <f t="shared" si="126"/>
        <v>77.364909475359326</v>
      </c>
      <c r="W417" s="17"/>
      <c r="X417" s="19">
        <f t="shared" si="127"/>
        <v>29.385078327944548</v>
      </c>
      <c r="Y417" s="19">
        <f t="shared" si="128"/>
        <v>5.4208005246406685</v>
      </c>
      <c r="Z417" s="19"/>
      <c r="AA417" s="19">
        <f t="shared" si="129"/>
        <v>3.5229681653535359E-5</v>
      </c>
    </row>
    <row r="418" spans="2:27" x14ac:dyDescent="0.35">
      <c r="B418" s="27">
        <v>38</v>
      </c>
      <c r="C418" s="27">
        <v>83.035709999999995</v>
      </c>
      <c r="D418" s="19">
        <f t="shared" si="116"/>
        <v>60.489645239873077</v>
      </c>
      <c r="E418" s="19">
        <f t="shared" si="117"/>
        <v>0.56731101429985964</v>
      </c>
      <c r="F418" s="19">
        <f t="shared" si="118"/>
        <v>2.1361087559971139</v>
      </c>
      <c r="G418" s="19">
        <f t="shared" si="119"/>
        <v>2.1361087559971139</v>
      </c>
      <c r="H418" s="19">
        <f t="shared" si="120"/>
        <v>2.1361087559971139</v>
      </c>
      <c r="I418" s="17"/>
      <c r="J418" s="19">
        <f t="shared" si="121"/>
        <v>56.456180469539106</v>
      </c>
      <c r="K418" s="19">
        <f t="shared" si="122"/>
        <v>0.79576383772846504</v>
      </c>
      <c r="L418" s="19">
        <f t="shared" si="123"/>
        <v>1.6408775598220986</v>
      </c>
      <c r="M418" s="19">
        <f t="shared" si="124"/>
        <v>1.6408775598220986</v>
      </c>
      <c r="N418" s="19">
        <f t="shared" si="125"/>
        <v>1.6408775598220986</v>
      </c>
      <c r="O418" s="17"/>
      <c r="P418" s="19">
        <f t="shared" si="115"/>
        <v>16.344388138138168</v>
      </c>
      <c r="Q418" s="19">
        <f t="shared" si="130"/>
        <v>60.641630061596828</v>
      </c>
      <c r="R418" s="19">
        <f t="shared" si="131"/>
        <v>0</v>
      </c>
      <c r="S418" s="19">
        <f t="shared" si="132"/>
        <v>0</v>
      </c>
      <c r="T418" s="19">
        <f t="shared" si="133"/>
        <v>0</v>
      </c>
      <c r="U418" s="17"/>
      <c r="V418" s="19">
        <f t="shared" si="126"/>
        <v>76.986018199735</v>
      </c>
      <c r="W418" s="17"/>
      <c r="X418" s="19">
        <f t="shared" si="127"/>
        <v>36.598770878193513</v>
      </c>
      <c r="Y418" s="19">
        <f t="shared" si="128"/>
        <v>6.0496918002649949</v>
      </c>
      <c r="Z418" s="19"/>
      <c r="AA418" s="19">
        <f t="shared" si="129"/>
        <v>3.9316834341449365E-5</v>
      </c>
    </row>
    <row r="419" spans="2:27" x14ac:dyDescent="0.35">
      <c r="B419" s="27">
        <v>38.1</v>
      </c>
      <c r="C419" s="27">
        <v>79.285709999999995</v>
      </c>
      <c r="D419" s="19">
        <f t="shared" si="116"/>
        <v>60.630144578295571</v>
      </c>
      <c r="E419" s="19">
        <f t="shared" si="117"/>
        <v>0.57343594312698221</v>
      </c>
      <c r="F419" s="19">
        <f t="shared" si="118"/>
        <v>2.147219867108225</v>
      </c>
      <c r="G419" s="19">
        <f t="shared" si="119"/>
        <v>2.147219867108225</v>
      </c>
      <c r="H419" s="19">
        <f t="shared" si="120"/>
        <v>2.147219867108225</v>
      </c>
      <c r="I419" s="17"/>
      <c r="J419" s="19">
        <f t="shared" si="121"/>
        <v>56.594237410799721</v>
      </c>
      <c r="K419" s="19">
        <f t="shared" si="122"/>
        <v>0.79848057793592864</v>
      </c>
      <c r="L419" s="19">
        <f t="shared" si="123"/>
        <v>1.6477868080416145</v>
      </c>
      <c r="M419" s="19">
        <f t="shared" si="124"/>
        <v>1.6477868080416145</v>
      </c>
      <c r="N419" s="19">
        <f t="shared" si="125"/>
        <v>1.6477868080416145</v>
      </c>
      <c r="O419" s="17"/>
      <c r="P419" s="19">
        <f t="shared" si="115"/>
        <v>16.265434426614679</v>
      </c>
      <c r="Q419" s="19">
        <f t="shared" si="130"/>
        <v>60.344011674677468</v>
      </c>
      <c r="R419" s="19">
        <f t="shared" si="131"/>
        <v>0</v>
      </c>
      <c r="S419" s="19">
        <f t="shared" si="132"/>
        <v>0</v>
      </c>
      <c r="T419" s="19">
        <f t="shared" si="133"/>
        <v>0</v>
      </c>
      <c r="U419" s="17"/>
      <c r="V419" s="19">
        <f t="shared" si="126"/>
        <v>76.60944610129215</v>
      </c>
      <c r="W419" s="17"/>
      <c r="X419" s="19">
        <f t="shared" si="127"/>
        <v>7.1623884555269122</v>
      </c>
      <c r="Y419" s="19">
        <f t="shared" si="128"/>
        <v>2.6762638987078446</v>
      </c>
      <c r="Z419" s="19"/>
      <c r="AA419" s="19">
        <f t="shared" si="129"/>
        <v>1.7392989235400174E-5</v>
      </c>
    </row>
    <row r="420" spans="2:27" x14ac:dyDescent="0.35">
      <c r="B420" s="27">
        <v>38.200000000000003</v>
      </c>
      <c r="C420" s="27">
        <v>67.785709999999995</v>
      </c>
      <c r="D420" s="19">
        <f t="shared" si="116"/>
        <v>60.770643916718065</v>
      </c>
      <c r="E420" s="19">
        <f t="shared" si="117"/>
        <v>0.57956087195410433</v>
      </c>
      <c r="F420" s="19">
        <f t="shared" si="118"/>
        <v>2.1583309782193361</v>
      </c>
      <c r="G420" s="19">
        <f t="shared" si="119"/>
        <v>2.1583309782193361</v>
      </c>
      <c r="H420" s="19">
        <f t="shared" si="120"/>
        <v>2.1583309782193361</v>
      </c>
      <c r="I420" s="17"/>
      <c r="J420" s="19">
        <f t="shared" si="121"/>
        <v>56.732300199757759</v>
      </c>
      <c r="K420" s="19">
        <f t="shared" si="122"/>
        <v>0.80120246745282897</v>
      </c>
      <c r="L420" s="19">
        <f t="shared" si="123"/>
        <v>1.6547070151704679</v>
      </c>
      <c r="M420" s="19">
        <f t="shared" si="124"/>
        <v>1.6547070151704679</v>
      </c>
      <c r="N420" s="19">
        <f t="shared" si="125"/>
        <v>1.6547070151704679</v>
      </c>
      <c r="O420" s="17"/>
      <c r="P420" s="19">
        <f t="shared" si="115"/>
        <v>16.18704813716661</v>
      </c>
      <c r="Q420" s="19">
        <f t="shared" si="130"/>
        <v>60.048128505223154</v>
      </c>
      <c r="R420" s="19">
        <f t="shared" si="131"/>
        <v>0</v>
      </c>
      <c r="S420" s="19">
        <f t="shared" si="132"/>
        <v>0</v>
      </c>
      <c r="T420" s="19">
        <f t="shared" si="133"/>
        <v>0</v>
      </c>
      <c r="U420" s="17"/>
      <c r="V420" s="19">
        <f t="shared" si="126"/>
        <v>76.23517664238976</v>
      </c>
      <c r="W420" s="17"/>
      <c r="X420" s="19">
        <f t="shared" si="127"/>
        <v>71.393486540857381</v>
      </c>
      <c r="Y420" s="19">
        <f t="shared" si="128"/>
        <v>8.4494666423897655</v>
      </c>
      <c r="Z420" s="19"/>
      <c r="AA420" s="19">
        <f t="shared" si="129"/>
        <v>5.491292634740321E-5</v>
      </c>
    </row>
    <row r="421" spans="2:27" x14ac:dyDescent="0.35">
      <c r="B421" s="27">
        <v>38.299999999999997</v>
      </c>
      <c r="C421" s="27">
        <v>59.785710000000002</v>
      </c>
      <c r="D421" s="19">
        <f t="shared" si="116"/>
        <v>60.911143255140544</v>
      </c>
      <c r="E421" s="19">
        <f t="shared" si="117"/>
        <v>0.58568580078122645</v>
      </c>
      <c r="F421" s="19">
        <f t="shared" si="118"/>
        <v>2.1694420893304471</v>
      </c>
      <c r="G421" s="19">
        <f t="shared" si="119"/>
        <v>2.1694420893304471</v>
      </c>
      <c r="H421" s="19">
        <f t="shared" si="120"/>
        <v>2.1694420893304471</v>
      </c>
      <c r="I421" s="17"/>
      <c r="J421" s="19">
        <f t="shared" si="121"/>
        <v>56.870368808723754</v>
      </c>
      <c r="K421" s="19">
        <f t="shared" si="122"/>
        <v>0.80392950044398481</v>
      </c>
      <c r="L421" s="19">
        <f t="shared" si="123"/>
        <v>1.6616381413950581</v>
      </c>
      <c r="M421" s="19">
        <f t="shared" si="124"/>
        <v>1.6616381413950581</v>
      </c>
      <c r="N421" s="19">
        <f t="shared" si="125"/>
        <v>1.6616381413950581</v>
      </c>
      <c r="O421" s="17"/>
      <c r="P421" s="19">
        <f t="shared" si="115"/>
        <v>16.109223869090457</v>
      </c>
      <c r="Q421" s="19">
        <f t="shared" si="130"/>
        <v>59.753969552742042</v>
      </c>
      <c r="R421" s="19">
        <f t="shared" si="131"/>
        <v>0</v>
      </c>
      <c r="S421" s="19">
        <f t="shared" si="132"/>
        <v>0</v>
      </c>
      <c r="T421" s="19">
        <f t="shared" si="133"/>
        <v>0</v>
      </c>
      <c r="U421" s="17"/>
      <c r="V421" s="19">
        <f t="shared" si="126"/>
        <v>75.863193421832506</v>
      </c>
      <c r="W421" s="17"/>
      <c r="X421" s="19">
        <f t="shared" si="127"/>
        <v>258.48547317929899</v>
      </c>
      <c r="Y421" s="19">
        <f t="shared" si="128"/>
        <v>16.077483421832504</v>
      </c>
      <c r="Z421" s="19"/>
      <c r="AA421" s="19">
        <f t="shared" si="129"/>
        <v>1.044872653340619E-4</v>
      </c>
    </row>
    <row r="422" spans="2:27" x14ac:dyDescent="0.35">
      <c r="B422" s="27">
        <v>38.4</v>
      </c>
      <c r="C422" s="27">
        <v>77.035709999999995</v>
      </c>
      <c r="D422" s="19">
        <f t="shared" si="116"/>
        <v>61.051642593563038</v>
      </c>
      <c r="E422" s="19">
        <f t="shared" si="117"/>
        <v>0.59181072960834902</v>
      </c>
      <c r="F422" s="19">
        <f t="shared" si="118"/>
        <v>2.1805532004415582</v>
      </c>
      <c r="G422" s="19">
        <f t="shared" si="119"/>
        <v>2.1805532004415582</v>
      </c>
      <c r="H422" s="19">
        <f t="shared" si="120"/>
        <v>2.1805532004415582</v>
      </c>
      <c r="I422" s="17"/>
      <c r="J422" s="19">
        <f t="shared" si="121"/>
        <v>57.008443210203339</v>
      </c>
      <c r="K422" s="19">
        <f t="shared" si="122"/>
        <v>0.80666167104565256</v>
      </c>
      <c r="L422" s="19">
        <f t="shared" si="123"/>
        <v>1.6685801470155222</v>
      </c>
      <c r="M422" s="19">
        <f t="shared" si="124"/>
        <v>1.6685801470155222</v>
      </c>
      <c r="N422" s="19">
        <f t="shared" si="125"/>
        <v>1.6685801470155222</v>
      </c>
      <c r="O422" s="17"/>
      <c r="P422" s="19">
        <f t="shared" si="115"/>
        <v>16.031956285561325</v>
      </c>
      <c r="Q422" s="19">
        <f t="shared" si="130"/>
        <v>59.461523887946512</v>
      </c>
      <c r="R422" s="19">
        <f t="shared" si="131"/>
        <v>0</v>
      </c>
      <c r="S422" s="19">
        <f t="shared" si="132"/>
        <v>0</v>
      </c>
      <c r="T422" s="19">
        <f t="shared" si="133"/>
        <v>0</v>
      </c>
      <c r="U422" s="17"/>
      <c r="V422" s="19">
        <f t="shared" si="126"/>
        <v>75.493480173507834</v>
      </c>
      <c r="W422" s="17"/>
      <c r="X422" s="19">
        <f t="shared" si="127"/>
        <v>2.3784728377220405</v>
      </c>
      <c r="Y422" s="19">
        <f t="shared" si="128"/>
        <v>1.5422298264921608</v>
      </c>
      <c r="Z422" s="19"/>
      <c r="AA422" s="19">
        <f t="shared" si="129"/>
        <v>1.0022922920135942E-5</v>
      </c>
    </row>
    <row r="423" spans="2:27" x14ac:dyDescent="0.35">
      <c r="B423" s="27">
        <v>38.5</v>
      </c>
      <c r="C423" s="27">
        <v>87.535709999999995</v>
      </c>
      <c r="D423" s="19">
        <f t="shared" si="116"/>
        <v>61.192141931985532</v>
      </c>
      <c r="E423" s="19">
        <f t="shared" si="117"/>
        <v>0.59793565843547114</v>
      </c>
      <c r="F423" s="19">
        <f t="shared" si="118"/>
        <v>2.1916643115526693</v>
      </c>
      <c r="G423" s="19">
        <f t="shared" si="119"/>
        <v>2.1916643115526693</v>
      </c>
      <c r="H423" s="19">
        <f t="shared" si="120"/>
        <v>2.1916643115526693</v>
      </c>
      <c r="I423" s="17"/>
      <c r="J423" s="19">
        <f t="shared" si="121"/>
        <v>57.146523376895303</v>
      </c>
      <c r="K423" s="19">
        <f t="shared" si="122"/>
        <v>0.80939897336581101</v>
      </c>
      <c r="L423" s="19">
        <f t="shared" si="123"/>
        <v>1.6755329924463531</v>
      </c>
      <c r="M423" s="19">
        <f t="shared" si="124"/>
        <v>1.6755329924463531</v>
      </c>
      <c r="N423" s="19">
        <f t="shared" si="125"/>
        <v>1.6755329924463531</v>
      </c>
      <c r="O423" s="17"/>
      <c r="P423" s="19">
        <f t="shared" si="115"/>
        <v>15.955240112731135</v>
      </c>
      <c r="Q423" s="19">
        <f t="shared" si="130"/>
        <v>59.170780652310121</v>
      </c>
      <c r="R423" s="19">
        <f t="shared" si="131"/>
        <v>0</v>
      </c>
      <c r="S423" s="19">
        <f t="shared" si="132"/>
        <v>0</v>
      </c>
      <c r="T423" s="19">
        <f t="shared" si="133"/>
        <v>0</v>
      </c>
      <c r="U423" s="17"/>
      <c r="V423" s="19">
        <f t="shared" si="126"/>
        <v>75.126020765041261</v>
      </c>
      <c r="W423" s="17"/>
      <c r="X423" s="19">
        <f t="shared" si="127"/>
        <v>154.00038690825068</v>
      </c>
      <c r="Y423" s="19">
        <f t="shared" si="128"/>
        <v>12.409689234958734</v>
      </c>
      <c r="Z423" s="19"/>
      <c r="AA423" s="19">
        <f t="shared" si="129"/>
        <v>8.0650339221969642E-5</v>
      </c>
    </row>
    <row r="424" spans="2:27" x14ac:dyDescent="0.35">
      <c r="B424" s="27">
        <v>38.6</v>
      </c>
      <c r="C424" s="27">
        <v>86.035709999999995</v>
      </c>
      <c r="D424" s="19">
        <f t="shared" si="116"/>
        <v>61.332641270408025</v>
      </c>
      <c r="E424" s="19">
        <f t="shared" si="117"/>
        <v>0.60406058726259326</v>
      </c>
      <c r="F424" s="19">
        <f t="shared" si="118"/>
        <v>2.2027754226637803</v>
      </c>
      <c r="G424" s="19">
        <f t="shared" si="119"/>
        <v>2.2027754226637803</v>
      </c>
      <c r="H424" s="19">
        <f t="shared" si="120"/>
        <v>2.2027754226637803</v>
      </c>
      <c r="I424" s="17"/>
      <c r="J424" s="19">
        <f t="shared" si="121"/>
        <v>57.284609281689868</v>
      </c>
      <c r="K424" s="19">
        <f t="shared" si="122"/>
        <v>0.81214140148444791</v>
      </c>
      <c r="L424" s="19">
        <f t="shared" si="123"/>
        <v>1.6824966382169968</v>
      </c>
      <c r="M424" s="19">
        <f t="shared" si="124"/>
        <v>1.6824966382169968</v>
      </c>
      <c r="N424" s="19">
        <f t="shared" si="125"/>
        <v>1.6824966382169968</v>
      </c>
      <c r="O424" s="17"/>
      <c r="P424" s="19">
        <f t="shared" ref="P424:P487" si="134">(C$21*C$23/(1-C$23)^2*$A$21*C$22)/(J424+J424^2)</f>
        <v>15.879070138841474</v>
      </c>
      <c r="Q424" s="19">
        <f t="shared" si="130"/>
        <v>58.881729057626643</v>
      </c>
      <c r="R424" s="19">
        <f t="shared" si="131"/>
        <v>0</v>
      </c>
      <c r="S424" s="19">
        <f t="shared" si="132"/>
        <v>0</v>
      </c>
      <c r="T424" s="19">
        <f t="shared" si="133"/>
        <v>0</v>
      </c>
      <c r="U424" s="17"/>
      <c r="V424" s="19">
        <f t="shared" si="126"/>
        <v>74.760799196468113</v>
      </c>
      <c r="W424" s="17"/>
      <c r="X424" s="19">
        <f t="shared" si="127"/>
        <v>127.12361362759994</v>
      </c>
      <c r="Y424" s="19">
        <f t="shared" si="128"/>
        <v>11.274910803531881</v>
      </c>
      <c r="Z424" s="19"/>
      <c r="AA424" s="19">
        <f t="shared" si="129"/>
        <v>7.3275435330054847E-5</v>
      </c>
    </row>
    <row r="425" spans="2:27" x14ac:dyDescent="0.35">
      <c r="B425" s="27">
        <v>38.700000000000003</v>
      </c>
      <c r="C425" s="27">
        <v>68.035709999999995</v>
      </c>
      <c r="D425" s="19">
        <f t="shared" si="116"/>
        <v>61.473140608830519</v>
      </c>
      <c r="E425" s="19">
        <f t="shared" si="117"/>
        <v>0.61018551608971583</v>
      </c>
      <c r="F425" s="19">
        <f t="shared" si="118"/>
        <v>2.2138865337748923</v>
      </c>
      <c r="G425" s="19">
        <f t="shared" si="119"/>
        <v>2.2138865337748923</v>
      </c>
      <c r="H425" s="19">
        <f t="shared" si="120"/>
        <v>2.2138865337748923</v>
      </c>
      <c r="I425" s="17"/>
      <c r="J425" s="19">
        <f t="shared" si="121"/>
        <v>57.422700897666914</v>
      </c>
      <c r="K425" s="19">
        <f t="shared" si="122"/>
        <v>0.81488894945384338</v>
      </c>
      <c r="L425" s="19">
        <f t="shared" si="123"/>
        <v>1.6894710449724326</v>
      </c>
      <c r="M425" s="19">
        <f t="shared" si="124"/>
        <v>1.6894710449724326</v>
      </c>
      <c r="N425" s="19">
        <f t="shared" si="125"/>
        <v>1.6894710449724326</v>
      </c>
      <c r="O425" s="17"/>
      <c r="P425" s="19">
        <f t="shared" si="134"/>
        <v>15.80344121335102</v>
      </c>
      <c r="Q425" s="19">
        <f t="shared" si="130"/>
        <v>58.594358385571965</v>
      </c>
      <c r="R425" s="19">
        <f t="shared" si="131"/>
        <v>0</v>
      </c>
      <c r="S425" s="19">
        <f t="shared" si="132"/>
        <v>0</v>
      </c>
      <c r="T425" s="19">
        <f t="shared" si="133"/>
        <v>0</v>
      </c>
      <c r="U425" s="17"/>
      <c r="V425" s="19">
        <f t="shared" si="126"/>
        <v>74.397799598922987</v>
      </c>
      <c r="W425" s="17"/>
      <c r="X425" s="19">
        <f t="shared" si="127"/>
        <v>40.476184064724123</v>
      </c>
      <c r="Y425" s="19">
        <f t="shared" si="128"/>
        <v>6.3620895989229922</v>
      </c>
      <c r="Z425" s="19"/>
      <c r="AA425" s="19">
        <f t="shared" si="129"/>
        <v>4.134710181688207E-5</v>
      </c>
    </row>
    <row r="426" spans="2:27" x14ac:dyDescent="0.35">
      <c r="B426" s="27">
        <v>38.799999999999997</v>
      </c>
      <c r="C426" s="27">
        <v>77.285709999999995</v>
      </c>
      <c r="D426" s="19">
        <f t="shared" si="116"/>
        <v>61.613639947252999</v>
      </c>
      <c r="E426" s="19">
        <f t="shared" si="117"/>
        <v>0.61631044491683751</v>
      </c>
      <c r="F426" s="19">
        <f t="shared" si="118"/>
        <v>2.2249976448860025</v>
      </c>
      <c r="G426" s="19">
        <f t="shared" si="119"/>
        <v>2.2249976448860025</v>
      </c>
      <c r="H426" s="19">
        <f t="shared" si="120"/>
        <v>2.2249976448860025</v>
      </c>
      <c r="I426" s="17"/>
      <c r="J426" s="19">
        <f t="shared" si="121"/>
        <v>57.560798198094155</v>
      </c>
      <c r="K426" s="19">
        <f t="shared" si="122"/>
        <v>0.81764161129885315</v>
      </c>
      <c r="L426" s="19">
        <f t="shared" si="123"/>
        <v>1.6964561734737271</v>
      </c>
      <c r="M426" s="19">
        <f t="shared" si="124"/>
        <v>1.6964561734737271</v>
      </c>
      <c r="N426" s="19">
        <f t="shared" si="125"/>
        <v>1.6964561734737271</v>
      </c>
      <c r="O426" s="17"/>
      <c r="P426" s="19">
        <f t="shared" si="134"/>
        <v>15.728348246077223</v>
      </c>
      <c r="Q426" s="19">
        <f t="shared" si="130"/>
        <v>58.308657987268319</v>
      </c>
      <c r="R426" s="19">
        <f t="shared" si="131"/>
        <v>0</v>
      </c>
      <c r="S426" s="19">
        <f t="shared" si="132"/>
        <v>0</v>
      </c>
      <c r="T426" s="19">
        <f t="shared" si="133"/>
        <v>0</v>
      </c>
      <c r="U426" s="17"/>
      <c r="V426" s="19">
        <f t="shared" si="126"/>
        <v>74.037006233345537</v>
      </c>
      <c r="W426" s="17"/>
      <c r="X426" s="19">
        <f t="shared" si="127"/>
        <v>10.554076163474864</v>
      </c>
      <c r="Y426" s="19">
        <f t="shared" si="128"/>
        <v>3.248703766654458</v>
      </c>
      <c r="Z426" s="19"/>
      <c r="AA426" s="19">
        <f t="shared" si="129"/>
        <v>2.1113265276158532E-5</v>
      </c>
    </row>
    <row r="427" spans="2:27" x14ac:dyDescent="0.35">
      <c r="B427" s="27">
        <v>38.9</v>
      </c>
      <c r="C427" s="27">
        <v>93.535709999999995</v>
      </c>
      <c r="D427" s="19">
        <f t="shared" si="116"/>
        <v>61.754139285675492</v>
      </c>
      <c r="E427" s="19">
        <f t="shared" si="117"/>
        <v>0.62243537374396007</v>
      </c>
      <c r="F427" s="19">
        <f t="shared" si="118"/>
        <v>2.2361087559971136</v>
      </c>
      <c r="G427" s="19">
        <f t="shared" si="119"/>
        <v>2.2361087559971136</v>
      </c>
      <c r="H427" s="19">
        <f t="shared" si="120"/>
        <v>2.2361087559971136</v>
      </c>
      <c r="I427" s="17"/>
      <c r="J427" s="19">
        <f t="shared" si="121"/>
        <v>57.698901156425528</v>
      </c>
      <c r="K427" s="19">
        <f t="shared" si="122"/>
        <v>0.82039938101719367</v>
      </c>
      <c r="L427" s="19">
        <f t="shared" si="123"/>
        <v>1.7034519845985816</v>
      </c>
      <c r="M427" s="19">
        <f t="shared" si="124"/>
        <v>1.7034519845985816</v>
      </c>
      <c r="N427" s="19">
        <f t="shared" si="125"/>
        <v>1.7034519845985816</v>
      </c>
      <c r="O427" s="17"/>
      <c r="P427" s="19">
        <f t="shared" si="134"/>
        <v>15.653786206351874</v>
      </c>
      <c r="Q427" s="19">
        <f t="shared" si="130"/>
        <v>58.02461728285072</v>
      </c>
      <c r="R427" s="19">
        <f t="shared" si="131"/>
        <v>0</v>
      </c>
      <c r="S427" s="19">
        <f t="shared" si="132"/>
        <v>0</v>
      </c>
      <c r="T427" s="19">
        <f t="shared" si="133"/>
        <v>0</v>
      </c>
      <c r="U427" s="17"/>
      <c r="V427" s="19">
        <f t="shared" si="126"/>
        <v>73.678403489202594</v>
      </c>
      <c r="W427" s="17"/>
      <c r="X427" s="19">
        <f t="shared" si="127"/>
        <v>394.31262186375682</v>
      </c>
      <c r="Y427" s="19">
        <f t="shared" si="128"/>
        <v>19.8573065107974</v>
      </c>
      <c r="Z427" s="19"/>
      <c r="AA427" s="19">
        <f t="shared" si="129"/>
        <v>1.2905226519443637E-4</v>
      </c>
    </row>
    <row r="428" spans="2:27" x14ac:dyDescent="0.35">
      <c r="B428" s="27">
        <v>39</v>
      </c>
      <c r="C428" s="27">
        <v>93.535709999999995</v>
      </c>
      <c r="D428" s="19">
        <f t="shared" si="116"/>
        <v>61.894638624097986</v>
      </c>
      <c r="E428" s="19">
        <f t="shared" si="117"/>
        <v>0.62856030257108264</v>
      </c>
      <c r="F428" s="19">
        <f t="shared" si="118"/>
        <v>2.2472198671082255</v>
      </c>
      <c r="G428" s="19">
        <f t="shared" si="119"/>
        <v>2.2472198671082255</v>
      </c>
      <c r="H428" s="19">
        <f t="shared" si="120"/>
        <v>2.2472198671082255</v>
      </c>
      <c r="I428" s="17"/>
      <c r="J428" s="19">
        <f t="shared" si="121"/>
        <v>57.837009746299337</v>
      </c>
      <c r="K428" s="19">
        <f t="shared" si="122"/>
        <v>0.82316225257972198</v>
      </c>
      <c r="L428" s="19">
        <f t="shared" si="123"/>
        <v>1.7104584393418463</v>
      </c>
      <c r="M428" s="19">
        <f t="shared" si="124"/>
        <v>1.7104584393418463</v>
      </c>
      <c r="N428" s="19">
        <f t="shared" si="125"/>
        <v>1.7104584393418463</v>
      </c>
      <c r="O428" s="17"/>
      <c r="P428" s="19">
        <f t="shared" si="134"/>
        <v>15.579750122190509</v>
      </c>
      <c r="Q428" s="19">
        <f t="shared" si="130"/>
        <v>57.742225761036295</v>
      </c>
      <c r="R428" s="19">
        <f t="shared" si="131"/>
        <v>0</v>
      </c>
      <c r="S428" s="19">
        <f t="shared" si="132"/>
        <v>0</v>
      </c>
      <c r="T428" s="19">
        <f t="shared" si="133"/>
        <v>0</v>
      </c>
      <c r="U428" s="17"/>
      <c r="V428" s="19">
        <f t="shared" si="126"/>
        <v>73.321975883226798</v>
      </c>
      <c r="W428" s="17"/>
      <c r="X428" s="19">
        <f t="shared" si="127"/>
        <v>408.59504694360066</v>
      </c>
      <c r="Y428" s="19">
        <f t="shared" si="128"/>
        <v>20.213734116773196</v>
      </c>
      <c r="Z428" s="19"/>
      <c r="AA428" s="19">
        <f t="shared" si="129"/>
        <v>1.313686815676235E-4</v>
      </c>
    </row>
    <row r="429" spans="2:27" x14ac:dyDescent="0.35">
      <c r="B429" s="27">
        <v>39.1</v>
      </c>
      <c r="C429" s="27">
        <v>78.785709999999995</v>
      </c>
      <c r="D429" s="19">
        <f t="shared" si="116"/>
        <v>62.03513796252048</v>
      </c>
      <c r="E429" s="19">
        <f t="shared" si="117"/>
        <v>0.63468523139820476</v>
      </c>
      <c r="F429" s="19">
        <f t="shared" si="118"/>
        <v>2.2583309782193357</v>
      </c>
      <c r="G429" s="19">
        <f t="shared" si="119"/>
        <v>2.2583309782193357</v>
      </c>
      <c r="H429" s="19">
        <f t="shared" si="120"/>
        <v>2.2583309782193357</v>
      </c>
      <c r="I429" s="17"/>
      <c r="J429" s="19">
        <f t="shared" si="121"/>
        <v>57.975123941536637</v>
      </c>
      <c r="K429" s="19">
        <f t="shared" si="122"/>
        <v>0.82593021993071913</v>
      </c>
      <c r="L429" s="19">
        <f t="shared" si="123"/>
        <v>1.7174754988160246</v>
      </c>
      <c r="M429" s="19">
        <f t="shared" si="124"/>
        <v>1.7174754988160246</v>
      </c>
      <c r="N429" s="19">
        <f t="shared" si="125"/>
        <v>1.7174754988160246</v>
      </c>
      <c r="O429" s="17"/>
      <c r="P429" s="19">
        <f t="shared" si="134"/>
        <v>15.506235079475168</v>
      </c>
      <c r="Q429" s="19">
        <f t="shared" si="130"/>
        <v>57.461472978695625</v>
      </c>
      <c r="R429" s="19">
        <f t="shared" si="131"/>
        <v>0</v>
      </c>
      <c r="S429" s="19">
        <f t="shared" si="132"/>
        <v>0</v>
      </c>
      <c r="T429" s="19">
        <f t="shared" si="133"/>
        <v>0</v>
      </c>
      <c r="U429" s="17"/>
      <c r="V429" s="19">
        <f t="shared" si="126"/>
        <v>72.967708058170786</v>
      </c>
      <c r="W429" s="17"/>
      <c r="X429" s="19">
        <f t="shared" si="127"/>
        <v>33.849146595128445</v>
      </c>
      <c r="Y429" s="19">
        <f t="shared" si="128"/>
        <v>5.818001941829209</v>
      </c>
      <c r="Z429" s="19"/>
      <c r="AA429" s="19">
        <f t="shared" si="129"/>
        <v>3.7811086266429311E-5</v>
      </c>
    </row>
    <row r="430" spans="2:27" x14ac:dyDescent="0.35">
      <c r="B430" s="27">
        <v>39.200000000000003</v>
      </c>
      <c r="C430" s="27">
        <v>76.035709999999995</v>
      </c>
      <c r="D430" s="19">
        <f t="shared" si="116"/>
        <v>62.175637300942974</v>
      </c>
      <c r="E430" s="19">
        <f t="shared" si="117"/>
        <v>0.64081016022532733</v>
      </c>
      <c r="F430" s="19">
        <f t="shared" si="118"/>
        <v>2.2694420893304477</v>
      </c>
      <c r="G430" s="19">
        <f t="shared" si="119"/>
        <v>2.2694420893304477</v>
      </c>
      <c r="H430" s="19">
        <f t="shared" si="120"/>
        <v>2.2694420893304477</v>
      </c>
      <c r="I430" s="17"/>
      <c r="J430" s="19">
        <f t="shared" si="121"/>
        <v>58.11324371613955</v>
      </c>
      <c r="K430" s="19">
        <f t="shared" si="122"/>
        <v>0.82870327698817137</v>
      </c>
      <c r="L430" s="19">
        <f t="shared" si="123"/>
        <v>1.7245031242517621</v>
      </c>
      <c r="M430" s="19">
        <f t="shared" si="124"/>
        <v>1.7245031242517621</v>
      </c>
      <c r="N430" s="19">
        <f t="shared" si="125"/>
        <v>1.7245031242517621</v>
      </c>
      <c r="O430" s="17"/>
      <c r="P430" s="19">
        <f t="shared" si="134"/>
        <v>15.433236221150425</v>
      </c>
      <c r="Q430" s="19">
        <f t="shared" si="130"/>
        <v>57.182348560426668</v>
      </c>
      <c r="R430" s="19">
        <f t="shared" si="131"/>
        <v>0</v>
      </c>
      <c r="S430" s="19">
        <f t="shared" si="132"/>
        <v>0</v>
      </c>
      <c r="T430" s="19">
        <f t="shared" si="133"/>
        <v>0</v>
      </c>
      <c r="U430" s="17"/>
      <c r="V430" s="19">
        <f t="shared" si="126"/>
        <v>72.615584781577098</v>
      </c>
      <c r="W430" s="17"/>
      <c r="X430" s="19">
        <f t="shared" si="127"/>
        <v>11.697256509692265</v>
      </c>
      <c r="Y430" s="19">
        <f t="shared" si="128"/>
        <v>3.4201252184228963</v>
      </c>
      <c r="Z430" s="19"/>
      <c r="AA430" s="19">
        <f t="shared" si="129"/>
        <v>2.2227330098676467E-5</v>
      </c>
    </row>
    <row r="431" spans="2:27" x14ac:dyDescent="0.35">
      <c r="B431" s="27">
        <v>39.299999999999997</v>
      </c>
      <c r="C431" s="27">
        <v>69.035709999999995</v>
      </c>
      <c r="D431" s="19">
        <f t="shared" si="116"/>
        <v>62.316136639365453</v>
      </c>
      <c r="E431" s="19">
        <f t="shared" si="117"/>
        <v>0.64693508905244901</v>
      </c>
      <c r="F431" s="19">
        <f t="shared" si="118"/>
        <v>2.2805532004415578</v>
      </c>
      <c r="G431" s="19">
        <f t="shared" si="119"/>
        <v>2.2805532004415578</v>
      </c>
      <c r="H431" s="19">
        <f t="shared" si="120"/>
        <v>2.2805532004415578</v>
      </c>
      <c r="I431" s="17"/>
      <c r="J431" s="19">
        <f t="shared" si="121"/>
        <v>58.251369044289575</v>
      </c>
      <c r="K431" s="19">
        <f t="shared" si="122"/>
        <v>0.83148141764404904</v>
      </c>
      <c r="L431" s="19">
        <f t="shared" si="123"/>
        <v>1.731541276998305</v>
      </c>
      <c r="M431" s="19">
        <f t="shared" si="124"/>
        <v>1.731541276998305</v>
      </c>
      <c r="N431" s="19">
        <f t="shared" si="125"/>
        <v>1.731541276998305</v>
      </c>
      <c r="O431" s="17"/>
      <c r="P431" s="19">
        <f t="shared" si="134"/>
        <v>15.360748746432366</v>
      </c>
      <c r="Q431" s="19">
        <f t="shared" si="130"/>
        <v>56.904842198131163</v>
      </c>
      <c r="R431" s="19">
        <f t="shared" si="131"/>
        <v>0</v>
      </c>
      <c r="S431" s="19">
        <f t="shared" si="132"/>
        <v>0</v>
      </c>
      <c r="T431" s="19">
        <f t="shared" si="133"/>
        <v>0</v>
      </c>
      <c r="U431" s="17"/>
      <c r="V431" s="19">
        <f t="shared" si="126"/>
        <v>72.265590944563527</v>
      </c>
      <c r="W431" s="17"/>
      <c r="X431" s="19">
        <f t="shared" si="127"/>
        <v>10.43213091605462</v>
      </c>
      <c r="Y431" s="19">
        <f t="shared" si="128"/>
        <v>3.2298809445635328</v>
      </c>
      <c r="Z431" s="19"/>
      <c r="AA431" s="19">
        <f t="shared" si="129"/>
        <v>2.0990936105942776E-5</v>
      </c>
    </row>
    <row r="432" spans="2:27" x14ac:dyDescent="0.35">
      <c r="B432" s="27">
        <v>39.4</v>
      </c>
      <c r="C432" s="27">
        <v>84.785709999999995</v>
      </c>
      <c r="D432" s="19">
        <f t="shared" si="116"/>
        <v>62.456635977787947</v>
      </c>
      <c r="E432" s="19">
        <f t="shared" si="117"/>
        <v>0.65306001787957113</v>
      </c>
      <c r="F432" s="19">
        <f t="shared" si="118"/>
        <v>2.2916643115526689</v>
      </c>
      <c r="G432" s="19">
        <f t="shared" si="119"/>
        <v>2.2916643115526689</v>
      </c>
      <c r="H432" s="19">
        <f t="shared" si="120"/>
        <v>2.2916643115526689</v>
      </c>
      <c r="I432" s="17"/>
      <c r="J432" s="19">
        <f t="shared" si="121"/>
        <v>58.389499900345996</v>
      </c>
      <c r="K432" s="19">
        <f t="shared" si="122"/>
        <v>0.83426463576458809</v>
      </c>
      <c r="L432" s="19">
        <f t="shared" si="123"/>
        <v>1.7385899185239571</v>
      </c>
      <c r="M432" s="19">
        <f t="shared" si="124"/>
        <v>1.7385899185239571</v>
      </c>
      <c r="N432" s="19">
        <f t="shared" si="125"/>
        <v>1.7385899185239571</v>
      </c>
      <c r="O432" s="17"/>
      <c r="P432" s="19">
        <f t="shared" si="134"/>
        <v>15.288767910030307</v>
      </c>
      <c r="Q432" s="19">
        <f t="shared" si="130"/>
        <v>56.628943650593158</v>
      </c>
      <c r="R432" s="19">
        <f t="shared" si="131"/>
        <v>0</v>
      </c>
      <c r="S432" s="19">
        <f t="shared" si="132"/>
        <v>0</v>
      </c>
      <c r="T432" s="19">
        <f t="shared" si="133"/>
        <v>0</v>
      </c>
      <c r="U432" s="17"/>
      <c r="V432" s="19">
        <f t="shared" si="126"/>
        <v>71.917711560623459</v>
      </c>
      <c r="W432" s="17"/>
      <c r="X432" s="19">
        <f t="shared" si="127"/>
        <v>165.58538383579693</v>
      </c>
      <c r="Y432" s="19">
        <f t="shared" si="128"/>
        <v>12.867998439376535</v>
      </c>
      <c r="Z432" s="19"/>
      <c r="AA432" s="19">
        <f t="shared" si="129"/>
        <v>8.36288822060051E-5</v>
      </c>
    </row>
    <row r="433" spans="2:27" x14ac:dyDescent="0.35">
      <c r="B433" s="27">
        <v>39.5</v>
      </c>
      <c r="C433" s="27">
        <v>62.285710000000002</v>
      </c>
      <c r="D433" s="19">
        <f t="shared" si="116"/>
        <v>62.597135316210441</v>
      </c>
      <c r="E433" s="19">
        <f t="shared" si="117"/>
        <v>0.6591849467066937</v>
      </c>
      <c r="F433" s="19">
        <f t="shared" si="118"/>
        <v>2.3027754226637809</v>
      </c>
      <c r="G433" s="19">
        <f t="shared" si="119"/>
        <v>2.3027754226637809</v>
      </c>
      <c r="H433" s="19">
        <f t="shared" si="120"/>
        <v>2.3027754226637809</v>
      </c>
      <c r="I433" s="17"/>
      <c r="J433" s="19">
        <f t="shared" si="121"/>
        <v>58.527636258844218</v>
      </c>
      <c r="K433" s="19">
        <f t="shared" si="122"/>
        <v>0.83705292519056773</v>
      </c>
      <c r="L433" s="19">
        <f t="shared" si="123"/>
        <v>1.7456490104165059</v>
      </c>
      <c r="M433" s="19">
        <f t="shared" si="124"/>
        <v>1.7456490104165059</v>
      </c>
      <c r="N433" s="19">
        <f t="shared" si="125"/>
        <v>1.7456490104165059</v>
      </c>
      <c r="O433" s="17"/>
      <c r="P433" s="19">
        <f t="shared" si="134"/>
        <v>15.217289021381013</v>
      </c>
      <c r="Q433" s="19">
        <f t="shared" si="130"/>
        <v>56.354642743060239</v>
      </c>
      <c r="R433" s="19">
        <f t="shared" si="131"/>
        <v>0</v>
      </c>
      <c r="S433" s="19">
        <f t="shared" si="132"/>
        <v>0</v>
      </c>
      <c r="T433" s="19">
        <f t="shared" si="133"/>
        <v>0</v>
      </c>
      <c r="U433" s="17"/>
      <c r="V433" s="19">
        <f t="shared" si="126"/>
        <v>71.571931764441246</v>
      </c>
      <c r="W433" s="17"/>
      <c r="X433" s="19">
        <f t="shared" si="127"/>
        <v>86.233914658382247</v>
      </c>
      <c r="Y433" s="19">
        <f t="shared" si="128"/>
        <v>9.2862217644412439</v>
      </c>
      <c r="Z433" s="19"/>
      <c r="AA433" s="19">
        <f t="shared" si="129"/>
        <v>6.0350982302024928E-5</v>
      </c>
    </row>
    <row r="434" spans="2:27" x14ac:dyDescent="0.35">
      <c r="B434" s="27">
        <v>39.6</v>
      </c>
      <c r="C434" s="27">
        <v>63.285710000000002</v>
      </c>
      <c r="D434" s="19">
        <f t="shared" ref="D434:D497" si="135">$C$23/(1-$C$23)-LN((1-$C$23)/$C$23)+$C$22/(1-$C$23)*B434</f>
        <v>62.737634654632934</v>
      </c>
      <c r="E434" s="19">
        <f t="shared" ref="E434:E497" si="136">$D$23/(1-$D$23)-LN((1-$D$23)/$D$23)+$D$22*B434/(1-$D$23)</f>
        <v>0.66530987553381626</v>
      </c>
      <c r="F434" s="19">
        <f t="shared" ref="F434:F497" si="137">$E$23/(1-$E$23)-LN((1-$E$23)/$E$23)+$E$22*B434/(1-$E$23)</f>
        <v>2.313886533774892</v>
      </c>
      <c r="G434" s="19">
        <f t="shared" ref="G434:G497" si="138">$F$23/(1-$F$23)-LN((1-$F$23)/$F$23)+$F$22*B434/(1-$F$23)</f>
        <v>2.313886533774892</v>
      </c>
      <c r="H434" s="19">
        <f t="shared" ref="H434:H497" si="139">$G$23/(1-$G$23)-LN((1-$G$23)/$G$23)+$G$22*B434/(1-$G$23)</f>
        <v>2.313886533774892</v>
      </c>
      <c r="I434" s="17"/>
      <c r="J434" s="19">
        <f t="shared" ref="J434:J497" si="140">lmb_2(D434)</f>
        <v>58.665778094494172</v>
      </c>
      <c r="K434" s="19">
        <f t="shared" ref="K434:K497" si="141">lmb_2(E434)</f>
        <v>0.83984627973758874</v>
      </c>
      <c r="L434" s="19">
        <f t="shared" ref="L434:L497" si="142">lmb_2(F434)</f>
        <v>1.7527185143836377</v>
      </c>
      <c r="M434" s="19">
        <f t="shared" ref="M434:M497" si="143">lmb_2(G434)</f>
        <v>1.7527185143836377</v>
      </c>
      <c r="N434" s="19">
        <f t="shared" ref="N434:N497" si="144">lmb_2(H434)</f>
        <v>1.7527185143836377</v>
      </c>
      <c r="O434" s="17"/>
      <c r="P434" s="19">
        <f t="shared" si="134"/>
        <v>15.146307443895186</v>
      </c>
      <c r="Q434" s="19">
        <f t="shared" si="130"/>
        <v>56.081929366826905</v>
      </c>
      <c r="R434" s="19">
        <f t="shared" si="131"/>
        <v>0</v>
      </c>
      <c r="S434" s="19">
        <f t="shared" si="132"/>
        <v>0</v>
      </c>
      <c r="T434" s="19">
        <f t="shared" si="133"/>
        <v>0</v>
      </c>
      <c r="U434" s="17"/>
      <c r="V434" s="19">
        <f t="shared" ref="V434:V497" si="145">SUM(P434:T434)</f>
        <v>71.228236810722095</v>
      </c>
      <c r="W434" s="17"/>
      <c r="X434" s="19">
        <f t="shared" ref="X434:X497" si="146">(V434-C434)^2</f>
        <v>63.083732139039263</v>
      </c>
      <c r="Y434" s="19">
        <f t="shared" ref="Y434:Y497" si="147">ABS(V434-C434)</f>
        <v>7.942526810722093</v>
      </c>
      <c r="Z434" s="19"/>
      <c r="AA434" s="19">
        <f t="shared" ref="AA434:AA497" si="148">Y434/$Z$39</f>
        <v>5.1618333822559703E-5</v>
      </c>
    </row>
    <row r="435" spans="2:27" x14ac:dyDescent="0.35">
      <c r="B435" s="27">
        <v>39.700000000000003</v>
      </c>
      <c r="C435" s="27">
        <v>70.035709999999995</v>
      </c>
      <c r="D435" s="19">
        <f t="shared" si="135"/>
        <v>62.878133993055428</v>
      </c>
      <c r="E435" s="19">
        <f t="shared" si="136"/>
        <v>0.67143480436093883</v>
      </c>
      <c r="F435" s="19">
        <f t="shared" si="137"/>
        <v>2.324997644886003</v>
      </c>
      <c r="G435" s="19">
        <f t="shared" si="138"/>
        <v>2.324997644886003</v>
      </c>
      <c r="H435" s="19">
        <f t="shared" si="139"/>
        <v>2.324997644886003</v>
      </c>
      <c r="I435" s="17"/>
      <c r="J435" s="19">
        <f t="shared" si="140"/>
        <v>58.803925382178754</v>
      </c>
      <c r="K435" s="19">
        <f t="shared" si="141"/>
        <v>0.84264469319635071</v>
      </c>
      <c r="L435" s="19">
        <f t="shared" si="142"/>
        <v>1.7597983922533369</v>
      </c>
      <c r="M435" s="19">
        <f t="shared" si="143"/>
        <v>1.7597983922533369</v>
      </c>
      <c r="N435" s="19">
        <f t="shared" si="144"/>
        <v>1.7597983922533369</v>
      </c>
      <c r="O435" s="17"/>
      <c r="P435" s="19">
        <f t="shared" si="134"/>
        <v>15.075818594215983</v>
      </c>
      <c r="Q435" s="19">
        <f t="shared" si="130"/>
        <v>55.810793478820386</v>
      </c>
      <c r="R435" s="19">
        <f t="shared" si="131"/>
        <v>0</v>
      </c>
      <c r="S435" s="19">
        <f t="shared" si="132"/>
        <v>0</v>
      </c>
      <c r="T435" s="19">
        <f t="shared" si="133"/>
        <v>0</v>
      </c>
      <c r="U435" s="17"/>
      <c r="V435" s="19">
        <f t="shared" si="145"/>
        <v>70.886612073036375</v>
      </c>
      <c r="W435" s="17"/>
      <c r="X435" s="19">
        <f t="shared" si="146"/>
        <v>0.72403433789760918</v>
      </c>
      <c r="Y435" s="19">
        <f t="shared" si="147"/>
        <v>0.8509020730363801</v>
      </c>
      <c r="Z435" s="19"/>
      <c r="AA435" s="19">
        <f t="shared" si="148"/>
        <v>5.5299967256020857E-6</v>
      </c>
    </row>
    <row r="436" spans="2:27" x14ac:dyDescent="0.35">
      <c r="B436" s="27">
        <v>39.799999999999997</v>
      </c>
      <c r="C436" s="27">
        <v>65.785709999999995</v>
      </c>
      <c r="D436" s="19">
        <f t="shared" si="135"/>
        <v>63.018633331477908</v>
      </c>
      <c r="E436" s="19">
        <f t="shared" si="136"/>
        <v>0.67755973318806051</v>
      </c>
      <c r="F436" s="19">
        <f t="shared" si="137"/>
        <v>2.3361087559971141</v>
      </c>
      <c r="G436" s="19">
        <f t="shared" si="138"/>
        <v>2.3361087559971141</v>
      </c>
      <c r="H436" s="19">
        <f t="shared" si="139"/>
        <v>2.3361087559971141</v>
      </c>
      <c r="I436" s="17"/>
      <c r="J436" s="19">
        <f t="shared" si="140"/>
        <v>58.94207809695223</v>
      </c>
      <c r="K436" s="19">
        <f t="shared" si="141"/>
        <v>0.84544815933292905</v>
      </c>
      <c r="L436" s="19">
        <f t="shared" si="142"/>
        <v>1.7668886059742661</v>
      </c>
      <c r="M436" s="19">
        <f t="shared" si="143"/>
        <v>1.7668886059742661</v>
      </c>
      <c r="N436" s="19">
        <f t="shared" si="144"/>
        <v>1.7668886059742661</v>
      </c>
      <c r="O436" s="17"/>
      <c r="P436" s="19">
        <f t="shared" si="134"/>
        <v>15.005817941489388</v>
      </c>
      <c r="Q436" s="19">
        <f t="shared" si="130"/>
        <v>55.541225101188758</v>
      </c>
      <c r="R436" s="19">
        <f t="shared" si="131"/>
        <v>0</v>
      </c>
      <c r="S436" s="19">
        <f t="shared" si="132"/>
        <v>0</v>
      </c>
      <c r="T436" s="19">
        <f t="shared" si="133"/>
        <v>0</v>
      </c>
      <c r="U436" s="17"/>
      <c r="V436" s="19">
        <f t="shared" si="145"/>
        <v>70.547043042678141</v>
      </c>
      <c r="W436" s="17"/>
      <c r="X436" s="19">
        <f t="shared" si="146"/>
        <v>22.67029234329873</v>
      </c>
      <c r="Y436" s="19">
        <f t="shared" si="147"/>
        <v>4.7613330426781459</v>
      </c>
      <c r="Z436" s="19"/>
      <c r="AA436" s="19">
        <f t="shared" si="148"/>
        <v>3.0943814770075686E-5</v>
      </c>
    </row>
    <row r="437" spans="2:27" x14ac:dyDescent="0.35">
      <c r="B437" s="27">
        <v>39.9</v>
      </c>
      <c r="C437" s="27">
        <v>68.285709999999995</v>
      </c>
      <c r="D437" s="19">
        <f t="shared" si="135"/>
        <v>63.159132669900401</v>
      </c>
      <c r="E437" s="19">
        <f t="shared" si="136"/>
        <v>0.68368466201518308</v>
      </c>
      <c r="F437" s="19">
        <f t="shared" si="137"/>
        <v>2.3472198671082252</v>
      </c>
      <c r="G437" s="19">
        <f t="shared" si="138"/>
        <v>2.3472198671082252</v>
      </c>
      <c r="H437" s="19">
        <f t="shared" si="139"/>
        <v>2.3472198671082252</v>
      </c>
      <c r="I437" s="17"/>
      <c r="J437" s="19">
        <f t="shared" si="140"/>
        <v>59.080236214038734</v>
      </c>
      <c r="K437" s="19">
        <f t="shared" si="141"/>
        <v>0.84825667188905152</v>
      </c>
      <c r="L437" s="19">
        <f t="shared" si="142"/>
        <v>1.7739891176161298</v>
      </c>
      <c r="M437" s="19">
        <f t="shared" si="143"/>
        <v>1.7739891176161298</v>
      </c>
      <c r="N437" s="19">
        <f t="shared" si="144"/>
        <v>1.7739891176161298</v>
      </c>
      <c r="O437" s="17"/>
      <c r="P437" s="19">
        <f t="shared" si="134"/>
        <v>14.936301006646163</v>
      </c>
      <c r="Q437" s="19">
        <f t="shared" si="130"/>
        <v>55.273214320891277</v>
      </c>
      <c r="R437" s="19">
        <f t="shared" si="131"/>
        <v>0</v>
      </c>
      <c r="S437" s="19">
        <f t="shared" si="132"/>
        <v>0</v>
      </c>
      <c r="T437" s="19">
        <f t="shared" si="133"/>
        <v>0</v>
      </c>
      <c r="U437" s="17"/>
      <c r="V437" s="19">
        <f t="shared" si="145"/>
        <v>70.209515327537446</v>
      </c>
      <c r="W437" s="17"/>
      <c r="X437" s="19">
        <f t="shared" si="146"/>
        <v>3.7010269382614798</v>
      </c>
      <c r="Y437" s="19">
        <f t="shared" si="147"/>
        <v>1.9238053275374511</v>
      </c>
      <c r="Z437" s="19"/>
      <c r="AA437" s="19">
        <f t="shared" si="148"/>
        <v>1.2502774995029423E-5</v>
      </c>
    </row>
    <row r="438" spans="2:27" x14ac:dyDescent="0.35">
      <c r="B438" s="27">
        <v>40</v>
      </c>
      <c r="C438" s="27">
        <v>66.285709999999995</v>
      </c>
      <c r="D438" s="19">
        <f t="shared" si="135"/>
        <v>63.299632008322895</v>
      </c>
      <c r="E438" s="19">
        <f t="shared" si="136"/>
        <v>0.68980959084230475</v>
      </c>
      <c r="F438" s="19">
        <f t="shared" si="137"/>
        <v>2.3583309782193362</v>
      </c>
      <c r="G438" s="19">
        <f t="shared" si="138"/>
        <v>2.3583309782193362</v>
      </c>
      <c r="H438" s="19">
        <f t="shared" si="139"/>
        <v>2.3583309782193362</v>
      </c>
      <c r="I438" s="17"/>
      <c r="J438" s="19">
        <f t="shared" si="140"/>
        <v>59.218399708830674</v>
      </c>
      <c r="K438" s="19">
        <f t="shared" si="141"/>
        <v>0.85107022458237069</v>
      </c>
      <c r="L438" s="19">
        <f t="shared" si="142"/>
        <v>1.7810998893700234</v>
      </c>
      <c r="M438" s="19">
        <f t="shared" si="143"/>
        <v>1.7810998893700234</v>
      </c>
      <c r="N438" s="19">
        <f t="shared" si="144"/>
        <v>1.7810998893700234</v>
      </c>
      <c r="O438" s="17"/>
      <c r="P438" s="19">
        <f t="shared" si="134"/>
        <v>14.867263361695262</v>
      </c>
      <c r="Q438" s="19">
        <f t="shared" si="130"/>
        <v>55.006751289291458</v>
      </c>
      <c r="R438" s="19">
        <f t="shared" si="131"/>
        <v>0</v>
      </c>
      <c r="S438" s="19">
        <f t="shared" si="132"/>
        <v>0</v>
      </c>
      <c r="T438" s="19">
        <f t="shared" si="133"/>
        <v>0</v>
      </c>
      <c r="U438" s="17"/>
      <c r="V438" s="19">
        <f t="shared" si="145"/>
        <v>69.874014650986723</v>
      </c>
      <c r="W438" s="17"/>
      <c r="X438" s="19">
        <f t="shared" si="146"/>
        <v>12.875930268292986</v>
      </c>
      <c r="Y438" s="19">
        <f t="shared" si="147"/>
        <v>3.5883046509867285</v>
      </c>
      <c r="Z438" s="19"/>
      <c r="AA438" s="19">
        <f t="shared" si="148"/>
        <v>2.3320325098762506E-5</v>
      </c>
    </row>
    <row r="439" spans="2:27" x14ac:dyDescent="0.35">
      <c r="B439" s="27">
        <v>40.1</v>
      </c>
      <c r="C439" s="27">
        <v>91.035709999999995</v>
      </c>
      <c r="D439" s="19">
        <f t="shared" si="135"/>
        <v>63.440131346745389</v>
      </c>
      <c r="E439" s="19">
        <f t="shared" si="136"/>
        <v>0.69593451966942732</v>
      </c>
      <c r="F439" s="19">
        <f t="shared" si="137"/>
        <v>2.3694420893304482</v>
      </c>
      <c r="G439" s="19">
        <f t="shared" si="138"/>
        <v>2.3694420893304482</v>
      </c>
      <c r="H439" s="19">
        <f t="shared" si="139"/>
        <v>2.3694420893304482</v>
      </c>
      <c r="I439" s="17"/>
      <c r="J439" s="19">
        <f t="shared" si="140"/>
        <v>59.35656855688724</v>
      </c>
      <c r="K439" s="19">
        <f t="shared" si="141"/>
        <v>0.85388881110674131</v>
      </c>
      <c r="L439" s="19">
        <f t="shared" si="142"/>
        <v>1.7882208835487667</v>
      </c>
      <c r="M439" s="19">
        <f t="shared" si="143"/>
        <v>1.7882208835487667</v>
      </c>
      <c r="N439" s="19">
        <f t="shared" si="144"/>
        <v>1.7882208835487667</v>
      </c>
      <c r="O439" s="17"/>
      <c r="P439" s="19">
        <f t="shared" si="134"/>
        <v>14.798700629028364</v>
      </c>
      <c r="Q439" s="19">
        <f t="shared" ref="Q439:Q502" si="149">(D$21*D$23/(1-D$23)^2*$A$21*D$22)/(K439+K439^2)</f>
        <v>54.741826221751857</v>
      </c>
      <c r="R439" s="19">
        <f t="shared" ref="R439:R502" si="150">(E$21*E$23/(1-E$23)^2*$A$21*E$22)/(L439+L439^2)</f>
        <v>0</v>
      </c>
      <c r="S439" s="19">
        <f t="shared" ref="S439:S502" si="151">(F$21*F$23/(1-F$23)^2*$A$21*F$22)/(M439+M439^2)</f>
        <v>0</v>
      </c>
      <c r="T439" s="19">
        <f t="shared" ref="T439:T502" si="152">(G$21*G$23/(1-G$23)^2*$A$21*G$22)/(N439+N439^2)</f>
        <v>0</v>
      </c>
      <c r="U439" s="17"/>
      <c r="V439" s="19">
        <f t="shared" si="145"/>
        <v>69.540526850780225</v>
      </c>
      <c r="W439" s="17"/>
      <c r="X439" s="19">
        <f t="shared" si="146"/>
        <v>462.04289861850157</v>
      </c>
      <c r="Y439" s="19">
        <f t="shared" si="147"/>
        <v>21.49518314921977</v>
      </c>
      <c r="Z439" s="19"/>
      <c r="AA439" s="19">
        <f t="shared" si="148"/>
        <v>1.3969679496399613E-4</v>
      </c>
    </row>
    <row r="440" spans="2:27" x14ac:dyDescent="0.35">
      <c r="B440" s="27">
        <v>40.200000000000003</v>
      </c>
      <c r="C440" s="27">
        <v>76.535709999999995</v>
      </c>
      <c r="D440" s="19">
        <f t="shared" si="135"/>
        <v>63.580630685167883</v>
      </c>
      <c r="E440" s="19">
        <f t="shared" si="136"/>
        <v>0.70205944849654989</v>
      </c>
      <c r="F440" s="19">
        <f t="shared" si="137"/>
        <v>2.3805532004415584</v>
      </c>
      <c r="G440" s="19">
        <f t="shared" si="138"/>
        <v>2.3805532004415584</v>
      </c>
      <c r="H440" s="19">
        <f t="shared" si="139"/>
        <v>2.3805532004415584</v>
      </c>
      <c r="I440" s="17"/>
      <c r="J440" s="19">
        <f t="shared" si="140"/>
        <v>59.494742733932938</v>
      </c>
      <c r="K440" s="19">
        <f t="shared" si="141"/>
        <v>0.85671242513249124</v>
      </c>
      <c r="L440" s="19">
        <f t="shared" si="142"/>
        <v>1.7953520625872172</v>
      </c>
      <c r="M440" s="19">
        <f t="shared" si="143"/>
        <v>1.7953520625872172</v>
      </c>
      <c r="N440" s="19">
        <f t="shared" si="144"/>
        <v>1.7953520625872172</v>
      </c>
      <c r="O440" s="17"/>
      <c r="P440" s="19">
        <f t="shared" si="134"/>
        <v>14.730608480735457</v>
      </c>
      <c r="Q440" s="19">
        <f t="shared" si="149"/>
        <v>54.478429397231665</v>
      </c>
      <c r="R440" s="19">
        <f t="shared" si="150"/>
        <v>0</v>
      </c>
      <c r="S440" s="19">
        <f t="shared" si="151"/>
        <v>0</v>
      </c>
      <c r="T440" s="19">
        <f t="shared" si="152"/>
        <v>0</v>
      </c>
      <c r="U440" s="17"/>
      <c r="V440" s="19">
        <f t="shared" si="145"/>
        <v>69.20903787796712</v>
      </c>
      <c r="W440" s="17"/>
      <c r="X440" s="19">
        <f t="shared" si="146"/>
        <v>53.680124383773709</v>
      </c>
      <c r="Y440" s="19">
        <f t="shared" si="147"/>
        <v>7.3266721220328748</v>
      </c>
      <c r="Z440" s="19"/>
      <c r="AA440" s="19">
        <f t="shared" si="148"/>
        <v>4.7615905670345696E-5</v>
      </c>
    </row>
    <row r="441" spans="2:27" x14ac:dyDescent="0.35">
      <c r="B441" s="27">
        <v>40.299999999999997</v>
      </c>
      <c r="C441" s="27">
        <v>66.285709999999995</v>
      </c>
      <c r="D441" s="19">
        <f t="shared" si="135"/>
        <v>63.721130023590362</v>
      </c>
      <c r="E441" s="19">
        <f t="shared" si="136"/>
        <v>0.70818437732367157</v>
      </c>
      <c r="F441" s="19">
        <f t="shared" si="137"/>
        <v>2.3916643115526695</v>
      </c>
      <c r="G441" s="19">
        <f t="shared" si="138"/>
        <v>2.3916643115526695</v>
      </c>
      <c r="H441" s="19">
        <f t="shared" si="139"/>
        <v>2.3916643115526695</v>
      </c>
      <c r="I441" s="17"/>
      <c r="J441" s="19">
        <f t="shared" si="140"/>
        <v>59.632922215856055</v>
      </c>
      <c r="K441" s="19">
        <f t="shared" si="141"/>
        <v>0.85954106030669453</v>
      </c>
      <c r="L441" s="19">
        <f t="shared" si="142"/>
        <v>1.8024933890425787</v>
      </c>
      <c r="M441" s="19">
        <f t="shared" si="143"/>
        <v>1.8024933890425787</v>
      </c>
      <c r="N441" s="19">
        <f t="shared" si="144"/>
        <v>1.8024933890425787</v>
      </c>
      <c r="O441" s="17"/>
      <c r="P441" s="19">
        <f t="shared" si="134"/>
        <v>14.662982637931208</v>
      </c>
      <c r="Q441" s="19">
        <f t="shared" si="149"/>
        <v>54.216551157886315</v>
      </c>
      <c r="R441" s="19">
        <f t="shared" si="150"/>
        <v>0</v>
      </c>
      <c r="S441" s="19">
        <f t="shared" si="151"/>
        <v>0</v>
      </c>
      <c r="T441" s="19">
        <f t="shared" si="152"/>
        <v>0</v>
      </c>
      <c r="U441" s="17"/>
      <c r="V441" s="19">
        <f t="shared" si="145"/>
        <v>68.879533795817522</v>
      </c>
      <c r="W441" s="17"/>
      <c r="X441" s="19">
        <f t="shared" si="146"/>
        <v>6.7279218837492483</v>
      </c>
      <c r="Y441" s="19">
        <f t="shared" si="147"/>
        <v>2.5938237958175279</v>
      </c>
      <c r="Z441" s="19"/>
      <c r="AA441" s="19">
        <f t="shared" si="148"/>
        <v>1.6857212542067027E-5</v>
      </c>
    </row>
    <row r="442" spans="2:27" x14ac:dyDescent="0.35">
      <c r="B442" s="27">
        <v>40.4</v>
      </c>
      <c r="C442" s="27">
        <v>87.035709999999995</v>
      </c>
      <c r="D442" s="19">
        <f t="shared" si="135"/>
        <v>63.861629362012856</v>
      </c>
      <c r="E442" s="19">
        <f t="shared" si="136"/>
        <v>0.71430930615079413</v>
      </c>
      <c r="F442" s="19">
        <f t="shared" si="137"/>
        <v>2.4027754226637805</v>
      </c>
      <c r="G442" s="19">
        <f t="shared" si="138"/>
        <v>2.4027754226637805</v>
      </c>
      <c r="H442" s="19">
        <f t="shared" si="139"/>
        <v>2.4027754226637805</v>
      </c>
      <c r="I442" s="17"/>
      <c r="J442" s="19">
        <f t="shared" si="140"/>
        <v>59.771106978707287</v>
      </c>
      <c r="K442" s="19">
        <f t="shared" si="141"/>
        <v>0.86237471025344425</v>
      </c>
      <c r="L442" s="19">
        <f t="shared" si="142"/>
        <v>1.8096448255946811</v>
      </c>
      <c r="M442" s="19">
        <f t="shared" si="143"/>
        <v>1.8096448255946811</v>
      </c>
      <c r="N442" s="19">
        <f t="shared" si="144"/>
        <v>1.8096448255946811</v>
      </c>
      <c r="O442" s="17"/>
      <c r="P442" s="19">
        <f t="shared" si="134"/>
        <v>14.595818870091883</v>
      </c>
      <c r="Q442" s="19">
        <f t="shared" si="149"/>
        <v>53.956181908669365</v>
      </c>
      <c r="R442" s="19">
        <f t="shared" si="150"/>
        <v>0</v>
      </c>
      <c r="S442" s="19">
        <f t="shared" si="151"/>
        <v>0</v>
      </c>
      <c r="T442" s="19">
        <f t="shared" si="152"/>
        <v>0</v>
      </c>
      <c r="U442" s="17"/>
      <c r="V442" s="19">
        <f t="shared" si="145"/>
        <v>68.552000778761254</v>
      </c>
      <c r="W442" s="17"/>
      <c r="X442" s="19">
        <f t="shared" si="146"/>
        <v>341.64750657530607</v>
      </c>
      <c r="Y442" s="19">
        <f t="shared" si="147"/>
        <v>18.48370922123874</v>
      </c>
      <c r="Z442" s="19"/>
      <c r="AA442" s="19">
        <f t="shared" si="148"/>
        <v>1.201252819912464E-4</v>
      </c>
    </row>
    <row r="443" spans="2:27" x14ac:dyDescent="0.35">
      <c r="B443" s="27">
        <v>40.5</v>
      </c>
      <c r="C443" s="27">
        <v>79.785709999999995</v>
      </c>
      <c r="D443" s="19">
        <f t="shared" si="135"/>
        <v>64.00212870043535</v>
      </c>
      <c r="E443" s="19">
        <f t="shared" si="136"/>
        <v>0.7204342349779167</v>
      </c>
      <c r="F443" s="19">
        <f t="shared" si="137"/>
        <v>2.4138865337748916</v>
      </c>
      <c r="G443" s="19">
        <f t="shared" si="138"/>
        <v>2.4138865337748916</v>
      </c>
      <c r="H443" s="19">
        <f t="shared" si="139"/>
        <v>2.4138865337748916</v>
      </c>
      <c r="I443" s="17"/>
      <c r="J443" s="19">
        <f t="shared" si="140"/>
        <v>59.90929699869816</v>
      </c>
      <c r="K443" s="19">
        <f t="shared" si="141"/>
        <v>0.86521336857412168</v>
      </c>
      <c r="L443" s="19">
        <f t="shared" si="142"/>
        <v>1.8168063350462553</v>
      </c>
      <c r="M443" s="19">
        <f t="shared" si="143"/>
        <v>1.8168063350462553</v>
      </c>
      <c r="N443" s="19">
        <f t="shared" si="144"/>
        <v>1.8168063350462553</v>
      </c>
      <c r="O443" s="17"/>
      <c r="P443" s="19">
        <f t="shared" si="134"/>
        <v>14.529112994402794</v>
      </c>
      <c r="Q443" s="19">
        <f t="shared" si="149"/>
        <v>53.697312116936828</v>
      </c>
      <c r="R443" s="19">
        <f t="shared" si="150"/>
        <v>0</v>
      </c>
      <c r="S443" s="19">
        <f t="shared" si="151"/>
        <v>0</v>
      </c>
      <c r="T443" s="19">
        <f t="shared" si="152"/>
        <v>0</v>
      </c>
      <c r="U443" s="17"/>
      <c r="V443" s="19">
        <f t="shared" si="145"/>
        <v>68.226425111339623</v>
      </c>
      <c r="W443" s="17"/>
      <c r="X443" s="19">
        <f t="shared" si="146"/>
        <v>133.61706713721202</v>
      </c>
      <c r="Y443" s="19">
        <f t="shared" si="147"/>
        <v>11.559284888660372</v>
      </c>
      <c r="Z443" s="19"/>
      <c r="AA443" s="19">
        <f t="shared" si="148"/>
        <v>7.5123577213168354E-5</v>
      </c>
    </row>
    <row r="444" spans="2:27" x14ac:dyDescent="0.35">
      <c r="B444" s="27">
        <v>40.6</v>
      </c>
      <c r="C444" s="27">
        <v>54.035710000000002</v>
      </c>
      <c r="D444" s="19">
        <f t="shared" si="135"/>
        <v>64.142628038857836</v>
      </c>
      <c r="E444" s="19">
        <f t="shared" si="136"/>
        <v>0.72655916380503882</v>
      </c>
      <c r="F444" s="19">
        <f t="shared" si="137"/>
        <v>2.4249976448860036</v>
      </c>
      <c r="G444" s="19">
        <f t="shared" si="138"/>
        <v>2.4249976448860036</v>
      </c>
      <c r="H444" s="19">
        <f t="shared" si="139"/>
        <v>2.4249976448860036</v>
      </c>
      <c r="I444" s="17"/>
      <c r="J444" s="19">
        <f t="shared" si="140"/>
        <v>60.047492252199703</v>
      </c>
      <c r="K444" s="19">
        <f t="shared" si="141"/>
        <v>0.86805702884766667</v>
      </c>
      <c r="L444" s="19">
        <f t="shared" si="142"/>
        <v>1.823977880323191</v>
      </c>
      <c r="M444" s="19">
        <f t="shared" si="143"/>
        <v>1.823977880323191</v>
      </c>
      <c r="N444" s="19">
        <f t="shared" si="144"/>
        <v>1.823977880323191</v>
      </c>
      <c r="O444" s="17"/>
      <c r="P444" s="19">
        <f t="shared" si="134"/>
        <v>14.462860875115856</v>
      </c>
      <c r="Q444" s="19">
        <f t="shared" si="149"/>
        <v>53.439932312053607</v>
      </c>
      <c r="R444" s="19">
        <f t="shared" si="150"/>
        <v>0</v>
      </c>
      <c r="S444" s="19">
        <f t="shared" si="151"/>
        <v>0</v>
      </c>
      <c r="T444" s="19">
        <f t="shared" si="152"/>
        <v>0</v>
      </c>
      <c r="U444" s="17"/>
      <c r="V444" s="19">
        <f t="shared" si="145"/>
        <v>67.902793187169465</v>
      </c>
      <c r="W444" s="17"/>
      <c r="X444" s="19">
        <f t="shared" si="146"/>
        <v>192.295996119878</v>
      </c>
      <c r="Y444" s="19">
        <f t="shared" si="147"/>
        <v>13.867083187169463</v>
      </c>
      <c r="Z444" s="19"/>
      <c r="AA444" s="19">
        <f t="shared" si="148"/>
        <v>9.0121915375120036E-5</v>
      </c>
    </row>
    <row r="445" spans="2:27" x14ac:dyDescent="0.35">
      <c r="B445" s="27">
        <v>40.700000000000003</v>
      </c>
      <c r="C445" s="27">
        <v>63.035710000000002</v>
      </c>
      <c r="D445" s="19">
        <f t="shared" si="135"/>
        <v>64.283127377280337</v>
      </c>
      <c r="E445" s="19">
        <f t="shared" si="136"/>
        <v>0.73268409263216094</v>
      </c>
      <c r="F445" s="19">
        <f t="shared" si="137"/>
        <v>2.4361087559971137</v>
      </c>
      <c r="G445" s="19">
        <f t="shared" si="138"/>
        <v>2.4361087559971137</v>
      </c>
      <c r="H445" s="19">
        <f t="shared" si="139"/>
        <v>2.4361087559971137</v>
      </c>
      <c r="I445" s="17"/>
      <c r="J445" s="19">
        <f t="shared" si="140"/>
        <v>60.185692715740998</v>
      </c>
      <c r="K445" s="19">
        <f t="shared" si="141"/>
        <v>0.87090568463084728</v>
      </c>
      <c r="L445" s="19">
        <f t="shared" si="142"/>
        <v>1.831159424474776</v>
      </c>
      <c r="M445" s="19">
        <f t="shared" si="143"/>
        <v>1.831159424474776</v>
      </c>
      <c r="N445" s="19">
        <f t="shared" si="144"/>
        <v>1.831159424474776</v>
      </c>
      <c r="O445" s="17"/>
      <c r="P445" s="19">
        <f t="shared" si="134"/>
        <v>14.397058422917254</v>
      </c>
      <c r="Q445" s="19">
        <f t="shared" si="149"/>
        <v>53.18403308500212</v>
      </c>
      <c r="R445" s="19">
        <f t="shared" si="150"/>
        <v>0</v>
      </c>
      <c r="S445" s="19">
        <f t="shared" si="151"/>
        <v>0</v>
      </c>
      <c r="T445" s="19">
        <f t="shared" si="152"/>
        <v>0</v>
      </c>
      <c r="U445" s="17"/>
      <c r="V445" s="19">
        <f t="shared" si="145"/>
        <v>67.581091507919382</v>
      </c>
      <c r="W445" s="17"/>
      <c r="X445" s="19">
        <f t="shared" si="146"/>
        <v>20.660493052535458</v>
      </c>
      <c r="Y445" s="19">
        <f t="shared" si="147"/>
        <v>4.5453815079193802</v>
      </c>
      <c r="Z445" s="19"/>
      <c r="AA445" s="19">
        <f t="shared" si="148"/>
        <v>2.9540349767524614E-5</v>
      </c>
    </row>
    <row r="446" spans="2:27" x14ac:dyDescent="0.35">
      <c r="B446" s="27">
        <v>40.799999999999997</v>
      </c>
      <c r="C446" s="27">
        <v>81.535709999999995</v>
      </c>
      <c r="D446" s="19">
        <f t="shared" si="135"/>
        <v>64.42362671570281</v>
      </c>
      <c r="E446" s="19">
        <f t="shared" si="136"/>
        <v>0.73880902145928307</v>
      </c>
      <c r="F446" s="19">
        <f t="shared" si="137"/>
        <v>2.4472198671082248</v>
      </c>
      <c r="G446" s="19">
        <f t="shared" si="138"/>
        <v>2.4472198671082248</v>
      </c>
      <c r="H446" s="19">
        <f t="shared" si="139"/>
        <v>2.4472198671082248</v>
      </c>
      <c r="I446" s="17"/>
      <c r="J446" s="19">
        <f t="shared" si="140"/>
        <v>60.323898366007732</v>
      </c>
      <c r="K446" s="19">
        <f t="shared" si="141"/>
        <v>0.8737593294585273</v>
      </c>
      <c r="L446" s="19">
        <f t="shared" si="142"/>
        <v>1.8383509306739299</v>
      </c>
      <c r="M446" s="19">
        <f t="shared" si="143"/>
        <v>1.8383509306739299</v>
      </c>
      <c r="N446" s="19">
        <f t="shared" si="144"/>
        <v>1.8383509306739299</v>
      </c>
      <c r="O446" s="17"/>
      <c r="P446" s="19">
        <f t="shared" si="134"/>
        <v>14.33170159430497</v>
      </c>
      <c r="Q446" s="19">
        <f t="shared" si="149"/>
        <v>52.929605087993359</v>
      </c>
      <c r="R446" s="19">
        <f t="shared" si="150"/>
        <v>0</v>
      </c>
      <c r="S446" s="19">
        <f t="shared" si="151"/>
        <v>0</v>
      </c>
      <c r="T446" s="19">
        <f t="shared" si="152"/>
        <v>0</v>
      </c>
      <c r="U446" s="17"/>
      <c r="V446" s="19">
        <f t="shared" si="145"/>
        <v>67.261306682298326</v>
      </c>
      <c r="W446" s="17"/>
      <c r="X446" s="19">
        <f t="shared" si="146"/>
        <v>203.75859007641242</v>
      </c>
      <c r="Y446" s="19">
        <f t="shared" si="147"/>
        <v>14.274403317701669</v>
      </c>
      <c r="Z446" s="19"/>
      <c r="AA446" s="19">
        <f t="shared" si="148"/>
        <v>9.2769081317585212E-5</v>
      </c>
    </row>
    <row r="447" spans="2:27" x14ac:dyDescent="0.35">
      <c r="B447" s="27">
        <v>40.9</v>
      </c>
      <c r="C447" s="27">
        <v>83.285709999999995</v>
      </c>
      <c r="D447" s="19">
        <f t="shared" si="135"/>
        <v>64.56412605412531</v>
      </c>
      <c r="E447" s="19">
        <f t="shared" si="136"/>
        <v>0.74493395028640563</v>
      </c>
      <c r="F447" s="19">
        <f t="shared" si="137"/>
        <v>2.4583309782193359</v>
      </c>
      <c r="G447" s="19">
        <f t="shared" si="138"/>
        <v>2.4583309782193359</v>
      </c>
      <c r="H447" s="19">
        <f t="shared" si="139"/>
        <v>2.4583309782193359</v>
      </c>
      <c r="I447" s="17"/>
      <c r="J447" s="19">
        <f t="shared" si="140"/>
        <v>60.462109179840951</v>
      </c>
      <c r="K447" s="19">
        <f t="shared" si="141"/>
        <v>0.87661795684393384</v>
      </c>
      <c r="L447" s="19">
        <f t="shared" si="142"/>
        <v>1.8455523622174155</v>
      </c>
      <c r="M447" s="19">
        <f t="shared" si="143"/>
        <v>1.8455523622174155</v>
      </c>
      <c r="N447" s="19">
        <f t="shared" si="144"/>
        <v>1.8455523622174155</v>
      </c>
      <c r="O447" s="17"/>
      <c r="P447" s="19">
        <f t="shared" si="134"/>
        <v>14.266786390975938</v>
      </c>
      <c r="Q447" s="19">
        <f t="shared" si="149"/>
        <v>52.676639034079948</v>
      </c>
      <c r="R447" s="19">
        <f t="shared" si="150"/>
        <v>0</v>
      </c>
      <c r="S447" s="19">
        <f t="shared" si="151"/>
        <v>0</v>
      </c>
      <c r="T447" s="19">
        <f t="shared" si="152"/>
        <v>0</v>
      </c>
      <c r="U447" s="17"/>
      <c r="V447" s="19">
        <f t="shared" si="145"/>
        <v>66.943425425055892</v>
      </c>
      <c r="W447" s="17"/>
      <c r="X447" s="19">
        <f t="shared" si="146"/>
        <v>267.07026512845596</v>
      </c>
      <c r="Y447" s="19">
        <f t="shared" si="147"/>
        <v>16.342284574944102</v>
      </c>
      <c r="Z447" s="19"/>
      <c r="AA447" s="19">
        <f t="shared" si="148"/>
        <v>1.062082030965207E-4</v>
      </c>
    </row>
    <row r="448" spans="2:27" x14ac:dyDescent="0.35">
      <c r="B448" s="27">
        <v>41</v>
      </c>
      <c r="C448" s="27">
        <v>75.785709999999995</v>
      </c>
      <c r="D448" s="19">
        <f t="shared" si="135"/>
        <v>64.704625392547797</v>
      </c>
      <c r="E448" s="19">
        <f t="shared" si="136"/>
        <v>0.75105887911352776</v>
      </c>
      <c r="F448" s="19">
        <f t="shared" si="137"/>
        <v>2.4694420893304478</v>
      </c>
      <c r="G448" s="19">
        <f t="shared" si="138"/>
        <v>2.4694420893304478</v>
      </c>
      <c r="H448" s="19">
        <f t="shared" si="139"/>
        <v>2.4694420893304478</v>
      </c>
      <c r="I448" s="17"/>
      <c r="J448" s="19">
        <f t="shared" si="140"/>
        <v>60.600325134235511</v>
      </c>
      <c r="K448" s="19">
        <f t="shared" si="141"/>
        <v>0.87948156027892221</v>
      </c>
      <c r="L448" s="19">
        <f t="shared" si="142"/>
        <v>1.8527636825260403</v>
      </c>
      <c r="M448" s="19">
        <f t="shared" si="143"/>
        <v>1.8527636825260403</v>
      </c>
      <c r="N448" s="19">
        <f t="shared" si="144"/>
        <v>1.8527636825260403</v>
      </c>
      <c r="O448" s="17"/>
      <c r="P448" s="19">
        <f t="shared" si="134"/>
        <v>14.202308859222851</v>
      </c>
      <c r="Q448" s="19">
        <f t="shared" si="149"/>
        <v>52.42512569677168</v>
      </c>
      <c r="R448" s="19">
        <f t="shared" si="150"/>
        <v>0</v>
      </c>
      <c r="S448" s="19">
        <f t="shared" si="151"/>
        <v>0</v>
      </c>
      <c r="T448" s="19">
        <f t="shared" si="152"/>
        <v>0</v>
      </c>
      <c r="U448" s="17"/>
      <c r="V448" s="19">
        <f t="shared" si="145"/>
        <v>66.627434555994526</v>
      </c>
      <c r="W448" s="17"/>
      <c r="X448" s="19">
        <f t="shared" si="146"/>
        <v>83.874009108273569</v>
      </c>
      <c r="Y448" s="19">
        <f t="shared" si="147"/>
        <v>9.1582754440054686</v>
      </c>
      <c r="Z448" s="19"/>
      <c r="AA448" s="19">
        <f t="shared" si="148"/>
        <v>5.9519461548364215E-5</v>
      </c>
    </row>
    <row r="449" spans="2:27" x14ac:dyDescent="0.35">
      <c r="B449" s="27">
        <v>41.1</v>
      </c>
      <c r="C449" s="27">
        <v>69.535709999999995</v>
      </c>
      <c r="D449" s="19">
        <f t="shared" si="135"/>
        <v>64.845124730970298</v>
      </c>
      <c r="E449" s="19">
        <f t="shared" si="136"/>
        <v>0.75718380794065032</v>
      </c>
      <c r="F449" s="19">
        <f t="shared" si="137"/>
        <v>2.4805532004415589</v>
      </c>
      <c r="G449" s="19">
        <f t="shared" si="138"/>
        <v>2.4805532004415589</v>
      </c>
      <c r="H449" s="19">
        <f t="shared" si="139"/>
        <v>2.4805532004415589</v>
      </c>
      <c r="I449" s="17"/>
      <c r="J449" s="19">
        <f t="shared" si="140"/>
        <v>60.73854620633886</v>
      </c>
      <c r="K449" s="19">
        <f t="shared" si="141"/>
        <v>0.88235013323424372</v>
      </c>
      <c r="L449" s="19">
        <f t="shared" si="142"/>
        <v>1.8599848551448437</v>
      </c>
      <c r="M449" s="19">
        <f t="shared" si="143"/>
        <v>1.8599848551448437</v>
      </c>
      <c r="N449" s="19">
        <f t="shared" si="144"/>
        <v>1.8599848551448437</v>
      </c>
      <c r="O449" s="17"/>
      <c r="P449" s="19">
        <f t="shared" si="134"/>
        <v>14.138265089340171</v>
      </c>
      <c r="Q449" s="19">
        <f t="shared" si="149"/>
        <v>52.175055909652876</v>
      </c>
      <c r="R449" s="19">
        <f t="shared" si="150"/>
        <v>0</v>
      </c>
      <c r="S449" s="19">
        <f t="shared" si="151"/>
        <v>0</v>
      </c>
      <c r="T449" s="19">
        <f t="shared" si="152"/>
        <v>0</v>
      </c>
      <c r="U449" s="17"/>
      <c r="V449" s="19">
        <f t="shared" si="145"/>
        <v>66.313320998993049</v>
      </c>
      <c r="W449" s="17"/>
      <c r="X449" s="19">
        <f t="shared" si="146"/>
        <v>10.38379087381054</v>
      </c>
      <c r="Y449" s="19">
        <f t="shared" si="147"/>
        <v>3.2223890010069454</v>
      </c>
      <c r="Z449" s="19"/>
      <c r="AA449" s="19">
        <f t="shared" si="148"/>
        <v>2.0942246104297247E-5</v>
      </c>
    </row>
    <row r="450" spans="2:27" x14ac:dyDescent="0.35">
      <c r="B450" s="27">
        <v>41.2</v>
      </c>
      <c r="C450" s="27">
        <v>60.785710000000002</v>
      </c>
      <c r="D450" s="19">
        <f t="shared" si="135"/>
        <v>64.985624069392784</v>
      </c>
      <c r="E450" s="19">
        <f t="shared" si="136"/>
        <v>0.76330873676777244</v>
      </c>
      <c r="F450" s="19">
        <f t="shared" si="137"/>
        <v>2.4916643115526691</v>
      </c>
      <c r="G450" s="19">
        <f t="shared" si="138"/>
        <v>2.4916643115526691</v>
      </c>
      <c r="H450" s="19">
        <f t="shared" si="139"/>
        <v>2.4916643115526691</v>
      </c>
      <c r="I450" s="17"/>
      <c r="J450" s="19">
        <f t="shared" si="140"/>
        <v>60.876772373449597</v>
      </c>
      <c r="K450" s="19">
        <f t="shared" si="141"/>
        <v>0.88522366915980755</v>
      </c>
      <c r="L450" s="19">
        <f t="shared" si="142"/>
        <v>1.8672158437432738</v>
      </c>
      <c r="M450" s="19">
        <f t="shared" si="143"/>
        <v>1.8672158437432738</v>
      </c>
      <c r="N450" s="19">
        <f t="shared" si="144"/>
        <v>1.8672158437432738</v>
      </c>
      <c r="O450" s="17"/>
      <c r="P450" s="19">
        <f t="shared" si="134"/>
        <v>14.074651215039443</v>
      </c>
      <c r="Q450" s="19">
        <f t="shared" si="149"/>
        <v>51.926420566002342</v>
      </c>
      <c r="R450" s="19">
        <f t="shared" si="150"/>
        <v>0</v>
      </c>
      <c r="S450" s="19">
        <f t="shared" si="151"/>
        <v>0</v>
      </c>
      <c r="T450" s="19">
        <f t="shared" si="152"/>
        <v>0</v>
      </c>
      <c r="U450" s="17"/>
      <c r="V450" s="19">
        <f t="shared" si="145"/>
        <v>66.001071781041787</v>
      </c>
      <c r="W450" s="17"/>
      <c r="X450" s="19">
        <f t="shared" si="146"/>
        <v>27.199998507151346</v>
      </c>
      <c r="Y450" s="19">
        <f t="shared" si="147"/>
        <v>5.2153617810417856</v>
      </c>
      <c r="Z450" s="19"/>
      <c r="AA450" s="19">
        <f t="shared" si="148"/>
        <v>3.3894539084943851E-5</v>
      </c>
    </row>
    <row r="451" spans="2:27" x14ac:dyDescent="0.35">
      <c r="B451" s="27">
        <v>41.3</v>
      </c>
      <c r="C451" s="27">
        <v>62.785710000000002</v>
      </c>
      <c r="D451" s="19">
        <f t="shared" si="135"/>
        <v>65.126123407815271</v>
      </c>
      <c r="E451" s="19">
        <f t="shared" si="136"/>
        <v>0.76943366559489412</v>
      </c>
      <c r="F451" s="19">
        <f t="shared" si="137"/>
        <v>2.5027754226637802</v>
      </c>
      <c r="G451" s="19">
        <f t="shared" si="138"/>
        <v>2.5027754226637802</v>
      </c>
      <c r="H451" s="19">
        <f t="shared" si="139"/>
        <v>2.5027754226637802</v>
      </c>
      <c r="I451" s="17"/>
      <c r="J451" s="19">
        <f t="shared" si="140"/>
        <v>61.015003613016255</v>
      </c>
      <c r="K451" s="19">
        <f t="shared" si="141"/>
        <v>0.88810216148494581</v>
      </c>
      <c r="L451" s="19">
        <f t="shared" si="142"/>
        <v>1.8744566121153474</v>
      </c>
      <c r="M451" s="19">
        <f t="shared" si="143"/>
        <v>1.8744566121153474</v>
      </c>
      <c r="N451" s="19">
        <f t="shared" si="144"/>
        <v>1.8744566121153474</v>
      </c>
      <c r="O451" s="17"/>
      <c r="P451" s="19">
        <f t="shared" si="134"/>
        <v>14.011463412873528</v>
      </c>
      <c r="Q451" s="19">
        <f t="shared" si="149"/>
        <v>51.679210618415183</v>
      </c>
      <c r="R451" s="19">
        <f t="shared" si="150"/>
        <v>0</v>
      </c>
      <c r="S451" s="19">
        <f t="shared" si="151"/>
        <v>0</v>
      </c>
      <c r="T451" s="19">
        <f t="shared" si="152"/>
        <v>0</v>
      </c>
      <c r="U451" s="17"/>
      <c r="V451" s="19">
        <f t="shared" si="145"/>
        <v>65.690674031288708</v>
      </c>
      <c r="W451" s="17"/>
      <c r="X451" s="19">
        <f t="shared" si="146"/>
        <v>8.4388160230811327</v>
      </c>
      <c r="Y451" s="19">
        <f t="shared" si="147"/>
        <v>2.9049640312887064</v>
      </c>
      <c r="Z451" s="19"/>
      <c r="AA451" s="19">
        <f t="shared" si="148"/>
        <v>1.8879307137769248E-5</v>
      </c>
    </row>
    <row r="452" spans="2:27" x14ac:dyDescent="0.35">
      <c r="B452" s="27">
        <v>41.4</v>
      </c>
      <c r="C452" s="27">
        <v>56.285710000000002</v>
      </c>
      <c r="D452" s="19">
        <f t="shared" si="135"/>
        <v>65.266622746237758</v>
      </c>
      <c r="E452" s="19">
        <f t="shared" si="136"/>
        <v>0.77555859442201669</v>
      </c>
      <c r="F452" s="19">
        <f t="shared" si="137"/>
        <v>2.5138865337748912</v>
      </c>
      <c r="G452" s="19">
        <f t="shared" si="138"/>
        <v>2.5138865337748912</v>
      </c>
      <c r="H452" s="19">
        <f t="shared" si="139"/>
        <v>2.5138865337748912</v>
      </c>
      <c r="I452" s="17"/>
      <c r="J452" s="19">
        <f t="shared" si="140"/>
        <v>61.153239902635903</v>
      </c>
      <c r="K452" s="19">
        <f t="shared" si="141"/>
        <v>0.89098560361867607</v>
      </c>
      <c r="L452" s="19">
        <f t="shared" si="142"/>
        <v>1.8817071241797982</v>
      </c>
      <c r="M452" s="19">
        <f t="shared" si="143"/>
        <v>1.8817071241797982</v>
      </c>
      <c r="N452" s="19">
        <f t="shared" si="144"/>
        <v>1.8817071241797982</v>
      </c>
      <c r="O452" s="17"/>
      <c r="P452" s="19">
        <f t="shared" si="134"/>
        <v>13.948697901669799</v>
      </c>
      <c r="Q452" s="19">
        <f t="shared" si="149"/>
        <v>51.433417078426949</v>
      </c>
      <c r="R452" s="19">
        <f t="shared" si="150"/>
        <v>0</v>
      </c>
      <c r="S452" s="19">
        <f t="shared" si="151"/>
        <v>0</v>
      </c>
      <c r="T452" s="19">
        <f t="shared" si="152"/>
        <v>0</v>
      </c>
      <c r="U452" s="17"/>
      <c r="V452" s="19">
        <f t="shared" si="145"/>
        <v>65.382114980096745</v>
      </c>
      <c r="W452" s="17"/>
      <c r="X452" s="19">
        <f t="shared" si="146"/>
        <v>82.744583561928835</v>
      </c>
      <c r="Y452" s="19">
        <f t="shared" si="147"/>
        <v>9.096404980096743</v>
      </c>
      <c r="Z452" s="19"/>
      <c r="AA452" s="19">
        <f t="shared" si="148"/>
        <v>5.9117366555686835E-5</v>
      </c>
    </row>
    <row r="453" spans="2:27" x14ac:dyDescent="0.35">
      <c r="B453" s="27">
        <v>41.5</v>
      </c>
      <c r="C453" s="27">
        <v>62.285710000000002</v>
      </c>
      <c r="D453" s="19">
        <f t="shared" si="135"/>
        <v>65.407122084660259</v>
      </c>
      <c r="E453" s="19">
        <f t="shared" si="136"/>
        <v>0.78168352324913926</v>
      </c>
      <c r="F453" s="19">
        <f t="shared" si="137"/>
        <v>2.5249976448860032</v>
      </c>
      <c r="G453" s="19">
        <f t="shared" si="138"/>
        <v>2.5249976448860032</v>
      </c>
      <c r="H453" s="19">
        <f t="shared" si="139"/>
        <v>2.5249976448860032</v>
      </c>
      <c r="I453" s="17"/>
      <c r="J453" s="19">
        <f t="shared" si="140"/>
        <v>61.291481220052901</v>
      </c>
      <c r="K453" s="19">
        <f t="shared" si="141"/>
        <v>0.89387398894996095</v>
      </c>
      <c r="L453" s="19">
        <f t="shared" si="142"/>
        <v>1.8889673439802142</v>
      </c>
      <c r="M453" s="19">
        <f t="shared" si="143"/>
        <v>1.8889673439802142</v>
      </c>
      <c r="N453" s="19">
        <f t="shared" si="144"/>
        <v>1.8889673439802142</v>
      </c>
      <c r="O453" s="17"/>
      <c r="P453" s="19">
        <f t="shared" si="134"/>
        <v>13.886350941971981</v>
      </c>
      <c r="Q453" s="19">
        <f t="shared" si="149"/>
        <v>51.189031016140021</v>
      </c>
      <c r="R453" s="19">
        <f t="shared" si="150"/>
        <v>0</v>
      </c>
      <c r="S453" s="19">
        <f t="shared" si="151"/>
        <v>0</v>
      </c>
      <c r="T453" s="19">
        <f t="shared" si="152"/>
        <v>0</v>
      </c>
      <c r="U453" s="17"/>
      <c r="V453" s="19">
        <f t="shared" si="145"/>
        <v>65.075381958112004</v>
      </c>
      <c r="W453" s="17"/>
      <c r="X453" s="19">
        <f t="shared" si="146"/>
        <v>7.7822696338764539</v>
      </c>
      <c r="Y453" s="19">
        <f t="shared" si="147"/>
        <v>2.7896719581120024</v>
      </c>
      <c r="Z453" s="19"/>
      <c r="AA453" s="19">
        <f t="shared" si="148"/>
        <v>1.8130026101374603E-5</v>
      </c>
    </row>
    <row r="454" spans="2:27" x14ac:dyDescent="0.35">
      <c r="B454" s="27">
        <v>41.6</v>
      </c>
      <c r="C454" s="27">
        <v>65.035709999999995</v>
      </c>
      <c r="D454" s="19">
        <f t="shared" si="135"/>
        <v>65.547621423082745</v>
      </c>
      <c r="E454" s="19">
        <f t="shared" si="136"/>
        <v>0.78780845207626138</v>
      </c>
      <c r="F454" s="19">
        <f t="shared" si="137"/>
        <v>2.5361087559971143</v>
      </c>
      <c r="G454" s="19">
        <f t="shared" si="138"/>
        <v>2.5361087559971143</v>
      </c>
      <c r="H454" s="19">
        <f t="shared" si="139"/>
        <v>2.5361087559971143</v>
      </c>
      <c r="I454" s="17"/>
      <c r="J454" s="19">
        <f t="shared" si="140"/>
        <v>61.429727543157547</v>
      </c>
      <c r="K454" s="19">
        <f t="shared" si="141"/>
        <v>0.89676731084797068</v>
      </c>
      <c r="L454" s="19">
        <f t="shared" si="142"/>
        <v>1.8962372356851589</v>
      </c>
      <c r="M454" s="19">
        <f t="shared" si="143"/>
        <v>1.8962372356851589</v>
      </c>
      <c r="N454" s="19">
        <f t="shared" si="144"/>
        <v>1.8962372356851589</v>
      </c>
      <c r="O454" s="17"/>
      <c r="P454" s="19">
        <f t="shared" si="134"/>
        <v>13.824418835490603</v>
      </c>
      <c r="Q454" s="19">
        <f t="shared" si="149"/>
        <v>50.946043559851844</v>
      </c>
      <c r="R454" s="19">
        <f t="shared" si="150"/>
        <v>0</v>
      </c>
      <c r="S454" s="19">
        <f t="shared" si="151"/>
        <v>0</v>
      </c>
      <c r="T454" s="19">
        <f t="shared" si="152"/>
        <v>0</v>
      </c>
      <c r="U454" s="17"/>
      <c r="V454" s="19">
        <f t="shared" si="145"/>
        <v>64.770462395342449</v>
      </c>
      <c r="W454" s="17"/>
      <c r="X454" s="19">
        <f t="shared" si="146"/>
        <v>7.035629177656573E-2</v>
      </c>
      <c r="Y454" s="19">
        <f t="shared" si="147"/>
        <v>0.26524760465754582</v>
      </c>
      <c r="Z454" s="19"/>
      <c r="AA454" s="19">
        <f t="shared" si="148"/>
        <v>1.723839242741287E-6</v>
      </c>
    </row>
    <row r="455" spans="2:27" x14ac:dyDescent="0.35">
      <c r="B455" s="27">
        <v>41.7</v>
      </c>
      <c r="C455" s="27">
        <v>71.035709999999995</v>
      </c>
      <c r="D455" s="19">
        <f t="shared" si="135"/>
        <v>65.688120761505246</v>
      </c>
      <c r="E455" s="19">
        <f t="shared" si="136"/>
        <v>0.79393338090338395</v>
      </c>
      <c r="F455" s="19">
        <f t="shared" si="137"/>
        <v>2.5472198671082253</v>
      </c>
      <c r="G455" s="19">
        <f t="shared" si="138"/>
        <v>2.5472198671082253</v>
      </c>
      <c r="H455" s="19">
        <f t="shared" si="139"/>
        <v>2.5472198671082253</v>
      </c>
      <c r="I455" s="17"/>
      <c r="J455" s="19">
        <f t="shared" si="140"/>
        <v>61.567978849984918</v>
      </c>
      <c r="K455" s="19">
        <f t="shared" si="141"/>
        <v>0.89966556266234199</v>
      </c>
      <c r="L455" s="19">
        <f t="shared" si="142"/>
        <v>1.9035167635882875</v>
      </c>
      <c r="M455" s="19">
        <f t="shared" si="143"/>
        <v>1.9035167635882875</v>
      </c>
      <c r="N455" s="19">
        <f t="shared" si="144"/>
        <v>1.9035167635882875</v>
      </c>
      <c r="O455" s="17"/>
      <c r="P455" s="19">
        <f t="shared" si="134"/>
        <v>13.762897924561777</v>
      </c>
      <c r="Q455" s="19">
        <f t="shared" si="149"/>
        <v>50.704445895685602</v>
      </c>
      <c r="R455" s="19">
        <f t="shared" si="150"/>
        <v>0</v>
      </c>
      <c r="S455" s="19">
        <f t="shared" si="151"/>
        <v>0</v>
      </c>
      <c r="T455" s="19">
        <f t="shared" si="152"/>
        <v>0</v>
      </c>
      <c r="U455" s="17"/>
      <c r="V455" s="19">
        <f t="shared" si="145"/>
        <v>64.467343820247379</v>
      </c>
      <c r="W455" s="17"/>
      <c r="X455" s="19">
        <f t="shared" si="146"/>
        <v>43.143434271317972</v>
      </c>
      <c r="Y455" s="19">
        <f t="shared" si="147"/>
        <v>6.5683661797526156</v>
      </c>
      <c r="Z455" s="19"/>
      <c r="AA455" s="19">
        <f t="shared" si="148"/>
        <v>4.2687689474032412E-5</v>
      </c>
    </row>
    <row r="456" spans="2:27" x14ac:dyDescent="0.35">
      <c r="B456" s="27">
        <v>41.8</v>
      </c>
      <c r="C456" s="27">
        <v>72.035709999999995</v>
      </c>
      <c r="D456" s="19">
        <f t="shared" si="135"/>
        <v>65.828620099927718</v>
      </c>
      <c r="E456" s="19">
        <f t="shared" si="136"/>
        <v>0.80005830973050607</v>
      </c>
      <c r="F456" s="19">
        <f t="shared" si="137"/>
        <v>2.5583309782193355</v>
      </c>
      <c r="G456" s="19">
        <f t="shared" si="138"/>
        <v>2.5583309782193355</v>
      </c>
      <c r="H456" s="19">
        <f t="shared" si="139"/>
        <v>2.5583309782193355</v>
      </c>
      <c r="I456" s="17"/>
      <c r="J456" s="19">
        <f t="shared" si="140"/>
        <v>61.706235118713487</v>
      </c>
      <c r="K456" s="19">
        <f t="shared" si="141"/>
        <v>0.90256873772343582</v>
      </c>
      <c r="L456" s="19">
        <f t="shared" si="142"/>
        <v>1.9108058921084425</v>
      </c>
      <c r="M456" s="19">
        <f t="shared" si="143"/>
        <v>1.9108058921084425</v>
      </c>
      <c r="N456" s="19">
        <f t="shared" si="144"/>
        <v>1.9108058921084425</v>
      </c>
      <c r="O456" s="17"/>
      <c r="P456" s="19">
        <f t="shared" si="134"/>
        <v>13.701784591614357</v>
      </c>
      <c r="Q456" s="19">
        <f t="shared" si="149"/>
        <v>50.464229267222905</v>
      </c>
      <c r="R456" s="19">
        <f t="shared" si="150"/>
        <v>0</v>
      </c>
      <c r="S456" s="19">
        <f t="shared" si="151"/>
        <v>0</v>
      </c>
      <c r="T456" s="19">
        <f t="shared" si="152"/>
        <v>0</v>
      </c>
      <c r="U456" s="17"/>
      <c r="V456" s="19">
        <f t="shared" si="145"/>
        <v>64.16601385883726</v>
      </c>
      <c r="W456" s="17"/>
      <c r="X456" s="19">
        <f t="shared" si="146"/>
        <v>61.932117354231629</v>
      </c>
      <c r="Y456" s="19">
        <f t="shared" si="147"/>
        <v>7.8696961411627342</v>
      </c>
      <c r="Z456" s="19"/>
      <c r="AA456" s="19">
        <f t="shared" si="148"/>
        <v>5.1145008657479938E-5</v>
      </c>
    </row>
    <row r="457" spans="2:27" x14ac:dyDescent="0.35">
      <c r="B457" s="27">
        <v>41.9</v>
      </c>
      <c r="C457" s="27">
        <v>53.535710000000002</v>
      </c>
      <c r="D457" s="19">
        <f t="shared" si="135"/>
        <v>65.969119438350219</v>
      </c>
      <c r="E457" s="19">
        <f t="shared" si="136"/>
        <v>0.80618323855762819</v>
      </c>
      <c r="F457" s="19">
        <f t="shared" si="137"/>
        <v>2.5694420893304475</v>
      </c>
      <c r="G457" s="19">
        <f t="shared" si="138"/>
        <v>2.5694420893304475</v>
      </c>
      <c r="H457" s="19">
        <f t="shared" si="139"/>
        <v>2.5694420893304475</v>
      </c>
      <c r="I457" s="17"/>
      <c r="J457" s="19">
        <f t="shared" si="140"/>
        <v>61.844496327664032</v>
      </c>
      <c r="K457" s="19">
        <f t="shared" si="141"/>
        <v>0.9054768293425961</v>
      </c>
      <c r="L457" s="19">
        <f t="shared" si="142"/>
        <v>1.9181045857897465</v>
      </c>
      <c r="M457" s="19">
        <f t="shared" si="143"/>
        <v>1.9181045857897465</v>
      </c>
      <c r="N457" s="19">
        <f t="shared" si="144"/>
        <v>1.9181045857897465</v>
      </c>
      <c r="O457" s="17"/>
      <c r="P457" s="19">
        <f t="shared" si="134"/>
        <v>13.641075258645067</v>
      </c>
      <c r="Q457" s="19">
        <f t="shared" si="149"/>
        <v>50.225384975138525</v>
      </c>
      <c r="R457" s="19">
        <f t="shared" si="150"/>
        <v>0</v>
      </c>
      <c r="S457" s="19">
        <f t="shared" si="151"/>
        <v>0</v>
      </c>
      <c r="T457" s="19">
        <f t="shared" si="152"/>
        <v>0</v>
      </c>
      <c r="U457" s="17"/>
      <c r="V457" s="19">
        <f t="shared" si="145"/>
        <v>63.866460233783592</v>
      </c>
      <c r="W457" s="17"/>
      <c r="X457" s="19">
        <f t="shared" si="146"/>
        <v>106.7244003928197</v>
      </c>
      <c r="Y457" s="19">
        <f t="shared" si="147"/>
        <v>10.33075023378359</v>
      </c>
      <c r="Z457" s="19"/>
      <c r="AA457" s="19">
        <f t="shared" si="148"/>
        <v>6.7139353371153081E-5</v>
      </c>
    </row>
    <row r="458" spans="2:27" x14ac:dyDescent="0.35">
      <c r="B458" s="27">
        <v>42</v>
      </c>
      <c r="C458" s="27">
        <v>75.035709999999995</v>
      </c>
      <c r="D458" s="19">
        <f t="shared" si="135"/>
        <v>66.109618776772706</v>
      </c>
      <c r="E458" s="19">
        <f t="shared" si="136"/>
        <v>0.81230816738475031</v>
      </c>
      <c r="F458" s="19">
        <f t="shared" si="137"/>
        <v>2.5805532004415586</v>
      </c>
      <c r="G458" s="19">
        <f t="shared" si="138"/>
        <v>2.5805532004415586</v>
      </c>
      <c r="H458" s="19">
        <f t="shared" si="139"/>
        <v>2.5805532004415586</v>
      </c>
      <c r="I458" s="17"/>
      <c r="J458" s="19">
        <f t="shared" si="140"/>
        <v>61.98276245529825</v>
      </c>
      <c r="K458" s="19">
        <f t="shared" si="141"/>
        <v>0.90838983081240521</v>
      </c>
      <c r="L458" s="19">
        <f t="shared" si="142"/>
        <v>1.9254128093016722</v>
      </c>
      <c r="M458" s="19">
        <f t="shared" si="143"/>
        <v>1.9254128093016722</v>
      </c>
      <c r="N458" s="19">
        <f t="shared" si="144"/>
        <v>1.9254128093016722</v>
      </c>
      <c r="O458" s="17"/>
      <c r="P458" s="19">
        <f t="shared" si="134"/>
        <v>13.580766386701779</v>
      </c>
      <c r="Q458" s="19">
        <f t="shared" si="149"/>
        <v>49.987904376837356</v>
      </c>
      <c r="R458" s="19">
        <f t="shared" si="150"/>
        <v>0</v>
      </c>
      <c r="S458" s="19">
        <f t="shared" si="151"/>
        <v>0</v>
      </c>
      <c r="T458" s="19">
        <f t="shared" si="152"/>
        <v>0</v>
      </c>
      <c r="U458" s="17"/>
      <c r="V458" s="19">
        <f t="shared" si="145"/>
        <v>63.568670763539131</v>
      </c>
      <c r="W458" s="17"/>
      <c r="X458" s="19">
        <f t="shared" si="146"/>
        <v>131.49298885053292</v>
      </c>
      <c r="Y458" s="19">
        <f t="shared" si="147"/>
        <v>11.467039236460863</v>
      </c>
      <c r="Z458" s="19"/>
      <c r="AA458" s="19">
        <f t="shared" si="148"/>
        <v>7.4524074437491727E-5</v>
      </c>
    </row>
    <row r="459" spans="2:27" x14ac:dyDescent="0.35">
      <c r="B459" s="27">
        <v>42.1</v>
      </c>
      <c r="C459" s="27">
        <v>68.535709999999995</v>
      </c>
      <c r="D459" s="19">
        <f t="shared" si="135"/>
        <v>66.250118115195207</v>
      </c>
      <c r="E459" s="19">
        <f t="shared" si="136"/>
        <v>0.81843309621187288</v>
      </c>
      <c r="F459" s="19">
        <f t="shared" si="137"/>
        <v>2.5916643115526696</v>
      </c>
      <c r="G459" s="19">
        <f t="shared" si="138"/>
        <v>2.5916643115526696</v>
      </c>
      <c r="H459" s="19">
        <f t="shared" si="139"/>
        <v>2.5916643115526696</v>
      </c>
      <c r="I459" s="17"/>
      <c r="J459" s="19">
        <f t="shared" si="140"/>
        <v>62.121033480217669</v>
      </c>
      <c r="K459" s="19">
        <f t="shared" si="141"/>
        <v>0.91130773540694021</v>
      </c>
      <c r="L459" s="19">
        <f t="shared" si="142"/>
        <v>1.9327305274391144</v>
      </c>
      <c r="M459" s="19">
        <f t="shared" si="143"/>
        <v>1.9327305274391144</v>
      </c>
      <c r="N459" s="19">
        <f t="shared" si="144"/>
        <v>1.9327305274391144</v>
      </c>
      <c r="O459" s="17"/>
      <c r="P459" s="19">
        <f t="shared" si="134"/>
        <v>13.520854475374467</v>
      </c>
      <c r="Q459" s="19">
        <f t="shared" si="149"/>
        <v>49.751778886093405</v>
      </c>
      <c r="R459" s="19">
        <f t="shared" si="150"/>
        <v>0</v>
      </c>
      <c r="S459" s="19">
        <f t="shared" si="151"/>
        <v>0</v>
      </c>
      <c r="T459" s="19">
        <f t="shared" si="152"/>
        <v>0</v>
      </c>
      <c r="U459" s="17"/>
      <c r="V459" s="19">
        <f t="shared" si="145"/>
        <v>63.272633361467868</v>
      </c>
      <c r="W459" s="17"/>
      <c r="X459" s="19">
        <f t="shared" si="146"/>
        <v>27.699975703062631</v>
      </c>
      <c r="Y459" s="19">
        <f t="shared" si="147"/>
        <v>5.2630766385321266</v>
      </c>
      <c r="Z459" s="19"/>
      <c r="AA459" s="19">
        <f t="shared" si="148"/>
        <v>3.4204637055139862E-5</v>
      </c>
    </row>
    <row r="460" spans="2:27" x14ac:dyDescent="0.35">
      <c r="B460" s="27">
        <v>42.2</v>
      </c>
      <c r="C460" s="27">
        <v>49.785710000000002</v>
      </c>
      <c r="D460" s="19">
        <f t="shared" si="135"/>
        <v>66.390617453617693</v>
      </c>
      <c r="E460" s="19">
        <f t="shared" si="136"/>
        <v>0.824558025038995</v>
      </c>
      <c r="F460" s="19">
        <f t="shared" si="137"/>
        <v>2.6027754226637807</v>
      </c>
      <c r="G460" s="19">
        <f t="shared" si="138"/>
        <v>2.6027754226637807</v>
      </c>
      <c r="H460" s="19">
        <f t="shared" si="139"/>
        <v>2.6027754226637807</v>
      </c>
      <c r="I460" s="17"/>
      <c r="J460" s="19">
        <f t="shared" si="140"/>
        <v>62.259309381162346</v>
      </c>
      <c r="K460" s="19">
        <f t="shared" si="141"/>
        <v>0.914230536382026</v>
      </c>
      <c r="L460" s="19">
        <f t="shared" si="142"/>
        <v>1.9400577051224406</v>
      </c>
      <c r="M460" s="19">
        <f t="shared" si="143"/>
        <v>1.9400577051224406</v>
      </c>
      <c r="N460" s="19">
        <f t="shared" si="144"/>
        <v>1.9400577051224406</v>
      </c>
      <c r="O460" s="17"/>
      <c r="P460" s="19">
        <f t="shared" si="134"/>
        <v>13.461336062294004</v>
      </c>
      <c r="Q460" s="19">
        <f t="shared" si="149"/>
        <v>49.516999972690911</v>
      </c>
      <c r="R460" s="19">
        <f t="shared" si="150"/>
        <v>0</v>
      </c>
      <c r="S460" s="19">
        <f t="shared" si="151"/>
        <v>0</v>
      </c>
      <c r="T460" s="19">
        <f t="shared" si="152"/>
        <v>0</v>
      </c>
      <c r="U460" s="17"/>
      <c r="V460" s="19">
        <f t="shared" si="145"/>
        <v>62.978336034984913</v>
      </c>
      <c r="W460" s="17"/>
      <c r="X460" s="19">
        <f t="shared" si="146"/>
        <v>174.04538169896171</v>
      </c>
      <c r="Y460" s="19">
        <f t="shared" si="147"/>
        <v>13.192626034984912</v>
      </c>
      <c r="Z460" s="19"/>
      <c r="AA460" s="19">
        <f t="shared" si="148"/>
        <v>8.5738630904052578E-5</v>
      </c>
    </row>
    <row r="461" spans="2:27" x14ac:dyDescent="0.35">
      <c r="B461" s="27">
        <v>42.3</v>
      </c>
      <c r="C461" s="27">
        <v>84.535709999999995</v>
      </c>
      <c r="D461" s="19">
        <f t="shared" si="135"/>
        <v>66.53111679204018</v>
      </c>
      <c r="E461" s="19">
        <f t="shared" si="136"/>
        <v>0.83068295386611712</v>
      </c>
      <c r="F461" s="19">
        <f t="shared" si="137"/>
        <v>2.6138865337748909</v>
      </c>
      <c r="G461" s="19">
        <f t="shared" si="138"/>
        <v>2.6138865337748909</v>
      </c>
      <c r="H461" s="19">
        <f t="shared" si="139"/>
        <v>2.6138865337748909</v>
      </c>
      <c r="I461" s="17"/>
      <c r="J461" s="19">
        <f t="shared" si="140"/>
        <v>62.397590137009757</v>
      </c>
      <c r="K461" s="19">
        <f t="shared" si="141"/>
        <v>0.91715822697549021</v>
      </c>
      <c r="L461" s="19">
        <f t="shared" si="142"/>
        <v>1.9473943073975346</v>
      </c>
      <c r="M461" s="19">
        <f t="shared" si="143"/>
        <v>1.9473943073975346</v>
      </c>
      <c r="N461" s="19">
        <f t="shared" si="144"/>
        <v>1.9473943073975346</v>
      </c>
      <c r="O461" s="17"/>
      <c r="P461" s="19">
        <f t="shared" si="134"/>
        <v>13.402207722638421</v>
      </c>
      <c r="Q461" s="19">
        <f t="shared" si="149"/>
        <v>49.283559162067483</v>
      </c>
      <c r="R461" s="19">
        <f t="shared" si="150"/>
        <v>0</v>
      </c>
      <c r="S461" s="19">
        <f t="shared" si="151"/>
        <v>0</v>
      </c>
      <c r="T461" s="19">
        <f t="shared" si="152"/>
        <v>0</v>
      </c>
      <c r="U461" s="17"/>
      <c r="V461" s="19">
        <f t="shared" si="145"/>
        <v>62.685766884705906</v>
      </c>
      <c r="W461" s="17"/>
      <c r="X461" s="19">
        <f t="shared" si="146"/>
        <v>477.42001414158756</v>
      </c>
      <c r="Y461" s="19">
        <f t="shared" si="147"/>
        <v>21.849943115294089</v>
      </c>
      <c r="Z461" s="19"/>
      <c r="AA461" s="19">
        <f t="shared" si="148"/>
        <v>1.4200237337652142E-4</v>
      </c>
    </row>
    <row r="462" spans="2:27" x14ac:dyDescent="0.35">
      <c r="B462" s="27">
        <v>42.4</v>
      </c>
      <c r="C462" s="27">
        <v>63.785710000000002</v>
      </c>
      <c r="D462" s="19">
        <f t="shared" si="135"/>
        <v>66.671616130462667</v>
      </c>
      <c r="E462" s="19">
        <f t="shared" si="136"/>
        <v>0.83680788269323969</v>
      </c>
      <c r="F462" s="19">
        <f t="shared" si="137"/>
        <v>2.6249976448860028</v>
      </c>
      <c r="G462" s="19">
        <f t="shared" si="138"/>
        <v>2.6249976448860028</v>
      </c>
      <c r="H462" s="19">
        <f t="shared" si="139"/>
        <v>2.6249976448860028</v>
      </c>
      <c r="I462" s="17"/>
      <c r="J462" s="19">
        <f t="shared" si="140"/>
        <v>62.53587572677359</v>
      </c>
      <c r="K462" s="19">
        <f t="shared" si="141"/>
        <v>0.92009080040741431</v>
      </c>
      <c r="L462" s="19">
        <f t="shared" si="142"/>
        <v>1.9547402994358334</v>
      </c>
      <c r="M462" s="19">
        <f t="shared" si="143"/>
        <v>1.9547402994358334</v>
      </c>
      <c r="N462" s="19">
        <f t="shared" si="144"/>
        <v>1.9547402994358334</v>
      </c>
      <c r="O462" s="17"/>
      <c r="P462" s="19">
        <f t="shared" si="134"/>
        <v>13.343466068646672</v>
      </c>
      <c r="Q462" s="19">
        <f t="shared" si="149"/>
        <v>49.051448034959357</v>
      </c>
      <c r="R462" s="19">
        <f t="shared" si="150"/>
        <v>0</v>
      </c>
      <c r="S462" s="19">
        <f t="shared" si="151"/>
        <v>0</v>
      </c>
      <c r="T462" s="19">
        <f t="shared" si="152"/>
        <v>0</v>
      </c>
      <c r="U462" s="17"/>
      <c r="V462" s="19">
        <f t="shared" si="145"/>
        <v>62.394914103606027</v>
      </c>
      <c r="W462" s="17"/>
      <c r="X462" s="19">
        <f t="shared" si="146"/>
        <v>1.93431322542632</v>
      </c>
      <c r="Y462" s="19">
        <f t="shared" si="147"/>
        <v>1.3907958963939748</v>
      </c>
      <c r="Z462" s="19"/>
      <c r="AA462" s="19">
        <f t="shared" si="148"/>
        <v>9.0387566287086332E-6</v>
      </c>
    </row>
    <row r="463" spans="2:27" x14ac:dyDescent="0.35">
      <c r="B463" s="27">
        <v>42.5</v>
      </c>
      <c r="C463" s="27">
        <v>75.285709999999995</v>
      </c>
      <c r="D463" s="19">
        <f t="shared" si="135"/>
        <v>66.812115468885168</v>
      </c>
      <c r="E463" s="19">
        <f t="shared" si="136"/>
        <v>0.84293281152036226</v>
      </c>
      <c r="F463" s="19">
        <f t="shared" si="137"/>
        <v>2.6361087559971139</v>
      </c>
      <c r="G463" s="19">
        <f t="shared" si="138"/>
        <v>2.6361087559971139</v>
      </c>
      <c r="H463" s="19">
        <f t="shared" si="139"/>
        <v>2.6361087559971139</v>
      </c>
      <c r="I463" s="17"/>
      <c r="J463" s="19">
        <f t="shared" si="140"/>
        <v>62.67416612960259</v>
      </c>
      <c r="K463" s="19">
        <f t="shared" si="141"/>
        <v>0.92302824988038568</v>
      </c>
      <c r="L463" s="19">
        <f t="shared" si="142"/>
        <v>1.9620956465343418</v>
      </c>
      <c r="M463" s="19">
        <f t="shared" si="143"/>
        <v>1.9620956465343418</v>
      </c>
      <c r="N463" s="19">
        <f t="shared" si="144"/>
        <v>1.9620956465343418</v>
      </c>
      <c r="O463" s="17"/>
      <c r="P463" s="19">
        <f t="shared" si="134"/>
        <v>13.285107749139687</v>
      </c>
      <c r="Q463" s="19">
        <f t="shared" si="149"/>
        <v>48.820658227048661</v>
      </c>
      <c r="R463" s="19">
        <f t="shared" si="150"/>
        <v>0</v>
      </c>
      <c r="S463" s="19">
        <f t="shared" si="151"/>
        <v>0</v>
      </c>
      <c r="T463" s="19">
        <f t="shared" si="152"/>
        <v>0</v>
      </c>
      <c r="U463" s="17"/>
      <c r="V463" s="19">
        <f t="shared" si="145"/>
        <v>62.105765976188351</v>
      </c>
      <c r="W463" s="17"/>
      <c r="X463" s="19">
        <f t="shared" si="146"/>
        <v>173.71092447080824</v>
      </c>
      <c r="Y463" s="19">
        <f t="shared" si="147"/>
        <v>13.179944023811643</v>
      </c>
      <c r="Z463" s="19"/>
      <c r="AA463" s="19">
        <f t="shared" si="148"/>
        <v>8.5656210749625211E-5</v>
      </c>
    </row>
    <row r="464" spans="2:27" x14ac:dyDescent="0.35">
      <c r="B464" s="27">
        <v>42.6</v>
      </c>
      <c r="C464" s="27">
        <v>70.285709999999995</v>
      </c>
      <c r="D464" s="19">
        <f t="shared" si="135"/>
        <v>66.952614807307654</v>
      </c>
      <c r="E464" s="19">
        <f t="shared" si="136"/>
        <v>0.84905774034748394</v>
      </c>
      <c r="F464" s="19">
        <f t="shared" si="137"/>
        <v>2.6472198671082259</v>
      </c>
      <c r="G464" s="19">
        <f t="shared" si="138"/>
        <v>2.6472198671082259</v>
      </c>
      <c r="H464" s="19">
        <f t="shared" si="139"/>
        <v>2.6472198671082259</v>
      </c>
      <c r="I464" s="17"/>
      <c r="J464" s="19">
        <f t="shared" si="140"/>
        <v>62.812461324779356</v>
      </c>
      <c r="K464" s="19">
        <f t="shared" si="141"/>
        <v>0.92597056857974658</v>
      </c>
      <c r="L464" s="19">
        <f t="shared" si="142"/>
        <v>1.9694603141156519</v>
      </c>
      <c r="M464" s="19">
        <f t="shared" si="143"/>
        <v>1.9694603141156519</v>
      </c>
      <c r="N464" s="19">
        <f t="shared" si="144"/>
        <v>1.9694603141156519</v>
      </c>
      <c r="O464" s="17"/>
      <c r="P464" s="19">
        <f t="shared" si="134"/>
        <v>13.227129449048652</v>
      </c>
      <c r="Q464" s="19">
        <f t="shared" si="149"/>
        <v>48.591181428612856</v>
      </c>
      <c r="R464" s="19">
        <f t="shared" si="150"/>
        <v>0</v>
      </c>
      <c r="S464" s="19">
        <f t="shared" si="151"/>
        <v>0</v>
      </c>
      <c r="T464" s="19">
        <f t="shared" si="152"/>
        <v>0</v>
      </c>
      <c r="U464" s="17"/>
      <c r="V464" s="19">
        <f t="shared" si="145"/>
        <v>61.81831087766151</v>
      </c>
      <c r="W464" s="17"/>
      <c r="X464" s="19">
        <f t="shared" si="146"/>
        <v>71.696847896978539</v>
      </c>
      <c r="Y464" s="19">
        <f t="shared" si="147"/>
        <v>8.4673991223384846</v>
      </c>
      <c r="Z464" s="19"/>
      <c r="AA464" s="19">
        <f t="shared" si="148"/>
        <v>5.5029469200618358E-5</v>
      </c>
    </row>
    <row r="465" spans="2:27" x14ac:dyDescent="0.35">
      <c r="B465" s="27">
        <v>42.7</v>
      </c>
      <c r="C465" s="27">
        <v>80.285709999999995</v>
      </c>
      <c r="D465" s="19">
        <f t="shared" si="135"/>
        <v>67.093114145730141</v>
      </c>
      <c r="E465" s="19">
        <f t="shared" si="136"/>
        <v>0.8551826691746065</v>
      </c>
      <c r="F465" s="19">
        <f t="shared" si="137"/>
        <v>2.6583309782193361</v>
      </c>
      <c r="G465" s="19">
        <f t="shared" si="138"/>
        <v>2.6583309782193361</v>
      </c>
      <c r="H465" s="19">
        <f t="shared" si="139"/>
        <v>2.6583309782193361</v>
      </c>
      <c r="I465" s="17"/>
      <c r="J465" s="19">
        <f t="shared" si="140"/>
        <v>62.950761291719274</v>
      </c>
      <c r="K465" s="19">
        <f t="shared" si="141"/>
        <v>0.92891774967384555</v>
      </c>
      <c r="L465" s="19">
        <f t="shared" si="142"/>
        <v>1.9768342677279389</v>
      </c>
      <c r="M465" s="19">
        <f t="shared" si="143"/>
        <v>1.9768342677279389</v>
      </c>
      <c r="N465" s="19">
        <f t="shared" si="144"/>
        <v>1.9768342677279389</v>
      </c>
      <c r="O465" s="17"/>
      <c r="P465" s="19">
        <f t="shared" si="134"/>
        <v>13.16952788895029</v>
      </c>
      <c r="Q465" s="19">
        <f t="shared" si="149"/>
        <v>48.363009384175896</v>
      </c>
      <c r="R465" s="19">
        <f t="shared" si="150"/>
        <v>0</v>
      </c>
      <c r="S465" s="19">
        <f t="shared" si="151"/>
        <v>0</v>
      </c>
      <c r="T465" s="19">
        <f t="shared" si="152"/>
        <v>0</v>
      </c>
      <c r="U465" s="17"/>
      <c r="V465" s="19">
        <f t="shared" si="145"/>
        <v>61.532537273126188</v>
      </c>
      <c r="W465" s="17"/>
      <c r="X465" s="19">
        <f t="shared" si="146"/>
        <v>351.68148732396355</v>
      </c>
      <c r="Y465" s="19">
        <f t="shared" si="147"/>
        <v>18.753172726873807</v>
      </c>
      <c r="Z465" s="19"/>
      <c r="AA465" s="19">
        <f t="shared" si="148"/>
        <v>1.2187652029592434E-4</v>
      </c>
    </row>
    <row r="466" spans="2:27" x14ac:dyDescent="0.35">
      <c r="B466" s="27">
        <v>42.8</v>
      </c>
      <c r="C466" s="27">
        <v>64.285709999999995</v>
      </c>
      <c r="D466" s="19">
        <f t="shared" si="135"/>
        <v>67.233613484152627</v>
      </c>
      <c r="E466" s="19">
        <f t="shared" si="136"/>
        <v>0.86130759800172818</v>
      </c>
      <c r="F466" s="19">
        <f t="shared" si="137"/>
        <v>2.6694420893304471</v>
      </c>
      <c r="G466" s="19">
        <f t="shared" si="138"/>
        <v>2.6694420893304471</v>
      </c>
      <c r="H466" s="19">
        <f t="shared" si="139"/>
        <v>2.6694420893304471</v>
      </c>
      <c r="I466" s="17"/>
      <c r="J466" s="19">
        <f t="shared" si="140"/>
        <v>63.089066009969372</v>
      </c>
      <c r="K466" s="19">
        <f t="shared" si="141"/>
        <v>0.93186978631428197</v>
      </c>
      <c r="L466" s="19">
        <f t="shared" si="142"/>
        <v>1.9842174730449598</v>
      </c>
      <c r="M466" s="19">
        <f t="shared" si="143"/>
        <v>1.9842174730449598</v>
      </c>
      <c r="N466" s="19">
        <f t="shared" si="144"/>
        <v>1.9842174730449598</v>
      </c>
      <c r="O466" s="17"/>
      <c r="P466" s="19">
        <f t="shared" si="134"/>
        <v>13.112299824609131</v>
      </c>
      <c r="Q466" s="19">
        <f t="shared" si="149"/>
        <v>48.136133892161972</v>
      </c>
      <c r="R466" s="19">
        <f t="shared" si="150"/>
        <v>0</v>
      </c>
      <c r="S466" s="19">
        <f t="shared" si="151"/>
        <v>0</v>
      </c>
      <c r="T466" s="19">
        <f t="shared" si="152"/>
        <v>0</v>
      </c>
      <c r="U466" s="17"/>
      <c r="V466" s="19">
        <f t="shared" si="145"/>
        <v>61.248433716771103</v>
      </c>
      <c r="W466" s="17"/>
      <c r="X466" s="19">
        <f t="shared" si="146"/>
        <v>9.2250472206647078</v>
      </c>
      <c r="Y466" s="19">
        <f t="shared" si="147"/>
        <v>3.0372762832288913</v>
      </c>
      <c r="Z466" s="19"/>
      <c r="AA466" s="19">
        <f t="shared" si="148"/>
        <v>1.9739201998966723E-5</v>
      </c>
    </row>
    <row r="467" spans="2:27" x14ac:dyDescent="0.35">
      <c r="B467" s="27">
        <v>42.9</v>
      </c>
      <c r="C467" s="27">
        <v>58.035710000000002</v>
      </c>
      <c r="D467" s="19">
        <f t="shared" si="135"/>
        <v>67.374112822575128</v>
      </c>
      <c r="E467" s="19">
        <f t="shared" si="136"/>
        <v>0.86743252682885075</v>
      </c>
      <c r="F467" s="19">
        <f t="shared" si="137"/>
        <v>2.6805532004415582</v>
      </c>
      <c r="G467" s="19">
        <f t="shared" si="138"/>
        <v>2.6805532004415582</v>
      </c>
      <c r="H467" s="19">
        <f t="shared" si="139"/>
        <v>2.6805532004415582</v>
      </c>
      <c r="I467" s="17"/>
      <c r="J467" s="19">
        <f t="shared" si="140"/>
        <v>63.227375459207181</v>
      </c>
      <c r="K467" s="19">
        <f t="shared" si="141"/>
        <v>0.93482667163615685</v>
      </c>
      <c r="L467" s="19">
        <f t="shared" si="142"/>
        <v>1.9916098958660291</v>
      </c>
      <c r="M467" s="19">
        <f t="shared" si="143"/>
        <v>1.9916098958660291</v>
      </c>
      <c r="N467" s="19">
        <f t="shared" si="144"/>
        <v>1.9916098958660291</v>
      </c>
      <c r="O467" s="17"/>
      <c r="P467" s="19">
        <f t="shared" si="134"/>
        <v>13.055442046526615</v>
      </c>
      <c r="Q467" s="19">
        <f t="shared" si="149"/>
        <v>47.91054680455057</v>
      </c>
      <c r="R467" s="19">
        <f t="shared" si="150"/>
        <v>0</v>
      </c>
      <c r="S467" s="19">
        <f t="shared" si="151"/>
        <v>0</v>
      </c>
      <c r="T467" s="19">
        <f t="shared" si="152"/>
        <v>0</v>
      </c>
      <c r="U467" s="17"/>
      <c r="V467" s="19">
        <f t="shared" si="145"/>
        <v>60.965988851077185</v>
      </c>
      <c r="W467" s="17"/>
      <c r="X467" s="19">
        <f t="shared" si="146"/>
        <v>8.5865341450702175</v>
      </c>
      <c r="Y467" s="19">
        <f t="shared" si="147"/>
        <v>2.9302788510771833</v>
      </c>
      <c r="Z467" s="19"/>
      <c r="AA467" s="19">
        <f t="shared" si="148"/>
        <v>1.9043827680115485E-5</v>
      </c>
    </row>
    <row r="468" spans="2:27" x14ac:dyDescent="0.35">
      <c r="B468" s="27">
        <v>43</v>
      </c>
      <c r="C468" s="27">
        <v>55.535710000000002</v>
      </c>
      <c r="D468" s="19">
        <f t="shared" si="135"/>
        <v>67.514612160997615</v>
      </c>
      <c r="E468" s="19">
        <f t="shared" si="136"/>
        <v>0.87355745565597331</v>
      </c>
      <c r="F468" s="19">
        <f t="shared" si="137"/>
        <v>2.6916643115526693</v>
      </c>
      <c r="G468" s="19">
        <f t="shared" si="138"/>
        <v>2.6916643115526693</v>
      </c>
      <c r="H468" s="19">
        <f t="shared" si="139"/>
        <v>2.6916643115526693</v>
      </c>
      <c r="I468" s="17"/>
      <c r="J468" s="19">
        <f t="shared" si="140"/>
        <v>63.365689619239618</v>
      </c>
      <c r="K468" s="19">
        <f t="shared" si="141"/>
        <v>0.93778839875831532</v>
      </c>
      <c r="L468" s="19">
        <f t="shared" si="142"/>
        <v>1.9990115021159951</v>
      </c>
      <c r="M468" s="19">
        <f t="shared" si="143"/>
        <v>1.9990115021159951</v>
      </c>
      <c r="N468" s="19">
        <f t="shared" si="144"/>
        <v>1.9990115021159951</v>
      </c>
      <c r="O468" s="17"/>
      <c r="P468" s="19">
        <f t="shared" si="134"/>
        <v>12.998951379496891</v>
      </c>
      <c r="Q468" s="19">
        <f t="shared" si="149"/>
        <v>47.686240026534193</v>
      </c>
      <c r="R468" s="19">
        <f t="shared" si="150"/>
        <v>0</v>
      </c>
      <c r="S468" s="19">
        <f t="shared" si="151"/>
        <v>0</v>
      </c>
      <c r="T468" s="19">
        <f t="shared" si="152"/>
        <v>0</v>
      </c>
      <c r="U468" s="17"/>
      <c r="V468" s="19">
        <f t="shared" si="145"/>
        <v>60.68519140603108</v>
      </c>
      <c r="W468" s="17"/>
      <c r="X468" s="19">
        <f t="shared" si="146"/>
        <v>26.517158751059817</v>
      </c>
      <c r="Y468" s="19">
        <f t="shared" si="147"/>
        <v>5.1494814060310787</v>
      </c>
      <c r="Z468" s="19"/>
      <c r="AA468" s="19">
        <f t="shared" si="148"/>
        <v>3.3466383754694622E-5</v>
      </c>
    </row>
    <row r="469" spans="2:27" x14ac:dyDescent="0.35">
      <c r="B469" s="27">
        <v>43.1</v>
      </c>
      <c r="C469" s="27">
        <v>64.535709999999995</v>
      </c>
      <c r="D469" s="19">
        <f t="shared" si="135"/>
        <v>67.655111499420101</v>
      </c>
      <c r="E469" s="19">
        <f t="shared" si="136"/>
        <v>0.87968238448309588</v>
      </c>
      <c r="F469" s="19">
        <f t="shared" si="137"/>
        <v>2.7027754226637812</v>
      </c>
      <c r="G469" s="19">
        <f t="shared" si="138"/>
        <v>2.7027754226637812</v>
      </c>
      <c r="H469" s="19">
        <f t="shared" si="139"/>
        <v>2.7027754226637812</v>
      </c>
      <c r="I469" s="17"/>
      <c r="J469" s="19">
        <f t="shared" si="140"/>
        <v>63.504008470001942</v>
      </c>
      <c r="K469" s="19">
        <f t="shared" si="141"/>
        <v>0.94075496078359311</v>
      </c>
      <c r="L469" s="19">
        <f t="shared" si="142"/>
        <v>2.0064222578452027</v>
      </c>
      <c r="M469" s="19">
        <f t="shared" si="143"/>
        <v>2.0064222578452027</v>
      </c>
      <c r="N469" s="19">
        <f t="shared" si="144"/>
        <v>2.0064222578452027</v>
      </c>
      <c r="O469" s="17"/>
      <c r="P469" s="19">
        <f t="shared" si="134"/>
        <v>12.942824682169203</v>
      </c>
      <c r="Q469" s="19">
        <f t="shared" si="149"/>
        <v>47.463205516177645</v>
      </c>
      <c r="R469" s="19">
        <f t="shared" si="150"/>
        <v>0</v>
      </c>
      <c r="S469" s="19">
        <f t="shared" si="151"/>
        <v>0</v>
      </c>
      <c r="T469" s="19">
        <f t="shared" si="152"/>
        <v>0</v>
      </c>
      <c r="U469" s="17"/>
      <c r="V469" s="19">
        <f t="shared" si="145"/>
        <v>60.406030198346848</v>
      </c>
      <c r="W469" s="17"/>
      <c r="X469" s="19">
        <f t="shared" si="146"/>
        <v>17.054255264181975</v>
      </c>
      <c r="Y469" s="19">
        <f t="shared" si="147"/>
        <v>4.1296798016531469</v>
      </c>
      <c r="Z469" s="19"/>
      <c r="AA469" s="19">
        <f t="shared" si="148"/>
        <v>2.6838712120461099E-5</v>
      </c>
    </row>
    <row r="470" spans="2:27" x14ac:dyDescent="0.35">
      <c r="B470" s="27">
        <v>43.2</v>
      </c>
      <c r="C470" s="27">
        <v>61.285710000000002</v>
      </c>
      <c r="D470" s="19">
        <f t="shared" si="135"/>
        <v>67.795610837842602</v>
      </c>
      <c r="E470" s="19">
        <f t="shared" si="136"/>
        <v>0.88580731331021756</v>
      </c>
      <c r="F470" s="19">
        <f t="shared" si="137"/>
        <v>2.7138865337748914</v>
      </c>
      <c r="G470" s="19">
        <f t="shared" si="138"/>
        <v>2.7138865337748914</v>
      </c>
      <c r="H470" s="19">
        <f t="shared" si="139"/>
        <v>2.7138865337748914</v>
      </c>
      <c r="I470" s="17"/>
      <c r="J470" s="19">
        <f t="shared" si="140"/>
        <v>63.642331991556681</v>
      </c>
      <c r="K470" s="19">
        <f t="shared" si="141"/>
        <v>0.94372635079905942</v>
      </c>
      <c r="L470" s="19">
        <f t="shared" si="142"/>
        <v>2.0138421292294448</v>
      </c>
      <c r="M470" s="19">
        <f t="shared" si="143"/>
        <v>2.0138421292294448</v>
      </c>
      <c r="N470" s="19">
        <f t="shared" si="144"/>
        <v>2.0138421292294448</v>
      </c>
      <c r="O470" s="17"/>
      <c r="P470" s="19">
        <f t="shared" si="134"/>
        <v>12.887058846616767</v>
      </c>
      <c r="Q470" s="19">
        <f t="shared" si="149"/>
        <v>47.241435284079529</v>
      </c>
      <c r="R470" s="19">
        <f t="shared" si="150"/>
        <v>0</v>
      </c>
      <c r="S470" s="19">
        <f t="shared" si="151"/>
        <v>0</v>
      </c>
      <c r="T470" s="19">
        <f t="shared" si="152"/>
        <v>0</v>
      </c>
      <c r="U470" s="17"/>
      <c r="V470" s="19">
        <f t="shared" si="145"/>
        <v>60.128494130696296</v>
      </c>
      <c r="W470" s="17"/>
      <c r="X470" s="19">
        <f t="shared" si="146"/>
        <v>1.3391485681683304</v>
      </c>
      <c r="Y470" s="19">
        <f t="shared" si="147"/>
        <v>1.1572158693037053</v>
      </c>
      <c r="Z470" s="19"/>
      <c r="AA470" s="19">
        <f t="shared" si="148"/>
        <v>7.520724382805278E-6</v>
      </c>
    </row>
    <row r="471" spans="2:27" x14ac:dyDescent="0.35">
      <c r="B471" s="27">
        <v>43.3</v>
      </c>
      <c r="C471" s="27">
        <v>71.285709999999995</v>
      </c>
      <c r="D471" s="19">
        <f t="shared" si="135"/>
        <v>67.936110176265089</v>
      </c>
      <c r="E471" s="19">
        <f t="shared" si="136"/>
        <v>0.89193224213733968</v>
      </c>
      <c r="F471" s="19">
        <f t="shared" si="137"/>
        <v>2.7249976448860025</v>
      </c>
      <c r="G471" s="19">
        <f t="shared" si="138"/>
        <v>2.7249976448860025</v>
      </c>
      <c r="H471" s="19">
        <f t="shared" si="139"/>
        <v>2.7249976448860025</v>
      </c>
      <c r="I471" s="17"/>
      <c r="J471" s="19">
        <f t="shared" si="140"/>
        <v>63.78066016409246</v>
      </c>
      <c r="K471" s="19">
        <f t="shared" si="141"/>
        <v>0.94670256187626067</v>
      </c>
      <c r="L471" s="19">
        <f t="shared" si="142"/>
        <v>2.0212710825699141</v>
      </c>
      <c r="M471" s="19">
        <f t="shared" si="143"/>
        <v>2.0212710825699141</v>
      </c>
      <c r="N471" s="19">
        <f t="shared" si="144"/>
        <v>2.0212710825699141</v>
      </c>
      <c r="O471" s="17"/>
      <c r="P471" s="19">
        <f t="shared" si="134"/>
        <v>12.831650797912085</v>
      </c>
      <c r="Q471" s="19">
        <f t="shared" si="149"/>
        <v>47.020921393035515</v>
      </c>
      <c r="R471" s="19">
        <f t="shared" si="150"/>
        <v>0</v>
      </c>
      <c r="S471" s="19">
        <f t="shared" si="151"/>
        <v>0</v>
      </c>
      <c r="T471" s="19">
        <f t="shared" si="152"/>
        <v>0</v>
      </c>
      <c r="U471" s="17"/>
      <c r="V471" s="19">
        <f t="shared" si="145"/>
        <v>59.852572190947598</v>
      </c>
      <c r="W471" s="17"/>
      <c r="X471" s="19">
        <f t="shared" si="146"/>
        <v>130.71664016078344</v>
      </c>
      <c r="Y471" s="19">
        <f t="shared" si="147"/>
        <v>11.433137809052397</v>
      </c>
      <c r="Z471" s="19"/>
      <c r="AA471" s="19">
        <f t="shared" si="148"/>
        <v>7.4303749692138755E-5</v>
      </c>
    </row>
    <row r="472" spans="2:27" x14ac:dyDescent="0.35">
      <c r="B472" s="27">
        <v>43.4</v>
      </c>
      <c r="C472" s="27">
        <v>66.035709999999995</v>
      </c>
      <c r="D472" s="19">
        <f t="shared" si="135"/>
        <v>68.076609514687576</v>
      </c>
      <c r="E472" s="19">
        <f t="shared" si="136"/>
        <v>0.89805717096446225</v>
      </c>
      <c r="F472" s="19">
        <f t="shared" si="137"/>
        <v>2.7361087559971136</v>
      </c>
      <c r="G472" s="19">
        <f t="shared" si="138"/>
        <v>2.7361087559971136</v>
      </c>
      <c r="H472" s="19">
        <f t="shared" si="139"/>
        <v>2.7361087559971136</v>
      </c>
      <c r="I472" s="17"/>
      <c r="J472" s="19">
        <f t="shared" si="140"/>
        <v>63.918992967923074</v>
      </c>
      <c r="K472" s="19">
        <f t="shared" si="141"/>
        <v>0.94968358707146028</v>
      </c>
      <c r="L472" s="19">
        <f t="shared" si="142"/>
        <v>2.0287090842931317</v>
      </c>
      <c r="M472" s="19">
        <f t="shared" si="143"/>
        <v>2.0287090842931317</v>
      </c>
      <c r="N472" s="19">
        <f t="shared" si="144"/>
        <v>2.0287090842931317</v>
      </c>
      <c r="O472" s="17"/>
      <c r="P472" s="19">
        <f t="shared" si="134"/>
        <v>12.776597493708406</v>
      </c>
      <c r="Q472" s="19">
        <f t="shared" si="149"/>
        <v>46.801655957703851</v>
      </c>
      <c r="R472" s="19">
        <f t="shared" si="150"/>
        <v>0</v>
      </c>
      <c r="S472" s="19">
        <f t="shared" si="151"/>
        <v>0</v>
      </c>
      <c r="T472" s="19">
        <f t="shared" si="152"/>
        <v>0</v>
      </c>
      <c r="U472" s="17"/>
      <c r="V472" s="19">
        <f t="shared" si="145"/>
        <v>59.578253451412259</v>
      </c>
      <c r="W472" s="17"/>
      <c r="X472" s="19">
        <f t="shared" si="146"/>
        <v>41.698745076898632</v>
      </c>
      <c r="Y472" s="19">
        <f t="shared" si="147"/>
        <v>6.4574565485877358</v>
      </c>
      <c r="Z472" s="19"/>
      <c r="AA472" s="19">
        <f t="shared" si="148"/>
        <v>4.1966889846654733E-5</v>
      </c>
    </row>
    <row r="473" spans="2:27" x14ac:dyDescent="0.35">
      <c r="B473" s="27">
        <v>43.5</v>
      </c>
      <c r="C473" s="27">
        <v>63.285710000000002</v>
      </c>
      <c r="D473" s="19">
        <f t="shared" si="135"/>
        <v>68.217108853110076</v>
      </c>
      <c r="E473" s="19">
        <f t="shared" si="136"/>
        <v>0.90418209979158437</v>
      </c>
      <c r="F473" s="19">
        <f t="shared" si="137"/>
        <v>2.7472198671082255</v>
      </c>
      <c r="G473" s="19">
        <f t="shared" si="138"/>
        <v>2.7472198671082255</v>
      </c>
      <c r="H473" s="19">
        <f t="shared" si="139"/>
        <v>2.7472198671082255</v>
      </c>
      <c r="I473" s="17"/>
      <c r="J473" s="19">
        <f t="shared" si="140"/>
        <v>64.057330383486374</v>
      </c>
      <c r="K473" s="19">
        <f t="shared" si="141"/>
        <v>0.95266941942587913</v>
      </c>
      <c r="L473" s="19">
        <f t="shared" si="142"/>
        <v>2.0361561009508802</v>
      </c>
      <c r="M473" s="19">
        <f t="shared" si="143"/>
        <v>2.0361561009508802</v>
      </c>
      <c r="N473" s="19">
        <f t="shared" si="144"/>
        <v>2.0361561009508802</v>
      </c>
      <c r="O473" s="17"/>
      <c r="P473" s="19">
        <f t="shared" si="134"/>
        <v>12.721895923827466</v>
      </c>
      <c r="Q473" s="19">
        <f t="shared" si="149"/>
        <v>46.583631144272672</v>
      </c>
      <c r="R473" s="19">
        <f t="shared" si="150"/>
        <v>0</v>
      </c>
      <c r="S473" s="19">
        <f t="shared" si="151"/>
        <v>0</v>
      </c>
      <c r="T473" s="19">
        <f t="shared" si="152"/>
        <v>0</v>
      </c>
      <c r="U473" s="17"/>
      <c r="V473" s="19">
        <f t="shared" si="145"/>
        <v>59.30552706810014</v>
      </c>
      <c r="W473" s="17"/>
      <c r="X473" s="19">
        <f t="shared" si="146"/>
        <v>15.841856171386977</v>
      </c>
      <c r="Y473" s="19">
        <f t="shared" si="147"/>
        <v>3.9801829318998614</v>
      </c>
      <c r="Z473" s="19"/>
      <c r="AA473" s="19">
        <f t="shared" si="148"/>
        <v>2.5867134748139806E-5</v>
      </c>
    </row>
    <row r="474" spans="2:27" x14ac:dyDescent="0.35">
      <c r="B474" s="27">
        <v>43.6</v>
      </c>
      <c r="C474" s="27">
        <v>73.785709999999995</v>
      </c>
      <c r="D474" s="19">
        <f t="shared" si="135"/>
        <v>68.357608191532563</v>
      </c>
      <c r="E474" s="19">
        <f t="shared" si="136"/>
        <v>0.91030702861870694</v>
      </c>
      <c r="F474" s="19">
        <f t="shared" si="137"/>
        <v>2.7583309782193366</v>
      </c>
      <c r="G474" s="19">
        <f t="shared" si="138"/>
        <v>2.7583309782193366</v>
      </c>
      <c r="H474" s="19">
        <f t="shared" si="139"/>
        <v>2.7583309782193366</v>
      </c>
      <c r="I474" s="17"/>
      <c r="J474" s="19">
        <f t="shared" si="140"/>
        <v>64.195672391343209</v>
      </c>
      <c r="K474" s="19">
        <f t="shared" si="141"/>
        <v>0.95566005196593573</v>
      </c>
      <c r="L474" s="19">
        <f t="shared" si="142"/>
        <v>2.0436120992201188</v>
      </c>
      <c r="M474" s="19">
        <f t="shared" si="143"/>
        <v>2.0436120992201188</v>
      </c>
      <c r="N474" s="19">
        <f t="shared" si="144"/>
        <v>2.0436120992201188</v>
      </c>
      <c r="O474" s="17"/>
      <c r="P474" s="19">
        <f t="shared" si="134"/>
        <v>12.667543109853238</v>
      </c>
      <c r="Q474" s="19">
        <f t="shared" si="149"/>
        <v>46.366839170129211</v>
      </c>
      <c r="R474" s="19">
        <f t="shared" si="150"/>
        <v>0</v>
      </c>
      <c r="S474" s="19">
        <f t="shared" si="151"/>
        <v>0</v>
      </c>
      <c r="T474" s="19">
        <f t="shared" si="152"/>
        <v>0</v>
      </c>
      <c r="U474" s="17"/>
      <c r="V474" s="19">
        <f t="shared" si="145"/>
        <v>59.034382279982452</v>
      </c>
      <c r="W474" s="17"/>
      <c r="X474" s="19">
        <f t="shared" si="146"/>
        <v>217.60166950335795</v>
      </c>
      <c r="Y474" s="19">
        <f t="shared" si="147"/>
        <v>14.751327720017542</v>
      </c>
      <c r="Z474" s="19"/>
      <c r="AA474" s="19">
        <f t="shared" si="148"/>
        <v>9.586860412607383E-5</v>
      </c>
    </row>
    <row r="475" spans="2:27" x14ac:dyDescent="0.35">
      <c r="B475" s="27">
        <v>43.7</v>
      </c>
      <c r="C475" s="27">
        <v>59.285710000000002</v>
      </c>
      <c r="D475" s="19">
        <f t="shared" si="135"/>
        <v>68.49810752995505</v>
      </c>
      <c r="E475" s="19">
        <f t="shared" si="136"/>
        <v>0.9164319574458295</v>
      </c>
      <c r="F475" s="19">
        <f t="shared" si="137"/>
        <v>2.7694420893304468</v>
      </c>
      <c r="G475" s="19">
        <f t="shared" si="138"/>
        <v>2.7694420893304468</v>
      </c>
      <c r="H475" s="19">
        <f t="shared" si="139"/>
        <v>2.7694420893304468</v>
      </c>
      <c r="I475" s="17"/>
      <c r="J475" s="19">
        <f t="shared" si="140"/>
        <v>64.334018972176466</v>
      </c>
      <c r="K475" s="19">
        <f t="shared" si="141"/>
        <v>0.95865547770348325</v>
      </c>
      <c r="L475" s="19">
        <f t="shared" si="142"/>
        <v>2.0510770459028964</v>
      </c>
      <c r="M475" s="19">
        <f t="shared" si="143"/>
        <v>2.0510770459028964</v>
      </c>
      <c r="N475" s="19">
        <f t="shared" si="144"/>
        <v>2.0510770459028964</v>
      </c>
      <c r="O475" s="17"/>
      <c r="P475" s="19">
        <f t="shared" si="134"/>
        <v>12.61353610473164</v>
      </c>
      <c r="Q475" s="19">
        <f t="shared" si="149"/>
        <v>46.151272303531044</v>
      </c>
      <c r="R475" s="19">
        <f t="shared" si="150"/>
        <v>0</v>
      </c>
      <c r="S475" s="19">
        <f t="shared" si="151"/>
        <v>0</v>
      </c>
      <c r="T475" s="19">
        <f t="shared" si="152"/>
        <v>0</v>
      </c>
      <c r="U475" s="17"/>
      <c r="V475" s="19">
        <f t="shared" si="145"/>
        <v>58.764808408262681</v>
      </c>
      <c r="W475" s="17"/>
      <c r="X475" s="19">
        <f t="shared" si="146"/>
        <v>0.27133846827447439</v>
      </c>
      <c r="Y475" s="19">
        <f t="shared" si="147"/>
        <v>0.52090159173732076</v>
      </c>
      <c r="Z475" s="19"/>
      <c r="AA475" s="19">
        <f t="shared" si="148"/>
        <v>3.3853297435146094E-6</v>
      </c>
    </row>
    <row r="476" spans="2:27" x14ac:dyDescent="0.35">
      <c r="B476" s="27">
        <v>43.8</v>
      </c>
      <c r="C476" s="27">
        <v>63.785710000000002</v>
      </c>
      <c r="D476" s="19">
        <f t="shared" si="135"/>
        <v>68.638606868377536</v>
      </c>
      <c r="E476" s="19">
        <f t="shared" si="136"/>
        <v>0.92255688627295118</v>
      </c>
      <c r="F476" s="19">
        <f t="shared" si="137"/>
        <v>2.7805532004415578</v>
      </c>
      <c r="G476" s="19">
        <f t="shared" si="138"/>
        <v>2.7805532004415578</v>
      </c>
      <c r="H476" s="19">
        <f t="shared" si="139"/>
        <v>2.7805532004415578</v>
      </c>
      <c r="I476" s="17"/>
      <c r="J476" s="19">
        <f t="shared" si="140"/>
        <v>64.472370106789995</v>
      </c>
      <c r="K476" s="19">
        <f t="shared" si="141"/>
        <v>0.96165568963604553</v>
      </c>
      <c r="L476" s="19">
        <f t="shared" si="142"/>
        <v>2.0585509079262567</v>
      </c>
      <c r="M476" s="19">
        <f t="shared" si="143"/>
        <v>2.0585509079262567</v>
      </c>
      <c r="N476" s="19">
        <f t="shared" si="144"/>
        <v>2.0585509079262567</v>
      </c>
      <c r="O476" s="17"/>
      <c r="P476" s="19">
        <f t="shared" si="134"/>
        <v>12.55987199237612</v>
      </c>
      <c r="Q476" s="19">
        <f t="shared" si="149"/>
        <v>45.936922863279342</v>
      </c>
      <c r="R476" s="19">
        <f t="shared" si="150"/>
        <v>0</v>
      </c>
      <c r="S476" s="19">
        <f t="shared" si="151"/>
        <v>0</v>
      </c>
      <c r="T476" s="19">
        <f t="shared" si="152"/>
        <v>0</v>
      </c>
      <c r="U476" s="17"/>
      <c r="V476" s="19">
        <f t="shared" si="145"/>
        <v>58.496794855655466</v>
      </c>
      <c r="W476" s="17"/>
      <c r="X476" s="19">
        <f t="shared" si="146"/>
        <v>27.97262340407698</v>
      </c>
      <c r="Y476" s="19">
        <f t="shared" si="147"/>
        <v>5.2889151443445357</v>
      </c>
      <c r="Z476" s="19"/>
      <c r="AA476" s="19">
        <f t="shared" si="148"/>
        <v>3.4372561023202594E-5</v>
      </c>
    </row>
    <row r="477" spans="2:27" x14ac:dyDescent="0.35">
      <c r="B477" s="27">
        <v>43.9</v>
      </c>
      <c r="C477" s="27">
        <v>51.285710000000002</v>
      </c>
      <c r="D477" s="19">
        <f t="shared" si="135"/>
        <v>68.779106206800037</v>
      </c>
      <c r="E477" s="19">
        <f t="shared" si="136"/>
        <v>0.9286818151000733</v>
      </c>
      <c r="F477" s="19">
        <f t="shared" si="137"/>
        <v>2.7916643115526689</v>
      </c>
      <c r="G477" s="19">
        <f t="shared" si="138"/>
        <v>2.7916643115526689</v>
      </c>
      <c r="H477" s="19">
        <f t="shared" si="139"/>
        <v>2.7916643115526689</v>
      </c>
      <c r="I477" s="17"/>
      <c r="J477" s="19">
        <f t="shared" si="140"/>
        <v>64.610725776107671</v>
      </c>
      <c r="K477" s="19">
        <f t="shared" si="141"/>
        <v>0.96466068074705558</v>
      </c>
      <c r="L477" s="19">
        <f t="shared" si="142"/>
        <v>2.066033652342127</v>
      </c>
      <c r="M477" s="19">
        <f t="shared" si="143"/>
        <v>2.066033652342127</v>
      </c>
      <c r="N477" s="19">
        <f t="shared" si="144"/>
        <v>2.066033652342127</v>
      </c>
      <c r="O477" s="17"/>
      <c r="P477" s="19">
        <f t="shared" si="134"/>
        <v>12.506547887278961</v>
      </c>
      <c r="Q477" s="19">
        <f t="shared" si="149"/>
        <v>45.723783218393734</v>
      </c>
      <c r="R477" s="19">
        <f t="shared" si="150"/>
        <v>0</v>
      </c>
      <c r="S477" s="19">
        <f t="shared" si="151"/>
        <v>0</v>
      </c>
      <c r="T477" s="19">
        <f t="shared" si="152"/>
        <v>0</v>
      </c>
      <c r="U477" s="17"/>
      <c r="V477" s="19">
        <f t="shared" si="145"/>
        <v>58.230331105672697</v>
      </c>
      <c r="W477" s="17"/>
      <c r="X477" s="19">
        <f t="shared" si="146"/>
        <v>48.227762301354645</v>
      </c>
      <c r="Y477" s="19">
        <f t="shared" si="147"/>
        <v>6.9446211056726952</v>
      </c>
      <c r="Z477" s="19"/>
      <c r="AA477" s="19">
        <f t="shared" si="148"/>
        <v>4.5132963230276669E-5</v>
      </c>
    </row>
    <row r="478" spans="2:27" x14ac:dyDescent="0.35">
      <c r="B478" s="27">
        <v>44</v>
      </c>
      <c r="C478" s="27">
        <v>54.035710000000002</v>
      </c>
      <c r="D478" s="19">
        <f t="shared" si="135"/>
        <v>68.919605545222524</v>
      </c>
      <c r="E478" s="19">
        <f t="shared" si="136"/>
        <v>0.93480674392719587</v>
      </c>
      <c r="F478" s="19">
        <f t="shared" si="137"/>
        <v>2.8027754226637809</v>
      </c>
      <c r="G478" s="19">
        <f t="shared" si="138"/>
        <v>2.8027754226637809</v>
      </c>
      <c r="H478" s="19">
        <f t="shared" si="139"/>
        <v>2.8027754226637809</v>
      </c>
      <c r="I478" s="17"/>
      <c r="J478" s="19">
        <f t="shared" si="140"/>
        <v>64.749085961172284</v>
      </c>
      <c r="K478" s="19">
        <f t="shared" si="141"/>
        <v>0.96767044400608726</v>
      </c>
      <c r="L478" s="19">
        <f t="shared" si="142"/>
        <v>2.0735252463272102</v>
      </c>
      <c r="M478" s="19">
        <f t="shared" si="143"/>
        <v>2.0735252463272102</v>
      </c>
      <c r="N478" s="19">
        <f t="shared" si="144"/>
        <v>2.0735252463272102</v>
      </c>
      <c r="O478" s="17"/>
      <c r="P478" s="19">
        <f t="shared" si="134"/>
        <v>12.453560934128358</v>
      </c>
      <c r="Q478" s="19">
        <f t="shared" si="149"/>
        <v>45.511845787789461</v>
      </c>
      <c r="R478" s="19">
        <f t="shared" si="150"/>
        <v>0</v>
      </c>
      <c r="S478" s="19">
        <f t="shared" si="151"/>
        <v>0</v>
      </c>
      <c r="T478" s="19">
        <f t="shared" si="152"/>
        <v>0</v>
      </c>
      <c r="U478" s="17"/>
      <c r="V478" s="19">
        <f t="shared" si="145"/>
        <v>57.965406721917816</v>
      </c>
      <c r="W478" s="17"/>
      <c r="X478" s="19">
        <f t="shared" si="146"/>
        <v>15.442516326251615</v>
      </c>
      <c r="Y478" s="19">
        <f t="shared" si="147"/>
        <v>3.9296967219178143</v>
      </c>
      <c r="Z478" s="19"/>
      <c r="AA478" s="19">
        <f t="shared" si="148"/>
        <v>2.5539025809713417E-5</v>
      </c>
    </row>
    <row r="479" spans="2:27" x14ac:dyDescent="0.35">
      <c r="B479" s="27">
        <v>44.1</v>
      </c>
      <c r="C479" s="27">
        <v>82.285709999999995</v>
      </c>
      <c r="D479" s="19">
        <f t="shared" si="135"/>
        <v>69.06010488364501</v>
      </c>
      <c r="E479" s="19">
        <f t="shared" si="136"/>
        <v>0.94093167275431799</v>
      </c>
      <c r="F479" s="19">
        <f t="shared" si="137"/>
        <v>2.813886533774892</v>
      </c>
      <c r="G479" s="19">
        <f t="shared" si="138"/>
        <v>2.813886533774892</v>
      </c>
      <c r="H479" s="19">
        <f t="shared" si="139"/>
        <v>2.813886533774892</v>
      </c>
      <c r="I479" s="17"/>
      <c r="J479" s="19">
        <f t="shared" si="140"/>
        <v>64.887450643144703</v>
      </c>
      <c r="K479" s="19">
        <f t="shared" si="141"/>
        <v>0.97068497236908879</v>
      </c>
      <c r="L479" s="19">
        <f t="shared" si="142"/>
        <v>2.0810256571828596</v>
      </c>
      <c r="M479" s="19">
        <f t="shared" si="143"/>
        <v>2.0810256571828596</v>
      </c>
      <c r="N479" s="19">
        <f t="shared" si="144"/>
        <v>2.0810256571828596</v>
      </c>
      <c r="O479" s="17"/>
      <c r="P479" s="19">
        <f t="shared" si="134"/>
        <v>12.400908307430917</v>
      </c>
      <c r="Q479" s="19">
        <f t="shared" si="149"/>
        <v>45.301103039956317</v>
      </c>
      <c r="R479" s="19">
        <f t="shared" si="150"/>
        <v>0</v>
      </c>
      <c r="S479" s="19">
        <f t="shared" si="151"/>
        <v>0</v>
      </c>
      <c r="T479" s="19">
        <f t="shared" si="152"/>
        <v>0</v>
      </c>
      <c r="U479" s="17"/>
      <c r="V479" s="19">
        <f t="shared" si="145"/>
        <v>57.702011347387234</v>
      </c>
      <c r="W479" s="17"/>
      <c r="X479" s="19">
        <f t="shared" si="146"/>
        <v>604.35823944247443</v>
      </c>
      <c r="Y479" s="19">
        <f t="shared" si="147"/>
        <v>24.58369865261276</v>
      </c>
      <c r="Z479" s="19"/>
      <c r="AA479" s="19">
        <f t="shared" si="148"/>
        <v>1.5976899970053846E-4</v>
      </c>
    </row>
    <row r="480" spans="2:27" x14ac:dyDescent="0.35">
      <c r="B480" s="27">
        <v>44.2</v>
      </c>
      <c r="C480" s="27">
        <v>59.535710000000002</v>
      </c>
      <c r="D480" s="19">
        <f t="shared" si="135"/>
        <v>69.200604222067511</v>
      </c>
      <c r="E480" s="19">
        <f t="shared" si="136"/>
        <v>0.94705660158144056</v>
      </c>
      <c r="F480" s="19">
        <f t="shared" si="137"/>
        <v>2.8249976448860039</v>
      </c>
      <c r="G480" s="19">
        <f t="shared" si="138"/>
        <v>2.8249976448860039</v>
      </c>
      <c r="H480" s="19">
        <f t="shared" si="139"/>
        <v>2.8249976448860039</v>
      </c>
      <c r="I480" s="17"/>
      <c r="J480" s="19">
        <f t="shared" si="140"/>
        <v>65.025819803302809</v>
      </c>
      <c r="K480" s="19">
        <f t="shared" si="141"/>
        <v>0.97370425877861699</v>
      </c>
      <c r="L480" s="19">
        <f t="shared" si="142"/>
        <v>2.0885348523349547</v>
      </c>
      <c r="M480" s="19">
        <f t="shared" si="143"/>
        <v>2.0885348523349547</v>
      </c>
      <c r="N480" s="19">
        <f t="shared" si="144"/>
        <v>2.0885348523349547</v>
      </c>
      <c r="O480" s="17"/>
      <c r="P480" s="19">
        <f t="shared" si="134"/>
        <v>12.348587211139753</v>
      </c>
      <c r="Q480" s="19">
        <f t="shared" si="149"/>
        <v>45.091547492639229</v>
      </c>
      <c r="R480" s="19">
        <f t="shared" si="150"/>
        <v>0</v>
      </c>
      <c r="S480" s="19">
        <f t="shared" si="151"/>
        <v>0</v>
      </c>
      <c r="T480" s="19">
        <f t="shared" si="152"/>
        <v>0</v>
      </c>
      <c r="U480" s="17"/>
      <c r="V480" s="19">
        <f t="shared" si="145"/>
        <v>57.44013470377898</v>
      </c>
      <c r="W480" s="17"/>
      <c r="X480" s="19">
        <f t="shared" si="146"/>
        <v>4.3914358221318208</v>
      </c>
      <c r="Y480" s="19">
        <f t="shared" si="147"/>
        <v>2.0955752962210212</v>
      </c>
      <c r="Z480" s="19"/>
      <c r="AA480" s="19">
        <f t="shared" si="148"/>
        <v>1.3619104822488078E-5</v>
      </c>
    </row>
    <row r="481" spans="2:27" x14ac:dyDescent="0.35">
      <c r="B481" s="27">
        <v>44.3</v>
      </c>
      <c r="C481" s="27">
        <v>59.035710000000002</v>
      </c>
      <c r="D481" s="19">
        <f t="shared" si="135"/>
        <v>69.341103560489998</v>
      </c>
      <c r="E481" s="19">
        <f t="shared" si="136"/>
        <v>0.95318153040856268</v>
      </c>
      <c r="F481" s="19">
        <f t="shared" si="137"/>
        <v>2.8361087559971132</v>
      </c>
      <c r="G481" s="19">
        <f t="shared" si="138"/>
        <v>2.8361087559971132</v>
      </c>
      <c r="H481" s="19">
        <f t="shared" si="139"/>
        <v>2.8361087559971132</v>
      </c>
      <c r="I481" s="17"/>
      <c r="J481" s="19">
        <f t="shared" si="140"/>
        <v>65.164193423040516</v>
      </c>
      <c r="K481" s="19">
        <f t="shared" si="141"/>
        <v>0.97672829616406576</v>
      </c>
      <c r="L481" s="19">
        <f t="shared" si="142"/>
        <v>2.0960527993337608</v>
      </c>
      <c r="M481" s="19">
        <f t="shared" si="143"/>
        <v>2.0960527993337608</v>
      </c>
      <c r="N481" s="19">
        <f t="shared" si="144"/>
        <v>2.0960527993337608</v>
      </c>
      <c r="O481" s="17"/>
      <c r="P481" s="19">
        <f t="shared" si="134"/>
        <v>12.296594878287936</v>
      </c>
      <c r="Q481" s="19">
        <f t="shared" si="149"/>
        <v>44.883171712521111</v>
      </c>
      <c r="R481" s="19">
        <f t="shared" si="150"/>
        <v>0</v>
      </c>
      <c r="S481" s="19">
        <f t="shared" si="151"/>
        <v>0</v>
      </c>
      <c r="T481" s="19">
        <f t="shared" si="152"/>
        <v>0</v>
      </c>
      <c r="U481" s="17"/>
      <c r="V481" s="19">
        <f t="shared" si="145"/>
        <v>57.179766590809045</v>
      </c>
      <c r="W481" s="17"/>
      <c r="X481" s="19">
        <f t="shared" si="146"/>
        <v>3.4445259381193503</v>
      </c>
      <c r="Y481" s="19">
        <f t="shared" si="147"/>
        <v>1.8559434091909566</v>
      </c>
      <c r="Z481" s="19"/>
      <c r="AA481" s="19">
        <f t="shared" si="148"/>
        <v>1.2061741651544847E-5</v>
      </c>
    </row>
    <row r="482" spans="2:27" x14ac:dyDescent="0.35">
      <c r="B482" s="27">
        <v>44.4</v>
      </c>
      <c r="C482" s="27">
        <v>58.535710000000002</v>
      </c>
      <c r="D482" s="19">
        <f t="shared" si="135"/>
        <v>69.481602898912485</v>
      </c>
      <c r="E482" s="19">
        <f t="shared" si="136"/>
        <v>0.95930645923568481</v>
      </c>
      <c r="F482" s="19">
        <f t="shared" si="137"/>
        <v>2.8472198671082252</v>
      </c>
      <c r="G482" s="19">
        <f t="shared" si="138"/>
        <v>2.8472198671082252</v>
      </c>
      <c r="H482" s="19">
        <f t="shared" si="139"/>
        <v>2.8472198671082252</v>
      </c>
      <c r="I482" s="17"/>
      <c r="J482" s="19">
        <f t="shared" si="140"/>
        <v>65.302571483866913</v>
      </c>
      <c r="K482" s="19">
        <f t="shared" si="141"/>
        <v>0.97975707744189799</v>
      </c>
      <c r="L482" s="19">
        <f t="shared" si="142"/>
        <v>2.1035794658537941</v>
      </c>
      <c r="M482" s="19">
        <f t="shared" si="143"/>
        <v>2.1035794658537941</v>
      </c>
      <c r="N482" s="19">
        <f t="shared" si="144"/>
        <v>2.1035794658537941</v>
      </c>
      <c r="O482" s="17"/>
      <c r="P482" s="19">
        <f t="shared" si="134"/>
        <v>12.244928570627211</v>
      </c>
      <c r="Q482" s="19">
        <f t="shared" si="149"/>
        <v>44.675968314907315</v>
      </c>
      <c r="R482" s="19">
        <f t="shared" si="150"/>
        <v>0</v>
      </c>
      <c r="S482" s="19">
        <f t="shared" si="151"/>
        <v>0</v>
      </c>
      <c r="T482" s="19">
        <f t="shared" si="152"/>
        <v>0</v>
      </c>
      <c r="U482" s="17"/>
      <c r="V482" s="19">
        <f t="shared" si="145"/>
        <v>56.920896885534525</v>
      </c>
      <c r="W482" s="17"/>
      <c r="X482" s="19">
        <f t="shared" si="146"/>
        <v>2.6076213946496933</v>
      </c>
      <c r="Y482" s="19">
        <f t="shared" si="147"/>
        <v>1.6148131144654769</v>
      </c>
      <c r="Z482" s="19"/>
      <c r="AA482" s="19">
        <f t="shared" si="148"/>
        <v>1.0494640356895214E-5</v>
      </c>
    </row>
    <row r="483" spans="2:27" x14ac:dyDescent="0.35">
      <c r="B483" s="27">
        <v>44.5</v>
      </c>
      <c r="C483" s="27">
        <v>57.285710000000002</v>
      </c>
      <c r="D483" s="19">
        <f t="shared" si="135"/>
        <v>69.622102237334971</v>
      </c>
      <c r="E483" s="19">
        <f t="shared" si="136"/>
        <v>0.96543138806280737</v>
      </c>
      <c r="F483" s="19">
        <f t="shared" si="137"/>
        <v>2.8583309782193362</v>
      </c>
      <c r="G483" s="19">
        <f t="shared" si="138"/>
        <v>2.8583309782193362</v>
      </c>
      <c r="H483" s="19">
        <f t="shared" si="139"/>
        <v>2.8583309782193362</v>
      </c>
      <c r="I483" s="17"/>
      <c r="J483" s="19">
        <f t="shared" si="140"/>
        <v>65.440953967405207</v>
      </c>
      <c r="K483" s="19">
        <f t="shared" si="141"/>
        <v>0.98279059551587278</v>
      </c>
      <c r="L483" s="19">
        <f t="shared" si="142"/>
        <v>2.1111148196936611</v>
      </c>
      <c r="M483" s="19">
        <f t="shared" si="143"/>
        <v>2.1111148196936611</v>
      </c>
      <c r="N483" s="19">
        <f t="shared" si="144"/>
        <v>2.1111148196936611</v>
      </c>
      <c r="O483" s="17"/>
      <c r="P483" s="19">
        <f t="shared" si="134"/>
        <v>12.193585578272005</v>
      </c>
      <c r="Q483" s="19">
        <f t="shared" si="149"/>
        <v>44.469929963412071</v>
      </c>
      <c r="R483" s="19">
        <f t="shared" si="150"/>
        <v>0</v>
      </c>
      <c r="S483" s="19">
        <f t="shared" si="151"/>
        <v>0</v>
      </c>
      <c r="T483" s="19">
        <f t="shared" si="152"/>
        <v>0</v>
      </c>
      <c r="U483" s="17"/>
      <c r="V483" s="19">
        <f t="shared" si="145"/>
        <v>56.663515541684077</v>
      </c>
      <c r="W483" s="17"/>
      <c r="X483" s="19">
        <f t="shared" si="146"/>
        <v>0.38712594395904637</v>
      </c>
      <c r="Y483" s="19">
        <f t="shared" si="147"/>
        <v>0.62219445831592424</v>
      </c>
      <c r="Z483" s="19"/>
      <c r="AA483" s="19">
        <f t="shared" si="148"/>
        <v>4.0436301969471365E-6</v>
      </c>
    </row>
    <row r="484" spans="2:27" x14ac:dyDescent="0.35">
      <c r="B484" s="27">
        <v>44.6</v>
      </c>
      <c r="C484" s="27">
        <v>66.285709999999995</v>
      </c>
      <c r="D484" s="19">
        <f t="shared" si="135"/>
        <v>69.762601575757472</v>
      </c>
      <c r="E484" s="19">
        <f t="shared" si="136"/>
        <v>0.97155631688992949</v>
      </c>
      <c r="F484" s="19">
        <f t="shared" si="137"/>
        <v>2.8694420893304473</v>
      </c>
      <c r="G484" s="19">
        <f t="shared" si="138"/>
        <v>2.8694420893304473</v>
      </c>
      <c r="H484" s="19">
        <f t="shared" si="139"/>
        <v>2.8694420893304473</v>
      </c>
      <c r="I484" s="17"/>
      <c r="J484" s="19">
        <f t="shared" si="140"/>
        <v>65.579340855391905</v>
      </c>
      <c r="K484" s="19">
        <f t="shared" si="141"/>
        <v>0.98582884327727316</v>
      </c>
      <c r="L484" s="19">
        <f t="shared" si="142"/>
        <v>2.1186588287759078</v>
      </c>
      <c r="M484" s="19">
        <f t="shared" si="143"/>
        <v>2.1186588287759078</v>
      </c>
      <c r="N484" s="19">
        <f t="shared" si="144"/>
        <v>2.1186588287759078</v>
      </c>
      <c r="O484" s="17"/>
      <c r="P484" s="19">
        <f t="shared" si="134"/>
        <v>12.14256321934846</v>
      </c>
      <c r="Q484" s="19">
        <f t="shared" si="149"/>
        <v>44.265049369646782</v>
      </c>
      <c r="R484" s="19">
        <f t="shared" si="150"/>
        <v>0</v>
      </c>
      <c r="S484" s="19">
        <f t="shared" si="151"/>
        <v>0</v>
      </c>
      <c r="T484" s="19">
        <f t="shared" si="152"/>
        <v>0</v>
      </c>
      <c r="U484" s="17"/>
      <c r="V484" s="19">
        <f t="shared" si="145"/>
        <v>56.407612588995242</v>
      </c>
      <c r="W484" s="17"/>
      <c r="X484" s="19">
        <f t="shared" si="146"/>
        <v>97.576808461298796</v>
      </c>
      <c r="Y484" s="19">
        <f t="shared" si="147"/>
        <v>9.8780974110047524</v>
      </c>
      <c r="Z484" s="19"/>
      <c r="AA484" s="19">
        <f t="shared" si="148"/>
        <v>6.419757110604571E-5</v>
      </c>
    </row>
    <row r="485" spans="2:27" x14ac:dyDescent="0.35">
      <c r="B485" s="27">
        <v>44.7</v>
      </c>
      <c r="C485" s="27">
        <v>59.785710000000002</v>
      </c>
      <c r="D485" s="19">
        <f t="shared" si="135"/>
        <v>69.903100914179959</v>
      </c>
      <c r="E485" s="19">
        <f t="shared" si="136"/>
        <v>0.97768124571705162</v>
      </c>
      <c r="F485" s="19">
        <f t="shared" si="137"/>
        <v>2.8805532004415593</v>
      </c>
      <c r="G485" s="19">
        <f t="shared" si="138"/>
        <v>2.8805532004415593</v>
      </c>
      <c r="H485" s="19">
        <f t="shared" si="139"/>
        <v>2.8805532004415593</v>
      </c>
      <c r="I485" s="17"/>
      <c r="J485" s="19">
        <f t="shared" si="140"/>
        <v>65.717732129675753</v>
      </c>
      <c r="K485" s="19">
        <f t="shared" si="141"/>
        <v>0.98887181360513277</v>
      </c>
      <c r="L485" s="19">
        <f t="shared" si="142"/>
        <v>2.1262114611468572</v>
      </c>
      <c r="M485" s="19">
        <f t="shared" si="143"/>
        <v>2.1262114611468572</v>
      </c>
      <c r="N485" s="19">
        <f t="shared" si="144"/>
        <v>2.1262114611468572</v>
      </c>
      <c r="O485" s="17"/>
      <c r="P485" s="19">
        <f t="shared" si="134"/>
        <v>12.091858839648623</v>
      </c>
      <c r="Q485" s="19">
        <f t="shared" si="149"/>
        <v>44.061319292910106</v>
      </c>
      <c r="R485" s="19">
        <f t="shared" si="150"/>
        <v>0</v>
      </c>
      <c r="S485" s="19">
        <f t="shared" si="151"/>
        <v>0</v>
      </c>
      <c r="T485" s="19">
        <f t="shared" si="152"/>
        <v>0</v>
      </c>
      <c r="U485" s="17"/>
      <c r="V485" s="19">
        <f t="shared" si="145"/>
        <v>56.153178132558729</v>
      </c>
      <c r="W485" s="17"/>
      <c r="X485" s="19">
        <f t="shared" si="146"/>
        <v>13.19528776797638</v>
      </c>
      <c r="Y485" s="19">
        <f t="shared" si="147"/>
        <v>3.6325318674412728</v>
      </c>
      <c r="Z485" s="19"/>
      <c r="AA485" s="19">
        <f t="shared" si="148"/>
        <v>2.3607756954820127E-5</v>
      </c>
    </row>
    <row r="486" spans="2:27" x14ac:dyDescent="0.35">
      <c r="B486" s="27">
        <v>44.8</v>
      </c>
      <c r="C486" s="27">
        <v>49.285710000000002</v>
      </c>
      <c r="D486" s="19">
        <f t="shared" si="135"/>
        <v>70.043600252602445</v>
      </c>
      <c r="E486" s="19">
        <f t="shared" si="136"/>
        <v>0.98380617454417374</v>
      </c>
      <c r="F486" s="19">
        <f t="shared" si="137"/>
        <v>2.8916643115526686</v>
      </c>
      <c r="G486" s="19">
        <f t="shared" si="138"/>
        <v>2.8916643115526686</v>
      </c>
      <c r="H486" s="19">
        <f t="shared" si="139"/>
        <v>2.8916643115526686</v>
      </c>
      <c r="I486" s="17"/>
      <c r="J486" s="19">
        <f t="shared" si="140"/>
        <v>65.856127772216951</v>
      </c>
      <c r="K486" s="19">
        <f t="shared" si="141"/>
        <v>0.99191949936646062</v>
      </c>
      <c r="L486" s="19">
        <f t="shared" si="142"/>
        <v>2.1337726849764325</v>
      </c>
      <c r="M486" s="19">
        <f t="shared" si="143"/>
        <v>2.1337726849764325</v>
      </c>
      <c r="N486" s="19">
        <f t="shared" si="144"/>
        <v>2.1337726849764325</v>
      </c>
      <c r="O486" s="17"/>
      <c r="P486" s="19">
        <f t="shared" si="134"/>
        <v>12.041469812289481</v>
      </c>
      <c r="Q486" s="19">
        <f t="shared" si="149"/>
        <v>43.858732539879938</v>
      </c>
      <c r="R486" s="19">
        <f t="shared" si="150"/>
        <v>0</v>
      </c>
      <c r="S486" s="19">
        <f t="shared" si="151"/>
        <v>0</v>
      </c>
      <c r="T486" s="19">
        <f t="shared" si="152"/>
        <v>0</v>
      </c>
      <c r="U486" s="17"/>
      <c r="V486" s="19">
        <f t="shared" si="145"/>
        <v>55.900202352169416</v>
      </c>
      <c r="W486" s="17"/>
      <c r="X486" s="19">
        <f t="shared" si="146"/>
        <v>43.751509076907666</v>
      </c>
      <c r="Y486" s="19">
        <f t="shared" si="147"/>
        <v>6.6144923521694139</v>
      </c>
      <c r="Z486" s="19"/>
      <c r="AA486" s="19">
        <f t="shared" si="148"/>
        <v>4.298746260952288E-5</v>
      </c>
    </row>
    <row r="487" spans="2:27" x14ac:dyDescent="0.35">
      <c r="B487" s="27">
        <v>44.9</v>
      </c>
      <c r="C487" s="27">
        <v>47.535710000000002</v>
      </c>
      <c r="D487" s="19">
        <f t="shared" si="135"/>
        <v>70.184099591024946</v>
      </c>
      <c r="E487" s="19">
        <f t="shared" si="136"/>
        <v>0.98993110337129631</v>
      </c>
      <c r="F487" s="19">
        <f t="shared" si="137"/>
        <v>2.9027754226637805</v>
      </c>
      <c r="G487" s="19">
        <f t="shared" si="138"/>
        <v>2.9027754226637805</v>
      </c>
      <c r="H487" s="19">
        <f t="shared" si="139"/>
        <v>2.9027754226637805</v>
      </c>
      <c r="I487" s="17"/>
      <c r="J487" s="19">
        <f t="shared" si="140"/>
        <v>65.994527765086175</v>
      </c>
      <c r="K487" s="19">
        <f t="shared" si="141"/>
        <v>0.99497189341646552</v>
      </c>
      <c r="L487" s="19">
        <f t="shared" si="142"/>
        <v>2.1413424685579909</v>
      </c>
      <c r="M487" s="19">
        <f t="shared" si="143"/>
        <v>2.1413424685579909</v>
      </c>
      <c r="N487" s="19">
        <f t="shared" si="144"/>
        <v>2.1413424685579909</v>
      </c>
      <c r="O487" s="17"/>
      <c r="P487" s="19">
        <f t="shared" si="134"/>
        <v>11.991393537376986</v>
      </c>
      <c r="Q487" s="19">
        <f t="shared" si="149"/>
        <v>43.657281964307145</v>
      </c>
      <c r="R487" s="19">
        <f t="shared" si="150"/>
        <v>0</v>
      </c>
      <c r="S487" s="19">
        <f t="shared" si="151"/>
        <v>0</v>
      </c>
      <c r="T487" s="19">
        <f t="shared" si="152"/>
        <v>0</v>
      </c>
      <c r="U487" s="17"/>
      <c r="V487" s="19">
        <f t="shared" si="145"/>
        <v>55.648675501684131</v>
      </c>
      <c r="W487" s="17"/>
      <c r="X487" s="19">
        <f t="shared" si="146"/>
        <v>65.820209231516827</v>
      </c>
      <c r="Y487" s="19">
        <f t="shared" si="147"/>
        <v>8.1129655016841298</v>
      </c>
      <c r="Z487" s="19"/>
      <c r="AA487" s="19">
        <f t="shared" si="148"/>
        <v>5.2726011700899618E-5</v>
      </c>
    </row>
    <row r="488" spans="2:27" x14ac:dyDescent="0.35">
      <c r="B488" s="27">
        <v>45</v>
      </c>
      <c r="C488" s="27">
        <v>63.535710000000002</v>
      </c>
      <c r="D488" s="19">
        <f t="shared" si="135"/>
        <v>70.324598929447433</v>
      </c>
      <c r="E488" s="19">
        <f t="shared" si="136"/>
        <v>0.99605603219841843</v>
      </c>
      <c r="F488" s="19">
        <f t="shared" si="137"/>
        <v>2.9138865337748916</v>
      </c>
      <c r="G488" s="19">
        <f t="shared" si="138"/>
        <v>2.9138865337748916</v>
      </c>
      <c r="H488" s="19">
        <f t="shared" si="139"/>
        <v>2.9138865337748916</v>
      </c>
      <c r="I488" s="17"/>
      <c r="J488" s="19">
        <f t="shared" si="140"/>
        <v>66.132932090463669</v>
      </c>
      <c r="K488" s="19">
        <f t="shared" si="141"/>
        <v>0.99802898859877709</v>
      </c>
      <c r="L488" s="19">
        <f t="shared" si="142"/>
        <v>2.1489207803081274</v>
      </c>
      <c r="M488" s="19">
        <f t="shared" si="143"/>
        <v>2.1489207803081274</v>
      </c>
      <c r="N488" s="19">
        <f t="shared" si="144"/>
        <v>2.1489207803081274</v>
      </c>
      <c r="O488" s="17"/>
      <c r="P488" s="19">
        <f t="shared" ref="P488:P551" si="153">(C$21*C$23/(1-C$23)^2*$A$21*C$22)/(J488+J488^2)</f>
        <v>11.941627441674799</v>
      </c>
      <c r="Q488" s="19">
        <f t="shared" si="149"/>
        <v>43.456960466711308</v>
      </c>
      <c r="R488" s="19">
        <f t="shared" si="150"/>
        <v>0</v>
      </c>
      <c r="S488" s="19">
        <f t="shared" si="151"/>
        <v>0</v>
      </c>
      <c r="T488" s="19">
        <f t="shared" si="152"/>
        <v>0</v>
      </c>
      <c r="U488" s="17"/>
      <c r="V488" s="19">
        <f t="shared" si="145"/>
        <v>55.398587908386105</v>
      </c>
      <c r="W488" s="17"/>
      <c r="X488" s="19">
        <f t="shared" si="146"/>
        <v>66.21275593383092</v>
      </c>
      <c r="Y488" s="19">
        <f t="shared" si="147"/>
        <v>8.1371220916138967</v>
      </c>
      <c r="Z488" s="19"/>
      <c r="AA488" s="19">
        <f t="shared" si="148"/>
        <v>5.2883004928964783E-5</v>
      </c>
    </row>
    <row r="489" spans="2:27" x14ac:dyDescent="0.35">
      <c r="B489" s="27">
        <v>45.1</v>
      </c>
      <c r="C489" s="27">
        <v>67.035709999999995</v>
      </c>
      <c r="D489" s="19">
        <f t="shared" si="135"/>
        <v>70.465098267869919</v>
      </c>
      <c r="E489" s="19">
        <f t="shared" si="136"/>
        <v>1.002180961025541</v>
      </c>
      <c r="F489" s="19">
        <f t="shared" si="137"/>
        <v>2.9249976448860036</v>
      </c>
      <c r="G489" s="19">
        <f t="shared" si="138"/>
        <v>2.9249976448860036</v>
      </c>
      <c r="H489" s="19">
        <f t="shared" si="139"/>
        <v>2.9249976448860036</v>
      </c>
      <c r="I489" s="17"/>
      <c r="J489" s="19">
        <f t="shared" si="140"/>
        <v>66.271340730638414</v>
      </c>
      <c r="K489" s="19">
        <f t="shared" si="141"/>
        <v>1.0010907777456695</v>
      </c>
      <c r="L489" s="19">
        <f t="shared" si="142"/>
        <v>2.1565075887664964</v>
      </c>
      <c r="M489" s="19">
        <f t="shared" si="143"/>
        <v>2.1565075887664964</v>
      </c>
      <c r="N489" s="19">
        <f t="shared" si="144"/>
        <v>2.1565075887664964</v>
      </c>
      <c r="O489" s="17"/>
      <c r="P489" s="19">
        <f t="shared" si="153"/>
        <v>11.892168978277788</v>
      </c>
      <c r="Q489" s="19">
        <f t="shared" si="149"/>
        <v>43.257760994077977</v>
      </c>
      <c r="R489" s="19">
        <f t="shared" si="150"/>
        <v>0</v>
      </c>
      <c r="S489" s="19">
        <f t="shared" si="151"/>
        <v>0</v>
      </c>
      <c r="T489" s="19">
        <f t="shared" si="152"/>
        <v>0</v>
      </c>
      <c r="U489" s="17"/>
      <c r="V489" s="19">
        <f t="shared" si="145"/>
        <v>55.149929972355764</v>
      </c>
      <c r="W489" s="17"/>
      <c r="X489" s="19">
        <f t="shared" si="146"/>
        <v>141.27176686554648</v>
      </c>
      <c r="Y489" s="19">
        <f t="shared" si="147"/>
        <v>11.88578002764423</v>
      </c>
      <c r="Z489" s="19"/>
      <c r="AA489" s="19">
        <f t="shared" si="148"/>
        <v>7.7245463040832263E-5</v>
      </c>
    </row>
    <row r="490" spans="2:27" x14ac:dyDescent="0.35">
      <c r="B490" s="27">
        <v>45.2</v>
      </c>
      <c r="C490" s="27">
        <v>55.535710000000002</v>
      </c>
      <c r="D490" s="19">
        <f t="shared" si="135"/>
        <v>70.60559760629242</v>
      </c>
      <c r="E490" s="19">
        <f t="shared" si="136"/>
        <v>1.0083058898526631</v>
      </c>
      <c r="F490" s="19">
        <f t="shared" si="137"/>
        <v>2.9361087559971146</v>
      </c>
      <c r="G490" s="19">
        <f t="shared" si="138"/>
        <v>2.9361087559971146</v>
      </c>
      <c r="H490" s="19">
        <f t="shared" si="139"/>
        <v>2.9361087559971146</v>
      </c>
      <c r="I490" s="17"/>
      <c r="J490" s="19">
        <f t="shared" si="140"/>
        <v>66.409753668007227</v>
      </c>
      <c r="K490" s="19">
        <f t="shared" si="141"/>
        <v>1.0041572536782792</v>
      </c>
      <c r="L490" s="19">
        <f t="shared" si="142"/>
        <v>2.1641028625956085</v>
      </c>
      <c r="M490" s="19">
        <f t="shared" si="143"/>
        <v>2.1641028625956085</v>
      </c>
      <c r="N490" s="19">
        <f t="shared" si="144"/>
        <v>2.1641028625956085</v>
      </c>
      <c r="O490" s="17"/>
      <c r="P490" s="19">
        <f t="shared" si="153"/>
        <v>11.843015626290182</v>
      </c>
      <c r="Q490" s="19">
        <f t="shared" si="149"/>
        <v>43.059676539558062</v>
      </c>
      <c r="R490" s="19">
        <f t="shared" si="150"/>
        <v>0</v>
      </c>
      <c r="S490" s="19">
        <f t="shared" si="151"/>
        <v>0</v>
      </c>
      <c r="T490" s="19">
        <f t="shared" si="152"/>
        <v>0</v>
      </c>
      <c r="U490" s="17"/>
      <c r="V490" s="19">
        <f t="shared" si="145"/>
        <v>54.902692165848244</v>
      </c>
      <c r="W490" s="17"/>
      <c r="X490" s="19">
        <f t="shared" si="146"/>
        <v>0.40071157835418264</v>
      </c>
      <c r="Y490" s="19">
        <f t="shared" si="147"/>
        <v>0.63301783415175805</v>
      </c>
      <c r="Z490" s="19"/>
      <c r="AA490" s="19">
        <f t="shared" si="148"/>
        <v>4.1139711149314346E-6</v>
      </c>
    </row>
    <row r="491" spans="2:27" x14ac:dyDescent="0.35">
      <c r="B491" s="27">
        <v>45.3</v>
      </c>
      <c r="C491" s="27">
        <v>48.285710000000002</v>
      </c>
      <c r="D491" s="19">
        <f t="shared" si="135"/>
        <v>70.746096944714907</v>
      </c>
      <c r="E491" s="19">
        <f t="shared" si="136"/>
        <v>1.0144308186797848</v>
      </c>
      <c r="F491" s="19">
        <f t="shared" si="137"/>
        <v>2.9472198671082248</v>
      </c>
      <c r="G491" s="19">
        <f t="shared" si="138"/>
        <v>2.9472198671082248</v>
      </c>
      <c r="H491" s="19">
        <f t="shared" si="139"/>
        <v>2.9472198671082248</v>
      </c>
      <c r="I491" s="17"/>
      <c r="J491" s="19">
        <f t="shared" si="140"/>
        <v>66.54817088507383</v>
      </c>
      <c r="K491" s="19">
        <f t="shared" si="141"/>
        <v>1.0072284092068267</v>
      </c>
      <c r="L491" s="19">
        <f t="shared" si="142"/>
        <v>2.1717065705806347</v>
      </c>
      <c r="M491" s="19">
        <f t="shared" si="143"/>
        <v>2.1717065705806347</v>
      </c>
      <c r="N491" s="19">
        <f t="shared" si="144"/>
        <v>2.1717065705806347</v>
      </c>
      <c r="O491" s="17"/>
      <c r="P491" s="19">
        <f t="shared" si="153"/>
        <v>11.794164890508288</v>
      </c>
      <c r="Q491" s="19">
        <f t="shared" si="149"/>
        <v>42.862700142168691</v>
      </c>
      <c r="R491" s="19">
        <f t="shared" si="150"/>
        <v>0</v>
      </c>
      <c r="S491" s="19">
        <f t="shared" si="151"/>
        <v>0</v>
      </c>
      <c r="T491" s="19">
        <f t="shared" si="152"/>
        <v>0</v>
      </c>
      <c r="U491" s="17"/>
      <c r="V491" s="19">
        <f t="shared" si="145"/>
        <v>54.656865032676976</v>
      </c>
      <c r="W491" s="17"/>
      <c r="X491" s="19">
        <f t="shared" si="146"/>
        <v>40.591616450405134</v>
      </c>
      <c r="Y491" s="19">
        <f t="shared" si="147"/>
        <v>6.3711550326769739</v>
      </c>
      <c r="Z491" s="19"/>
      <c r="AA491" s="19">
        <f t="shared" si="148"/>
        <v>4.1406017902016041E-5</v>
      </c>
    </row>
    <row r="492" spans="2:27" x14ac:dyDescent="0.35">
      <c r="B492" s="27">
        <v>45.4</v>
      </c>
      <c r="C492" s="27">
        <v>59.535710000000002</v>
      </c>
      <c r="D492" s="19">
        <f t="shared" si="135"/>
        <v>70.886596283137393</v>
      </c>
      <c r="E492" s="19">
        <f t="shared" si="136"/>
        <v>1.0205557475069074</v>
      </c>
      <c r="F492" s="19">
        <f t="shared" si="137"/>
        <v>2.9583309782193359</v>
      </c>
      <c r="G492" s="19">
        <f t="shared" si="138"/>
        <v>2.9583309782193359</v>
      </c>
      <c r="H492" s="19">
        <f t="shared" si="139"/>
        <v>2.9583309782193359</v>
      </c>
      <c r="I492" s="17"/>
      <c r="J492" s="19">
        <f t="shared" si="140"/>
        <v>66.686592364448103</v>
      </c>
      <c r="K492" s="19">
        <f t="shared" si="141"/>
        <v>1.0103042371308328</v>
      </c>
      <c r="L492" s="19">
        <f t="shared" si="142"/>
        <v>2.1793186816291965</v>
      </c>
      <c r="M492" s="19">
        <f t="shared" si="143"/>
        <v>2.1793186816291965</v>
      </c>
      <c r="N492" s="19">
        <f t="shared" si="144"/>
        <v>2.1793186816291965</v>
      </c>
      <c r="O492" s="17"/>
      <c r="P492" s="19">
        <f t="shared" si="153"/>
        <v>11.745614301107674</v>
      </c>
      <c r="Q492" s="19">
        <f t="shared" si="149"/>
        <v>42.66682488649613</v>
      </c>
      <c r="R492" s="19">
        <f t="shared" si="150"/>
        <v>0</v>
      </c>
      <c r="S492" s="19">
        <f t="shared" si="151"/>
        <v>0</v>
      </c>
      <c r="T492" s="19">
        <f t="shared" si="152"/>
        <v>0</v>
      </c>
      <c r="U492" s="17"/>
      <c r="V492" s="19">
        <f t="shared" si="145"/>
        <v>54.412439187603802</v>
      </c>
      <c r="W492" s="17"/>
      <c r="X492" s="19">
        <f t="shared" si="146"/>
        <v>26.247903817150817</v>
      </c>
      <c r="Y492" s="19">
        <f t="shared" si="147"/>
        <v>5.1232708123961999</v>
      </c>
      <c r="Z492" s="19"/>
      <c r="AA492" s="19">
        <f t="shared" si="148"/>
        <v>3.3296041594803361E-5</v>
      </c>
    </row>
    <row r="493" spans="2:27" x14ac:dyDescent="0.35">
      <c r="B493" s="27">
        <v>45.5</v>
      </c>
      <c r="C493" s="27">
        <v>33.035710000000002</v>
      </c>
      <c r="D493" s="19">
        <f t="shared" si="135"/>
        <v>71.02709562155988</v>
      </c>
      <c r="E493" s="19">
        <f t="shared" si="136"/>
        <v>1.0266806763340299</v>
      </c>
      <c r="F493" s="19">
        <f t="shared" si="137"/>
        <v>2.969442089330447</v>
      </c>
      <c r="G493" s="19">
        <f t="shared" si="138"/>
        <v>2.969442089330447</v>
      </c>
      <c r="H493" s="19">
        <f t="shared" si="139"/>
        <v>2.969442089330447</v>
      </c>
      <c r="I493" s="17"/>
      <c r="J493" s="19">
        <f t="shared" si="140"/>
        <v>66.825018088845141</v>
      </c>
      <c r="K493" s="19">
        <f t="shared" si="141"/>
        <v>1.0133847302393346</v>
      </c>
      <c r="L493" s="19">
        <f t="shared" si="142"/>
        <v>2.1869391647711529</v>
      </c>
      <c r="M493" s="19">
        <f t="shared" si="143"/>
        <v>2.1869391647711529</v>
      </c>
      <c r="N493" s="19">
        <f t="shared" si="144"/>
        <v>2.1869391647711529</v>
      </c>
      <c r="O493" s="17"/>
      <c r="P493" s="19">
        <f t="shared" si="153"/>
        <v>11.697361413334828</v>
      </c>
      <c r="Q493" s="19">
        <f t="shared" si="149"/>
        <v>42.472043902400358</v>
      </c>
      <c r="R493" s="19">
        <f t="shared" si="150"/>
        <v>0</v>
      </c>
      <c r="S493" s="19">
        <f t="shared" si="151"/>
        <v>0</v>
      </c>
      <c r="T493" s="19">
        <f t="shared" si="152"/>
        <v>0</v>
      </c>
      <c r="U493" s="17"/>
      <c r="V493" s="19">
        <f t="shared" si="145"/>
        <v>54.16940531573519</v>
      </c>
      <c r="W493" s="17"/>
      <c r="X493" s="19">
        <f t="shared" si="146"/>
        <v>446.63307769832744</v>
      </c>
      <c r="Y493" s="19">
        <f t="shared" si="147"/>
        <v>21.133695315735189</v>
      </c>
      <c r="Z493" s="19"/>
      <c r="AA493" s="19">
        <f t="shared" si="148"/>
        <v>1.3734749226647025E-4</v>
      </c>
    </row>
    <row r="494" spans="2:27" x14ac:dyDescent="0.35">
      <c r="B494" s="27">
        <v>45.6</v>
      </c>
      <c r="C494" s="27">
        <v>53.785710000000002</v>
      </c>
      <c r="D494" s="19">
        <f t="shared" si="135"/>
        <v>71.167594959982381</v>
      </c>
      <c r="E494" s="19">
        <f t="shared" si="136"/>
        <v>1.0328056051611525</v>
      </c>
      <c r="F494" s="19">
        <f t="shared" si="137"/>
        <v>2.9805532004415589</v>
      </c>
      <c r="G494" s="19">
        <f t="shared" si="138"/>
        <v>2.9805532004415589</v>
      </c>
      <c r="H494" s="19">
        <f t="shared" si="139"/>
        <v>2.9805532004415589</v>
      </c>
      <c r="I494" s="17"/>
      <c r="J494" s="19">
        <f t="shared" si="140"/>
        <v>66.963448041084447</v>
      </c>
      <c r="K494" s="19">
        <f t="shared" si="141"/>
        <v>1.0164698813111024</v>
      </c>
      <c r="L494" s="19">
        <f t="shared" si="142"/>
        <v>2.1945679891583838</v>
      </c>
      <c r="M494" s="19">
        <f t="shared" si="143"/>
        <v>2.1945679891583838</v>
      </c>
      <c r="N494" s="19">
        <f t="shared" si="144"/>
        <v>2.1945679891583838</v>
      </c>
      <c r="O494" s="17"/>
      <c r="P494" s="19">
        <f t="shared" si="153"/>
        <v>11.649403807203146</v>
      </c>
      <c r="Q494" s="19">
        <f t="shared" si="149"/>
        <v>42.278350364721383</v>
      </c>
      <c r="R494" s="19">
        <f t="shared" si="150"/>
        <v>0</v>
      </c>
      <c r="S494" s="19">
        <f t="shared" si="151"/>
        <v>0</v>
      </c>
      <c r="T494" s="19">
        <f t="shared" si="152"/>
        <v>0</v>
      </c>
      <c r="U494" s="17"/>
      <c r="V494" s="19">
        <f t="shared" si="145"/>
        <v>53.927754171924533</v>
      </c>
      <c r="W494" s="17"/>
      <c r="X494" s="19">
        <f t="shared" si="146"/>
        <v>2.0176546777725943E-2</v>
      </c>
      <c r="Y494" s="19">
        <f t="shared" si="147"/>
        <v>0.14204417192453178</v>
      </c>
      <c r="Z494" s="19"/>
      <c r="AA494" s="19">
        <f t="shared" si="148"/>
        <v>9.2314242793005441E-7</v>
      </c>
    </row>
    <row r="495" spans="2:27" x14ac:dyDescent="0.35">
      <c r="B495" s="27">
        <v>45.7</v>
      </c>
      <c r="C495" s="27">
        <v>69.285709999999995</v>
      </c>
      <c r="D495" s="19">
        <f t="shared" si="135"/>
        <v>71.308094298404882</v>
      </c>
      <c r="E495" s="19">
        <f t="shared" si="136"/>
        <v>1.0389305339882746</v>
      </c>
      <c r="F495" s="19">
        <f t="shared" si="137"/>
        <v>2.99166431155267</v>
      </c>
      <c r="G495" s="19">
        <f t="shared" si="138"/>
        <v>2.99166431155267</v>
      </c>
      <c r="H495" s="19">
        <f t="shared" si="139"/>
        <v>2.99166431155267</v>
      </c>
      <c r="I495" s="17"/>
      <c r="J495" s="19">
        <f t="shared" si="140"/>
        <v>67.10188220408908</v>
      </c>
      <c r="K495" s="19">
        <f t="shared" si="141"/>
        <v>1.0195596831148526</v>
      </c>
      <c r="L495" s="19">
        <f t="shared" si="142"/>
        <v>2.2022051240645615</v>
      </c>
      <c r="M495" s="19">
        <f t="shared" si="143"/>
        <v>2.2022051240645615</v>
      </c>
      <c r="N495" s="19">
        <f t="shared" si="144"/>
        <v>2.2022051240645615</v>
      </c>
      <c r="O495" s="17"/>
      <c r="P495" s="19">
        <f t="shared" si="153"/>
        <v>11.601739087193177</v>
      </c>
      <c r="Q495" s="19">
        <f t="shared" si="149"/>
        <v>42.085737492987363</v>
      </c>
      <c r="R495" s="19">
        <f t="shared" si="150"/>
        <v>0</v>
      </c>
      <c r="S495" s="19">
        <f t="shared" si="151"/>
        <v>0</v>
      </c>
      <c r="T495" s="19">
        <f t="shared" si="152"/>
        <v>0</v>
      </c>
      <c r="U495" s="17"/>
      <c r="V495" s="19">
        <f t="shared" si="145"/>
        <v>53.687476580180544</v>
      </c>
      <c r="W495" s="17"/>
      <c r="X495" s="19">
        <f t="shared" si="146"/>
        <v>243.3048858191724</v>
      </c>
      <c r="Y495" s="19">
        <f t="shared" si="147"/>
        <v>15.598233419819451</v>
      </c>
      <c r="Z495" s="19"/>
      <c r="AA495" s="19">
        <f t="shared" si="148"/>
        <v>1.0137262849645288E-4</v>
      </c>
    </row>
    <row r="496" spans="2:27" x14ac:dyDescent="0.35">
      <c r="B496" s="27">
        <v>45.8</v>
      </c>
      <c r="C496" s="27">
        <v>56.535710000000002</v>
      </c>
      <c r="D496" s="19">
        <f t="shared" si="135"/>
        <v>71.448593636827354</v>
      </c>
      <c r="E496" s="19">
        <f t="shared" si="136"/>
        <v>1.0450554628153967</v>
      </c>
      <c r="F496" s="19">
        <f t="shared" si="137"/>
        <v>3.0027754226637802</v>
      </c>
      <c r="G496" s="19">
        <f t="shared" si="138"/>
        <v>3.0027754226637802</v>
      </c>
      <c r="H496" s="19">
        <f t="shared" si="139"/>
        <v>3.0027754226637802</v>
      </c>
      <c r="I496" s="17"/>
      <c r="J496" s="19">
        <f t="shared" si="140"/>
        <v>67.240320560884783</v>
      </c>
      <c r="K496" s="19">
        <f t="shared" si="141"/>
        <v>1.0226541284094619</v>
      </c>
      <c r="L496" s="19">
        <f t="shared" si="142"/>
        <v>2.2098505388849277</v>
      </c>
      <c r="M496" s="19">
        <f t="shared" si="143"/>
        <v>2.2098505388849277</v>
      </c>
      <c r="N496" s="19">
        <f t="shared" si="144"/>
        <v>2.2098505388849277</v>
      </c>
      <c r="O496" s="17"/>
      <c r="P496" s="19">
        <f t="shared" si="153"/>
        <v>11.554364881957165</v>
      </c>
      <c r="Q496" s="19">
        <f t="shared" si="149"/>
        <v>41.894198551124461</v>
      </c>
      <c r="R496" s="19">
        <f t="shared" si="150"/>
        <v>0</v>
      </c>
      <c r="S496" s="19">
        <f t="shared" si="151"/>
        <v>0</v>
      </c>
      <c r="T496" s="19">
        <f t="shared" si="152"/>
        <v>0</v>
      </c>
      <c r="U496" s="17"/>
      <c r="V496" s="19">
        <f t="shared" si="145"/>
        <v>53.448563433081624</v>
      </c>
      <c r="W496" s="17"/>
      <c r="X496" s="19">
        <f t="shared" si="146"/>
        <v>9.5304739256359259</v>
      </c>
      <c r="Y496" s="19">
        <f t="shared" si="147"/>
        <v>3.0871465669183777</v>
      </c>
      <c r="Z496" s="19"/>
      <c r="AA496" s="19">
        <f t="shared" si="148"/>
        <v>2.0063308043888667E-5</v>
      </c>
    </row>
    <row r="497" spans="2:27" x14ac:dyDescent="0.35">
      <c r="B497" s="27">
        <v>45.9</v>
      </c>
      <c r="C497" s="27">
        <v>52.535710000000002</v>
      </c>
      <c r="D497" s="19">
        <f t="shared" si="135"/>
        <v>71.589092975249855</v>
      </c>
      <c r="E497" s="19">
        <f t="shared" si="136"/>
        <v>1.0511803916425184</v>
      </c>
      <c r="F497" s="19">
        <f t="shared" si="137"/>
        <v>3.0138865337748912</v>
      </c>
      <c r="G497" s="19">
        <f t="shared" si="138"/>
        <v>3.0138865337748912</v>
      </c>
      <c r="H497" s="19">
        <f t="shared" si="139"/>
        <v>3.0138865337748912</v>
      </c>
      <c r="I497" s="17"/>
      <c r="J497" s="19">
        <f t="shared" si="140"/>
        <v>67.37876309459935</v>
      </c>
      <c r="K497" s="19">
        <f t="shared" si="141"/>
        <v>1.025753209944178</v>
      </c>
      <c r="L497" s="19">
        <f t="shared" si="142"/>
        <v>2.2175042031360568</v>
      </c>
      <c r="M497" s="19">
        <f t="shared" si="143"/>
        <v>2.2175042031360568</v>
      </c>
      <c r="N497" s="19">
        <f t="shared" si="144"/>
        <v>2.2175042031360568</v>
      </c>
      <c r="O497" s="17"/>
      <c r="P497" s="19">
        <f t="shared" si="153"/>
        <v>11.507278844027576</v>
      </c>
      <c r="Q497" s="19">
        <f t="shared" si="149"/>
        <v>41.703726847168483</v>
      </c>
      <c r="R497" s="19">
        <f t="shared" si="150"/>
        <v>0</v>
      </c>
      <c r="S497" s="19">
        <f t="shared" si="151"/>
        <v>0</v>
      </c>
      <c r="T497" s="19">
        <f t="shared" si="152"/>
        <v>0</v>
      </c>
      <c r="U497" s="17"/>
      <c r="V497" s="19">
        <f t="shared" si="145"/>
        <v>53.211005691196057</v>
      </c>
      <c r="W497" s="17"/>
      <c r="X497" s="19">
        <f t="shared" si="146"/>
        <v>0.45602427054795802</v>
      </c>
      <c r="Y497" s="19">
        <f t="shared" si="147"/>
        <v>0.67529569119605526</v>
      </c>
      <c r="Z497" s="19"/>
      <c r="AA497" s="19">
        <f t="shared" si="148"/>
        <v>4.3887341204864122E-6</v>
      </c>
    </row>
    <row r="498" spans="2:27" x14ac:dyDescent="0.35">
      <c r="B498" s="27">
        <v>46</v>
      </c>
      <c r="C498" s="27">
        <v>52.035710000000002</v>
      </c>
      <c r="D498" s="19">
        <f t="shared" ref="D498:D561" si="154">$C$23/(1-$C$23)-LN((1-$C$23)/$C$23)+$C$22/(1-$C$23)*B498</f>
        <v>71.729592313672342</v>
      </c>
      <c r="E498" s="19">
        <f t="shared" ref="E498:E561" si="155">$D$23/(1-$D$23)-LN((1-$D$23)/$D$23)+$D$22*B498/(1-$D$23)</f>
        <v>1.057305320469641</v>
      </c>
      <c r="F498" s="19">
        <f t="shared" ref="F498:F561" si="156">$E$23/(1-$E$23)-LN((1-$E$23)/$E$23)+$E$22*B498/(1-$E$23)</f>
        <v>3.0249976448860032</v>
      </c>
      <c r="G498" s="19">
        <f t="shared" ref="G498:G561" si="157">$F$23/(1-$F$23)-LN((1-$F$23)/$F$23)+$F$22*B498/(1-$F$23)</f>
        <v>3.0249976448860032</v>
      </c>
      <c r="H498" s="19">
        <f t="shared" ref="H498:H561" si="158">$G$23/(1-$G$23)-LN((1-$G$23)/$G$23)+$G$22*B498/(1-$G$23)</f>
        <v>3.0249976448860032</v>
      </c>
      <c r="I498" s="17"/>
      <c r="J498" s="19">
        <f t="shared" ref="J498:J561" si="159">lmb_2(D498)</f>
        <v>67.517209788461528</v>
      </c>
      <c r="K498" s="19">
        <f t="shared" ref="K498:K561" si="160">lmb_2(E498)</f>
        <v>1.0288569204588307</v>
      </c>
      <c r="L498" s="19">
        <f t="shared" ref="L498:L561" si="161">lmb_2(F498)</f>
        <v>2.2251660864556149</v>
      </c>
      <c r="M498" s="19">
        <f t="shared" ref="M498:M561" si="162">lmb_2(G498)</f>
        <v>2.2251660864556149</v>
      </c>
      <c r="N498" s="19">
        <f t="shared" ref="N498:N561" si="163">lmb_2(H498)</f>
        <v>2.2251660864556149</v>
      </c>
      <c r="O498" s="17"/>
      <c r="P498" s="19">
        <f t="shared" si="153"/>
        <v>11.460478649529939</v>
      </c>
      <c r="Q498" s="19">
        <f t="shared" si="149"/>
        <v>41.514315732978162</v>
      </c>
      <c r="R498" s="19">
        <f t="shared" si="150"/>
        <v>0</v>
      </c>
      <c r="S498" s="19">
        <f t="shared" si="151"/>
        <v>0</v>
      </c>
      <c r="T498" s="19">
        <f t="shared" si="152"/>
        <v>0</v>
      </c>
      <c r="U498" s="17"/>
      <c r="V498" s="19">
        <f t="shared" ref="V498:V561" si="164">SUM(P498:T498)</f>
        <v>52.974794382508101</v>
      </c>
      <c r="W498" s="17"/>
      <c r="X498" s="19">
        <f t="shared" ref="X498:X561" si="165">(V498-C498)^2</f>
        <v>0.88187947747061801</v>
      </c>
      <c r="Y498" s="19">
        <f t="shared" ref="Y498:Y561" si="166">ABS(V498-C498)</f>
        <v>0.93908438250809922</v>
      </c>
      <c r="Z498" s="19"/>
      <c r="AA498" s="19">
        <f t="shared" ref="AA498:AA561" si="167">Y498/$Z$39</f>
        <v>6.1030919125658472E-6</v>
      </c>
    </row>
    <row r="499" spans="2:27" x14ac:dyDescent="0.35">
      <c r="B499" s="27">
        <v>46.1</v>
      </c>
      <c r="C499" s="27">
        <v>47.285710000000002</v>
      </c>
      <c r="D499" s="19">
        <f t="shared" si="154"/>
        <v>71.870091652094843</v>
      </c>
      <c r="E499" s="19">
        <f t="shared" si="155"/>
        <v>1.0634302492967636</v>
      </c>
      <c r="F499" s="19">
        <f t="shared" si="156"/>
        <v>3.0361087559971143</v>
      </c>
      <c r="G499" s="19">
        <f t="shared" si="157"/>
        <v>3.0361087559971143</v>
      </c>
      <c r="H499" s="19">
        <f t="shared" si="158"/>
        <v>3.0361087559971143</v>
      </c>
      <c r="I499" s="17"/>
      <c r="J499" s="19">
        <f t="shared" si="159"/>
        <v>67.655660625800493</v>
      </c>
      <c r="K499" s="19">
        <f t="shared" si="160"/>
        <v>1.031965252684041</v>
      </c>
      <c r="L499" s="19">
        <f t="shared" si="161"/>
        <v>2.2328361586021153</v>
      </c>
      <c r="M499" s="19">
        <f t="shared" si="162"/>
        <v>2.2328361586021153</v>
      </c>
      <c r="N499" s="19">
        <f t="shared" si="163"/>
        <v>2.2328361586021153</v>
      </c>
      <c r="O499" s="17"/>
      <c r="P499" s="19">
        <f t="shared" si="153"/>
        <v>11.413961997899463</v>
      </c>
      <c r="Q499" s="19">
        <f t="shared" si="149"/>
        <v>41.325958603950241</v>
      </c>
      <c r="R499" s="19">
        <f t="shared" si="150"/>
        <v>0</v>
      </c>
      <c r="S499" s="19">
        <f t="shared" si="151"/>
        <v>0</v>
      </c>
      <c r="T499" s="19">
        <f t="shared" si="152"/>
        <v>0</v>
      </c>
      <c r="U499" s="17"/>
      <c r="V499" s="19">
        <f t="shared" si="164"/>
        <v>52.739920601849704</v>
      </c>
      <c r="W499" s="17"/>
      <c r="X499" s="19">
        <f t="shared" si="165"/>
        <v>29.74841328932969</v>
      </c>
      <c r="Y499" s="19">
        <f t="shared" si="166"/>
        <v>5.4542106018497023</v>
      </c>
      <c r="Z499" s="19"/>
      <c r="AA499" s="19">
        <f t="shared" si="167"/>
        <v>3.544681312309304E-5</v>
      </c>
    </row>
    <row r="500" spans="2:27" x14ac:dyDescent="0.35">
      <c r="B500" s="27">
        <v>46.2</v>
      </c>
      <c r="C500" s="27">
        <v>58.035710000000002</v>
      </c>
      <c r="D500" s="19">
        <f t="shared" si="154"/>
        <v>72.010590990517329</v>
      </c>
      <c r="E500" s="19">
        <f t="shared" si="155"/>
        <v>1.0695551781238861</v>
      </c>
      <c r="F500" s="19">
        <f t="shared" si="156"/>
        <v>3.0472198671082253</v>
      </c>
      <c r="G500" s="19">
        <f t="shared" si="157"/>
        <v>3.0472198671082253</v>
      </c>
      <c r="H500" s="19">
        <f t="shared" si="158"/>
        <v>3.0472198671082253</v>
      </c>
      <c r="I500" s="17"/>
      <c r="J500" s="19">
        <f t="shared" si="159"/>
        <v>67.794115590044811</v>
      </c>
      <c r="K500" s="19">
        <f t="shared" si="160"/>
        <v>1.0350781993414284</v>
      </c>
      <c r="L500" s="19">
        <f t="shared" si="161"/>
        <v>2.2405143894546731</v>
      </c>
      <c r="M500" s="19">
        <f t="shared" si="162"/>
        <v>2.2405143894546731</v>
      </c>
      <c r="N500" s="19">
        <f t="shared" si="163"/>
        <v>2.2405143894546731</v>
      </c>
      <c r="O500" s="17"/>
      <c r="P500" s="19">
        <f t="shared" si="153"/>
        <v>11.367726611601803</v>
      </c>
      <c r="Q500" s="19">
        <f t="shared" si="149"/>
        <v>41.138648898736314</v>
      </c>
      <c r="R500" s="19">
        <f t="shared" si="150"/>
        <v>0</v>
      </c>
      <c r="S500" s="19">
        <f t="shared" si="151"/>
        <v>0</v>
      </c>
      <c r="T500" s="19">
        <f t="shared" si="152"/>
        <v>0</v>
      </c>
      <c r="U500" s="17"/>
      <c r="V500" s="19">
        <f t="shared" si="164"/>
        <v>52.506375510338117</v>
      </c>
      <c r="W500" s="17"/>
      <c r="X500" s="19">
        <f t="shared" si="165"/>
        <v>30.573539898564455</v>
      </c>
      <c r="Y500" s="19">
        <f t="shared" si="166"/>
        <v>5.5293344896618848</v>
      </c>
      <c r="Z500" s="19"/>
      <c r="AA500" s="19">
        <f t="shared" si="167"/>
        <v>3.5935041870889393E-5</v>
      </c>
    </row>
    <row r="501" spans="2:27" x14ac:dyDescent="0.35">
      <c r="B501" s="27">
        <v>46.3</v>
      </c>
      <c r="C501" s="27">
        <v>45.035710000000002</v>
      </c>
      <c r="D501" s="19">
        <f t="shared" si="154"/>
        <v>72.151090328939816</v>
      </c>
      <c r="E501" s="19">
        <f t="shared" si="155"/>
        <v>1.0756801069510078</v>
      </c>
      <c r="F501" s="19">
        <f t="shared" si="156"/>
        <v>3.0583309782193355</v>
      </c>
      <c r="G501" s="19">
        <f t="shared" si="157"/>
        <v>3.0583309782193355</v>
      </c>
      <c r="H501" s="19">
        <f t="shared" si="158"/>
        <v>3.0583309782193355</v>
      </c>
      <c r="I501" s="17"/>
      <c r="J501" s="19">
        <f t="shared" si="159"/>
        <v>67.932574664721869</v>
      </c>
      <c r="K501" s="19">
        <f t="shared" si="160"/>
        <v>1.0381957531438186</v>
      </c>
      <c r="L501" s="19">
        <f t="shared" si="161"/>
        <v>2.248200749012748</v>
      </c>
      <c r="M501" s="19">
        <f t="shared" si="162"/>
        <v>2.248200749012748</v>
      </c>
      <c r="N501" s="19">
        <f t="shared" si="163"/>
        <v>2.248200749012748</v>
      </c>
      <c r="O501" s="17"/>
      <c r="P501" s="19">
        <f t="shared" si="153"/>
        <v>11.321770235857549</v>
      </c>
      <c r="Q501" s="19">
        <f t="shared" si="149"/>
        <v>40.952380098961207</v>
      </c>
      <c r="R501" s="19">
        <f t="shared" si="150"/>
        <v>0</v>
      </c>
      <c r="S501" s="19">
        <f t="shared" si="151"/>
        <v>0</v>
      </c>
      <c r="T501" s="19">
        <f t="shared" si="152"/>
        <v>0</v>
      </c>
      <c r="U501" s="17"/>
      <c r="V501" s="19">
        <f t="shared" si="164"/>
        <v>52.274150334818756</v>
      </c>
      <c r="W501" s="17"/>
      <c r="X501" s="19">
        <f t="shared" si="165"/>
        <v>52.395018480731046</v>
      </c>
      <c r="Y501" s="19">
        <f t="shared" si="166"/>
        <v>7.2384403348187547</v>
      </c>
      <c r="Z501" s="19"/>
      <c r="AA501" s="19">
        <f t="shared" si="167"/>
        <v>4.7042488928455537E-5</v>
      </c>
    </row>
    <row r="502" spans="2:27" x14ac:dyDescent="0.35">
      <c r="B502" s="27">
        <v>46.4</v>
      </c>
      <c r="C502" s="27">
        <v>58.785710000000002</v>
      </c>
      <c r="D502" s="19">
        <f t="shared" si="154"/>
        <v>72.291589667362302</v>
      </c>
      <c r="E502" s="19">
        <f t="shared" si="155"/>
        <v>1.0818050357781304</v>
      </c>
      <c r="F502" s="19">
        <f t="shared" si="156"/>
        <v>3.0694420893304466</v>
      </c>
      <c r="G502" s="19">
        <f t="shared" si="157"/>
        <v>3.0694420893304466</v>
      </c>
      <c r="H502" s="19">
        <f t="shared" si="158"/>
        <v>3.0694420893304466</v>
      </c>
      <c r="I502" s="17"/>
      <c r="J502" s="19">
        <f t="shared" si="159"/>
        <v>68.071037833456941</v>
      </c>
      <c r="K502" s="19">
        <f t="shared" si="160"/>
        <v>1.0413179067954497</v>
      </c>
      <c r="L502" s="19">
        <f t="shared" si="161"/>
        <v>2.2558952073958878</v>
      </c>
      <c r="M502" s="19">
        <f t="shared" si="162"/>
        <v>2.2558952073958878</v>
      </c>
      <c r="N502" s="19">
        <f t="shared" si="163"/>
        <v>2.2558952073958878</v>
      </c>
      <c r="O502" s="17"/>
      <c r="P502" s="19">
        <f t="shared" si="153"/>
        <v>11.276090638370686</v>
      </c>
      <c r="Q502" s="19">
        <f t="shared" si="149"/>
        <v>40.76714572894322</v>
      </c>
      <c r="R502" s="19">
        <f t="shared" si="150"/>
        <v>0</v>
      </c>
      <c r="S502" s="19">
        <f t="shared" si="151"/>
        <v>0</v>
      </c>
      <c r="T502" s="19">
        <f t="shared" si="152"/>
        <v>0</v>
      </c>
      <c r="U502" s="17"/>
      <c r="V502" s="19">
        <f t="shared" si="164"/>
        <v>52.043236367313909</v>
      </c>
      <c r="W502" s="17"/>
      <c r="X502" s="19">
        <f t="shared" si="165"/>
        <v>45.460950687467189</v>
      </c>
      <c r="Y502" s="19">
        <f t="shared" si="166"/>
        <v>6.7424736326860923</v>
      </c>
      <c r="Z502" s="19"/>
      <c r="AA502" s="19">
        <f t="shared" si="167"/>
        <v>4.3819210568098285E-5</v>
      </c>
    </row>
    <row r="503" spans="2:27" x14ac:dyDescent="0.35">
      <c r="B503" s="27">
        <v>46.5</v>
      </c>
      <c r="C503" s="27">
        <v>61.535710000000002</v>
      </c>
      <c r="D503" s="19">
        <f t="shared" si="154"/>
        <v>72.432089005784803</v>
      </c>
      <c r="E503" s="19">
        <f t="shared" si="155"/>
        <v>1.0879299646052529</v>
      </c>
      <c r="F503" s="19">
        <f t="shared" si="156"/>
        <v>3.0805532004415586</v>
      </c>
      <c r="G503" s="19">
        <f t="shared" si="157"/>
        <v>3.0805532004415586</v>
      </c>
      <c r="H503" s="19">
        <f t="shared" si="158"/>
        <v>3.0805532004415586</v>
      </c>
      <c r="I503" s="17"/>
      <c r="J503" s="19">
        <f t="shared" si="159"/>
        <v>68.209505079972487</v>
      </c>
      <c r="K503" s="19">
        <f t="shared" si="160"/>
        <v>1.0444446529921749</v>
      </c>
      <c r="L503" s="19">
        <f t="shared" si="161"/>
        <v>2.2635977348434646</v>
      </c>
      <c r="M503" s="19">
        <f t="shared" si="162"/>
        <v>2.2635977348434646</v>
      </c>
      <c r="N503" s="19">
        <f t="shared" si="163"/>
        <v>2.2635977348434646</v>
      </c>
      <c r="O503" s="17"/>
      <c r="P503" s="19">
        <f t="shared" si="153"/>
        <v>11.230685609060721</v>
      </c>
      <c r="Q503" s="19">
        <f t="shared" ref="Q503:Q566" si="168">(D$21*D$23/(1-D$23)^2*$A$21*D$22)/(K503+K503^2)</f>
        <v>40.582939355415959</v>
      </c>
      <c r="R503" s="19">
        <f t="shared" ref="R503:R566" si="169">(E$21*E$23/(1-E$23)^2*$A$21*E$22)/(L503+L503^2)</f>
        <v>0</v>
      </c>
      <c r="S503" s="19">
        <f t="shared" ref="S503:S566" si="170">(F$21*F$23/(1-F$23)^2*$A$21*F$22)/(M503+M503^2)</f>
        <v>0</v>
      </c>
      <c r="T503" s="19">
        <f t="shared" ref="T503:T566" si="171">(G$21*G$23/(1-G$23)^2*$A$21*G$22)/(N503+N503^2)</f>
        <v>0</v>
      </c>
      <c r="U503" s="17"/>
      <c r="V503" s="19">
        <f t="shared" si="164"/>
        <v>51.813624964476681</v>
      </c>
      <c r="W503" s="17"/>
      <c r="X503" s="19">
        <f t="shared" si="165"/>
        <v>94.518937437946491</v>
      </c>
      <c r="Y503" s="19">
        <f t="shared" si="166"/>
        <v>9.722085035523321</v>
      </c>
      <c r="Z503" s="19"/>
      <c r="AA503" s="19">
        <f t="shared" si="167"/>
        <v>6.3183649583340915E-5</v>
      </c>
    </row>
    <row r="504" spans="2:27" x14ac:dyDescent="0.35">
      <c r="B504" s="27">
        <v>46.6</v>
      </c>
      <c r="C504" s="27">
        <v>48.535710000000002</v>
      </c>
      <c r="D504" s="19">
        <f t="shared" si="154"/>
        <v>72.57258834420729</v>
      </c>
      <c r="E504" s="19">
        <f t="shared" si="155"/>
        <v>1.0940548934323746</v>
      </c>
      <c r="F504" s="19">
        <f t="shared" si="156"/>
        <v>3.0916643115526696</v>
      </c>
      <c r="G504" s="19">
        <f t="shared" si="157"/>
        <v>3.0916643115526696</v>
      </c>
      <c r="H504" s="19">
        <f t="shared" si="158"/>
        <v>3.0916643115526696</v>
      </c>
      <c r="I504" s="17"/>
      <c r="J504" s="19">
        <f t="shared" si="159"/>
        <v>68.347976388087361</v>
      </c>
      <c r="K504" s="19">
        <f t="shared" si="160"/>
        <v>1.0475759844216661</v>
      </c>
      <c r="L504" s="19">
        <f t="shared" si="161"/>
        <v>2.2713083017144058</v>
      </c>
      <c r="M504" s="19">
        <f t="shared" si="162"/>
        <v>2.2713083017144058</v>
      </c>
      <c r="N504" s="19">
        <f t="shared" si="163"/>
        <v>2.2713083017144058</v>
      </c>
      <c r="O504" s="17"/>
      <c r="P504" s="19">
        <f t="shared" si="153"/>
        <v>11.185552959798564</v>
      </c>
      <c r="Q504" s="19">
        <f t="shared" si="168"/>
        <v>40.399754587251991</v>
      </c>
      <c r="R504" s="19">
        <f t="shared" si="169"/>
        <v>0</v>
      </c>
      <c r="S504" s="19">
        <f t="shared" si="170"/>
        <v>0</v>
      </c>
      <c r="T504" s="19">
        <f t="shared" si="171"/>
        <v>0</v>
      </c>
      <c r="U504" s="17"/>
      <c r="V504" s="19">
        <f t="shared" si="164"/>
        <v>51.585307547050554</v>
      </c>
      <c r="W504" s="17"/>
      <c r="X504" s="19">
        <f t="shared" si="165"/>
        <v>9.3000451989767488</v>
      </c>
      <c r="Y504" s="19">
        <f t="shared" si="166"/>
        <v>3.0495975470505527</v>
      </c>
      <c r="Z504" s="19"/>
      <c r="AA504" s="19">
        <f t="shared" si="167"/>
        <v>1.9819277663074493E-5</v>
      </c>
    </row>
    <row r="505" spans="2:27" x14ac:dyDescent="0.35">
      <c r="B505" s="27">
        <v>46.7</v>
      </c>
      <c r="C505" s="27">
        <v>51.035710000000002</v>
      </c>
      <c r="D505" s="19">
        <f t="shared" si="154"/>
        <v>72.713087682629777</v>
      </c>
      <c r="E505" s="19">
        <f t="shared" si="155"/>
        <v>1.1001798222594972</v>
      </c>
      <c r="F505" s="19">
        <f t="shared" si="156"/>
        <v>3.1027754226637816</v>
      </c>
      <c r="G505" s="19">
        <f t="shared" si="157"/>
        <v>3.1027754226637816</v>
      </c>
      <c r="H505" s="19">
        <f t="shared" si="158"/>
        <v>3.1027754226637816</v>
      </c>
      <c r="I505" s="17"/>
      <c r="J505" s="19">
        <f t="shared" si="159"/>
        <v>68.486451741716053</v>
      </c>
      <c r="K505" s="19">
        <f t="shared" si="160"/>
        <v>1.0507118937636173</v>
      </c>
      <c r="L505" s="19">
        <f t="shared" si="161"/>
        <v>2.2790268784869276</v>
      </c>
      <c r="M505" s="19">
        <f t="shared" si="162"/>
        <v>2.2790268784869276</v>
      </c>
      <c r="N505" s="19">
        <f t="shared" si="163"/>
        <v>2.2790268784869276</v>
      </c>
      <c r="O505" s="17"/>
      <c r="P505" s="19">
        <f t="shared" si="153"/>
        <v>11.140690524146052</v>
      </c>
      <c r="Q505" s="19">
        <f t="shared" si="168"/>
        <v>40.217585075187912</v>
      </c>
      <c r="R505" s="19">
        <f t="shared" si="169"/>
        <v>0</v>
      </c>
      <c r="S505" s="19">
        <f t="shared" si="170"/>
        <v>0</v>
      </c>
      <c r="T505" s="19">
        <f t="shared" si="171"/>
        <v>0</v>
      </c>
      <c r="U505" s="17"/>
      <c r="V505" s="19">
        <f t="shared" si="164"/>
        <v>51.358275599333965</v>
      </c>
      <c r="W505" s="17"/>
      <c r="X505" s="19">
        <f t="shared" si="165"/>
        <v>0.10404856587367868</v>
      </c>
      <c r="Y505" s="19">
        <f t="shared" si="166"/>
        <v>0.32256559933396289</v>
      </c>
      <c r="Z505" s="19"/>
      <c r="AA505" s="19">
        <f t="shared" si="167"/>
        <v>2.0963478226623427E-6</v>
      </c>
    </row>
    <row r="506" spans="2:27" x14ac:dyDescent="0.35">
      <c r="B506" s="27">
        <v>46.8</v>
      </c>
      <c r="C506" s="27">
        <v>41.785710000000002</v>
      </c>
      <c r="D506" s="19">
        <f t="shared" si="154"/>
        <v>72.853587021052263</v>
      </c>
      <c r="E506" s="19">
        <f t="shared" si="155"/>
        <v>1.1063047510866193</v>
      </c>
      <c r="F506" s="19">
        <f t="shared" si="156"/>
        <v>3.1138865337748909</v>
      </c>
      <c r="G506" s="19">
        <f t="shared" si="157"/>
        <v>3.1138865337748909</v>
      </c>
      <c r="H506" s="19">
        <f t="shared" si="158"/>
        <v>3.1138865337748909</v>
      </c>
      <c r="I506" s="17"/>
      <c r="J506" s="19">
        <f t="shared" si="159"/>
        <v>68.624931124867985</v>
      </c>
      <c r="K506" s="19">
        <f t="shared" si="160"/>
        <v>1.0538523736899426</v>
      </c>
      <c r="L506" s="19">
        <f t="shared" si="161"/>
        <v>2.2867534357582513</v>
      </c>
      <c r="M506" s="19">
        <f t="shared" si="162"/>
        <v>2.2867534357582513</v>
      </c>
      <c r="N506" s="19">
        <f t="shared" si="163"/>
        <v>2.2867534357582513</v>
      </c>
      <c r="O506" s="17"/>
      <c r="P506" s="19">
        <f t="shared" si="153"/>
        <v>11.096096157099041</v>
      </c>
      <c r="Q506" s="19">
        <f t="shared" si="168"/>
        <v>40.036424511551409</v>
      </c>
      <c r="R506" s="19">
        <f t="shared" si="169"/>
        <v>0</v>
      </c>
      <c r="S506" s="19">
        <f t="shared" si="170"/>
        <v>0</v>
      </c>
      <c r="T506" s="19">
        <f t="shared" si="171"/>
        <v>0</v>
      </c>
      <c r="U506" s="17"/>
      <c r="V506" s="19">
        <f t="shared" si="164"/>
        <v>51.13252066865045</v>
      </c>
      <c r="W506" s="17"/>
      <c r="X506" s="19">
        <f t="shared" si="165"/>
        <v>87.362869675597835</v>
      </c>
      <c r="Y506" s="19">
        <f t="shared" si="166"/>
        <v>9.3468106686504484</v>
      </c>
      <c r="Z506" s="19"/>
      <c r="AA506" s="19">
        <f t="shared" si="167"/>
        <v>6.0744748462082683E-5</v>
      </c>
    </row>
    <row r="507" spans="2:27" x14ac:dyDescent="0.35">
      <c r="B507" s="27">
        <v>46.9</v>
      </c>
      <c r="C507" s="27">
        <v>70.785709999999995</v>
      </c>
      <c r="D507" s="19">
        <f t="shared" si="154"/>
        <v>72.994086359474764</v>
      </c>
      <c r="E507" s="19">
        <f t="shared" si="155"/>
        <v>1.1124296799137414</v>
      </c>
      <c r="F507" s="19">
        <f t="shared" si="156"/>
        <v>3.1249976448860028</v>
      </c>
      <c r="G507" s="19">
        <f t="shared" si="157"/>
        <v>3.1249976448860028</v>
      </c>
      <c r="H507" s="19">
        <f t="shared" si="158"/>
        <v>3.1249976448860028</v>
      </c>
      <c r="I507" s="17"/>
      <c r="J507" s="19">
        <f t="shared" si="159"/>
        <v>68.763414521646709</v>
      </c>
      <c r="K507" s="19">
        <f t="shared" si="160"/>
        <v>1.0569974168649774</v>
      </c>
      <c r="L507" s="19">
        <f t="shared" si="161"/>
        <v>2.2944879442443367</v>
      </c>
      <c r="M507" s="19">
        <f t="shared" si="162"/>
        <v>2.2944879442443367</v>
      </c>
      <c r="N507" s="19">
        <f t="shared" si="163"/>
        <v>2.2944879442443367</v>
      </c>
      <c r="O507" s="17"/>
      <c r="P507" s="19">
        <f t="shared" si="153"/>
        <v>11.051767734834062</v>
      </c>
      <c r="Q507" s="19">
        <f t="shared" si="168"/>
        <v>39.856266629989705</v>
      </c>
      <c r="R507" s="19">
        <f t="shared" si="169"/>
        <v>0</v>
      </c>
      <c r="S507" s="19">
        <f t="shared" si="170"/>
        <v>0</v>
      </c>
      <c r="T507" s="19">
        <f t="shared" si="171"/>
        <v>0</v>
      </c>
      <c r="U507" s="17"/>
      <c r="V507" s="19">
        <f t="shared" si="164"/>
        <v>50.908034364823763</v>
      </c>
      <c r="W507" s="17"/>
      <c r="X507" s="19">
        <f t="shared" si="165"/>
        <v>395.12198865727879</v>
      </c>
      <c r="Y507" s="19">
        <f t="shared" si="166"/>
        <v>19.877675635176232</v>
      </c>
      <c r="Z507" s="19"/>
      <c r="AA507" s="19">
        <f t="shared" si="167"/>
        <v>1.2918464375442316E-4</v>
      </c>
    </row>
    <row r="508" spans="2:27" x14ac:dyDescent="0.35">
      <c r="B508" s="27">
        <v>47</v>
      </c>
      <c r="C508" s="27">
        <v>56.035710000000002</v>
      </c>
      <c r="D508" s="19">
        <f t="shared" si="154"/>
        <v>73.134585697897251</v>
      </c>
      <c r="E508" s="19">
        <f t="shared" si="155"/>
        <v>1.118554608740864</v>
      </c>
      <c r="F508" s="19">
        <f t="shared" si="156"/>
        <v>3.1361087559971139</v>
      </c>
      <c r="G508" s="19">
        <f t="shared" si="157"/>
        <v>3.1361087559971139</v>
      </c>
      <c r="H508" s="19">
        <f t="shared" si="158"/>
        <v>3.1361087559971139</v>
      </c>
      <c r="I508" s="17"/>
      <c r="J508" s="19">
        <f t="shared" si="159"/>
        <v>68.901901916249201</v>
      </c>
      <c r="K508" s="19">
        <f t="shared" si="160"/>
        <v>1.0601470159456772</v>
      </c>
      <c r="L508" s="19">
        <f t="shared" si="161"/>
        <v>2.3022303747795831</v>
      </c>
      <c r="M508" s="19">
        <f t="shared" si="162"/>
        <v>2.3022303747795831</v>
      </c>
      <c r="N508" s="19">
        <f t="shared" si="163"/>
        <v>2.3022303747795831</v>
      </c>
      <c r="O508" s="17"/>
      <c r="P508" s="19">
        <f t="shared" si="153"/>
        <v>11.007703154458456</v>
      </c>
      <c r="Q508" s="19">
        <f t="shared" si="168"/>
        <v>39.677105205199723</v>
      </c>
      <c r="R508" s="19">
        <f t="shared" si="169"/>
        <v>0</v>
      </c>
      <c r="S508" s="19">
        <f t="shared" si="170"/>
        <v>0</v>
      </c>
      <c r="T508" s="19">
        <f t="shared" si="171"/>
        <v>0</v>
      </c>
      <c r="U508" s="17"/>
      <c r="V508" s="19">
        <f t="shared" si="164"/>
        <v>50.684808359658177</v>
      </c>
      <c r="W508" s="17"/>
      <c r="X508" s="19">
        <f t="shared" si="165"/>
        <v>28.632148364612828</v>
      </c>
      <c r="Y508" s="19">
        <f t="shared" si="166"/>
        <v>5.3509016403418244</v>
      </c>
      <c r="Z508" s="19"/>
      <c r="AA508" s="19">
        <f t="shared" si="167"/>
        <v>3.4775410106262587E-5</v>
      </c>
    </row>
    <row r="509" spans="2:27" x14ac:dyDescent="0.35">
      <c r="B509" s="27">
        <v>47.1</v>
      </c>
      <c r="C509" s="27">
        <v>54.035710000000002</v>
      </c>
      <c r="D509" s="19">
        <f t="shared" si="154"/>
        <v>73.275085036319737</v>
      </c>
      <c r="E509" s="19">
        <f t="shared" si="155"/>
        <v>1.1246795375679866</v>
      </c>
      <c r="F509" s="19">
        <f t="shared" si="156"/>
        <v>3.147219867108225</v>
      </c>
      <c r="G509" s="19">
        <f t="shared" si="157"/>
        <v>3.147219867108225</v>
      </c>
      <c r="H509" s="19">
        <f t="shared" si="158"/>
        <v>3.147219867108225</v>
      </c>
      <c r="I509" s="17"/>
      <c r="J509" s="19">
        <f t="shared" si="159"/>
        <v>69.040393292965121</v>
      </c>
      <c r="K509" s="19">
        <f t="shared" si="160"/>
        <v>1.0633011635818115</v>
      </c>
      <c r="L509" s="19">
        <f t="shared" si="161"/>
        <v>2.3099806983165521</v>
      </c>
      <c r="M509" s="19">
        <f t="shared" si="162"/>
        <v>2.3099806983165521</v>
      </c>
      <c r="N509" s="19">
        <f t="shared" si="163"/>
        <v>2.3099806983165521</v>
      </c>
      <c r="O509" s="17"/>
      <c r="P509" s="19">
        <f t="shared" si="153"/>
        <v>10.963900333763904</v>
      </c>
      <c r="Q509" s="19">
        <f t="shared" si="168"/>
        <v>39.498934052660097</v>
      </c>
      <c r="R509" s="19">
        <f t="shared" si="169"/>
        <v>0</v>
      </c>
      <c r="S509" s="19">
        <f t="shared" si="170"/>
        <v>0</v>
      </c>
      <c r="T509" s="19">
        <f t="shared" si="171"/>
        <v>0</v>
      </c>
      <c r="U509" s="17"/>
      <c r="V509" s="19">
        <f t="shared" si="164"/>
        <v>50.462834386423999</v>
      </c>
      <c r="W509" s="17"/>
      <c r="X509" s="19">
        <f t="shared" si="165"/>
        <v>12.765440150086095</v>
      </c>
      <c r="Y509" s="19">
        <f t="shared" si="166"/>
        <v>3.5728756135760023</v>
      </c>
      <c r="Z509" s="19"/>
      <c r="AA509" s="19">
        <f t="shared" si="167"/>
        <v>2.3220052071978072E-5</v>
      </c>
    </row>
    <row r="510" spans="2:27" x14ac:dyDescent="0.35">
      <c r="B510" s="27">
        <v>47.2</v>
      </c>
      <c r="C510" s="27">
        <v>28.535710000000002</v>
      </c>
      <c r="D510" s="19">
        <f t="shared" si="154"/>
        <v>73.415584374742238</v>
      </c>
      <c r="E510" s="19">
        <f t="shared" si="155"/>
        <v>1.1308044663951082</v>
      </c>
      <c r="F510" s="19">
        <f t="shared" si="156"/>
        <v>3.1583309782193369</v>
      </c>
      <c r="G510" s="19">
        <f t="shared" si="157"/>
        <v>3.1583309782193369</v>
      </c>
      <c r="H510" s="19">
        <f t="shared" si="158"/>
        <v>3.1583309782193369</v>
      </c>
      <c r="I510" s="17"/>
      <c r="J510" s="19">
        <f t="shared" si="159"/>
        <v>69.178888636176126</v>
      </c>
      <c r="K510" s="19">
        <f t="shared" si="160"/>
        <v>1.0664598524161626</v>
      </c>
      <c r="L510" s="19">
        <f t="shared" si="161"/>
        <v>2.3177388859256745</v>
      </c>
      <c r="M510" s="19">
        <f t="shared" si="162"/>
        <v>2.3177388859256745</v>
      </c>
      <c r="N510" s="19">
        <f t="shared" si="163"/>
        <v>2.3177388859256745</v>
      </c>
      <c r="O510" s="17"/>
      <c r="P510" s="19">
        <f t="shared" si="153"/>
        <v>10.920357210983353</v>
      </c>
      <c r="Q510" s="19">
        <f t="shared" si="168"/>
        <v>39.321747028364463</v>
      </c>
      <c r="R510" s="19">
        <f t="shared" si="169"/>
        <v>0</v>
      </c>
      <c r="S510" s="19">
        <f t="shared" si="170"/>
        <v>0</v>
      </c>
      <c r="T510" s="19">
        <f t="shared" si="171"/>
        <v>0</v>
      </c>
      <c r="U510" s="17"/>
      <c r="V510" s="19">
        <f t="shared" si="164"/>
        <v>50.242104239347817</v>
      </c>
      <c r="W510" s="17"/>
      <c r="X510" s="19">
        <f t="shared" si="165"/>
        <v>471.16755087399201</v>
      </c>
      <c r="Y510" s="19">
        <f t="shared" si="166"/>
        <v>21.706394239347816</v>
      </c>
      <c r="Z510" s="19"/>
      <c r="AA510" s="19">
        <f t="shared" si="167"/>
        <v>1.4106945190517741E-4</v>
      </c>
    </row>
    <row r="511" spans="2:27" x14ac:dyDescent="0.35">
      <c r="B511" s="27">
        <v>47.3</v>
      </c>
      <c r="C511" s="27">
        <v>44.785710000000002</v>
      </c>
      <c r="D511" s="19">
        <f t="shared" si="154"/>
        <v>73.556083713164725</v>
      </c>
      <c r="E511" s="19">
        <f t="shared" si="155"/>
        <v>1.1369293952222304</v>
      </c>
      <c r="F511" s="19">
        <f t="shared" si="156"/>
        <v>3.1694420893304462</v>
      </c>
      <c r="G511" s="19">
        <f t="shared" si="157"/>
        <v>3.1694420893304462</v>
      </c>
      <c r="H511" s="19">
        <f t="shared" si="158"/>
        <v>3.1694420893304462</v>
      </c>
      <c r="I511" s="17"/>
      <c r="J511" s="19">
        <f t="shared" si="159"/>
        <v>69.31738793035511</v>
      </c>
      <c r="K511" s="19">
        <f t="shared" si="160"/>
        <v>1.0696230750847189</v>
      </c>
      <c r="L511" s="19">
        <f t="shared" si="161"/>
        <v>2.3255049087949509</v>
      </c>
      <c r="M511" s="19">
        <f t="shared" si="162"/>
        <v>2.3255049087949509</v>
      </c>
      <c r="N511" s="19">
        <f t="shared" si="163"/>
        <v>2.3255049087949509</v>
      </c>
      <c r="O511" s="17"/>
      <c r="P511" s="19">
        <f t="shared" si="153"/>
        <v>10.877071744551278</v>
      </c>
      <c r="Q511" s="19">
        <f t="shared" si="168"/>
        <v>39.145538028556587</v>
      </c>
      <c r="R511" s="19">
        <f t="shared" si="169"/>
        <v>0</v>
      </c>
      <c r="S511" s="19">
        <f t="shared" si="170"/>
        <v>0</v>
      </c>
      <c r="T511" s="19">
        <f t="shared" si="171"/>
        <v>0</v>
      </c>
      <c r="U511" s="17"/>
      <c r="V511" s="19">
        <f t="shared" si="164"/>
        <v>50.022609773107867</v>
      </c>
      <c r="W511" s="17"/>
      <c r="X511" s="19">
        <f t="shared" si="165"/>
        <v>27.42511923357721</v>
      </c>
      <c r="Y511" s="19">
        <f t="shared" si="166"/>
        <v>5.236899773107865</v>
      </c>
      <c r="Z511" s="19"/>
      <c r="AA511" s="19">
        <f t="shared" si="167"/>
        <v>3.4034514094261254E-5</v>
      </c>
    </row>
    <row r="512" spans="2:27" x14ac:dyDescent="0.35">
      <c r="B512" s="27">
        <v>47.4</v>
      </c>
      <c r="C512" s="27">
        <v>76.285709999999995</v>
      </c>
      <c r="D512" s="19">
        <f t="shared" si="154"/>
        <v>73.696583051587211</v>
      </c>
      <c r="E512" s="19">
        <f t="shared" si="155"/>
        <v>1.1430543240493529</v>
      </c>
      <c r="F512" s="19">
        <f t="shared" si="156"/>
        <v>3.1805532004415582</v>
      </c>
      <c r="G512" s="19">
        <f t="shared" si="157"/>
        <v>3.1805532004415582</v>
      </c>
      <c r="H512" s="19">
        <f t="shared" si="158"/>
        <v>3.1805532004415582</v>
      </c>
      <c r="I512" s="17"/>
      <c r="J512" s="19">
        <f t="shared" si="159"/>
        <v>69.455891160065505</v>
      </c>
      <c r="K512" s="19">
        <f t="shared" si="160"/>
        <v>1.0727908242168676</v>
      </c>
      <c r="L512" s="19">
        <f t="shared" si="161"/>
        <v>2.3332787382296627</v>
      </c>
      <c r="M512" s="19">
        <f t="shared" si="162"/>
        <v>2.3332787382296627</v>
      </c>
      <c r="N512" s="19">
        <f t="shared" si="163"/>
        <v>2.3332787382296627</v>
      </c>
      <c r="O512" s="17"/>
      <c r="P512" s="19">
        <f t="shared" si="153"/>
        <v>10.834041912867164</v>
      </c>
      <c r="Q512" s="19">
        <f t="shared" si="168"/>
        <v>38.970300989467141</v>
      </c>
      <c r="R512" s="19">
        <f t="shared" si="169"/>
        <v>0</v>
      </c>
      <c r="S512" s="19">
        <f t="shared" si="170"/>
        <v>0</v>
      </c>
      <c r="T512" s="19">
        <f t="shared" si="171"/>
        <v>0</v>
      </c>
      <c r="U512" s="17"/>
      <c r="V512" s="19">
        <f t="shared" si="164"/>
        <v>49.804342902334305</v>
      </c>
      <c r="W512" s="17"/>
      <c r="X512" s="19">
        <f t="shared" si="165"/>
        <v>701.26280336133095</v>
      </c>
      <c r="Y512" s="19">
        <f t="shared" si="166"/>
        <v>26.481367097665689</v>
      </c>
      <c r="Z512" s="19"/>
      <c r="AA512" s="19">
        <f t="shared" si="167"/>
        <v>1.7210191158307001E-4</v>
      </c>
    </row>
    <row r="513" spans="2:27" x14ac:dyDescent="0.35">
      <c r="B513" s="27">
        <v>47.5</v>
      </c>
      <c r="C513" s="27">
        <v>59.285710000000002</v>
      </c>
      <c r="D513" s="19">
        <f t="shared" si="154"/>
        <v>73.837082390009712</v>
      </c>
      <c r="E513" s="19">
        <f t="shared" si="155"/>
        <v>1.149179252876475</v>
      </c>
      <c r="F513" s="19">
        <f t="shared" si="156"/>
        <v>3.1916643115526693</v>
      </c>
      <c r="G513" s="19">
        <f t="shared" si="157"/>
        <v>3.1916643115526693</v>
      </c>
      <c r="H513" s="19">
        <f t="shared" si="158"/>
        <v>3.1916643115526693</v>
      </c>
      <c r="I513" s="17"/>
      <c r="J513" s="19">
        <f t="shared" si="159"/>
        <v>69.594398309960638</v>
      </c>
      <c r="K513" s="19">
        <f t="shared" si="160"/>
        <v>1.0759630924355865</v>
      </c>
      <c r="L513" s="19">
        <f t="shared" si="161"/>
        <v>2.34106034565206</v>
      </c>
      <c r="M513" s="19">
        <f t="shared" si="162"/>
        <v>2.34106034565206</v>
      </c>
      <c r="N513" s="19">
        <f t="shared" si="163"/>
        <v>2.34106034565206</v>
      </c>
      <c r="O513" s="17"/>
      <c r="P513" s="19">
        <f t="shared" si="153"/>
        <v>10.791265714062234</v>
      </c>
      <c r="Q513" s="19">
        <f t="shared" si="168"/>
        <v>38.796029887052008</v>
      </c>
      <c r="R513" s="19">
        <f t="shared" si="169"/>
        <v>0</v>
      </c>
      <c r="S513" s="19">
        <f t="shared" si="170"/>
        <v>0</v>
      </c>
      <c r="T513" s="19">
        <f t="shared" si="171"/>
        <v>0</v>
      </c>
      <c r="U513" s="17"/>
      <c r="V513" s="19">
        <f t="shared" si="164"/>
        <v>49.587295601114242</v>
      </c>
      <c r="W513" s="17"/>
      <c r="X513" s="19">
        <f t="shared" si="165"/>
        <v>94.059241852514631</v>
      </c>
      <c r="Y513" s="19">
        <f t="shared" si="166"/>
        <v>9.6984143988857596</v>
      </c>
      <c r="Z513" s="19"/>
      <c r="AA513" s="19">
        <f t="shared" si="167"/>
        <v>6.3029814556671472E-5</v>
      </c>
    </row>
    <row r="514" spans="2:27" x14ac:dyDescent="0.35">
      <c r="B514" s="27">
        <v>47.6</v>
      </c>
      <c r="C514" s="27">
        <v>59.285710000000002</v>
      </c>
      <c r="D514" s="19">
        <f t="shared" si="154"/>
        <v>73.977581728432199</v>
      </c>
      <c r="E514" s="19">
        <f t="shared" si="155"/>
        <v>1.1553041817035976</v>
      </c>
      <c r="F514" s="19">
        <f t="shared" si="156"/>
        <v>3.2027754226637812</v>
      </c>
      <c r="G514" s="19">
        <f t="shared" si="157"/>
        <v>3.2027754226637812</v>
      </c>
      <c r="H514" s="19">
        <f t="shared" si="158"/>
        <v>3.2027754226637812</v>
      </c>
      <c r="I514" s="17"/>
      <c r="J514" s="19">
        <f t="shared" si="159"/>
        <v>69.732909364782955</v>
      </c>
      <c r="K514" s="19">
        <f t="shared" si="160"/>
        <v>1.0791398723576366</v>
      </c>
      <c r="L514" s="19">
        <f t="shared" si="161"/>
        <v>2.348849702601064</v>
      </c>
      <c r="M514" s="19">
        <f t="shared" si="162"/>
        <v>2.348849702601064</v>
      </c>
      <c r="N514" s="19">
        <f t="shared" si="163"/>
        <v>2.348849702601064</v>
      </c>
      <c r="O514" s="17"/>
      <c r="P514" s="19">
        <f t="shared" si="153"/>
        <v>10.748741165769362</v>
      </c>
      <c r="Q514" s="19">
        <f t="shared" si="168"/>
        <v>38.622718736732089</v>
      </c>
      <c r="R514" s="19">
        <f t="shared" si="169"/>
        <v>0</v>
      </c>
      <c r="S514" s="19">
        <f t="shared" si="170"/>
        <v>0</v>
      </c>
      <c r="T514" s="19">
        <f t="shared" si="171"/>
        <v>0</v>
      </c>
      <c r="U514" s="17"/>
      <c r="V514" s="19">
        <f t="shared" si="164"/>
        <v>49.371459902501449</v>
      </c>
      <c r="W514" s="17"/>
      <c r="X514" s="19">
        <f t="shared" si="165"/>
        <v>98.29235499575006</v>
      </c>
      <c r="Y514" s="19">
        <f t="shared" si="166"/>
        <v>9.9142500974985523</v>
      </c>
      <c r="Z514" s="19"/>
      <c r="AA514" s="19">
        <f t="shared" si="167"/>
        <v>6.4432526742267191E-5</v>
      </c>
    </row>
    <row r="515" spans="2:27" x14ac:dyDescent="0.35">
      <c r="B515" s="27">
        <v>47.7</v>
      </c>
      <c r="C515" s="27">
        <v>54.535710000000002</v>
      </c>
      <c r="D515" s="19">
        <f t="shared" si="154"/>
        <v>74.118081066854685</v>
      </c>
      <c r="E515" s="19">
        <f t="shared" si="155"/>
        <v>1.1614291105307202</v>
      </c>
      <c r="F515" s="19">
        <f t="shared" si="156"/>
        <v>3.2138865337748923</v>
      </c>
      <c r="G515" s="19">
        <f t="shared" si="157"/>
        <v>3.2138865337748923</v>
      </c>
      <c r="H515" s="19">
        <f t="shared" si="158"/>
        <v>3.2138865337748923</v>
      </c>
      <c r="I515" s="17"/>
      <c r="J515" s="19">
        <f t="shared" si="159"/>
        <v>69.871424309363377</v>
      </c>
      <c r="K515" s="19">
        <f t="shared" si="160"/>
        <v>1.0823211565937492</v>
      </c>
      <c r="L515" s="19">
        <f t="shared" si="161"/>
        <v>2.3566467807319524</v>
      </c>
      <c r="M515" s="19">
        <f t="shared" si="162"/>
        <v>2.3566467807319524</v>
      </c>
      <c r="N515" s="19">
        <f t="shared" si="163"/>
        <v>2.3566467807319524</v>
      </c>
      <c r="O515" s="17"/>
      <c r="P515" s="19">
        <f t="shared" si="153"/>
        <v>10.706466304896074</v>
      </c>
      <c r="Q515" s="19">
        <f t="shared" si="168"/>
        <v>38.450361593134922</v>
      </c>
      <c r="R515" s="19">
        <f t="shared" si="169"/>
        <v>0</v>
      </c>
      <c r="S515" s="19">
        <f t="shared" si="170"/>
        <v>0</v>
      </c>
      <c r="T515" s="19">
        <f t="shared" si="171"/>
        <v>0</v>
      </c>
      <c r="U515" s="17"/>
      <c r="V515" s="19">
        <f t="shared" si="164"/>
        <v>49.156827898030997</v>
      </c>
      <c r="W515" s="17"/>
      <c r="X515" s="19">
        <f t="shared" si="165"/>
        <v>28.9323726668825</v>
      </c>
      <c r="Y515" s="19">
        <f t="shared" si="166"/>
        <v>5.3788821019690047</v>
      </c>
      <c r="Z515" s="19"/>
      <c r="AA515" s="19">
        <f t="shared" si="167"/>
        <v>3.4957254605274076E-5</v>
      </c>
    </row>
    <row r="516" spans="2:27" x14ac:dyDescent="0.35">
      <c r="B516" s="27">
        <v>47.8</v>
      </c>
      <c r="C516" s="27">
        <v>58.035710000000002</v>
      </c>
      <c r="D516" s="19">
        <f t="shared" si="154"/>
        <v>74.258580405277172</v>
      </c>
      <c r="E516" s="19">
        <f t="shared" si="155"/>
        <v>1.1675540393578419</v>
      </c>
      <c r="F516" s="19">
        <f t="shared" si="156"/>
        <v>3.2249976448860025</v>
      </c>
      <c r="G516" s="19">
        <f t="shared" si="157"/>
        <v>3.2249976448860025</v>
      </c>
      <c r="H516" s="19">
        <f t="shared" si="158"/>
        <v>3.2249976448860025</v>
      </c>
      <c r="I516" s="17"/>
      <c r="J516" s="19">
        <f t="shared" si="159"/>
        <v>70.00994312862062</v>
      </c>
      <c r="K516" s="19">
        <f t="shared" si="160"/>
        <v>1.0855069377488145</v>
      </c>
      <c r="L516" s="19">
        <f t="shared" si="161"/>
        <v>2.3644515518160549</v>
      </c>
      <c r="M516" s="19">
        <f t="shared" si="162"/>
        <v>2.3644515518160549</v>
      </c>
      <c r="N516" s="19">
        <f t="shared" si="163"/>
        <v>2.3644515518160549</v>
      </c>
      <c r="O516" s="17"/>
      <c r="P516" s="19">
        <f t="shared" si="153"/>
        <v>10.664439187400614</v>
      </c>
      <c r="Q516" s="19">
        <f t="shared" si="168"/>
        <v>38.27895254983774</v>
      </c>
      <c r="R516" s="19">
        <f t="shared" si="169"/>
        <v>0</v>
      </c>
      <c r="S516" s="19">
        <f t="shared" si="170"/>
        <v>0</v>
      </c>
      <c r="T516" s="19">
        <f t="shared" si="171"/>
        <v>0</v>
      </c>
      <c r="U516" s="17"/>
      <c r="V516" s="19">
        <f t="shared" si="164"/>
        <v>48.943391737238358</v>
      </c>
      <c r="W516" s="17"/>
      <c r="X516" s="19">
        <f t="shared" si="165"/>
        <v>82.670251391348927</v>
      </c>
      <c r="Y516" s="19">
        <f t="shared" si="166"/>
        <v>9.0923182627616441</v>
      </c>
      <c r="Z516" s="19"/>
      <c r="AA516" s="19">
        <f t="shared" si="167"/>
        <v>5.9090807055836384E-5</v>
      </c>
    </row>
    <row r="517" spans="2:27" x14ac:dyDescent="0.35">
      <c r="B517" s="27">
        <v>47.9</v>
      </c>
      <c r="C517" s="27">
        <v>55.535710000000002</v>
      </c>
      <c r="D517" s="19">
        <f t="shared" si="154"/>
        <v>74.399079743699673</v>
      </c>
      <c r="E517" s="19">
        <f t="shared" si="155"/>
        <v>1.173678968184964</v>
      </c>
      <c r="F517" s="19">
        <f t="shared" si="156"/>
        <v>3.2361087559971136</v>
      </c>
      <c r="G517" s="19">
        <f t="shared" si="157"/>
        <v>3.2361087559971136</v>
      </c>
      <c r="H517" s="19">
        <f t="shared" si="158"/>
        <v>3.2361087559971136</v>
      </c>
      <c r="I517" s="17"/>
      <c r="J517" s="19">
        <f t="shared" si="159"/>
        <v>70.148465807560555</v>
      </c>
      <c r="K517" s="19">
        <f t="shared" si="160"/>
        <v>1.0886972084220705</v>
      </c>
      <c r="L517" s="19">
        <f t="shared" si="161"/>
        <v>2.3722639877404337</v>
      </c>
      <c r="M517" s="19">
        <f t="shared" si="162"/>
        <v>2.3722639877404337</v>
      </c>
      <c r="N517" s="19">
        <f t="shared" si="163"/>
        <v>2.3722639877404337</v>
      </c>
      <c r="O517" s="17"/>
      <c r="P517" s="19">
        <f t="shared" si="153"/>
        <v>10.62265788807106</v>
      </c>
      <c r="Q517" s="19">
        <f t="shared" si="168"/>
        <v>38.108485739112069</v>
      </c>
      <c r="R517" s="19">
        <f t="shared" si="169"/>
        <v>0</v>
      </c>
      <c r="S517" s="19">
        <f t="shared" si="170"/>
        <v>0</v>
      </c>
      <c r="T517" s="19">
        <f t="shared" si="171"/>
        <v>0</v>
      </c>
      <c r="U517" s="17"/>
      <c r="V517" s="19">
        <f t="shared" si="164"/>
        <v>48.73114362718313</v>
      </c>
      <c r="W517" s="17"/>
      <c r="X517" s="19">
        <f t="shared" si="165"/>
        <v>46.302123522070161</v>
      </c>
      <c r="Y517" s="19">
        <f t="shared" si="166"/>
        <v>6.8045663728168719</v>
      </c>
      <c r="Z517" s="19"/>
      <c r="AA517" s="19">
        <f t="shared" si="167"/>
        <v>4.4222750129803167E-5</v>
      </c>
    </row>
    <row r="518" spans="2:27" x14ac:dyDescent="0.35">
      <c r="B518" s="27">
        <v>48</v>
      </c>
      <c r="C518" s="27">
        <v>52.535710000000002</v>
      </c>
      <c r="D518" s="19">
        <f t="shared" si="154"/>
        <v>74.53957908212216</v>
      </c>
      <c r="E518" s="19">
        <f t="shared" si="155"/>
        <v>1.1798038970120865</v>
      </c>
      <c r="F518" s="19">
        <f t="shared" si="156"/>
        <v>3.2472198671082255</v>
      </c>
      <c r="G518" s="19">
        <f t="shared" si="157"/>
        <v>3.2472198671082255</v>
      </c>
      <c r="H518" s="19">
        <f t="shared" si="158"/>
        <v>3.2472198671082255</v>
      </c>
      <c r="I518" s="17"/>
      <c r="J518" s="19">
        <f t="shared" si="159"/>
        <v>70.286992331275428</v>
      </c>
      <c r="K518" s="19">
        <f t="shared" si="160"/>
        <v>1.0918919612072873</v>
      </c>
      <c r="L518" s="19">
        <f t="shared" si="161"/>
        <v>2.3800840605075675</v>
      </c>
      <c r="M518" s="19">
        <f t="shared" si="162"/>
        <v>2.3800840605075675</v>
      </c>
      <c r="N518" s="19">
        <f t="shared" si="163"/>
        <v>2.3800840605075675</v>
      </c>
      <c r="O518" s="17"/>
      <c r="P518" s="19">
        <f t="shared" si="153"/>
        <v>10.581120500307424</v>
      </c>
      <c r="Q518" s="19">
        <f t="shared" si="168"/>
        <v>37.93895533166998</v>
      </c>
      <c r="R518" s="19">
        <f t="shared" si="169"/>
        <v>0</v>
      </c>
      <c r="S518" s="19">
        <f t="shared" si="170"/>
        <v>0</v>
      </c>
      <c r="T518" s="19">
        <f t="shared" si="171"/>
        <v>0</v>
      </c>
      <c r="U518" s="17"/>
      <c r="V518" s="19">
        <f t="shared" si="164"/>
        <v>48.520075831977408</v>
      </c>
      <c r="W518" s="17"/>
      <c r="X518" s="19">
        <f t="shared" si="165"/>
        <v>16.125317771390506</v>
      </c>
      <c r="Y518" s="19">
        <f t="shared" si="166"/>
        <v>4.0156341680225935</v>
      </c>
      <c r="Z518" s="19"/>
      <c r="AA518" s="19">
        <f t="shared" si="167"/>
        <v>2.6097531671463404E-5</v>
      </c>
    </row>
    <row r="519" spans="2:27" x14ac:dyDescent="0.35">
      <c r="B519" s="27">
        <v>48.1</v>
      </c>
      <c r="C519" s="27">
        <v>47.285710000000002</v>
      </c>
      <c r="D519" s="19">
        <f t="shared" si="154"/>
        <v>74.680078420544646</v>
      </c>
      <c r="E519" s="19">
        <f t="shared" si="155"/>
        <v>1.1859288258392091</v>
      </c>
      <c r="F519" s="19">
        <f t="shared" si="156"/>
        <v>3.2583309782193366</v>
      </c>
      <c r="G519" s="19">
        <f t="shared" si="157"/>
        <v>3.2583309782193366</v>
      </c>
      <c r="H519" s="19">
        <f t="shared" si="158"/>
        <v>3.2583309782193366</v>
      </c>
      <c r="I519" s="17"/>
      <c r="J519" s="19">
        <f t="shared" si="159"/>
        <v>70.425522684943317</v>
      </c>
      <c r="K519" s="19">
        <f t="shared" si="160"/>
        <v>1.0950911886929504</v>
      </c>
      <c r="L519" s="19">
        <f t="shared" si="161"/>
        <v>2.3879117422350293</v>
      </c>
      <c r="M519" s="19">
        <f t="shared" si="162"/>
        <v>2.3879117422350293</v>
      </c>
      <c r="N519" s="19">
        <f t="shared" si="163"/>
        <v>2.3879117422350293</v>
      </c>
      <c r="O519" s="17"/>
      <c r="P519" s="19">
        <f t="shared" si="153"/>
        <v>10.539825135906627</v>
      </c>
      <c r="Q519" s="19">
        <f t="shared" si="168"/>
        <v>37.770355536411969</v>
      </c>
      <c r="R519" s="19">
        <f t="shared" si="169"/>
        <v>0</v>
      </c>
      <c r="S519" s="19">
        <f t="shared" si="170"/>
        <v>0</v>
      </c>
      <c r="T519" s="19">
        <f t="shared" si="171"/>
        <v>0</v>
      </c>
      <c r="U519" s="17"/>
      <c r="V519" s="19">
        <f t="shared" si="164"/>
        <v>48.310180672318594</v>
      </c>
      <c r="W519" s="17"/>
      <c r="X519" s="19">
        <f t="shared" si="165"/>
        <v>1.0495401584409094</v>
      </c>
      <c r="Y519" s="19">
        <f t="shared" si="166"/>
        <v>1.0244706723185928</v>
      </c>
      <c r="Z519" s="19"/>
      <c r="AA519" s="19">
        <f t="shared" si="167"/>
        <v>6.6580158198239169E-6</v>
      </c>
    </row>
    <row r="520" spans="2:27" x14ac:dyDescent="0.35">
      <c r="B520" s="27">
        <v>48.2</v>
      </c>
      <c r="C520" s="27">
        <v>42.785710000000002</v>
      </c>
      <c r="D520" s="19">
        <f t="shared" si="154"/>
        <v>74.820577758967147</v>
      </c>
      <c r="E520" s="19">
        <f t="shared" si="155"/>
        <v>1.1920537546663312</v>
      </c>
      <c r="F520" s="19">
        <f t="shared" si="156"/>
        <v>3.2694420893304477</v>
      </c>
      <c r="G520" s="19">
        <f t="shared" si="157"/>
        <v>3.2694420893304477</v>
      </c>
      <c r="H520" s="19">
        <f t="shared" si="158"/>
        <v>3.2694420893304477</v>
      </c>
      <c r="I520" s="17"/>
      <c r="J520" s="19">
        <f t="shared" si="159"/>
        <v>70.564056853827466</v>
      </c>
      <c r="K520" s="19">
        <f t="shared" si="160"/>
        <v>1.0982948834624462</v>
      </c>
      <c r="L520" s="19">
        <f t="shared" si="161"/>
        <v>2.3957470051551666</v>
      </c>
      <c r="M520" s="19">
        <f t="shared" si="162"/>
        <v>2.3957470051551666</v>
      </c>
      <c r="N520" s="19">
        <f t="shared" si="163"/>
        <v>2.3957470051551666</v>
      </c>
      <c r="O520" s="17"/>
      <c r="P520" s="19">
        <f t="shared" si="153"/>
        <v>10.498769924850409</v>
      </c>
      <c r="Q520" s="19">
        <f t="shared" si="168"/>
        <v>37.602680600176143</v>
      </c>
      <c r="R520" s="19">
        <f t="shared" si="169"/>
        <v>0</v>
      </c>
      <c r="S520" s="19">
        <f t="shared" si="170"/>
        <v>0</v>
      </c>
      <c r="T520" s="19">
        <f t="shared" si="171"/>
        <v>0</v>
      </c>
      <c r="U520" s="17"/>
      <c r="V520" s="19">
        <f t="shared" si="164"/>
        <v>48.10145052502655</v>
      </c>
      <c r="W520" s="17"/>
      <c r="X520" s="19">
        <f t="shared" si="165"/>
        <v>28.257097329409525</v>
      </c>
      <c r="Y520" s="19">
        <f t="shared" si="166"/>
        <v>5.3157405250265484</v>
      </c>
      <c r="Z520" s="19"/>
      <c r="AA520" s="19">
        <f t="shared" si="167"/>
        <v>3.4546898672663477E-5</v>
      </c>
    </row>
    <row r="521" spans="2:27" x14ac:dyDescent="0.35">
      <c r="B521" s="27">
        <v>48.3</v>
      </c>
      <c r="C521" s="27">
        <v>50.035710000000002</v>
      </c>
      <c r="D521" s="19">
        <f t="shared" si="154"/>
        <v>74.961077097389634</v>
      </c>
      <c r="E521" s="19">
        <f t="shared" si="155"/>
        <v>1.1981786834934534</v>
      </c>
      <c r="F521" s="19">
        <f t="shared" si="156"/>
        <v>3.2805532004415578</v>
      </c>
      <c r="G521" s="19">
        <f t="shared" si="157"/>
        <v>3.2805532004415578</v>
      </c>
      <c r="H521" s="19">
        <f t="shared" si="158"/>
        <v>3.2805532004415578</v>
      </c>
      <c r="I521" s="17"/>
      <c r="J521" s="19">
        <f t="shared" si="159"/>
        <v>70.702594823275518</v>
      </c>
      <c r="K521" s="19">
        <f t="shared" si="160"/>
        <v>1.101503038094243</v>
      </c>
      <c r="L521" s="19">
        <f t="shared" si="161"/>
        <v>2.4035898216147706</v>
      </c>
      <c r="M521" s="19">
        <f t="shared" si="162"/>
        <v>2.4035898216147706</v>
      </c>
      <c r="N521" s="19">
        <f t="shared" si="163"/>
        <v>2.4035898216147706</v>
      </c>
      <c r="O521" s="17"/>
      <c r="P521" s="19">
        <f t="shared" si="153"/>
        <v>10.457953015096091</v>
      </c>
      <c r="Q521" s="19">
        <f t="shared" si="168"/>
        <v>37.435924807489179</v>
      </c>
      <c r="R521" s="19">
        <f t="shared" si="169"/>
        <v>0</v>
      </c>
      <c r="S521" s="19">
        <f t="shared" si="170"/>
        <v>0</v>
      </c>
      <c r="T521" s="19">
        <f t="shared" si="171"/>
        <v>0</v>
      </c>
      <c r="U521" s="17"/>
      <c r="V521" s="19">
        <f t="shared" si="164"/>
        <v>47.893877822585267</v>
      </c>
      <c r="W521" s="17"/>
      <c r="X521" s="19">
        <f t="shared" si="165"/>
        <v>4.5874450762091428</v>
      </c>
      <c r="Y521" s="19">
        <f t="shared" si="166"/>
        <v>2.1418321774147344</v>
      </c>
      <c r="Z521" s="19"/>
      <c r="AA521" s="19">
        <f t="shared" si="167"/>
        <v>1.3919727431885414E-5</v>
      </c>
    </row>
    <row r="522" spans="2:27" x14ac:dyDescent="0.35">
      <c r="B522" s="27">
        <v>48.4</v>
      </c>
      <c r="C522" s="27">
        <v>40.785710000000002</v>
      </c>
      <c r="D522" s="19">
        <f t="shared" si="154"/>
        <v>75.10157643581212</v>
      </c>
      <c r="E522" s="19">
        <f t="shared" si="155"/>
        <v>1.2043036123205759</v>
      </c>
      <c r="F522" s="19">
        <f t="shared" si="156"/>
        <v>3.2916643115526689</v>
      </c>
      <c r="G522" s="19">
        <f t="shared" si="157"/>
        <v>3.2916643115526689</v>
      </c>
      <c r="H522" s="19">
        <f t="shared" si="158"/>
        <v>3.2916643115526689</v>
      </c>
      <c r="I522" s="17"/>
      <c r="J522" s="19">
        <f t="shared" si="159"/>
        <v>70.841136578719045</v>
      </c>
      <c r="K522" s="19">
        <f t="shared" si="160"/>
        <v>1.1047156451620717</v>
      </c>
      <c r="L522" s="19">
        <f t="shared" si="161"/>
        <v>2.4114401640747549</v>
      </c>
      <c r="M522" s="19">
        <f t="shared" si="162"/>
        <v>2.4114401640747549</v>
      </c>
      <c r="N522" s="19">
        <f t="shared" si="163"/>
        <v>2.4114401640747549</v>
      </c>
      <c r="O522" s="17"/>
      <c r="P522" s="19">
        <f t="shared" si="153"/>
        <v>10.417372572370072</v>
      </c>
      <c r="Q522" s="19">
        <f t="shared" si="168"/>
        <v>37.270082480318678</v>
      </c>
      <c r="R522" s="19">
        <f t="shared" si="169"/>
        <v>0</v>
      </c>
      <c r="S522" s="19">
        <f t="shared" si="170"/>
        <v>0</v>
      </c>
      <c r="T522" s="19">
        <f t="shared" si="171"/>
        <v>0</v>
      </c>
      <c r="U522" s="17"/>
      <c r="V522" s="19">
        <f t="shared" si="164"/>
        <v>47.687455052688748</v>
      </c>
      <c r="W522" s="17"/>
      <c r="X522" s="19">
        <f t="shared" si="165"/>
        <v>47.634084772313578</v>
      </c>
      <c r="Y522" s="19">
        <f t="shared" si="166"/>
        <v>6.9017450526887458</v>
      </c>
      <c r="Z522" s="19"/>
      <c r="AA522" s="19">
        <f t="shared" si="167"/>
        <v>4.4854312560450599E-5</v>
      </c>
    </row>
    <row r="523" spans="2:27" x14ac:dyDescent="0.35">
      <c r="B523" s="27">
        <v>48.5</v>
      </c>
      <c r="C523" s="27">
        <v>68.535709999999995</v>
      </c>
      <c r="D523" s="19">
        <f t="shared" si="154"/>
        <v>75.242075774234607</v>
      </c>
      <c r="E523" s="19">
        <f t="shared" si="155"/>
        <v>1.2104285411476976</v>
      </c>
      <c r="F523" s="19">
        <f t="shared" si="156"/>
        <v>3.3027754226637809</v>
      </c>
      <c r="G523" s="19">
        <f t="shared" si="157"/>
        <v>3.3027754226637809</v>
      </c>
      <c r="H523" s="19">
        <f t="shared" si="158"/>
        <v>3.3027754226637809</v>
      </c>
      <c r="I523" s="17"/>
      <c r="J523" s="19">
        <f t="shared" si="159"/>
        <v>70.979682105672765</v>
      </c>
      <c r="K523" s="19">
        <f t="shared" si="160"/>
        <v>1.1079326972351049</v>
      </c>
      <c r="L523" s="19">
        <f t="shared" si="161"/>
        <v>2.4192980051098161</v>
      </c>
      <c r="M523" s="19">
        <f t="shared" si="162"/>
        <v>2.4192980051098161</v>
      </c>
      <c r="N523" s="19">
        <f t="shared" si="163"/>
        <v>2.4192980051098161</v>
      </c>
      <c r="O523" s="17"/>
      <c r="P523" s="19">
        <f t="shared" si="153"/>
        <v>10.377026779964151</v>
      </c>
      <c r="Q523" s="19">
        <f t="shared" si="168"/>
        <v>37.105147977827194</v>
      </c>
      <c r="R523" s="19">
        <f t="shared" si="169"/>
        <v>0</v>
      </c>
      <c r="S523" s="19">
        <f t="shared" si="170"/>
        <v>0</v>
      </c>
      <c r="T523" s="19">
        <f t="shared" si="171"/>
        <v>0</v>
      </c>
      <c r="U523" s="17"/>
      <c r="V523" s="19">
        <f t="shared" si="164"/>
        <v>47.482174757791341</v>
      </c>
      <c r="W523" s="17"/>
      <c r="X523" s="19">
        <f t="shared" si="165"/>
        <v>443.25134619492178</v>
      </c>
      <c r="Y523" s="19">
        <f t="shared" si="166"/>
        <v>21.053535242208653</v>
      </c>
      <c r="Z523" s="19"/>
      <c r="AA523" s="19">
        <f t="shared" si="167"/>
        <v>1.3682653344150944E-4</v>
      </c>
    </row>
    <row r="524" spans="2:27" x14ac:dyDescent="0.35">
      <c r="B524" s="27">
        <v>48.6</v>
      </c>
      <c r="C524" s="27">
        <v>46.535710000000002</v>
      </c>
      <c r="D524" s="19">
        <f t="shared" si="154"/>
        <v>75.382575112657108</v>
      </c>
      <c r="E524" s="19">
        <f t="shared" si="155"/>
        <v>1.2165534699748202</v>
      </c>
      <c r="F524" s="19">
        <f t="shared" si="156"/>
        <v>3.313886533774892</v>
      </c>
      <c r="G524" s="19">
        <f t="shared" si="157"/>
        <v>3.313886533774892</v>
      </c>
      <c r="H524" s="19">
        <f t="shared" si="158"/>
        <v>3.313886533774892</v>
      </c>
      <c r="I524" s="17"/>
      <c r="J524" s="19">
        <f t="shared" si="159"/>
        <v>71.118231389734035</v>
      </c>
      <c r="K524" s="19">
        <f t="shared" si="160"/>
        <v>1.1111541868781372</v>
      </c>
      <c r="L524" s="19">
        <f t="shared" si="161"/>
        <v>2.4271633174081031</v>
      </c>
      <c r="M524" s="19">
        <f t="shared" si="162"/>
        <v>2.4271633174081031</v>
      </c>
      <c r="N524" s="19">
        <f t="shared" si="163"/>
        <v>2.4271633174081031</v>
      </c>
      <c r="O524" s="17"/>
      <c r="P524" s="19">
        <f t="shared" si="153"/>
        <v>10.336913838534514</v>
      </c>
      <c r="Q524" s="19">
        <f t="shared" si="168"/>
        <v>36.941115696127525</v>
      </c>
      <c r="R524" s="19">
        <f t="shared" si="169"/>
        <v>0</v>
      </c>
      <c r="S524" s="19">
        <f t="shared" si="170"/>
        <v>0</v>
      </c>
      <c r="T524" s="19">
        <f t="shared" si="171"/>
        <v>0</v>
      </c>
      <c r="U524" s="17"/>
      <c r="V524" s="19">
        <f t="shared" si="164"/>
        <v>47.278029534662039</v>
      </c>
      <c r="W524" s="17"/>
      <c r="X524" s="19">
        <f t="shared" si="165"/>
        <v>0.55103829154086392</v>
      </c>
      <c r="Y524" s="19">
        <f t="shared" si="166"/>
        <v>0.74231953466203748</v>
      </c>
      <c r="Z524" s="19"/>
      <c r="AA524" s="19">
        <f t="shared" si="167"/>
        <v>4.824320830930708E-6</v>
      </c>
    </row>
    <row r="525" spans="2:27" x14ac:dyDescent="0.35">
      <c r="B525" s="27">
        <v>48.7</v>
      </c>
      <c r="C525" s="27">
        <v>38.035710000000002</v>
      </c>
      <c r="D525" s="19">
        <f t="shared" si="154"/>
        <v>75.523074451079594</v>
      </c>
      <c r="E525" s="19">
        <f t="shared" si="155"/>
        <v>1.2226783988019427</v>
      </c>
      <c r="F525" s="19">
        <f t="shared" si="156"/>
        <v>3.3249976448860039</v>
      </c>
      <c r="G525" s="19">
        <f t="shared" si="157"/>
        <v>3.3249976448860039</v>
      </c>
      <c r="H525" s="19">
        <f t="shared" si="158"/>
        <v>3.3249976448860039</v>
      </c>
      <c r="I525" s="17"/>
      <c r="J525" s="19">
        <f t="shared" si="159"/>
        <v>71.256784416582107</v>
      </c>
      <c r="K525" s="19">
        <f t="shared" si="160"/>
        <v>1.1143801066517596</v>
      </c>
      <c r="L525" s="19">
        <f t="shared" si="161"/>
        <v>2.4350360737708852</v>
      </c>
      <c r="M525" s="19">
        <f t="shared" si="162"/>
        <v>2.4350360737708852</v>
      </c>
      <c r="N525" s="19">
        <f t="shared" si="163"/>
        <v>2.4350360737708852</v>
      </c>
      <c r="O525" s="17"/>
      <c r="P525" s="19">
        <f t="shared" si="153"/>
        <v>10.297031965903436</v>
      </c>
      <c r="Q525" s="19">
        <f t="shared" si="168"/>
        <v>36.777980068039838</v>
      </c>
      <c r="R525" s="19">
        <f t="shared" si="169"/>
        <v>0</v>
      </c>
      <c r="S525" s="19">
        <f t="shared" si="170"/>
        <v>0</v>
      </c>
      <c r="T525" s="19">
        <f t="shared" si="171"/>
        <v>0</v>
      </c>
      <c r="U525" s="17"/>
      <c r="V525" s="19">
        <f t="shared" si="164"/>
        <v>47.075012033943274</v>
      </c>
      <c r="W525" s="17"/>
      <c r="X525" s="19">
        <f t="shared" si="165"/>
        <v>81.708981260850976</v>
      </c>
      <c r="Y525" s="19">
        <f t="shared" si="166"/>
        <v>9.0393020339432724</v>
      </c>
      <c r="Z525" s="19"/>
      <c r="AA525" s="19">
        <f t="shared" si="167"/>
        <v>5.8746255572111376E-5</v>
      </c>
    </row>
    <row r="526" spans="2:27" x14ac:dyDescent="0.35">
      <c r="B526" s="27">
        <v>48.8</v>
      </c>
      <c r="C526" s="27">
        <v>38.535710000000002</v>
      </c>
      <c r="D526" s="19">
        <f t="shared" si="154"/>
        <v>75.663573789502081</v>
      </c>
      <c r="E526" s="19">
        <f t="shared" si="155"/>
        <v>1.2288033276290644</v>
      </c>
      <c r="F526" s="19">
        <f t="shared" si="156"/>
        <v>3.3361087559971132</v>
      </c>
      <c r="G526" s="19">
        <f t="shared" si="157"/>
        <v>3.3361087559971132</v>
      </c>
      <c r="H526" s="19">
        <f t="shared" si="158"/>
        <v>3.3361087559971132</v>
      </c>
      <c r="I526" s="17"/>
      <c r="J526" s="19">
        <f t="shared" si="159"/>
        <v>71.395341171977591</v>
      </c>
      <c r="K526" s="19">
        <f t="shared" si="160"/>
        <v>1.117610449112536</v>
      </c>
      <c r="L526" s="19">
        <f t="shared" si="161"/>
        <v>2.4429162471122052</v>
      </c>
      <c r="M526" s="19">
        <f t="shared" si="162"/>
        <v>2.4429162471122052</v>
      </c>
      <c r="N526" s="19">
        <f t="shared" si="163"/>
        <v>2.4429162471122052</v>
      </c>
      <c r="O526" s="17"/>
      <c r="P526" s="19">
        <f t="shared" si="153"/>
        <v>10.25737939686357</v>
      </c>
      <c r="Q526" s="19">
        <f t="shared" si="168"/>
        <v>36.615735562850098</v>
      </c>
      <c r="R526" s="19">
        <f t="shared" si="169"/>
        <v>0</v>
      </c>
      <c r="S526" s="19">
        <f t="shared" si="170"/>
        <v>0</v>
      </c>
      <c r="T526" s="19">
        <f t="shared" si="171"/>
        <v>0</v>
      </c>
      <c r="U526" s="17"/>
      <c r="V526" s="19">
        <f t="shared" si="164"/>
        <v>46.873114959713668</v>
      </c>
      <c r="W526" s="17"/>
      <c r="X526" s="19">
        <f t="shared" si="165"/>
        <v>69.512321462258043</v>
      </c>
      <c r="Y526" s="19">
        <f t="shared" si="166"/>
        <v>8.3374049597136661</v>
      </c>
      <c r="Z526" s="19"/>
      <c r="AA526" s="19">
        <f t="shared" si="167"/>
        <v>5.4184639558709732E-5</v>
      </c>
    </row>
    <row r="527" spans="2:27" x14ac:dyDescent="0.35">
      <c r="B527" s="27">
        <v>48.9</v>
      </c>
      <c r="C527" s="27">
        <v>60.785710000000002</v>
      </c>
      <c r="D527" s="19">
        <f t="shared" si="154"/>
        <v>75.804073127924582</v>
      </c>
      <c r="E527" s="19">
        <f t="shared" si="155"/>
        <v>1.234928256456187</v>
      </c>
      <c r="F527" s="19">
        <f t="shared" si="156"/>
        <v>3.3472198671082252</v>
      </c>
      <c r="G527" s="19">
        <f t="shared" si="157"/>
        <v>3.3472198671082252</v>
      </c>
      <c r="H527" s="19">
        <f t="shared" si="158"/>
        <v>3.3472198671082252</v>
      </c>
      <c r="I527" s="17"/>
      <c r="J527" s="19">
        <f t="shared" si="159"/>
        <v>71.53390164176183</v>
      </c>
      <c r="K527" s="19">
        <f t="shared" si="160"/>
        <v>1.1208452068131805</v>
      </c>
      <c r="L527" s="19">
        <f t="shared" si="161"/>
        <v>2.450803810458551</v>
      </c>
      <c r="M527" s="19">
        <f t="shared" si="162"/>
        <v>2.450803810458551</v>
      </c>
      <c r="N527" s="19">
        <f t="shared" si="163"/>
        <v>2.450803810458551</v>
      </c>
      <c r="O527" s="17"/>
      <c r="P527" s="19">
        <f t="shared" si="153"/>
        <v>10.217954382984859</v>
      </c>
      <c r="Q527" s="19">
        <f t="shared" si="168"/>
        <v>36.454376686069885</v>
      </c>
      <c r="R527" s="19">
        <f t="shared" si="169"/>
        <v>0</v>
      </c>
      <c r="S527" s="19">
        <f t="shared" si="170"/>
        <v>0</v>
      </c>
      <c r="T527" s="19">
        <f t="shared" si="171"/>
        <v>0</v>
      </c>
      <c r="U527" s="17"/>
      <c r="V527" s="19">
        <f t="shared" si="164"/>
        <v>46.672331069054742</v>
      </c>
      <c r="W527" s="17"/>
      <c r="X527" s="19">
        <f t="shared" si="165"/>
        <v>199.18746484844957</v>
      </c>
      <c r="Y527" s="19">
        <f t="shared" si="166"/>
        <v>14.11337893094526</v>
      </c>
      <c r="Z527" s="19"/>
      <c r="AA527" s="19">
        <f t="shared" si="167"/>
        <v>9.1722586826947197E-5</v>
      </c>
    </row>
    <row r="528" spans="2:27" x14ac:dyDescent="0.35">
      <c r="B528" s="27">
        <v>49</v>
      </c>
      <c r="C528" s="27">
        <v>50.785710000000002</v>
      </c>
      <c r="D528" s="19">
        <f t="shared" si="154"/>
        <v>75.944572466347068</v>
      </c>
      <c r="E528" s="19">
        <f t="shared" si="155"/>
        <v>1.2410531852833095</v>
      </c>
      <c r="F528" s="19">
        <f t="shared" si="156"/>
        <v>3.3583309782193362</v>
      </c>
      <c r="G528" s="19">
        <f t="shared" si="157"/>
        <v>3.3583309782193362</v>
      </c>
      <c r="H528" s="19">
        <f t="shared" si="158"/>
        <v>3.3583309782193362</v>
      </c>
      <c r="I528" s="17"/>
      <c r="J528" s="19">
        <f t="shared" si="159"/>
        <v>71.672465811856256</v>
      </c>
      <c r="K528" s="19">
        <f t="shared" si="160"/>
        <v>1.1240843723027265</v>
      </c>
      <c r="L528" s="19">
        <f t="shared" si="161"/>
        <v>2.4586987369484974</v>
      </c>
      <c r="M528" s="19">
        <f t="shared" si="162"/>
        <v>2.4586987369484974</v>
      </c>
      <c r="N528" s="19">
        <f t="shared" si="163"/>
        <v>2.4586987369484974</v>
      </c>
      <c r="O528" s="17"/>
      <c r="P528" s="19">
        <f t="shared" si="153"/>
        <v>10.178755192423997</v>
      </c>
      <c r="Q528" s="19">
        <f t="shared" si="168"/>
        <v>36.293897979198015</v>
      </c>
      <c r="R528" s="19">
        <f t="shared" si="169"/>
        <v>0</v>
      </c>
      <c r="S528" s="19">
        <f t="shared" si="170"/>
        <v>0</v>
      </c>
      <c r="T528" s="19">
        <f t="shared" si="171"/>
        <v>0</v>
      </c>
      <c r="U528" s="17"/>
      <c r="V528" s="19">
        <f t="shared" si="164"/>
        <v>46.472653171622014</v>
      </c>
      <c r="W528" s="17"/>
      <c r="X528" s="19">
        <f t="shared" si="165"/>
        <v>18.60245920481799</v>
      </c>
      <c r="Y528" s="19">
        <f t="shared" si="166"/>
        <v>4.313056828377988</v>
      </c>
      <c r="Z528" s="19"/>
      <c r="AA528" s="19">
        <f t="shared" si="167"/>
        <v>2.8030476001962023E-5</v>
      </c>
    </row>
    <row r="529" spans="2:27" x14ac:dyDescent="0.35">
      <c r="B529" s="27">
        <v>49.1</v>
      </c>
      <c r="C529" s="27">
        <v>43.285710000000002</v>
      </c>
      <c r="D529" s="19">
        <f t="shared" si="154"/>
        <v>76.085071804769555</v>
      </c>
      <c r="E529" s="19">
        <f t="shared" si="155"/>
        <v>1.2471781141104317</v>
      </c>
      <c r="F529" s="19">
        <f t="shared" si="156"/>
        <v>3.3694420893304473</v>
      </c>
      <c r="G529" s="19">
        <f t="shared" si="157"/>
        <v>3.3694420893304473</v>
      </c>
      <c r="H529" s="19">
        <f t="shared" si="158"/>
        <v>3.3694420893304473</v>
      </c>
      <c r="I529" s="17"/>
      <c r="J529" s="19">
        <f t="shared" si="159"/>
        <v>71.811033668261828</v>
      </c>
      <c r="K529" s="19">
        <f t="shared" si="160"/>
        <v>1.1273279381267018</v>
      </c>
      <c r="L529" s="19">
        <f t="shared" si="161"/>
        <v>2.4666009998323744</v>
      </c>
      <c r="M529" s="19">
        <f t="shared" si="162"/>
        <v>2.4666009998323744</v>
      </c>
      <c r="N529" s="19">
        <f t="shared" si="163"/>
        <v>2.4666009998323744</v>
      </c>
      <c r="O529" s="17"/>
      <c r="P529" s="19">
        <f t="shared" si="153"/>
        <v>10.139780109736405</v>
      </c>
      <c r="Q529" s="19">
        <f t="shared" si="168"/>
        <v>36.134294019483413</v>
      </c>
      <c r="R529" s="19">
        <f t="shared" si="169"/>
        <v>0</v>
      </c>
      <c r="S529" s="19">
        <f t="shared" si="170"/>
        <v>0</v>
      </c>
      <c r="T529" s="19">
        <f t="shared" si="171"/>
        <v>0</v>
      </c>
      <c r="U529" s="17"/>
      <c r="V529" s="19">
        <f t="shared" si="164"/>
        <v>46.274074129219819</v>
      </c>
      <c r="W529" s="17"/>
      <c r="X529" s="19">
        <f t="shared" si="165"/>
        <v>8.9303201688077198</v>
      </c>
      <c r="Y529" s="19">
        <f t="shared" si="166"/>
        <v>2.9883641292198178</v>
      </c>
      <c r="Z529" s="19"/>
      <c r="AA529" s="19">
        <f t="shared" si="167"/>
        <v>1.9421322820993725E-5</v>
      </c>
    </row>
    <row r="530" spans="2:27" x14ac:dyDescent="0.35">
      <c r="B530" s="27">
        <v>49.2</v>
      </c>
      <c r="C530" s="27">
        <v>56.535710000000002</v>
      </c>
      <c r="D530" s="19">
        <f t="shared" si="154"/>
        <v>76.225571143192056</v>
      </c>
      <c r="E530" s="19">
        <f t="shared" si="155"/>
        <v>1.2533030429375538</v>
      </c>
      <c r="F530" s="19">
        <f t="shared" si="156"/>
        <v>3.3805532004415593</v>
      </c>
      <c r="G530" s="19">
        <f t="shared" si="157"/>
        <v>3.3805532004415593</v>
      </c>
      <c r="H530" s="19">
        <f t="shared" si="158"/>
        <v>3.3805532004415593</v>
      </c>
      <c r="I530" s="17"/>
      <c r="J530" s="19">
        <f t="shared" si="159"/>
        <v>71.94960519705846</v>
      </c>
      <c r="K530" s="19">
        <f t="shared" si="160"/>
        <v>1.130575896827299</v>
      </c>
      <c r="L530" s="19">
        <f t="shared" si="161"/>
        <v>2.4745105724719139</v>
      </c>
      <c r="M530" s="19">
        <f t="shared" si="162"/>
        <v>2.4745105724719139</v>
      </c>
      <c r="N530" s="19">
        <f t="shared" si="163"/>
        <v>2.4745105724719139</v>
      </c>
      <c r="O530" s="17"/>
      <c r="P530" s="19">
        <f t="shared" si="153"/>
        <v>10.101027435690646</v>
      </c>
      <c r="Q530" s="19">
        <f t="shared" si="168"/>
        <v>35.975559419689425</v>
      </c>
      <c r="R530" s="19">
        <f t="shared" si="169"/>
        <v>0</v>
      </c>
      <c r="S530" s="19">
        <f t="shared" si="170"/>
        <v>0</v>
      </c>
      <c r="T530" s="19">
        <f t="shared" si="171"/>
        <v>0</v>
      </c>
      <c r="U530" s="17"/>
      <c r="V530" s="19">
        <f t="shared" si="164"/>
        <v>46.076586855380071</v>
      </c>
      <c r="W530" s="17"/>
      <c r="X530" s="19">
        <f t="shared" si="165"/>
        <v>109.3932569543243</v>
      </c>
      <c r="Y530" s="19">
        <f t="shared" si="166"/>
        <v>10.45912314461993</v>
      </c>
      <c r="Z530" s="19"/>
      <c r="AA530" s="19">
        <f t="shared" si="167"/>
        <v>6.7973646527882319E-5</v>
      </c>
    </row>
    <row r="531" spans="2:27" x14ac:dyDescent="0.35">
      <c r="B531" s="27">
        <v>49.3</v>
      </c>
      <c r="C531" s="27">
        <v>54.285710000000002</v>
      </c>
      <c r="D531" s="19">
        <f t="shared" si="154"/>
        <v>76.366070481614543</v>
      </c>
      <c r="E531" s="19">
        <f t="shared" si="155"/>
        <v>1.2594279717646759</v>
      </c>
      <c r="F531" s="19">
        <f t="shared" si="156"/>
        <v>3.3916643115526686</v>
      </c>
      <c r="G531" s="19">
        <f t="shared" si="157"/>
        <v>3.3916643115526686</v>
      </c>
      <c r="H531" s="19">
        <f t="shared" si="158"/>
        <v>3.3916643115526686</v>
      </c>
      <c r="I531" s="17"/>
      <c r="J531" s="19">
        <f t="shared" si="159"/>
        <v>72.088180384404325</v>
      </c>
      <c r="K531" s="19">
        <f t="shared" si="160"/>
        <v>1.1338282409435441</v>
      </c>
      <c r="L531" s="19">
        <f t="shared" si="161"/>
        <v>2.4824274283398995</v>
      </c>
      <c r="M531" s="19">
        <f t="shared" si="162"/>
        <v>2.4824274283398995</v>
      </c>
      <c r="N531" s="19">
        <f t="shared" si="163"/>
        <v>2.4824274283398995</v>
      </c>
      <c r="O531" s="17"/>
      <c r="P531" s="19">
        <f t="shared" si="153"/>
        <v>10.062495487085373</v>
      </c>
      <c r="Q531" s="19">
        <f t="shared" si="168"/>
        <v>35.817688827859783</v>
      </c>
      <c r="R531" s="19">
        <f t="shared" si="169"/>
        <v>0</v>
      </c>
      <c r="S531" s="19">
        <f t="shared" si="170"/>
        <v>0</v>
      </c>
      <c r="T531" s="19">
        <f t="shared" si="171"/>
        <v>0</v>
      </c>
      <c r="U531" s="17"/>
      <c r="V531" s="19">
        <f t="shared" si="164"/>
        <v>45.880184314945154</v>
      </c>
      <c r="W531" s="17"/>
      <c r="X531" s="19">
        <f t="shared" si="165"/>
        <v>70.652862042116766</v>
      </c>
      <c r="Y531" s="19">
        <f t="shared" si="166"/>
        <v>8.4055256850548474</v>
      </c>
      <c r="Z531" s="19"/>
      <c r="AA531" s="19">
        <f t="shared" si="167"/>
        <v>5.4627354884032795E-5</v>
      </c>
    </row>
    <row r="532" spans="2:27" x14ac:dyDescent="0.35">
      <c r="B532" s="27">
        <v>49.4</v>
      </c>
      <c r="C532" s="27">
        <v>48.035710000000002</v>
      </c>
      <c r="D532" s="19">
        <f t="shared" si="154"/>
        <v>76.506569820037029</v>
      </c>
      <c r="E532" s="19">
        <f t="shared" si="155"/>
        <v>1.265552900591798</v>
      </c>
      <c r="F532" s="19">
        <f t="shared" si="156"/>
        <v>3.4027754226637805</v>
      </c>
      <c r="G532" s="19">
        <f t="shared" si="157"/>
        <v>3.4027754226637805</v>
      </c>
      <c r="H532" s="19">
        <f t="shared" si="158"/>
        <v>3.4027754226637805</v>
      </c>
      <c r="I532" s="17"/>
      <c r="J532" s="19">
        <f t="shared" si="159"/>
        <v>72.226759216535399</v>
      </c>
      <c r="K532" s="19">
        <f t="shared" si="160"/>
        <v>1.1370849630114659</v>
      </c>
      <c r="L532" s="19">
        <f t="shared" si="161"/>
        <v>2.4903515410198231</v>
      </c>
      <c r="M532" s="19">
        <f t="shared" si="162"/>
        <v>2.4903515410198231</v>
      </c>
      <c r="N532" s="19">
        <f t="shared" si="163"/>
        <v>2.4903515410198231</v>
      </c>
      <c r="O532" s="17"/>
      <c r="P532" s="19">
        <f t="shared" si="153"/>
        <v>10.024182596568568</v>
      </c>
      <c r="Q532" s="19">
        <f t="shared" si="168"/>
        <v>35.660676927085873</v>
      </c>
      <c r="R532" s="19">
        <f t="shared" si="169"/>
        <v>0</v>
      </c>
      <c r="S532" s="19">
        <f t="shared" si="170"/>
        <v>0</v>
      </c>
      <c r="T532" s="19">
        <f t="shared" si="171"/>
        <v>0</v>
      </c>
      <c r="U532" s="17"/>
      <c r="V532" s="19">
        <f t="shared" si="164"/>
        <v>45.684859523654438</v>
      </c>
      <c r="W532" s="17"/>
      <c r="X532" s="19">
        <f t="shared" si="165"/>
        <v>5.5264979621341617</v>
      </c>
      <c r="Y532" s="19">
        <f t="shared" si="166"/>
        <v>2.3508504763455633</v>
      </c>
      <c r="Z532" s="19"/>
      <c r="AA532" s="19">
        <f t="shared" si="167"/>
        <v>1.5278133463914181E-5</v>
      </c>
    </row>
    <row r="533" spans="2:27" x14ac:dyDescent="0.35">
      <c r="B533" s="27">
        <v>49.5</v>
      </c>
      <c r="C533" s="27">
        <v>39.535710000000002</v>
      </c>
      <c r="D533" s="19">
        <f t="shared" si="154"/>
        <v>76.647069158459516</v>
      </c>
      <c r="E533" s="19">
        <f t="shared" si="155"/>
        <v>1.2716778294189206</v>
      </c>
      <c r="F533" s="19">
        <f t="shared" si="156"/>
        <v>3.4138865337748916</v>
      </c>
      <c r="G533" s="19">
        <f t="shared" si="157"/>
        <v>3.4138865337748916</v>
      </c>
      <c r="H533" s="19">
        <f t="shared" si="158"/>
        <v>3.4138865337748916</v>
      </c>
      <c r="I533" s="17"/>
      <c r="J533" s="19">
        <f t="shared" si="159"/>
        <v>72.365341679764782</v>
      </c>
      <c r="K533" s="19">
        <f t="shared" si="160"/>
        <v>1.1403460555642642</v>
      </c>
      <c r="L533" s="19">
        <f t="shared" si="161"/>
        <v>2.4982828842055236</v>
      </c>
      <c r="M533" s="19">
        <f t="shared" si="162"/>
        <v>2.4982828842055236</v>
      </c>
      <c r="N533" s="19">
        <f t="shared" si="163"/>
        <v>2.4982828842055236</v>
      </c>
      <c r="O533" s="17"/>
      <c r="P533" s="19">
        <f t="shared" si="153"/>
        <v>9.9860871124592325</v>
      </c>
      <c r="Q533" s="19">
        <f t="shared" si="168"/>
        <v>35.504518435275415</v>
      </c>
      <c r="R533" s="19">
        <f t="shared" si="169"/>
        <v>0</v>
      </c>
      <c r="S533" s="19">
        <f t="shared" si="170"/>
        <v>0</v>
      </c>
      <c r="T533" s="19">
        <f t="shared" si="171"/>
        <v>0</v>
      </c>
      <c r="U533" s="17"/>
      <c r="V533" s="19">
        <f t="shared" si="164"/>
        <v>45.490605547734646</v>
      </c>
      <c r="W533" s="17"/>
      <c r="X533" s="19">
        <f t="shared" si="165"/>
        <v>35.460780984429881</v>
      </c>
      <c r="Y533" s="19">
        <f t="shared" si="166"/>
        <v>5.9548955477346439</v>
      </c>
      <c r="Z533" s="19"/>
      <c r="AA533" s="19">
        <f t="shared" si="167"/>
        <v>3.8700755261724552E-5</v>
      </c>
    </row>
    <row r="534" spans="2:27" x14ac:dyDescent="0.35">
      <c r="B534" s="27">
        <v>49.6</v>
      </c>
      <c r="C534" s="27">
        <v>51.285710000000002</v>
      </c>
      <c r="D534" s="19">
        <f t="shared" si="154"/>
        <v>76.787568496882017</v>
      </c>
      <c r="E534" s="19">
        <f t="shared" si="155"/>
        <v>1.2778027582460432</v>
      </c>
      <c r="F534" s="19">
        <f t="shared" si="156"/>
        <v>3.4249976448860036</v>
      </c>
      <c r="G534" s="19">
        <f t="shared" si="157"/>
        <v>3.4249976448860036</v>
      </c>
      <c r="H534" s="19">
        <f t="shared" si="158"/>
        <v>3.4249976448860036</v>
      </c>
      <c r="I534" s="17"/>
      <c r="J534" s="19">
        <f t="shared" si="159"/>
        <v>72.503927760482199</v>
      </c>
      <c r="K534" s="19">
        <f t="shared" si="160"/>
        <v>1.1436115111324725</v>
      </c>
      <c r="L534" s="19">
        <f t="shared" si="161"/>
        <v>2.5062214317008369</v>
      </c>
      <c r="M534" s="19">
        <f t="shared" si="162"/>
        <v>2.5062214317008369</v>
      </c>
      <c r="N534" s="19">
        <f t="shared" si="163"/>
        <v>2.5062214317008369</v>
      </c>
      <c r="O534" s="17"/>
      <c r="P534" s="19">
        <f t="shared" si="153"/>
        <v>9.9482073985713662</v>
      </c>
      <c r="Q534" s="19">
        <f t="shared" si="168"/>
        <v>35.34920810492288</v>
      </c>
      <c r="R534" s="19">
        <f t="shared" si="169"/>
        <v>0</v>
      </c>
      <c r="S534" s="19">
        <f t="shared" si="170"/>
        <v>0</v>
      </c>
      <c r="T534" s="19">
        <f t="shared" si="171"/>
        <v>0</v>
      </c>
      <c r="U534" s="17"/>
      <c r="V534" s="19">
        <f t="shared" si="164"/>
        <v>45.29741550349425</v>
      </c>
      <c r="W534" s="17"/>
      <c r="X534" s="19">
        <f t="shared" si="165"/>
        <v>35.859670976881077</v>
      </c>
      <c r="Y534" s="19">
        <f t="shared" si="166"/>
        <v>5.9882944965057519</v>
      </c>
      <c r="Z534" s="19"/>
      <c r="AA534" s="19">
        <f t="shared" si="167"/>
        <v>3.8917814407771412E-5</v>
      </c>
    </row>
    <row r="535" spans="2:27" x14ac:dyDescent="0.35">
      <c r="B535" s="27">
        <v>49.7</v>
      </c>
      <c r="C535" s="27">
        <v>55.535710000000002</v>
      </c>
      <c r="D535" s="19">
        <f t="shared" si="154"/>
        <v>76.928067835304503</v>
      </c>
      <c r="E535" s="19">
        <f t="shared" si="155"/>
        <v>1.2839276870731653</v>
      </c>
      <c r="F535" s="19">
        <f t="shared" si="156"/>
        <v>3.4361087559971146</v>
      </c>
      <c r="G535" s="19">
        <f t="shared" si="157"/>
        <v>3.4361087559971146</v>
      </c>
      <c r="H535" s="19">
        <f t="shared" si="158"/>
        <v>3.4361087559971146</v>
      </c>
      <c r="I535" s="17"/>
      <c r="J535" s="19">
        <f t="shared" si="159"/>
        <v>72.642517445153374</v>
      </c>
      <c r="K535" s="19">
        <f t="shared" si="160"/>
        <v>1.1468813222441268</v>
      </c>
      <c r="L535" s="19">
        <f t="shared" si="161"/>
        <v>2.5141671574192395</v>
      </c>
      <c r="M535" s="19">
        <f t="shared" si="162"/>
        <v>2.5141671574192395</v>
      </c>
      <c r="N535" s="19">
        <f t="shared" si="163"/>
        <v>2.5141671574192395</v>
      </c>
      <c r="O535" s="17"/>
      <c r="P535" s="19">
        <f t="shared" si="153"/>
        <v>9.9105418340402576</v>
      </c>
      <c r="Q535" s="19">
        <f t="shared" si="168"/>
        <v>35.194740722880887</v>
      </c>
      <c r="R535" s="19">
        <f t="shared" si="169"/>
        <v>0</v>
      </c>
      <c r="S535" s="19">
        <f t="shared" si="170"/>
        <v>0</v>
      </c>
      <c r="T535" s="19">
        <f t="shared" si="171"/>
        <v>0</v>
      </c>
      <c r="U535" s="17"/>
      <c r="V535" s="19">
        <f t="shared" si="164"/>
        <v>45.105282556921146</v>
      </c>
      <c r="W535" s="17"/>
      <c r="X535" s="19">
        <f t="shared" si="165"/>
        <v>108.79381664533251</v>
      </c>
      <c r="Y535" s="19">
        <f t="shared" si="166"/>
        <v>10.430427443078855</v>
      </c>
      <c r="Z535" s="19"/>
      <c r="AA535" s="19">
        <f t="shared" si="167"/>
        <v>6.7787153697990932E-5</v>
      </c>
    </row>
    <row r="536" spans="2:27" x14ac:dyDescent="0.35">
      <c r="B536" s="27">
        <v>49.8</v>
      </c>
      <c r="C536" s="27">
        <v>38.285710000000002</v>
      </c>
      <c r="D536" s="19">
        <f t="shared" si="154"/>
        <v>77.06856717372699</v>
      </c>
      <c r="E536" s="19">
        <f t="shared" si="155"/>
        <v>1.2900526159002874</v>
      </c>
      <c r="F536" s="19">
        <f t="shared" si="156"/>
        <v>3.4472198671082257</v>
      </c>
      <c r="G536" s="19">
        <f t="shared" si="157"/>
        <v>3.4472198671082257</v>
      </c>
      <c r="H536" s="19">
        <f t="shared" si="158"/>
        <v>3.4472198671082257</v>
      </c>
      <c r="I536" s="17"/>
      <c r="J536" s="19">
        <f t="shared" si="159"/>
        <v>72.781110720319504</v>
      </c>
      <c r="K536" s="19">
        <f t="shared" si="160"/>
        <v>1.1501554814249262</v>
      </c>
      <c r="L536" s="19">
        <f t="shared" si="161"/>
        <v>2.5221200353834914</v>
      </c>
      <c r="M536" s="19">
        <f t="shared" si="162"/>
        <v>2.5221200353834914</v>
      </c>
      <c r="N536" s="19">
        <f t="shared" si="163"/>
        <v>2.5221200353834914</v>
      </c>
      <c r="O536" s="17"/>
      <c r="P536" s="19">
        <f t="shared" si="153"/>
        <v>9.8730888131510444</v>
      </c>
      <c r="Q536" s="19">
        <f t="shared" si="168"/>
        <v>35.041111110133386</v>
      </c>
      <c r="R536" s="19">
        <f t="shared" si="169"/>
        <v>0</v>
      </c>
      <c r="S536" s="19">
        <f t="shared" si="170"/>
        <v>0</v>
      </c>
      <c r="T536" s="19">
        <f t="shared" si="171"/>
        <v>0</v>
      </c>
      <c r="U536" s="17"/>
      <c r="V536" s="19">
        <f t="shared" si="164"/>
        <v>44.914199923284428</v>
      </c>
      <c r="W536" s="17"/>
      <c r="X536" s="19">
        <f t="shared" si="165"/>
        <v>43.936878663083185</v>
      </c>
      <c r="Y536" s="19">
        <f t="shared" si="166"/>
        <v>6.6284899232844268</v>
      </c>
      <c r="Z536" s="19"/>
      <c r="AA536" s="19">
        <f t="shared" si="167"/>
        <v>4.3078432563510865E-5</v>
      </c>
    </row>
    <row r="537" spans="2:27" x14ac:dyDescent="0.35">
      <c r="B537" s="27">
        <v>49.9</v>
      </c>
      <c r="C537" s="27">
        <v>28.785710000000002</v>
      </c>
      <c r="D537" s="19">
        <f t="shared" si="154"/>
        <v>77.209066512149477</v>
      </c>
      <c r="E537" s="19">
        <f t="shared" si="155"/>
        <v>1.2961775447274095</v>
      </c>
      <c r="F537" s="19">
        <f t="shared" si="156"/>
        <v>3.4583309782193359</v>
      </c>
      <c r="G537" s="19">
        <f t="shared" si="157"/>
        <v>3.4583309782193359</v>
      </c>
      <c r="H537" s="19">
        <f t="shared" si="158"/>
        <v>3.4583309782193359</v>
      </c>
      <c r="I537" s="17"/>
      <c r="J537" s="19">
        <f t="shared" si="159"/>
        <v>72.919707572596693</v>
      </c>
      <c r="K537" s="19">
        <f t="shared" si="160"/>
        <v>1.1534339811983974</v>
      </c>
      <c r="L537" s="19">
        <f t="shared" si="161"/>
        <v>2.5300800397252736</v>
      </c>
      <c r="M537" s="19">
        <f t="shared" si="162"/>
        <v>2.5300800397252736</v>
      </c>
      <c r="N537" s="19">
        <f t="shared" si="163"/>
        <v>2.5300800397252736</v>
      </c>
      <c r="O537" s="17"/>
      <c r="P537" s="19">
        <f t="shared" si="153"/>
        <v>9.8358467451694853</v>
      </c>
      <c r="Q537" s="19">
        <f t="shared" si="168"/>
        <v>34.888314121570126</v>
      </c>
      <c r="R537" s="19">
        <f t="shared" si="169"/>
        <v>0</v>
      </c>
      <c r="S537" s="19">
        <f t="shared" si="170"/>
        <v>0</v>
      </c>
      <c r="T537" s="19">
        <f t="shared" si="171"/>
        <v>0</v>
      </c>
      <c r="U537" s="17"/>
      <c r="V537" s="19">
        <f t="shared" si="164"/>
        <v>44.724160866739609</v>
      </c>
      <c r="W537" s="17"/>
      <c r="X537" s="19">
        <f t="shared" si="165"/>
        <v>254.03421603147254</v>
      </c>
      <c r="Y537" s="19">
        <f t="shared" si="166"/>
        <v>15.938450866739608</v>
      </c>
      <c r="Z537" s="19"/>
      <c r="AA537" s="19">
        <f t="shared" si="167"/>
        <v>1.0358369534783278E-4</v>
      </c>
    </row>
    <row r="538" spans="2:27" x14ac:dyDescent="0.35">
      <c r="B538" s="27">
        <v>50</v>
      </c>
      <c r="C538" s="27">
        <v>33.035710000000002</v>
      </c>
      <c r="D538" s="19">
        <f t="shared" si="154"/>
        <v>77.349565850571977</v>
      </c>
      <c r="E538" s="19">
        <f t="shared" si="155"/>
        <v>1.3023024735545317</v>
      </c>
      <c r="F538" s="19">
        <f t="shared" si="156"/>
        <v>3.469442089330447</v>
      </c>
      <c r="G538" s="19">
        <f t="shared" si="157"/>
        <v>3.469442089330447</v>
      </c>
      <c r="H538" s="19">
        <f t="shared" si="158"/>
        <v>3.469442089330447</v>
      </c>
      <c r="I538" s="17"/>
      <c r="J538" s="19">
        <f t="shared" si="159"/>
        <v>73.058307988675381</v>
      </c>
      <c r="K538" s="19">
        <f t="shared" si="160"/>
        <v>1.1567168140860538</v>
      </c>
      <c r="L538" s="19">
        <f t="shared" si="161"/>
        <v>2.5380471446848345</v>
      </c>
      <c r="M538" s="19">
        <f t="shared" si="162"/>
        <v>2.5380471446848345</v>
      </c>
      <c r="N538" s="19">
        <f t="shared" si="163"/>
        <v>2.5380471446848345</v>
      </c>
      <c r="O538" s="17"/>
      <c r="P538" s="19">
        <f t="shared" si="153"/>
        <v>9.7988140541749491</v>
      </c>
      <c r="Q538" s="19">
        <f t="shared" si="168"/>
        <v>34.736344645762514</v>
      </c>
      <c r="R538" s="19">
        <f t="shared" si="169"/>
        <v>0</v>
      </c>
      <c r="S538" s="19">
        <f t="shared" si="170"/>
        <v>0</v>
      </c>
      <c r="T538" s="19">
        <f t="shared" si="171"/>
        <v>0</v>
      </c>
      <c r="U538" s="17"/>
      <c r="V538" s="19">
        <f t="shared" si="164"/>
        <v>44.535158699937462</v>
      </c>
      <c r="W538" s="17"/>
      <c r="X538" s="19">
        <f t="shared" si="165"/>
        <v>132.23732040249334</v>
      </c>
      <c r="Y538" s="19">
        <f t="shared" si="166"/>
        <v>11.49944869993746</v>
      </c>
      <c r="Z538" s="19"/>
      <c r="AA538" s="19">
        <f t="shared" si="167"/>
        <v>7.4734702937037564E-5</v>
      </c>
    </row>
    <row r="539" spans="2:27" x14ac:dyDescent="0.35">
      <c r="B539" s="27">
        <v>50.1</v>
      </c>
      <c r="C539" s="27">
        <v>53.785710000000002</v>
      </c>
      <c r="D539" s="19">
        <f t="shared" si="154"/>
        <v>77.490065188994464</v>
      </c>
      <c r="E539" s="19">
        <f t="shared" si="155"/>
        <v>1.3084274023816542</v>
      </c>
      <c r="F539" s="19">
        <f t="shared" si="156"/>
        <v>3.4805532004415589</v>
      </c>
      <c r="G539" s="19">
        <f t="shared" si="157"/>
        <v>3.4805532004415589</v>
      </c>
      <c r="H539" s="19">
        <f t="shared" si="158"/>
        <v>3.4805532004415589</v>
      </c>
      <c r="I539" s="17"/>
      <c r="J539" s="19">
        <f t="shared" si="159"/>
        <v>73.196911955319806</v>
      </c>
      <c r="K539" s="19">
        <f t="shared" si="160"/>
        <v>1.1600039726075575</v>
      </c>
      <c r="L539" s="19">
        <f t="shared" si="161"/>
        <v>2.5460213246106194</v>
      </c>
      <c r="M539" s="19">
        <f t="shared" si="162"/>
        <v>2.5460213246106194</v>
      </c>
      <c r="N539" s="19">
        <f t="shared" si="163"/>
        <v>2.5460213246106194</v>
      </c>
      <c r="O539" s="17"/>
      <c r="P539" s="19">
        <f t="shared" si="153"/>
        <v>9.7619891788955524</v>
      </c>
      <c r="Q539" s="19">
        <f t="shared" si="168"/>
        <v>34.585197604740912</v>
      </c>
      <c r="R539" s="19">
        <f t="shared" si="169"/>
        <v>0</v>
      </c>
      <c r="S539" s="19">
        <f t="shared" si="170"/>
        <v>0</v>
      </c>
      <c r="T539" s="19">
        <f t="shared" si="171"/>
        <v>0</v>
      </c>
      <c r="U539" s="17"/>
      <c r="V539" s="19">
        <f t="shared" si="164"/>
        <v>44.347186783636467</v>
      </c>
      <c r="W539" s="17"/>
      <c r="X539" s="19">
        <f t="shared" si="165"/>
        <v>89.08572050583345</v>
      </c>
      <c r="Y539" s="19">
        <f t="shared" si="166"/>
        <v>9.4385232163635351</v>
      </c>
      <c r="Z539" s="19"/>
      <c r="AA539" s="19">
        <f t="shared" si="167"/>
        <v>6.1340786601630517E-5</v>
      </c>
    </row>
    <row r="540" spans="2:27" x14ac:dyDescent="0.35">
      <c r="B540" s="27">
        <v>50.2</v>
      </c>
      <c r="C540" s="27">
        <v>55.035710000000002</v>
      </c>
      <c r="D540" s="19">
        <f t="shared" si="154"/>
        <v>77.630564527416965</v>
      </c>
      <c r="E540" s="19">
        <f t="shared" si="155"/>
        <v>1.3145523312087768</v>
      </c>
      <c r="F540" s="19">
        <f t="shared" si="156"/>
        <v>3.49166431155267</v>
      </c>
      <c r="G540" s="19">
        <f t="shared" si="157"/>
        <v>3.49166431155267</v>
      </c>
      <c r="H540" s="19">
        <f t="shared" si="158"/>
        <v>3.49166431155267</v>
      </c>
      <c r="I540" s="17"/>
      <c r="J540" s="19">
        <f t="shared" si="159"/>
        <v>73.33551945936749</v>
      </c>
      <c r="K540" s="19">
        <f t="shared" si="160"/>
        <v>1.1632954492808765</v>
      </c>
      <c r="L540" s="19">
        <f t="shared" si="161"/>
        <v>2.5540025539589108</v>
      </c>
      <c r="M540" s="19">
        <f t="shared" si="162"/>
        <v>2.5540025539589108</v>
      </c>
      <c r="N540" s="19">
        <f t="shared" si="163"/>
        <v>2.5540025539589108</v>
      </c>
      <c r="O540" s="17"/>
      <c r="P540" s="19">
        <f t="shared" si="153"/>
        <v>9.7253705725454296</v>
      </c>
      <c r="Q540" s="19">
        <f t="shared" si="168"/>
        <v>34.434867953773306</v>
      </c>
      <c r="R540" s="19">
        <f t="shared" si="169"/>
        <v>0</v>
      </c>
      <c r="S540" s="19">
        <f t="shared" si="170"/>
        <v>0</v>
      </c>
      <c r="T540" s="19">
        <f t="shared" si="171"/>
        <v>0</v>
      </c>
      <c r="U540" s="17"/>
      <c r="V540" s="19">
        <f t="shared" si="164"/>
        <v>44.160238526318736</v>
      </c>
      <c r="W540" s="17"/>
      <c r="X540" s="19">
        <f t="shared" si="165"/>
        <v>118.27587977485497</v>
      </c>
      <c r="Y540" s="19">
        <f t="shared" si="166"/>
        <v>10.875471473681266</v>
      </c>
      <c r="Z540" s="19"/>
      <c r="AA540" s="19">
        <f t="shared" si="167"/>
        <v>7.0679486564448595E-5</v>
      </c>
    </row>
    <row r="541" spans="2:27" x14ac:dyDescent="0.35">
      <c r="B541" s="27">
        <v>50.3</v>
      </c>
      <c r="C541" s="27">
        <v>58.285710000000002</v>
      </c>
      <c r="D541" s="19">
        <f t="shared" si="154"/>
        <v>77.771063865839437</v>
      </c>
      <c r="E541" s="19">
        <f t="shared" si="155"/>
        <v>1.3206772600358985</v>
      </c>
      <c r="F541" s="19">
        <f t="shared" si="156"/>
        <v>3.5027754226637811</v>
      </c>
      <c r="G541" s="19">
        <f t="shared" si="157"/>
        <v>3.5027754226637811</v>
      </c>
      <c r="H541" s="19">
        <f t="shared" si="158"/>
        <v>3.5027754226637811</v>
      </c>
      <c r="I541" s="17"/>
      <c r="J541" s="19">
        <f t="shared" si="159"/>
        <v>73.47413048772863</v>
      </c>
      <c r="K541" s="19">
        <f t="shared" si="160"/>
        <v>1.166591236622442</v>
      </c>
      <c r="L541" s="19">
        <f t="shared" si="161"/>
        <v>2.5619908072934647</v>
      </c>
      <c r="M541" s="19">
        <f t="shared" si="162"/>
        <v>2.5619908072934647</v>
      </c>
      <c r="N541" s="19">
        <f t="shared" si="163"/>
        <v>2.5619908072934647</v>
      </c>
      <c r="O541" s="17"/>
      <c r="P541" s="19">
        <f t="shared" si="153"/>
        <v>9.6889567026641341</v>
      </c>
      <c r="Q541" s="19">
        <f t="shared" si="168"/>
        <v>34.285350681145474</v>
      </c>
      <c r="R541" s="19">
        <f t="shared" si="169"/>
        <v>0</v>
      </c>
      <c r="S541" s="19">
        <f t="shared" si="170"/>
        <v>0</v>
      </c>
      <c r="T541" s="19">
        <f t="shared" si="171"/>
        <v>0</v>
      </c>
      <c r="U541" s="17"/>
      <c r="V541" s="19">
        <f t="shared" si="164"/>
        <v>43.974307383809609</v>
      </c>
      <c r="W541" s="17"/>
      <c r="X541" s="19">
        <f t="shared" si="165"/>
        <v>204.8162448427012</v>
      </c>
      <c r="Y541" s="19">
        <f t="shared" si="166"/>
        <v>14.311402616190392</v>
      </c>
      <c r="Z541" s="19"/>
      <c r="AA541" s="19">
        <f t="shared" si="167"/>
        <v>9.3009539069394527E-5</v>
      </c>
    </row>
    <row r="542" spans="2:27" x14ac:dyDescent="0.35">
      <c r="B542" s="27">
        <v>50.4</v>
      </c>
      <c r="C542" s="27">
        <v>46.035710000000002</v>
      </c>
      <c r="D542" s="19">
        <f t="shared" si="154"/>
        <v>77.911563204261938</v>
      </c>
      <c r="E542" s="19">
        <f t="shared" si="155"/>
        <v>1.326802188863021</v>
      </c>
      <c r="F542" s="19">
        <f t="shared" si="156"/>
        <v>3.5138865337748912</v>
      </c>
      <c r="G542" s="19">
        <f t="shared" si="157"/>
        <v>3.5138865337748912</v>
      </c>
      <c r="H542" s="19">
        <f t="shared" si="158"/>
        <v>3.5138865337748912</v>
      </c>
      <c r="I542" s="17"/>
      <c r="J542" s="19">
        <f t="shared" si="159"/>
        <v>73.612745027385671</v>
      </c>
      <c r="K542" s="19">
        <f t="shared" si="160"/>
        <v>1.1698913271473077</v>
      </c>
      <c r="L542" s="19">
        <f t="shared" si="161"/>
        <v>2.5699860592851431</v>
      </c>
      <c r="M542" s="19">
        <f t="shared" si="162"/>
        <v>2.5699860592851431</v>
      </c>
      <c r="N542" s="19">
        <f t="shared" si="163"/>
        <v>2.5699860592851431</v>
      </c>
      <c r="O542" s="17"/>
      <c r="P542" s="19">
        <f t="shared" si="153"/>
        <v>9.6527460509580401</v>
      </c>
      <c r="Q542" s="19">
        <f t="shared" si="168"/>
        <v>34.136640807942221</v>
      </c>
      <c r="R542" s="19">
        <f t="shared" si="169"/>
        <v>0</v>
      </c>
      <c r="S542" s="19">
        <f t="shared" si="170"/>
        <v>0</v>
      </c>
      <c r="T542" s="19">
        <f t="shared" si="171"/>
        <v>0</v>
      </c>
      <c r="U542" s="17"/>
      <c r="V542" s="19">
        <f t="shared" si="164"/>
        <v>43.789386858900258</v>
      </c>
      <c r="W542" s="17"/>
      <c r="X542" s="19">
        <f t="shared" si="165"/>
        <v>5.0459676542402194</v>
      </c>
      <c r="Y542" s="19">
        <f t="shared" si="166"/>
        <v>2.2463231410997437</v>
      </c>
      <c r="Z542" s="19"/>
      <c r="AA542" s="19">
        <f t="shared" si="167"/>
        <v>1.4598812258851633E-5</v>
      </c>
    </row>
    <row r="543" spans="2:27" x14ac:dyDescent="0.35">
      <c r="B543" s="27">
        <v>50.5</v>
      </c>
      <c r="C543" s="27">
        <v>40.035710000000002</v>
      </c>
      <c r="D543" s="19">
        <f t="shared" si="154"/>
        <v>78.052062542684425</v>
      </c>
      <c r="E543" s="19">
        <f t="shared" si="155"/>
        <v>1.3329271176901432</v>
      </c>
      <c r="F543" s="19">
        <f t="shared" si="156"/>
        <v>3.5249976448860032</v>
      </c>
      <c r="G543" s="19">
        <f t="shared" si="157"/>
        <v>3.5249976448860032</v>
      </c>
      <c r="H543" s="19">
        <f t="shared" si="158"/>
        <v>3.5249976448860032</v>
      </c>
      <c r="I543" s="17"/>
      <c r="J543" s="19">
        <f t="shared" si="159"/>
        <v>73.751363065392681</v>
      </c>
      <c r="K543" s="19">
        <f t="shared" si="160"/>
        <v>1.1731957133693005</v>
      </c>
      <c r="L543" s="19">
        <f t="shared" si="161"/>
        <v>2.5779882847115485</v>
      </c>
      <c r="M543" s="19">
        <f t="shared" si="162"/>
        <v>2.5779882847115485</v>
      </c>
      <c r="N543" s="19">
        <f t="shared" si="163"/>
        <v>2.5779882847115485</v>
      </c>
      <c r="O543" s="17"/>
      <c r="P543" s="19">
        <f t="shared" si="153"/>
        <v>9.6167371131438717</v>
      </c>
      <c r="Q543" s="19">
        <f t="shared" si="168"/>
        <v>33.988733387830457</v>
      </c>
      <c r="R543" s="19">
        <f t="shared" si="169"/>
        <v>0</v>
      </c>
      <c r="S543" s="19">
        <f t="shared" si="170"/>
        <v>0</v>
      </c>
      <c r="T543" s="19">
        <f t="shared" si="171"/>
        <v>0</v>
      </c>
      <c r="U543" s="17"/>
      <c r="V543" s="19">
        <f t="shared" si="164"/>
        <v>43.605470500974327</v>
      </c>
      <c r="W543" s="17"/>
      <c r="X543" s="19">
        <f t="shared" si="165"/>
        <v>12.743190034316468</v>
      </c>
      <c r="Y543" s="19">
        <f t="shared" si="166"/>
        <v>3.5697605009743256</v>
      </c>
      <c r="Z543" s="19"/>
      <c r="AA543" s="19">
        <f t="shared" si="167"/>
        <v>2.3199807013195123E-5</v>
      </c>
    </row>
    <row r="544" spans="2:27" x14ac:dyDescent="0.35">
      <c r="B544" s="27">
        <v>50.6</v>
      </c>
      <c r="C544" s="27">
        <v>39.035710000000002</v>
      </c>
      <c r="D544" s="19">
        <f t="shared" si="154"/>
        <v>78.192561881106926</v>
      </c>
      <c r="E544" s="19">
        <f t="shared" si="155"/>
        <v>1.3390520465172653</v>
      </c>
      <c r="F544" s="19">
        <f t="shared" si="156"/>
        <v>3.5361087559971143</v>
      </c>
      <c r="G544" s="19">
        <f t="shared" si="157"/>
        <v>3.5361087559971143</v>
      </c>
      <c r="H544" s="19">
        <f t="shared" si="158"/>
        <v>3.5361087559971143</v>
      </c>
      <c r="I544" s="17"/>
      <c r="J544" s="19">
        <f t="shared" si="159"/>
        <v>73.889984588874867</v>
      </c>
      <c r="K544" s="19">
        <f t="shared" si="160"/>
        <v>1.1765043878011774</v>
      </c>
      <c r="L544" s="19">
        <f t="shared" si="161"/>
        <v>2.5859974584566512</v>
      </c>
      <c r="M544" s="19">
        <f t="shared" si="162"/>
        <v>2.5859974584566512</v>
      </c>
      <c r="N544" s="19">
        <f t="shared" si="163"/>
        <v>2.5859974584566512</v>
      </c>
      <c r="O544" s="17"/>
      <c r="P544" s="19">
        <f t="shared" si="153"/>
        <v>9.5809283987941836</v>
      </c>
      <c r="Q544" s="19">
        <f t="shared" si="168"/>
        <v>33.841623506843241</v>
      </c>
      <c r="R544" s="19">
        <f t="shared" si="169"/>
        <v>0</v>
      </c>
      <c r="S544" s="19">
        <f t="shared" si="170"/>
        <v>0</v>
      </c>
      <c r="T544" s="19">
        <f t="shared" si="171"/>
        <v>0</v>
      </c>
      <c r="U544" s="17"/>
      <c r="V544" s="19">
        <f t="shared" si="164"/>
        <v>43.422551905637427</v>
      </c>
      <c r="W544" s="17"/>
      <c r="X544" s="19">
        <f t="shared" si="165"/>
        <v>19.244381905056596</v>
      </c>
      <c r="Y544" s="19">
        <f t="shared" si="166"/>
        <v>4.386841905637425</v>
      </c>
      <c r="Z544" s="19"/>
      <c r="AA544" s="19">
        <f t="shared" si="167"/>
        <v>2.8510003844909867E-5</v>
      </c>
    </row>
    <row r="545" spans="2:27" x14ac:dyDescent="0.35">
      <c r="B545" s="27">
        <v>50.7</v>
      </c>
      <c r="C545" s="27">
        <v>39.285710000000002</v>
      </c>
      <c r="D545" s="19">
        <f t="shared" si="154"/>
        <v>78.333061219529412</v>
      </c>
      <c r="E545" s="19">
        <f t="shared" si="155"/>
        <v>1.3451769753443878</v>
      </c>
      <c r="F545" s="19">
        <f t="shared" si="156"/>
        <v>3.5472198671082253</v>
      </c>
      <c r="G545" s="19">
        <f t="shared" si="157"/>
        <v>3.5472198671082253</v>
      </c>
      <c r="H545" s="19">
        <f t="shared" si="158"/>
        <v>3.5472198671082253</v>
      </c>
      <c r="I545" s="17"/>
      <c r="J545" s="19">
        <f t="shared" si="159"/>
        <v>74.028609585028065</v>
      </c>
      <c r="K545" s="19">
        <f t="shared" si="160"/>
        <v>1.1798173429547785</v>
      </c>
      <c r="L545" s="19">
        <f t="shared" si="161"/>
        <v>2.5940135555104242</v>
      </c>
      <c r="M545" s="19">
        <f t="shared" si="162"/>
        <v>2.5940135555104242</v>
      </c>
      <c r="N545" s="19">
        <f t="shared" si="163"/>
        <v>2.5940135555104242</v>
      </c>
      <c r="O545" s="17"/>
      <c r="P545" s="19">
        <f t="shared" si="153"/>
        <v>9.5453184311848265</v>
      </c>
      <c r="Q545" s="19">
        <f t="shared" si="168"/>
        <v>33.69530628316528</v>
      </c>
      <c r="R545" s="19">
        <f t="shared" si="169"/>
        <v>0</v>
      </c>
      <c r="S545" s="19">
        <f t="shared" si="170"/>
        <v>0</v>
      </c>
      <c r="T545" s="19">
        <f t="shared" si="171"/>
        <v>0</v>
      </c>
      <c r="U545" s="17"/>
      <c r="V545" s="19">
        <f t="shared" si="164"/>
        <v>43.240624714350105</v>
      </c>
      <c r="W545" s="17"/>
      <c r="X545" s="19">
        <f t="shared" si="165"/>
        <v>15.641350397782958</v>
      </c>
      <c r="Y545" s="19">
        <f t="shared" si="166"/>
        <v>3.9549147143501031</v>
      </c>
      <c r="Z545" s="19"/>
      <c r="AA545" s="19">
        <f t="shared" si="167"/>
        <v>2.5702917072875087E-5</v>
      </c>
    </row>
    <row r="546" spans="2:27" x14ac:dyDescent="0.35">
      <c r="B546" s="27">
        <v>50.8</v>
      </c>
      <c r="C546" s="27">
        <v>43.535710000000002</v>
      </c>
      <c r="D546" s="19">
        <f t="shared" si="154"/>
        <v>78.473560557951899</v>
      </c>
      <c r="E546" s="19">
        <f t="shared" si="155"/>
        <v>1.35130190417151</v>
      </c>
      <c r="F546" s="19">
        <f t="shared" si="156"/>
        <v>3.5583309782193364</v>
      </c>
      <c r="G546" s="19">
        <f t="shared" si="157"/>
        <v>3.5583309782193364</v>
      </c>
      <c r="H546" s="19">
        <f t="shared" si="158"/>
        <v>3.5583309782193364</v>
      </c>
      <c r="I546" s="17"/>
      <c r="J546" s="19">
        <f t="shared" si="159"/>
        <v>74.167238041118196</v>
      </c>
      <c r="K546" s="19">
        <f t="shared" si="160"/>
        <v>1.1831345713411761</v>
      </c>
      <c r="L546" s="19">
        <f t="shared" si="161"/>
        <v>2.6020365509684718</v>
      </c>
      <c r="M546" s="19">
        <f t="shared" si="162"/>
        <v>2.6020365509684718</v>
      </c>
      <c r="N546" s="19">
        <f t="shared" si="163"/>
        <v>2.6020365509684718</v>
      </c>
      <c r="O546" s="17"/>
      <c r="P546" s="19">
        <f t="shared" si="153"/>
        <v>9.5099057471443906</v>
      </c>
      <c r="Q546" s="19">
        <f t="shared" si="168"/>
        <v>33.549776866919991</v>
      </c>
      <c r="R546" s="19">
        <f t="shared" si="169"/>
        <v>0</v>
      </c>
      <c r="S546" s="19">
        <f t="shared" si="170"/>
        <v>0</v>
      </c>
      <c r="T546" s="19">
        <f t="shared" si="171"/>
        <v>0</v>
      </c>
      <c r="U546" s="17"/>
      <c r="V546" s="19">
        <f t="shared" si="164"/>
        <v>43.059682614064386</v>
      </c>
      <c r="W546" s="17"/>
      <c r="X546" s="19">
        <f t="shared" si="165"/>
        <v>0.226602072160696</v>
      </c>
      <c r="Y546" s="19">
        <f t="shared" si="166"/>
        <v>0.47602738593561611</v>
      </c>
      <c r="Z546" s="19"/>
      <c r="AA546" s="19">
        <f t="shared" si="167"/>
        <v>3.0936931157392165E-6</v>
      </c>
    </row>
    <row r="547" spans="2:27" x14ac:dyDescent="0.35">
      <c r="B547" s="27">
        <v>50.9</v>
      </c>
      <c r="C547" s="27">
        <v>38.535710000000002</v>
      </c>
      <c r="D547" s="19">
        <f t="shared" si="154"/>
        <v>78.614059896374386</v>
      </c>
      <c r="E547" s="19">
        <f t="shared" si="155"/>
        <v>1.3574268329986321</v>
      </c>
      <c r="F547" s="19">
        <f t="shared" si="156"/>
        <v>3.5694420893304466</v>
      </c>
      <c r="G547" s="19">
        <f t="shared" si="157"/>
        <v>3.5694420893304466</v>
      </c>
      <c r="H547" s="19">
        <f t="shared" si="158"/>
        <v>3.5694420893304466</v>
      </c>
      <c r="I547" s="17"/>
      <c r="J547" s="19">
        <f t="shared" si="159"/>
        <v>74.305869944480818</v>
      </c>
      <c r="K547" s="19">
        <f t="shared" si="160"/>
        <v>1.1864560654708269</v>
      </c>
      <c r="L547" s="19">
        <f t="shared" si="161"/>
        <v>2.6100664200316559</v>
      </c>
      <c r="M547" s="19">
        <f t="shared" si="162"/>
        <v>2.6100664200316559</v>
      </c>
      <c r="N547" s="19">
        <f t="shared" si="163"/>
        <v>2.6100664200316559</v>
      </c>
      <c r="O547" s="17"/>
      <c r="P547" s="19">
        <f t="shared" si="153"/>
        <v>9.4746888969055387</v>
      </c>
      <c r="Q547" s="19">
        <f t="shared" si="168"/>
        <v>33.405030439957628</v>
      </c>
      <c r="R547" s="19">
        <f t="shared" si="169"/>
        <v>0</v>
      </c>
      <c r="S547" s="19">
        <f t="shared" si="170"/>
        <v>0</v>
      </c>
      <c r="T547" s="19">
        <f t="shared" si="171"/>
        <v>0</v>
      </c>
      <c r="U547" s="17"/>
      <c r="V547" s="19">
        <f t="shared" si="164"/>
        <v>42.879719336863168</v>
      </c>
      <c r="W547" s="17"/>
      <c r="X547" s="19">
        <f t="shared" si="165"/>
        <v>18.870417118754368</v>
      </c>
      <c r="Y547" s="19">
        <f t="shared" si="166"/>
        <v>4.3440093368631665</v>
      </c>
      <c r="Z547" s="19"/>
      <c r="AA547" s="19">
        <f t="shared" si="167"/>
        <v>2.8231635778152731E-5</v>
      </c>
    </row>
    <row r="548" spans="2:27" x14ac:dyDescent="0.35">
      <c r="B548" s="27">
        <v>51</v>
      </c>
      <c r="C548" s="27">
        <v>22.285710000000002</v>
      </c>
      <c r="D548" s="19">
        <f t="shared" si="154"/>
        <v>78.754559234796886</v>
      </c>
      <c r="E548" s="19">
        <f t="shared" si="155"/>
        <v>1.3635517618257547</v>
      </c>
      <c r="F548" s="19">
        <f t="shared" si="156"/>
        <v>3.5805532004415586</v>
      </c>
      <c r="G548" s="19">
        <f t="shared" si="157"/>
        <v>3.5805532004415586</v>
      </c>
      <c r="H548" s="19">
        <f t="shared" si="158"/>
        <v>3.5805532004415586</v>
      </c>
      <c r="I548" s="17"/>
      <c r="J548" s="19">
        <f t="shared" si="159"/>
        <v>74.444505282520538</v>
      </c>
      <c r="K548" s="19">
        <f t="shared" si="160"/>
        <v>1.1897818178537218</v>
      </c>
      <c r="L548" s="19">
        <f t="shared" si="161"/>
        <v>2.6181031380057282</v>
      </c>
      <c r="M548" s="19">
        <f t="shared" si="162"/>
        <v>2.6181031380057282</v>
      </c>
      <c r="N548" s="19">
        <f t="shared" si="163"/>
        <v>2.6181031380057282</v>
      </c>
      <c r="O548" s="17"/>
      <c r="P548" s="19">
        <f t="shared" si="153"/>
        <v>9.4396664439582771</v>
      </c>
      <c r="Q548" s="19">
        <f t="shared" si="168"/>
        <v>33.261062215644834</v>
      </c>
      <c r="R548" s="19">
        <f t="shared" si="169"/>
        <v>0</v>
      </c>
      <c r="S548" s="19">
        <f t="shared" si="170"/>
        <v>0</v>
      </c>
      <c r="T548" s="19">
        <f t="shared" si="171"/>
        <v>0</v>
      </c>
      <c r="U548" s="17"/>
      <c r="V548" s="19">
        <f t="shared" si="164"/>
        <v>42.700728659603115</v>
      </c>
      <c r="W548" s="17"/>
      <c r="X548" s="19">
        <f t="shared" si="165"/>
        <v>416.77298687194332</v>
      </c>
      <c r="Y548" s="19">
        <f t="shared" si="166"/>
        <v>20.415018659603113</v>
      </c>
      <c r="Z548" s="19"/>
      <c r="AA548" s="19">
        <f t="shared" si="167"/>
        <v>1.3267682606278466E-4</v>
      </c>
    </row>
    <row r="549" spans="2:27" x14ac:dyDescent="0.35">
      <c r="B549" s="27">
        <v>51.1</v>
      </c>
      <c r="C549" s="27">
        <v>40.035710000000002</v>
      </c>
      <c r="D549" s="19">
        <f t="shared" si="154"/>
        <v>78.895058573219373</v>
      </c>
      <c r="E549" s="19">
        <f t="shared" si="155"/>
        <v>1.3696766906528772</v>
      </c>
      <c r="F549" s="19">
        <f t="shared" si="156"/>
        <v>3.5916643115526696</v>
      </c>
      <c r="G549" s="19">
        <f t="shared" si="157"/>
        <v>3.5916643115526696</v>
      </c>
      <c r="H549" s="19">
        <f t="shared" si="158"/>
        <v>3.5916643115526696</v>
      </c>
      <c r="I549" s="17"/>
      <c r="J549" s="19">
        <f t="shared" si="159"/>
        <v>74.583144042710572</v>
      </c>
      <c r="K549" s="19">
        <f t="shared" si="160"/>
        <v>1.1931118209995319</v>
      </c>
      <c r="L549" s="19">
        <f t="shared" si="161"/>
        <v>2.6261466803009506</v>
      </c>
      <c r="M549" s="19">
        <f t="shared" si="162"/>
        <v>2.6261466803009506</v>
      </c>
      <c r="N549" s="19">
        <f t="shared" si="163"/>
        <v>2.6261466803009506</v>
      </c>
      <c r="O549" s="17"/>
      <c r="P549" s="19">
        <f t="shared" si="153"/>
        <v>9.4048369649050425</v>
      </c>
      <c r="Q549" s="19">
        <f t="shared" si="168"/>
        <v>33.117867438655637</v>
      </c>
      <c r="R549" s="19">
        <f t="shared" si="169"/>
        <v>0</v>
      </c>
      <c r="S549" s="19">
        <f t="shared" si="170"/>
        <v>0</v>
      </c>
      <c r="T549" s="19">
        <f t="shared" si="171"/>
        <v>0</v>
      </c>
      <c r="U549" s="17"/>
      <c r="V549" s="19">
        <f t="shared" si="164"/>
        <v>42.522704403560681</v>
      </c>
      <c r="W549" s="17"/>
      <c r="X549" s="19">
        <f t="shared" si="165"/>
        <v>6.1851411633421387</v>
      </c>
      <c r="Y549" s="19">
        <f t="shared" si="166"/>
        <v>2.4869944035606792</v>
      </c>
      <c r="Z549" s="19"/>
      <c r="AA549" s="19">
        <f t="shared" si="167"/>
        <v>1.6162930311362938E-5</v>
      </c>
    </row>
    <row r="550" spans="2:27" x14ac:dyDescent="0.35">
      <c r="B550" s="27">
        <v>51.2</v>
      </c>
      <c r="C550" s="27">
        <v>50.785710000000002</v>
      </c>
      <c r="D550" s="19">
        <f t="shared" si="154"/>
        <v>79.035557911641874</v>
      </c>
      <c r="E550" s="19">
        <f t="shared" si="155"/>
        <v>1.3758016194799993</v>
      </c>
      <c r="F550" s="19">
        <f t="shared" si="156"/>
        <v>3.6027754226637816</v>
      </c>
      <c r="G550" s="19">
        <f t="shared" si="157"/>
        <v>3.6027754226637816</v>
      </c>
      <c r="H550" s="19">
        <f t="shared" si="158"/>
        <v>3.6027754226637816</v>
      </c>
      <c r="I550" s="17"/>
      <c r="J550" s="19">
        <f t="shared" si="159"/>
        <v>74.721786212592235</v>
      </c>
      <c r="K550" s="19">
        <f t="shared" si="160"/>
        <v>1.1964460674177564</v>
      </c>
      <c r="L550" s="19">
        <f t="shared" si="161"/>
        <v>2.6341970224317266</v>
      </c>
      <c r="M550" s="19">
        <f t="shared" si="162"/>
        <v>2.6341970224317266</v>
      </c>
      <c r="N550" s="19">
        <f t="shared" si="163"/>
        <v>2.6341970224317266</v>
      </c>
      <c r="O550" s="17"/>
      <c r="P550" s="19">
        <f t="shared" si="153"/>
        <v>9.3701990493176694</v>
      </c>
      <c r="Q550" s="19">
        <f t="shared" si="168"/>
        <v>32.975441384763641</v>
      </c>
      <c r="R550" s="19">
        <f t="shared" si="169"/>
        <v>0</v>
      </c>
      <c r="S550" s="19">
        <f t="shared" si="170"/>
        <v>0</v>
      </c>
      <c r="T550" s="19">
        <f t="shared" si="171"/>
        <v>0</v>
      </c>
      <c r="U550" s="17"/>
      <c r="V550" s="19">
        <f t="shared" si="164"/>
        <v>42.345640434081311</v>
      </c>
      <c r="W550" s="17"/>
      <c r="X550" s="19">
        <f t="shared" si="165"/>
        <v>71.234774277546919</v>
      </c>
      <c r="Y550" s="19">
        <f t="shared" si="166"/>
        <v>8.4400695659186908</v>
      </c>
      <c r="Z550" s="19"/>
      <c r="AA550" s="19">
        <f t="shared" si="167"/>
        <v>5.4851854922427319E-5</v>
      </c>
    </row>
    <row r="551" spans="2:27" x14ac:dyDescent="0.35">
      <c r="B551" s="27">
        <v>51.3</v>
      </c>
      <c r="C551" s="27">
        <v>32.035710000000002</v>
      </c>
      <c r="D551" s="19">
        <f t="shared" si="154"/>
        <v>79.176057250064346</v>
      </c>
      <c r="E551" s="19">
        <f t="shared" si="155"/>
        <v>1.381926548307121</v>
      </c>
      <c r="F551" s="19">
        <f t="shared" si="156"/>
        <v>3.6138865337748918</v>
      </c>
      <c r="G551" s="19">
        <f t="shared" si="157"/>
        <v>3.6138865337748918</v>
      </c>
      <c r="H551" s="19">
        <f t="shared" si="158"/>
        <v>3.6138865337748918</v>
      </c>
      <c r="I551" s="17"/>
      <c r="J551" s="19">
        <f t="shared" si="159"/>
        <v>74.860431779774416</v>
      </c>
      <c r="K551" s="19">
        <f t="shared" si="160"/>
        <v>1.1997845496178681</v>
      </c>
      <c r="L551" s="19">
        <f t="shared" si="161"/>
        <v>2.6422541400162225</v>
      </c>
      <c r="M551" s="19">
        <f t="shared" si="162"/>
        <v>2.6422541400162225</v>
      </c>
      <c r="N551" s="19">
        <f t="shared" si="163"/>
        <v>2.6422541400162225</v>
      </c>
      <c r="O551" s="17"/>
      <c r="P551" s="19">
        <f t="shared" si="153"/>
        <v>9.3357512995961613</v>
      </c>
      <c r="Q551" s="19">
        <f t="shared" si="168"/>
        <v>32.833779360635532</v>
      </c>
      <c r="R551" s="19">
        <f t="shared" si="169"/>
        <v>0</v>
      </c>
      <c r="S551" s="19">
        <f t="shared" si="170"/>
        <v>0</v>
      </c>
      <c r="T551" s="19">
        <f t="shared" si="171"/>
        <v>0</v>
      </c>
      <c r="U551" s="17"/>
      <c r="V551" s="19">
        <f t="shared" si="164"/>
        <v>42.169530660231693</v>
      </c>
      <c r="W551" s="17"/>
      <c r="X551" s="19">
        <f t="shared" si="165"/>
        <v>102.69432117373867</v>
      </c>
      <c r="Y551" s="19">
        <f t="shared" si="166"/>
        <v>10.133820660231692</v>
      </c>
      <c r="Z551" s="19"/>
      <c r="AA551" s="19">
        <f t="shared" si="167"/>
        <v>6.5859511740223528E-5</v>
      </c>
    </row>
    <row r="552" spans="2:27" x14ac:dyDescent="0.35">
      <c r="B552" s="27">
        <v>51.4</v>
      </c>
      <c r="C552" s="27">
        <v>31.785710000000002</v>
      </c>
      <c r="D552" s="19">
        <f t="shared" si="154"/>
        <v>79.316556588486847</v>
      </c>
      <c r="E552" s="19">
        <f t="shared" si="155"/>
        <v>1.3880514771342436</v>
      </c>
      <c r="F552" s="19">
        <f t="shared" si="156"/>
        <v>3.6249976448860028</v>
      </c>
      <c r="G552" s="19">
        <f t="shared" si="157"/>
        <v>3.6249976448860028</v>
      </c>
      <c r="H552" s="19">
        <f t="shared" si="158"/>
        <v>3.6249976448860028</v>
      </c>
      <c r="I552" s="17"/>
      <c r="J552" s="19">
        <f t="shared" si="159"/>
        <v>74.999080731933205</v>
      </c>
      <c r="K552" s="19">
        <f t="shared" si="160"/>
        <v>1.2031272601094587</v>
      </c>
      <c r="L552" s="19">
        <f t="shared" si="161"/>
        <v>2.6503180087759968</v>
      </c>
      <c r="M552" s="19">
        <f t="shared" si="162"/>
        <v>2.6503180087759968</v>
      </c>
      <c r="N552" s="19">
        <f t="shared" si="163"/>
        <v>2.6503180087759968</v>
      </c>
      <c r="O552" s="17"/>
      <c r="P552" s="19">
        <f t="shared" ref="P552:P615" si="172">(C$21*C$23/(1-C$23)^2*$A$21*C$22)/(J552+J552^2)</f>
        <v>9.3014923308292161</v>
      </c>
      <c r="Q552" s="19">
        <f t="shared" si="168"/>
        <v>32.692876703625934</v>
      </c>
      <c r="R552" s="19">
        <f t="shared" si="169"/>
        <v>0</v>
      </c>
      <c r="S552" s="19">
        <f t="shared" si="170"/>
        <v>0</v>
      </c>
      <c r="T552" s="19">
        <f t="shared" si="171"/>
        <v>0</v>
      </c>
      <c r="U552" s="17"/>
      <c r="V552" s="19">
        <f t="shared" si="164"/>
        <v>41.994369034455147</v>
      </c>
      <c r="W552" s="17"/>
      <c r="X552" s="19">
        <f t="shared" si="165"/>
        <v>104.21671928176266</v>
      </c>
      <c r="Y552" s="19">
        <f t="shared" si="166"/>
        <v>10.208659034455145</v>
      </c>
      <c r="Z552" s="19"/>
      <c r="AA552" s="19">
        <f t="shared" si="167"/>
        <v>6.6345884940524088E-5</v>
      </c>
    </row>
    <row r="553" spans="2:27" x14ac:dyDescent="0.35">
      <c r="B553" s="27">
        <v>51.5</v>
      </c>
      <c r="C553" s="27">
        <v>48.035710000000002</v>
      </c>
      <c r="D553" s="19">
        <f t="shared" si="154"/>
        <v>79.457055926909334</v>
      </c>
      <c r="E553" s="19">
        <f t="shared" si="155"/>
        <v>1.3941764059613662</v>
      </c>
      <c r="F553" s="19">
        <f t="shared" si="156"/>
        <v>3.6361087559971139</v>
      </c>
      <c r="G553" s="19">
        <f t="shared" si="157"/>
        <v>3.6361087559971139</v>
      </c>
      <c r="H553" s="19">
        <f t="shared" si="158"/>
        <v>3.6361087559971139</v>
      </c>
      <c r="I553" s="17"/>
      <c r="J553" s="19">
        <f t="shared" si="159"/>
        <v>75.137733056811228</v>
      </c>
      <c r="K553" s="19">
        <f t="shared" si="160"/>
        <v>1.2064741914023809</v>
      </c>
      <c r="L553" s="19">
        <f t="shared" si="161"/>
        <v>2.6583886045356184</v>
      </c>
      <c r="M553" s="19">
        <f t="shared" si="162"/>
        <v>2.6583886045356184</v>
      </c>
      <c r="N553" s="19">
        <f t="shared" si="163"/>
        <v>2.6583886045356184</v>
      </c>
      <c r="O553" s="17"/>
      <c r="P553" s="19">
        <f t="shared" si="172"/>
        <v>9.2674207706565959</v>
      </c>
      <c r="Q553" s="19">
        <f t="shared" si="168"/>
        <v>32.552728781573606</v>
      </c>
      <c r="R553" s="19">
        <f t="shared" si="169"/>
        <v>0</v>
      </c>
      <c r="S553" s="19">
        <f t="shared" si="170"/>
        <v>0</v>
      </c>
      <c r="T553" s="19">
        <f t="shared" si="171"/>
        <v>0</v>
      </c>
      <c r="U553" s="17"/>
      <c r="V553" s="19">
        <f t="shared" si="164"/>
        <v>41.820149552230205</v>
      </c>
      <c r="W553" s="17"/>
      <c r="X553" s="19">
        <f t="shared" si="165"/>
        <v>38.633191679880269</v>
      </c>
      <c r="Y553" s="19">
        <f t="shared" si="166"/>
        <v>6.2155604477697963</v>
      </c>
      <c r="Z553" s="19"/>
      <c r="AA553" s="19">
        <f t="shared" si="167"/>
        <v>4.0394811592472447E-5</v>
      </c>
    </row>
    <row r="554" spans="2:27" x14ac:dyDescent="0.35">
      <c r="B554" s="27">
        <v>51.6</v>
      </c>
      <c r="C554" s="27">
        <v>51.785710000000002</v>
      </c>
      <c r="D554" s="19">
        <f t="shared" si="154"/>
        <v>79.597555265331835</v>
      </c>
      <c r="E554" s="19">
        <f t="shared" si="155"/>
        <v>1.4003013347884883</v>
      </c>
      <c r="F554" s="19">
        <f t="shared" si="156"/>
        <v>3.647219867108225</v>
      </c>
      <c r="G554" s="19">
        <f t="shared" si="157"/>
        <v>3.647219867108225</v>
      </c>
      <c r="H554" s="19">
        <f t="shared" si="158"/>
        <v>3.647219867108225</v>
      </c>
      <c r="I554" s="17"/>
      <c r="J554" s="19">
        <f t="shared" si="159"/>
        <v>75.27638874221735</v>
      </c>
      <c r="K554" s="19">
        <f t="shared" si="160"/>
        <v>1.20982533600689</v>
      </c>
      <c r="L554" s="19">
        <f t="shared" si="161"/>
        <v>2.6664659032222935</v>
      </c>
      <c r="M554" s="19">
        <f t="shared" si="162"/>
        <v>2.6664659032222935</v>
      </c>
      <c r="N554" s="19">
        <f t="shared" si="163"/>
        <v>2.6664659032222935</v>
      </c>
      <c r="O554" s="17"/>
      <c r="P554" s="19">
        <f t="shared" si="172"/>
        <v>9.2335352591331237</v>
      </c>
      <c r="Q554" s="19">
        <f t="shared" si="168"/>
        <v>32.413330992598887</v>
      </c>
      <c r="R554" s="19">
        <f t="shared" si="169"/>
        <v>0</v>
      </c>
      <c r="S554" s="19">
        <f t="shared" si="170"/>
        <v>0</v>
      </c>
      <c r="T554" s="19">
        <f t="shared" si="171"/>
        <v>0</v>
      </c>
      <c r="U554" s="17"/>
      <c r="V554" s="19">
        <f t="shared" si="164"/>
        <v>41.646866251732007</v>
      </c>
      <c r="W554" s="17"/>
      <c r="X554" s="19">
        <f t="shared" si="165"/>
        <v>102.796152551793</v>
      </c>
      <c r="Y554" s="19">
        <f t="shared" si="166"/>
        <v>10.138843748267995</v>
      </c>
      <c r="Z554" s="19"/>
      <c r="AA554" s="19">
        <f t="shared" si="167"/>
        <v>6.5892156695822291E-5</v>
      </c>
    </row>
    <row r="555" spans="2:27" x14ac:dyDescent="0.35">
      <c r="B555" s="27">
        <v>51.7</v>
      </c>
      <c r="C555" s="27">
        <v>35.535710000000002</v>
      </c>
      <c r="D555" s="19">
        <f t="shared" si="154"/>
        <v>79.738054603754321</v>
      </c>
      <c r="E555" s="19">
        <f t="shared" si="155"/>
        <v>1.4064262636156108</v>
      </c>
      <c r="F555" s="19">
        <f t="shared" si="156"/>
        <v>3.6583309782193369</v>
      </c>
      <c r="G555" s="19">
        <f t="shared" si="157"/>
        <v>3.6583309782193369</v>
      </c>
      <c r="H555" s="19">
        <f t="shared" si="158"/>
        <v>3.6583309782193369</v>
      </c>
      <c r="I555" s="17"/>
      <c r="J555" s="19">
        <f t="shared" si="159"/>
        <v>75.415047776026043</v>
      </c>
      <c r="K555" s="19">
        <f t="shared" si="160"/>
        <v>1.213180686433788</v>
      </c>
      <c r="L555" s="19">
        <f t="shared" si="161"/>
        <v>2.6745498808654875</v>
      </c>
      <c r="M555" s="19">
        <f t="shared" si="162"/>
        <v>2.6745498808654875</v>
      </c>
      <c r="N555" s="19">
        <f t="shared" si="163"/>
        <v>2.6745498808654875</v>
      </c>
      <c r="O555" s="17"/>
      <c r="P555" s="19">
        <f t="shared" si="172"/>
        <v>9.1998344485944941</v>
      </c>
      <c r="Q555" s="19">
        <f t="shared" si="168"/>
        <v>32.274678764902305</v>
      </c>
      <c r="R555" s="19">
        <f t="shared" si="169"/>
        <v>0</v>
      </c>
      <c r="S555" s="19">
        <f t="shared" si="170"/>
        <v>0</v>
      </c>
      <c r="T555" s="19">
        <f t="shared" si="171"/>
        <v>0</v>
      </c>
      <c r="U555" s="17"/>
      <c r="V555" s="19">
        <f t="shared" si="164"/>
        <v>41.474513213496799</v>
      </c>
      <c r="W555" s="17"/>
      <c r="X555" s="19">
        <f t="shared" si="165"/>
        <v>35.269383608639885</v>
      </c>
      <c r="Y555" s="19">
        <f t="shared" si="166"/>
        <v>5.9388032134967972</v>
      </c>
      <c r="Z555" s="19"/>
      <c r="AA555" s="19">
        <f t="shared" si="167"/>
        <v>3.8596171481213792E-5</v>
      </c>
    </row>
    <row r="556" spans="2:27" x14ac:dyDescent="0.35">
      <c r="B556" s="27">
        <v>51.8</v>
      </c>
      <c r="C556" s="27">
        <v>39.035710000000002</v>
      </c>
      <c r="D556" s="19">
        <f t="shared" si="154"/>
        <v>79.878553942176808</v>
      </c>
      <c r="E556" s="19">
        <f t="shared" si="155"/>
        <v>1.412551192442733</v>
      </c>
      <c r="F556" s="19">
        <f t="shared" si="156"/>
        <v>3.6694420893304471</v>
      </c>
      <c r="G556" s="19">
        <f t="shared" si="157"/>
        <v>3.6694420893304471</v>
      </c>
      <c r="H556" s="19">
        <f t="shared" si="158"/>
        <v>3.6694420893304471</v>
      </c>
      <c r="I556" s="17"/>
      <c r="J556" s="19">
        <f t="shared" si="159"/>
        <v>75.553710146177053</v>
      </c>
      <c r="K556" s="19">
        <f t="shared" si="160"/>
        <v>1.2165402351945585</v>
      </c>
      <c r="L556" s="19">
        <f t="shared" si="161"/>
        <v>2.6826405135965432</v>
      </c>
      <c r="M556" s="19">
        <f t="shared" si="162"/>
        <v>2.6826405135965432</v>
      </c>
      <c r="N556" s="19">
        <f t="shared" si="163"/>
        <v>2.6826405135965432</v>
      </c>
      <c r="O556" s="17"/>
      <c r="P556" s="19">
        <f t="shared" si="172"/>
        <v>9.1663170035246981</v>
      </c>
      <c r="Q556" s="19">
        <f t="shared" si="168"/>
        <v>32.136767556564763</v>
      </c>
      <c r="R556" s="19">
        <f t="shared" si="169"/>
        <v>0</v>
      </c>
      <c r="S556" s="19">
        <f t="shared" si="170"/>
        <v>0</v>
      </c>
      <c r="T556" s="19">
        <f t="shared" si="171"/>
        <v>0</v>
      </c>
      <c r="U556" s="17"/>
      <c r="V556" s="19">
        <f t="shared" si="164"/>
        <v>41.303084560089459</v>
      </c>
      <c r="W556" s="17"/>
      <c r="X556" s="19">
        <f t="shared" si="165"/>
        <v>5.1409873957408623</v>
      </c>
      <c r="Y556" s="19">
        <f t="shared" si="166"/>
        <v>2.2673745600894577</v>
      </c>
      <c r="Z556" s="19"/>
      <c r="AA556" s="19">
        <f t="shared" si="167"/>
        <v>1.4735625038807592E-5</v>
      </c>
    </row>
    <row r="557" spans="2:27" x14ac:dyDescent="0.35">
      <c r="B557" s="27">
        <v>51.9</v>
      </c>
      <c r="C557" s="27">
        <v>34.785710000000002</v>
      </c>
      <c r="D557" s="19">
        <f t="shared" si="154"/>
        <v>80.019053280599294</v>
      </c>
      <c r="E557" s="19">
        <f t="shared" si="155"/>
        <v>1.4186761212698547</v>
      </c>
      <c r="F557" s="19">
        <f t="shared" si="156"/>
        <v>3.6805532004415582</v>
      </c>
      <c r="G557" s="19">
        <f t="shared" si="157"/>
        <v>3.6805532004415582</v>
      </c>
      <c r="H557" s="19">
        <f t="shared" si="158"/>
        <v>3.6805532004415582</v>
      </c>
      <c r="I557" s="17"/>
      <c r="J557" s="19">
        <f t="shared" si="159"/>
        <v>75.69237584067487</v>
      </c>
      <c r="K557" s="19">
        <f t="shared" si="160"/>
        <v>1.2199039748015099</v>
      </c>
      <c r="L557" s="19">
        <f t="shared" si="161"/>
        <v>2.6907377776483106</v>
      </c>
      <c r="M557" s="19">
        <f t="shared" si="162"/>
        <v>2.6907377776483106</v>
      </c>
      <c r="N557" s="19">
        <f t="shared" si="163"/>
        <v>2.6907377776483106</v>
      </c>
      <c r="O557" s="17"/>
      <c r="P557" s="19">
        <f t="shared" si="172"/>
        <v>9.1329816004251381</v>
      </c>
      <c r="Q557" s="19">
        <f t="shared" si="168"/>
        <v>31.999592855348656</v>
      </c>
      <c r="R557" s="19">
        <f t="shared" si="169"/>
        <v>0</v>
      </c>
      <c r="S557" s="19">
        <f t="shared" si="170"/>
        <v>0</v>
      </c>
      <c r="T557" s="19">
        <f t="shared" si="171"/>
        <v>0</v>
      </c>
      <c r="U557" s="17"/>
      <c r="V557" s="19">
        <f t="shared" si="164"/>
        <v>41.132574455773792</v>
      </c>
      <c r="W557" s="17"/>
      <c r="X557" s="19">
        <f t="shared" si="165"/>
        <v>40.282688419964728</v>
      </c>
      <c r="Y557" s="19">
        <f t="shared" si="166"/>
        <v>6.3468644557737903</v>
      </c>
      <c r="Z557" s="19"/>
      <c r="AA557" s="19">
        <f t="shared" si="167"/>
        <v>4.1248153895105991E-5</v>
      </c>
    </row>
    <row r="558" spans="2:27" x14ac:dyDescent="0.35">
      <c r="B558" s="27">
        <v>52</v>
      </c>
      <c r="C558" s="27">
        <v>18.035710000000002</v>
      </c>
      <c r="D558" s="19">
        <f t="shared" si="154"/>
        <v>80.159552619021795</v>
      </c>
      <c r="E558" s="19">
        <f t="shared" si="155"/>
        <v>1.4248010500969772</v>
      </c>
      <c r="F558" s="19">
        <f t="shared" si="156"/>
        <v>3.6916643115526693</v>
      </c>
      <c r="G558" s="19">
        <f t="shared" si="157"/>
        <v>3.6916643115526693</v>
      </c>
      <c r="H558" s="19">
        <f t="shared" si="158"/>
        <v>3.6916643115526693</v>
      </c>
      <c r="I558" s="17"/>
      <c r="J558" s="19">
        <f t="shared" si="159"/>
        <v>75.831044847588259</v>
      </c>
      <c r="K558" s="19">
        <f t="shared" si="160"/>
        <v>1.2232718977679116</v>
      </c>
      <c r="L558" s="19">
        <f t="shared" si="161"/>
        <v>2.6988416493547596</v>
      </c>
      <c r="M558" s="19">
        <f t="shared" si="162"/>
        <v>2.6988416493547596</v>
      </c>
      <c r="N558" s="19">
        <f t="shared" si="163"/>
        <v>2.6988416493547596</v>
      </c>
      <c r="O558" s="17"/>
      <c r="P558" s="19">
        <f t="shared" si="172"/>
        <v>9.0998269276853954</v>
      </c>
      <c r="Q558" s="19">
        <f t="shared" si="168"/>
        <v>31.863150178500479</v>
      </c>
      <c r="R558" s="19">
        <f t="shared" si="169"/>
        <v>0</v>
      </c>
      <c r="S558" s="19">
        <f t="shared" si="170"/>
        <v>0</v>
      </c>
      <c r="T558" s="19">
        <f t="shared" si="171"/>
        <v>0</v>
      </c>
      <c r="U558" s="17"/>
      <c r="V558" s="19">
        <f t="shared" si="164"/>
        <v>40.962977106185875</v>
      </c>
      <c r="W558" s="17"/>
      <c r="X558" s="19">
        <f t="shared" si="165"/>
        <v>525.65957695839279</v>
      </c>
      <c r="Y558" s="19">
        <f t="shared" si="166"/>
        <v>22.927267106185873</v>
      </c>
      <c r="Z558" s="19"/>
      <c r="AA558" s="19">
        <f t="shared" si="167"/>
        <v>1.4900388192942091E-4</v>
      </c>
    </row>
    <row r="559" spans="2:27" x14ac:dyDescent="0.35">
      <c r="B559" s="27">
        <v>52.1</v>
      </c>
      <c r="C559" s="27">
        <v>52.785710000000002</v>
      </c>
      <c r="D559" s="19">
        <f t="shared" si="154"/>
        <v>80.300051957444282</v>
      </c>
      <c r="E559" s="19">
        <f t="shared" si="155"/>
        <v>1.4309259789240998</v>
      </c>
      <c r="F559" s="19">
        <f t="shared" si="156"/>
        <v>3.7027754226637812</v>
      </c>
      <c r="G559" s="19">
        <f t="shared" si="157"/>
        <v>3.7027754226637812</v>
      </c>
      <c r="H559" s="19">
        <f t="shared" si="158"/>
        <v>3.7027754226637812</v>
      </c>
      <c r="I559" s="17"/>
      <c r="J559" s="19">
        <f t="shared" si="159"/>
        <v>75.969717155049807</v>
      </c>
      <c r="K559" s="19">
        <f t="shared" si="160"/>
        <v>1.2266439966081284</v>
      </c>
      <c r="L559" s="19">
        <f t="shared" si="161"/>
        <v>2.7069521051506054</v>
      </c>
      <c r="M559" s="19">
        <f t="shared" si="162"/>
        <v>2.7069521051506054</v>
      </c>
      <c r="N559" s="19">
        <f t="shared" si="163"/>
        <v>2.7069521051506054</v>
      </c>
      <c r="O559" s="17"/>
      <c r="P559" s="19">
        <f t="shared" si="172"/>
        <v>9.0668516854555978</v>
      </c>
      <c r="Q559" s="19">
        <f t="shared" si="168"/>
        <v>31.727435072554655</v>
      </c>
      <c r="R559" s="19">
        <f t="shared" si="169"/>
        <v>0</v>
      </c>
      <c r="S559" s="19">
        <f t="shared" si="170"/>
        <v>0</v>
      </c>
      <c r="T559" s="19">
        <f t="shared" si="171"/>
        <v>0</v>
      </c>
      <c r="U559" s="17"/>
      <c r="V559" s="19">
        <f t="shared" si="164"/>
        <v>40.794286758010252</v>
      </c>
      <c r="W559" s="17"/>
      <c r="X559" s="19">
        <f t="shared" si="165"/>
        <v>143.79423136853197</v>
      </c>
      <c r="Y559" s="19">
        <f t="shared" si="166"/>
        <v>11.99142324198975</v>
      </c>
      <c r="Z559" s="19"/>
      <c r="AA559" s="19">
        <f t="shared" si="167"/>
        <v>7.7932036323381814E-5</v>
      </c>
    </row>
    <row r="560" spans="2:27" x14ac:dyDescent="0.35">
      <c r="B560" s="27">
        <v>52.2</v>
      </c>
      <c r="C560" s="27">
        <v>50.785710000000002</v>
      </c>
      <c r="D560" s="19">
        <f t="shared" si="154"/>
        <v>80.440551295866783</v>
      </c>
      <c r="E560" s="19">
        <f t="shared" si="155"/>
        <v>1.4370509077512219</v>
      </c>
      <c r="F560" s="19">
        <f t="shared" si="156"/>
        <v>3.7138865337748923</v>
      </c>
      <c r="G560" s="19">
        <f t="shared" si="157"/>
        <v>3.7138865337748923</v>
      </c>
      <c r="H560" s="19">
        <f t="shared" si="158"/>
        <v>3.7138865337748923</v>
      </c>
      <c r="I560" s="17"/>
      <c r="J560" s="19">
        <f t="shared" si="159"/>
        <v>76.108392751255536</v>
      </c>
      <c r="K560" s="19">
        <f t="shared" si="160"/>
        <v>1.230020263837758</v>
      </c>
      <c r="L560" s="19">
        <f t="shared" si="161"/>
        <v>2.7150691215709259</v>
      </c>
      <c r="M560" s="19">
        <f t="shared" si="162"/>
        <v>2.7150691215709259</v>
      </c>
      <c r="N560" s="19">
        <f t="shared" si="163"/>
        <v>2.7150691215709259</v>
      </c>
      <c r="O560" s="17"/>
      <c r="P560" s="19">
        <f t="shared" si="172"/>
        <v>9.0340545855203587</v>
      </c>
      <c r="Q560" s="19">
        <f t="shared" si="168"/>
        <v>31.592443113138554</v>
      </c>
      <c r="R560" s="19">
        <f t="shared" si="169"/>
        <v>0</v>
      </c>
      <c r="S560" s="19">
        <f t="shared" si="170"/>
        <v>0</v>
      </c>
      <c r="T560" s="19">
        <f t="shared" si="171"/>
        <v>0</v>
      </c>
      <c r="U560" s="17"/>
      <c r="V560" s="19">
        <f t="shared" si="164"/>
        <v>40.626497698658909</v>
      </c>
      <c r="W560" s="17"/>
      <c r="X560" s="19">
        <f t="shared" si="165"/>
        <v>103.20959458372018</v>
      </c>
      <c r="Y560" s="19">
        <f t="shared" si="166"/>
        <v>10.159212301341093</v>
      </c>
      <c r="Z560" s="19"/>
      <c r="AA560" s="19">
        <f t="shared" si="167"/>
        <v>6.6024531542903744E-5</v>
      </c>
    </row>
    <row r="561" spans="2:27" x14ac:dyDescent="0.35">
      <c r="B561" s="27">
        <v>52.3</v>
      </c>
      <c r="C561" s="27">
        <v>32.035710000000002</v>
      </c>
      <c r="D561" s="19">
        <f t="shared" si="154"/>
        <v>80.581050634289255</v>
      </c>
      <c r="E561" s="19">
        <f t="shared" si="155"/>
        <v>1.443175836578344</v>
      </c>
      <c r="F561" s="19">
        <f t="shared" si="156"/>
        <v>3.7249976448860034</v>
      </c>
      <c r="G561" s="19">
        <f t="shared" si="157"/>
        <v>3.7249976448860034</v>
      </c>
      <c r="H561" s="19">
        <f t="shared" si="158"/>
        <v>3.7249976448860034</v>
      </c>
      <c r="I561" s="17"/>
      <c r="J561" s="19">
        <f t="shared" si="159"/>
        <v>76.247071624464283</v>
      </c>
      <c r="K561" s="19">
        <f t="shared" si="160"/>
        <v>1.2334006919737637</v>
      </c>
      <c r="L561" s="19">
        <f t="shared" si="161"/>
        <v>2.7231926752507865</v>
      </c>
      <c r="M561" s="19">
        <f t="shared" si="162"/>
        <v>2.7231926752507865</v>
      </c>
      <c r="N561" s="19">
        <f t="shared" si="163"/>
        <v>2.7231926752507865</v>
      </c>
      <c r="O561" s="17"/>
      <c r="P561" s="19">
        <f t="shared" si="172"/>
        <v>9.0014343511743622</v>
      </c>
      <c r="Q561" s="19">
        <f t="shared" si="168"/>
        <v>31.458169904778792</v>
      </c>
      <c r="R561" s="19">
        <f t="shared" si="169"/>
        <v>0</v>
      </c>
      <c r="S561" s="19">
        <f t="shared" si="170"/>
        <v>0</v>
      </c>
      <c r="T561" s="19">
        <f t="shared" si="171"/>
        <v>0</v>
      </c>
      <c r="U561" s="17"/>
      <c r="V561" s="19">
        <f t="shared" si="164"/>
        <v>40.459604255953153</v>
      </c>
      <c r="W561" s="17"/>
      <c r="X561" s="19">
        <f t="shared" si="165"/>
        <v>70.961994435480491</v>
      </c>
      <c r="Y561" s="19">
        <f t="shared" si="166"/>
        <v>8.4238942559531509</v>
      </c>
      <c r="Z561" s="19"/>
      <c r="AA561" s="19">
        <f t="shared" si="167"/>
        <v>5.4746731884207604E-5</v>
      </c>
    </row>
    <row r="562" spans="2:27" x14ac:dyDescent="0.35">
      <c r="B562" s="27">
        <v>52.4</v>
      </c>
      <c r="C562" s="27">
        <v>44.785710000000002</v>
      </c>
      <c r="D562" s="19">
        <f t="shared" ref="D562:D625" si="173">$C$23/(1-$C$23)-LN((1-$C$23)/$C$23)+$C$22/(1-$C$23)*B562</f>
        <v>80.721549972711756</v>
      </c>
      <c r="E562" s="19">
        <f t="shared" ref="E562:E625" si="174">$D$23/(1-$D$23)-LN((1-$D$23)/$D$23)+$D$22*B562/(1-$D$23)</f>
        <v>1.4493007654054666</v>
      </c>
      <c r="F562" s="19">
        <f t="shared" ref="F562:F625" si="175">$E$23/(1-$E$23)-LN((1-$E$23)/$E$23)+$E$22*B562/(1-$E$23)</f>
        <v>3.7361087559971136</v>
      </c>
      <c r="G562" s="19">
        <f t="shared" ref="G562:G625" si="176">$F$23/(1-$F$23)-LN((1-$F$23)/$F$23)+$F$22*B562/(1-$F$23)</f>
        <v>3.7361087559971136</v>
      </c>
      <c r="H562" s="19">
        <f t="shared" ref="H562:H625" si="177">$G$23/(1-$G$23)-LN((1-$G$23)/$G$23)+$G$22*B562/(1-$G$23)</f>
        <v>3.7361087559971136</v>
      </c>
      <c r="I562" s="17"/>
      <c r="J562" s="19">
        <f t="shared" ref="J562:J625" si="178">lmb_2(D562)</f>
        <v>76.38575376299751</v>
      </c>
      <c r="K562" s="19">
        <f t="shared" ref="K562:K625" si="179">lmb_2(E562)</f>
        <v>1.2367852735346088</v>
      </c>
      <c r="L562" s="19">
        <f t="shared" ref="L562:L625" si="180">lmb_2(F562)</f>
        <v>2.7313227429248537</v>
      </c>
      <c r="M562" s="19">
        <f t="shared" ref="M562:M625" si="181">lmb_2(G562)</f>
        <v>2.7313227429248537</v>
      </c>
      <c r="N562" s="19">
        <f t="shared" ref="N562:N625" si="182">lmb_2(H562)</f>
        <v>2.7313227429248537</v>
      </c>
      <c r="O562" s="17"/>
      <c r="P562" s="19">
        <f t="shared" si="172"/>
        <v>8.9689897170993671</v>
      </c>
      <c r="Q562" s="19">
        <f t="shared" si="168"/>
        <v>31.324611080708735</v>
      </c>
      <c r="R562" s="19">
        <f t="shared" si="169"/>
        <v>0</v>
      </c>
      <c r="S562" s="19">
        <f t="shared" si="170"/>
        <v>0</v>
      </c>
      <c r="T562" s="19">
        <f t="shared" si="171"/>
        <v>0</v>
      </c>
      <c r="U562" s="17"/>
      <c r="V562" s="19">
        <f t="shared" ref="V562:V625" si="183">SUM(P562:T562)</f>
        <v>40.293600797808104</v>
      </c>
      <c r="W562" s="17"/>
      <c r="X562" s="19">
        <f t="shared" ref="X562:X625" si="184">(V562-C562)^2</f>
        <v>20.17904508441713</v>
      </c>
      <c r="Y562" s="19">
        <f t="shared" ref="Y562:Y625" si="185">ABS(V562-C562)</f>
        <v>4.492109202191898</v>
      </c>
      <c r="Z562" s="19"/>
      <c r="AA562" s="19">
        <f t="shared" ref="AA562:AA625" si="186">Y562/$Z$39</f>
        <v>2.9194134044736433E-5</v>
      </c>
    </row>
    <row r="563" spans="2:27" x14ac:dyDescent="0.35">
      <c r="B563" s="27">
        <v>52.5</v>
      </c>
      <c r="C563" s="27">
        <v>21.035710000000002</v>
      </c>
      <c r="D563" s="19">
        <f t="shared" si="173"/>
        <v>80.862049311134243</v>
      </c>
      <c r="E563" s="19">
        <f t="shared" si="174"/>
        <v>1.4554256942325883</v>
      </c>
      <c r="F563" s="19">
        <f t="shared" si="175"/>
        <v>3.7472198671082246</v>
      </c>
      <c r="G563" s="19">
        <f t="shared" si="176"/>
        <v>3.7472198671082246</v>
      </c>
      <c r="H563" s="19">
        <f t="shared" si="177"/>
        <v>3.7472198671082246</v>
      </c>
      <c r="I563" s="17"/>
      <c r="J563" s="19">
        <f t="shared" si="178"/>
        <v>76.524439155238625</v>
      </c>
      <c r="K563" s="19">
        <f t="shared" si="179"/>
        <v>1.2401740010403863</v>
      </c>
      <c r="L563" s="19">
        <f t="shared" si="180"/>
        <v>2.7394593014270203</v>
      </c>
      <c r="M563" s="19">
        <f t="shared" si="181"/>
        <v>2.7394593014270203</v>
      </c>
      <c r="N563" s="19">
        <f t="shared" si="182"/>
        <v>2.7394593014270203</v>
      </c>
      <c r="O563" s="17"/>
      <c r="P563" s="19">
        <f t="shared" si="172"/>
        <v>8.9367194292428884</v>
      </c>
      <c r="Q563" s="19">
        <f t="shared" si="168"/>
        <v>31.191762302677333</v>
      </c>
      <c r="R563" s="19">
        <f t="shared" si="169"/>
        <v>0</v>
      </c>
      <c r="S563" s="19">
        <f t="shared" si="170"/>
        <v>0</v>
      </c>
      <c r="T563" s="19">
        <f t="shared" si="171"/>
        <v>0</v>
      </c>
      <c r="U563" s="17"/>
      <c r="V563" s="19">
        <f t="shared" si="183"/>
        <v>40.128481731920218</v>
      </c>
      <c r="W563" s="17"/>
      <c r="X563" s="19">
        <f t="shared" si="184"/>
        <v>364.53393240721169</v>
      </c>
      <c r="Y563" s="19">
        <f t="shared" si="185"/>
        <v>19.092771731920216</v>
      </c>
      <c r="Z563" s="19"/>
      <c r="AA563" s="19">
        <f t="shared" si="186"/>
        <v>1.2408356790508452E-4</v>
      </c>
    </row>
    <row r="564" spans="2:27" x14ac:dyDescent="0.35">
      <c r="B564" s="27">
        <v>52.6</v>
      </c>
      <c r="C564" s="27">
        <v>36.035710000000002</v>
      </c>
      <c r="D564" s="19">
        <f t="shared" si="173"/>
        <v>81.002548649556743</v>
      </c>
      <c r="E564" s="19">
        <f t="shared" si="174"/>
        <v>1.4615506230597108</v>
      </c>
      <c r="F564" s="19">
        <f t="shared" si="175"/>
        <v>3.7583309782193366</v>
      </c>
      <c r="G564" s="19">
        <f t="shared" si="176"/>
        <v>3.7583309782193366</v>
      </c>
      <c r="H564" s="19">
        <f t="shared" si="177"/>
        <v>3.7583309782193366</v>
      </c>
      <c r="I564" s="17"/>
      <c r="J564" s="19">
        <f t="shared" si="178"/>
        <v>76.663127789632696</v>
      </c>
      <c r="K564" s="19">
        <f t="shared" si="179"/>
        <v>1.2435668670129527</v>
      </c>
      <c r="L564" s="19">
        <f t="shared" si="180"/>
        <v>2.747602327690021</v>
      </c>
      <c r="M564" s="19">
        <f t="shared" si="181"/>
        <v>2.747602327690021</v>
      </c>
      <c r="N564" s="19">
        <f t="shared" si="182"/>
        <v>2.747602327690021</v>
      </c>
      <c r="O564" s="17"/>
      <c r="P564" s="19">
        <f t="shared" si="172"/>
        <v>8.9046222446982526</v>
      </c>
      <c r="Q564" s="19">
        <f t="shared" si="168"/>
        <v>31.05961926075901</v>
      </c>
      <c r="R564" s="19">
        <f t="shared" si="169"/>
        <v>0</v>
      </c>
      <c r="S564" s="19">
        <f t="shared" si="170"/>
        <v>0</v>
      </c>
      <c r="T564" s="19">
        <f t="shared" si="171"/>
        <v>0</v>
      </c>
      <c r="U564" s="17"/>
      <c r="V564" s="19">
        <f t="shared" si="183"/>
        <v>39.964241505457267</v>
      </c>
      <c r="W564" s="17"/>
      <c r="X564" s="19">
        <f t="shared" si="184"/>
        <v>15.433359789370325</v>
      </c>
      <c r="Y564" s="19">
        <f t="shared" si="185"/>
        <v>3.9285315054572649</v>
      </c>
      <c r="Z564" s="19"/>
      <c r="AA564" s="19">
        <f t="shared" si="186"/>
        <v>2.5531453089637108E-5</v>
      </c>
    </row>
    <row r="565" spans="2:27" x14ac:dyDescent="0.35">
      <c r="B565" s="27">
        <v>52.7</v>
      </c>
      <c r="C565" s="27">
        <v>29.035710000000002</v>
      </c>
      <c r="D565" s="19">
        <f t="shared" si="173"/>
        <v>81.14304798797923</v>
      </c>
      <c r="E565" s="19">
        <f t="shared" si="174"/>
        <v>1.4676755518868334</v>
      </c>
      <c r="F565" s="19">
        <f t="shared" si="175"/>
        <v>3.7694420893304477</v>
      </c>
      <c r="G565" s="19">
        <f t="shared" si="176"/>
        <v>3.7694420893304477</v>
      </c>
      <c r="H565" s="19">
        <f t="shared" si="177"/>
        <v>3.7694420893304477</v>
      </c>
      <c r="I565" s="17"/>
      <c r="J565" s="19">
        <f t="shared" si="178"/>
        <v>76.8018196546859</v>
      </c>
      <c r="K565" s="19">
        <f t="shared" si="179"/>
        <v>1.2469638639760536</v>
      </c>
      <c r="L565" s="19">
        <f t="shared" si="180"/>
        <v>2.7557517987450506</v>
      </c>
      <c r="M565" s="19">
        <f t="shared" si="181"/>
        <v>2.7557517987450506</v>
      </c>
      <c r="N565" s="19">
        <f t="shared" si="182"/>
        <v>2.7557517987450506</v>
      </c>
      <c r="O565" s="17"/>
      <c r="P565" s="19">
        <f t="shared" si="172"/>
        <v>8.872696931586237</v>
      </c>
      <c r="Q565" s="19">
        <f t="shared" si="168"/>
        <v>30.928177673164964</v>
      </c>
      <c r="R565" s="19">
        <f t="shared" si="169"/>
        <v>0</v>
      </c>
      <c r="S565" s="19">
        <f t="shared" si="170"/>
        <v>0</v>
      </c>
      <c r="T565" s="19">
        <f t="shared" si="171"/>
        <v>0</v>
      </c>
      <c r="U565" s="17"/>
      <c r="V565" s="19">
        <f t="shared" si="183"/>
        <v>39.800874604751201</v>
      </c>
      <c r="W565" s="17"/>
      <c r="X565" s="19">
        <f t="shared" si="184"/>
        <v>115.88876896738803</v>
      </c>
      <c r="Y565" s="19">
        <f t="shared" si="185"/>
        <v>10.765164604751199</v>
      </c>
      <c r="Z565" s="19"/>
      <c r="AA565" s="19">
        <f t="shared" si="186"/>
        <v>6.9962604277609212E-5</v>
      </c>
    </row>
    <row r="566" spans="2:27" x14ac:dyDescent="0.35">
      <c r="B566" s="27">
        <v>52.8</v>
      </c>
      <c r="C566" s="27">
        <v>38.285710000000002</v>
      </c>
      <c r="D566" s="19">
        <f t="shared" si="173"/>
        <v>81.283547326401717</v>
      </c>
      <c r="E566" s="19">
        <f t="shared" si="174"/>
        <v>1.4738004807139551</v>
      </c>
      <c r="F566" s="19">
        <f t="shared" si="175"/>
        <v>3.7805532004415587</v>
      </c>
      <c r="G566" s="19">
        <f t="shared" si="176"/>
        <v>3.7805532004415587</v>
      </c>
      <c r="H566" s="19">
        <f t="shared" si="177"/>
        <v>3.7805532004415587</v>
      </c>
      <c r="I566" s="17"/>
      <c r="J566" s="19">
        <f t="shared" si="178"/>
        <v>76.940514738965234</v>
      </c>
      <c r="K566" s="19">
        <f t="shared" si="179"/>
        <v>1.2503649844554545</v>
      </c>
      <c r="L566" s="19">
        <f t="shared" si="180"/>
        <v>2.7639076917213883</v>
      </c>
      <c r="M566" s="19">
        <f t="shared" si="181"/>
        <v>2.7639076917213883</v>
      </c>
      <c r="N566" s="19">
        <f t="shared" si="182"/>
        <v>2.7639076917213883</v>
      </c>
      <c r="O566" s="17"/>
      <c r="P566" s="19">
        <f t="shared" si="172"/>
        <v>8.8409422689380737</v>
      </c>
      <c r="Q566" s="19">
        <f t="shared" si="168"/>
        <v>30.797433286055533</v>
      </c>
      <c r="R566" s="19">
        <f t="shared" si="169"/>
        <v>0</v>
      </c>
      <c r="S566" s="19">
        <f t="shared" si="170"/>
        <v>0</v>
      </c>
      <c r="T566" s="19">
        <f t="shared" si="171"/>
        <v>0</v>
      </c>
      <c r="U566" s="17"/>
      <c r="V566" s="19">
        <f t="shared" si="183"/>
        <v>39.638375554993608</v>
      </c>
      <c r="W566" s="17"/>
      <c r="X566" s="19">
        <f t="shared" si="184"/>
        <v>1.8297041036661619</v>
      </c>
      <c r="Y566" s="19">
        <f t="shared" si="185"/>
        <v>1.3526655549936066</v>
      </c>
      <c r="Z566" s="19"/>
      <c r="AA566" s="19">
        <f t="shared" si="186"/>
        <v>8.7909482500808962E-6</v>
      </c>
    </row>
    <row r="567" spans="2:27" x14ac:dyDescent="0.35">
      <c r="B567" s="27">
        <v>52.9</v>
      </c>
      <c r="C567" s="27">
        <v>29.535710000000002</v>
      </c>
      <c r="D567" s="19">
        <f t="shared" si="173"/>
        <v>81.424046664824203</v>
      </c>
      <c r="E567" s="19">
        <f t="shared" si="174"/>
        <v>1.4799254095410777</v>
      </c>
      <c r="F567" s="19">
        <f t="shared" si="175"/>
        <v>3.7916643115526689</v>
      </c>
      <c r="G567" s="19">
        <f t="shared" si="176"/>
        <v>3.7916643115526689</v>
      </c>
      <c r="H567" s="19">
        <f t="shared" si="177"/>
        <v>3.7916643115526689</v>
      </c>
      <c r="I567" s="17"/>
      <c r="J567" s="19">
        <f t="shared" si="178"/>
        <v>77.079213031097964</v>
      </c>
      <c r="K567" s="19">
        <f t="shared" si="179"/>
        <v>1.2537702209790693</v>
      </c>
      <c r="L567" s="19">
        <f t="shared" si="180"/>
        <v>2.7720699838460097</v>
      </c>
      <c r="M567" s="19">
        <f t="shared" si="181"/>
        <v>2.7720699838460097</v>
      </c>
      <c r="N567" s="19">
        <f t="shared" si="182"/>
        <v>2.7720699838460097</v>
      </c>
      <c r="O567" s="17"/>
      <c r="P567" s="19">
        <f t="shared" si="172"/>
        <v>8.8093570465799935</v>
      </c>
      <c r="Q567" s="19">
        <f t="shared" ref="Q567:Q630" si="187">(D$21*D$23/(1-D$23)^2*$A$21*D$22)/(K567+K567^2)</f>
        <v>30.667381873353744</v>
      </c>
      <c r="R567" s="19">
        <f t="shared" ref="R567:R630" si="188">(E$21*E$23/(1-E$23)^2*$A$21*E$22)/(L567+L567^2)</f>
        <v>0</v>
      </c>
      <c r="S567" s="19">
        <f t="shared" ref="S567:S630" si="189">(F$21*F$23/(1-F$23)^2*$A$21*F$22)/(M567+M567^2)</f>
        <v>0</v>
      </c>
      <c r="T567" s="19">
        <f t="shared" ref="T567:T630" si="190">(G$21*G$23/(1-G$23)^2*$A$21*G$22)/(N567+N567^2)</f>
        <v>0</v>
      </c>
      <c r="U567" s="17"/>
      <c r="V567" s="19">
        <f t="shared" si="183"/>
        <v>39.476738919933737</v>
      </c>
      <c r="W567" s="17"/>
      <c r="X567" s="19">
        <f t="shared" si="184"/>
        <v>98.824055986958896</v>
      </c>
      <c r="Y567" s="19">
        <f t="shared" si="185"/>
        <v>9.9410289199337356</v>
      </c>
      <c r="Z567" s="19"/>
      <c r="AA567" s="19">
        <f t="shared" si="186"/>
        <v>6.4606561810549021E-5</v>
      </c>
    </row>
    <row r="568" spans="2:27" x14ac:dyDescent="0.35">
      <c r="B568" s="27">
        <v>53</v>
      </c>
      <c r="C568" s="27">
        <v>34.535710000000002</v>
      </c>
      <c r="D568" s="19">
        <f t="shared" si="173"/>
        <v>81.564546003246704</v>
      </c>
      <c r="E568" s="19">
        <f t="shared" si="174"/>
        <v>1.4860503383682002</v>
      </c>
      <c r="F568" s="19">
        <f t="shared" si="175"/>
        <v>3.8027754226637809</v>
      </c>
      <c r="G568" s="19">
        <f t="shared" si="176"/>
        <v>3.8027754226637809</v>
      </c>
      <c r="H568" s="19">
        <f t="shared" si="177"/>
        <v>3.8027754226637809</v>
      </c>
      <c r="I568" s="17"/>
      <c r="J568" s="19">
        <f t="shared" si="178"/>
        <v>77.217914519771284</v>
      </c>
      <c r="K568" s="19">
        <f t="shared" si="179"/>
        <v>1.2571795660770835</v>
      </c>
      <c r="L568" s="19">
        <f t="shared" si="180"/>
        <v>2.7802386524432143</v>
      </c>
      <c r="M568" s="19">
        <f t="shared" si="181"/>
        <v>2.7802386524432143</v>
      </c>
      <c r="N568" s="19">
        <f t="shared" si="182"/>
        <v>2.7802386524432143</v>
      </c>
      <c r="O568" s="17"/>
      <c r="P568" s="19">
        <f t="shared" si="172"/>
        <v>8.7779400650191164</v>
      </c>
      <c r="Q568" s="19">
        <f t="shared" si="187"/>
        <v>30.538019236560249</v>
      </c>
      <c r="R568" s="19">
        <f t="shared" si="188"/>
        <v>0</v>
      </c>
      <c r="S568" s="19">
        <f t="shared" si="189"/>
        <v>0</v>
      </c>
      <c r="T568" s="19">
        <f t="shared" si="190"/>
        <v>0</v>
      </c>
      <c r="U568" s="17"/>
      <c r="V568" s="19">
        <f t="shared" si="183"/>
        <v>39.315959301579369</v>
      </c>
      <c r="W568" s="17"/>
      <c r="X568" s="19">
        <f t="shared" si="184"/>
        <v>22.850783385250029</v>
      </c>
      <c r="Y568" s="19">
        <f t="shared" si="185"/>
        <v>4.7802493015793672</v>
      </c>
      <c r="Z568" s="19"/>
      <c r="AA568" s="19">
        <f t="shared" si="186"/>
        <v>3.1066751184381405E-5</v>
      </c>
    </row>
    <row r="569" spans="2:27" x14ac:dyDescent="0.35">
      <c r="B569" s="27">
        <v>53.1</v>
      </c>
      <c r="C569" s="27">
        <v>35.035710000000002</v>
      </c>
      <c r="D569" s="19">
        <f t="shared" si="173"/>
        <v>81.705045341669191</v>
      </c>
      <c r="E569" s="19">
        <f t="shared" si="174"/>
        <v>1.4921752671953219</v>
      </c>
      <c r="F569" s="19">
        <f t="shared" si="175"/>
        <v>3.813886533774892</v>
      </c>
      <c r="G569" s="19">
        <f t="shared" si="176"/>
        <v>3.813886533774892</v>
      </c>
      <c r="H569" s="19">
        <f t="shared" si="177"/>
        <v>3.813886533774892</v>
      </c>
      <c r="I569" s="17"/>
      <c r="J569" s="19">
        <f t="shared" si="178"/>
        <v>77.356619193731817</v>
      </c>
      <c r="K569" s="19">
        <f t="shared" si="179"/>
        <v>1.2605930122820808</v>
      </c>
      <c r="L569" s="19">
        <f t="shared" si="180"/>
        <v>2.7884136749342341</v>
      </c>
      <c r="M569" s="19">
        <f t="shared" si="181"/>
        <v>2.7884136749342341</v>
      </c>
      <c r="N569" s="19">
        <f t="shared" si="182"/>
        <v>2.7884136749342341</v>
      </c>
      <c r="O569" s="17"/>
      <c r="P569" s="19">
        <f t="shared" si="172"/>
        <v>8.7466901353307929</v>
      </c>
      <c r="Q569" s="19">
        <f t="shared" si="187"/>
        <v>30.409341204569266</v>
      </c>
      <c r="R569" s="19">
        <f t="shared" si="188"/>
        <v>0</v>
      </c>
      <c r="S569" s="19">
        <f t="shared" si="189"/>
        <v>0</v>
      </c>
      <c r="T569" s="19">
        <f t="shared" si="190"/>
        <v>0</v>
      </c>
      <c r="U569" s="17"/>
      <c r="V569" s="19">
        <f t="shared" si="183"/>
        <v>39.156031339900061</v>
      </c>
      <c r="W569" s="17"/>
      <c r="X569" s="19">
        <f t="shared" si="184"/>
        <v>16.977047944035817</v>
      </c>
      <c r="Y569" s="19">
        <f t="shared" si="185"/>
        <v>4.1203213399000589</v>
      </c>
      <c r="Z569" s="19"/>
      <c r="AA569" s="19">
        <f t="shared" si="186"/>
        <v>2.6777891651818245E-5</v>
      </c>
    </row>
    <row r="570" spans="2:27" x14ac:dyDescent="0.35">
      <c r="B570" s="27">
        <v>53.2</v>
      </c>
      <c r="C570" s="27">
        <v>50.535710000000002</v>
      </c>
      <c r="D570" s="19">
        <f t="shared" si="173"/>
        <v>81.845544680091692</v>
      </c>
      <c r="E570" s="19">
        <f t="shared" si="174"/>
        <v>1.4983001960224445</v>
      </c>
      <c r="F570" s="19">
        <f t="shared" si="175"/>
        <v>3.824997644886003</v>
      </c>
      <c r="G570" s="19">
        <f t="shared" si="176"/>
        <v>3.824997644886003</v>
      </c>
      <c r="H570" s="19">
        <f t="shared" si="177"/>
        <v>3.824997644886003</v>
      </c>
      <c r="I570" s="17"/>
      <c r="J570" s="19">
        <f t="shared" si="178"/>
        <v>77.495327041785316</v>
      </c>
      <c r="K570" s="19">
        <f t="shared" si="179"/>
        <v>1.2640105521291687</v>
      </c>
      <c r="L570" s="19">
        <f t="shared" si="180"/>
        <v>2.7965950288368595</v>
      </c>
      <c r="M570" s="19">
        <f t="shared" si="181"/>
        <v>2.7965950288368595</v>
      </c>
      <c r="N570" s="19">
        <f t="shared" si="182"/>
        <v>2.7965950288368595</v>
      </c>
      <c r="O570" s="17"/>
      <c r="P570" s="19">
        <f t="shared" si="172"/>
        <v>8.7156060790472747</v>
      </c>
      <c r="Q570" s="19">
        <f t="shared" si="187"/>
        <v>30.281343633485676</v>
      </c>
      <c r="R570" s="19">
        <f t="shared" si="188"/>
        <v>0</v>
      </c>
      <c r="S570" s="19">
        <f t="shared" si="189"/>
        <v>0</v>
      </c>
      <c r="T570" s="19">
        <f t="shared" si="190"/>
        <v>0</v>
      </c>
      <c r="U570" s="17"/>
      <c r="V570" s="19">
        <f t="shared" si="183"/>
        <v>38.996949712532953</v>
      </c>
      <c r="W570" s="17"/>
      <c r="X570" s="19">
        <f t="shared" si="184"/>
        <v>133.14298897162666</v>
      </c>
      <c r="Y570" s="19">
        <f t="shared" si="185"/>
        <v>11.538760287467049</v>
      </c>
      <c r="Z570" s="19"/>
      <c r="AA570" s="19">
        <f t="shared" si="186"/>
        <v>7.4990188212259782E-5</v>
      </c>
    </row>
    <row r="571" spans="2:27" x14ac:dyDescent="0.35">
      <c r="B571" s="27">
        <v>53.3</v>
      </c>
      <c r="C571" s="27">
        <v>26.535710000000002</v>
      </c>
      <c r="D571" s="19">
        <f t="shared" si="173"/>
        <v>81.986044018514164</v>
      </c>
      <c r="E571" s="19">
        <f t="shared" si="174"/>
        <v>1.5044251248495666</v>
      </c>
      <c r="F571" s="19">
        <f t="shared" si="175"/>
        <v>3.8361087559971141</v>
      </c>
      <c r="G571" s="19">
        <f t="shared" si="176"/>
        <v>3.8361087559971141</v>
      </c>
      <c r="H571" s="19">
        <f t="shared" si="177"/>
        <v>3.8361087559971141</v>
      </c>
      <c r="I571" s="17"/>
      <c r="J571" s="19">
        <f t="shared" si="178"/>
        <v>77.634038052796086</v>
      </c>
      <c r="K571" s="19">
        <f t="shared" si="179"/>
        <v>1.2674321781560973</v>
      </c>
      <c r="L571" s="19">
        <f t="shared" si="180"/>
        <v>2.8047826917650576</v>
      </c>
      <c r="M571" s="19">
        <f t="shared" si="181"/>
        <v>2.8047826917650576</v>
      </c>
      <c r="N571" s="19">
        <f t="shared" si="182"/>
        <v>2.8047826917650576</v>
      </c>
      <c r="O571" s="17"/>
      <c r="P571" s="19">
        <f t="shared" si="172"/>
        <v>8.6846867280478293</v>
      </c>
      <c r="Q571" s="19">
        <f t="shared" si="187"/>
        <v>30.154022406443588</v>
      </c>
      <c r="R571" s="19">
        <f t="shared" si="188"/>
        <v>0</v>
      </c>
      <c r="S571" s="19">
        <f t="shared" si="189"/>
        <v>0</v>
      </c>
      <c r="T571" s="19">
        <f t="shared" si="190"/>
        <v>0</v>
      </c>
      <c r="U571" s="17"/>
      <c r="V571" s="19">
        <f t="shared" si="183"/>
        <v>38.838709134491417</v>
      </c>
      <c r="W571" s="17"/>
      <c r="X571" s="19">
        <f t="shared" si="184"/>
        <v>151.36378770329651</v>
      </c>
      <c r="Y571" s="19">
        <f t="shared" si="185"/>
        <v>12.302999134491415</v>
      </c>
      <c r="Z571" s="19"/>
      <c r="AA571" s="19">
        <f t="shared" si="186"/>
        <v>7.9956962246011554E-5</v>
      </c>
    </row>
    <row r="572" spans="2:27" x14ac:dyDescent="0.35">
      <c r="B572" s="27">
        <v>53.4</v>
      </c>
      <c r="C572" s="27">
        <v>31.535710000000002</v>
      </c>
      <c r="D572" s="19">
        <f t="shared" si="173"/>
        <v>82.126543356936665</v>
      </c>
      <c r="E572" s="19">
        <f t="shared" si="174"/>
        <v>1.5105500536766887</v>
      </c>
      <c r="F572" s="19">
        <f t="shared" si="175"/>
        <v>3.8472198671082243</v>
      </c>
      <c r="G572" s="19">
        <f t="shared" si="176"/>
        <v>3.8472198671082243</v>
      </c>
      <c r="H572" s="19">
        <f t="shared" si="177"/>
        <v>3.8472198671082243</v>
      </c>
      <c r="I572" s="17"/>
      <c r="J572" s="19">
        <f t="shared" si="178"/>
        <v>77.772752215686822</v>
      </c>
      <c r="K572" s="19">
        <f t="shared" si="179"/>
        <v>1.2708578829033854</v>
      </c>
      <c r="L572" s="19">
        <f t="shared" si="180"/>
        <v>2.8129766414285871</v>
      </c>
      <c r="M572" s="19">
        <f t="shared" si="181"/>
        <v>2.8129766414285871</v>
      </c>
      <c r="N572" s="19">
        <f t="shared" si="182"/>
        <v>2.8129766414285871</v>
      </c>
      <c r="O572" s="17"/>
      <c r="P572" s="19">
        <f t="shared" si="172"/>
        <v>8.6539309244500764</v>
      </c>
      <c r="Q572" s="19">
        <f t="shared" si="187"/>
        <v>30.027373433425637</v>
      </c>
      <c r="R572" s="19">
        <f t="shared" si="188"/>
        <v>0</v>
      </c>
      <c r="S572" s="19">
        <f t="shared" si="189"/>
        <v>0</v>
      </c>
      <c r="T572" s="19">
        <f t="shared" si="190"/>
        <v>0</v>
      </c>
      <c r="U572" s="17"/>
      <c r="V572" s="19">
        <f t="shared" si="183"/>
        <v>38.681304357875717</v>
      </c>
      <c r="W572" s="17"/>
      <c r="X572" s="19">
        <f t="shared" si="184"/>
        <v>51.05951872730526</v>
      </c>
      <c r="Y572" s="19">
        <f t="shared" si="185"/>
        <v>7.1455943578757157</v>
      </c>
      <c r="Z572" s="19"/>
      <c r="AA572" s="19">
        <f t="shared" si="186"/>
        <v>4.6439084653451052E-5</v>
      </c>
    </row>
    <row r="573" spans="2:27" x14ac:dyDescent="0.35">
      <c r="B573" s="27">
        <v>53.5</v>
      </c>
      <c r="C573" s="27">
        <v>49.285710000000002</v>
      </c>
      <c r="D573" s="19">
        <f t="shared" si="173"/>
        <v>82.267042695359152</v>
      </c>
      <c r="E573" s="19">
        <f t="shared" si="174"/>
        <v>1.5166749825038113</v>
      </c>
      <c r="F573" s="19">
        <f t="shared" si="175"/>
        <v>3.8583309782193362</v>
      </c>
      <c r="G573" s="19">
        <f t="shared" si="176"/>
        <v>3.8583309782193362</v>
      </c>
      <c r="H573" s="19">
        <f t="shared" si="177"/>
        <v>3.8583309782193362</v>
      </c>
      <c r="I573" s="17"/>
      <c r="J573" s="19">
        <f t="shared" si="178"/>
        <v>77.911469519437901</v>
      </c>
      <c r="K573" s="19">
        <f t="shared" si="179"/>
        <v>1.274287658914439</v>
      </c>
      <c r="L573" s="19">
        <f t="shared" si="180"/>
        <v>2.8211768556326242</v>
      </c>
      <c r="M573" s="19">
        <f t="shared" si="181"/>
        <v>2.8211768556326242</v>
      </c>
      <c r="N573" s="19">
        <f t="shared" si="182"/>
        <v>2.8211768556326242</v>
      </c>
      <c r="O573" s="17"/>
      <c r="P573" s="19">
        <f t="shared" si="172"/>
        <v>8.6233375205028047</v>
      </c>
      <c r="Q573" s="19">
        <f t="shared" si="187"/>
        <v>29.901392651083835</v>
      </c>
      <c r="R573" s="19">
        <f t="shared" si="188"/>
        <v>0</v>
      </c>
      <c r="S573" s="19">
        <f t="shared" si="189"/>
        <v>0</v>
      </c>
      <c r="T573" s="19">
        <f t="shared" si="190"/>
        <v>0</v>
      </c>
      <c r="U573" s="17"/>
      <c r="V573" s="19">
        <f t="shared" si="183"/>
        <v>38.52473017158664</v>
      </c>
      <c r="W573" s="17"/>
      <c r="X573" s="19">
        <f t="shared" si="184"/>
        <v>115.79868686751927</v>
      </c>
      <c r="Y573" s="19">
        <f t="shared" si="185"/>
        <v>10.760979828413362</v>
      </c>
      <c r="Z573" s="19"/>
      <c r="AA573" s="19">
        <f t="shared" si="186"/>
        <v>6.9935407494126211E-5</v>
      </c>
    </row>
    <row r="574" spans="2:27" x14ac:dyDescent="0.35">
      <c r="B574" s="27">
        <v>53.6</v>
      </c>
      <c r="C574" s="27">
        <v>13.28571</v>
      </c>
      <c r="D574" s="19">
        <f t="shared" si="173"/>
        <v>82.407542033781652</v>
      </c>
      <c r="E574" s="19">
        <f t="shared" si="174"/>
        <v>1.5227999113309338</v>
      </c>
      <c r="F574" s="19">
        <f t="shared" si="175"/>
        <v>3.8694420893304473</v>
      </c>
      <c r="G574" s="19">
        <f t="shared" si="176"/>
        <v>3.8694420893304473</v>
      </c>
      <c r="H574" s="19">
        <f t="shared" si="177"/>
        <v>3.8694420893304473</v>
      </c>
      <c r="I574" s="17"/>
      <c r="J574" s="19">
        <f t="shared" si="178"/>
        <v>78.050189953087269</v>
      </c>
      <c r="K574" s="19">
        <f t="shared" si="179"/>
        <v>1.2777214987356709</v>
      </c>
      <c r="L574" s="19">
        <f t="shared" si="180"/>
        <v>2.8293833122773733</v>
      </c>
      <c r="M574" s="19">
        <f t="shared" si="181"/>
        <v>2.8293833122773733</v>
      </c>
      <c r="N574" s="19">
        <f t="shared" si="182"/>
        <v>2.8293833122773733</v>
      </c>
      <c r="O574" s="17"/>
      <c r="P574" s="19">
        <f t="shared" si="172"/>
        <v>8.5929053784799336</v>
      </c>
      <c r="Q574" s="19">
        <f t="shared" si="187"/>
        <v>29.77607602256133</v>
      </c>
      <c r="R574" s="19">
        <f t="shared" si="188"/>
        <v>0</v>
      </c>
      <c r="S574" s="19">
        <f t="shared" si="189"/>
        <v>0</v>
      </c>
      <c r="T574" s="19">
        <f t="shared" si="190"/>
        <v>0</v>
      </c>
      <c r="U574" s="17"/>
      <c r="V574" s="19">
        <f t="shared" si="183"/>
        <v>38.368981401041268</v>
      </c>
      <c r="W574" s="17"/>
      <c r="X574" s="19">
        <f t="shared" si="184"/>
        <v>629.17050417829466</v>
      </c>
      <c r="Y574" s="19">
        <f t="shared" si="185"/>
        <v>25.083271401041266</v>
      </c>
      <c r="Z574" s="19"/>
      <c r="AA574" s="19">
        <f t="shared" si="186"/>
        <v>1.6301571368861398E-4</v>
      </c>
    </row>
    <row r="575" spans="2:27" x14ac:dyDescent="0.35">
      <c r="B575" s="27">
        <v>53.7</v>
      </c>
      <c r="C575" s="27">
        <v>42.535710000000002</v>
      </c>
      <c r="D575" s="19">
        <f t="shared" si="173"/>
        <v>82.548041372204139</v>
      </c>
      <c r="E575" s="19">
        <f t="shared" si="174"/>
        <v>1.5289248401580564</v>
      </c>
      <c r="F575" s="19">
        <f t="shared" si="175"/>
        <v>3.8805532004415593</v>
      </c>
      <c r="G575" s="19">
        <f t="shared" si="176"/>
        <v>3.8805532004415593</v>
      </c>
      <c r="H575" s="19">
        <f t="shared" si="177"/>
        <v>3.8805532004415593</v>
      </c>
      <c r="I575" s="17"/>
      <c r="J575" s="19">
        <f t="shared" si="178"/>
        <v>78.188913505729815</v>
      </c>
      <c r="K575" s="19">
        <f t="shared" si="179"/>
        <v>1.2811593949166193</v>
      </c>
      <c r="L575" s="19">
        <f t="shared" si="180"/>
        <v>2.8375959893576943</v>
      </c>
      <c r="M575" s="19">
        <f t="shared" si="181"/>
        <v>2.8375959893576943</v>
      </c>
      <c r="N575" s="19">
        <f t="shared" si="182"/>
        <v>2.8375959893576943</v>
      </c>
      <c r="O575" s="17"/>
      <c r="P575" s="19">
        <f t="shared" si="172"/>
        <v>8.5626333705759059</v>
      </c>
      <c r="Q575" s="19">
        <f t="shared" si="187"/>
        <v>29.651419537315487</v>
      </c>
      <c r="R575" s="19">
        <f t="shared" si="188"/>
        <v>0</v>
      </c>
      <c r="S575" s="19">
        <f t="shared" si="189"/>
        <v>0</v>
      </c>
      <c r="T575" s="19">
        <f t="shared" si="190"/>
        <v>0</v>
      </c>
      <c r="U575" s="17"/>
      <c r="V575" s="19">
        <f t="shared" si="183"/>
        <v>38.214052907891393</v>
      </c>
      <c r="W575" s="17"/>
      <c r="X575" s="19">
        <f t="shared" si="184"/>
        <v>18.676720021772638</v>
      </c>
      <c r="Y575" s="19">
        <f t="shared" si="185"/>
        <v>4.3216570921086088</v>
      </c>
      <c r="Z575" s="19"/>
      <c r="AA575" s="19">
        <f t="shared" si="186"/>
        <v>2.8086368955777421E-5</v>
      </c>
    </row>
    <row r="576" spans="2:27" x14ac:dyDescent="0.35">
      <c r="B576" s="27">
        <v>53.8</v>
      </c>
      <c r="C576" s="27">
        <v>31.535710000000002</v>
      </c>
      <c r="D576" s="19">
        <f t="shared" si="173"/>
        <v>82.688540710626626</v>
      </c>
      <c r="E576" s="19">
        <f t="shared" si="174"/>
        <v>1.5350497689851781</v>
      </c>
      <c r="F576" s="19">
        <f t="shared" si="175"/>
        <v>3.8916643115526695</v>
      </c>
      <c r="G576" s="19">
        <f t="shared" si="176"/>
        <v>3.8916643115526695</v>
      </c>
      <c r="H576" s="19">
        <f t="shared" si="177"/>
        <v>3.8916643115526695</v>
      </c>
      <c r="I576" s="17"/>
      <c r="J576" s="19">
        <f t="shared" si="178"/>
        <v>78.327640166517114</v>
      </c>
      <c r="K576" s="19">
        <f t="shared" si="179"/>
        <v>1.284601340010066</v>
      </c>
      <c r="L576" s="19">
        <f t="shared" si="180"/>
        <v>2.8458148649627151</v>
      </c>
      <c r="M576" s="19">
        <f t="shared" si="181"/>
        <v>2.8458148649627151</v>
      </c>
      <c r="N576" s="19">
        <f t="shared" si="182"/>
        <v>2.8458148649627151</v>
      </c>
      <c r="O576" s="17"/>
      <c r="P576" s="19">
        <f t="shared" si="172"/>
        <v>8.532520378802241</v>
      </c>
      <c r="Q576" s="19">
        <f t="shared" si="187"/>
        <v>29.52741921094194</v>
      </c>
      <c r="R576" s="19">
        <f t="shared" si="188"/>
        <v>0</v>
      </c>
      <c r="S576" s="19">
        <f t="shared" si="189"/>
        <v>0</v>
      </c>
      <c r="T576" s="19">
        <f t="shared" si="190"/>
        <v>0</v>
      </c>
      <c r="U576" s="17"/>
      <c r="V576" s="19">
        <f t="shared" si="183"/>
        <v>38.059939589744182</v>
      </c>
      <c r="W576" s="17"/>
      <c r="X576" s="19">
        <f t="shared" si="184"/>
        <v>42.565571739693517</v>
      </c>
      <c r="Y576" s="19">
        <f t="shared" si="185"/>
        <v>6.5242295897441807</v>
      </c>
      <c r="Z576" s="19"/>
      <c r="AA576" s="19">
        <f t="shared" si="186"/>
        <v>4.2400846597560245E-5</v>
      </c>
    </row>
    <row r="577" spans="2:27" x14ac:dyDescent="0.35">
      <c r="B577" s="27">
        <v>53.9</v>
      </c>
      <c r="C577" s="27">
        <v>37.785710000000002</v>
      </c>
      <c r="D577" s="19">
        <f t="shared" si="173"/>
        <v>82.829040049049112</v>
      </c>
      <c r="E577" s="19">
        <f t="shared" si="174"/>
        <v>1.5411746978123002</v>
      </c>
      <c r="F577" s="19">
        <f t="shared" si="175"/>
        <v>3.9027754226637814</v>
      </c>
      <c r="G577" s="19">
        <f t="shared" si="176"/>
        <v>3.9027754226637814</v>
      </c>
      <c r="H577" s="19">
        <f t="shared" si="177"/>
        <v>3.9027754226637814</v>
      </c>
      <c r="I577" s="17"/>
      <c r="J577" s="19">
        <f t="shared" si="178"/>
        <v>78.46636992465703</v>
      </c>
      <c r="K577" s="19">
        <f t="shared" si="179"/>
        <v>1.288047326572153</v>
      </c>
      <c r="L577" s="19">
        <f t="shared" si="180"/>
        <v>2.8540399172754602</v>
      </c>
      <c r="M577" s="19">
        <f t="shared" si="181"/>
        <v>2.8540399172754602</v>
      </c>
      <c r="N577" s="19">
        <f t="shared" si="182"/>
        <v>2.8540399172754602</v>
      </c>
      <c r="O577" s="17"/>
      <c r="P577" s="19">
        <f t="shared" si="172"/>
        <v>8.5025652948853985</v>
      </c>
      <c r="Q577" s="19">
        <f t="shared" si="187"/>
        <v>29.404071084999885</v>
      </c>
      <c r="R577" s="19">
        <f t="shared" si="188"/>
        <v>0</v>
      </c>
      <c r="S577" s="19">
        <f t="shared" si="189"/>
        <v>0</v>
      </c>
      <c r="T577" s="19">
        <f t="shared" si="190"/>
        <v>0</v>
      </c>
      <c r="U577" s="17"/>
      <c r="V577" s="19">
        <f t="shared" si="183"/>
        <v>37.906636379885285</v>
      </c>
      <c r="W577" s="17"/>
      <c r="X577" s="19">
        <f t="shared" si="184"/>
        <v>1.4623189352159801E-2</v>
      </c>
      <c r="Y577" s="19">
        <f t="shared" si="185"/>
        <v>0.1209263798852831</v>
      </c>
      <c r="Z577" s="19"/>
      <c r="AA577" s="19">
        <f t="shared" si="186"/>
        <v>7.8589829076128993E-7</v>
      </c>
    </row>
    <row r="578" spans="2:27" x14ac:dyDescent="0.35">
      <c r="B578" s="27">
        <v>54</v>
      </c>
      <c r="C578" s="27">
        <v>44.785710000000002</v>
      </c>
      <c r="D578" s="19">
        <f t="shared" si="173"/>
        <v>82.969539387471613</v>
      </c>
      <c r="E578" s="19">
        <f t="shared" si="174"/>
        <v>1.5472996266394228</v>
      </c>
      <c r="F578" s="19">
        <f t="shared" si="175"/>
        <v>3.9138865337748916</v>
      </c>
      <c r="G578" s="19">
        <f t="shared" si="176"/>
        <v>3.9138865337748916</v>
      </c>
      <c r="H578" s="19">
        <f t="shared" si="177"/>
        <v>3.9138865337748916</v>
      </c>
      <c r="I578" s="17"/>
      <c r="J578" s="19">
        <f t="shared" si="178"/>
        <v>78.605102769413264</v>
      </c>
      <c r="K578" s="19">
        <f t="shared" si="179"/>
        <v>1.2914973471624964</v>
      </c>
      <c r="L578" s="19">
        <f t="shared" si="180"/>
        <v>2.8622711245724601</v>
      </c>
      <c r="M578" s="19">
        <f t="shared" si="181"/>
        <v>2.8622711245724601</v>
      </c>
      <c r="N578" s="19">
        <f t="shared" si="182"/>
        <v>2.8622711245724601</v>
      </c>
      <c r="O578" s="17"/>
      <c r="P578" s="19">
        <f t="shared" si="172"/>
        <v>8.4727670201658718</v>
      </c>
      <c r="Q578" s="19">
        <f t="shared" si="187"/>
        <v>29.281371226838544</v>
      </c>
      <c r="R578" s="19">
        <f t="shared" si="188"/>
        <v>0</v>
      </c>
      <c r="S578" s="19">
        <f t="shared" si="189"/>
        <v>0</v>
      </c>
      <c r="T578" s="19">
        <f t="shared" si="190"/>
        <v>0</v>
      </c>
      <c r="U578" s="17"/>
      <c r="V578" s="19">
        <f t="shared" si="183"/>
        <v>37.75413824700442</v>
      </c>
      <c r="W578" s="17"/>
      <c r="X578" s="19">
        <f t="shared" si="184"/>
        <v>49.443001317525358</v>
      </c>
      <c r="Y578" s="19">
        <f t="shared" si="185"/>
        <v>7.0315717529955819</v>
      </c>
      <c r="Z578" s="19"/>
      <c r="AA578" s="19">
        <f t="shared" si="186"/>
        <v>4.5698053867873448E-5</v>
      </c>
    </row>
    <row r="579" spans="2:27" x14ac:dyDescent="0.35">
      <c r="B579" s="27">
        <v>54.1</v>
      </c>
      <c r="C579" s="27">
        <v>25.785710000000002</v>
      </c>
      <c r="D579" s="19">
        <f t="shared" si="173"/>
        <v>83.1100387258941</v>
      </c>
      <c r="E579" s="19">
        <f t="shared" si="174"/>
        <v>1.5534245554665449</v>
      </c>
      <c r="F579" s="19">
        <f t="shared" si="175"/>
        <v>3.9249976448860027</v>
      </c>
      <c r="G579" s="19">
        <f t="shared" si="176"/>
        <v>3.9249976448860027</v>
      </c>
      <c r="H579" s="19">
        <f t="shared" si="177"/>
        <v>3.9249976448860027</v>
      </c>
      <c r="I579" s="17"/>
      <c r="J579" s="19">
        <f t="shared" si="178"/>
        <v>78.74383869010498</v>
      </c>
      <c r="K579" s="19">
        <f t="shared" si="179"/>
        <v>1.294951394344301</v>
      </c>
      <c r="L579" s="19">
        <f t="shared" si="180"/>
        <v>2.8705084652233817</v>
      </c>
      <c r="M579" s="19">
        <f t="shared" si="181"/>
        <v>2.8705084652233817</v>
      </c>
      <c r="N579" s="19">
        <f t="shared" si="182"/>
        <v>2.8705084652233817</v>
      </c>
      <c r="O579" s="17"/>
      <c r="P579" s="19">
        <f t="shared" si="172"/>
        <v>8.4431244654984976</v>
      </c>
      <c r="Q579" s="19">
        <f t="shared" si="187"/>
        <v>29.159315729424655</v>
      </c>
      <c r="R579" s="19">
        <f t="shared" si="188"/>
        <v>0</v>
      </c>
      <c r="S579" s="19">
        <f t="shared" si="189"/>
        <v>0</v>
      </c>
      <c r="T579" s="19">
        <f t="shared" si="190"/>
        <v>0</v>
      </c>
      <c r="U579" s="17"/>
      <c r="V579" s="19">
        <f t="shared" si="183"/>
        <v>37.602440194923155</v>
      </c>
      <c r="W579" s="17"/>
      <c r="X579" s="19">
        <f t="shared" si="184"/>
        <v>139.63511249960857</v>
      </c>
      <c r="Y579" s="19">
        <f t="shared" si="185"/>
        <v>11.816730194923153</v>
      </c>
      <c r="Z579" s="19"/>
      <c r="AA579" s="19">
        <f t="shared" si="186"/>
        <v>7.6796709463950805E-5</v>
      </c>
    </row>
    <row r="580" spans="2:27" x14ac:dyDescent="0.35">
      <c r="B580" s="27">
        <v>54.2</v>
      </c>
      <c r="C580" s="27">
        <v>21.035710000000002</v>
      </c>
      <c r="D580" s="19">
        <f t="shared" si="173"/>
        <v>83.250538064316586</v>
      </c>
      <c r="E580" s="19">
        <f t="shared" si="174"/>
        <v>1.5595494842936675</v>
      </c>
      <c r="F580" s="19">
        <f t="shared" si="175"/>
        <v>3.9361087559971146</v>
      </c>
      <c r="G580" s="19">
        <f t="shared" si="176"/>
        <v>3.9361087559971146</v>
      </c>
      <c r="H580" s="19">
        <f t="shared" si="177"/>
        <v>3.9361087559971146</v>
      </c>
      <c r="I580" s="17"/>
      <c r="J580" s="19">
        <f t="shared" si="178"/>
        <v>78.882577676106507</v>
      </c>
      <c r="K580" s="19">
        <f t="shared" si="179"/>
        <v>1.2984094606844745</v>
      </c>
      <c r="L580" s="19">
        <f t="shared" si="180"/>
        <v>2.8787519176906429</v>
      </c>
      <c r="M580" s="19">
        <f t="shared" si="181"/>
        <v>2.8787519176906429</v>
      </c>
      <c r="N580" s="19">
        <f t="shared" si="182"/>
        <v>2.8787519176906429</v>
      </c>
      <c r="O580" s="17"/>
      <c r="P580" s="19">
        <f t="shared" si="172"/>
        <v>8.4136365511539442</v>
      </c>
      <c r="Q580" s="19">
        <f t="shared" si="187"/>
        <v>29.037900711171112</v>
      </c>
      <c r="R580" s="19">
        <f t="shared" si="188"/>
        <v>0</v>
      </c>
      <c r="S580" s="19">
        <f t="shared" si="189"/>
        <v>0</v>
      </c>
      <c r="T580" s="19">
        <f t="shared" si="190"/>
        <v>0</v>
      </c>
      <c r="U580" s="17"/>
      <c r="V580" s="19">
        <f t="shared" si="183"/>
        <v>37.451537262325054</v>
      </c>
      <c r="W580" s="17"/>
      <c r="X580" s="19">
        <f t="shared" si="184"/>
        <v>269.47938470649444</v>
      </c>
      <c r="Y580" s="19">
        <f t="shared" si="185"/>
        <v>16.415827262325053</v>
      </c>
      <c r="Z580" s="19"/>
      <c r="AA580" s="19">
        <f t="shared" si="186"/>
        <v>1.0668615565216249E-4</v>
      </c>
    </row>
    <row r="581" spans="2:27" x14ac:dyDescent="0.35">
      <c r="B581" s="27">
        <v>54.3</v>
      </c>
      <c r="C581" s="27">
        <v>65.535709999999995</v>
      </c>
      <c r="D581" s="19">
        <f t="shared" si="173"/>
        <v>83.391037402739073</v>
      </c>
      <c r="E581" s="19">
        <f t="shared" si="174"/>
        <v>1.5656744131207896</v>
      </c>
      <c r="F581" s="19">
        <f t="shared" si="175"/>
        <v>3.9472198671082248</v>
      </c>
      <c r="G581" s="19">
        <f t="shared" si="176"/>
        <v>3.9472198671082248</v>
      </c>
      <c r="H581" s="19">
        <f t="shared" si="177"/>
        <v>3.9472198671082248</v>
      </c>
      <c r="I581" s="17"/>
      <c r="J581" s="19">
        <f t="shared" si="178"/>
        <v>79.021319716846861</v>
      </c>
      <c r="K581" s="19">
        <f t="shared" si="179"/>
        <v>1.301871538753739</v>
      </c>
      <c r="L581" s="19">
        <f t="shared" si="180"/>
        <v>2.8870014605290328</v>
      </c>
      <c r="M581" s="19">
        <f t="shared" si="181"/>
        <v>2.8870014605290328</v>
      </c>
      <c r="N581" s="19">
        <f t="shared" si="182"/>
        <v>2.8870014605290328</v>
      </c>
      <c r="O581" s="17"/>
      <c r="P581" s="19">
        <f t="shared" si="172"/>
        <v>8.3843022067214221</v>
      </c>
      <c r="Q581" s="19">
        <f t="shared" si="187"/>
        <v>28.917122315766733</v>
      </c>
      <c r="R581" s="19">
        <f t="shared" si="188"/>
        <v>0</v>
      </c>
      <c r="S581" s="19">
        <f t="shared" si="189"/>
        <v>0</v>
      </c>
      <c r="T581" s="19">
        <f t="shared" si="190"/>
        <v>0</v>
      </c>
      <c r="U581" s="17"/>
      <c r="V581" s="19">
        <f t="shared" si="183"/>
        <v>37.301424522488155</v>
      </c>
      <c r="W581" s="17"/>
      <c r="X581" s="19">
        <f t="shared" si="184"/>
        <v>797.17487642563594</v>
      </c>
      <c r="Y581" s="19">
        <f t="shared" si="185"/>
        <v>28.23428547751184</v>
      </c>
      <c r="Z581" s="19"/>
      <c r="AA581" s="19">
        <f t="shared" si="186"/>
        <v>1.8349409548762429E-4</v>
      </c>
    </row>
    <row r="582" spans="2:27" x14ac:dyDescent="0.35">
      <c r="B582" s="27">
        <v>54.4</v>
      </c>
      <c r="C582" s="27">
        <v>36.285710000000002</v>
      </c>
      <c r="D582" s="19">
        <f t="shared" si="173"/>
        <v>83.531536741161574</v>
      </c>
      <c r="E582" s="19">
        <f t="shared" si="174"/>
        <v>1.5717993419479117</v>
      </c>
      <c r="F582" s="19">
        <f t="shared" si="175"/>
        <v>3.9583309782193359</v>
      </c>
      <c r="G582" s="19">
        <f t="shared" si="176"/>
        <v>3.9583309782193359</v>
      </c>
      <c r="H582" s="19">
        <f t="shared" si="177"/>
        <v>3.9583309782193359</v>
      </c>
      <c r="I582" s="17"/>
      <c r="J582" s="19">
        <f t="shared" si="178"/>
        <v>79.16006480180944</v>
      </c>
      <c r="K582" s="19">
        <f t="shared" si="179"/>
        <v>1.3053376211267416</v>
      </c>
      <c r="L582" s="19">
        <f t="shared" si="180"/>
        <v>2.8952570723853404</v>
      </c>
      <c r="M582" s="19">
        <f t="shared" si="181"/>
        <v>2.8952570723853404</v>
      </c>
      <c r="N582" s="19">
        <f t="shared" si="182"/>
        <v>2.8952570723853404</v>
      </c>
      <c r="O582" s="17"/>
      <c r="P582" s="19">
        <f t="shared" si="172"/>
        <v>8.3551203710125321</v>
      </c>
      <c r="Q582" s="19">
        <f t="shared" si="187"/>
        <v>28.796976712007133</v>
      </c>
      <c r="R582" s="19">
        <f t="shared" si="188"/>
        <v>0</v>
      </c>
      <c r="S582" s="19">
        <f t="shared" si="189"/>
        <v>0</v>
      </c>
      <c r="T582" s="19">
        <f t="shared" si="190"/>
        <v>0</v>
      </c>
      <c r="U582" s="17"/>
      <c r="V582" s="19">
        <f t="shared" si="183"/>
        <v>37.152097083019669</v>
      </c>
      <c r="W582" s="17"/>
      <c r="X582" s="19">
        <f t="shared" si="184"/>
        <v>0.75062657762332763</v>
      </c>
      <c r="Y582" s="19">
        <f t="shared" si="185"/>
        <v>0.86638708301966716</v>
      </c>
      <c r="Z582" s="19"/>
      <c r="AA582" s="19">
        <f t="shared" si="186"/>
        <v>5.6306335170931688E-6</v>
      </c>
    </row>
    <row r="583" spans="2:27" x14ac:dyDescent="0.35">
      <c r="B583" s="27">
        <v>54.5</v>
      </c>
      <c r="C583" s="27">
        <v>43.285710000000002</v>
      </c>
      <c r="D583" s="19">
        <f t="shared" si="173"/>
        <v>83.672036079584061</v>
      </c>
      <c r="E583" s="19">
        <f t="shared" si="174"/>
        <v>1.5779242707750338</v>
      </c>
      <c r="F583" s="19">
        <f t="shared" si="175"/>
        <v>3.969442089330447</v>
      </c>
      <c r="G583" s="19">
        <f t="shared" si="176"/>
        <v>3.969442089330447</v>
      </c>
      <c r="H583" s="19">
        <f t="shared" si="177"/>
        <v>3.969442089330447</v>
      </c>
      <c r="I583" s="17"/>
      <c r="J583" s="19">
        <f t="shared" si="178"/>
        <v>79.298812920531574</v>
      </c>
      <c r="K583" s="19">
        <f t="shared" si="179"/>
        <v>1.3088077003821654</v>
      </c>
      <c r="L583" s="19">
        <f t="shared" si="180"/>
        <v>2.9035187319979676</v>
      </c>
      <c r="M583" s="19">
        <f t="shared" si="181"/>
        <v>2.9035187319979676</v>
      </c>
      <c r="N583" s="19">
        <f t="shared" si="182"/>
        <v>2.9035187319979676</v>
      </c>
      <c r="O583" s="17"/>
      <c r="P583" s="19">
        <f t="shared" si="172"/>
        <v>8.3260899919662936</v>
      </c>
      <c r="Q583" s="19">
        <f t="shared" si="187"/>
        <v>28.677460093626674</v>
      </c>
      <c r="R583" s="19">
        <f t="shared" si="188"/>
        <v>0</v>
      </c>
      <c r="S583" s="19">
        <f t="shared" si="189"/>
        <v>0</v>
      </c>
      <c r="T583" s="19">
        <f t="shared" si="190"/>
        <v>0</v>
      </c>
      <c r="U583" s="17"/>
      <c r="V583" s="19">
        <f t="shared" si="183"/>
        <v>37.00355008559297</v>
      </c>
      <c r="W583" s="17"/>
      <c r="X583" s="19">
        <f t="shared" si="184"/>
        <v>39.465533190182569</v>
      </c>
      <c r="Y583" s="19">
        <f t="shared" si="185"/>
        <v>6.2821599144070319</v>
      </c>
      <c r="Z583" s="19"/>
      <c r="AA583" s="19">
        <f t="shared" si="186"/>
        <v>4.0827640285810246E-5</v>
      </c>
    </row>
    <row r="584" spans="2:27" x14ac:dyDescent="0.35">
      <c r="B584" s="27">
        <v>54.6</v>
      </c>
      <c r="C584" s="27">
        <v>33.785710000000002</v>
      </c>
      <c r="D584" s="19">
        <f t="shared" si="173"/>
        <v>83.812535418006561</v>
      </c>
      <c r="E584" s="19">
        <f t="shared" si="174"/>
        <v>1.5840491996021564</v>
      </c>
      <c r="F584" s="19">
        <f t="shared" si="175"/>
        <v>3.9805532004415589</v>
      </c>
      <c r="G584" s="19">
        <f t="shared" si="176"/>
        <v>3.9805532004415589</v>
      </c>
      <c r="H584" s="19">
        <f t="shared" si="177"/>
        <v>3.9805532004415589</v>
      </c>
      <c r="I584" s="17"/>
      <c r="J584" s="19">
        <f t="shared" si="178"/>
        <v>79.437564062604281</v>
      </c>
      <c r="K584" s="19">
        <f t="shared" si="179"/>
        <v>1.3122817691028386</v>
      </c>
      <c r="L584" s="19">
        <f t="shared" si="180"/>
        <v>2.9117864181965585</v>
      </c>
      <c r="M584" s="19">
        <f t="shared" si="181"/>
        <v>2.9117864181965585</v>
      </c>
      <c r="N584" s="19">
        <f t="shared" si="182"/>
        <v>2.9117864181965585</v>
      </c>
      <c r="O584" s="17"/>
      <c r="P584" s="19">
        <f t="shared" si="172"/>
        <v>8.2972100265552822</v>
      </c>
      <c r="Q584" s="19">
        <f t="shared" si="187"/>
        <v>28.558568679131483</v>
      </c>
      <c r="R584" s="19">
        <f t="shared" si="188"/>
        <v>0</v>
      </c>
      <c r="S584" s="19">
        <f t="shared" si="189"/>
        <v>0</v>
      </c>
      <c r="T584" s="19">
        <f t="shared" si="190"/>
        <v>0</v>
      </c>
      <c r="U584" s="17"/>
      <c r="V584" s="19">
        <f t="shared" si="183"/>
        <v>36.855778705686767</v>
      </c>
      <c r="W584" s="17"/>
      <c r="X584" s="19">
        <f t="shared" si="184"/>
        <v>9.4253218576372095</v>
      </c>
      <c r="Y584" s="19">
        <f t="shared" si="185"/>
        <v>3.070068705686765</v>
      </c>
      <c r="Z584" s="19"/>
      <c r="AA584" s="19">
        <f t="shared" si="186"/>
        <v>1.995231934179972E-5</v>
      </c>
    </row>
    <row r="585" spans="2:27" x14ac:dyDescent="0.35">
      <c r="B585" s="27">
        <v>54.7</v>
      </c>
      <c r="C585" s="27">
        <v>40.535710000000002</v>
      </c>
      <c r="D585" s="19">
        <f t="shared" si="173"/>
        <v>83.953034756429048</v>
      </c>
      <c r="E585" s="19">
        <f t="shared" si="174"/>
        <v>1.5901741284292785</v>
      </c>
      <c r="F585" s="19">
        <f t="shared" si="175"/>
        <v>3.99166431155267</v>
      </c>
      <c r="G585" s="19">
        <f t="shared" si="176"/>
        <v>3.99166431155267</v>
      </c>
      <c r="H585" s="19">
        <f t="shared" si="177"/>
        <v>3.99166431155267</v>
      </c>
      <c r="I585" s="17"/>
      <c r="J585" s="19">
        <f t="shared" si="178"/>
        <v>79.576318217671783</v>
      </c>
      <c r="K585" s="19">
        <f t="shared" si="179"/>
        <v>1.3157598198758396</v>
      </c>
      <c r="L585" s="19">
        <f t="shared" si="180"/>
        <v>2.9200601099016148</v>
      </c>
      <c r="M585" s="19">
        <f t="shared" si="181"/>
        <v>2.9200601099016148</v>
      </c>
      <c r="N585" s="19">
        <f t="shared" si="182"/>
        <v>2.9200601099016148</v>
      </c>
      <c r="O585" s="17"/>
      <c r="P585" s="19">
        <f t="shared" si="172"/>
        <v>8.2684794406929161</v>
      </c>
      <c r="Q585" s="19">
        <f t="shared" si="187"/>
        <v>28.440298711633716</v>
      </c>
      <c r="R585" s="19">
        <f t="shared" si="188"/>
        <v>0</v>
      </c>
      <c r="S585" s="19">
        <f t="shared" si="189"/>
        <v>0</v>
      </c>
      <c r="T585" s="19">
        <f t="shared" si="190"/>
        <v>0</v>
      </c>
      <c r="U585" s="17"/>
      <c r="V585" s="19">
        <f t="shared" si="183"/>
        <v>36.70877815232663</v>
      </c>
      <c r="W585" s="17"/>
      <c r="X585" s="19">
        <f t="shared" si="184"/>
        <v>14.645407366736725</v>
      </c>
      <c r="Y585" s="19">
        <f t="shared" si="185"/>
        <v>3.8269318476733716</v>
      </c>
      <c r="Z585" s="19"/>
      <c r="AA585" s="19">
        <f t="shared" si="186"/>
        <v>2.4871158805875032E-5</v>
      </c>
    </row>
    <row r="586" spans="2:27" x14ac:dyDescent="0.35">
      <c r="B586" s="27">
        <v>54.8</v>
      </c>
      <c r="C586" s="27">
        <v>29.785710000000002</v>
      </c>
      <c r="D586" s="19">
        <f t="shared" si="173"/>
        <v>84.093534094851535</v>
      </c>
      <c r="E586" s="19">
        <f t="shared" si="174"/>
        <v>1.5962990572564006</v>
      </c>
      <c r="F586" s="19">
        <f t="shared" si="175"/>
        <v>4.0027754226637811</v>
      </c>
      <c r="G586" s="19">
        <f t="shared" si="176"/>
        <v>4.0027754226637811</v>
      </c>
      <c r="H586" s="19">
        <f t="shared" si="177"/>
        <v>4.0027754226637811</v>
      </c>
      <c r="I586" s="17"/>
      <c r="J586" s="19">
        <f t="shared" si="178"/>
        <v>79.715075375431198</v>
      </c>
      <c r="K586" s="19">
        <f t="shared" si="179"/>
        <v>1.3192418452926087</v>
      </c>
      <c r="L586" s="19">
        <f t="shared" si="180"/>
        <v>2.9283397861241274</v>
      </c>
      <c r="M586" s="19">
        <f t="shared" si="181"/>
        <v>2.9283397861241274</v>
      </c>
      <c r="N586" s="19">
        <f t="shared" si="182"/>
        <v>2.9283397861241274</v>
      </c>
      <c r="O586" s="17"/>
      <c r="P586" s="19">
        <f t="shared" si="172"/>
        <v>8.2398972091418301</v>
      </c>
      <c r="Q586" s="19">
        <f t="shared" si="187"/>
        <v>28.322646458686599</v>
      </c>
      <c r="R586" s="19">
        <f t="shared" si="188"/>
        <v>0</v>
      </c>
      <c r="S586" s="19">
        <f t="shared" si="189"/>
        <v>0</v>
      </c>
      <c r="T586" s="19">
        <f t="shared" si="190"/>
        <v>0</v>
      </c>
      <c r="U586" s="17"/>
      <c r="V586" s="19">
        <f t="shared" si="183"/>
        <v>36.562543667828429</v>
      </c>
      <c r="W586" s="17"/>
      <c r="X586" s="19">
        <f t="shared" si="184"/>
        <v>45.925474561412891</v>
      </c>
      <c r="Y586" s="19">
        <f t="shared" si="185"/>
        <v>6.7768336678284271</v>
      </c>
      <c r="Z586" s="19"/>
      <c r="AA586" s="19">
        <f t="shared" si="186"/>
        <v>4.4042515796572631E-5</v>
      </c>
    </row>
    <row r="587" spans="2:27" x14ac:dyDescent="0.35">
      <c r="B587" s="27">
        <v>54.9</v>
      </c>
      <c r="C587" s="27">
        <v>27.785710000000002</v>
      </c>
      <c r="D587" s="19">
        <f t="shared" si="173"/>
        <v>84.234033433274021</v>
      </c>
      <c r="E587" s="19">
        <f t="shared" si="174"/>
        <v>1.6024239860835232</v>
      </c>
      <c r="F587" s="19">
        <f t="shared" si="175"/>
        <v>4.0138865337748912</v>
      </c>
      <c r="G587" s="19">
        <f t="shared" si="176"/>
        <v>4.0138865337748912</v>
      </c>
      <c r="H587" s="19">
        <f t="shared" si="177"/>
        <v>4.0138865337748912</v>
      </c>
      <c r="I587" s="17"/>
      <c r="J587" s="19">
        <f t="shared" si="178"/>
        <v>79.853835525632192</v>
      </c>
      <c r="K587" s="19">
        <f t="shared" si="179"/>
        <v>1.3227278379490504</v>
      </c>
      <c r="L587" s="19">
        <f t="shared" si="180"/>
        <v>2.9366254259651927</v>
      </c>
      <c r="M587" s="19">
        <f t="shared" si="181"/>
        <v>2.9366254259651927</v>
      </c>
      <c r="N587" s="19">
        <f t="shared" si="182"/>
        <v>2.9366254259651927</v>
      </c>
      <c r="O587" s="17"/>
      <c r="P587" s="19">
        <f t="shared" si="172"/>
        <v>8.2114623154233453</v>
      </c>
      <c r="Q587" s="19">
        <f t="shared" si="187"/>
        <v>28.205608212120833</v>
      </c>
      <c r="R587" s="19">
        <f t="shared" si="188"/>
        <v>0</v>
      </c>
      <c r="S587" s="19">
        <f t="shared" si="189"/>
        <v>0</v>
      </c>
      <c r="T587" s="19">
        <f t="shared" si="190"/>
        <v>0</v>
      </c>
      <c r="U587" s="17"/>
      <c r="V587" s="19">
        <f t="shared" si="183"/>
        <v>36.417070527544176</v>
      </c>
      <c r="W587" s="17"/>
      <c r="X587" s="19">
        <f t="shared" si="184"/>
        <v>74.500384556447656</v>
      </c>
      <c r="Y587" s="19">
        <f t="shared" si="185"/>
        <v>8.6313605275441745</v>
      </c>
      <c r="Z587" s="19"/>
      <c r="AA587" s="19">
        <f t="shared" si="186"/>
        <v>5.6095051319459679E-5</v>
      </c>
    </row>
    <row r="588" spans="2:27" x14ac:dyDescent="0.35">
      <c r="B588" s="27">
        <v>55</v>
      </c>
      <c r="C588" s="27">
        <v>36.285710000000002</v>
      </c>
      <c r="D588" s="19">
        <f t="shared" si="173"/>
        <v>84.374532771696522</v>
      </c>
      <c r="E588" s="19">
        <f t="shared" si="174"/>
        <v>1.6085489149106453</v>
      </c>
      <c r="F588" s="19">
        <f t="shared" si="175"/>
        <v>4.0249976448860023</v>
      </c>
      <c r="G588" s="19">
        <f t="shared" si="176"/>
        <v>4.0249976448860023</v>
      </c>
      <c r="H588" s="19">
        <f t="shared" si="177"/>
        <v>4.0249976448860023</v>
      </c>
      <c r="I588" s="17"/>
      <c r="J588" s="19">
        <f t="shared" si="178"/>
        <v>79.992598658076616</v>
      </c>
      <c r="K588" s="19">
        <f t="shared" si="179"/>
        <v>1.3262177904456387</v>
      </c>
      <c r="L588" s="19">
        <f t="shared" si="180"/>
        <v>2.9449170086156427</v>
      </c>
      <c r="M588" s="19">
        <f t="shared" si="181"/>
        <v>2.9449170086156427</v>
      </c>
      <c r="N588" s="19">
        <f t="shared" si="182"/>
        <v>2.9449170086156427</v>
      </c>
      <c r="O588" s="17"/>
      <c r="P588" s="19">
        <f t="shared" si="172"/>
        <v>8.1831737517280185</v>
      </c>
      <c r="Q588" s="19">
        <f t="shared" si="187"/>
        <v>28.089180287881948</v>
      </c>
      <c r="R588" s="19">
        <f t="shared" si="188"/>
        <v>0</v>
      </c>
      <c r="S588" s="19">
        <f t="shared" si="189"/>
        <v>0</v>
      </c>
      <c r="T588" s="19">
        <f t="shared" si="190"/>
        <v>0</v>
      </c>
      <c r="U588" s="17"/>
      <c r="V588" s="19">
        <f t="shared" si="183"/>
        <v>36.272354039609965</v>
      </c>
      <c r="W588" s="17"/>
      <c r="X588" s="19">
        <f t="shared" si="184"/>
        <v>1.7838167794022699E-4</v>
      </c>
      <c r="Y588" s="19">
        <f t="shared" si="185"/>
        <v>1.3355960390036614E-2</v>
      </c>
      <c r="Z588" s="19"/>
      <c r="AA588" s="19">
        <f t="shared" si="186"/>
        <v>8.680013783562122E-8</v>
      </c>
    </row>
    <row r="589" spans="2:27" x14ac:dyDescent="0.35">
      <c r="B589" s="27">
        <v>55.1</v>
      </c>
      <c r="C589" s="27">
        <v>41.285710000000002</v>
      </c>
      <c r="D589" s="19">
        <f t="shared" si="173"/>
        <v>84.515032110119009</v>
      </c>
      <c r="E589" s="19">
        <f t="shared" si="174"/>
        <v>1.6146738437377675</v>
      </c>
      <c r="F589" s="19">
        <f t="shared" si="175"/>
        <v>4.0361087559971143</v>
      </c>
      <c r="G589" s="19">
        <f t="shared" si="176"/>
        <v>4.0361087559971143</v>
      </c>
      <c r="H589" s="19">
        <f t="shared" si="177"/>
        <v>4.0361087559971143</v>
      </c>
      <c r="I589" s="17"/>
      <c r="J589" s="19">
        <f t="shared" si="178"/>
        <v>80.131364762618105</v>
      </c>
      <c r="K589" s="19">
        <f t="shared" si="179"/>
        <v>1.3297116953875223</v>
      </c>
      <c r="L589" s="19">
        <f t="shared" si="180"/>
        <v>2.9532145133556651</v>
      </c>
      <c r="M589" s="19">
        <f t="shared" si="181"/>
        <v>2.9532145133556651</v>
      </c>
      <c r="N589" s="19">
        <f t="shared" si="182"/>
        <v>2.9532145133556651</v>
      </c>
      <c r="O589" s="17"/>
      <c r="P589" s="19">
        <f t="shared" si="172"/>
        <v>8.1550305188272638</v>
      </c>
      <c r="Q589" s="19">
        <f t="shared" si="187"/>
        <v>27.973359025868696</v>
      </c>
      <c r="R589" s="19">
        <f t="shared" si="188"/>
        <v>0</v>
      </c>
      <c r="S589" s="19">
        <f t="shared" si="189"/>
        <v>0</v>
      </c>
      <c r="T589" s="19">
        <f t="shared" si="190"/>
        <v>0</v>
      </c>
      <c r="U589" s="17"/>
      <c r="V589" s="19">
        <f t="shared" si="183"/>
        <v>36.128389544695963</v>
      </c>
      <c r="W589" s="17"/>
      <c r="X589" s="19">
        <f t="shared" si="184"/>
        <v>26.597954278697454</v>
      </c>
      <c r="Y589" s="19">
        <f t="shared" si="185"/>
        <v>5.1573204553040384</v>
      </c>
      <c r="Z589" s="19"/>
      <c r="AA589" s="19">
        <f t="shared" si="186"/>
        <v>3.3517329589926414E-5</v>
      </c>
    </row>
    <row r="590" spans="2:27" x14ac:dyDescent="0.35">
      <c r="B590" s="27">
        <v>55.2</v>
      </c>
      <c r="C590" s="27">
        <v>39.035710000000002</v>
      </c>
      <c r="D590" s="19">
        <f t="shared" si="173"/>
        <v>84.655531448541495</v>
      </c>
      <c r="E590" s="19">
        <f t="shared" si="174"/>
        <v>1.62079877256489</v>
      </c>
      <c r="F590" s="19">
        <f t="shared" si="175"/>
        <v>4.0472198671082253</v>
      </c>
      <c r="G590" s="19">
        <f t="shared" si="176"/>
        <v>4.0472198671082253</v>
      </c>
      <c r="H590" s="19">
        <f t="shared" si="177"/>
        <v>4.0472198671082253</v>
      </c>
      <c r="I590" s="17"/>
      <c r="J590" s="19">
        <f t="shared" si="178"/>
        <v>80.270133829161807</v>
      </c>
      <c r="K590" s="19">
        <f t="shared" si="179"/>
        <v>1.3332095453846273</v>
      </c>
      <c r="L590" s="19">
        <f t="shared" si="180"/>
        <v>2.9615179195544283</v>
      </c>
      <c r="M590" s="19">
        <f t="shared" si="181"/>
        <v>2.9615179195544283</v>
      </c>
      <c r="N590" s="19">
        <f t="shared" si="182"/>
        <v>2.9615179195544283</v>
      </c>
      <c r="O590" s="17"/>
      <c r="P590" s="19">
        <f t="shared" si="172"/>
        <v>8.127031625985996</v>
      </c>
      <c r="Q590" s="19">
        <f t="shared" si="187"/>
        <v>27.858140789772477</v>
      </c>
      <c r="R590" s="19">
        <f t="shared" si="188"/>
        <v>0</v>
      </c>
      <c r="S590" s="19">
        <f t="shared" si="189"/>
        <v>0</v>
      </c>
      <c r="T590" s="19">
        <f t="shared" si="190"/>
        <v>0</v>
      </c>
      <c r="U590" s="17"/>
      <c r="V590" s="19">
        <f t="shared" si="183"/>
        <v>35.98517241575847</v>
      </c>
      <c r="W590" s="17"/>
      <c r="X590" s="19">
        <f t="shared" si="184"/>
        <v>9.3057795528701615</v>
      </c>
      <c r="Y590" s="19">
        <f t="shared" si="185"/>
        <v>3.0505375842415319</v>
      </c>
      <c r="Z590" s="19"/>
      <c r="AA590" s="19">
        <f t="shared" si="186"/>
        <v>1.9825386947271565E-5</v>
      </c>
    </row>
    <row r="591" spans="2:27" x14ac:dyDescent="0.35">
      <c r="B591" s="27">
        <v>55.3</v>
      </c>
      <c r="C591" s="27">
        <v>33.785710000000002</v>
      </c>
      <c r="D591" s="19">
        <f t="shared" si="173"/>
        <v>84.796030786963982</v>
      </c>
      <c r="E591" s="19">
        <f t="shared" si="174"/>
        <v>1.6269237013920117</v>
      </c>
      <c r="F591" s="19">
        <f t="shared" si="175"/>
        <v>4.0583309782193364</v>
      </c>
      <c r="G591" s="19">
        <f t="shared" si="176"/>
        <v>4.0583309782193364</v>
      </c>
      <c r="H591" s="19">
        <f t="shared" si="177"/>
        <v>4.0583309782193364</v>
      </c>
      <c r="I591" s="17"/>
      <c r="J591" s="19">
        <f t="shared" si="178"/>
        <v>80.408905847663974</v>
      </c>
      <c r="K591" s="19">
        <f t="shared" si="179"/>
        <v>1.3367113330517568</v>
      </c>
      <c r="L591" s="19">
        <f t="shared" si="180"/>
        <v>2.9698272066697124</v>
      </c>
      <c r="M591" s="19">
        <f t="shared" si="181"/>
        <v>2.9698272066697124</v>
      </c>
      <c r="N591" s="19">
        <f t="shared" si="182"/>
        <v>2.9698272066697124</v>
      </c>
      <c r="O591" s="17"/>
      <c r="P591" s="19">
        <f t="shared" si="172"/>
        <v>8.0991760908763304</v>
      </c>
      <c r="Q591" s="19">
        <f t="shared" si="187"/>
        <v>27.743521966917967</v>
      </c>
      <c r="R591" s="19">
        <f t="shared" si="188"/>
        <v>0</v>
      </c>
      <c r="S591" s="19">
        <f t="shared" si="189"/>
        <v>0</v>
      </c>
      <c r="T591" s="19">
        <f t="shared" si="190"/>
        <v>0</v>
      </c>
      <c r="U591" s="17"/>
      <c r="V591" s="19">
        <f t="shared" si="183"/>
        <v>35.842698057794294</v>
      </c>
      <c r="W591" s="17"/>
      <c r="X591" s="19">
        <f t="shared" si="184"/>
        <v>4.2311998699083357</v>
      </c>
      <c r="Y591" s="19">
        <f t="shared" si="185"/>
        <v>2.0569880577942925</v>
      </c>
      <c r="Z591" s="19"/>
      <c r="AA591" s="19">
        <f t="shared" si="186"/>
        <v>1.33683270785952E-5</v>
      </c>
    </row>
    <row r="592" spans="2:27" x14ac:dyDescent="0.35">
      <c r="B592" s="27">
        <v>55.4</v>
      </c>
      <c r="C592" s="27">
        <v>17.285710000000002</v>
      </c>
      <c r="D592" s="19">
        <f t="shared" si="173"/>
        <v>84.936530125386483</v>
      </c>
      <c r="E592" s="19">
        <f t="shared" si="174"/>
        <v>1.6330486302191343</v>
      </c>
      <c r="F592" s="19">
        <f t="shared" si="175"/>
        <v>4.0694420893304466</v>
      </c>
      <c r="G592" s="19">
        <f t="shared" si="176"/>
        <v>4.0694420893304466</v>
      </c>
      <c r="H592" s="19">
        <f t="shared" si="177"/>
        <v>4.0694420893304466</v>
      </c>
      <c r="I592" s="17"/>
      <c r="J592" s="19">
        <f t="shared" si="178"/>
        <v>80.547680808131673</v>
      </c>
      <c r="K592" s="19">
        <f t="shared" si="179"/>
        <v>1.3402170510086953</v>
      </c>
      <c r="L592" s="19">
        <f t="shared" si="180"/>
        <v>2.9781423542475305</v>
      </c>
      <c r="M592" s="19">
        <f t="shared" si="181"/>
        <v>2.9781423542475305</v>
      </c>
      <c r="N592" s="19">
        <f t="shared" si="182"/>
        <v>2.9781423542475305</v>
      </c>
      <c r="O592" s="17"/>
      <c r="P592" s="19">
        <f t="shared" si="172"/>
        <v>8.071462939492287</v>
      </c>
      <c r="Q592" s="19">
        <f t="shared" si="187"/>
        <v>27.629498968104574</v>
      </c>
      <c r="R592" s="19">
        <f t="shared" si="188"/>
        <v>0</v>
      </c>
      <c r="S592" s="19">
        <f t="shared" si="189"/>
        <v>0</v>
      </c>
      <c r="T592" s="19">
        <f t="shared" si="190"/>
        <v>0</v>
      </c>
      <c r="U592" s="17"/>
      <c r="V592" s="19">
        <f t="shared" si="183"/>
        <v>35.700961907596863</v>
      </c>
      <c r="W592" s="17"/>
      <c r="X592" s="19">
        <f t="shared" si="184"/>
        <v>339.12150282024982</v>
      </c>
      <c r="Y592" s="19">
        <f t="shared" si="185"/>
        <v>18.415251907596861</v>
      </c>
      <c r="Z592" s="19"/>
      <c r="AA592" s="19">
        <f t="shared" si="186"/>
        <v>1.1968037918482568E-4</v>
      </c>
    </row>
    <row r="593" spans="2:27" x14ac:dyDescent="0.35">
      <c r="B593" s="27">
        <v>55.5</v>
      </c>
      <c r="C593" s="27">
        <v>37.785710000000002</v>
      </c>
      <c r="D593" s="19">
        <f t="shared" si="173"/>
        <v>85.077029463808969</v>
      </c>
      <c r="E593" s="19">
        <f t="shared" si="174"/>
        <v>1.6391735590462568</v>
      </c>
      <c r="F593" s="19">
        <f t="shared" si="175"/>
        <v>4.0805532004415586</v>
      </c>
      <c r="G593" s="19">
        <f t="shared" si="176"/>
        <v>4.0805532004415586</v>
      </c>
      <c r="H593" s="19">
        <f t="shared" si="177"/>
        <v>4.0805532004415586</v>
      </c>
      <c r="I593" s="17"/>
      <c r="J593" s="19">
        <f t="shared" si="178"/>
        <v>80.686458700622367</v>
      </c>
      <c r="K593" s="19">
        <f t="shared" si="179"/>
        <v>1.3437266918803048</v>
      </c>
      <c r="L593" s="19">
        <f t="shared" si="180"/>
        <v>2.9864633419217599</v>
      </c>
      <c r="M593" s="19">
        <f t="shared" si="181"/>
        <v>2.9864633419217599</v>
      </c>
      <c r="N593" s="19">
        <f t="shared" si="182"/>
        <v>2.9864633419217599</v>
      </c>
      <c r="O593" s="17"/>
      <c r="P593" s="19">
        <f t="shared" si="172"/>
        <v>8.0438912060655294</v>
      </c>
      <c r="Q593" s="19">
        <f t="shared" si="187"/>
        <v>27.516068227449118</v>
      </c>
      <c r="R593" s="19">
        <f t="shared" si="188"/>
        <v>0</v>
      </c>
      <c r="S593" s="19">
        <f t="shared" si="189"/>
        <v>0</v>
      </c>
      <c r="T593" s="19">
        <f t="shared" si="190"/>
        <v>0</v>
      </c>
      <c r="U593" s="17"/>
      <c r="V593" s="19">
        <f t="shared" si="183"/>
        <v>35.559959433514649</v>
      </c>
      <c r="W593" s="17"/>
      <c r="X593" s="19">
        <f t="shared" si="184"/>
        <v>4.9539655842098673</v>
      </c>
      <c r="Y593" s="19">
        <f t="shared" si="185"/>
        <v>2.2257505664853525</v>
      </c>
      <c r="Z593" s="19"/>
      <c r="AA593" s="19">
        <f t="shared" si="186"/>
        <v>1.4465111479572977E-5</v>
      </c>
    </row>
    <row r="594" spans="2:27" x14ac:dyDescent="0.35">
      <c r="B594" s="27">
        <v>55.6</v>
      </c>
      <c r="C594" s="27">
        <v>41.285710000000002</v>
      </c>
      <c r="D594" s="19">
        <f t="shared" si="173"/>
        <v>85.217528802231456</v>
      </c>
      <c r="E594" s="19">
        <f t="shared" si="174"/>
        <v>1.645298487873379</v>
      </c>
      <c r="F594" s="19">
        <f t="shared" si="175"/>
        <v>4.0916643115526696</v>
      </c>
      <c r="G594" s="19">
        <f t="shared" si="176"/>
        <v>4.0916643115526696</v>
      </c>
      <c r="H594" s="19">
        <f t="shared" si="177"/>
        <v>4.0916643115526696</v>
      </c>
      <c r="I594" s="17"/>
      <c r="J594" s="19">
        <f t="shared" si="178"/>
        <v>80.825239515243666</v>
      </c>
      <c r="K594" s="19">
        <f t="shared" si="179"/>
        <v>1.3472402482966261</v>
      </c>
      <c r="L594" s="19">
        <f t="shared" si="180"/>
        <v>2.9947901494137636</v>
      </c>
      <c r="M594" s="19">
        <f t="shared" si="181"/>
        <v>2.9947901494137636</v>
      </c>
      <c r="N594" s="19">
        <f t="shared" si="182"/>
        <v>2.9947901494137636</v>
      </c>
      <c r="O594" s="17"/>
      <c r="P594" s="19">
        <f t="shared" si="172"/>
        <v>8.0164599329820394</v>
      </c>
      <c r="Q594" s="19">
        <f t="shared" si="187"/>
        <v>27.403226202229419</v>
      </c>
      <c r="R594" s="19">
        <f t="shared" si="188"/>
        <v>0</v>
      </c>
      <c r="S594" s="19">
        <f t="shared" si="189"/>
        <v>0</v>
      </c>
      <c r="T594" s="19">
        <f t="shared" si="190"/>
        <v>0</v>
      </c>
      <c r="U594" s="17"/>
      <c r="V594" s="19">
        <f t="shared" si="183"/>
        <v>35.419686135211457</v>
      </c>
      <c r="W594" s="17"/>
      <c r="X594" s="19">
        <f t="shared" si="184"/>
        <v>34.410235982268738</v>
      </c>
      <c r="Y594" s="19">
        <f t="shared" si="185"/>
        <v>5.866023864788545</v>
      </c>
      <c r="Z594" s="19"/>
      <c r="AA594" s="19">
        <f t="shared" si="186"/>
        <v>3.812317984938958E-5</v>
      </c>
    </row>
    <row r="595" spans="2:27" x14ac:dyDescent="0.35">
      <c r="B595" s="27">
        <v>55.7</v>
      </c>
      <c r="C595" s="27">
        <v>53.285710000000002</v>
      </c>
      <c r="D595" s="19">
        <f t="shared" si="173"/>
        <v>85.358028140653957</v>
      </c>
      <c r="E595" s="19">
        <f t="shared" si="174"/>
        <v>1.6514234167005015</v>
      </c>
      <c r="F595" s="19">
        <f t="shared" si="175"/>
        <v>4.1027754226637807</v>
      </c>
      <c r="G595" s="19">
        <f t="shared" si="176"/>
        <v>4.1027754226637807</v>
      </c>
      <c r="H595" s="19">
        <f t="shared" si="177"/>
        <v>4.1027754226637807</v>
      </c>
      <c r="I595" s="17"/>
      <c r="J595" s="19">
        <f t="shared" si="178"/>
        <v>80.964023242152962</v>
      </c>
      <c r="K595" s="19">
        <f t="shared" si="179"/>
        <v>1.3507577128929766</v>
      </c>
      <c r="L595" s="19">
        <f t="shared" si="180"/>
        <v>3.0031227565320262</v>
      </c>
      <c r="M595" s="19">
        <f t="shared" si="181"/>
        <v>3.0031227565320262</v>
      </c>
      <c r="N595" s="19">
        <f t="shared" si="182"/>
        <v>3.0031227565320262</v>
      </c>
      <c r="O595" s="17"/>
      <c r="P595" s="19">
        <f t="shared" si="172"/>
        <v>7.989168170699835</v>
      </c>
      <c r="Q595" s="19">
        <f t="shared" si="187"/>
        <v>27.290969372728934</v>
      </c>
      <c r="R595" s="19">
        <f t="shared" si="188"/>
        <v>0</v>
      </c>
      <c r="S595" s="19">
        <f t="shared" si="189"/>
        <v>0</v>
      </c>
      <c r="T595" s="19">
        <f t="shared" si="190"/>
        <v>0</v>
      </c>
      <c r="U595" s="17"/>
      <c r="V595" s="19">
        <f t="shared" si="183"/>
        <v>35.280137543428772</v>
      </c>
      <c r="W595" s="17"/>
      <c r="X595" s="19">
        <f t="shared" si="184"/>
        <v>324.20063948883649</v>
      </c>
      <c r="Y595" s="19">
        <f t="shared" si="185"/>
        <v>18.00557245657123</v>
      </c>
      <c r="Z595" s="19"/>
      <c r="AA595" s="19">
        <f t="shared" si="186"/>
        <v>1.1701788006241333E-4</v>
      </c>
    </row>
    <row r="596" spans="2:27" x14ac:dyDescent="0.35">
      <c r="B596" s="27">
        <v>55.8</v>
      </c>
      <c r="C596" s="27">
        <v>41.535710000000002</v>
      </c>
      <c r="D596" s="19">
        <f t="shared" si="173"/>
        <v>85.498527479076444</v>
      </c>
      <c r="E596" s="19">
        <f t="shared" si="174"/>
        <v>1.6575483455276232</v>
      </c>
      <c r="F596" s="19">
        <f t="shared" si="175"/>
        <v>4.1138865337748918</v>
      </c>
      <c r="G596" s="19">
        <f t="shared" si="176"/>
        <v>4.1138865337748918</v>
      </c>
      <c r="H596" s="19">
        <f t="shared" si="177"/>
        <v>4.1138865337748918</v>
      </c>
      <c r="I596" s="17"/>
      <c r="J596" s="19">
        <f t="shared" si="178"/>
        <v>81.102809871557028</v>
      </c>
      <c r="K596" s="19">
        <f t="shared" si="179"/>
        <v>1.3542790783100451</v>
      </c>
      <c r="L596" s="19">
        <f t="shared" si="180"/>
        <v>3.0114611431717773</v>
      </c>
      <c r="M596" s="19">
        <f t="shared" si="181"/>
        <v>3.0114611431717773</v>
      </c>
      <c r="N596" s="19">
        <f t="shared" si="182"/>
        <v>3.0114611431717773</v>
      </c>
      <c r="O596" s="17"/>
      <c r="P596" s="19">
        <f t="shared" si="172"/>
        <v>7.9620149776676197</v>
      </c>
      <c r="Q596" s="19">
        <f t="shared" si="187"/>
        <v>27.179294242082502</v>
      </c>
      <c r="R596" s="19">
        <f t="shared" si="188"/>
        <v>0</v>
      </c>
      <c r="S596" s="19">
        <f t="shared" si="189"/>
        <v>0</v>
      </c>
      <c r="T596" s="19">
        <f t="shared" si="190"/>
        <v>0</v>
      </c>
      <c r="U596" s="17"/>
      <c r="V596" s="19">
        <f t="shared" si="183"/>
        <v>35.14130921975012</v>
      </c>
      <c r="W596" s="17"/>
      <c r="X596" s="19">
        <f t="shared" si="184"/>
        <v>40.888361338460292</v>
      </c>
      <c r="Y596" s="19">
        <f t="shared" si="185"/>
        <v>6.3944007802498817</v>
      </c>
      <c r="Z596" s="19"/>
      <c r="AA596" s="19">
        <f t="shared" si="186"/>
        <v>4.1557091582567358E-5</v>
      </c>
    </row>
    <row r="597" spans="2:27" x14ac:dyDescent="0.35">
      <c r="B597" s="27">
        <v>55.9</v>
      </c>
      <c r="C597" s="27">
        <v>47.785710000000002</v>
      </c>
      <c r="D597" s="19">
        <f t="shared" si="173"/>
        <v>85.63902681749893</v>
      </c>
      <c r="E597" s="19">
        <f t="shared" si="174"/>
        <v>1.6636732743547453</v>
      </c>
      <c r="F597" s="19">
        <f t="shared" si="175"/>
        <v>4.124997644886002</v>
      </c>
      <c r="G597" s="19">
        <f t="shared" si="176"/>
        <v>4.124997644886002</v>
      </c>
      <c r="H597" s="19">
        <f t="shared" si="177"/>
        <v>4.124997644886002</v>
      </c>
      <c r="I597" s="17"/>
      <c r="J597" s="19">
        <f t="shared" si="178"/>
        <v>81.241599393711809</v>
      </c>
      <c r="K597" s="19">
        <f t="shared" si="179"/>
        <v>1.3578043371939905</v>
      </c>
      <c r="L597" s="19">
        <f t="shared" si="180"/>
        <v>3.0198052893146237</v>
      </c>
      <c r="M597" s="19">
        <f t="shared" si="181"/>
        <v>3.0198052893146237</v>
      </c>
      <c r="N597" s="19">
        <f t="shared" si="182"/>
        <v>3.0198052893146237</v>
      </c>
      <c r="O597" s="17"/>
      <c r="P597" s="19">
        <f t="shared" si="172"/>
        <v>7.9349994202443774</v>
      </c>
      <c r="Q597" s="19">
        <f t="shared" si="187"/>
        <v>27.068197336122907</v>
      </c>
      <c r="R597" s="19">
        <f t="shared" si="188"/>
        <v>0</v>
      </c>
      <c r="S597" s="19">
        <f t="shared" si="189"/>
        <v>0</v>
      </c>
      <c r="T597" s="19">
        <f t="shared" si="190"/>
        <v>0</v>
      </c>
      <c r="U597" s="17"/>
      <c r="V597" s="19">
        <f t="shared" si="183"/>
        <v>35.003196756367288</v>
      </c>
      <c r="W597" s="17"/>
      <c r="X597" s="19">
        <f t="shared" si="184"/>
        <v>163.39264482364572</v>
      </c>
      <c r="Y597" s="19">
        <f t="shared" si="185"/>
        <v>12.782513243632714</v>
      </c>
      <c r="Z597" s="19"/>
      <c r="AA597" s="19">
        <f t="shared" si="186"/>
        <v>8.3073315510928347E-5</v>
      </c>
    </row>
    <row r="598" spans="2:27" x14ac:dyDescent="0.35">
      <c r="B598" s="27">
        <v>56</v>
      </c>
      <c r="C598" s="27">
        <v>27.035710000000002</v>
      </c>
      <c r="D598" s="19">
        <f t="shared" si="173"/>
        <v>85.779526155921417</v>
      </c>
      <c r="E598" s="19">
        <f t="shared" si="174"/>
        <v>1.6697982031818679</v>
      </c>
      <c r="F598" s="19">
        <f t="shared" si="175"/>
        <v>4.1361087559971139</v>
      </c>
      <c r="G598" s="19">
        <f t="shared" si="176"/>
        <v>4.1361087559971139</v>
      </c>
      <c r="H598" s="19">
        <f t="shared" si="177"/>
        <v>4.1361087559971139</v>
      </c>
      <c r="I598" s="17"/>
      <c r="J598" s="19">
        <f t="shared" si="178"/>
        <v>81.380391798921977</v>
      </c>
      <c r="K598" s="19">
        <f t="shared" si="179"/>
        <v>1.3613334821965348</v>
      </c>
      <c r="L598" s="19">
        <f t="shared" si="180"/>
        <v>3.0281551750281821</v>
      </c>
      <c r="M598" s="19">
        <f t="shared" si="181"/>
        <v>3.0281551750281821</v>
      </c>
      <c r="N598" s="19">
        <f t="shared" si="182"/>
        <v>3.0281551750281821</v>
      </c>
      <c r="O598" s="17"/>
      <c r="P598" s="19">
        <f t="shared" si="172"/>
        <v>7.9081205726199455</v>
      </c>
      <c r="Q598" s="19">
        <f t="shared" si="187"/>
        <v>26.957675203228678</v>
      </c>
      <c r="R598" s="19">
        <f t="shared" si="188"/>
        <v>0</v>
      </c>
      <c r="S598" s="19">
        <f t="shared" si="189"/>
        <v>0</v>
      </c>
      <c r="T598" s="19">
        <f t="shared" si="190"/>
        <v>0</v>
      </c>
      <c r="U598" s="17"/>
      <c r="V598" s="19">
        <f t="shared" si="183"/>
        <v>34.865795775848625</v>
      </c>
      <c r="W598" s="17"/>
      <c r="X598" s="19">
        <f t="shared" si="184"/>
        <v>61.310243257146936</v>
      </c>
      <c r="Y598" s="19">
        <f t="shared" si="185"/>
        <v>7.8300857758486231</v>
      </c>
      <c r="Z598" s="19"/>
      <c r="AA598" s="19">
        <f t="shared" si="186"/>
        <v>5.0887581631000506E-5</v>
      </c>
    </row>
    <row r="599" spans="2:27" x14ac:dyDescent="0.35">
      <c r="B599" s="27">
        <v>56.1</v>
      </c>
      <c r="C599" s="27">
        <v>33.285710000000002</v>
      </c>
      <c r="D599" s="19">
        <f t="shared" si="173"/>
        <v>85.920025494343918</v>
      </c>
      <c r="E599" s="19">
        <f t="shared" si="174"/>
        <v>1.6759231320089905</v>
      </c>
      <c r="F599" s="19">
        <f t="shared" si="175"/>
        <v>4.147219867108225</v>
      </c>
      <c r="G599" s="19">
        <f t="shared" si="176"/>
        <v>4.147219867108225</v>
      </c>
      <c r="H599" s="19">
        <f t="shared" si="177"/>
        <v>4.147219867108225</v>
      </c>
      <c r="I599" s="17"/>
      <c r="J599" s="19">
        <f t="shared" si="178"/>
        <v>81.519187077540735</v>
      </c>
      <c r="K599" s="19">
        <f t="shared" si="179"/>
        <v>1.3648665059750571</v>
      </c>
      <c r="L599" s="19">
        <f t="shared" si="180"/>
        <v>3.0365107804657021</v>
      </c>
      <c r="M599" s="19">
        <f t="shared" si="181"/>
        <v>3.0365107804657021</v>
      </c>
      <c r="N599" s="19">
        <f t="shared" si="182"/>
        <v>3.0365107804657021</v>
      </c>
      <c r="O599" s="17"/>
      <c r="P599" s="19">
        <f t="shared" si="172"/>
        <v>7.881377516736455</v>
      </c>
      <c r="Q599" s="19">
        <f t="shared" si="187"/>
        <v>26.84772441417272</v>
      </c>
      <c r="R599" s="19">
        <f t="shared" si="188"/>
        <v>0</v>
      </c>
      <c r="S599" s="19">
        <f t="shared" si="189"/>
        <v>0</v>
      </c>
      <c r="T599" s="19">
        <f t="shared" si="190"/>
        <v>0</v>
      </c>
      <c r="U599" s="17"/>
      <c r="V599" s="19">
        <f t="shared" si="183"/>
        <v>34.729101930909174</v>
      </c>
      <c r="W599" s="17"/>
      <c r="X599" s="19">
        <f t="shared" si="184"/>
        <v>2.083380266213708</v>
      </c>
      <c r="Y599" s="19">
        <f t="shared" si="185"/>
        <v>1.4433919309091721</v>
      </c>
      <c r="Z599" s="19"/>
      <c r="AA599" s="19">
        <f t="shared" si="186"/>
        <v>9.3805772774829368E-6</v>
      </c>
    </row>
    <row r="600" spans="2:27" x14ac:dyDescent="0.35">
      <c r="B600" s="27">
        <v>56.2</v>
      </c>
      <c r="C600" s="27">
        <v>27.035710000000002</v>
      </c>
      <c r="D600" s="19">
        <f t="shared" si="173"/>
        <v>86.060524832766404</v>
      </c>
      <c r="E600" s="19">
        <f t="shared" si="174"/>
        <v>1.682048060836113</v>
      </c>
      <c r="F600" s="19">
        <f t="shared" si="175"/>
        <v>4.1583309782193369</v>
      </c>
      <c r="G600" s="19">
        <f t="shared" si="176"/>
        <v>4.1583309782193369</v>
      </c>
      <c r="H600" s="19">
        <f t="shared" si="177"/>
        <v>4.1583309782193369</v>
      </c>
      <c r="I600" s="17"/>
      <c r="J600" s="19">
        <f t="shared" si="178"/>
        <v>81.657985219969348</v>
      </c>
      <c r="K600" s="19">
        <f t="shared" si="179"/>
        <v>1.3684034011926869</v>
      </c>
      <c r="L600" s="19">
        <f t="shared" si="180"/>
        <v>3.0448720858657095</v>
      </c>
      <c r="M600" s="19">
        <f t="shared" si="181"/>
        <v>3.0448720858657095</v>
      </c>
      <c r="N600" s="19">
        <f t="shared" si="182"/>
        <v>3.0448720858657095</v>
      </c>
      <c r="O600" s="17"/>
      <c r="P600" s="19">
        <f t="shared" si="172"/>
        <v>7.8547693422107612</v>
      </c>
      <c r="Q600" s="19">
        <f t="shared" si="187"/>
        <v>26.738341561972042</v>
      </c>
      <c r="R600" s="19">
        <f t="shared" si="188"/>
        <v>0</v>
      </c>
      <c r="S600" s="19">
        <f t="shared" si="189"/>
        <v>0</v>
      </c>
      <c r="T600" s="19">
        <f t="shared" si="190"/>
        <v>0</v>
      </c>
      <c r="U600" s="17"/>
      <c r="V600" s="19">
        <f t="shared" si="183"/>
        <v>34.593110904182801</v>
      </c>
      <c r="W600" s="17"/>
      <c r="X600" s="19">
        <f t="shared" si="184"/>
        <v>57.114308426542991</v>
      </c>
      <c r="Y600" s="19">
        <f t="shared" si="185"/>
        <v>7.5574009041827992</v>
      </c>
      <c r="Z600" s="19"/>
      <c r="AA600" s="19">
        <f t="shared" si="186"/>
        <v>4.9115407728482873E-5</v>
      </c>
    </row>
    <row r="601" spans="2:27" x14ac:dyDescent="0.35">
      <c r="B601" s="27">
        <v>56.3</v>
      </c>
      <c r="C601" s="27">
        <v>44.285710000000002</v>
      </c>
      <c r="D601" s="19">
        <f t="shared" si="173"/>
        <v>86.201024171188891</v>
      </c>
      <c r="E601" s="19">
        <f t="shared" si="174"/>
        <v>1.6881729896632347</v>
      </c>
      <c r="F601" s="19">
        <f t="shared" si="175"/>
        <v>4.1694420893304471</v>
      </c>
      <c r="G601" s="19">
        <f t="shared" si="176"/>
        <v>4.1694420893304471</v>
      </c>
      <c r="H601" s="19">
        <f t="shared" si="177"/>
        <v>4.1694420893304471</v>
      </c>
      <c r="I601" s="17"/>
      <c r="J601" s="19">
        <f t="shared" si="178"/>
        <v>81.796786216656926</v>
      </c>
      <c r="K601" s="19">
        <f t="shared" si="179"/>
        <v>1.3719441605183964</v>
      </c>
      <c r="L601" s="19">
        <f t="shared" si="180"/>
        <v>3.0532390715516278</v>
      </c>
      <c r="M601" s="19">
        <f t="shared" si="181"/>
        <v>3.0532390715516278</v>
      </c>
      <c r="N601" s="19">
        <f t="shared" si="182"/>
        <v>3.0532390715516278</v>
      </c>
      <c r="O601" s="17"/>
      <c r="P601" s="19">
        <f t="shared" si="172"/>
        <v>7.8282951462577177</v>
      </c>
      <c r="Q601" s="19">
        <f t="shared" si="187"/>
        <v>26.629523261738363</v>
      </c>
      <c r="R601" s="19">
        <f t="shared" si="188"/>
        <v>0</v>
      </c>
      <c r="S601" s="19">
        <f t="shared" si="189"/>
        <v>0</v>
      </c>
      <c r="T601" s="19">
        <f t="shared" si="190"/>
        <v>0</v>
      </c>
      <c r="U601" s="17"/>
      <c r="V601" s="19">
        <f t="shared" si="183"/>
        <v>34.457818407996079</v>
      </c>
      <c r="W601" s="17"/>
      <c r="X601" s="19">
        <f t="shared" si="184"/>
        <v>96.587453144181396</v>
      </c>
      <c r="Y601" s="19">
        <f t="shared" si="185"/>
        <v>9.8278915920039225</v>
      </c>
      <c r="Z601" s="19"/>
      <c r="AA601" s="19">
        <f t="shared" si="186"/>
        <v>6.3871284423384298E-5</v>
      </c>
    </row>
    <row r="602" spans="2:27" x14ac:dyDescent="0.35">
      <c r="B602" s="27">
        <v>56.4</v>
      </c>
      <c r="C602" s="27">
        <v>35.285710000000002</v>
      </c>
      <c r="D602" s="19">
        <f t="shared" si="173"/>
        <v>86.341523509611392</v>
      </c>
      <c r="E602" s="19">
        <f t="shared" si="174"/>
        <v>1.6942979184903573</v>
      </c>
      <c r="F602" s="19">
        <f t="shared" si="175"/>
        <v>4.1805532004415591</v>
      </c>
      <c r="G602" s="19">
        <f t="shared" si="176"/>
        <v>4.1805532004415591</v>
      </c>
      <c r="H602" s="19">
        <f t="shared" si="177"/>
        <v>4.1805532004415591</v>
      </c>
      <c r="I602" s="17"/>
      <c r="J602" s="19">
        <f t="shared" si="178"/>
        <v>81.935590058100104</v>
      </c>
      <c r="K602" s="19">
        <f t="shared" si="179"/>
        <v>1.375488776627092</v>
      </c>
      <c r="L602" s="19">
        <f t="shared" si="180"/>
        <v>3.0616117179314228</v>
      </c>
      <c r="M602" s="19">
        <f t="shared" si="181"/>
        <v>3.0616117179314228</v>
      </c>
      <c r="N602" s="19">
        <f t="shared" si="182"/>
        <v>3.0616117179314228</v>
      </c>
      <c r="O602" s="17"/>
      <c r="P602" s="19">
        <f t="shared" si="172"/>
        <v>7.8019540336143587</v>
      </c>
      <c r="Q602" s="19">
        <f t="shared" si="187"/>
        <v>26.521266150529801</v>
      </c>
      <c r="R602" s="19">
        <f t="shared" si="188"/>
        <v>0</v>
      </c>
      <c r="S602" s="19">
        <f t="shared" si="189"/>
        <v>0</v>
      </c>
      <c r="T602" s="19">
        <f t="shared" si="190"/>
        <v>0</v>
      </c>
      <c r="U602" s="17"/>
      <c r="V602" s="19">
        <f t="shared" si="183"/>
        <v>34.323220184144162</v>
      </c>
      <c r="W602" s="17"/>
      <c r="X602" s="19">
        <f t="shared" si="184"/>
        <v>0.92638664562620776</v>
      </c>
      <c r="Y602" s="19">
        <f t="shared" si="185"/>
        <v>0.96248981585583948</v>
      </c>
      <c r="Z602" s="19"/>
      <c r="AA602" s="19">
        <f t="shared" si="186"/>
        <v>6.2552033879938394E-6</v>
      </c>
    </row>
    <row r="603" spans="2:27" x14ac:dyDescent="0.35">
      <c r="B603" s="27">
        <v>56.5</v>
      </c>
      <c r="C603" s="27">
        <v>21.535710000000002</v>
      </c>
      <c r="D603" s="19">
        <f t="shared" si="173"/>
        <v>86.482022848033878</v>
      </c>
      <c r="E603" s="19">
        <f t="shared" si="174"/>
        <v>1.7004228473174789</v>
      </c>
      <c r="F603" s="19">
        <f t="shared" si="175"/>
        <v>4.1916643115526693</v>
      </c>
      <c r="G603" s="19">
        <f t="shared" si="176"/>
        <v>4.1916643115526693</v>
      </c>
      <c r="H603" s="19">
        <f t="shared" si="177"/>
        <v>4.1916643115526693</v>
      </c>
      <c r="I603" s="17"/>
      <c r="J603" s="19">
        <f t="shared" si="178"/>
        <v>82.074396734842679</v>
      </c>
      <c r="K603" s="19">
        <f t="shared" si="179"/>
        <v>1.3790372421997024</v>
      </c>
      <c r="L603" s="19">
        <f t="shared" si="180"/>
        <v>3.0699900054972256</v>
      </c>
      <c r="M603" s="19">
        <f t="shared" si="181"/>
        <v>3.0699900054972256</v>
      </c>
      <c r="N603" s="19">
        <f t="shared" si="182"/>
        <v>3.0699900054972256</v>
      </c>
      <c r="O603" s="17"/>
      <c r="P603" s="19">
        <f t="shared" si="172"/>
        <v>7.7757451164649813</v>
      </c>
      <c r="Q603" s="19">
        <f t="shared" si="187"/>
        <v>26.413566887203537</v>
      </c>
      <c r="R603" s="19">
        <f t="shared" si="188"/>
        <v>0</v>
      </c>
      <c r="S603" s="19">
        <f t="shared" si="189"/>
        <v>0</v>
      </c>
      <c r="T603" s="19">
        <f t="shared" si="190"/>
        <v>0</v>
      </c>
      <c r="U603" s="17"/>
      <c r="V603" s="19">
        <f t="shared" si="183"/>
        <v>34.189312003668519</v>
      </c>
      <c r="W603" s="17"/>
      <c r="X603" s="19">
        <f t="shared" si="184"/>
        <v>160.11364366724391</v>
      </c>
      <c r="Y603" s="19">
        <f t="shared" si="185"/>
        <v>12.653602003668517</v>
      </c>
      <c r="Z603" s="19"/>
      <c r="AA603" s="19">
        <f t="shared" si="186"/>
        <v>8.2235523763222925E-5</v>
      </c>
    </row>
    <row r="604" spans="2:27" x14ac:dyDescent="0.35">
      <c r="B604" s="27">
        <v>56.6</v>
      </c>
      <c r="C604" s="27">
        <v>42.785710000000002</v>
      </c>
      <c r="D604" s="19">
        <f t="shared" si="173"/>
        <v>86.622522186456365</v>
      </c>
      <c r="E604" s="19">
        <f t="shared" si="174"/>
        <v>1.7065477761446015</v>
      </c>
      <c r="F604" s="19">
        <f t="shared" si="175"/>
        <v>4.2027754226637803</v>
      </c>
      <c r="G604" s="19">
        <f t="shared" si="176"/>
        <v>4.2027754226637803</v>
      </c>
      <c r="H604" s="19">
        <f t="shared" si="177"/>
        <v>4.2027754226637803</v>
      </c>
      <c r="I604" s="17"/>
      <c r="J604" s="19">
        <f t="shared" si="178"/>
        <v>82.213206237475333</v>
      </c>
      <c r="K604" s="19">
        <f t="shared" si="179"/>
        <v>1.3825895499232708</v>
      </c>
      <c r="L604" s="19">
        <f t="shared" si="180"/>
        <v>3.0783739148249785</v>
      </c>
      <c r="M604" s="19">
        <f t="shared" si="181"/>
        <v>3.0783739148249785</v>
      </c>
      <c r="N604" s="19">
        <f t="shared" si="182"/>
        <v>3.0783739148249785</v>
      </c>
      <c r="O604" s="17"/>
      <c r="P604" s="19">
        <f t="shared" si="172"/>
        <v>7.7496675143670641</v>
      </c>
      <c r="Q604" s="19">
        <f t="shared" si="187"/>
        <v>26.306422152269324</v>
      </c>
      <c r="R604" s="19">
        <f t="shared" si="188"/>
        <v>0</v>
      </c>
      <c r="S604" s="19">
        <f t="shared" si="189"/>
        <v>0</v>
      </c>
      <c r="T604" s="19">
        <f t="shared" si="190"/>
        <v>0</v>
      </c>
      <c r="U604" s="17"/>
      <c r="V604" s="19">
        <f t="shared" si="183"/>
        <v>34.056089666636389</v>
      </c>
      <c r="W604" s="17"/>
      <c r="X604" s="19">
        <f t="shared" si="184"/>
        <v>76.206271164675442</v>
      </c>
      <c r="Y604" s="19">
        <f t="shared" si="185"/>
        <v>8.7296203333636129</v>
      </c>
      <c r="Z604" s="19"/>
      <c r="AA604" s="19">
        <f t="shared" si="186"/>
        <v>5.6733639967505625E-5</v>
      </c>
    </row>
    <row r="605" spans="2:27" x14ac:dyDescent="0.35">
      <c r="B605" s="27">
        <v>56.7</v>
      </c>
      <c r="C605" s="27">
        <v>31.035710000000002</v>
      </c>
      <c r="D605" s="19">
        <f t="shared" si="173"/>
        <v>86.763021524878866</v>
      </c>
      <c r="E605" s="19">
        <f t="shared" si="174"/>
        <v>1.7126727049717241</v>
      </c>
      <c r="F605" s="19">
        <f t="shared" si="175"/>
        <v>4.2138865337748923</v>
      </c>
      <c r="G605" s="19">
        <f t="shared" si="176"/>
        <v>4.2138865337748923</v>
      </c>
      <c r="H605" s="19">
        <f t="shared" si="177"/>
        <v>4.2138865337748923</v>
      </c>
      <c r="I605" s="17"/>
      <c r="J605" s="19">
        <f t="shared" si="178"/>
        <v>82.352018556635343</v>
      </c>
      <c r="K605" s="19">
        <f t="shared" si="179"/>
        <v>1.3861456924910398</v>
      </c>
      <c r="L605" s="19">
        <f t="shared" si="180"/>
        <v>3.0867634265740627</v>
      </c>
      <c r="M605" s="19">
        <f t="shared" si="181"/>
        <v>3.0867634265740627</v>
      </c>
      <c r="N605" s="19">
        <f t="shared" si="182"/>
        <v>3.0867634265740627</v>
      </c>
      <c r="O605" s="17"/>
      <c r="P605" s="19">
        <f t="shared" si="172"/>
        <v>7.7237203541780666</v>
      </c>
      <c r="Q605" s="19">
        <f t="shared" si="187"/>
        <v>26.199828647744162</v>
      </c>
      <c r="R605" s="19">
        <f t="shared" si="188"/>
        <v>0</v>
      </c>
      <c r="S605" s="19">
        <f t="shared" si="189"/>
        <v>0</v>
      </c>
      <c r="T605" s="19">
        <f t="shared" si="190"/>
        <v>0</v>
      </c>
      <c r="U605" s="17"/>
      <c r="V605" s="19">
        <f t="shared" si="183"/>
        <v>33.923549001922225</v>
      </c>
      <c r="W605" s="17"/>
      <c r="X605" s="19">
        <f t="shared" si="184"/>
        <v>8.3396141010231446</v>
      </c>
      <c r="Y605" s="19">
        <f t="shared" si="185"/>
        <v>2.8878390019222238</v>
      </c>
      <c r="Z605" s="19"/>
      <c r="AA605" s="19">
        <f t="shared" si="186"/>
        <v>1.876801189085023E-5</v>
      </c>
    </row>
    <row r="606" spans="2:27" x14ac:dyDescent="0.35">
      <c r="B606" s="27">
        <v>56.8</v>
      </c>
      <c r="C606" s="27">
        <v>23.785710000000002</v>
      </c>
      <c r="D606" s="19">
        <f t="shared" si="173"/>
        <v>86.903520863301353</v>
      </c>
      <c r="E606" s="19">
        <f t="shared" si="174"/>
        <v>1.7187976337988458</v>
      </c>
      <c r="F606" s="19">
        <f t="shared" si="175"/>
        <v>4.2249976448860025</v>
      </c>
      <c r="G606" s="19">
        <f t="shared" si="176"/>
        <v>4.2249976448860025</v>
      </c>
      <c r="H606" s="19">
        <f t="shared" si="177"/>
        <v>4.2249976448860025</v>
      </c>
      <c r="I606" s="17"/>
      <c r="J606" s="19">
        <f t="shared" si="178"/>
        <v>82.490833683006201</v>
      </c>
      <c r="K606" s="19">
        <f t="shared" si="179"/>
        <v>1.3897056626025404</v>
      </c>
      <c r="L606" s="19">
        <f t="shared" si="180"/>
        <v>3.0951585214869377</v>
      </c>
      <c r="M606" s="19">
        <f t="shared" si="181"/>
        <v>3.0951585214869377</v>
      </c>
      <c r="N606" s="19">
        <f t="shared" si="182"/>
        <v>3.0951585214869377</v>
      </c>
      <c r="O606" s="17"/>
      <c r="P606" s="19">
        <f t="shared" si="172"/>
        <v>7.6979027699830631</v>
      </c>
      <c r="Q606" s="19">
        <f t="shared" si="187"/>
        <v>26.093783097007776</v>
      </c>
      <c r="R606" s="19">
        <f t="shared" si="188"/>
        <v>0</v>
      </c>
      <c r="S606" s="19">
        <f t="shared" si="189"/>
        <v>0</v>
      </c>
      <c r="T606" s="19">
        <f t="shared" si="190"/>
        <v>0</v>
      </c>
      <c r="U606" s="17"/>
      <c r="V606" s="19">
        <f t="shared" si="183"/>
        <v>33.791685866990839</v>
      </c>
      <c r="W606" s="17"/>
      <c r="X606" s="19">
        <f t="shared" si="184"/>
        <v>100.11955305080305</v>
      </c>
      <c r="Y606" s="19">
        <f t="shared" si="185"/>
        <v>10.005975866990838</v>
      </c>
      <c r="Z606" s="19"/>
      <c r="AA606" s="19">
        <f t="shared" si="186"/>
        <v>6.5028650809911782E-5</v>
      </c>
    </row>
    <row r="607" spans="2:27" x14ac:dyDescent="0.35">
      <c r="B607" s="27">
        <v>56.9</v>
      </c>
      <c r="C607" s="27">
        <v>38.035710000000002</v>
      </c>
      <c r="D607" s="19">
        <f t="shared" si="173"/>
        <v>87.044020201723839</v>
      </c>
      <c r="E607" s="19">
        <f t="shared" si="174"/>
        <v>1.7249225626259683</v>
      </c>
      <c r="F607" s="19">
        <f t="shared" si="175"/>
        <v>4.2361087559971145</v>
      </c>
      <c r="G607" s="19">
        <f t="shared" si="176"/>
        <v>4.2361087559971145</v>
      </c>
      <c r="H607" s="19">
        <f t="shared" si="177"/>
        <v>4.2361087559971145</v>
      </c>
      <c r="I607" s="17"/>
      <c r="J607" s="19">
        <f t="shared" si="178"/>
        <v>82.629651607317385</v>
      </c>
      <c r="K607" s="19">
        <f t="shared" si="179"/>
        <v>1.3932694529636798</v>
      </c>
      <c r="L607" s="19">
        <f t="shared" si="180"/>
        <v>3.1035591803887832</v>
      </c>
      <c r="M607" s="19">
        <f t="shared" si="181"/>
        <v>3.1035591803887832</v>
      </c>
      <c r="N607" s="19">
        <f t="shared" si="182"/>
        <v>3.1035591803887832</v>
      </c>
      <c r="O607" s="17"/>
      <c r="P607" s="19">
        <f t="shared" si="172"/>
        <v>7.6722139030232128</v>
      </c>
      <c r="Q607" s="19">
        <f t="shared" si="187"/>
        <v>25.988282244659029</v>
      </c>
      <c r="R607" s="19">
        <f t="shared" si="188"/>
        <v>0</v>
      </c>
      <c r="S607" s="19">
        <f t="shared" si="189"/>
        <v>0</v>
      </c>
      <c r="T607" s="19">
        <f t="shared" si="190"/>
        <v>0</v>
      </c>
      <c r="U607" s="17"/>
      <c r="V607" s="19">
        <f t="shared" si="183"/>
        <v>33.660496147682238</v>
      </c>
      <c r="W607" s="17"/>
      <c r="X607" s="19">
        <f t="shared" si="184"/>
        <v>19.142496253513244</v>
      </c>
      <c r="Y607" s="19">
        <f t="shared" si="185"/>
        <v>4.3752138523177635</v>
      </c>
      <c r="Z607" s="19"/>
      <c r="AA607" s="19">
        <f t="shared" si="186"/>
        <v>2.8434433342944352E-5</v>
      </c>
    </row>
    <row r="608" spans="2:27" x14ac:dyDescent="0.35">
      <c r="B608" s="27">
        <v>57</v>
      </c>
      <c r="C608" s="27">
        <v>31.035710000000002</v>
      </c>
      <c r="D608" s="19">
        <f t="shared" si="173"/>
        <v>87.184519540146326</v>
      </c>
      <c r="E608" s="19">
        <f t="shared" si="174"/>
        <v>1.7310474914530909</v>
      </c>
      <c r="F608" s="19">
        <f t="shared" si="175"/>
        <v>4.2472198671082246</v>
      </c>
      <c r="G608" s="19">
        <f t="shared" si="176"/>
        <v>4.2472198671082246</v>
      </c>
      <c r="H608" s="19">
        <f t="shared" si="177"/>
        <v>4.2472198671082246</v>
      </c>
      <c r="I608" s="17"/>
      <c r="J608" s="19">
        <f t="shared" si="178"/>
        <v>82.768472320344031</v>
      </c>
      <c r="K608" s="19">
        <f t="shared" si="179"/>
        <v>1.3968370562868235</v>
      </c>
      <c r="L608" s="19">
        <f t="shared" si="180"/>
        <v>3.1119653841871289</v>
      </c>
      <c r="M608" s="19">
        <f t="shared" si="181"/>
        <v>3.1119653841871289</v>
      </c>
      <c r="N608" s="19">
        <f t="shared" si="182"/>
        <v>3.1119653841871289</v>
      </c>
      <c r="O608" s="17"/>
      <c r="P608" s="19">
        <f t="shared" si="172"/>
        <v>7.6466529016250488</v>
      </c>
      <c r="Q608" s="19">
        <f t="shared" si="187"/>
        <v>25.883322856373475</v>
      </c>
      <c r="R608" s="19">
        <f t="shared" si="188"/>
        <v>0</v>
      </c>
      <c r="S608" s="19">
        <f t="shared" si="189"/>
        <v>0</v>
      </c>
      <c r="T608" s="19">
        <f t="shared" si="190"/>
        <v>0</v>
      </c>
      <c r="U608" s="17"/>
      <c r="V608" s="19">
        <f t="shared" si="183"/>
        <v>33.529975757998521</v>
      </c>
      <c r="W608" s="17"/>
      <c r="X608" s="19">
        <f t="shared" si="184"/>
        <v>6.2213616715239288</v>
      </c>
      <c r="Y608" s="19">
        <f t="shared" si="185"/>
        <v>2.4942657579985195</v>
      </c>
      <c r="Z608" s="19"/>
      <c r="AA608" s="19">
        <f t="shared" si="186"/>
        <v>1.6210186708433943E-5</v>
      </c>
    </row>
    <row r="609" spans="2:27" x14ac:dyDescent="0.35">
      <c r="B609" s="27">
        <v>57.1</v>
      </c>
      <c r="C609" s="27">
        <v>50.285710000000002</v>
      </c>
      <c r="D609" s="19">
        <f t="shared" si="173"/>
        <v>87.325018878568827</v>
      </c>
      <c r="E609" s="19">
        <f t="shared" si="174"/>
        <v>1.737172420280213</v>
      </c>
      <c r="F609" s="19">
        <f t="shared" si="175"/>
        <v>4.2583309782193366</v>
      </c>
      <c r="G609" s="19">
        <f t="shared" si="176"/>
        <v>4.2583309782193366</v>
      </c>
      <c r="H609" s="19">
        <f t="shared" si="177"/>
        <v>4.2583309782193366</v>
      </c>
      <c r="I609" s="17"/>
      <c r="J609" s="19">
        <f t="shared" si="178"/>
        <v>82.907295812906682</v>
      </c>
      <c r="K609" s="19">
        <f t="shared" si="179"/>
        <v>1.4004084652908824</v>
      </c>
      <c r="L609" s="19">
        <f t="shared" si="180"/>
        <v>3.1203771138715046</v>
      </c>
      <c r="M609" s="19">
        <f t="shared" si="181"/>
        <v>3.1203771138715046</v>
      </c>
      <c r="N609" s="19">
        <f t="shared" si="182"/>
        <v>3.1203771138715046</v>
      </c>
      <c r="O609" s="17"/>
      <c r="P609" s="19">
        <f t="shared" si="172"/>
        <v>7.6212189211305787</v>
      </c>
      <c r="Q609" s="19">
        <f t="shared" si="187"/>
        <v>25.778901718761642</v>
      </c>
      <c r="R609" s="19">
        <f t="shared" si="188"/>
        <v>0</v>
      </c>
      <c r="S609" s="19">
        <f t="shared" si="189"/>
        <v>0</v>
      </c>
      <c r="T609" s="19">
        <f t="shared" si="190"/>
        <v>0</v>
      </c>
      <c r="U609" s="17"/>
      <c r="V609" s="19">
        <f t="shared" si="183"/>
        <v>33.400120639892222</v>
      </c>
      <c r="W609" s="17"/>
      <c r="X609" s="19">
        <f t="shared" si="184"/>
        <v>285.12312803818503</v>
      </c>
      <c r="Y609" s="19">
        <f t="shared" si="185"/>
        <v>16.88558936010778</v>
      </c>
      <c r="Z609" s="19"/>
      <c r="AA609" s="19">
        <f t="shared" si="186"/>
        <v>1.0973913077687979E-4</v>
      </c>
    </row>
    <row r="610" spans="2:27" x14ac:dyDescent="0.35">
      <c r="B610" s="27">
        <v>57.2</v>
      </c>
      <c r="C610" s="27">
        <v>41.785710000000002</v>
      </c>
      <c r="D610" s="19">
        <f t="shared" si="173"/>
        <v>87.465518216991313</v>
      </c>
      <c r="E610" s="19">
        <f t="shared" si="174"/>
        <v>1.7432973491073351</v>
      </c>
      <c r="F610" s="19">
        <f t="shared" si="175"/>
        <v>4.2694420893304477</v>
      </c>
      <c r="G610" s="19">
        <f t="shared" si="176"/>
        <v>4.2694420893304477</v>
      </c>
      <c r="H610" s="19">
        <f t="shared" si="177"/>
        <v>4.2694420893304477</v>
      </c>
      <c r="I610" s="17"/>
      <c r="J610" s="19">
        <f t="shared" si="178"/>
        <v>83.046122075870841</v>
      </c>
      <c r="K610" s="19">
        <f t="shared" si="179"/>
        <v>1.403983672701395</v>
      </c>
      <c r="L610" s="19">
        <f t="shared" si="180"/>
        <v>3.1287943505130698</v>
      </c>
      <c r="M610" s="19">
        <f t="shared" si="181"/>
        <v>3.1287943505130698</v>
      </c>
      <c r="N610" s="19">
        <f t="shared" si="182"/>
        <v>3.1287943505130698</v>
      </c>
      <c r="O610" s="17"/>
      <c r="P610" s="19">
        <f t="shared" si="172"/>
        <v>7.5959111238282162</v>
      </c>
      <c r="Q610" s="19">
        <f t="shared" si="187"/>
        <v>25.675015639228352</v>
      </c>
      <c r="R610" s="19">
        <f t="shared" si="188"/>
        <v>0</v>
      </c>
      <c r="S610" s="19">
        <f t="shared" si="189"/>
        <v>0</v>
      </c>
      <c r="T610" s="19">
        <f t="shared" si="190"/>
        <v>0</v>
      </c>
      <c r="U610" s="17"/>
      <c r="V610" s="19">
        <f t="shared" si="183"/>
        <v>33.270926763056565</v>
      </c>
      <c r="W610" s="17"/>
      <c r="X610" s="19">
        <f t="shared" si="184"/>
        <v>72.501533572132956</v>
      </c>
      <c r="Y610" s="19">
        <f t="shared" si="185"/>
        <v>8.5147832369434369</v>
      </c>
      <c r="Z610" s="19"/>
      <c r="AA610" s="19">
        <f t="shared" si="186"/>
        <v>5.5337417678961922E-5</v>
      </c>
    </row>
    <row r="611" spans="2:27" x14ac:dyDescent="0.35">
      <c r="B611" s="27">
        <v>57.3</v>
      </c>
      <c r="C611" s="27">
        <v>29.535710000000002</v>
      </c>
      <c r="D611" s="19">
        <f t="shared" si="173"/>
        <v>87.6060175554138</v>
      </c>
      <c r="E611" s="19">
        <f t="shared" si="174"/>
        <v>1.7494222779344573</v>
      </c>
      <c r="F611" s="19">
        <f t="shared" si="175"/>
        <v>4.2805532004415587</v>
      </c>
      <c r="G611" s="19">
        <f t="shared" si="176"/>
        <v>4.2805532004415587</v>
      </c>
      <c r="H611" s="19">
        <f t="shared" si="177"/>
        <v>4.2805532004415587</v>
      </c>
      <c r="I611" s="17"/>
      <c r="J611" s="19">
        <f t="shared" si="178"/>
        <v>83.184951100146861</v>
      </c>
      <c r="K611" s="19">
        <f t="shared" si="179"/>
        <v>1.4075626712506117</v>
      </c>
      <c r="L611" s="19">
        <f t="shared" si="180"/>
        <v>3.137217075264263</v>
      </c>
      <c r="M611" s="19">
        <f t="shared" si="181"/>
        <v>3.137217075264263</v>
      </c>
      <c r="N611" s="19">
        <f t="shared" si="182"/>
        <v>3.137217075264263</v>
      </c>
      <c r="O611" s="17"/>
      <c r="P611" s="19">
        <f t="shared" si="172"/>
        <v>7.5707286788844499</v>
      </c>
      <c r="Q611" s="19">
        <f t="shared" si="187"/>
        <v>25.571661445832966</v>
      </c>
      <c r="R611" s="19">
        <f t="shared" si="188"/>
        <v>0</v>
      </c>
      <c r="S611" s="19">
        <f t="shared" si="189"/>
        <v>0</v>
      </c>
      <c r="T611" s="19">
        <f t="shared" si="190"/>
        <v>0</v>
      </c>
      <c r="U611" s="17"/>
      <c r="V611" s="19">
        <f t="shared" si="183"/>
        <v>33.142390124717416</v>
      </c>
      <c r="W611" s="17"/>
      <c r="X611" s="19">
        <f t="shared" si="184"/>
        <v>13.008141522031622</v>
      </c>
      <c r="Y611" s="19">
        <f t="shared" si="185"/>
        <v>3.6066801247174141</v>
      </c>
      <c r="Z611" s="19"/>
      <c r="AA611" s="19">
        <f t="shared" si="186"/>
        <v>2.3439746960316409E-5</v>
      </c>
    </row>
    <row r="612" spans="2:27" x14ac:dyDescent="0.35">
      <c r="B612" s="27">
        <v>57.4</v>
      </c>
      <c r="C612" s="27">
        <v>16.785710000000002</v>
      </c>
      <c r="D612" s="19">
        <f t="shared" si="173"/>
        <v>87.746516893836286</v>
      </c>
      <c r="E612" s="19">
        <f t="shared" si="174"/>
        <v>1.7555472067615798</v>
      </c>
      <c r="F612" s="19">
        <f t="shared" si="175"/>
        <v>4.2916643115526698</v>
      </c>
      <c r="G612" s="19">
        <f t="shared" si="176"/>
        <v>4.2916643115526698</v>
      </c>
      <c r="H612" s="19">
        <f t="shared" si="177"/>
        <v>4.2916643115526698</v>
      </c>
      <c r="I612" s="17"/>
      <c r="J612" s="19">
        <f t="shared" si="178"/>
        <v>83.323782876689592</v>
      </c>
      <c r="K612" s="19">
        <f t="shared" si="179"/>
        <v>1.4111454536775749</v>
      </c>
      <c r="L612" s="19">
        <f t="shared" si="180"/>
        <v>3.1456452693584405</v>
      </c>
      <c r="M612" s="19">
        <f t="shared" si="181"/>
        <v>3.1456452693584405</v>
      </c>
      <c r="N612" s="19">
        <f t="shared" si="182"/>
        <v>3.1456452693584405</v>
      </c>
      <c r="O612" s="17"/>
      <c r="P612" s="19">
        <f t="shared" si="172"/>
        <v>7.545670762276325</v>
      </c>
      <c r="Q612" s="19">
        <f t="shared" si="187"/>
        <v>25.468835987150538</v>
      </c>
      <c r="R612" s="19">
        <f t="shared" si="188"/>
        <v>0</v>
      </c>
      <c r="S612" s="19">
        <f t="shared" si="189"/>
        <v>0</v>
      </c>
      <c r="T612" s="19">
        <f t="shared" si="190"/>
        <v>0</v>
      </c>
      <c r="U612" s="17"/>
      <c r="V612" s="19">
        <f t="shared" si="183"/>
        <v>33.014506749426864</v>
      </c>
      <c r="W612" s="17"/>
      <c r="X612" s="19">
        <f t="shared" si="184"/>
        <v>263.37384393420791</v>
      </c>
      <c r="Y612" s="19">
        <f t="shared" si="185"/>
        <v>16.228796749426863</v>
      </c>
      <c r="Z612" s="19"/>
      <c r="AA612" s="19">
        <f t="shared" si="186"/>
        <v>1.054706478320629E-4</v>
      </c>
    </row>
    <row r="613" spans="2:27" x14ac:dyDescent="0.35">
      <c r="B613" s="27">
        <v>57.5</v>
      </c>
      <c r="C613" s="27">
        <v>21.535710000000002</v>
      </c>
      <c r="D613" s="19">
        <f t="shared" si="173"/>
        <v>87.887016232258787</v>
      </c>
      <c r="E613" s="19">
        <f t="shared" si="174"/>
        <v>1.7616721355887019</v>
      </c>
      <c r="F613" s="19">
        <f t="shared" si="175"/>
        <v>4.30277542266378</v>
      </c>
      <c r="G613" s="19">
        <f t="shared" si="176"/>
        <v>4.30277542266378</v>
      </c>
      <c r="H613" s="19">
        <f t="shared" si="177"/>
        <v>4.30277542266378</v>
      </c>
      <c r="I613" s="17"/>
      <c r="J613" s="19">
        <f t="shared" si="178"/>
        <v>83.462617396498004</v>
      </c>
      <c r="K613" s="19">
        <f t="shared" si="179"/>
        <v>1.4147320127282002</v>
      </c>
      <c r="L613" s="19">
        <f t="shared" si="180"/>
        <v>3.1540789141095193</v>
      </c>
      <c r="M613" s="19">
        <f t="shared" si="181"/>
        <v>3.1540789141095193</v>
      </c>
      <c r="N613" s="19">
        <f t="shared" si="182"/>
        <v>3.1540789141095193</v>
      </c>
      <c r="O613" s="17"/>
      <c r="P613" s="19">
        <f t="shared" si="172"/>
        <v>7.52073655672472</v>
      </c>
      <c r="Q613" s="19">
        <f t="shared" si="187"/>
        <v>25.36653613213392</v>
      </c>
      <c r="R613" s="19">
        <f t="shared" si="188"/>
        <v>0</v>
      </c>
      <c r="S613" s="19">
        <f t="shared" si="189"/>
        <v>0</v>
      </c>
      <c r="T613" s="19">
        <f t="shared" si="190"/>
        <v>0</v>
      </c>
      <c r="U613" s="17"/>
      <c r="V613" s="19">
        <f t="shared" si="183"/>
        <v>32.887272688858637</v>
      </c>
      <c r="W613" s="17"/>
      <c r="X613" s="19">
        <f t="shared" si="184"/>
        <v>128.85797547908749</v>
      </c>
      <c r="Y613" s="19">
        <f t="shared" si="185"/>
        <v>11.351562688858635</v>
      </c>
      <c r="Z613" s="19"/>
      <c r="AA613" s="19">
        <f t="shared" si="186"/>
        <v>7.3773594505241219E-5</v>
      </c>
    </row>
    <row r="614" spans="2:27" x14ac:dyDescent="0.35">
      <c r="B614" s="27">
        <v>57.6</v>
      </c>
      <c r="C614" s="27">
        <v>38.785710000000002</v>
      </c>
      <c r="D614" s="19">
        <f t="shared" si="173"/>
        <v>88.027515570681274</v>
      </c>
      <c r="E614" s="19">
        <f t="shared" si="174"/>
        <v>1.7677970644158245</v>
      </c>
      <c r="F614" s="19">
        <f t="shared" si="175"/>
        <v>4.313886533774892</v>
      </c>
      <c r="G614" s="19">
        <f t="shared" si="176"/>
        <v>4.313886533774892</v>
      </c>
      <c r="H614" s="19">
        <f t="shared" si="177"/>
        <v>4.313886533774892</v>
      </c>
      <c r="I614" s="17"/>
      <c r="J614" s="19">
        <f t="shared" si="178"/>
        <v>83.601454650615025</v>
      </c>
      <c r="K614" s="19">
        <f t="shared" si="179"/>
        <v>1.4183223411553569</v>
      </c>
      <c r="L614" s="19">
        <f t="shared" si="180"/>
        <v>3.1625179909116246</v>
      </c>
      <c r="M614" s="19">
        <f t="shared" si="181"/>
        <v>3.1625179909116246</v>
      </c>
      <c r="N614" s="19">
        <f t="shared" si="182"/>
        <v>3.1625179909116246</v>
      </c>
      <c r="O614" s="17"/>
      <c r="P614" s="19">
        <f t="shared" si="172"/>
        <v>7.495925251628325</v>
      </c>
      <c r="Q614" s="19">
        <f t="shared" si="187"/>
        <v>25.264758769976726</v>
      </c>
      <c r="R614" s="19">
        <f t="shared" si="188"/>
        <v>0</v>
      </c>
      <c r="S614" s="19">
        <f t="shared" si="189"/>
        <v>0</v>
      </c>
      <c r="T614" s="19">
        <f t="shared" si="190"/>
        <v>0</v>
      </c>
      <c r="U614" s="17"/>
      <c r="V614" s="19">
        <f t="shared" si="183"/>
        <v>32.760684021605051</v>
      </c>
      <c r="W614" s="17"/>
      <c r="X614" s="19">
        <f t="shared" si="184"/>
        <v>36.300938040334024</v>
      </c>
      <c r="Y614" s="19">
        <f t="shared" si="185"/>
        <v>6.0250259783949502</v>
      </c>
      <c r="Z614" s="19"/>
      <c r="AA614" s="19">
        <f t="shared" si="186"/>
        <v>3.9156531624488188E-5</v>
      </c>
    </row>
    <row r="615" spans="2:27" x14ac:dyDescent="0.35">
      <c r="B615" s="27">
        <v>57.7</v>
      </c>
      <c r="C615" s="27">
        <v>29.535710000000002</v>
      </c>
      <c r="D615" s="19">
        <f t="shared" si="173"/>
        <v>88.168014909103775</v>
      </c>
      <c r="E615" s="19">
        <f t="shared" si="174"/>
        <v>1.7739219932429466</v>
      </c>
      <c r="F615" s="19">
        <f t="shared" si="175"/>
        <v>4.324997644886003</v>
      </c>
      <c r="G615" s="19">
        <f t="shared" si="176"/>
        <v>4.324997644886003</v>
      </c>
      <c r="H615" s="19">
        <f t="shared" si="177"/>
        <v>4.324997644886003</v>
      </c>
      <c r="I615" s="17"/>
      <c r="J615" s="19">
        <f t="shared" si="178"/>
        <v>83.740294630127195</v>
      </c>
      <c r="K615" s="19">
        <f t="shared" si="179"/>
        <v>1.4219164317189472</v>
      </c>
      <c r="L615" s="19">
        <f t="shared" si="180"/>
        <v>3.1709624812387274</v>
      </c>
      <c r="M615" s="19">
        <f t="shared" si="181"/>
        <v>3.1709624812387274</v>
      </c>
      <c r="N615" s="19">
        <f t="shared" si="182"/>
        <v>3.1709624812387274</v>
      </c>
      <c r="O615" s="17"/>
      <c r="P615" s="19">
        <f t="shared" si="172"/>
        <v>7.471236042998421</v>
      </c>
      <c r="Q615" s="19">
        <f t="shared" si="187"/>
        <v>25.163500809977243</v>
      </c>
      <c r="R615" s="19">
        <f t="shared" si="188"/>
        <v>0</v>
      </c>
      <c r="S615" s="19">
        <f t="shared" si="189"/>
        <v>0</v>
      </c>
      <c r="T615" s="19">
        <f t="shared" si="190"/>
        <v>0</v>
      </c>
      <c r="U615" s="17"/>
      <c r="V615" s="19">
        <f t="shared" si="183"/>
        <v>32.634736852975664</v>
      </c>
      <c r="W615" s="17"/>
      <c r="X615" s="19">
        <f t="shared" si="184"/>
        <v>9.6039674354642344</v>
      </c>
      <c r="Y615" s="19">
        <f t="shared" si="185"/>
        <v>3.0990268529756619</v>
      </c>
      <c r="Z615" s="19"/>
      <c r="AA615" s="19">
        <f t="shared" si="186"/>
        <v>2.0140517801718451E-5</v>
      </c>
    </row>
    <row r="616" spans="2:27" x14ac:dyDescent="0.35">
      <c r="B616" s="27">
        <v>57.8</v>
      </c>
      <c r="C616" s="27">
        <v>34.535710000000002</v>
      </c>
      <c r="D616" s="19">
        <f t="shared" si="173"/>
        <v>88.308514247526261</v>
      </c>
      <c r="E616" s="19">
        <f t="shared" si="174"/>
        <v>1.7800469220700683</v>
      </c>
      <c r="F616" s="19">
        <f t="shared" si="175"/>
        <v>4.3361087559971141</v>
      </c>
      <c r="G616" s="19">
        <f t="shared" si="176"/>
        <v>4.3361087559971141</v>
      </c>
      <c r="H616" s="19">
        <f t="shared" si="177"/>
        <v>4.3361087559971141</v>
      </c>
      <c r="I616" s="17"/>
      <c r="J616" s="19">
        <f t="shared" si="178"/>
        <v>83.879137326164354</v>
      </c>
      <c r="K616" s="19">
        <f t="shared" si="179"/>
        <v>1.4255142771859837</v>
      </c>
      <c r="L616" s="19">
        <f t="shared" si="180"/>
        <v>3.1794123666442995</v>
      </c>
      <c r="M616" s="19">
        <f t="shared" si="181"/>
        <v>3.1794123666442995</v>
      </c>
      <c r="N616" s="19">
        <f t="shared" si="182"/>
        <v>3.1794123666442995</v>
      </c>
      <c r="O616" s="17"/>
      <c r="P616" s="19">
        <f t="shared" ref="P616:P679" si="191">(C$21*C$23/(1-C$23)^2*$A$21*C$22)/(J616+J616^2)</f>
        <v>7.4466681333943825</v>
      </c>
      <c r="Q616" s="19">
        <f t="shared" si="187"/>
        <v>25.062759181403266</v>
      </c>
      <c r="R616" s="19">
        <f t="shared" si="188"/>
        <v>0</v>
      </c>
      <c r="S616" s="19">
        <f t="shared" si="189"/>
        <v>0</v>
      </c>
      <c r="T616" s="19">
        <f t="shared" si="190"/>
        <v>0</v>
      </c>
      <c r="U616" s="17"/>
      <c r="V616" s="19">
        <f t="shared" si="183"/>
        <v>32.509427314797648</v>
      </c>
      <c r="W616" s="17"/>
      <c r="X616" s="19">
        <f t="shared" si="184"/>
        <v>4.1058215203508608</v>
      </c>
      <c r="Y616" s="19">
        <f t="shared" si="185"/>
        <v>2.0262826852023537</v>
      </c>
      <c r="Z616" s="19"/>
      <c r="AA616" s="19">
        <f t="shared" si="186"/>
        <v>1.3168773433972038E-5</v>
      </c>
    </row>
    <row r="617" spans="2:27" x14ac:dyDescent="0.35">
      <c r="B617" s="27">
        <v>57.9</v>
      </c>
      <c r="C617" s="27">
        <v>34.035710000000002</v>
      </c>
      <c r="D617" s="19">
        <f t="shared" si="173"/>
        <v>88.449013585948748</v>
      </c>
      <c r="E617" s="19">
        <f t="shared" si="174"/>
        <v>1.7861718508971909</v>
      </c>
      <c r="F617" s="19">
        <f t="shared" si="175"/>
        <v>4.3472198671082252</v>
      </c>
      <c r="G617" s="19">
        <f t="shared" si="176"/>
        <v>4.3472198671082252</v>
      </c>
      <c r="H617" s="19">
        <f t="shared" si="177"/>
        <v>4.3472198671082252</v>
      </c>
      <c r="I617" s="17"/>
      <c r="J617" s="19">
        <f t="shared" si="178"/>
        <v>84.017982729899458</v>
      </c>
      <c r="K617" s="19">
        <f t="shared" si="179"/>
        <v>1.4291158703306679</v>
      </c>
      <c r="L617" s="19">
        <f t="shared" si="180"/>
        <v>3.1878676287609538</v>
      </c>
      <c r="M617" s="19">
        <f t="shared" si="181"/>
        <v>3.1878676287609538</v>
      </c>
      <c r="N617" s="19">
        <f t="shared" si="182"/>
        <v>3.1878676287609538</v>
      </c>
      <c r="O617" s="17"/>
      <c r="P617" s="19">
        <f t="shared" si="191"/>
        <v>7.4222207318598974</v>
      </c>
      <c r="Q617" s="19">
        <f t="shared" si="187"/>
        <v>24.962530833357736</v>
      </c>
      <c r="R617" s="19">
        <f t="shared" si="188"/>
        <v>0</v>
      </c>
      <c r="S617" s="19">
        <f t="shared" si="189"/>
        <v>0</v>
      </c>
      <c r="T617" s="19">
        <f t="shared" si="190"/>
        <v>0</v>
      </c>
      <c r="U617" s="17"/>
      <c r="V617" s="19">
        <f t="shared" si="183"/>
        <v>32.384751565217634</v>
      </c>
      <c r="W617" s="17"/>
      <c r="X617" s="19">
        <f t="shared" si="184"/>
        <v>2.7256637533790453</v>
      </c>
      <c r="Y617" s="19">
        <f t="shared" si="185"/>
        <v>1.6509584347823676</v>
      </c>
      <c r="Z617" s="19"/>
      <c r="AA617" s="19">
        <f t="shared" si="186"/>
        <v>1.0729548120470139E-5</v>
      </c>
    </row>
    <row r="618" spans="2:27" x14ac:dyDescent="0.35">
      <c r="B618" s="27">
        <v>58</v>
      </c>
      <c r="C618" s="27">
        <v>22.785710000000002</v>
      </c>
      <c r="D618" s="19">
        <f t="shared" si="173"/>
        <v>88.589512924371235</v>
      </c>
      <c r="E618" s="19">
        <f t="shared" si="174"/>
        <v>1.7922967797243134</v>
      </c>
      <c r="F618" s="19">
        <f t="shared" si="175"/>
        <v>4.3583309782193362</v>
      </c>
      <c r="G618" s="19">
        <f t="shared" si="176"/>
        <v>4.3583309782193362</v>
      </c>
      <c r="H618" s="19">
        <f t="shared" si="177"/>
        <v>4.3583309782193362</v>
      </c>
      <c r="I618" s="17"/>
      <c r="J618" s="19">
        <f t="shared" si="178"/>
        <v>84.156830832548223</v>
      </c>
      <c r="K618" s="19">
        <f t="shared" si="179"/>
        <v>1.4327212039344652</v>
      </c>
      <c r="L618" s="19">
        <f t="shared" si="180"/>
        <v>3.1963282493000964</v>
      </c>
      <c r="M618" s="19">
        <f t="shared" si="181"/>
        <v>3.1963282493000964</v>
      </c>
      <c r="N618" s="19">
        <f t="shared" si="182"/>
        <v>3.1963282493000964</v>
      </c>
      <c r="O618" s="17"/>
      <c r="P618" s="19">
        <f t="shared" si="191"/>
        <v>7.3978930538599332</v>
      </c>
      <c r="Q618" s="19">
        <f t="shared" si="187"/>
        <v>24.86281273464542</v>
      </c>
      <c r="R618" s="19">
        <f t="shared" si="188"/>
        <v>0</v>
      </c>
      <c r="S618" s="19">
        <f t="shared" si="189"/>
        <v>0</v>
      </c>
      <c r="T618" s="19">
        <f t="shared" si="190"/>
        <v>0</v>
      </c>
      <c r="U618" s="17"/>
      <c r="V618" s="19">
        <f t="shared" si="183"/>
        <v>32.260705788505355</v>
      </c>
      <c r="W618" s="17"/>
      <c r="X618" s="19">
        <f t="shared" si="184"/>
        <v>89.775545192194187</v>
      </c>
      <c r="Y618" s="19">
        <f t="shared" si="185"/>
        <v>9.4749957885053533</v>
      </c>
      <c r="Z618" s="19"/>
      <c r="AA618" s="19">
        <f t="shared" si="186"/>
        <v>6.1577821168720963E-5</v>
      </c>
    </row>
    <row r="619" spans="2:27" x14ac:dyDescent="0.35">
      <c r="B619" s="27">
        <v>58.1</v>
      </c>
      <c r="C619" s="27">
        <v>17.035710000000002</v>
      </c>
      <c r="D619" s="19">
        <f t="shared" si="173"/>
        <v>88.730012262793736</v>
      </c>
      <c r="E619" s="19">
        <f t="shared" si="174"/>
        <v>1.7984217085514356</v>
      </c>
      <c r="F619" s="19">
        <f t="shared" si="175"/>
        <v>4.3694420893304473</v>
      </c>
      <c r="G619" s="19">
        <f t="shared" si="176"/>
        <v>4.3694420893304473</v>
      </c>
      <c r="H619" s="19">
        <f t="shared" si="177"/>
        <v>4.3694420893304473</v>
      </c>
      <c r="I619" s="17"/>
      <c r="J619" s="19">
        <f t="shared" si="178"/>
        <v>84.295681625368871</v>
      </c>
      <c r="K619" s="19">
        <f t="shared" si="179"/>
        <v>1.4363302707861811</v>
      </c>
      <c r="L619" s="19">
        <f t="shared" si="180"/>
        <v>3.2047942100515727</v>
      </c>
      <c r="M619" s="19">
        <f t="shared" si="181"/>
        <v>3.2047942100515727</v>
      </c>
      <c r="N619" s="19">
        <f t="shared" si="182"/>
        <v>3.2047942100515727</v>
      </c>
      <c r="O619" s="17"/>
      <c r="P619" s="19">
        <f t="shared" si="191"/>
        <v>7.3736843212184073</v>
      </c>
      <c r="Q619" s="19">
        <f t="shared" si="187"/>
        <v>24.763601873640358</v>
      </c>
      <c r="R619" s="19">
        <f t="shared" si="188"/>
        <v>0</v>
      </c>
      <c r="S619" s="19">
        <f t="shared" si="189"/>
        <v>0</v>
      </c>
      <c r="T619" s="19">
        <f t="shared" si="190"/>
        <v>0</v>
      </c>
      <c r="U619" s="17"/>
      <c r="V619" s="19">
        <f t="shared" si="183"/>
        <v>32.137286194858767</v>
      </c>
      <c r="W619" s="17"/>
      <c r="X619" s="19">
        <f t="shared" si="184"/>
        <v>228.05760356912495</v>
      </c>
      <c r="Y619" s="19">
        <f t="shared" si="185"/>
        <v>15.101576194858765</v>
      </c>
      <c r="Z619" s="19"/>
      <c r="AA619" s="19">
        <f t="shared" si="186"/>
        <v>9.8144862441096499E-5</v>
      </c>
    </row>
    <row r="620" spans="2:27" x14ac:dyDescent="0.35">
      <c r="B620" s="27">
        <v>58.2</v>
      </c>
      <c r="C620" s="27">
        <v>26.535710000000002</v>
      </c>
      <c r="D620" s="19">
        <f t="shared" si="173"/>
        <v>88.870511601216222</v>
      </c>
      <c r="E620" s="19">
        <f t="shared" si="174"/>
        <v>1.8045466373785581</v>
      </c>
      <c r="F620" s="19">
        <f t="shared" si="175"/>
        <v>4.3805532004415584</v>
      </c>
      <c r="G620" s="19">
        <f t="shared" si="176"/>
        <v>4.3805532004415584</v>
      </c>
      <c r="H620" s="19">
        <f t="shared" si="177"/>
        <v>4.3805532004415584</v>
      </c>
      <c r="I620" s="17"/>
      <c r="J620" s="19">
        <f t="shared" si="178"/>
        <v>84.434535099661829</v>
      </c>
      <c r="K620" s="19">
        <f t="shared" si="179"/>
        <v>1.4399430636820367</v>
      </c>
      <c r="L620" s="19">
        <f t="shared" si="180"/>
        <v>3.2132654928833198</v>
      </c>
      <c r="M620" s="19">
        <f t="shared" si="181"/>
        <v>3.2132654928833198</v>
      </c>
      <c r="N620" s="19">
        <f t="shared" si="182"/>
        <v>3.2132654928833198</v>
      </c>
      <c r="O620" s="17"/>
      <c r="P620" s="19">
        <f t="shared" si="191"/>
        <v>7.3495937620565597</v>
      </c>
      <c r="Q620" s="19">
        <f t="shared" si="187"/>
        <v>24.664895258154196</v>
      </c>
      <c r="R620" s="19">
        <f t="shared" si="188"/>
        <v>0</v>
      </c>
      <c r="S620" s="19">
        <f t="shared" si="189"/>
        <v>0</v>
      </c>
      <c r="T620" s="19">
        <f t="shared" si="190"/>
        <v>0</v>
      </c>
      <c r="U620" s="17"/>
      <c r="V620" s="19">
        <f t="shared" si="183"/>
        <v>32.014489020210753</v>
      </c>
      <c r="W620" s="17"/>
      <c r="X620" s="19">
        <f t="shared" si="184"/>
        <v>30.017019552301484</v>
      </c>
      <c r="Y620" s="19">
        <f t="shared" si="185"/>
        <v>5.4787790202107516</v>
      </c>
      <c r="Z620" s="19"/>
      <c r="AA620" s="19">
        <f t="shared" si="186"/>
        <v>3.5606482816463287E-5</v>
      </c>
    </row>
    <row r="621" spans="2:27" x14ac:dyDescent="0.35">
      <c r="B621" s="27">
        <v>58.3</v>
      </c>
      <c r="C621" s="27">
        <v>31.535710000000002</v>
      </c>
      <c r="D621" s="19">
        <f t="shared" si="173"/>
        <v>89.011010939638709</v>
      </c>
      <c r="E621" s="19">
        <f t="shared" si="174"/>
        <v>1.8106715662056803</v>
      </c>
      <c r="F621" s="19">
        <f t="shared" si="175"/>
        <v>4.3916643115526695</v>
      </c>
      <c r="G621" s="19">
        <f t="shared" si="176"/>
        <v>4.3916643115526695</v>
      </c>
      <c r="H621" s="19">
        <f t="shared" si="177"/>
        <v>4.3916643115526695</v>
      </c>
      <c r="I621" s="17"/>
      <c r="J621" s="19">
        <f t="shared" si="178"/>
        <v>84.573391246769532</v>
      </c>
      <c r="K621" s="19">
        <f t="shared" si="179"/>
        <v>1.4435595754257413</v>
      </c>
      <c r="L621" s="19">
        <f t="shared" si="180"/>
        <v>3.2217420797410155</v>
      </c>
      <c r="M621" s="19">
        <f t="shared" si="181"/>
        <v>3.2217420797410155</v>
      </c>
      <c r="N621" s="19">
        <f t="shared" si="182"/>
        <v>3.2217420797410155</v>
      </c>
      <c r="O621" s="17"/>
      <c r="P621" s="19">
        <f t="shared" si="191"/>
        <v>7.3256206107320052</v>
      </c>
      <c r="Q621" s="19">
        <f t="shared" si="187"/>
        <v>24.566689915305481</v>
      </c>
      <c r="R621" s="19">
        <f t="shared" si="188"/>
        <v>0</v>
      </c>
      <c r="S621" s="19">
        <f t="shared" si="189"/>
        <v>0</v>
      </c>
      <c r="T621" s="19">
        <f t="shared" si="190"/>
        <v>0</v>
      </c>
      <c r="U621" s="17"/>
      <c r="V621" s="19">
        <f t="shared" si="183"/>
        <v>31.892310526037488</v>
      </c>
      <c r="W621" s="17"/>
      <c r="X621" s="19">
        <f t="shared" si="184"/>
        <v>0.1271639351702116</v>
      </c>
      <c r="Y621" s="19">
        <f t="shared" si="185"/>
        <v>0.35660052603748582</v>
      </c>
      <c r="Z621" s="19"/>
      <c r="AA621" s="19">
        <f t="shared" si="186"/>
        <v>2.3175401774476173E-6</v>
      </c>
    </row>
    <row r="622" spans="2:27" x14ac:dyDescent="0.35">
      <c r="B622" s="27">
        <v>58.4</v>
      </c>
      <c r="C622" s="27">
        <v>25.285710000000002</v>
      </c>
      <c r="D622" s="19">
        <f t="shared" si="173"/>
        <v>89.151510278061195</v>
      </c>
      <c r="E622" s="19">
        <f t="shared" si="174"/>
        <v>1.8167964950328024</v>
      </c>
      <c r="F622" s="19">
        <f t="shared" si="175"/>
        <v>4.4027754226637805</v>
      </c>
      <c r="G622" s="19">
        <f t="shared" si="176"/>
        <v>4.4027754226637805</v>
      </c>
      <c r="H622" s="19">
        <f t="shared" si="177"/>
        <v>4.4027754226637805</v>
      </c>
      <c r="I622" s="17"/>
      <c r="J622" s="19">
        <f t="shared" si="178"/>
        <v>84.71225005807608</v>
      </c>
      <c r="K622" s="19">
        <f t="shared" si="179"/>
        <v>1.4471797988285662</v>
      </c>
      <c r="L622" s="19">
        <f t="shared" si="180"/>
        <v>3.2302239526477319</v>
      </c>
      <c r="M622" s="19">
        <f t="shared" si="181"/>
        <v>3.2302239526477319</v>
      </c>
      <c r="N622" s="19">
        <f t="shared" si="182"/>
        <v>3.2302239526477319</v>
      </c>
      <c r="O622" s="17"/>
      <c r="P622" s="19">
        <f t="shared" si="191"/>
        <v>7.3017641077785056</v>
      </c>
      <c r="Q622" s="19">
        <f t="shared" si="187"/>
        <v>24.46898289138975</v>
      </c>
      <c r="R622" s="19">
        <f t="shared" si="188"/>
        <v>0</v>
      </c>
      <c r="S622" s="19">
        <f t="shared" si="189"/>
        <v>0</v>
      </c>
      <c r="T622" s="19">
        <f t="shared" si="190"/>
        <v>0</v>
      </c>
      <c r="U622" s="17"/>
      <c r="V622" s="19">
        <f t="shared" si="183"/>
        <v>31.770746999168257</v>
      </c>
      <c r="W622" s="17"/>
      <c r="X622" s="19">
        <f t="shared" si="184"/>
        <v>42.055704880581203</v>
      </c>
      <c r="Y622" s="19">
        <f t="shared" si="185"/>
        <v>6.4850369991682548</v>
      </c>
      <c r="Z622" s="19"/>
      <c r="AA622" s="19">
        <f t="shared" si="186"/>
        <v>4.214613468132371E-5</v>
      </c>
    </row>
    <row r="623" spans="2:27" x14ac:dyDescent="0.35">
      <c r="B623" s="27">
        <v>58.5</v>
      </c>
      <c r="C623" s="27">
        <v>52.035710000000002</v>
      </c>
      <c r="D623" s="19">
        <f t="shared" si="173"/>
        <v>89.292009616483696</v>
      </c>
      <c r="E623" s="19">
        <f t="shared" si="174"/>
        <v>1.8229214238599245</v>
      </c>
      <c r="F623" s="19">
        <f t="shared" si="175"/>
        <v>4.4138865337748916</v>
      </c>
      <c r="G623" s="19">
        <f t="shared" si="176"/>
        <v>4.4138865337748916</v>
      </c>
      <c r="H623" s="19">
        <f t="shared" si="177"/>
        <v>4.4138865337748916</v>
      </c>
      <c r="I623" s="17"/>
      <c r="J623" s="19">
        <f t="shared" si="178"/>
        <v>84.851111525007042</v>
      </c>
      <c r="K623" s="19">
        <f t="shared" si="179"/>
        <v>1.4508037267094167</v>
      </c>
      <c r="L623" s="19">
        <f t="shared" si="180"/>
        <v>3.2387110937035879</v>
      </c>
      <c r="M623" s="19">
        <f t="shared" si="181"/>
        <v>3.2387110937035879</v>
      </c>
      <c r="N623" s="19">
        <f t="shared" si="182"/>
        <v>3.2387110937035879</v>
      </c>
      <c r="O623" s="17"/>
      <c r="P623" s="19">
        <f t="shared" si="191"/>
        <v>7.2780234998463795</v>
      </c>
      <c r="Q623" s="19">
        <f t="shared" si="187"/>
        <v>24.371771251750491</v>
      </c>
      <c r="R623" s="19">
        <f t="shared" si="188"/>
        <v>0</v>
      </c>
      <c r="S623" s="19">
        <f t="shared" si="189"/>
        <v>0</v>
      </c>
      <c r="T623" s="19">
        <f t="shared" si="190"/>
        <v>0</v>
      </c>
      <c r="U623" s="17"/>
      <c r="V623" s="19">
        <f t="shared" si="183"/>
        <v>31.649794751596872</v>
      </c>
      <c r="W623" s="17"/>
      <c r="X623" s="19">
        <f t="shared" si="184"/>
        <v>415.58554051507525</v>
      </c>
      <c r="Y623" s="19">
        <f t="shared" si="185"/>
        <v>20.38591524840313</v>
      </c>
      <c r="Z623" s="19"/>
      <c r="AA623" s="19">
        <f t="shared" si="186"/>
        <v>1.3248768353541315E-4</v>
      </c>
    </row>
    <row r="624" spans="2:27" x14ac:dyDescent="0.35">
      <c r="B624" s="27">
        <v>58.6</v>
      </c>
      <c r="C624" s="27">
        <v>17.785710000000002</v>
      </c>
      <c r="D624" s="19">
        <f t="shared" si="173"/>
        <v>89.432508954906183</v>
      </c>
      <c r="E624" s="19">
        <f t="shared" si="174"/>
        <v>1.8290463526870471</v>
      </c>
      <c r="F624" s="19">
        <f t="shared" si="175"/>
        <v>4.4249976448860027</v>
      </c>
      <c r="G624" s="19">
        <f t="shared" si="176"/>
        <v>4.4249976448860027</v>
      </c>
      <c r="H624" s="19">
        <f t="shared" si="177"/>
        <v>4.4249976448860027</v>
      </c>
      <c r="I624" s="17"/>
      <c r="J624" s="19">
        <f t="shared" si="178"/>
        <v>84.989975639029069</v>
      </c>
      <c r="K624" s="19">
        <f t="shared" si="179"/>
        <v>1.4544313518949044</v>
      </c>
      <c r="L624" s="19">
        <f t="shared" si="180"/>
        <v>3.2472034850854037</v>
      </c>
      <c r="M624" s="19">
        <f t="shared" si="181"/>
        <v>3.2472034850854037</v>
      </c>
      <c r="N624" s="19">
        <f t="shared" si="182"/>
        <v>3.2472034850854037</v>
      </c>
      <c r="O624" s="17"/>
      <c r="P624" s="19">
        <f t="shared" si="191"/>
        <v>7.2543980396436218</v>
      </c>
      <c r="Q624" s="19">
        <f t="shared" si="187"/>
        <v>24.275052080650983</v>
      </c>
      <c r="R624" s="19">
        <f t="shared" si="188"/>
        <v>0</v>
      </c>
      <c r="S624" s="19">
        <f t="shared" si="189"/>
        <v>0</v>
      </c>
      <c r="T624" s="19">
        <f t="shared" si="190"/>
        <v>0</v>
      </c>
      <c r="U624" s="17"/>
      <c r="V624" s="19">
        <f t="shared" si="183"/>
        <v>31.529450120294605</v>
      </c>
      <c r="W624" s="17"/>
      <c r="X624" s="19">
        <f t="shared" si="184"/>
        <v>188.89039249419551</v>
      </c>
      <c r="Y624" s="19">
        <f t="shared" si="185"/>
        <v>13.743740120294603</v>
      </c>
      <c r="Z624" s="19"/>
      <c r="AA624" s="19">
        <f t="shared" si="186"/>
        <v>8.9320311080621473E-5</v>
      </c>
    </row>
    <row r="625" spans="2:27" x14ac:dyDescent="0.35">
      <c r="B625" s="27">
        <v>58.7</v>
      </c>
      <c r="C625" s="27">
        <v>33.535710000000002</v>
      </c>
      <c r="D625" s="19">
        <f t="shared" si="173"/>
        <v>89.573008293328684</v>
      </c>
      <c r="E625" s="19">
        <f t="shared" si="174"/>
        <v>1.8351712815141692</v>
      </c>
      <c r="F625" s="19">
        <f t="shared" si="175"/>
        <v>4.4361087559971146</v>
      </c>
      <c r="G625" s="19">
        <f t="shared" si="176"/>
        <v>4.4361087559971146</v>
      </c>
      <c r="H625" s="19">
        <f t="shared" si="177"/>
        <v>4.4361087559971146</v>
      </c>
      <c r="I625" s="17"/>
      <c r="J625" s="19">
        <f t="shared" si="178"/>
        <v>85.128842391649812</v>
      </c>
      <c r="K625" s="19">
        <f t="shared" si="179"/>
        <v>1.4580626672194148</v>
      </c>
      <c r="L625" s="19">
        <f t="shared" si="180"/>
        <v>3.2557011090463561</v>
      </c>
      <c r="M625" s="19">
        <f t="shared" si="181"/>
        <v>3.2557011090463561</v>
      </c>
      <c r="N625" s="19">
        <f t="shared" si="182"/>
        <v>3.2557011090463561</v>
      </c>
      <c r="O625" s="17"/>
      <c r="P625" s="19">
        <f t="shared" si="191"/>
        <v>7.2308869858776355</v>
      </c>
      <c r="Q625" s="19">
        <f t="shared" si="187"/>
        <v>24.178822481147044</v>
      </c>
      <c r="R625" s="19">
        <f t="shared" si="188"/>
        <v>0</v>
      </c>
      <c r="S625" s="19">
        <f t="shared" si="189"/>
        <v>0</v>
      </c>
      <c r="T625" s="19">
        <f t="shared" si="190"/>
        <v>0</v>
      </c>
      <c r="U625" s="17"/>
      <c r="V625" s="19">
        <f t="shared" si="183"/>
        <v>31.40970946702468</v>
      </c>
      <c r="W625" s="17"/>
      <c r="X625" s="19">
        <f t="shared" si="184"/>
        <v>4.5198782662113528</v>
      </c>
      <c r="Y625" s="19">
        <f t="shared" si="185"/>
        <v>2.126000532975322</v>
      </c>
      <c r="Z625" s="19"/>
      <c r="AA625" s="19">
        <f t="shared" si="186"/>
        <v>1.3816837869519635E-5</v>
      </c>
    </row>
    <row r="626" spans="2:27" x14ac:dyDescent="0.35">
      <c r="B626" s="27">
        <v>58.8</v>
      </c>
      <c r="C626" s="27">
        <v>31.285710000000002</v>
      </c>
      <c r="D626" s="19">
        <f t="shared" ref="D626:D689" si="192">$C$23/(1-$C$23)-LN((1-$C$23)/$C$23)+$C$22/(1-$C$23)*B626</f>
        <v>89.713507631751156</v>
      </c>
      <c r="E626" s="19">
        <f t="shared" ref="E626:E689" si="193">$D$23/(1-$D$23)-LN((1-$D$23)/$D$23)+$D$22*B626/(1-$D$23)</f>
        <v>1.8412962103412913</v>
      </c>
      <c r="F626" s="19">
        <f t="shared" ref="F626:F689" si="194">$E$23/(1-$E$23)-LN((1-$E$23)/$E$23)+$E$22*B626/(1-$E$23)</f>
        <v>4.4472198671082248</v>
      </c>
      <c r="G626" s="19">
        <f t="shared" ref="G626:G689" si="195">$F$23/(1-$F$23)-LN((1-$F$23)/$F$23)+$F$22*B626/(1-$F$23)</f>
        <v>4.4472198671082248</v>
      </c>
      <c r="H626" s="19">
        <f t="shared" ref="H626:H689" si="196">$G$23/(1-$G$23)-LN((1-$G$23)/$G$23)+$G$22*B626/(1-$G$23)</f>
        <v>4.4472198671082248</v>
      </c>
      <c r="I626" s="17"/>
      <c r="J626" s="19">
        <f t="shared" ref="J626:J689" si="197">lmb_2(D626)</f>
        <v>85.26771177441745</v>
      </c>
      <c r="K626" s="19">
        <f t="shared" ref="K626:K689" si="198">lmb_2(E626)</f>
        <v>1.4616976655251805</v>
      </c>
      <c r="L626" s="19">
        <f t="shared" ref="L626:L689" si="199">lmb_2(F626)</f>
        <v>3.2642039479156315</v>
      </c>
      <c r="M626" s="19">
        <f t="shared" ref="M626:M689" si="200">lmb_2(G626)</f>
        <v>3.2642039479156315</v>
      </c>
      <c r="N626" s="19">
        <f t="shared" ref="N626:N689" si="201">lmb_2(H626)</f>
        <v>3.2642039479156315</v>
      </c>
      <c r="O626" s="17"/>
      <c r="P626" s="19">
        <f t="shared" si="191"/>
        <v>7.2074896031976641</v>
      </c>
      <c r="Q626" s="19">
        <f t="shared" si="187"/>
        <v>24.08307957496049</v>
      </c>
      <c r="R626" s="19">
        <f t="shared" si="188"/>
        <v>0</v>
      </c>
      <c r="S626" s="19">
        <f t="shared" si="189"/>
        <v>0</v>
      </c>
      <c r="T626" s="19">
        <f t="shared" si="190"/>
        <v>0</v>
      </c>
      <c r="U626" s="17"/>
      <c r="V626" s="19">
        <f t="shared" ref="V626:V689" si="202">SUM(P626:T626)</f>
        <v>31.290569178158155</v>
      </c>
      <c r="W626" s="17"/>
      <c r="X626" s="19">
        <f t="shared" ref="X626:X689" si="203">(V626-C626)^2</f>
        <v>2.3611612372669664E-5</v>
      </c>
      <c r="Y626" s="19">
        <f t="shared" ref="Y626:Y689" si="204">ABS(V626-C626)</f>
        <v>4.8591781581528437E-3</v>
      </c>
      <c r="Z626" s="19"/>
      <c r="AA626" s="19">
        <f t="shared" ref="AA626:AA689" si="205">Y626/$Z$39</f>
        <v>3.1579708353294288E-8</v>
      </c>
    </row>
    <row r="627" spans="2:27" x14ac:dyDescent="0.35">
      <c r="B627" s="27">
        <v>58.9</v>
      </c>
      <c r="C627" s="27">
        <v>9.0357099999999999</v>
      </c>
      <c r="D627" s="19">
        <f t="shared" si="192"/>
        <v>89.854006970173657</v>
      </c>
      <c r="E627" s="19">
        <f t="shared" si="193"/>
        <v>1.8474211391684139</v>
      </c>
      <c r="F627" s="19">
        <f t="shared" si="194"/>
        <v>4.4583309782193368</v>
      </c>
      <c r="G627" s="19">
        <f t="shared" si="195"/>
        <v>4.4583309782193368</v>
      </c>
      <c r="H627" s="19">
        <f t="shared" si="196"/>
        <v>4.4583309782193368</v>
      </c>
      <c r="I627" s="17"/>
      <c r="J627" s="19">
        <f t="shared" si="197"/>
        <v>85.406583778920691</v>
      </c>
      <c r="K627" s="19">
        <f t="shared" si="198"/>
        <v>1.465336339662348</v>
      </c>
      <c r="L627" s="19">
        <f t="shared" si="199"/>
        <v>3.2727119840980921</v>
      </c>
      <c r="M627" s="19">
        <f t="shared" si="200"/>
        <v>3.2727119840980921</v>
      </c>
      <c r="N627" s="19">
        <f t="shared" si="201"/>
        <v>3.2727119840980921</v>
      </c>
      <c r="O627" s="17"/>
      <c r="P627" s="19">
        <f t="shared" si="191"/>
        <v>7.1842051621378147</v>
      </c>
      <c r="Q627" s="19">
        <f t="shared" si="187"/>
        <v>23.987820502353568</v>
      </c>
      <c r="R627" s="19">
        <f t="shared" si="188"/>
        <v>0</v>
      </c>
      <c r="S627" s="19">
        <f t="shared" si="189"/>
        <v>0</v>
      </c>
      <c r="T627" s="19">
        <f t="shared" si="190"/>
        <v>0</v>
      </c>
      <c r="U627" s="17"/>
      <c r="V627" s="19">
        <f t="shared" si="202"/>
        <v>31.172025664491382</v>
      </c>
      <c r="W627" s="17"/>
      <c r="X627" s="19">
        <f t="shared" si="203"/>
        <v>490.01647119800663</v>
      </c>
      <c r="Y627" s="19">
        <f t="shared" si="204"/>
        <v>22.136315664491384</v>
      </c>
      <c r="Z627" s="19"/>
      <c r="AA627" s="19">
        <f t="shared" si="205"/>
        <v>1.4386350324039902E-4</v>
      </c>
    </row>
    <row r="628" spans="2:27" x14ac:dyDescent="0.35">
      <c r="B628" s="27">
        <v>59</v>
      </c>
      <c r="C628" s="27">
        <v>48.285710000000002</v>
      </c>
      <c r="D628" s="19">
        <f t="shared" si="192"/>
        <v>89.994506308596144</v>
      </c>
      <c r="E628" s="19">
        <f t="shared" si="193"/>
        <v>1.8535460679955365</v>
      </c>
      <c r="F628" s="19">
        <f t="shared" si="194"/>
        <v>4.469442089330447</v>
      </c>
      <c r="G628" s="19">
        <f t="shared" si="195"/>
        <v>4.469442089330447</v>
      </c>
      <c r="H628" s="19">
        <f t="shared" si="196"/>
        <v>4.469442089330447</v>
      </c>
      <c r="I628" s="17"/>
      <c r="J628" s="19">
        <f t="shared" si="197"/>
        <v>85.545458396788234</v>
      </c>
      <c r="K628" s="19">
        <f t="shared" si="198"/>
        <v>1.4689786824890456</v>
      </c>
      <c r="L628" s="19">
        <f t="shared" si="199"/>
        <v>3.2812252000739219</v>
      </c>
      <c r="M628" s="19">
        <f t="shared" si="200"/>
        <v>3.2812252000739219</v>
      </c>
      <c r="N628" s="19">
        <f t="shared" si="201"/>
        <v>3.2812252000739219</v>
      </c>
      <c r="O628" s="17"/>
      <c r="P628" s="19">
        <f t="shared" si="191"/>
        <v>7.1610329390607736</v>
      </c>
      <c r="Q628" s="19">
        <f t="shared" si="187"/>
        <v>23.893042422004189</v>
      </c>
      <c r="R628" s="19">
        <f t="shared" si="188"/>
        <v>0</v>
      </c>
      <c r="S628" s="19">
        <f t="shared" si="189"/>
        <v>0</v>
      </c>
      <c r="T628" s="19">
        <f t="shared" si="190"/>
        <v>0</v>
      </c>
      <c r="U628" s="17"/>
      <c r="V628" s="19">
        <f t="shared" si="202"/>
        <v>31.054075361064964</v>
      </c>
      <c r="W628" s="17"/>
      <c r="X628" s="19">
        <f t="shared" si="203"/>
        <v>296.92923232974584</v>
      </c>
      <c r="Y628" s="19">
        <f t="shared" si="204"/>
        <v>17.231634638935038</v>
      </c>
      <c r="Z628" s="19"/>
      <c r="AA628" s="19">
        <f t="shared" si="205"/>
        <v>1.1198807259928734E-4</v>
      </c>
    </row>
    <row r="629" spans="2:27" x14ac:dyDescent="0.35">
      <c r="B629" s="27">
        <v>59.1</v>
      </c>
      <c r="C629" s="27">
        <v>32.535710000000002</v>
      </c>
      <c r="D629" s="19">
        <f t="shared" si="192"/>
        <v>90.135005647018644</v>
      </c>
      <c r="E629" s="19">
        <f t="shared" si="193"/>
        <v>1.8596709968226581</v>
      </c>
      <c r="F629" s="19">
        <f t="shared" si="194"/>
        <v>4.480553200441558</v>
      </c>
      <c r="G629" s="19">
        <f t="shared" si="195"/>
        <v>4.480553200441558</v>
      </c>
      <c r="H629" s="19">
        <f t="shared" si="196"/>
        <v>4.480553200441558</v>
      </c>
      <c r="I629" s="17"/>
      <c r="J629" s="19">
        <f t="shared" si="197"/>
        <v>85.684335619688724</v>
      </c>
      <c r="K629" s="19">
        <f t="shared" si="198"/>
        <v>1.472624686871451</v>
      </c>
      <c r="L629" s="19">
        <f t="shared" si="199"/>
        <v>3.2897435783982991</v>
      </c>
      <c r="M629" s="19">
        <f t="shared" si="200"/>
        <v>3.2897435783982991</v>
      </c>
      <c r="N629" s="19">
        <f t="shared" si="201"/>
        <v>3.2897435783982991</v>
      </c>
      <c r="O629" s="17"/>
      <c r="P629" s="19">
        <f t="shared" si="191"/>
        <v>7.1379722161020966</v>
      </c>
      <c r="Q629" s="19">
        <f t="shared" si="187"/>
        <v>23.798742510881969</v>
      </c>
      <c r="R629" s="19">
        <f t="shared" si="188"/>
        <v>0</v>
      </c>
      <c r="S629" s="19">
        <f t="shared" si="189"/>
        <v>0</v>
      </c>
      <c r="T629" s="19">
        <f t="shared" si="190"/>
        <v>0</v>
      </c>
      <c r="U629" s="17"/>
      <c r="V629" s="19">
        <f t="shared" si="202"/>
        <v>30.936714726984064</v>
      </c>
      <c r="W629" s="17"/>
      <c r="X629" s="19">
        <f t="shared" si="203"/>
        <v>2.5567858831273123</v>
      </c>
      <c r="Y629" s="19">
        <f t="shared" si="204"/>
        <v>1.5989952730159374</v>
      </c>
      <c r="Z629" s="19"/>
      <c r="AA629" s="19">
        <f t="shared" si="205"/>
        <v>1.0391840499903554E-5</v>
      </c>
    </row>
    <row r="630" spans="2:27" x14ac:dyDescent="0.35">
      <c r="B630" s="27">
        <v>59.2</v>
      </c>
      <c r="C630" s="27">
        <v>38.785710000000002</v>
      </c>
      <c r="D630" s="19">
        <f t="shared" si="192"/>
        <v>90.275504985441131</v>
      </c>
      <c r="E630" s="19">
        <f t="shared" si="193"/>
        <v>1.8657959256497807</v>
      </c>
      <c r="F630" s="19">
        <f t="shared" si="194"/>
        <v>4.49166431155267</v>
      </c>
      <c r="G630" s="19">
        <f t="shared" si="195"/>
        <v>4.49166431155267</v>
      </c>
      <c r="H630" s="19">
        <f t="shared" si="196"/>
        <v>4.49166431155267</v>
      </c>
      <c r="I630" s="17"/>
      <c r="J630" s="19">
        <f t="shared" si="197"/>
        <v>85.823215439330383</v>
      </c>
      <c r="K630" s="19">
        <f t="shared" si="198"/>
        <v>1.4762743456838596</v>
      </c>
      <c r="L630" s="19">
        <f t="shared" si="199"/>
        <v>3.2982671017010472</v>
      </c>
      <c r="M630" s="19">
        <f t="shared" si="200"/>
        <v>3.2982671017010472</v>
      </c>
      <c r="N630" s="19">
        <f t="shared" si="201"/>
        <v>3.2982671017010472</v>
      </c>
      <c r="O630" s="17"/>
      <c r="P630" s="19">
        <f t="shared" si="191"/>
        <v>7.1150222811151522</v>
      </c>
      <c r="Q630" s="19">
        <f t="shared" si="187"/>
        <v>23.704917964125073</v>
      </c>
      <c r="R630" s="19">
        <f t="shared" si="188"/>
        <v>0</v>
      </c>
      <c r="S630" s="19">
        <f t="shared" si="189"/>
        <v>0</v>
      </c>
      <c r="T630" s="19">
        <f t="shared" si="190"/>
        <v>0</v>
      </c>
      <c r="U630" s="17"/>
      <c r="V630" s="19">
        <f t="shared" si="202"/>
        <v>30.819940245240225</v>
      </c>
      <c r="W630" s="17"/>
      <c r="X630" s="19">
        <f t="shared" si="203"/>
        <v>63.453487785845624</v>
      </c>
      <c r="Y630" s="19">
        <f t="shared" si="204"/>
        <v>7.9657697547597763</v>
      </c>
      <c r="Z630" s="19"/>
      <c r="AA630" s="19">
        <f t="shared" si="205"/>
        <v>5.1769389282987815E-5</v>
      </c>
    </row>
    <row r="631" spans="2:27" x14ac:dyDescent="0.35">
      <c r="B631" s="27">
        <v>59.3</v>
      </c>
      <c r="C631" s="27">
        <v>36.035710000000002</v>
      </c>
      <c r="D631" s="19">
        <f t="shared" si="192"/>
        <v>90.416004323863618</v>
      </c>
      <c r="E631" s="19">
        <f t="shared" si="193"/>
        <v>1.8719208544769024</v>
      </c>
      <c r="F631" s="19">
        <f t="shared" si="194"/>
        <v>4.5027754226637802</v>
      </c>
      <c r="G631" s="19">
        <f t="shared" si="195"/>
        <v>4.5027754226637802</v>
      </c>
      <c r="H631" s="19">
        <f t="shared" si="196"/>
        <v>4.5027754226637802</v>
      </c>
      <c r="I631" s="17"/>
      <c r="J631" s="19">
        <f t="shared" si="197"/>
        <v>85.962097847460853</v>
      </c>
      <c r="K631" s="19">
        <f t="shared" si="198"/>
        <v>1.4799276518087459</v>
      </c>
      <c r="L631" s="19">
        <f t="shared" si="199"/>
        <v>3.3067957526862997</v>
      </c>
      <c r="M631" s="19">
        <f t="shared" si="200"/>
        <v>3.3067957526862997</v>
      </c>
      <c r="N631" s="19">
        <f t="shared" si="201"/>
        <v>3.3067957526862997</v>
      </c>
      <c r="O631" s="17"/>
      <c r="P631" s="19">
        <f t="shared" si="191"/>
        <v>7.0921824276166499</v>
      </c>
      <c r="Q631" s="19">
        <f t="shared" ref="Q631:Q694" si="206">(D$21*D$23/(1-D$23)^2*$A$21*D$22)/(K631+K631^2)</f>
        <v>23.611565994918042</v>
      </c>
      <c r="R631" s="19">
        <f t="shared" ref="R631:R694" si="207">(E$21*E$23/(1-E$23)^2*$A$21*E$22)/(L631+L631^2)</f>
        <v>0</v>
      </c>
      <c r="S631" s="19">
        <f t="shared" ref="S631:S694" si="208">(F$21*F$23/(1-F$23)^2*$A$21*F$22)/(M631+M631^2)</f>
        <v>0</v>
      </c>
      <c r="T631" s="19">
        <f t="shared" ref="T631:T694" si="209">(G$21*G$23/(1-G$23)^2*$A$21*G$22)/(N631+N631^2)</f>
        <v>0</v>
      </c>
      <c r="U631" s="17"/>
      <c r="V631" s="19">
        <f t="shared" si="202"/>
        <v>30.703748422534691</v>
      </c>
      <c r="W631" s="17"/>
      <c r="X631" s="19">
        <f t="shared" si="203"/>
        <v>28.429814263566367</v>
      </c>
      <c r="Y631" s="19">
        <f t="shared" si="204"/>
        <v>5.3319615774653109</v>
      </c>
      <c r="Z631" s="19"/>
      <c r="AA631" s="19">
        <f t="shared" si="205"/>
        <v>3.4652318990364762E-5</v>
      </c>
    </row>
    <row r="632" spans="2:27" x14ac:dyDescent="0.35">
      <c r="B632" s="27">
        <v>59.4</v>
      </c>
      <c r="C632" s="27">
        <v>38.285710000000002</v>
      </c>
      <c r="D632" s="19">
        <f t="shared" si="192"/>
        <v>90.556503662286104</v>
      </c>
      <c r="E632" s="19">
        <f t="shared" si="193"/>
        <v>1.8780457833040249</v>
      </c>
      <c r="F632" s="19">
        <f t="shared" si="194"/>
        <v>4.5138865337748921</v>
      </c>
      <c r="G632" s="19">
        <f t="shared" si="195"/>
        <v>4.5138865337748921</v>
      </c>
      <c r="H632" s="19">
        <f t="shared" si="196"/>
        <v>4.5138865337748921</v>
      </c>
      <c r="I632" s="17"/>
      <c r="J632" s="19">
        <f t="shared" si="197"/>
        <v>86.100982835866859</v>
      </c>
      <c r="K632" s="19">
        <f t="shared" si="198"/>
        <v>1.4835845981368323</v>
      </c>
      <c r="L632" s="19">
        <f t="shared" si="199"/>
        <v>3.3153295141321664</v>
      </c>
      <c r="M632" s="19">
        <f t="shared" si="200"/>
        <v>3.3153295141321664</v>
      </c>
      <c r="N632" s="19">
        <f t="shared" si="201"/>
        <v>3.3153295141321664</v>
      </c>
      <c r="O632" s="17"/>
      <c r="P632" s="19">
        <f t="shared" si="191"/>
        <v>7.0694519547328021</v>
      </c>
      <c r="Q632" s="19">
        <f t="shared" si="206"/>
        <v>23.518683834370201</v>
      </c>
      <c r="R632" s="19">
        <f t="shared" si="207"/>
        <v>0</v>
      </c>
      <c r="S632" s="19">
        <f t="shared" si="208"/>
        <v>0</v>
      </c>
      <c r="T632" s="19">
        <f t="shared" si="209"/>
        <v>0</v>
      </c>
      <c r="U632" s="17"/>
      <c r="V632" s="19">
        <f t="shared" si="202"/>
        <v>30.588135789103003</v>
      </c>
      <c r="W632" s="17"/>
      <c r="X632" s="19">
        <f t="shared" si="203"/>
        <v>59.252648732266557</v>
      </c>
      <c r="Y632" s="19">
        <f t="shared" si="204"/>
        <v>7.6975742108969989</v>
      </c>
      <c r="Z632" s="19"/>
      <c r="AA632" s="19">
        <f t="shared" si="205"/>
        <v>5.0026391438253662E-5</v>
      </c>
    </row>
    <row r="633" spans="2:27" x14ac:dyDescent="0.35">
      <c r="B633" s="27">
        <v>59.5</v>
      </c>
      <c r="C633" s="27">
        <v>15.78571</v>
      </c>
      <c r="D633" s="19">
        <f t="shared" si="192"/>
        <v>90.697003000708605</v>
      </c>
      <c r="E633" s="19">
        <f t="shared" si="193"/>
        <v>1.8841707121311475</v>
      </c>
      <c r="F633" s="19">
        <f t="shared" si="194"/>
        <v>4.5249976448860023</v>
      </c>
      <c r="G633" s="19">
        <f t="shared" si="195"/>
        <v>4.5249976448860023</v>
      </c>
      <c r="H633" s="19">
        <f t="shared" si="196"/>
        <v>4.5249976448860023</v>
      </c>
      <c r="I633" s="17"/>
      <c r="J633" s="19">
        <f t="shared" si="197"/>
        <v>86.23987039637403</v>
      </c>
      <c r="K633" s="19">
        <f t="shared" si="198"/>
        <v>1.4872451775671507</v>
      </c>
      <c r="L633" s="19">
        <f t="shared" si="199"/>
        <v>3.3238683688903903</v>
      </c>
      <c r="M633" s="19">
        <f t="shared" si="200"/>
        <v>3.3238683688903903</v>
      </c>
      <c r="N633" s="19">
        <f t="shared" si="201"/>
        <v>3.3238683688903903</v>
      </c>
      <c r="O633" s="17"/>
      <c r="P633" s="19">
        <f t="shared" si="191"/>
        <v>7.0468301671460507</v>
      </c>
      <c r="Q633" s="19">
        <f t="shared" si="206"/>
        <v>23.426268731395069</v>
      </c>
      <c r="R633" s="19">
        <f t="shared" si="207"/>
        <v>0</v>
      </c>
      <c r="S633" s="19">
        <f t="shared" si="208"/>
        <v>0</v>
      </c>
      <c r="T633" s="19">
        <f t="shared" si="209"/>
        <v>0</v>
      </c>
      <c r="U633" s="17"/>
      <c r="V633" s="19">
        <f t="shared" si="202"/>
        <v>30.473098898541121</v>
      </c>
      <c r="W633" s="17"/>
      <c r="X633" s="19">
        <f t="shared" si="203"/>
        <v>215.71939265698896</v>
      </c>
      <c r="Y633" s="19">
        <f t="shared" si="204"/>
        <v>14.687388898541121</v>
      </c>
      <c r="Z633" s="19"/>
      <c r="AA633" s="19">
        <f t="shared" si="205"/>
        <v>9.5453066916084743E-5</v>
      </c>
    </row>
    <row r="634" spans="2:27" x14ac:dyDescent="0.35">
      <c r="B634" s="27">
        <v>59.6</v>
      </c>
      <c r="C634" s="27">
        <v>31.535710000000002</v>
      </c>
      <c r="D634" s="19">
        <f t="shared" si="192"/>
        <v>90.837502339131092</v>
      </c>
      <c r="E634" s="19">
        <f t="shared" si="193"/>
        <v>1.8902956409582701</v>
      </c>
      <c r="F634" s="19">
        <f t="shared" si="194"/>
        <v>4.5361087559971143</v>
      </c>
      <c r="G634" s="19">
        <f t="shared" si="195"/>
        <v>4.5361087559971143</v>
      </c>
      <c r="H634" s="19">
        <f t="shared" si="196"/>
        <v>4.5361087559971143</v>
      </c>
      <c r="I634" s="17"/>
      <c r="J634" s="19">
        <f t="shared" si="197"/>
        <v>86.378760520846583</v>
      </c>
      <c r="K634" s="19">
        <f t="shared" si="198"/>
        <v>1.4909093830071063</v>
      </c>
      <c r="L634" s="19">
        <f t="shared" si="199"/>
        <v>3.3324122998860224</v>
      </c>
      <c r="M634" s="19">
        <f t="shared" si="200"/>
        <v>3.3324122998860224</v>
      </c>
      <c r="N634" s="19">
        <f t="shared" si="201"/>
        <v>3.3324122998860224</v>
      </c>
      <c r="O634" s="17"/>
      <c r="P634" s="19">
        <f t="shared" si="191"/>
        <v>7.0243163750424085</v>
      </c>
      <c r="Q634" s="19">
        <f t="shared" si="206"/>
        <v>23.334317952590514</v>
      </c>
      <c r="R634" s="19">
        <f t="shared" si="207"/>
        <v>0</v>
      </c>
      <c r="S634" s="19">
        <f t="shared" si="208"/>
        <v>0</v>
      </c>
      <c r="T634" s="19">
        <f t="shared" si="209"/>
        <v>0</v>
      </c>
      <c r="U634" s="17"/>
      <c r="V634" s="19">
        <f t="shared" si="202"/>
        <v>30.35863432763292</v>
      </c>
      <c r="W634" s="17"/>
      <c r="X634" s="19">
        <f t="shared" si="203"/>
        <v>1.3855071384784168</v>
      </c>
      <c r="Y634" s="19">
        <f t="shared" si="204"/>
        <v>1.1770756723670814</v>
      </c>
      <c r="Z634" s="19"/>
      <c r="AA634" s="19">
        <f t="shared" si="205"/>
        <v>7.6497928730484281E-6</v>
      </c>
    </row>
    <row r="635" spans="2:27" x14ac:dyDescent="0.35">
      <c r="B635" s="27">
        <v>59.7</v>
      </c>
      <c r="C635" s="27">
        <v>20.035710000000002</v>
      </c>
      <c r="D635" s="19">
        <f t="shared" si="192"/>
        <v>90.978001677553593</v>
      </c>
      <c r="E635" s="19">
        <f t="shared" si="193"/>
        <v>1.8964205697853918</v>
      </c>
      <c r="F635" s="19">
        <f t="shared" si="194"/>
        <v>4.5472198671082253</v>
      </c>
      <c r="G635" s="19">
        <f t="shared" si="195"/>
        <v>4.5472198671082253</v>
      </c>
      <c r="H635" s="19">
        <f t="shared" si="196"/>
        <v>4.5472198671082253</v>
      </c>
      <c r="I635" s="17"/>
      <c r="J635" s="19">
        <f t="shared" si="197"/>
        <v>86.517653201187187</v>
      </c>
      <c r="K635" s="19">
        <f t="shared" si="198"/>
        <v>1.4945772073725403</v>
      </c>
      <c r="L635" s="19">
        <f t="shared" si="199"/>
        <v>3.3409612901170771</v>
      </c>
      <c r="M635" s="19">
        <f t="shared" si="200"/>
        <v>3.3409612901170771</v>
      </c>
      <c r="N635" s="19">
        <f t="shared" si="201"/>
        <v>3.3409612901170771</v>
      </c>
      <c r="O635" s="17"/>
      <c r="P635" s="19">
        <f t="shared" si="191"/>
        <v>7.0019098940593487</v>
      </c>
      <c r="Q635" s="19">
        <f t="shared" si="206"/>
        <v>23.242828782119673</v>
      </c>
      <c r="R635" s="19">
        <f t="shared" si="207"/>
        <v>0</v>
      </c>
      <c r="S635" s="19">
        <f t="shared" si="208"/>
        <v>0</v>
      </c>
      <c r="T635" s="19">
        <f t="shared" si="209"/>
        <v>0</v>
      </c>
      <c r="U635" s="17"/>
      <c r="V635" s="19">
        <f t="shared" si="202"/>
        <v>30.244738676179022</v>
      </c>
      <c r="W635" s="17"/>
      <c r="X635" s="19">
        <f t="shared" si="203"/>
        <v>104.22426651104556</v>
      </c>
      <c r="Y635" s="19">
        <f t="shared" si="204"/>
        <v>10.20902867617902</v>
      </c>
      <c r="Z635" s="19"/>
      <c r="AA635" s="19">
        <f t="shared" si="205"/>
        <v>6.6348287235203405E-5</v>
      </c>
    </row>
    <row r="636" spans="2:27" x14ac:dyDescent="0.35">
      <c r="B636" s="27">
        <v>59.8</v>
      </c>
      <c r="C636" s="27">
        <v>20.285710000000002</v>
      </c>
      <c r="D636" s="19">
        <f t="shared" si="192"/>
        <v>91.118501015976065</v>
      </c>
      <c r="E636" s="19">
        <f t="shared" si="193"/>
        <v>1.9025454986125139</v>
      </c>
      <c r="F636" s="19">
        <f t="shared" si="194"/>
        <v>4.5583309782193364</v>
      </c>
      <c r="G636" s="19">
        <f t="shared" si="195"/>
        <v>4.5583309782193364</v>
      </c>
      <c r="H636" s="19">
        <f t="shared" si="196"/>
        <v>4.5583309782193364</v>
      </c>
      <c r="I636" s="17"/>
      <c r="J636" s="19">
        <f t="shared" si="197"/>
        <v>86.656548429336596</v>
      </c>
      <c r="K636" s="19">
        <f t="shared" si="198"/>
        <v>1.4982486435877913</v>
      </c>
      <c r="L636" s="19">
        <f t="shared" si="199"/>
        <v>3.349515322654208</v>
      </c>
      <c r="M636" s="19">
        <f t="shared" si="200"/>
        <v>3.349515322654208</v>
      </c>
      <c r="N636" s="19">
        <f t="shared" si="201"/>
        <v>3.349515322654208</v>
      </c>
      <c r="O636" s="17"/>
      <c r="P636" s="19">
        <f t="shared" si="191"/>
        <v>6.9796100452343142</v>
      </c>
      <c r="Q636" s="19">
        <f t="shared" si="206"/>
        <v>23.151798521592735</v>
      </c>
      <c r="R636" s="19">
        <f t="shared" si="207"/>
        <v>0</v>
      </c>
      <c r="S636" s="19">
        <f t="shared" si="208"/>
        <v>0</v>
      </c>
      <c r="T636" s="19">
        <f t="shared" si="209"/>
        <v>0</v>
      </c>
      <c r="U636" s="17"/>
      <c r="V636" s="19">
        <f t="shared" si="202"/>
        <v>30.131408566827048</v>
      </c>
      <c r="W636" s="17"/>
      <c r="X636" s="19">
        <f t="shared" si="203"/>
        <v>96.937780268820148</v>
      </c>
      <c r="Y636" s="19">
        <f t="shared" si="204"/>
        <v>9.8456985668270462</v>
      </c>
      <c r="Z636" s="19"/>
      <c r="AA636" s="19">
        <f t="shared" si="205"/>
        <v>6.3987011621125593E-5</v>
      </c>
    </row>
    <row r="637" spans="2:27" x14ac:dyDescent="0.35">
      <c r="B637" s="27">
        <v>59.9</v>
      </c>
      <c r="C637" s="27">
        <v>38.535710000000002</v>
      </c>
      <c r="D637" s="19">
        <f t="shared" si="192"/>
        <v>91.259000354398566</v>
      </c>
      <c r="E637" s="19">
        <f t="shared" si="193"/>
        <v>1.9086704274396364</v>
      </c>
      <c r="F637" s="19">
        <f t="shared" si="194"/>
        <v>4.5694420893304475</v>
      </c>
      <c r="G637" s="19">
        <f t="shared" si="195"/>
        <v>4.5694420893304475</v>
      </c>
      <c r="H637" s="19">
        <f t="shared" si="196"/>
        <v>4.5694420893304475</v>
      </c>
      <c r="I637" s="17"/>
      <c r="J637" s="19">
        <f t="shared" si="197"/>
        <v>86.795446197273549</v>
      </c>
      <c r="K637" s="19">
        <f t="shared" si="198"/>
        <v>1.5019236845857569</v>
      </c>
      <c r="L637" s="19">
        <f t="shared" si="199"/>
        <v>3.3580743806403728</v>
      </c>
      <c r="M637" s="19">
        <f t="shared" si="200"/>
        <v>3.3580743806403728</v>
      </c>
      <c r="N637" s="19">
        <f t="shared" si="201"/>
        <v>3.3580743806403728</v>
      </c>
      <c r="O637" s="17"/>
      <c r="P637" s="19">
        <f t="shared" si="191"/>
        <v>6.9574161549537354</v>
      </c>
      <c r="Q637" s="19">
        <f t="shared" si="206"/>
        <v>23.061224489949453</v>
      </c>
      <c r="R637" s="19">
        <f t="shared" si="207"/>
        <v>0</v>
      </c>
      <c r="S637" s="19">
        <f t="shared" si="208"/>
        <v>0</v>
      </c>
      <c r="T637" s="19">
        <f t="shared" si="209"/>
        <v>0</v>
      </c>
      <c r="U637" s="17"/>
      <c r="V637" s="19">
        <f t="shared" si="202"/>
        <v>30.018640644903186</v>
      </c>
      <c r="W637" s="17"/>
      <c r="X637" s="19">
        <f t="shared" si="203"/>
        <v>72.540470399529283</v>
      </c>
      <c r="Y637" s="19">
        <f t="shared" si="204"/>
        <v>8.5170693550968153</v>
      </c>
      <c r="Z637" s="19"/>
      <c r="AA637" s="19">
        <f t="shared" si="205"/>
        <v>5.5352275118264441E-5</v>
      </c>
    </row>
    <row r="638" spans="2:27" x14ac:dyDescent="0.35">
      <c r="B638" s="27">
        <v>60</v>
      </c>
      <c r="C638" s="27">
        <v>15.28571</v>
      </c>
      <c r="D638" s="19">
        <f t="shared" si="192"/>
        <v>91.399499692821053</v>
      </c>
      <c r="E638" s="19">
        <f t="shared" si="193"/>
        <v>1.9147953562667586</v>
      </c>
      <c r="F638" s="19">
        <f t="shared" si="194"/>
        <v>4.5805532004415577</v>
      </c>
      <c r="G638" s="19">
        <f t="shared" si="195"/>
        <v>4.5805532004415577</v>
      </c>
      <c r="H638" s="19">
        <f t="shared" si="196"/>
        <v>4.5805532004415577</v>
      </c>
      <c r="I638" s="17"/>
      <c r="J638" s="19">
        <f t="shared" si="197"/>
        <v>86.934346497014388</v>
      </c>
      <c r="K638" s="19">
        <f t="shared" si="198"/>
        <v>1.5056023233079514</v>
      </c>
      <c r="L638" s="19">
        <f t="shared" si="199"/>
        <v>3.3666384472905024</v>
      </c>
      <c r="M638" s="19">
        <f t="shared" si="200"/>
        <v>3.3666384472905024</v>
      </c>
      <c r="N638" s="19">
        <f t="shared" si="201"/>
        <v>3.3666384472905024</v>
      </c>
      <c r="O638" s="17"/>
      <c r="P638" s="19">
        <f t="shared" si="191"/>
        <v>6.9353275549026678</v>
      </c>
      <c r="Q638" s="19">
        <f t="shared" si="206"/>
        <v>22.971104023342548</v>
      </c>
      <c r="R638" s="19">
        <f t="shared" si="207"/>
        <v>0</v>
      </c>
      <c r="S638" s="19">
        <f t="shared" si="208"/>
        <v>0</v>
      </c>
      <c r="T638" s="19">
        <f t="shared" si="209"/>
        <v>0</v>
      </c>
      <c r="U638" s="17"/>
      <c r="V638" s="19">
        <f t="shared" si="202"/>
        <v>29.906431578245215</v>
      </c>
      <c r="W638" s="17"/>
      <c r="X638" s="19">
        <f t="shared" si="203"/>
        <v>213.76549946856525</v>
      </c>
      <c r="Y638" s="19">
        <f t="shared" si="204"/>
        <v>14.620721578245215</v>
      </c>
      <c r="Z638" s="19"/>
      <c r="AA638" s="19">
        <f t="shared" si="205"/>
        <v>9.5019797243082945E-5</v>
      </c>
    </row>
    <row r="639" spans="2:27" x14ac:dyDescent="0.35">
      <c r="B639" s="27">
        <v>60.1</v>
      </c>
      <c r="C639" s="27">
        <v>24.535710000000002</v>
      </c>
      <c r="D639" s="19">
        <f t="shared" si="192"/>
        <v>91.539999031243553</v>
      </c>
      <c r="E639" s="19">
        <f t="shared" si="193"/>
        <v>1.9209202850938811</v>
      </c>
      <c r="F639" s="19">
        <f t="shared" si="194"/>
        <v>4.5916643115526696</v>
      </c>
      <c r="G639" s="19">
        <f t="shared" si="195"/>
        <v>4.5916643115526696</v>
      </c>
      <c r="H639" s="19">
        <f t="shared" si="196"/>
        <v>4.5916643115526696</v>
      </c>
      <c r="I639" s="17"/>
      <c r="J639" s="19">
        <f t="shared" si="197"/>
        <v>87.073249320612916</v>
      </c>
      <c r="K639" s="19">
        <f t="shared" si="198"/>
        <v>1.509284552704568</v>
      </c>
      <c r="L639" s="19">
        <f t="shared" si="199"/>
        <v>3.3752075058911775</v>
      </c>
      <c r="M639" s="19">
        <f t="shared" si="200"/>
        <v>3.3752075058911775</v>
      </c>
      <c r="N639" s="19">
        <f t="shared" si="201"/>
        <v>3.3752075058911775</v>
      </c>
      <c r="O639" s="17"/>
      <c r="P639" s="19">
        <f t="shared" si="191"/>
        <v>6.9133435820149352</v>
      </c>
      <c r="Q639" s="19">
        <f t="shared" si="206"/>
        <v>22.881434475021759</v>
      </c>
      <c r="R639" s="19">
        <f t="shared" si="207"/>
        <v>0</v>
      </c>
      <c r="S639" s="19">
        <f t="shared" si="208"/>
        <v>0</v>
      </c>
      <c r="T639" s="19">
        <f t="shared" si="209"/>
        <v>0</v>
      </c>
      <c r="U639" s="17"/>
      <c r="V639" s="19">
        <f t="shared" si="202"/>
        <v>29.794778057036694</v>
      </c>
      <c r="W639" s="17"/>
      <c r="X639" s="19">
        <f t="shared" si="203"/>
        <v>27.657796828543695</v>
      </c>
      <c r="Y639" s="19">
        <f t="shared" si="204"/>
        <v>5.2590680570366928</v>
      </c>
      <c r="Z639" s="19"/>
      <c r="AA639" s="19">
        <f t="shared" si="205"/>
        <v>3.4178585358656204E-5</v>
      </c>
    </row>
    <row r="640" spans="2:27" x14ac:dyDescent="0.35">
      <c r="B640" s="27">
        <v>60.2</v>
      </c>
      <c r="C640" s="27">
        <v>34.535710000000002</v>
      </c>
      <c r="D640" s="19">
        <f t="shared" si="192"/>
        <v>91.68049836966604</v>
      </c>
      <c r="E640" s="19">
        <f t="shared" si="193"/>
        <v>1.9270452139210037</v>
      </c>
      <c r="F640" s="19">
        <f t="shared" si="194"/>
        <v>4.6027754226637807</v>
      </c>
      <c r="G640" s="19">
        <f t="shared" si="195"/>
        <v>4.6027754226637807</v>
      </c>
      <c r="H640" s="19">
        <f t="shared" si="196"/>
        <v>4.6027754226637807</v>
      </c>
      <c r="I640" s="17"/>
      <c r="J640" s="19">
        <f t="shared" si="197"/>
        <v>87.212154660160166</v>
      </c>
      <c r="K640" s="19">
        <f t="shared" si="198"/>
        <v>1.5129703657345357</v>
      </c>
      <c r="L640" s="19">
        <f t="shared" si="199"/>
        <v>3.3837815398002884</v>
      </c>
      <c r="M640" s="19">
        <f t="shared" si="200"/>
        <v>3.3837815398002884</v>
      </c>
      <c r="N640" s="19">
        <f t="shared" si="201"/>
        <v>3.3837815398002884</v>
      </c>
      <c r="O640" s="17"/>
      <c r="P640" s="19">
        <f t="shared" si="191"/>
        <v>6.8914635784238341</v>
      </c>
      <c r="Q640" s="19">
        <f t="shared" si="206"/>
        <v>22.792213215218769</v>
      </c>
      <c r="R640" s="19">
        <f t="shared" si="207"/>
        <v>0</v>
      </c>
      <c r="S640" s="19">
        <f t="shared" si="208"/>
        <v>0</v>
      </c>
      <c r="T640" s="19">
        <f t="shared" si="209"/>
        <v>0</v>
      </c>
      <c r="U640" s="17"/>
      <c r="V640" s="19">
        <f t="shared" si="202"/>
        <v>29.683676793642604</v>
      </c>
      <c r="W640" s="17"/>
      <c r="X640" s="19">
        <f t="shared" si="203"/>
        <v>23.542226235594846</v>
      </c>
      <c r="Y640" s="19">
        <f t="shared" si="204"/>
        <v>4.8520332063573974</v>
      </c>
      <c r="Z640" s="19"/>
      <c r="AA640" s="19">
        <f t="shared" si="205"/>
        <v>3.1533273444642097E-5</v>
      </c>
    </row>
    <row r="641" spans="2:27" x14ac:dyDescent="0.35">
      <c r="B641" s="27">
        <v>60.3</v>
      </c>
      <c r="C641" s="27">
        <v>31.285710000000002</v>
      </c>
      <c r="D641" s="19">
        <f t="shared" si="192"/>
        <v>91.820997708088527</v>
      </c>
      <c r="E641" s="19">
        <f t="shared" si="193"/>
        <v>1.9331701427481254</v>
      </c>
      <c r="F641" s="19">
        <f t="shared" si="194"/>
        <v>4.6138865337748918</v>
      </c>
      <c r="G641" s="19">
        <f t="shared" si="195"/>
        <v>4.6138865337748918</v>
      </c>
      <c r="H641" s="19">
        <f t="shared" si="196"/>
        <v>4.6138865337748918</v>
      </c>
      <c r="I641" s="17"/>
      <c r="J641" s="19">
        <f t="shared" si="197"/>
        <v>87.351062507784107</v>
      </c>
      <c r="K641" s="19">
        <f t="shared" si="198"/>
        <v>1.5166597553655765</v>
      </c>
      <c r="L641" s="19">
        <f t="shared" si="199"/>
        <v>3.3923605324467223</v>
      </c>
      <c r="M641" s="19">
        <f t="shared" si="200"/>
        <v>3.3923605324467223</v>
      </c>
      <c r="N641" s="19">
        <f t="shared" si="201"/>
        <v>3.3923605324467223</v>
      </c>
      <c r="O641" s="17"/>
      <c r="P641" s="19">
        <f t="shared" si="191"/>
        <v>6.8696868914133846</v>
      </c>
      <c r="Q641" s="19">
        <f t="shared" si="206"/>
        <v>22.703437631032905</v>
      </c>
      <c r="R641" s="19">
        <f t="shared" si="207"/>
        <v>0</v>
      </c>
      <c r="S641" s="19">
        <f t="shared" si="208"/>
        <v>0</v>
      </c>
      <c r="T641" s="19">
        <f t="shared" si="209"/>
        <v>0</v>
      </c>
      <c r="U641" s="17"/>
      <c r="V641" s="19">
        <f t="shared" si="202"/>
        <v>29.573124522446289</v>
      </c>
      <c r="W641" s="17"/>
      <c r="X641" s="19">
        <f t="shared" si="203"/>
        <v>2.9329490179278785</v>
      </c>
      <c r="Y641" s="19">
        <f t="shared" si="204"/>
        <v>1.7125854775537128</v>
      </c>
      <c r="Z641" s="19"/>
      <c r="AA641" s="19">
        <f t="shared" si="205"/>
        <v>1.1130061123709123E-5</v>
      </c>
    </row>
    <row r="642" spans="2:27" x14ac:dyDescent="0.35">
      <c r="B642" s="27">
        <v>60.4</v>
      </c>
      <c r="C642" s="27">
        <v>47.285710000000002</v>
      </c>
      <c r="D642" s="19">
        <f t="shared" si="192"/>
        <v>91.961497046511013</v>
      </c>
      <c r="E642" s="19">
        <f t="shared" si="193"/>
        <v>1.9392950715752475</v>
      </c>
      <c r="F642" s="19">
        <f t="shared" si="194"/>
        <v>4.6249976448860028</v>
      </c>
      <c r="G642" s="19">
        <f t="shared" si="195"/>
        <v>4.6249976448860028</v>
      </c>
      <c r="H642" s="19">
        <f t="shared" si="196"/>
        <v>4.6249976448860028</v>
      </c>
      <c r="I642" s="17"/>
      <c r="J642" s="19">
        <f t="shared" si="197"/>
        <v>87.489972855649498</v>
      </c>
      <c r="K642" s="19">
        <f t="shared" si="198"/>
        <v>1.5203527145742652</v>
      </c>
      <c r="L642" s="19">
        <f t="shared" si="199"/>
        <v>3.4009444673300284</v>
      </c>
      <c r="M642" s="19">
        <f t="shared" si="200"/>
        <v>3.4009444673300284</v>
      </c>
      <c r="N642" s="19">
        <f t="shared" si="201"/>
        <v>3.4009444673300284</v>
      </c>
      <c r="O642" s="17"/>
      <c r="P642" s="19">
        <f t="shared" si="191"/>
        <v>6.8480128733700969</v>
      </c>
      <c r="Q642" s="19">
        <f t="shared" si="206"/>
        <v>22.615105126317516</v>
      </c>
      <c r="R642" s="19">
        <f t="shared" si="207"/>
        <v>0</v>
      </c>
      <c r="S642" s="19">
        <f t="shared" si="208"/>
        <v>0</v>
      </c>
      <c r="T642" s="19">
        <f t="shared" si="209"/>
        <v>0</v>
      </c>
      <c r="U642" s="17"/>
      <c r="V642" s="19">
        <f t="shared" si="202"/>
        <v>29.463117999687611</v>
      </c>
      <c r="W642" s="17"/>
      <c r="X642" s="19">
        <f t="shared" si="203"/>
        <v>317.64478560959918</v>
      </c>
      <c r="Y642" s="19">
        <f t="shared" si="204"/>
        <v>17.82259200031239</v>
      </c>
      <c r="Z642" s="19"/>
      <c r="AA642" s="19">
        <f t="shared" si="205"/>
        <v>1.1582869348498529E-4</v>
      </c>
    </row>
    <row r="643" spans="2:27" x14ac:dyDescent="0.35">
      <c r="B643" s="27">
        <v>60.5</v>
      </c>
      <c r="C643" s="27">
        <v>39.535710000000002</v>
      </c>
      <c r="D643" s="19">
        <f t="shared" si="192"/>
        <v>92.101996384933514</v>
      </c>
      <c r="E643" s="19">
        <f t="shared" si="193"/>
        <v>1.9454200004023701</v>
      </c>
      <c r="F643" s="19">
        <f t="shared" si="194"/>
        <v>4.6361087559971148</v>
      </c>
      <c r="G643" s="19">
        <f t="shared" si="195"/>
        <v>4.6361087559971148</v>
      </c>
      <c r="H643" s="19">
        <f t="shared" si="196"/>
        <v>4.6361087559971148</v>
      </c>
      <c r="I643" s="17"/>
      <c r="J643" s="19">
        <f t="shared" si="197"/>
        <v>87.628885695957592</v>
      </c>
      <c r="K643" s="19">
        <f t="shared" si="198"/>
        <v>1.5240492363460829</v>
      </c>
      <c r="L643" s="19">
        <f t="shared" si="199"/>
        <v>3.409533328020097</v>
      </c>
      <c r="M643" s="19">
        <f t="shared" si="200"/>
        <v>3.409533328020097</v>
      </c>
      <c r="N643" s="19">
        <f t="shared" si="201"/>
        <v>3.409533328020097</v>
      </c>
      <c r="O643" s="17"/>
      <c r="P643" s="19">
        <f t="shared" si="191"/>
        <v>6.8264408817352802</v>
      </c>
      <c r="Q643" s="19">
        <f t="shared" si="206"/>
        <v>22.527213121567225</v>
      </c>
      <c r="R643" s="19">
        <f t="shared" si="207"/>
        <v>0</v>
      </c>
      <c r="S643" s="19">
        <f t="shared" si="208"/>
        <v>0</v>
      </c>
      <c r="T643" s="19">
        <f t="shared" si="209"/>
        <v>0</v>
      </c>
      <c r="U643" s="17"/>
      <c r="V643" s="19">
        <f t="shared" si="202"/>
        <v>29.353654003302506</v>
      </c>
      <c r="W643" s="17"/>
      <c r="X643" s="19">
        <f t="shared" si="203"/>
        <v>103.67426431988345</v>
      </c>
      <c r="Y643" s="19">
        <f t="shared" si="204"/>
        <v>10.182055996697496</v>
      </c>
      <c r="Z643" s="19"/>
      <c r="AA643" s="19">
        <f t="shared" si="205"/>
        <v>6.6172992293587755E-5</v>
      </c>
    </row>
    <row r="644" spans="2:27" x14ac:dyDescent="0.35">
      <c r="B644" s="27">
        <v>60.6</v>
      </c>
      <c r="C644" s="27">
        <v>32.035710000000002</v>
      </c>
      <c r="D644" s="19">
        <f t="shared" si="192"/>
        <v>92.242495723356001</v>
      </c>
      <c r="E644" s="19">
        <f t="shared" si="193"/>
        <v>1.9515449292294922</v>
      </c>
      <c r="F644" s="19">
        <f t="shared" si="194"/>
        <v>4.647219867108225</v>
      </c>
      <c r="G644" s="19">
        <f t="shared" si="195"/>
        <v>4.647219867108225</v>
      </c>
      <c r="H644" s="19">
        <f t="shared" si="196"/>
        <v>4.647219867108225</v>
      </c>
      <c r="I644" s="17"/>
      <c r="J644" s="19">
        <f t="shared" si="197"/>
        <v>87.767801020945896</v>
      </c>
      <c r="K644" s="19">
        <f t="shared" si="198"/>
        <v>1.527749313675473</v>
      </c>
      <c r="L644" s="19">
        <f t="shared" si="199"/>
        <v>3.4181270981568326</v>
      </c>
      <c r="M644" s="19">
        <f t="shared" si="200"/>
        <v>3.4181270981568326</v>
      </c>
      <c r="N644" s="19">
        <f t="shared" si="201"/>
        <v>3.4181270981568326</v>
      </c>
      <c r="O644" s="17"/>
      <c r="P644" s="19">
        <f t="shared" si="191"/>
        <v>6.8049702789578612</v>
      </c>
      <c r="Q644" s="19">
        <f t="shared" si="206"/>
        <v>22.439759053805904</v>
      </c>
      <c r="R644" s="19">
        <f t="shared" si="207"/>
        <v>0</v>
      </c>
      <c r="S644" s="19">
        <f t="shared" si="208"/>
        <v>0</v>
      </c>
      <c r="T644" s="19">
        <f t="shared" si="209"/>
        <v>0</v>
      </c>
      <c r="U644" s="17"/>
      <c r="V644" s="19">
        <f t="shared" si="202"/>
        <v>29.244729332763765</v>
      </c>
      <c r="W644" s="17"/>
      <c r="X644" s="19">
        <f t="shared" si="203"/>
        <v>7.789573084886432</v>
      </c>
      <c r="Y644" s="19">
        <f t="shared" si="204"/>
        <v>2.7909806672362372</v>
      </c>
      <c r="Z644" s="19"/>
      <c r="AA644" s="19">
        <f t="shared" si="205"/>
        <v>1.8138531377599821E-5</v>
      </c>
    </row>
    <row r="645" spans="2:27" x14ac:dyDescent="0.35">
      <c r="B645" s="27">
        <v>60.7</v>
      </c>
      <c r="C645" s="27">
        <v>44.035710000000002</v>
      </c>
      <c r="D645" s="19">
        <f t="shared" si="192"/>
        <v>92.382995061778502</v>
      </c>
      <c r="E645" s="19">
        <f t="shared" si="193"/>
        <v>1.9576698580566148</v>
      </c>
      <c r="F645" s="19">
        <f t="shared" si="194"/>
        <v>4.6583309782193361</v>
      </c>
      <c r="G645" s="19">
        <f t="shared" si="195"/>
        <v>4.6583309782193361</v>
      </c>
      <c r="H645" s="19">
        <f t="shared" si="196"/>
        <v>4.6583309782193361</v>
      </c>
      <c r="I645" s="17"/>
      <c r="J645" s="19">
        <f t="shared" si="197"/>
        <v>87.906718822888081</v>
      </c>
      <c r="K645" s="19">
        <f t="shared" si="198"/>
        <v>1.5314529395658969</v>
      </c>
      <c r="L645" s="19">
        <f t="shared" si="199"/>
        <v>3.4267257614498385</v>
      </c>
      <c r="M645" s="19">
        <f t="shared" si="200"/>
        <v>3.4267257614498385</v>
      </c>
      <c r="N645" s="19">
        <f t="shared" si="201"/>
        <v>3.4267257614498385</v>
      </c>
      <c r="O645" s="17"/>
      <c r="P645" s="19">
        <f t="shared" si="191"/>
        <v>6.7836004324476988</v>
      </c>
      <c r="Q645" s="19">
        <f t="shared" si="206"/>
        <v>22.35274037647536</v>
      </c>
      <c r="R645" s="19">
        <f t="shared" si="207"/>
        <v>0</v>
      </c>
      <c r="S645" s="19">
        <f t="shared" si="208"/>
        <v>0</v>
      </c>
      <c r="T645" s="19">
        <f t="shared" si="209"/>
        <v>0</v>
      </c>
      <c r="U645" s="17"/>
      <c r="V645" s="19">
        <f t="shared" si="202"/>
        <v>29.136340808923059</v>
      </c>
      <c r="W645" s="17"/>
      <c r="X645" s="19">
        <f t="shared" si="203"/>
        <v>221.99120229201279</v>
      </c>
      <c r="Y645" s="19">
        <f t="shared" si="204"/>
        <v>14.899369191076943</v>
      </c>
      <c r="Z645" s="19"/>
      <c r="AA645" s="19">
        <f t="shared" si="205"/>
        <v>9.6830722889388668E-5</v>
      </c>
    </row>
    <row r="646" spans="2:27" x14ac:dyDescent="0.35">
      <c r="B646" s="27">
        <v>60.8</v>
      </c>
      <c r="C646" s="27">
        <v>18.285710000000002</v>
      </c>
      <c r="D646" s="19">
        <f t="shared" si="192"/>
        <v>92.523494400200974</v>
      </c>
      <c r="E646" s="19">
        <f t="shared" si="193"/>
        <v>1.9637947868837369</v>
      </c>
      <c r="F646" s="19">
        <f t="shared" si="194"/>
        <v>4.6694420893304471</v>
      </c>
      <c r="G646" s="19">
        <f t="shared" si="195"/>
        <v>4.6694420893304471</v>
      </c>
      <c r="H646" s="19">
        <f t="shared" si="196"/>
        <v>4.6694420893304471</v>
      </c>
      <c r="I646" s="17"/>
      <c r="J646" s="19">
        <f t="shared" si="197"/>
        <v>88.045639094093545</v>
      </c>
      <c r="K646" s="19">
        <f t="shared" si="198"/>
        <v>1.5351601070298881</v>
      </c>
      <c r="L646" s="19">
        <f t="shared" si="199"/>
        <v>3.435329301678089</v>
      </c>
      <c r="M646" s="19">
        <f t="shared" si="200"/>
        <v>3.435329301678089</v>
      </c>
      <c r="N646" s="19">
        <f t="shared" si="201"/>
        <v>3.435329301678089</v>
      </c>
      <c r="O646" s="17"/>
      <c r="P646" s="19">
        <f t="shared" si="191"/>
        <v>6.7623307145294511</v>
      </c>
      <c r="Q646" s="19">
        <f t="shared" si="206"/>
        <v>22.266154559324807</v>
      </c>
      <c r="R646" s="19">
        <f t="shared" si="207"/>
        <v>0</v>
      </c>
      <c r="S646" s="19">
        <f t="shared" si="208"/>
        <v>0</v>
      </c>
      <c r="T646" s="19">
        <f t="shared" si="209"/>
        <v>0</v>
      </c>
      <c r="U646" s="17"/>
      <c r="V646" s="19">
        <f t="shared" si="202"/>
        <v>29.028485273854258</v>
      </c>
      <c r="W646" s="17"/>
      <c r="X646" s="19">
        <f t="shared" si="203"/>
        <v>115.4072205845344</v>
      </c>
      <c r="Y646" s="19">
        <f t="shared" si="204"/>
        <v>10.742775273854257</v>
      </c>
      <c r="Z646" s="19"/>
      <c r="AA646" s="19">
        <f t="shared" si="205"/>
        <v>6.981709643308523E-5</v>
      </c>
    </row>
    <row r="647" spans="2:27" x14ac:dyDescent="0.35">
      <c r="B647" s="27">
        <v>60.9</v>
      </c>
      <c r="C647" s="27">
        <v>32.535710000000002</v>
      </c>
      <c r="D647" s="19">
        <f t="shared" si="192"/>
        <v>92.663993738623475</v>
      </c>
      <c r="E647" s="19">
        <f t="shared" si="193"/>
        <v>1.969919715710859</v>
      </c>
      <c r="F647" s="19">
        <f t="shared" si="194"/>
        <v>4.6805532004415582</v>
      </c>
      <c r="G647" s="19">
        <f t="shared" si="195"/>
        <v>4.6805532004415582</v>
      </c>
      <c r="H647" s="19">
        <f t="shared" si="196"/>
        <v>4.6805532004415582</v>
      </c>
      <c r="I647" s="17"/>
      <c r="J647" s="19">
        <f t="shared" si="197"/>
        <v>88.184561826907427</v>
      </c>
      <c r="K647" s="19">
        <f t="shared" si="198"/>
        <v>1.5388708090891043</v>
      </c>
      <c r="L647" s="19">
        <f t="shared" si="199"/>
        <v>3.4439377026896136</v>
      </c>
      <c r="M647" s="19">
        <f t="shared" si="200"/>
        <v>3.4439377026896136</v>
      </c>
      <c r="N647" s="19">
        <f t="shared" si="201"/>
        <v>3.4439377026896136</v>
      </c>
      <c r="O647" s="17"/>
      <c r="P647" s="19">
        <f t="shared" si="191"/>
        <v>6.741160502396875</v>
      </c>
      <c r="Q647" s="19">
        <f t="shared" si="206"/>
        <v>22.17999908830113</v>
      </c>
      <c r="R647" s="19">
        <f t="shared" si="207"/>
        <v>0</v>
      </c>
      <c r="S647" s="19">
        <f t="shared" si="208"/>
        <v>0</v>
      </c>
      <c r="T647" s="19">
        <f t="shared" si="209"/>
        <v>0</v>
      </c>
      <c r="U647" s="17"/>
      <c r="V647" s="19">
        <f t="shared" si="202"/>
        <v>28.921159590698004</v>
      </c>
      <c r="W647" s="17"/>
      <c r="X647" s="19">
        <f t="shared" si="203"/>
        <v>13.064974661385241</v>
      </c>
      <c r="Y647" s="19">
        <f t="shared" si="204"/>
        <v>3.614550409301998</v>
      </c>
      <c r="Z647" s="19"/>
      <c r="AA647" s="19">
        <f t="shared" si="205"/>
        <v>2.3490895793256721E-5</v>
      </c>
    </row>
    <row r="648" spans="2:27" x14ac:dyDescent="0.35">
      <c r="B648" s="27">
        <v>61</v>
      </c>
      <c r="C648" s="27">
        <v>11.78571</v>
      </c>
      <c r="D648" s="19">
        <f t="shared" si="192"/>
        <v>92.804493077045962</v>
      </c>
      <c r="E648" s="19">
        <f t="shared" si="193"/>
        <v>1.9760446445379816</v>
      </c>
      <c r="F648" s="19">
        <f t="shared" si="194"/>
        <v>4.6916643115526702</v>
      </c>
      <c r="G648" s="19">
        <f t="shared" si="195"/>
        <v>4.6916643115526702</v>
      </c>
      <c r="H648" s="19">
        <f t="shared" si="196"/>
        <v>4.6916643115526702</v>
      </c>
      <c r="I648" s="17"/>
      <c r="J648" s="19">
        <f t="shared" si="197"/>
        <v>88.323487013710164</v>
      </c>
      <c r="K648" s="19">
        <f t="shared" si="198"/>
        <v>1.542585038774382</v>
      </c>
      <c r="L648" s="19">
        <f t="shared" si="199"/>
        <v>3.4525509484011767</v>
      </c>
      <c r="M648" s="19">
        <f t="shared" si="200"/>
        <v>3.4525509484011767</v>
      </c>
      <c r="N648" s="19">
        <f t="shared" si="201"/>
        <v>3.4525509484011767</v>
      </c>
      <c r="O648" s="17"/>
      <c r="P648" s="19">
        <f t="shared" si="191"/>
        <v>6.7200891780676937</v>
      </c>
      <c r="Q648" s="19">
        <f t="shared" si="206"/>
        <v>22.094271465439753</v>
      </c>
      <c r="R648" s="19">
        <f t="shared" si="207"/>
        <v>0</v>
      </c>
      <c r="S648" s="19">
        <f t="shared" si="208"/>
        <v>0</v>
      </c>
      <c r="T648" s="19">
        <f t="shared" si="209"/>
        <v>0</v>
      </c>
      <c r="U648" s="17"/>
      <c r="V648" s="19">
        <f t="shared" si="202"/>
        <v>28.814360643507449</v>
      </c>
      <c r="W648" s="17"/>
      <c r="X648" s="19">
        <f t="shared" si="203"/>
        <v>289.97494273862657</v>
      </c>
      <c r="Y648" s="19">
        <f t="shared" si="204"/>
        <v>17.028650643507447</v>
      </c>
      <c r="Z648" s="19"/>
      <c r="AA648" s="19">
        <f t="shared" si="205"/>
        <v>1.1066888339334423E-4</v>
      </c>
    </row>
    <row r="649" spans="2:27" x14ac:dyDescent="0.35">
      <c r="B649" s="27">
        <v>61.1</v>
      </c>
      <c r="C649" s="27">
        <v>35.535710000000002</v>
      </c>
      <c r="D649" s="19">
        <f t="shared" si="192"/>
        <v>92.944992415468462</v>
      </c>
      <c r="E649" s="19">
        <f t="shared" si="193"/>
        <v>1.9821695733651037</v>
      </c>
      <c r="F649" s="19">
        <f t="shared" si="194"/>
        <v>4.7027754226637803</v>
      </c>
      <c r="G649" s="19">
        <f t="shared" si="195"/>
        <v>4.7027754226637803</v>
      </c>
      <c r="H649" s="19">
        <f t="shared" si="196"/>
        <v>4.7027754226637803</v>
      </c>
      <c r="I649" s="17"/>
      <c r="J649" s="19">
        <f t="shared" si="197"/>
        <v>88.462414646917466</v>
      </c>
      <c r="K649" s="19">
        <f t="shared" si="198"/>
        <v>1.5463027891257859</v>
      </c>
      <c r="L649" s="19">
        <f t="shared" si="199"/>
        <v>3.4611690227979586</v>
      </c>
      <c r="M649" s="19">
        <f t="shared" si="200"/>
        <v>3.4611690227979586</v>
      </c>
      <c r="N649" s="19">
        <f t="shared" si="201"/>
        <v>3.4611690227979586</v>
      </c>
      <c r="O649" s="17"/>
      <c r="P649" s="19">
        <f t="shared" si="191"/>
        <v>6.6991161283388792</v>
      </c>
      <c r="Q649" s="19">
        <f t="shared" si="206"/>
        <v>22.008969208756426</v>
      </c>
      <c r="R649" s="19">
        <f t="shared" si="207"/>
        <v>0</v>
      </c>
      <c r="S649" s="19">
        <f t="shared" si="208"/>
        <v>0</v>
      </c>
      <c r="T649" s="19">
        <f t="shared" si="209"/>
        <v>0</v>
      </c>
      <c r="U649" s="17"/>
      <c r="V649" s="19">
        <f t="shared" si="202"/>
        <v>28.708085337095305</v>
      </c>
      <c r="W649" s="17"/>
      <c r="X649" s="19">
        <f t="shared" si="203"/>
        <v>46.616458537504471</v>
      </c>
      <c r="Y649" s="19">
        <f t="shared" si="204"/>
        <v>6.8276246629046966</v>
      </c>
      <c r="Z649" s="19"/>
      <c r="AA649" s="19">
        <f t="shared" si="205"/>
        <v>4.4372605527650104E-5</v>
      </c>
    </row>
    <row r="650" spans="2:27" x14ac:dyDescent="0.35">
      <c r="B650" s="27">
        <v>61.2</v>
      </c>
      <c r="C650" s="27">
        <v>40.785710000000002</v>
      </c>
      <c r="D650" s="19">
        <f t="shared" si="192"/>
        <v>93.085491753890949</v>
      </c>
      <c r="E650" s="19">
        <f t="shared" si="193"/>
        <v>1.9882945021922258</v>
      </c>
      <c r="F650" s="19">
        <f t="shared" si="194"/>
        <v>4.7138865337748923</v>
      </c>
      <c r="G650" s="19">
        <f t="shared" si="195"/>
        <v>4.7138865337748923</v>
      </c>
      <c r="H650" s="19">
        <f t="shared" si="196"/>
        <v>4.7138865337748923</v>
      </c>
      <c r="I650" s="17"/>
      <c r="J650" s="19">
        <f t="shared" si="197"/>
        <v>88.601344718979959</v>
      </c>
      <c r="K650" s="19">
        <f t="shared" si="198"/>
        <v>1.5500240531926621</v>
      </c>
      <c r="L650" s="19">
        <f t="shared" si="199"/>
        <v>3.4697919099332455</v>
      </c>
      <c r="M650" s="19">
        <f t="shared" si="200"/>
        <v>3.4697919099332455</v>
      </c>
      <c r="N650" s="19">
        <f t="shared" si="201"/>
        <v>3.4697919099332455</v>
      </c>
      <c r="O650" s="17"/>
      <c r="P650" s="19">
        <f t="shared" si="191"/>
        <v>6.6782407447424763</v>
      </c>
      <c r="Q650" s="19">
        <f t="shared" si="206"/>
        <v>21.924089852139577</v>
      </c>
      <c r="R650" s="19">
        <f t="shared" si="207"/>
        <v>0</v>
      </c>
      <c r="S650" s="19">
        <f t="shared" si="208"/>
        <v>0</v>
      </c>
      <c r="T650" s="19">
        <f t="shared" si="209"/>
        <v>0</v>
      </c>
      <c r="U650" s="17"/>
      <c r="V650" s="19">
        <f t="shared" si="202"/>
        <v>28.602330596882055</v>
      </c>
      <c r="W650" s="17"/>
      <c r="X650" s="19">
        <f t="shared" si="203"/>
        <v>148.4347336803186</v>
      </c>
      <c r="Y650" s="19">
        <f t="shared" si="204"/>
        <v>12.183379403117947</v>
      </c>
      <c r="Z650" s="19"/>
      <c r="AA650" s="19">
        <f t="shared" si="205"/>
        <v>7.9179555839593748E-5</v>
      </c>
    </row>
    <row r="651" spans="2:27" x14ac:dyDescent="0.35">
      <c r="B651" s="27">
        <v>61.3</v>
      </c>
      <c r="C651" s="27">
        <v>12.53571</v>
      </c>
      <c r="D651" s="19">
        <f t="shared" si="192"/>
        <v>93.225991092313436</v>
      </c>
      <c r="E651" s="19">
        <f t="shared" si="193"/>
        <v>1.9944194310193479</v>
      </c>
      <c r="F651" s="19">
        <f t="shared" si="194"/>
        <v>4.7249976448860025</v>
      </c>
      <c r="G651" s="19">
        <f t="shared" si="195"/>
        <v>4.7249976448860025</v>
      </c>
      <c r="H651" s="19">
        <f t="shared" si="196"/>
        <v>4.7249976448860025</v>
      </c>
      <c r="I651" s="17"/>
      <c r="J651" s="19">
        <f t="shared" si="197"/>
        <v>88.740277222383071</v>
      </c>
      <c r="K651" s="19">
        <f t="shared" si="198"/>
        <v>1.5537488240336883</v>
      </c>
      <c r="L651" s="19">
        <f t="shared" si="199"/>
        <v>3.4784195939281055</v>
      </c>
      <c r="M651" s="19">
        <f t="shared" si="200"/>
        <v>3.4784195939281055</v>
      </c>
      <c r="N651" s="19">
        <f t="shared" si="201"/>
        <v>3.4784195939281055</v>
      </c>
      <c r="O651" s="17"/>
      <c r="P651" s="19">
        <f t="shared" si="191"/>
        <v>6.6574624235018609</v>
      </c>
      <c r="Q651" s="19">
        <f t="shared" si="206"/>
        <v>21.839630945243492</v>
      </c>
      <c r="R651" s="19">
        <f t="shared" si="207"/>
        <v>0</v>
      </c>
      <c r="S651" s="19">
        <f t="shared" si="208"/>
        <v>0</v>
      </c>
      <c r="T651" s="19">
        <f t="shared" si="209"/>
        <v>0</v>
      </c>
      <c r="U651" s="17"/>
      <c r="V651" s="19">
        <f t="shared" si="202"/>
        <v>28.497093368745354</v>
      </c>
      <c r="W651" s="17"/>
      <c r="X651" s="19">
        <f t="shared" si="203"/>
        <v>254.76575904406079</v>
      </c>
      <c r="Y651" s="19">
        <f t="shared" si="204"/>
        <v>15.961383368745354</v>
      </c>
      <c r="Z651" s="19"/>
      <c r="AA651" s="19">
        <f t="shared" si="205"/>
        <v>1.0373273325127695E-4</v>
      </c>
    </row>
    <row r="652" spans="2:27" x14ac:dyDescent="0.35">
      <c r="B652" s="27">
        <v>61.4</v>
      </c>
      <c r="C652" s="27">
        <v>1.2857099999999999</v>
      </c>
      <c r="D652" s="19">
        <f t="shared" si="192"/>
        <v>93.366490430735922</v>
      </c>
      <c r="E652" s="19">
        <f t="shared" si="193"/>
        <v>2.0005443598464705</v>
      </c>
      <c r="F652" s="19">
        <f t="shared" si="194"/>
        <v>4.7361087559971145</v>
      </c>
      <c r="G652" s="19">
        <f t="shared" si="195"/>
        <v>4.7361087559971145</v>
      </c>
      <c r="H652" s="19">
        <f t="shared" si="196"/>
        <v>4.7361087559971145</v>
      </c>
      <c r="I652" s="17"/>
      <c r="J652" s="19">
        <f t="shared" si="197"/>
        <v>88.879212149646733</v>
      </c>
      <c r="K652" s="19">
        <f t="shared" si="198"/>
        <v>1.557477094716923</v>
      </c>
      <c r="L652" s="19">
        <f t="shared" si="199"/>
        <v>3.4870520589710847</v>
      </c>
      <c r="M652" s="19">
        <f t="shared" si="200"/>
        <v>3.4870520589710847</v>
      </c>
      <c r="N652" s="19">
        <f t="shared" si="201"/>
        <v>3.4870520589710847</v>
      </c>
      <c r="O652" s="17"/>
      <c r="P652" s="19">
        <f t="shared" si="191"/>
        <v>6.636780565488495</v>
      </c>
      <c r="Q652" s="19">
        <f t="shared" si="206"/>
        <v>21.755590053382171</v>
      </c>
      <c r="R652" s="19">
        <f t="shared" si="207"/>
        <v>0</v>
      </c>
      <c r="S652" s="19">
        <f t="shared" si="208"/>
        <v>0</v>
      </c>
      <c r="T652" s="19">
        <f t="shared" si="209"/>
        <v>0</v>
      </c>
      <c r="U652" s="17"/>
      <c r="V652" s="19">
        <f t="shared" si="202"/>
        <v>28.392370618870665</v>
      </c>
      <c r="W652" s="17"/>
      <c r="X652" s="19">
        <f t="shared" si="203"/>
        <v>734.77104990663372</v>
      </c>
      <c r="Y652" s="19">
        <f t="shared" si="204"/>
        <v>27.106660618870663</v>
      </c>
      <c r="Z652" s="19"/>
      <c r="AA652" s="19">
        <f t="shared" si="205"/>
        <v>1.7616568253201663E-4</v>
      </c>
    </row>
    <row r="653" spans="2:27" x14ac:dyDescent="0.35">
      <c r="B653" s="27">
        <v>61.5</v>
      </c>
      <c r="C653" s="27">
        <v>33.035710000000002</v>
      </c>
      <c r="D653" s="19">
        <f t="shared" si="192"/>
        <v>93.506989769158423</v>
      </c>
      <c r="E653" s="19">
        <f t="shared" si="193"/>
        <v>2.0066692886735926</v>
      </c>
      <c r="F653" s="19">
        <f t="shared" si="194"/>
        <v>4.7472198671082255</v>
      </c>
      <c r="G653" s="19">
        <f t="shared" si="195"/>
        <v>4.7472198671082255</v>
      </c>
      <c r="H653" s="19">
        <f t="shared" si="196"/>
        <v>4.7472198671082255</v>
      </c>
      <c r="I653" s="17"/>
      <c r="J653" s="19">
        <f t="shared" si="197"/>
        <v>89.018149493325254</v>
      </c>
      <c r="K653" s="19">
        <f t="shared" si="198"/>
        <v>1.5612088583198545</v>
      </c>
      <c r="L653" s="19">
        <f t="shared" si="199"/>
        <v>3.4956892893178839</v>
      </c>
      <c r="M653" s="19">
        <f t="shared" si="200"/>
        <v>3.4956892893178839</v>
      </c>
      <c r="N653" s="19">
        <f t="shared" si="201"/>
        <v>3.4956892893178839</v>
      </c>
      <c r="O653" s="17"/>
      <c r="P653" s="19">
        <f t="shared" si="191"/>
        <v>6.6161945761791205</v>
      </c>
      <c r="Q653" s="19">
        <f t="shared" si="206"/>
        <v>21.67196475742394</v>
      </c>
      <c r="R653" s="19">
        <f t="shared" si="207"/>
        <v>0</v>
      </c>
      <c r="S653" s="19">
        <f t="shared" si="208"/>
        <v>0</v>
      </c>
      <c r="T653" s="19">
        <f t="shared" si="209"/>
        <v>0</v>
      </c>
      <c r="U653" s="17"/>
      <c r="V653" s="19">
        <f t="shared" si="202"/>
        <v>28.288159333603062</v>
      </c>
      <c r="W653" s="17"/>
      <c r="X653" s="19">
        <f t="shared" si="203"/>
        <v>22.539237330006028</v>
      </c>
      <c r="Y653" s="19">
        <f t="shared" si="204"/>
        <v>4.7475506663969398</v>
      </c>
      <c r="Z653" s="19"/>
      <c r="AA653" s="19">
        <f t="shared" si="205"/>
        <v>3.0854243363304856E-5</v>
      </c>
    </row>
    <row r="654" spans="2:27" x14ac:dyDescent="0.35">
      <c r="B654" s="27">
        <v>61.6</v>
      </c>
      <c r="C654" s="27">
        <v>22.535710000000002</v>
      </c>
      <c r="D654" s="19">
        <f t="shared" si="192"/>
        <v>93.64748910758091</v>
      </c>
      <c r="E654" s="19">
        <f t="shared" si="193"/>
        <v>2.0127942175007152</v>
      </c>
      <c r="F654" s="19">
        <f t="shared" si="194"/>
        <v>4.7583309782193357</v>
      </c>
      <c r="G654" s="19">
        <f t="shared" si="195"/>
        <v>4.7583309782193357</v>
      </c>
      <c r="H654" s="19">
        <f t="shared" si="196"/>
        <v>4.7583309782193357</v>
      </c>
      <c r="I654" s="17"/>
      <c r="J654" s="19">
        <f t="shared" si="197"/>
        <v>89.157089246007018</v>
      </c>
      <c r="K654" s="19">
        <f t="shared" si="198"/>
        <v>1.5649441079294499</v>
      </c>
      <c r="L654" s="19">
        <f t="shared" si="199"/>
        <v>3.5043312692910558</v>
      </c>
      <c r="M654" s="19">
        <f t="shared" si="200"/>
        <v>3.5043312692910558</v>
      </c>
      <c r="N654" s="19">
        <f t="shared" si="201"/>
        <v>3.5043312692910558</v>
      </c>
      <c r="O654" s="17"/>
      <c r="P654" s="19">
        <f t="shared" si="191"/>
        <v>6.5957038656134399</v>
      </c>
      <c r="Q654" s="19">
        <f t="shared" si="206"/>
        <v>21.588752653686726</v>
      </c>
      <c r="R654" s="19">
        <f t="shared" si="207"/>
        <v>0</v>
      </c>
      <c r="S654" s="19">
        <f t="shared" si="208"/>
        <v>0</v>
      </c>
      <c r="T654" s="19">
        <f t="shared" si="209"/>
        <v>0</v>
      </c>
      <c r="U654" s="17"/>
      <c r="V654" s="19">
        <f t="shared" si="202"/>
        <v>28.184456519300166</v>
      </c>
      <c r="W654" s="17"/>
      <c r="X654" s="19">
        <f t="shared" si="203"/>
        <v>31.908337239305727</v>
      </c>
      <c r="Y654" s="19">
        <f t="shared" si="204"/>
        <v>5.6487465193001647</v>
      </c>
      <c r="Z654" s="19"/>
      <c r="AA654" s="19">
        <f t="shared" si="205"/>
        <v>3.6711098427598416E-5</v>
      </c>
    </row>
    <row r="655" spans="2:27" x14ac:dyDescent="0.35">
      <c r="B655" s="27">
        <v>61.7</v>
      </c>
      <c r="C655" s="27">
        <v>34.785710000000002</v>
      </c>
      <c r="D655" s="19">
        <f t="shared" si="192"/>
        <v>93.787988446003411</v>
      </c>
      <c r="E655" s="19">
        <f t="shared" si="193"/>
        <v>2.0189191463278373</v>
      </c>
      <c r="F655" s="19">
        <f t="shared" si="194"/>
        <v>4.7694420893304477</v>
      </c>
      <c r="G655" s="19">
        <f t="shared" si="195"/>
        <v>4.7694420893304477</v>
      </c>
      <c r="H655" s="19">
        <f t="shared" si="196"/>
        <v>4.7694420893304477</v>
      </c>
      <c r="I655" s="17"/>
      <c r="J655" s="19">
        <f t="shared" si="197"/>
        <v>89.296031400314376</v>
      </c>
      <c r="K655" s="19">
        <f t="shared" si="198"/>
        <v>1.5686828366422028</v>
      </c>
      <c r="L655" s="19">
        <f t="shared" si="199"/>
        <v>3.5129779832796926</v>
      </c>
      <c r="M655" s="19">
        <f t="shared" si="200"/>
        <v>3.5129779832796926</v>
      </c>
      <c r="N655" s="19">
        <f t="shared" si="201"/>
        <v>3.5129779832796926</v>
      </c>
      <c r="O655" s="17"/>
      <c r="P655" s="19">
        <f t="shared" si="191"/>
        <v>6.5753078483522227</v>
      </c>
      <c r="Q655" s="19">
        <f t="shared" si="206"/>
        <v>21.505951353834071</v>
      </c>
      <c r="R655" s="19">
        <f t="shared" si="207"/>
        <v>0</v>
      </c>
      <c r="S655" s="19">
        <f t="shared" si="208"/>
        <v>0</v>
      </c>
      <c r="T655" s="19">
        <f t="shared" si="209"/>
        <v>0</v>
      </c>
      <c r="U655" s="17"/>
      <c r="V655" s="19">
        <f t="shared" si="202"/>
        <v>28.081259202186295</v>
      </c>
      <c r="W655" s="17"/>
      <c r="X655" s="19">
        <f t="shared" si="203"/>
        <v>44.949660500304844</v>
      </c>
      <c r="Y655" s="19">
        <f t="shared" si="204"/>
        <v>6.7044507978137062</v>
      </c>
      <c r="Z655" s="19"/>
      <c r="AA655" s="19">
        <f t="shared" si="205"/>
        <v>4.3572100872393719E-5</v>
      </c>
    </row>
    <row r="656" spans="2:27" x14ac:dyDescent="0.35">
      <c r="B656" s="27">
        <v>61.8</v>
      </c>
      <c r="C656" s="27">
        <v>31.285710000000002</v>
      </c>
      <c r="D656" s="19">
        <f t="shared" si="192"/>
        <v>93.928487784425883</v>
      </c>
      <c r="E656" s="19">
        <f t="shared" si="193"/>
        <v>2.025044075154959</v>
      </c>
      <c r="F656" s="19">
        <f t="shared" si="194"/>
        <v>4.7805532004415578</v>
      </c>
      <c r="G656" s="19">
        <f t="shared" si="195"/>
        <v>4.7805532004415578</v>
      </c>
      <c r="H656" s="19">
        <f t="shared" si="196"/>
        <v>4.7805532004415578</v>
      </c>
      <c r="I656" s="17"/>
      <c r="J656" s="19">
        <f t="shared" si="197"/>
        <v>89.434975948903357</v>
      </c>
      <c r="K656" s="19">
        <f t="shared" si="198"/>
        <v>1.5724250375641791</v>
      </c>
      <c r="L656" s="19">
        <f t="shared" si="199"/>
        <v>3.5216294157391115</v>
      </c>
      <c r="M656" s="19">
        <f t="shared" si="200"/>
        <v>3.5216294157391115</v>
      </c>
      <c r="N656" s="19">
        <f t="shared" si="201"/>
        <v>3.5216294157391115</v>
      </c>
      <c r="O656" s="17"/>
      <c r="P656" s="19">
        <f t="shared" si="191"/>
        <v>6.5550059434358756</v>
      </c>
      <c r="Q656" s="19">
        <f t="shared" si="206"/>
        <v>21.423558484771874</v>
      </c>
      <c r="R656" s="19">
        <f t="shared" si="207"/>
        <v>0</v>
      </c>
      <c r="S656" s="19">
        <f t="shared" si="208"/>
        <v>0</v>
      </c>
      <c r="T656" s="19">
        <f t="shared" si="209"/>
        <v>0</v>
      </c>
      <c r="U656" s="17"/>
      <c r="V656" s="19">
        <f t="shared" si="202"/>
        <v>27.978564428207751</v>
      </c>
      <c r="W656" s="17"/>
      <c r="X656" s="19">
        <f t="shared" si="203"/>
        <v>10.937211833025096</v>
      </c>
      <c r="Y656" s="19">
        <f t="shared" si="204"/>
        <v>3.3071455717922511</v>
      </c>
      <c r="Z656" s="19"/>
      <c r="AA656" s="19">
        <f t="shared" si="205"/>
        <v>2.1493077479338408E-5</v>
      </c>
    </row>
    <row r="657" spans="2:27" x14ac:dyDescent="0.35">
      <c r="B657" s="27">
        <v>61.9</v>
      </c>
      <c r="C657" s="27">
        <v>16.785710000000002</v>
      </c>
      <c r="D657" s="19">
        <f t="shared" si="192"/>
        <v>94.068987122848384</v>
      </c>
      <c r="E657" s="19">
        <f t="shared" si="193"/>
        <v>2.0311690039820816</v>
      </c>
      <c r="F657" s="19">
        <f t="shared" si="194"/>
        <v>4.7916643115526698</v>
      </c>
      <c r="G657" s="19">
        <f t="shared" si="195"/>
        <v>4.7916643115526698</v>
      </c>
      <c r="H657" s="19">
        <f t="shared" si="196"/>
        <v>4.7916643115526698</v>
      </c>
      <c r="I657" s="17"/>
      <c r="J657" s="19">
        <f t="shared" si="197"/>
        <v>89.573922884463528</v>
      </c>
      <c r="K657" s="19">
        <f t="shared" si="198"/>
        <v>1.5761707038110666</v>
      </c>
      <c r="L657" s="19">
        <f t="shared" si="199"/>
        <v>3.5302855511905582</v>
      </c>
      <c r="M657" s="19">
        <f t="shared" si="200"/>
        <v>3.5302855511905582</v>
      </c>
      <c r="N657" s="19">
        <f t="shared" si="201"/>
        <v>3.5302855511905582</v>
      </c>
      <c r="O657" s="17"/>
      <c r="P657" s="19">
        <f t="shared" si="191"/>
        <v>6.534797574343445</v>
      </c>
      <c r="Q657" s="19">
        <f t="shared" si="206"/>
        <v>21.341571688545724</v>
      </c>
      <c r="R657" s="19">
        <f t="shared" si="207"/>
        <v>0</v>
      </c>
      <c r="S657" s="19">
        <f t="shared" si="208"/>
        <v>0</v>
      </c>
      <c r="T657" s="19">
        <f t="shared" si="209"/>
        <v>0</v>
      </c>
      <c r="U657" s="17"/>
      <c r="V657" s="19">
        <f t="shared" si="202"/>
        <v>27.87636926288917</v>
      </c>
      <c r="W657" s="17"/>
      <c r="X657" s="19">
        <f t="shared" si="203"/>
        <v>123.00272288550931</v>
      </c>
      <c r="Y657" s="19">
        <f t="shared" si="204"/>
        <v>11.090659262889169</v>
      </c>
      <c r="Z657" s="19"/>
      <c r="AA657" s="19">
        <f t="shared" si="205"/>
        <v>7.2077987998888493E-5</v>
      </c>
    </row>
    <row r="658" spans="2:27" x14ac:dyDescent="0.35">
      <c r="B658" s="27">
        <v>62</v>
      </c>
      <c r="C658" s="27">
        <v>21.035710000000002</v>
      </c>
      <c r="D658" s="19">
        <f t="shared" si="192"/>
        <v>94.20948646127087</v>
      </c>
      <c r="E658" s="19">
        <f t="shared" si="193"/>
        <v>2.0372939328092041</v>
      </c>
      <c r="F658" s="19">
        <f t="shared" si="194"/>
        <v>4.8027754226637809</v>
      </c>
      <c r="G658" s="19">
        <f t="shared" si="195"/>
        <v>4.8027754226637809</v>
      </c>
      <c r="H658" s="19">
        <f t="shared" si="196"/>
        <v>4.8027754226637809</v>
      </c>
      <c r="I658" s="17"/>
      <c r="J658" s="19">
        <f t="shared" si="197"/>
        <v>89.712872199717737</v>
      </c>
      <c r="K658" s="19">
        <f t="shared" si="198"/>
        <v>1.5799198285082159</v>
      </c>
      <c r="L658" s="19">
        <f t="shared" si="199"/>
        <v>3.5389463742208864</v>
      </c>
      <c r="M658" s="19">
        <f t="shared" si="200"/>
        <v>3.5389463742208864</v>
      </c>
      <c r="N658" s="19">
        <f t="shared" si="201"/>
        <v>3.5389463742208864</v>
      </c>
      <c r="O658" s="17"/>
      <c r="P658" s="19">
        <f t="shared" si="191"/>
        <v>6.5146821689520689</v>
      </c>
      <c r="Q658" s="19">
        <f t="shared" si="206"/>
        <v>21.259988622239124</v>
      </c>
      <c r="R658" s="19">
        <f t="shared" si="207"/>
        <v>0</v>
      </c>
      <c r="S658" s="19">
        <f t="shared" si="208"/>
        <v>0</v>
      </c>
      <c r="T658" s="19">
        <f t="shared" si="209"/>
        <v>0</v>
      </c>
      <c r="U658" s="17"/>
      <c r="V658" s="19">
        <f t="shared" si="202"/>
        <v>27.774670791191191</v>
      </c>
      <c r="W658" s="17"/>
      <c r="X658" s="19">
        <f t="shared" si="203"/>
        <v>45.413592545212182</v>
      </c>
      <c r="Y658" s="19">
        <f t="shared" si="204"/>
        <v>6.7389607911911895</v>
      </c>
      <c r="Z658" s="19"/>
      <c r="AA658" s="19">
        <f t="shared" si="205"/>
        <v>4.3796380676645499E-5</v>
      </c>
    </row>
    <row r="659" spans="2:27" x14ac:dyDescent="0.35">
      <c r="B659" s="27">
        <v>62.1</v>
      </c>
      <c r="C659" s="27">
        <v>17.535710000000002</v>
      </c>
      <c r="D659" s="19">
        <f t="shared" si="192"/>
        <v>94.349985799693371</v>
      </c>
      <c r="E659" s="19">
        <f t="shared" si="193"/>
        <v>2.0434188616363267</v>
      </c>
      <c r="F659" s="19">
        <f t="shared" si="194"/>
        <v>4.813886533774892</v>
      </c>
      <c r="G659" s="19">
        <f t="shared" si="195"/>
        <v>4.813886533774892</v>
      </c>
      <c r="H659" s="19">
        <f t="shared" si="196"/>
        <v>4.813886533774892</v>
      </c>
      <c r="I659" s="17"/>
      <c r="J659" s="19">
        <f t="shared" si="197"/>
        <v>89.851823887421958</v>
      </c>
      <c r="K659" s="19">
        <f t="shared" si="198"/>
        <v>1.5836724047906894</v>
      </c>
      <c r="L659" s="19">
        <f t="shared" si="199"/>
        <v>3.5476118694822638</v>
      </c>
      <c r="M659" s="19">
        <f t="shared" si="200"/>
        <v>3.5476118694822638</v>
      </c>
      <c r="N659" s="19">
        <f t="shared" si="201"/>
        <v>3.5476118694822638</v>
      </c>
      <c r="O659" s="17"/>
      <c r="P659" s="19">
        <f t="shared" si="191"/>
        <v>6.4946591594968384</v>
      </c>
      <c r="Q659" s="19">
        <f t="shared" si="206"/>
        <v>21.178806957872197</v>
      </c>
      <c r="R659" s="19">
        <f t="shared" si="207"/>
        <v>0</v>
      </c>
      <c r="S659" s="19">
        <f t="shared" si="208"/>
        <v>0</v>
      </c>
      <c r="T659" s="19">
        <f t="shared" si="209"/>
        <v>0</v>
      </c>
      <c r="U659" s="17"/>
      <c r="V659" s="19">
        <f t="shared" si="202"/>
        <v>27.673466117369035</v>
      </c>
      <c r="W659" s="17"/>
      <c r="X659" s="19">
        <f t="shared" si="203"/>
        <v>102.77409909525325</v>
      </c>
      <c r="Y659" s="19">
        <f t="shared" si="204"/>
        <v>10.137756117369033</v>
      </c>
      <c r="Z659" s="19"/>
      <c r="AA659" s="19">
        <f t="shared" si="205"/>
        <v>6.5885088202865798E-5</v>
      </c>
    </row>
    <row r="660" spans="2:27" x14ac:dyDescent="0.35">
      <c r="B660" s="27">
        <v>62.2</v>
      </c>
      <c r="C660" s="27">
        <v>33.285710000000002</v>
      </c>
      <c r="D660" s="19">
        <f t="shared" si="192"/>
        <v>94.490485138115858</v>
      </c>
      <c r="E660" s="19">
        <f t="shared" si="193"/>
        <v>2.0495437904634488</v>
      </c>
      <c r="F660" s="19">
        <f t="shared" si="194"/>
        <v>4.824997644886003</v>
      </c>
      <c r="G660" s="19">
        <f t="shared" si="195"/>
        <v>4.824997644886003</v>
      </c>
      <c r="H660" s="19">
        <f t="shared" si="196"/>
        <v>4.824997644886003</v>
      </c>
      <c r="I660" s="17"/>
      <c r="J660" s="19">
        <f t="shared" si="197"/>
        <v>89.990777940365007</v>
      </c>
      <c r="K660" s="19">
        <f t="shared" si="198"/>
        <v>1.5874284258033036</v>
      </c>
      <c r="L660" s="19">
        <f t="shared" si="199"/>
        <v>3.5562820216918625</v>
      </c>
      <c r="M660" s="19">
        <f t="shared" si="200"/>
        <v>3.5562820216918625</v>
      </c>
      <c r="N660" s="19">
        <f t="shared" si="201"/>
        <v>3.5562820216918625</v>
      </c>
      <c r="O660" s="17"/>
      <c r="P660" s="19">
        <f t="shared" si="191"/>
        <v>6.4747279825311175</v>
      </c>
      <c r="Q660" s="19">
        <f t="shared" si="206"/>
        <v>21.098024382301201</v>
      </c>
      <c r="R660" s="19">
        <f t="shared" si="207"/>
        <v>0</v>
      </c>
      <c r="S660" s="19">
        <f t="shared" si="208"/>
        <v>0</v>
      </c>
      <c r="T660" s="19">
        <f t="shared" si="209"/>
        <v>0</v>
      </c>
      <c r="U660" s="17"/>
      <c r="V660" s="19">
        <f t="shared" si="202"/>
        <v>27.572752364832319</v>
      </c>
      <c r="W660" s="17"/>
      <c r="X660" s="19">
        <f t="shared" si="203"/>
        <v>32.637884941220726</v>
      </c>
      <c r="Y660" s="19">
        <f t="shared" si="204"/>
        <v>5.7129576351676832</v>
      </c>
      <c r="Z660" s="19"/>
      <c r="AA660" s="19">
        <f t="shared" si="205"/>
        <v>3.712840527376408E-5</v>
      </c>
    </row>
    <row r="661" spans="2:27" x14ac:dyDescent="0.35">
      <c r="B661" s="27">
        <v>62.3</v>
      </c>
      <c r="C661" s="27">
        <v>23.535710000000002</v>
      </c>
      <c r="D661" s="19">
        <f t="shared" si="192"/>
        <v>94.630984476538345</v>
      </c>
      <c r="E661" s="19">
        <f t="shared" si="193"/>
        <v>2.0556687192905709</v>
      </c>
      <c r="F661" s="19">
        <f t="shared" si="194"/>
        <v>4.8361087559971141</v>
      </c>
      <c r="G661" s="19">
        <f t="shared" si="195"/>
        <v>4.8361087559971141</v>
      </c>
      <c r="H661" s="19">
        <f t="shared" si="196"/>
        <v>4.8361087559971141</v>
      </c>
      <c r="I661" s="17"/>
      <c r="J661" s="19">
        <f t="shared" si="197"/>
        <v>90.129734351368484</v>
      </c>
      <c r="K661" s="19">
        <f t="shared" si="198"/>
        <v>1.5911878847006737</v>
      </c>
      <c r="L661" s="19">
        <f t="shared" si="199"/>
        <v>3.5649568156315565</v>
      </c>
      <c r="M661" s="19">
        <f t="shared" si="200"/>
        <v>3.5649568156315565</v>
      </c>
      <c r="N661" s="19">
        <f t="shared" si="201"/>
        <v>3.5649568156315565</v>
      </c>
      <c r="O661" s="17"/>
      <c r="P661" s="19">
        <f t="shared" si="191"/>
        <v>6.4548880788872376</v>
      </c>
      <c r="Q661" s="19">
        <f t="shared" si="206"/>
        <v>21.017638597118676</v>
      </c>
      <c r="R661" s="19">
        <f t="shared" si="207"/>
        <v>0</v>
      </c>
      <c r="S661" s="19">
        <f t="shared" si="208"/>
        <v>0</v>
      </c>
      <c r="T661" s="19">
        <f t="shared" si="209"/>
        <v>0</v>
      </c>
      <c r="U661" s="17"/>
      <c r="V661" s="19">
        <f t="shared" si="202"/>
        <v>27.472526676005913</v>
      </c>
      <c r="W661" s="17"/>
      <c r="X661" s="19">
        <f t="shared" si="203"/>
        <v>15.498525540478232</v>
      </c>
      <c r="Y661" s="19">
        <f t="shared" si="204"/>
        <v>3.9368166760059111</v>
      </c>
      <c r="Z661" s="19"/>
      <c r="AA661" s="19">
        <f t="shared" si="205"/>
        <v>2.5585298258731094E-5</v>
      </c>
    </row>
    <row r="662" spans="2:27" x14ac:dyDescent="0.35">
      <c r="B662" s="27">
        <v>62.4</v>
      </c>
      <c r="C662" s="27">
        <v>23.035710000000002</v>
      </c>
      <c r="D662" s="19">
        <f t="shared" si="192"/>
        <v>94.771483814960831</v>
      </c>
      <c r="E662" s="19">
        <f t="shared" si="193"/>
        <v>2.0617936481176926</v>
      </c>
      <c r="F662" s="19">
        <f t="shared" si="194"/>
        <v>4.8472198671082252</v>
      </c>
      <c r="G662" s="19">
        <f t="shared" si="195"/>
        <v>4.8472198671082252</v>
      </c>
      <c r="H662" s="19">
        <f t="shared" si="196"/>
        <v>4.8472198671082252</v>
      </c>
      <c r="I662" s="17"/>
      <c r="J662" s="19">
        <f t="shared" si="197"/>
        <v>90.26869311328646</v>
      </c>
      <c r="K662" s="19">
        <f t="shared" si="198"/>
        <v>1.5949507746472564</v>
      </c>
      <c r="L662" s="19">
        <f t="shared" si="199"/>
        <v>3.5736362361476215</v>
      </c>
      <c r="M662" s="19">
        <f t="shared" si="200"/>
        <v>3.5736362361476215</v>
      </c>
      <c r="N662" s="19">
        <f t="shared" si="201"/>
        <v>3.5736362361476215</v>
      </c>
      <c r="O662" s="17"/>
      <c r="P662" s="19">
        <f t="shared" si="191"/>
        <v>6.4351388936376512</v>
      </c>
      <c r="Q662" s="19">
        <f t="shared" si="206"/>
        <v>20.937647318554323</v>
      </c>
      <c r="R662" s="19">
        <f t="shared" si="207"/>
        <v>0</v>
      </c>
      <c r="S662" s="19">
        <f t="shared" si="208"/>
        <v>0</v>
      </c>
      <c r="T662" s="19">
        <f t="shared" si="209"/>
        <v>0</v>
      </c>
      <c r="U662" s="17"/>
      <c r="V662" s="19">
        <f t="shared" si="202"/>
        <v>27.372786212191976</v>
      </c>
      <c r="W662" s="17"/>
      <c r="X662" s="19">
        <f t="shared" si="203"/>
        <v>18.810230070361481</v>
      </c>
      <c r="Y662" s="19">
        <f t="shared" si="204"/>
        <v>4.3370762121919739</v>
      </c>
      <c r="Z662" s="19"/>
      <c r="AA662" s="19">
        <f t="shared" si="205"/>
        <v>2.8186577530036033E-5</v>
      </c>
    </row>
    <row r="663" spans="2:27" x14ac:dyDescent="0.35">
      <c r="B663" s="27">
        <v>62.5</v>
      </c>
      <c r="C663" s="27">
        <v>15.53571</v>
      </c>
      <c r="D663" s="19">
        <f t="shared" si="192"/>
        <v>94.911983153383332</v>
      </c>
      <c r="E663" s="19">
        <f t="shared" si="193"/>
        <v>2.0679185769448152</v>
      </c>
      <c r="F663" s="19">
        <f t="shared" si="194"/>
        <v>4.8583309782193362</v>
      </c>
      <c r="G663" s="19">
        <f t="shared" si="195"/>
        <v>4.8583309782193362</v>
      </c>
      <c r="H663" s="19">
        <f t="shared" si="196"/>
        <v>4.8583309782193362</v>
      </c>
      <c r="I663" s="17"/>
      <c r="J663" s="19">
        <f t="shared" si="197"/>
        <v>90.407654219005337</v>
      </c>
      <c r="K663" s="19">
        <f t="shared" si="198"/>
        <v>1.5987170888173927</v>
      </c>
      <c r="L663" s="19">
        <f t="shared" si="199"/>
        <v>3.5823202681504336</v>
      </c>
      <c r="M663" s="19">
        <f t="shared" si="200"/>
        <v>3.5823202681504336</v>
      </c>
      <c r="N663" s="19">
        <f t="shared" si="201"/>
        <v>3.5823202681504336</v>
      </c>
      <c r="O663" s="17"/>
      <c r="P663" s="19">
        <f t="shared" si="191"/>
        <v>6.4154798760564722</v>
      </c>
      <c r="Q663" s="19">
        <f t="shared" si="206"/>
        <v>20.858048277376472</v>
      </c>
      <c r="R663" s="19">
        <f t="shared" si="207"/>
        <v>0</v>
      </c>
      <c r="S663" s="19">
        <f t="shared" si="208"/>
        <v>0</v>
      </c>
      <c r="T663" s="19">
        <f t="shared" si="209"/>
        <v>0</v>
      </c>
      <c r="U663" s="17"/>
      <c r="V663" s="19">
        <f t="shared" si="202"/>
        <v>27.273528153432945</v>
      </c>
      <c r="W663" s="17"/>
      <c r="X663" s="19">
        <f t="shared" si="203"/>
        <v>137.77637500306</v>
      </c>
      <c r="Y663" s="19">
        <f t="shared" si="204"/>
        <v>11.737818153432945</v>
      </c>
      <c r="Z663" s="19"/>
      <c r="AA663" s="19">
        <f t="shared" si="205"/>
        <v>7.6283861575950925E-5</v>
      </c>
    </row>
    <row r="664" spans="2:27" x14ac:dyDescent="0.35">
      <c r="B664" s="27">
        <v>62.6</v>
      </c>
      <c r="C664" s="27">
        <v>11.53571</v>
      </c>
      <c r="D664" s="19">
        <f t="shared" si="192"/>
        <v>95.052482491805819</v>
      </c>
      <c r="E664" s="19">
        <f t="shared" si="193"/>
        <v>2.0740435057719377</v>
      </c>
      <c r="F664" s="19">
        <f t="shared" si="194"/>
        <v>4.8694420893304473</v>
      </c>
      <c r="G664" s="19">
        <f t="shared" si="195"/>
        <v>4.8694420893304473</v>
      </c>
      <c r="H664" s="19">
        <f t="shared" si="196"/>
        <v>4.8694420893304473</v>
      </c>
      <c r="I664" s="17"/>
      <c r="J664" s="19">
        <f t="shared" si="197"/>
        <v>90.546617661443577</v>
      </c>
      <c r="K664" s="19">
        <f t="shared" si="198"/>
        <v>1.6024868203953488</v>
      </c>
      <c r="L664" s="19">
        <f t="shared" si="199"/>
        <v>3.5910088966141687</v>
      </c>
      <c r="M664" s="19">
        <f t="shared" si="200"/>
        <v>3.5910088966141687</v>
      </c>
      <c r="N664" s="19">
        <f t="shared" si="201"/>
        <v>3.5910088966141687</v>
      </c>
      <c r="O664" s="17"/>
      <c r="P664" s="19">
        <f t="shared" si="191"/>
        <v>6.3959104795814392</v>
      </c>
      <c r="Q664" s="19">
        <f t="shared" si="206"/>
        <v>20.778839218794293</v>
      </c>
      <c r="R664" s="19">
        <f t="shared" si="207"/>
        <v>0</v>
      </c>
      <c r="S664" s="19">
        <f t="shared" si="208"/>
        <v>0</v>
      </c>
      <c r="T664" s="19">
        <f t="shared" si="209"/>
        <v>0</v>
      </c>
      <c r="U664" s="17"/>
      <c r="V664" s="19">
        <f t="shared" si="202"/>
        <v>27.174749698375731</v>
      </c>
      <c r="W664" s="17"/>
      <c r="X664" s="19">
        <f t="shared" si="203"/>
        <v>244.57956268737206</v>
      </c>
      <c r="Y664" s="19">
        <f t="shared" si="204"/>
        <v>15.639039698375731</v>
      </c>
      <c r="Z664" s="19"/>
      <c r="AA664" s="19">
        <f t="shared" si="205"/>
        <v>1.0163782774082067E-4</v>
      </c>
    </row>
    <row r="665" spans="2:27" x14ac:dyDescent="0.35">
      <c r="B665" s="27">
        <v>62.7</v>
      </c>
      <c r="C665" s="27">
        <v>30.785710000000002</v>
      </c>
      <c r="D665" s="19">
        <f t="shared" si="192"/>
        <v>95.192981830228305</v>
      </c>
      <c r="E665" s="19">
        <f t="shared" si="193"/>
        <v>2.0801684345990603</v>
      </c>
      <c r="F665" s="19">
        <f t="shared" si="194"/>
        <v>4.8805532004415584</v>
      </c>
      <c r="G665" s="19">
        <f t="shared" si="195"/>
        <v>4.8805532004415584</v>
      </c>
      <c r="H665" s="19">
        <f t="shared" si="196"/>
        <v>4.8805532004415584</v>
      </c>
      <c r="I665" s="17"/>
      <c r="J665" s="19">
        <f t="shared" si="197"/>
        <v>90.685583433551656</v>
      </c>
      <c r="K665" s="19">
        <f t="shared" si="198"/>
        <v>1.6062599625753571</v>
      </c>
      <c r="L665" s="19">
        <f t="shared" si="199"/>
        <v>3.599702106576506</v>
      </c>
      <c r="M665" s="19">
        <f t="shared" si="200"/>
        <v>3.599702106576506</v>
      </c>
      <c r="N665" s="19">
        <f t="shared" si="201"/>
        <v>3.599702106576506</v>
      </c>
      <c r="O665" s="17"/>
      <c r="P665" s="19">
        <f t="shared" si="191"/>
        <v>6.3764301617762431</v>
      </c>
      <c r="Q665" s="19">
        <f t="shared" si="206"/>
        <v>20.700017902360649</v>
      </c>
      <c r="R665" s="19">
        <f t="shared" si="207"/>
        <v>0</v>
      </c>
      <c r="S665" s="19">
        <f t="shared" si="208"/>
        <v>0</v>
      </c>
      <c r="T665" s="19">
        <f t="shared" si="209"/>
        <v>0</v>
      </c>
      <c r="U665" s="17"/>
      <c r="V665" s="19">
        <f t="shared" si="202"/>
        <v>27.076448064136891</v>
      </c>
      <c r="W665" s="17"/>
      <c r="X665" s="19">
        <f t="shared" si="203"/>
        <v>13.758624108842955</v>
      </c>
      <c r="Y665" s="19">
        <f t="shared" si="204"/>
        <v>3.7092619358631111</v>
      </c>
      <c r="Z665" s="19"/>
      <c r="AA665" s="19">
        <f t="shared" si="205"/>
        <v>2.4106424240485382E-5</v>
      </c>
    </row>
    <row r="666" spans="2:27" x14ac:dyDescent="0.35">
      <c r="B666" s="27">
        <v>62.8</v>
      </c>
      <c r="C666" s="27">
        <v>20.535710000000002</v>
      </c>
      <c r="D666" s="19">
        <f t="shared" si="192"/>
        <v>95.333481168650792</v>
      </c>
      <c r="E666" s="19">
        <f t="shared" si="193"/>
        <v>2.086293363426182</v>
      </c>
      <c r="F666" s="19">
        <f t="shared" si="194"/>
        <v>4.8916643115526695</v>
      </c>
      <c r="G666" s="19">
        <f t="shared" si="195"/>
        <v>4.8916643115526695</v>
      </c>
      <c r="H666" s="19">
        <f t="shared" si="196"/>
        <v>4.8916643115526695</v>
      </c>
      <c r="I666" s="17"/>
      <c r="J666" s="19">
        <f t="shared" si="197"/>
        <v>90.824551528311716</v>
      </c>
      <c r="K666" s="19">
        <f t="shared" si="198"/>
        <v>1.610036508561657</v>
      </c>
      <c r="L666" s="19">
        <f t="shared" si="199"/>
        <v>3.6083998831383308</v>
      </c>
      <c r="M666" s="19">
        <f t="shared" si="200"/>
        <v>3.6083998831383308</v>
      </c>
      <c r="N666" s="19">
        <f t="shared" si="201"/>
        <v>3.6083998831383308</v>
      </c>
      <c r="O666" s="17"/>
      <c r="P666" s="19">
        <f t="shared" si="191"/>
        <v>6.357038384293304</v>
      </c>
      <c r="Q666" s="19">
        <f t="shared" si="206"/>
        <v>20.6215821018756</v>
      </c>
      <c r="R666" s="19">
        <f t="shared" si="207"/>
        <v>0</v>
      </c>
      <c r="S666" s="19">
        <f t="shared" si="208"/>
        <v>0</v>
      </c>
      <c r="T666" s="19">
        <f t="shared" si="209"/>
        <v>0</v>
      </c>
      <c r="U666" s="17"/>
      <c r="V666" s="19">
        <f t="shared" si="202"/>
        <v>26.978620486168904</v>
      </c>
      <c r="W666" s="17"/>
      <c r="X666" s="19">
        <f t="shared" si="203"/>
        <v>41.511095532785198</v>
      </c>
      <c r="Y666" s="19">
        <f t="shared" si="204"/>
        <v>6.4429104861689019</v>
      </c>
      <c r="Z666" s="19"/>
      <c r="AA666" s="19">
        <f t="shared" si="205"/>
        <v>4.1872355257898221E-5</v>
      </c>
    </row>
    <row r="667" spans="2:27" x14ac:dyDescent="0.35">
      <c r="B667" s="27">
        <v>62.9</v>
      </c>
      <c r="C667" s="27">
        <v>8.5357099999999999</v>
      </c>
      <c r="D667" s="19">
        <f t="shared" si="192"/>
        <v>95.473980507073293</v>
      </c>
      <c r="E667" s="19">
        <f t="shared" si="193"/>
        <v>2.0924182922533046</v>
      </c>
      <c r="F667" s="19">
        <f t="shared" si="194"/>
        <v>4.9027754226637805</v>
      </c>
      <c r="G667" s="19">
        <f t="shared" si="195"/>
        <v>4.9027754226637805</v>
      </c>
      <c r="H667" s="19">
        <f t="shared" si="196"/>
        <v>4.9027754226637805</v>
      </c>
      <c r="I667" s="17"/>
      <c r="J667" s="19">
        <f t="shared" si="197"/>
        <v>90.963521938737486</v>
      </c>
      <c r="K667" s="19">
        <f t="shared" si="198"/>
        <v>1.6138164515685374</v>
      </c>
      <c r="L667" s="19">
        <f t="shared" si="199"/>
        <v>3.6171022114634388</v>
      </c>
      <c r="M667" s="19">
        <f t="shared" si="200"/>
        <v>3.6171022114634388</v>
      </c>
      <c r="N667" s="19">
        <f t="shared" si="201"/>
        <v>3.6171022114634388</v>
      </c>
      <c r="O667" s="17"/>
      <c r="P667" s="19">
        <f t="shared" si="191"/>
        <v>6.3377346128368961</v>
      </c>
      <c r="Q667" s="19">
        <f t="shared" si="206"/>
        <v>20.543529605290516</v>
      </c>
      <c r="R667" s="19">
        <f t="shared" si="207"/>
        <v>0</v>
      </c>
      <c r="S667" s="19">
        <f t="shared" si="208"/>
        <v>0</v>
      </c>
      <c r="T667" s="19">
        <f t="shared" si="209"/>
        <v>0</v>
      </c>
      <c r="U667" s="17"/>
      <c r="V667" s="19">
        <f t="shared" si="202"/>
        <v>26.881264218127413</v>
      </c>
      <c r="W667" s="17"/>
      <c r="X667" s="19">
        <f t="shared" si="203"/>
        <v>336.55935957025247</v>
      </c>
      <c r="Y667" s="19">
        <f t="shared" si="204"/>
        <v>18.345554218127411</v>
      </c>
      <c r="Z667" s="19"/>
      <c r="AA667" s="19">
        <f t="shared" si="205"/>
        <v>1.1922741519900211E-4</v>
      </c>
    </row>
    <row r="668" spans="2:27" x14ac:dyDescent="0.35">
      <c r="B668" s="27">
        <v>63</v>
      </c>
      <c r="C668" s="27">
        <v>28.535710000000002</v>
      </c>
      <c r="D668" s="19">
        <f t="shared" si="192"/>
        <v>95.614479845495779</v>
      </c>
      <c r="E668" s="19">
        <f t="shared" si="193"/>
        <v>2.0985432210804271</v>
      </c>
      <c r="F668" s="19">
        <f t="shared" si="194"/>
        <v>4.9138865337748925</v>
      </c>
      <c r="G668" s="19">
        <f t="shared" si="195"/>
        <v>4.9138865337748925</v>
      </c>
      <c r="H668" s="19">
        <f t="shared" si="196"/>
        <v>4.9138865337748925</v>
      </c>
      <c r="I668" s="17"/>
      <c r="J668" s="19">
        <f t="shared" si="197"/>
        <v>91.102494657874018</v>
      </c>
      <c r="K668" s="19">
        <f t="shared" si="198"/>
        <v>1.6175997848203705</v>
      </c>
      <c r="L668" s="19">
        <f t="shared" si="199"/>
        <v>3.6258090767782414</v>
      </c>
      <c r="M668" s="19">
        <f t="shared" si="200"/>
        <v>3.6258090767782414</v>
      </c>
      <c r="N668" s="19">
        <f t="shared" si="201"/>
        <v>3.6258090767782414</v>
      </c>
      <c r="O668" s="17"/>
      <c r="P668" s="19">
        <f t="shared" si="191"/>
        <v>6.3185183171266761</v>
      </c>
      <c r="Q668" s="19">
        <f t="shared" si="206"/>
        <v>20.465858214612979</v>
      </c>
      <c r="R668" s="19">
        <f t="shared" si="207"/>
        <v>0</v>
      </c>
      <c r="S668" s="19">
        <f t="shared" si="208"/>
        <v>0</v>
      </c>
      <c r="T668" s="19">
        <f t="shared" si="209"/>
        <v>0</v>
      </c>
      <c r="U668" s="17"/>
      <c r="V668" s="19">
        <f t="shared" si="202"/>
        <v>26.784376531739653</v>
      </c>
      <c r="W668" s="17"/>
      <c r="X668" s="19">
        <f t="shared" si="203"/>
        <v>3.067168917048821</v>
      </c>
      <c r="Y668" s="19">
        <f t="shared" si="204"/>
        <v>1.7513334682603485</v>
      </c>
      <c r="Z668" s="19"/>
      <c r="AA668" s="19">
        <f t="shared" si="205"/>
        <v>1.1381883593675293E-5</v>
      </c>
    </row>
    <row r="669" spans="2:27" x14ac:dyDescent="0.35">
      <c r="B669" s="27">
        <v>63.1</v>
      </c>
      <c r="C669" s="27">
        <v>17.285710000000002</v>
      </c>
      <c r="D669" s="19">
        <f t="shared" si="192"/>
        <v>95.754979183918266</v>
      </c>
      <c r="E669" s="19">
        <f t="shared" si="193"/>
        <v>2.1046681499075488</v>
      </c>
      <c r="F669" s="19">
        <f t="shared" si="194"/>
        <v>4.9249976448860027</v>
      </c>
      <c r="G669" s="19">
        <f t="shared" si="195"/>
        <v>4.9249976448860027</v>
      </c>
      <c r="H669" s="19">
        <f t="shared" si="196"/>
        <v>4.9249976448860027</v>
      </c>
      <c r="I669" s="17"/>
      <c r="J669" s="19">
        <f t="shared" si="197"/>
        <v>91.241469678797557</v>
      </c>
      <c r="K669" s="19">
        <f t="shared" si="198"/>
        <v>1.6213865015516546</v>
      </c>
      <c r="L669" s="19">
        <f t="shared" si="199"/>
        <v>3.6345204643714708</v>
      </c>
      <c r="M669" s="19">
        <f t="shared" si="200"/>
        <v>3.6345204643714708</v>
      </c>
      <c r="N669" s="19">
        <f t="shared" si="201"/>
        <v>3.6345204643714708</v>
      </c>
      <c r="O669" s="17"/>
      <c r="P669" s="19">
        <f t="shared" si="191"/>
        <v>6.2993889708615942</v>
      </c>
      <c r="Q669" s="19">
        <f t="shared" si="206"/>
        <v>20.388565745812169</v>
      </c>
      <c r="R669" s="19">
        <f t="shared" si="207"/>
        <v>0</v>
      </c>
      <c r="S669" s="19">
        <f t="shared" si="208"/>
        <v>0</v>
      </c>
      <c r="T669" s="19">
        <f t="shared" si="209"/>
        <v>0</v>
      </c>
      <c r="U669" s="17"/>
      <c r="V669" s="19">
        <f t="shared" si="202"/>
        <v>26.687954716673765</v>
      </c>
      <c r="W669" s="17"/>
      <c r="X669" s="19">
        <f t="shared" si="203"/>
        <v>88.402205712219697</v>
      </c>
      <c r="Y669" s="19">
        <f t="shared" si="204"/>
        <v>9.4022447166737635</v>
      </c>
      <c r="Z669" s="19"/>
      <c r="AA669" s="19">
        <f t="shared" si="205"/>
        <v>6.1105013307791547E-5</v>
      </c>
    </row>
    <row r="670" spans="2:27" x14ac:dyDescent="0.35">
      <c r="B670" s="27">
        <v>63.2</v>
      </c>
      <c r="C670" s="27">
        <v>13.53571</v>
      </c>
      <c r="D670" s="19">
        <f t="shared" si="192"/>
        <v>95.895478522340767</v>
      </c>
      <c r="E670" s="19">
        <f t="shared" si="193"/>
        <v>2.1107930787346714</v>
      </c>
      <c r="F670" s="19">
        <f t="shared" si="194"/>
        <v>4.9361087559971137</v>
      </c>
      <c r="G670" s="19">
        <f t="shared" si="195"/>
        <v>4.9361087559971137</v>
      </c>
      <c r="H670" s="19">
        <f t="shared" si="196"/>
        <v>4.9361087559971137</v>
      </c>
      <c r="I670" s="17"/>
      <c r="J670" s="19">
        <f t="shared" si="197"/>
        <v>91.38044699461534</v>
      </c>
      <c r="K670" s="19">
        <f t="shared" si="198"/>
        <v>1.625176595007052</v>
      </c>
      <c r="L670" s="19">
        <f t="shared" si="199"/>
        <v>3.6432363595938928</v>
      </c>
      <c r="M670" s="19">
        <f t="shared" si="200"/>
        <v>3.6432363595938928</v>
      </c>
      <c r="N670" s="19">
        <f t="shared" si="201"/>
        <v>3.6432363595938928</v>
      </c>
      <c r="O670" s="17"/>
      <c r="P670" s="19">
        <f t="shared" si="191"/>
        <v>6.2803460516841723</v>
      </c>
      <c r="Q670" s="19">
        <f t="shared" si="206"/>
        <v>20.311650028725001</v>
      </c>
      <c r="R670" s="19">
        <f t="shared" si="207"/>
        <v>0</v>
      </c>
      <c r="S670" s="19">
        <f t="shared" si="208"/>
        <v>0</v>
      </c>
      <c r="T670" s="19">
        <f t="shared" si="209"/>
        <v>0</v>
      </c>
      <c r="U670" s="17"/>
      <c r="V670" s="19">
        <f t="shared" si="202"/>
        <v>26.591996080409174</v>
      </c>
      <c r="W670" s="17"/>
      <c r="X670" s="19">
        <f t="shared" si="203"/>
        <v>170.46660621348636</v>
      </c>
      <c r="Y670" s="19">
        <f t="shared" si="204"/>
        <v>13.056286080409174</v>
      </c>
      <c r="Z670" s="19"/>
      <c r="AA670" s="19">
        <f t="shared" si="205"/>
        <v>8.4852560078437926E-5</v>
      </c>
    </row>
    <row r="671" spans="2:27" x14ac:dyDescent="0.35">
      <c r="B671" s="27">
        <v>63.3</v>
      </c>
      <c r="C671" s="27">
        <v>35.535710000000002</v>
      </c>
      <c r="D671" s="19">
        <f t="shared" si="192"/>
        <v>96.035977860763253</v>
      </c>
      <c r="E671" s="19">
        <f t="shared" si="193"/>
        <v>2.1169180075617935</v>
      </c>
      <c r="F671" s="19">
        <f t="shared" si="194"/>
        <v>4.9472198671082248</v>
      </c>
      <c r="G671" s="19">
        <f t="shared" si="195"/>
        <v>4.9472198671082248</v>
      </c>
      <c r="H671" s="19">
        <f t="shared" si="196"/>
        <v>4.9472198671082248</v>
      </c>
      <c r="I671" s="17"/>
      <c r="J671" s="19">
        <f t="shared" si="197"/>
        <v>91.519426598465358</v>
      </c>
      <c r="K671" s="19">
        <f t="shared" si="198"/>
        <v>1.6289700584414235</v>
      </c>
      <c r="L671" s="19">
        <f t="shared" si="199"/>
        <v>3.6519567478580104</v>
      </c>
      <c r="M671" s="19">
        <f t="shared" si="200"/>
        <v>3.6519567478580104</v>
      </c>
      <c r="N671" s="19">
        <f t="shared" si="201"/>
        <v>3.6519567478580104</v>
      </c>
      <c r="O671" s="17"/>
      <c r="P671" s="19">
        <f t="shared" si="191"/>
        <v>6.2613890411451791</v>
      </c>
      <c r="Q671" s="19">
        <f t="shared" si="206"/>
        <v>20.235108906962886</v>
      </c>
      <c r="R671" s="19">
        <f t="shared" si="207"/>
        <v>0</v>
      </c>
      <c r="S671" s="19">
        <f t="shared" si="208"/>
        <v>0</v>
      </c>
      <c r="T671" s="19">
        <f t="shared" si="209"/>
        <v>0</v>
      </c>
      <c r="U671" s="17"/>
      <c r="V671" s="19">
        <f t="shared" si="202"/>
        <v>26.496497948108065</v>
      </c>
      <c r="W671" s="17"/>
      <c r="X671" s="19">
        <f t="shared" si="203"/>
        <v>81.707354519068446</v>
      </c>
      <c r="Y671" s="19">
        <f t="shared" si="204"/>
        <v>9.039212051891937</v>
      </c>
      <c r="Z671" s="19"/>
      <c r="AA671" s="19">
        <f t="shared" si="205"/>
        <v>5.8745670780435558E-5</v>
      </c>
    </row>
    <row r="672" spans="2:27" x14ac:dyDescent="0.35">
      <c r="B672" s="27">
        <v>63.4</v>
      </c>
      <c r="C672" s="27">
        <v>21.035710000000002</v>
      </c>
      <c r="D672" s="19">
        <f t="shared" si="192"/>
        <v>96.17647719918574</v>
      </c>
      <c r="E672" s="19">
        <f t="shared" si="193"/>
        <v>2.1230429363889156</v>
      </c>
      <c r="F672" s="19">
        <f t="shared" si="194"/>
        <v>4.9583309782193359</v>
      </c>
      <c r="G672" s="19">
        <f t="shared" si="195"/>
        <v>4.9583309782193359</v>
      </c>
      <c r="H672" s="19">
        <f t="shared" si="196"/>
        <v>4.9583309782193359</v>
      </c>
      <c r="I672" s="17"/>
      <c r="J672" s="19">
        <f t="shared" si="197"/>
        <v>91.658408483516297</v>
      </c>
      <c r="K672" s="19">
        <f t="shared" si="198"/>
        <v>1.632766885119868</v>
      </c>
      <c r="L672" s="19">
        <f t="shared" si="199"/>
        <v>3.6606816146377783</v>
      </c>
      <c r="M672" s="19">
        <f t="shared" si="200"/>
        <v>3.6606816146377783</v>
      </c>
      <c r="N672" s="19">
        <f t="shared" si="201"/>
        <v>3.6606816146377783</v>
      </c>
      <c r="O672" s="17"/>
      <c r="P672" s="19">
        <f t="shared" si="191"/>
        <v>6.2425174246686321</v>
      </c>
      <c r="Q672" s="19">
        <f t="shared" si="206"/>
        <v>20.158940237819053</v>
      </c>
      <c r="R672" s="19">
        <f t="shared" si="207"/>
        <v>0</v>
      </c>
      <c r="S672" s="19">
        <f t="shared" si="208"/>
        <v>0</v>
      </c>
      <c r="T672" s="19">
        <f t="shared" si="209"/>
        <v>0</v>
      </c>
      <c r="U672" s="17"/>
      <c r="V672" s="19">
        <f t="shared" si="202"/>
        <v>26.401457662487687</v>
      </c>
      <c r="W672" s="17"/>
      <c r="X672" s="19">
        <f t="shared" si="203"/>
        <v>28.791247977492056</v>
      </c>
      <c r="Y672" s="19">
        <f t="shared" si="204"/>
        <v>5.365747662487685</v>
      </c>
      <c r="Z672" s="19"/>
      <c r="AA672" s="19">
        <f t="shared" si="205"/>
        <v>3.4871894127698637E-5</v>
      </c>
    </row>
    <row r="673" spans="2:27" x14ac:dyDescent="0.35">
      <c r="B673" s="27">
        <v>63.5</v>
      </c>
      <c r="C673" s="27">
        <v>49.535710000000002</v>
      </c>
      <c r="D673" s="19">
        <f t="shared" si="192"/>
        <v>96.316976537608241</v>
      </c>
      <c r="E673" s="19">
        <f t="shared" si="193"/>
        <v>2.1291678652160382</v>
      </c>
      <c r="F673" s="19">
        <f t="shared" si="194"/>
        <v>4.9694420893304478</v>
      </c>
      <c r="G673" s="19">
        <f t="shared" si="195"/>
        <v>4.9694420893304478</v>
      </c>
      <c r="H673" s="19">
        <f t="shared" si="196"/>
        <v>4.9694420893304478</v>
      </c>
      <c r="I673" s="17"/>
      <c r="J673" s="19">
        <f t="shared" si="197"/>
        <v>91.79739264296721</v>
      </c>
      <c r="K673" s="19">
        <f t="shared" si="198"/>
        <v>1.6365670683177578</v>
      </c>
      <c r="L673" s="19">
        <f t="shared" si="199"/>
        <v>3.6694109454683126</v>
      </c>
      <c r="M673" s="19">
        <f t="shared" si="200"/>
        <v>3.6694109454683126</v>
      </c>
      <c r="N673" s="19">
        <f t="shared" si="201"/>
        <v>3.6694109454683126</v>
      </c>
      <c r="O673" s="17"/>
      <c r="P673" s="19">
        <f t="shared" si="191"/>
        <v>6.2237306915172121</v>
      </c>
      <c r="Q673" s="19">
        <f t="shared" si="206"/>
        <v>20.083141892176606</v>
      </c>
      <c r="R673" s="19">
        <f t="shared" si="207"/>
        <v>0</v>
      </c>
      <c r="S673" s="19">
        <f t="shared" si="208"/>
        <v>0</v>
      </c>
      <c r="T673" s="19">
        <f t="shared" si="209"/>
        <v>0</v>
      </c>
      <c r="U673" s="17"/>
      <c r="V673" s="19">
        <f t="shared" si="202"/>
        <v>26.306872583693817</v>
      </c>
      <c r="W673" s="17"/>
      <c r="X673" s="19">
        <f t="shared" si="203"/>
        <v>539.57888771318619</v>
      </c>
      <c r="Y673" s="19">
        <f t="shared" si="204"/>
        <v>23.228837416306185</v>
      </c>
      <c r="Z673" s="19"/>
      <c r="AA673" s="19">
        <f t="shared" si="205"/>
        <v>1.5096378175849659E-4</v>
      </c>
    </row>
    <row r="674" spans="2:27" x14ac:dyDescent="0.35">
      <c r="B674" s="27">
        <v>63.6</v>
      </c>
      <c r="C674" s="27">
        <v>12.78571</v>
      </c>
      <c r="D674" s="19">
        <f t="shared" si="192"/>
        <v>96.457475876030728</v>
      </c>
      <c r="E674" s="19">
        <f t="shared" si="193"/>
        <v>2.1352927940431607</v>
      </c>
      <c r="F674" s="19">
        <f t="shared" si="194"/>
        <v>4.980553200441558</v>
      </c>
      <c r="G674" s="19">
        <f t="shared" si="195"/>
        <v>4.980553200441558</v>
      </c>
      <c r="H674" s="19">
        <f t="shared" si="196"/>
        <v>4.980553200441558</v>
      </c>
      <c r="I674" s="17"/>
      <c r="J674" s="19">
        <f t="shared" si="197"/>
        <v>91.936379070047437</v>
      </c>
      <c r="K674" s="19">
        <f t="shared" si="198"/>
        <v>1.6403706013207726</v>
      </c>
      <c r="L674" s="19">
        <f t="shared" si="199"/>
        <v>3.678144725945601</v>
      </c>
      <c r="M674" s="19">
        <f t="shared" si="200"/>
        <v>3.678144725945601</v>
      </c>
      <c r="N674" s="19">
        <f t="shared" si="201"/>
        <v>3.678144725945601</v>
      </c>
      <c r="O674" s="17"/>
      <c r="P674" s="19">
        <f t="shared" si="191"/>
        <v>6.205028334758004</v>
      </c>
      <c r="Q674" s="19">
        <f t="shared" si="206"/>
        <v>20.007711754417169</v>
      </c>
      <c r="R674" s="19">
        <f t="shared" si="207"/>
        <v>0</v>
      </c>
      <c r="S674" s="19">
        <f t="shared" si="208"/>
        <v>0</v>
      </c>
      <c r="T674" s="19">
        <f t="shared" si="209"/>
        <v>0</v>
      </c>
      <c r="U674" s="17"/>
      <c r="V674" s="19">
        <f t="shared" si="202"/>
        <v>26.212740089175174</v>
      </c>
      <c r="W674" s="17"/>
      <c r="X674" s="19">
        <f t="shared" si="203"/>
        <v>180.28513701561548</v>
      </c>
      <c r="Y674" s="19">
        <f t="shared" si="204"/>
        <v>13.427030089175174</v>
      </c>
      <c r="Z674" s="19"/>
      <c r="AA674" s="19">
        <f t="shared" si="205"/>
        <v>8.7262018486732238E-5</v>
      </c>
    </row>
    <row r="675" spans="2:27" x14ac:dyDescent="0.35">
      <c r="B675" s="27">
        <v>63.7</v>
      </c>
      <c r="C675" s="27">
        <v>9.0357099999999999</v>
      </c>
      <c r="D675" s="19">
        <f t="shared" si="192"/>
        <v>96.597975214453214</v>
      </c>
      <c r="E675" s="19">
        <f t="shared" si="193"/>
        <v>2.1414177228702824</v>
      </c>
      <c r="F675" s="19">
        <f t="shared" si="194"/>
        <v>4.99166431155267</v>
      </c>
      <c r="G675" s="19">
        <f t="shared" si="195"/>
        <v>4.99166431155267</v>
      </c>
      <c r="H675" s="19">
        <f t="shared" si="196"/>
        <v>4.99166431155267</v>
      </c>
      <c r="I675" s="17"/>
      <c r="J675" s="19">
        <f t="shared" si="197"/>
        <v>92.075367758016384</v>
      </c>
      <c r="K675" s="19">
        <f t="shared" si="198"/>
        <v>1.6441774774249371</v>
      </c>
      <c r="L675" s="19">
        <f t="shared" si="199"/>
        <v>3.6868829417262257</v>
      </c>
      <c r="M675" s="19">
        <f t="shared" si="200"/>
        <v>3.6868829417262257</v>
      </c>
      <c r="N675" s="19">
        <f t="shared" si="201"/>
        <v>3.6868829417262257</v>
      </c>
      <c r="O675" s="17"/>
      <c r="P675" s="19">
        <f t="shared" si="191"/>
        <v>6.1864098512286017</v>
      </c>
      <c r="Q675" s="19">
        <f t="shared" si="206"/>
        <v>19.932647722330096</v>
      </c>
      <c r="R675" s="19">
        <f t="shared" si="207"/>
        <v>0</v>
      </c>
      <c r="S675" s="19">
        <f t="shared" si="208"/>
        <v>0</v>
      </c>
      <c r="T675" s="19">
        <f t="shared" si="209"/>
        <v>0</v>
      </c>
      <c r="U675" s="17"/>
      <c r="V675" s="19">
        <f t="shared" si="202"/>
        <v>26.119057573558699</v>
      </c>
      <c r="W675" s="17"/>
      <c r="X675" s="19">
        <f t="shared" si="203"/>
        <v>291.84076431901383</v>
      </c>
      <c r="Y675" s="19">
        <f t="shared" si="204"/>
        <v>17.083347573558697</v>
      </c>
      <c r="Z675" s="19"/>
      <c r="AA675" s="19">
        <f t="shared" si="205"/>
        <v>1.1102435772308061E-4</v>
      </c>
    </row>
    <row r="676" spans="2:27" x14ac:dyDescent="0.35">
      <c r="B676" s="27">
        <v>63.8</v>
      </c>
      <c r="C676" s="27">
        <v>18.535710000000002</v>
      </c>
      <c r="D676" s="19">
        <f t="shared" si="192"/>
        <v>96.738474552875701</v>
      </c>
      <c r="E676" s="19">
        <f t="shared" si="193"/>
        <v>2.1475426516974045</v>
      </c>
      <c r="F676" s="19">
        <f t="shared" si="194"/>
        <v>5.0027754226637802</v>
      </c>
      <c r="G676" s="19">
        <f t="shared" si="195"/>
        <v>5.0027754226637802</v>
      </c>
      <c r="H676" s="19">
        <f t="shared" si="196"/>
        <v>5.0027754226637802</v>
      </c>
      <c r="I676" s="17"/>
      <c r="J676" s="19">
        <f t="shared" si="197"/>
        <v>92.214358700163388</v>
      </c>
      <c r="K676" s="19">
        <f t="shared" si="198"/>
        <v>1.6479876899366548</v>
      </c>
      <c r="L676" s="19">
        <f t="shared" si="199"/>
        <v>3.6956255785270664</v>
      </c>
      <c r="M676" s="19">
        <f t="shared" si="200"/>
        <v>3.6956255785270664</v>
      </c>
      <c r="N676" s="19">
        <f t="shared" si="201"/>
        <v>3.6956255785270664</v>
      </c>
      <c r="O676" s="17"/>
      <c r="P676" s="19">
        <f t="shared" si="191"/>
        <v>6.1678747415035593</v>
      </c>
      <c r="Q676" s="19">
        <f t="shared" si="206"/>
        <v>19.857947707022358</v>
      </c>
      <c r="R676" s="19">
        <f t="shared" si="207"/>
        <v>0</v>
      </c>
      <c r="S676" s="19">
        <f t="shared" si="208"/>
        <v>0</v>
      </c>
      <c r="T676" s="19">
        <f t="shared" si="209"/>
        <v>0</v>
      </c>
      <c r="U676" s="17"/>
      <c r="V676" s="19">
        <f t="shared" si="202"/>
        <v>26.025822448525918</v>
      </c>
      <c r="W676" s="17"/>
      <c r="X676" s="19">
        <f t="shared" si="203"/>
        <v>56.101784491562903</v>
      </c>
      <c r="Y676" s="19">
        <f t="shared" si="204"/>
        <v>7.4901124485259167</v>
      </c>
      <c r="Z676" s="19"/>
      <c r="AA676" s="19">
        <f t="shared" si="205"/>
        <v>4.8678101308338011E-5</v>
      </c>
    </row>
    <row r="677" spans="2:27" x14ac:dyDescent="0.35">
      <c r="B677" s="27">
        <v>63.9</v>
      </c>
      <c r="C677" s="27">
        <v>5.7857099999999999</v>
      </c>
      <c r="D677" s="19">
        <f t="shared" si="192"/>
        <v>96.878973891298202</v>
      </c>
      <c r="E677" s="19">
        <f t="shared" si="193"/>
        <v>2.1536675805245271</v>
      </c>
      <c r="F677" s="19">
        <f t="shared" si="194"/>
        <v>5.0138865337748921</v>
      </c>
      <c r="G677" s="19">
        <f t="shared" si="195"/>
        <v>5.0138865337748921</v>
      </c>
      <c r="H677" s="19">
        <f t="shared" si="196"/>
        <v>5.0138865337748921</v>
      </c>
      <c r="I677" s="17"/>
      <c r="J677" s="19">
        <f t="shared" si="197"/>
        <v>92.35335188980747</v>
      </c>
      <c r="K677" s="19">
        <f t="shared" si="198"/>
        <v>1.65180123217274</v>
      </c>
      <c r="L677" s="19">
        <f t="shared" si="199"/>
        <v>3.7043726221250286</v>
      </c>
      <c r="M677" s="19">
        <f t="shared" si="200"/>
        <v>3.7043726221250286</v>
      </c>
      <c r="N677" s="19">
        <f t="shared" si="201"/>
        <v>3.7043726221250286</v>
      </c>
      <c r="O677" s="17"/>
      <c r="P677" s="19">
        <f t="shared" si="191"/>
        <v>6.1494225098612096</v>
      </c>
      <c r="Q677" s="19">
        <f t="shared" si="206"/>
        <v>19.783609632829076</v>
      </c>
      <c r="R677" s="19">
        <f t="shared" si="207"/>
        <v>0</v>
      </c>
      <c r="S677" s="19">
        <f t="shared" si="208"/>
        <v>0</v>
      </c>
      <c r="T677" s="19">
        <f t="shared" si="209"/>
        <v>0</v>
      </c>
      <c r="U677" s="17"/>
      <c r="V677" s="19">
        <f t="shared" si="202"/>
        <v>25.933032142690287</v>
      </c>
      <c r="W677" s="17"/>
      <c r="X677" s="19">
        <f t="shared" si="203"/>
        <v>405.91458952133826</v>
      </c>
      <c r="Y677" s="19">
        <f t="shared" si="204"/>
        <v>20.147322142690285</v>
      </c>
      <c r="Z677" s="19"/>
      <c r="AA677" s="19">
        <f t="shared" si="205"/>
        <v>1.3093707138490444E-4</v>
      </c>
    </row>
    <row r="678" spans="2:27" x14ac:dyDescent="0.35">
      <c r="B678" s="27">
        <v>64</v>
      </c>
      <c r="C678" s="27">
        <v>29.285710000000002</v>
      </c>
      <c r="D678" s="19">
        <f t="shared" si="192"/>
        <v>97.019473229720688</v>
      </c>
      <c r="E678" s="19">
        <f t="shared" si="193"/>
        <v>2.1597925093516492</v>
      </c>
      <c r="F678" s="19">
        <f t="shared" si="194"/>
        <v>5.0249976448860032</v>
      </c>
      <c r="G678" s="19">
        <f t="shared" si="195"/>
        <v>5.0249976448860032</v>
      </c>
      <c r="H678" s="19">
        <f t="shared" si="196"/>
        <v>5.0249976448860032</v>
      </c>
      <c r="I678" s="17"/>
      <c r="J678" s="19">
        <f t="shared" si="197"/>
        <v>92.492347320297227</v>
      </c>
      <c r="K678" s="19">
        <f t="shared" si="198"/>
        <v>1.6556180974604524</v>
      </c>
      <c r="L678" s="19">
        <f t="shared" si="199"/>
        <v>3.713124058356752</v>
      </c>
      <c r="M678" s="19">
        <f t="shared" si="200"/>
        <v>3.713124058356752</v>
      </c>
      <c r="N678" s="19">
        <f t="shared" si="201"/>
        <v>3.713124058356752</v>
      </c>
      <c r="O678" s="17"/>
      <c r="P678" s="19">
        <f t="shared" si="191"/>
        <v>6.1310526642508032</v>
      </c>
      <c r="Q678" s="19">
        <f t="shared" si="206"/>
        <v>19.709631437224576</v>
      </c>
      <c r="R678" s="19">
        <f t="shared" si="207"/>
        <v>0</v>
      </c>
      <c r="S678" s="19">
        <f t="shared" si="208"/>
        <v>0</v>
      </c>
      <c r="T678" s="19">
        <f t="shared" si="209"/>
        <v>0</v>
      </c>
      <c r="U678" s="17"/>
      <c r="V678" s="19">
        <f t="shared" si="202"/>
        <v>25.840684101475379</v>
      </c>
      <c r="W678" s="17"/>
      <c r="X678" s="19">
        <f t="shared" si="203"/>
        <v>11.868203441505386</v>
      </c>
      <c r="Y678" s="19">
        <f t="shared" si="204"/>
        <v>3.4450258985246229</v>
      </c>
      <c r="Z678" s="19"/>
      <c r="AA678" s="19">
        <f t="shared" si="205"/>
        <v>2.2389159154911386E-5</v>
      </c>
    </row>
    <row r="679" spans="2:27" x14ac:dyDescent="0.35">
      <c r="B679" s="27">
        <v>64.099999999999994</v>
      </c>
      <c r="C679" s="27">
        <v>9.7857099999999999</v>
      </c>
      <c r="D679" s="19">
        <f t="shared" si="192"/>
        <v>97.159972568143175</v>
      </c>
      <c r="E679" s="19">
        <f t="shared" si="193"/>
        <v>2.1659174381787714</v>
      </c>
      <c r="F679" s="19">
        <f t="shared" si="194"/>
        <v>5.0361087559971134</v>
      </c>
      <c r="G679" s="19">
        <f t="shared" si="195"/>
        <v>5.0361087559971134</v>
      </c>
      <c r="H679" s="19">
        <f t="shared" si="196"/>
        <v>5.0361087559971134</v>
      </c>
      <c r="I679" s="17"/>
      <c r="J679" s="19">
        <f t="shared" si="197"/>
        <v>92.631344985010614</v>
      </c>
      <c r="K679" s="19">
        <f t="shared" si="198"/>
        <v>1.6594382791375306</v>
      </c>
      <c r="L679" s="19">
        <f t="shared" si="199"/>
        <v>3.7218798731183345</v>
      </c>
      <c r="M679" s="19">
        <f t="shared" si="200"/>
        <v>3.7218798731183345</v>
      </c>
      <c r="N679" s="19">
        <f t="shared" si="201"/>
        <v>3.7218798731183345</v>
      </c>
      <c r="O679" s="17"/>
      <c r="P679" s="19">
        <f t="shared" si="191"/>
        <v>6.1127647162599965</v>
      </c>
      <c r="Q679" s="19">
        <f t="shared" si="206"/>
        <v>19.636011070734103</v>
      </c>
      <c r="R679" s="19">
        <f t="shared" si="207"/>
        <v>0</v>
      </c>
      <c r="S679" s="19">
        <f t="shared" si="208"/>
        <v>0</v>
      </c>
      <c r="T679" s="19">
        <f t="shared" si="209"/>
        <v>0</v>
      </c>
      <c r="U679" s="17"/>
      <c r="V679" s="19">
        <f t="shared" si="202"/>
        <v>25.748775786994099</v>
      </c>
      <c r="W679" s="17"/>
      <c r="X679" s="19">
        <f t="shared" si="203"/>
        <v>254.81946931990151</v>
      </c>
      <c r="Y679" s="19">
        <f t="shared" si="204"/>
        <v>15.963065786994099</v>
      </c>
      <c r="Z679" s="19"/>
      <c r="AA679" s="19">
        <f t="shared" si="205"/>
        <v>1.0374366725614246E-4</v>
      </c>
    </row>
    <row r="680" spans="2:27" x14ac:dyDescent="0.35">
      <c r="B680" s="27">
        <v>64.2</v>
      </c>
      <c r="C680" s="27">
        <v>40.785710000000002</v>
      </c>
      <c r="D680" s="19">
        <f t="shared" si="192"/>
        <v>97.300471906565676</v>
      </c>
      <c r="E680" s="19">
        <f t="shared" si="193"/>
        <v>2.1720423670058944</v>
      </c>
      <c r="F680" s="19">
        <f t="shared" si="194"/>
        <v>5.0472198671082253</v>
      </c>
      <c r="G680" s="19">
        <f t="shared" si="195"/>
        <v>5.0472198671082253</v>
      </c>
      <c r="H680" s="19">
        <f t="shared" si="196"/>
        <v>5.0472198671082253</v>
      </c>
      <c r="I680" s="17"/>
      <c r="J680" s="19">
        <f t="shared" si="197"/>
        <v>92.770344877354802</v>
      </c>
      <c r="K680" s="19">
        <f t="shared" si="198"/>
        <v>1.6632617705522221</v>
      </c>
      <c r="L680" s="19">
        <f t="shared" si="199"/>
        <v>3.7306400523650529</v>
      </c>
      <c r="M680" s="19">
        <f t="shared" si="200"/>
        <v>3.7306400523650529</v>
      </c>
      <c r="N680" s="19">
        <f t="shared" si="201"/>
        <v>3.7306400523650529</v>
      </c>
      <c r="O680" s="17"/>
      <c r="P680" s="19">
        <f t="shared" ref="P680:P743" si="210">(C$21*C$23/(1-C$23)^2*$A$21*C$22)/(J680+J680^2)</f>
        <v>6.094558181082669</v>
      </c>
      <c r="Q680" s="19">
        <f t="shared" si="206"/>
        <v>19.562746496846163</v>
      </c>
      <c r="R680" s="19">
        <f t="shared" si="207"/>
        <v>0</v>
      </c>
      <c r="S680" s="19">
        <f t="shared" si="208"/>
        <v>0</v>
      </c>
      <c r="T680" s="19">
        <f t="shared" si="209"/>
        <v>0</v>
      </c>
      <c r="U680" s="17"/>
      <c r="V680" s="19">
        <f t="shared" si="202"/>
        <v>25.657304677928831</v>
      </c>
      <c r="W680" s="17"/>
      <c r="X680" s="19">
        <f t="shared" si="203"/>
        <v>228.86864758887131</v>
      </c>
      <c r="Y680" s="19">
        <f t="shared" si="204"/>
        <v>15.128405322071171</v>
      </c>
      <c r="Z680" s="19"/>
      <c r="AA680" s="19">
        <f t="shared" si="205"/>
        <v>9.8319224439188634E-5</v>
      </c>
    </row>
    <row r="681" spans="2:27" x14ac:dyDescent="0.35">
      <c r="B681" s="27">
        <v>64.3</v>
      </c>
      <c r="C681" s="27">
        <v>20.035710000000002</v>
      </c>
      <c r="D681" s="19">
        <f t="shared" si="192"/>
        <v>97.440971244988162</v>
      </c>
      <c r="E681" s="19">
        <f t="shared" si="193"/>
        <v>2.178167295833016</v>
      </c>
      <c r="F681" s="19">
        <f t="shared" si="194"/>
        <v>5.0583309782193355</v>
      </c>
      <c r="G681" s="19">
        <f t="shared" si="195"/>
        <v>5.0583309782193355</v>
      </c>
      <c r="H681" s="19">
        <f t="shared" si="196"/>
        <v>5.0583309782193355</v>
      </c>
      <c r="I681" s="17"/>
      <c r="J681" s="19">
        <f t="shared" si="197"/>
        <v>92.909346990765997</v>
      </c>
      <c r="K681" s="19">
        <f t="shared" si="198"/>
        <v>1.667088565063316</v>
      </c>
      <c r="L681" s="19">
        <f t="shared" si="199"/>
        <v>3.739404582111078</v>
      </c>
      <c r="M681" s="19">
        <f t="shared" si="200"/>
        <v>3.739404582111078</v>
      </c>
      <c r="N681" s="19">
        <f t="shared" si="201"/>
        <v>3.739404582111078</v>
      </c>
      <c r="O681" s="17"/>
      <c r="P681" s="19">
        <f t="shared" si="210"/>
        <v>6.0764325774870809</v>
      </c>
      <c r="Q681" s="19">
        <f t="shared" si="206"/>
        <v>19.4898356919254</v>
      </c>
      <c r="R681" s="19">
        <f t="shared" si="207"/>
        <v>0</v>
      </c>
      <c r="S681" s="19">
        <f t="shared" si="208"/>
        <v>0</v>
      </c>
      <c r="T681" s="19">
        <f t="shared" si="209"/>
        <v>0</v>
      </c>
      <c r="U681" s="17"/>
      <c r="V681" s="19">
        <f t="shared" si="202"/>
        <v>25.566268269412483</v>
      </c>
      <c r="W681" s="17"/>
      <c r="X681" s="19">
        <f t="shared" si="203"/>
        <v>30.587074771366776</v>
      </c>
      <c r="Y681" s="19">
        <f t="shared" si="204"/>
        <v>5.5305582694124809</v>
      </c>
      <c r="Z681" s="19"/>
      <c r="AA681" s="19">
        <f t="shared" si="205"/>
        <v>3.5942995192697039E-5</v>
      </c>
    </row>
    <row r="682" spans="2:27" x14ac:dyDescent="0.35">
      <c r="B682" s="27">
        <v>64.400000000000006</v>
      </c>
      <c r="C682" s="27">
        <v>27.785710000000002</v>
      </c>
      <c r="D682" s="19">
        <f t="shared" si="192"/>
        <v>97.581470583410663</v>
      </c>
      <c r="E682" s="19">
        <f t="shared" si="193"/>
        <v>2.1842922246601386</v>
      </c>
      <c r="F682" s="19">
        <f t="shared" si="194"/>
        <v>5.0694420893304484</v>
      </c>
      <c r="G682" s="19">
        <f t="shared" si="195"/>
        <v>5.0694420893304484</v>
      </c>
      <c r="H682" s="19">
        <f t="shared" si="196"/>
        <v>5.0694420893304484</v>
      </c>
      <c r="I682" s="17"/>
      <c r="J682" s="19">
        <f t="shared" si="197"/>
        <v>93.048351318709251</v>
      </c>
      <c r="K682" s="19">
        <f t="shared" si="198"/>
        <v>1.6709186560401754</v>
      </c>
      <c r="L682" s="19">
        <f t="shared" si="199"/>
        <v>3.7481734484292075</v>
      </c>
      <c r="M682" s="19">
        <f t="shared" si="200"/>
        <v>3.7481734484292075</v>
      </c>
      <c r="N682" s="19">
        <f t="shared" si="201"/>
        <v>3.7481734484292075</v>
      </c>
      <c r="O682" s="17"/>
      <c r="P682" s="19">
        <f t="shared" si="210"/>
        <v>6.0583874277843481</v>
      </c>
      <c r="Q682" s="19">
        <f t="shared" si="206"/>
        <v>19.417276645126094</v>
      </c>
      <c r="R682" s="19">
        <f t="shared" si="207"/>
        <v>0</v>
      </c>
      <c r="S682" s="19">
        <f t="shared" si="208"/>
        <v>0</v>
      </c>
      <c r="T682" s="19">
        <f t="shared" si="209"/>
        <v>0</v>
      </c>
      <c r="U682" s="17"/>
      <c r="V682" s="19">
        <f t="shared" si="202"/>
        <v>25.47566407291044</v>
      </c>
      <c r="W682" s="17"/>
      <c r="X682" s="19">
        <f t="shared" si="203"/>
        <v>5.3363121852630702</v>
      </c>
      <c r="Y682" s="19">
        <f t="shared" si="204"/>
        <v>2.3100459270895612</v>
      </c>
      <c r="Z682" s="19"/>
      <c r="AA682" s="19">
        <f t="shared" si="205"/>
        <v>1.5012945458236691E-5</v>
      </c>
    </row>
    <row r="683" spans="2:27" x14ac:dyDescent="0.35">
      <c r="B683" s="27">
        <v>64.5</v>
      </c>
      <c r="C683" s="27">
        <v>2.5357099999999999</v>
      </c>
      <c r="D683" s="19">
        <f t="shared" si="192"/>
        <v>97.721969921833136</v>
      </c>
      <c r="E683" s="19">
        <f t="shared" si="193"/>
        <v>2.1904171534872607</v>
      </c>
      <c r="F683" s="19">
        <f t="shared" si="194"/>
        <v>5.0805532004415586</v>
      </c>
      <c r="G683" s="19">
        <f t="shared" si="195"/>
        <v>5.0805532004415586</v>
      </c>
      <c r="H683" s="19">
        <f t="shared" si="196"/>
        <v>5.0805532004415586</v>
      </c>
      <c r="I683" s="17"/>
      <c r="J683" s="19">
        <f t="shared" si="197"/>
        <v>93.187357854678325</v>
      </c>
      <c r="K683" s="19">
        <f t="shared" si="198"/>
        <v>1.6747520368627642</v>
      </c>
      <c r="L683" s="19">
        <f t="shared" si="199"/>
        <v>3.7569466374505769</v>
      </c>
      <c r="M683" s="19">
        <f t="shared" si="200"/>
        <v>3.7569466374505769</v>
      </c>
      <c r="N683" s="19">
        <f t="shared" si="201"/>
        <v>3.7569466374505769</v>
      </c>
      <c r="O683" s="17"/>
      <c r="P683" s="19">
        <f t="shared" si="210"/>
        <v>6.0404222577972506</v>
      </c>
      <c r="Q683" s="19">
        <f t="shared" si="206"/>
        <v>19.345067358306281</v>
      </c>
      <c r="R683" s="19">
        <f t="shared" si="207"/>
        <v>0</v>
      </c>
      <c r="S683" s="19">
        <f t="shared" si="208"/>
        <v>0</v>
      </c>
      <c r="T683" s="19">
        <f t="shared" si="209"/>
        <v>0</v>
      </c>
      <c r="U683" s="17"/>
      <c r="V683" s="19">
        <f t="shared" si="202"/>
        <v>25.385489616103531</v>
      </c>
      <c r="W683" s="17"/>
      <c r="X683" s="19">
        <f t="shared" si="203"/>
        <v>522.11242850450049</v>
      </c>
      <c r="Y683" s="19">
        <f t="shared" si="204"/>
        <v>22.849779616103532</v>
      </c>
      <c r="Z683" s="19"/>
      <c r="AA683" s="19">
        <f t="shared" si="205"/>
        <v>1.4850029217449015E-4</v>
      </c>
    </row>
    <row r="684" spans="2:27" x14ac:dyDescent="0.35">
      <c r="B684" s="27">
        <v>64.599999999999994</v>
      </c>
      <c r="C684" s="27">
        <v>17.285710000000002</v>
      </c>
      <c r="D684" s="19">
        <f t="shared" si="192"/>
        <v>97.862469260255622</v>
      </c>
      <c r="E684" s="19">
        <f t="shared" si="193"/>
        <v>2.1965420823143824</v>
      </c>
      <c r="F684" s="19">
        <f t="shared" si="194"/>
        <v>5.0916643115526687</v>
      </c>
      <c r="G684" s="19">
        <f t="shared" si="195"/>
        <v>5.0916643115526687</v>
      </c>
      <c r="H684" s="19">
        <f t="shared" si="196"/>
        <v>5.0916643115526687</v>
      </c>
      <c r="I684" s="17"/>
      <c r="J684" s="19">
        <f t="shared" si="197"/>
        <v>93.326366592195512</v>
      </c>
      <c r="K684" s="19">
        <f t="shared" si="198"/>
        <v>1.6785887009216802</v>
      </c>
      <c r="L684" s="19">
        <f t="shared" si="199"/>
        <v>3.7657241353643962</v>
      </c>
      <c r="M684" s="19">
        <f t="shared" si="200"/>
        <v>3.7657241353643962</v>
      </c>
      <c r="N684" s="19">
        <f t="shared" si="201"/>
        <v>3.7657241353643962</v>
      </c>
      <c r="O684" s="17"/>
      <c r="P684" s="19">
        <f t="shared" si="210"/>
        <v>6.0225365968293447</v>
      </c>
      <c r="Q684" s="19">
        <f t="shared" si="206"/>
        <v>19.273205845942424</v>
      </c>
      <c r="R684" s="19">
        <f t="shared" si="207"/>
        <v>0</v>
      </c>
      <c r="S684" s="19">
        <f t="shared" si="208"/>
        <v>0</v>
      </c>
      <c r="T684" s="19">
        <f t="shared" si="209"/>
        <v>0</v>
      </c>
      <c r="U684" s="17"/>
      <c r="V684" s="19">
        <f t="shared" si="202"/>
        <v>25.295742442771768</v>
      </c>
      <c r="W684" s="17"/>
      <c r="X684" s="19">
        <f t="shared" si="203"/>
        <v>64.16061973425623</v>
      </c>
      <c r="Y684" s="19">
        <f t="shared" si="204"/>
        <v>8.0100324427717666</v>
      </c>
      <c r="Z684" s="19"/>
      <c r="AA684" s="19">
        <f t="shared" si="205"/>
        <v>5.2057051668036657E-5</v>
      </c>
    </row>
    <row r="685" spans="2:27" x14ac:dyDescent="0.35">
      <c r="B685" s="27">
        <v>64.7</v>
      </c>
      <c r="C685" s="27">
        <v>38.035710000000002</v>
      </c>
      <c r="D685" s="19">
        <f t="shared" si="192"/>
        <v>98.002968598678123</v>
      </c>
      <c r="E685" s="19">
        <f t="shared" si="193"/>
        <v>2.2026670111415054</v>
      </c>
      <c r="F685" s="19">
        <f t="shared" si="194"/>
        <v>5.1027754226637807</v>
      </c>
      <c r="G685" s="19">
        <f t="shared" si="195"/>
        <v>5.1027754226637807</v>
      </c>
      <c r="H685" s="19">
        <f t="shared" si="196"/>
        <v>5.1027754226637807</v>
      </c>
      <c r="I685" s="17"/>
      <c r="J685" s="19">
        <f t="shared" si="197"/>
        <v>93.465377524811458</v>
      </c>
      <c r="K685" s="19">
        <f t="shared" si="198"/>
        <v>1.6824286416181848</v>
      </c>
      <c r="L685" s="19">
        <f t="shared" si="199"/>
        <v>3.7745059284176712</v>
      </c>
      <c r="M685" s="19">
        <f t="shared" si="200"/>
        <v>3.7745059284176712</v>
      </c>
      <c r="N685" s="19">
        <f t="shared" si="201"/>
        <v>3.7745059284176712</v>
      </c>
      <c r="O685" s="17"/>
      <c r="P685" s="19">
        <f t="shared" si="210"/>
        <v>6.0047299776344101</v>
      </c>
      <c r="Q685" s="19">
        <f t="shared" si="206"/>
        <v>19.201690135044633</v>
      </c>
      <c r="R685" s="19">
        <f t="shared" si="207"/>
        <v>0</v>
      </c>
      <c r="S685" s="19">
        <f t="shared" si="208"/>
        <v>0</v>
      </c>
      <c r="T685" s="19">
        <f t="shared" si="209"/>
        <v>0</v>
      </c>
      <c r="U685" s="17"/>
      <c r="V685" s="19">
        <f t="shared" si="202"/>
        <v>25.206420112679041</v>
      </c>
      <c r="W685" s="17"/>
      <c r="X685" s="19">
        <f t="shared" si="203"/>
        <v>164.59067901291587</v>
      </c>
      <c r="Y685" s="19">
        <f t="shared" si="204"/>
        <v>12.829289887320961</v>
      </c>
      <c r="Z685" s="19"/>
      <c r="AA685" s="19">
        <f t="shared" si="205"/>
        <v>8.3377316047097684E-5</v>
      </c>
    </row>
    <row r="686" spans="2:27" x14ac:dyDescent="0.35">
      <c r="B686" s="27">
        <v>64.8</v>
      </c>
      <c r="C686" s="27">
        <v>27.535710000000002</v>
      </c>
      <c r="D686" s="19">
        <f t="shared" si="192"/>
        <v>98.14346793710061</v>
      </c>
      <c r="E686" s="19">
        <f t="shared" si="193"/>
        <v>2.2087919399686275</v>
      </c>
      <c r="F686" s="19">
        <f t="shared" si="194"/>
        <v>5.1138865337748918</v>
      </c>
      <c r="G686" s="19">
        <f t="shared" si="195"/>
        <v>5.1138865337748918</v>
      </c>
      <c r="H686" s="19">
        <f t="shared" si="196"/>
        <v>5.1138865337748918</v>
      </c>
      <c r="I686" s="17"/>
      <c r="J686" s="19">
        <f t="shared" si="197"/>
        <v>93.604390646105003</v>
      </c>
      <c r="K686" s="19">
        <f t="shared" si="198"/>
        <v>1.6862718523642273</v>
      </c>
      <c r="L686" s="19">
        <f t="shared" si="199"/>
        <v>3.7832920029149273</v>
      </c>
      <c r="M686" s="19">
        <f t="shared" si="200"/>
        <v>3.7832920029149273</v>
      </c>
      <c r="N686" s="19">
        <f t="shared" si="201"/>
        <v>3.7832920029149273</v>
      </c>
      <c r="O686" s="17"/>
      <c r="P686" s="19">
        <f t="shared" si="210"/>
        <v>5.987001936386199</v>
      </c>
      <c r="Q686" s="19">
        <f t="shared" si="206"/>
        <v>19.130518265072602</v>
      </c>
      <c r="R686" s="19">
        <f t="shared" si="207"/>
        <v>0</v>
      </c>
      <c r="S686" s="19">
        <f t="shared" si="208"/>
        <v>0</v>
      </c>
      <c r="T686" s="19">
        <f t="shared" si="209"/>
        <v>0</v>
      </c>
      <c r="U686" s="17"/>
      <c r="V686" s="19">
        <f t="shared" si="202"/>
        <v>25.117520201458802</v>
      </c>
      <c r="W686" s="17"/>
      <c r="X686" s="19">
        <f t="shared" si="203"/>
        <v>5.8476419017687258</v>
      </c>
      <c r="Y686" s="19">
        <f t="shared" si="204"/>
        <v>2.4181897985411993</v>
      </c>
      <c r="Z686" s="19"/>
      <c r="AA686" s="19">
        <f t="shared" si="205"/>
        <v>1.5715770464747074E-5</v>
      </c>
    </row>
    <row r="687" spans="2:27" x14ac:dyDescent="0.35">
      <c r="B687" s="27">
        <v>64.900000000000006</v>
      </c>
      <c r="C687" s="27">
        <v>22.035710000000002</v>
      </c>
      <c r="D687" s="19">
        <f t="shared" si="192"/>
        <v>98.283967275523111</v>
      </c>
      <c r="E687" s="19">
        <f t="shared" si="193"/>
        <v>2.2149168687957506</v>
      </c>
      <c r="F687" s="19">
        <f t="shared" si="194"/>
        <v>5.1249976448860037</v>
      </c>
      <c r="G687" s="19">
        <f t="shared" si="195"/>
        <v>5.1249976448860037</v>
      </c>
      <c r="H687" s="19">
        <f t="shared" si="196"/>
        <v>5.1249976448860037</v>
      </c>
      <c r="I687" s="17"/>
      <c r="J687" s="19">
        <f t="shared" si="197"/>
        <v>93.743405949683037</v>
      </c>
      <c r="K687" s="19">
        <f t="shared" si="198"/>
        <v>1.6901183265824784</v>
      </c>
      <c r="L687" s="19">
        <f t="shared" si="199"/>
        <v>3.7920823452179451</v>
      </c>
      <c r="M687" s="19">
        <f t="shared" si="200"/>
        <v>3.7920823452179451</v>
      </c>
      <c r="N687" s="19">
        <f t="shared" si="201"/>
        <v>3.7920823452179451</v>
      </c>
      <c r="O687" s="17"/>
      <c r="P687" s="19">
        <f t="shared" si="210"/>
        <v>5.9693520126484909</v>
      </c>
      <c r="Q687" s="19">
        <f t="shared" si="206"/>
        <v>19.059688287851934</v>
      </c>
      <c r="R687" s="19">
        <f t="shared" si="207"/>
        <v>0</v>
      </c>
      <c r="S687" s="19">
        <f t="shared" si="208"/>
        <v>0</v>
      </c>
      <c r="T687" s="19">
        <f t="shared" si="209"/>
        <v>0</v>
      </c>
      <c r="U687" s="17"/>
      <c r="V687" s="19">
        <f t="shared" si="202"/>
        <v>25.029040300500426</v>
      </c>
      <c r="W687" s="17"/>
      <c r="X687" s="19">
        <f t="shared" si="203"/>
        <v>8.9600262878939638</v>
      </c>
      <c r="Y687" s="19">
        <f t="shared" si="204"/>
        <v>2.9933303005004248</v>
      </c>
      <c r="Z687" s="19"/>
      <c r="AA687" s="19">
        <f t="shared" si="205"/>
        <v>1.9453597875657228E-5</v>
      </c>
    </row>
    <row r="688" spans="2:27" x14ac:dyDescent="0.35">
      <c r="B688" s="27">
        <v>65</v>
      </c>
      <c r="C688" s="27">
        <v>32.035710000000002</v>
      </c>
      <c r="D688" s="19">
        <f t="shared" si="192"/>
        <v>98.424466613945597</v>
      </c>
      <c r="E688" s="19">
        <f t="shared" si="193"/>
        <v>2.2210417976228718</v>
      </c>
      <c r="F688" s="19">
        <f t="shared" si="194"/>
        <v>5.1361087559971139</v>
      </c>
      <c r="G688" s="19">
        <f t="shared" si="195"/>
        <v>5.1361087559971139</v>
      </c>
      <c r="H688" s="19">
        <f t="shared" si="196"/>
        <v>5.1361087559971139</v>
      </c>
      <c r="I688" s="17"/>
      <c r="J688" s="19">
        <f t="shared" si="197"/>
        <v>93.882423429180264</v>
      </c>
      <c r="K688" s="19">
        <f t="shared" si="198"/>
        <v>1.6939680577063532</v>
      </c>
      <c r="L688" s="19">
        <f t="shared" si="199"/>
        <v>3.8008769417454822</v>
      </c>
      <c r="M688" s="19">
        <f t="shared" si="200"/>
        <v>3.8008769417454822</v>
      </c>
      <c r="N688" s="19">
        <f t="shared" si="201"/>
        <v>3.8008769417454822</v>
      </c>
      <c r="O688" s="17"/>
      <c r="P688" s="19">
        <f t="shared" si="210"/>
        <v>5.9517797493454596</v>
      </c>
      <c r="Q688" s="19">
        <f t="shared" si="206"/>
        <v>18.989198267491204</v>
      </c>
      <c r="R688" s="19">
        <f t="shared" si="207"/>
        <v>0</v>
      </c>
      <c r="S688" s="19">
        <f t="shared" si="208"/>
        <v>0</v>
      </c>
      <c r="T688" s="19">
        <f t="shared" si="209"/>
        <v>0</v>
      </c>
      <c r="U688" s="17"/>
      <c r="V688" s="19">
        <f t="shared" si="202"/>
        <v>24.940978016836663</v>
      </c>
      <c r="W688" s="17"/>
      <c r="X688" s="19">
        <f t="shared" si="203"/>
        <v>50.335221912920801</v>
      </c>
      <c r="Y688" s="19">
        <f t="shared" si="204"/>
        <v>7.0947319831633386</v>
      </c>
      <c r="Z688" s="19"/>
      <c r="AA688" s="19">
        <f t="shared" si="205"/>
        <v>4.6108531027447878E-5</v>
      </c>
    </row>
    <row r="689" spans="2:27" x14ac:dyDescent="0.35">
      <c r="B689" s="27">
        <v>65.099999999999994</v>
      </c>
      <c r="C689" s="27">
        <v>12.78571</v>
      </c>
      <c r="D689" s="19">
        <f t="shared" si="192"/>
        <v>98.564965952368084</v>
      </c>
      <c r="E689" s="19">
        <f t="shared" si="193"/>
        <v>2.2271667264499939</v>
      </c>
      <c r="F689" s="19">
        <f t="shared" si="194"/>
        <v>5.1472198671082241</v>
      </c>
      <c r="G689" s="19">
        <f t="shared" si="195"/>
        <v>5.1472198671082241</v>
      </c>
      <c r="H689" s="19">
        <f t="shared" si="196"/>
        <v>5.1472198671082241</v>
      </c>
      <c r="I689" s="17"/>
      <c r="J689" s="19">
        <f t="shared" si="197"/>
        <v>94.021443078259182</v>
      </c>
      <c r="K689" s="19">
        <f t="shared" si="198"/>
        <v>1.6978210391800443</v>
      </c>
      <c r="L689" s="19">
        <f t="shared" si="199"/>
        <v>3.8096757789730131</v>
      </c>
      <c r="M689" s="19">
        <f t="shared" si="200"/>
        <v>3.8096757789730131</v>
      </c>
      <c r="N689" s="19">
        <f t="shared" si="201"/>
        <v>3.8096757789730131</v>
      </c>
      <c r="O689" s="17"/>
      <c r="P689" s="19">
        <f t="shared" si="210"/>
        <v>5.9342846927323327</v>
      </c>
      <c r="Q689" s="19">
        <f t="shared" si="206"/>
        <v>18.919046280299419</v>
      </c>
      <c r="R689" s="19">
        <f t="shared" si="207"/>
        <v>0</v>
      </c>
      <c r="S689" s="19">
        <f t="shared" si="208"/>
        <v>0</v>
      </c>
      <c r="T689" s="19">
        <f t="shared" si="209"/>
        <v>0</v>
      </c>
      <c r="U689" s="17"/>
      <c r="V689" s="19">
        <f t="shared" si="202"/>
        <v>24.853330973031753</v>
      </c>
      <c r="W689" s="17"/>
      <c r="X689" s="19">
        <f t="shared" si="203"/>
        <v>145.62747594875583</v>
      </c>
      <c r="Y689" s="19">
        <f t="shared" si="204"/>
        <v>12.067620973031753</v>
      </c>
      <c r="Z689" s="19"/>
      <c r="AA689" s="19">
        <f t="shared" si="205"/>
        <v>7.8427243958329679E-5</v>
      </c>
    </row>
    <row r="690" spans="2:27" x14ac:dyDescent="0.35">
      <c r="B690" s="27">
        <v>65.2</v>
      </c>
      <c r="C690" s="27">
        <v>29.535710000000002</v>
      </c>
      <c r="D690" s="19">
        <f t="shared" ref="D690:D753" si="211">$C$23/(1-$C$23)-LN((1-$C$23)/$C$23)+$C$22/(1-$C$23)*B690</f>
        <v>98.705465290790585</v>
      </c>
      <c r="E690" s="19">
        <f t="shared" ref="E690:E753" si="212">$D$23/(1-$D$23)-LN((1-$D$23)/$D$23)+$D$22*B690/(1-$D$23)</f>
        <v>2.2332916552771169</v>
      </c>
      <c r="F690" s="19">
        <f t="shared" ref="F690:F753" si="213">$E$23/(1-$E$23)-LN((1-$E$23)/$E$23)+$E$22*B690/(1-$E$23)</f>
        <v>5.1583309782193361</v>
      </c>
      <c r="G690" s="19">
        <f t="shared" ref="G690:G753" si="214">$F$23/(1-$F$23)-LN((1-$F$23)/$F$23)+$F$22*B690/(1-$F$23)</f>
        <v>5.1583309782193361</v>
      </c>
      <c r="H690" s="19">
        <f t="shared" ref="H690:H753" si="215">$G$23/(1-$G$23)-LN((1-$G$23)/$G$23)+$G$22*B690/(1-$G$23)</f>
        <v>5.1583309782193361</v>
      </c>
      <c r="I690" s="17"/>
      <c r="J690" s="19">
        <f t="shared" ref="J690:J753" si="216">lmb_2(D690)</f>
        <v>94.160464890609788</v>
      </c>
      <c r="K690" s="19">
        <f t="shared" ref="K690:K753" si="217">lmb_2(E690)</f>
        <v>1.7016772644585434</v>
      </c>
      <c r="L690" s="19">
        <f t="shared" ref="L690:L753" si="218">lmb_2(F690)</f>
        <v>3.8184788434324566</v>
      </c>
      <c r="M690" s="19">
        <f t="shared" ref="M690:M753" si="219">lmb_2(G690)</f>
        <v>3.8184788434324566</v>
      </c>
      <c r="N690" s="19">
        <f t="shared" ref="N690:N753" si="220">lmb_2(H690)</f>
        <v>3.8184788434324566</v>
      </c>
      <c r="O690" s="17"/>
      <c r="P690" s="19">
        <f t="shared" si="210"/>
        <v>5.9168663923663596</v>
      </c>
      <c r="Q690" s="19">
        <f t="shared" si="206"/>
        <v>18.849230414704234</v>
      </c>
      <c r="R690" s="19">
        <f t="shared" si="207"/>
        <v>0</v>
      </c>
      <c r="S690" s="19">
        <f t="shared" si="208"/>
        <v>0</v>
      </c>
      <c r="T690" s="19">
        <f t="shared" si="209"/>
        <v>0</v>
      </c>
      <c r="U690" s="17"/>
      <c r="V690" s="19">
        <f t="shared" ref="V690:V753" si="221">SUM(P690:T690)</f>
        <v>24.766096807070593</v>
      </c>
      <c r="W690" s="17"/>
      <c r="X690" s="19">
        <f t="shared" ref="X690:X753" si="222">(V690-C690)^2</f>
        <v>22.749210010166273</v>
      </c>
      <c r="Y690" s="19">
        <f t="shared" ref="Y690:Y753" si="223">ABS(V690-C690)</f>
        <v>4.769613192929409</v>
      </c>
      <c r="Z690" s="19"/>
      <c r="AA690" s="19">
        <f t="shared" ref="AA690:AA753" si="224">Y690/$Z$39</f>
        <v>3.0997627312350477E-5</v>
      </c>
    </row>
    <row r="691" spans="2:27" x14ac:dyDescent="0.35">
      <c r="B691" s="27">
        <v>65.3</v>
      </c>
      <c r="C691" s="27">
        <v>17.285710000000002</v>
      </c>
      <c r="D691" s="19">
        <f t="shared" si="211"/>
        <v>98.845964629213071</v>
      </c>
      <c r="E691" s="19">
        <f t="shared" si="212"/>
        <v>2.2394165841042386</v>
      </c>
      <c r="F691" s="19">
        <f t="shared" si="213"/>
        <v>5.1694420893304471</v>
      </c>
      <c r="G691" s="19">
        <f t="shared" si="214"/>
        <v>5.1694420893304471</v>
      </c>
      <c r="H691" s="19">
        <f t="shared" si="215"/>
        <v>5.1694420893304471</v>
      </c>
      <c r="I691" s="17"/>
      <c r="J691" s="19">
        <f t="shared" si="216"/>
        <v>94.299488859949435</v>
      </c>
      <c r="K691" s="19">
        <f t="shared" si="217"/>
        <v>1.7055367270076669</v>
      </c>
      <c r="L691" s="19">
        <f t="shared" si="218"/>
        <v>3.8272861217119041</v>
      </c>
      <c r="M691" s="19">
        <f t="shared" si="219"/>
        <v>3.8272861217119041</v>
      </c>
      <c r="N691" s="19">
        <f t="shared" si="220"/>
        <v>3.8272861217119041</v>
      </c>
      <c r="O691" s="17"/>
      <c r="P691" s="19">
        <f t="shared" si="210"/>
        <v>5.899524401078077</v>
      </c>
      <c r="Q691" s="19">
        <f t="shared" si="206"/>
        <v>18.779748771170635</v>
      </c>
      <c r="R691" s="19">
        <f t="shared" si="207"/>
        <v>0</v>
      </c>
      <c r="S691" s="19">
        <f t="shared" si="208"/>
        <v>0</v>
      </c>
      <c r="T691" s="19">
        <f t="shared" si="209"/>
        <v>0</v>
      </c>
      <c r="U691" s="17"/>
      <c r="V691" s="19">
        <f t="shared" si="221"/>
        <v>24.679273172248713</v>
      </c>
      <c r="W691" s="17"/>
      <c r="X691" s="19">
        <f t="shared" si="222"/>
        <v>54.664776382032429</v>
      </c>
      <c r="Y691" s="19">
        <f t="shared" si="223"/>
        <v>7.3935631722487116</v>
      </c>
      <c r="Z691" s="19"/>
      <c r="AA691" s="19">
        <f t="shared" si="224"/>
        <v>4.8050629359930418E-5</v>
      </c>
    </row>
    <row r="692" spans="2:27" x14ac:dyDescent="0.35">
      <c r="B692" s="27">
        <v>65.400000000000006</v>
      </c>
      <c r="C692" s="27">
        <v>14.28571</v>
      </c>
      <c r="D692" s="19">
        <f t="shared" si="211"/>
        <v>98.986463967635572</v>
      </c>
      <c r="E692" s="19">
        <f t="shared" si="212"/>
        <v>2.2455415129313621</v>
      </c>
      <c r="F692" s="19">
        <f t="shared" si="213"/>
        <v>5.1805532004415591</v>
      </c>
      <c r="G692" s="19">
        <f t="shared" si="214"/>
        <v>5.1805532004415591</v>
      </c>
      <c r="H692" s="19">
        <f t="shared" si="215"/>
        <v>5.1805532004415591</v>
      </c>
      <c r="I692" s="17"/>
      <c r="J692" s="19">
        <f t="shared" si="216"/>
        <v>94.438514980022802</v>
      </c>
      <c r="K692" s="19">
        <f t="shared" si="217"/>
        <v>1.7093994203040872</v>
      </c>
      <c r="L692" s="19">
        <f t="shared" si="218"/>
        <v>3.8360976004553651</v>
      </c>
      <c r="M692" s="19">
        <f t="shared" si="219"/>
        <v>3.8360976004553651</v>
      </c>
      <c r="N692" s="19">
        <f t="shared" si="220"/>
        <v>3.8360976004553651</v>
      </c>
      <c r="O692" s="17"/>
      <c r="P692" s="19">
        <f t="shared" si="210"/>
        <v>5.8822582749428278</v>
      </c>
      <c r="Q692" s="19">
        <f t="shared" si="206"/>
        <v>18.710599462120054</v>
      </c>
      <c r="R692" s="19">
        <f t="shared" si="207"/>
        <v>0</v>
      </c>
      <c r="S692" s="19">
        <f t="shared" si="208"/>
        <v>0</v>
      </c>
      <c r="T692" s="19">
        <f t="shared" si="209"/>
        <v>0</v>
      </c>
      <c r="U692" s="17"/>
      <c r="V692" s="19">
        <f t="shared" si="221"/>
        <v>24.592857737062882</v>
      </c>
      <c r="W692" s="17"/>
      <c r="X692" s="19">
        <f t="shared" si="222"/>
        <v>106.2372944736405</v>
      </c>
      <c r="Y692" s="19">
        <f t="shared" si="223"/>
        <v>10.307147737062882</v>
      </c>
      <c r="Z692" s="19"/>
      <c r="AA692" s="19">
        <f t="shared" si="224"/>
        <v>6.6985961184534251E-5</v>
      </c>
    </row>
    <row r="693" spans="2:27" x14ac:dyDescent="0.35">
      <c r="B693" s="27">
        <v>65.5</v>
      </c>
      <c r="C693" s="27">
        <v>16.035710000000002</v>
      </c>
      <c r="D693" s="19">
        <f t="shared" si="211"/>
        <v>99.126963306058045</v>
      </c>
      <c r="E693" s="19">
        <f t="shared" si="212"/>
        <v>2.2516664417584837</v>
      </c>
      <c r="F693" s="19">
        <f t="shared" si="213"/>
        <v>5.1916643115526702</v>
      </c>
      <c r="G693" s="19">
        <f t="shared" si="214"/>
        <v>5.1916643115526702</v>
      </c>
      <c r="H693" s="19">
        <f t="shared" si="215"/>
        <v>5.1916643115526702</v>
      </c>
      <c r="I693" s="17"/>
      <c r="J693" s="19">
        <f t="shared" si="216"/>
        <v>94.577543244601529</v>
      </c>
      <c r="K693" s="19">
        <f t="shared" si="217"/>
        <v>1.7132653378353504</v>
      </c>
      <c r="L693" s="19">
        <f t="shared" si="218"/>
        <v>3.844913266362493</v>
      </c>
      <c r="M693" s="19">
        <f t="shared" si="219"/>
        <v>3.844913266362493</v>
      </c>
      <c r="N693" s="19">
        <f t="shared" si="220"/>
        <v>3.844913266362493</v>
      </c>
      <c r="O693" s="17"/>
      <c r="P693" s="19">
        <f t="shared" si="210"/>
        <v>5.8650675732526381</v>
      </c>
      <c r="Q693" s="19">
        <f t="shared" si="206"/>
        <v>18.641780611850354</v>
      </c>
      <c r="R693" s="19">
        <f t="shared" si="207"/>
        <v>0</v>
      </c>
      <c r="S693" s="19">
        <f t="shared" si="208"/>
        <v>0</v>
      </c>
      <c r="T693" s="19">
        <f t="shared" si="209"/>
        <v>0</v>
      </c>
      <c r="U693" s="17"/>
      <c r="V693" s="19">
        <f t="shared" si="221"/>
        <v>24.506848185102992</v>
      </c>
      <c r="W693" s="17"/>
      <c r="X693" s="19">
        <f t="shared" si="222"/>
        <v>71.760182151109987</v>
      </c>
      <c r="Y693" s="19">
        <f t="shared" si="223"/>
        <v>8.4711381851029905</v>
      </c>
      <c r="Z693" s="19"/>
      <c r="AA693" s="19">
        <f t="shared" si="224"/>
        <v>5.5053769299889189E-5</v>
      </c>
    </row>
    <row r="694" spans="2:27" x14ac:dyDescent="0.35">
      <c r="B694" s="27">
        <v>65.599999999999994</v>
      </c>
      <c r="C694" s="27">
        <v>1.5357099999999999</v>
      </c>
      <c r="D694" s="19">
        <f t="shared" si="211"/>
        <v>99.267462644480531</v>
      </c>
      <c r="E694" s="19">
        <f t="shared" si="212"/>
        <v>2.2577913705856054</v>
      </c>
      <c r="F694" s="19">
        <f t="shared" si="213"/>
        <v>5.2027754226637795</v>
      </c>
      <c r="G694" s="19">
        <f t="shared" si="214"/>
        <v>5.2027754226637795</v>
      </c>
      <c r="H694" s="19">
        <f t="shared" si="215"/>
        <v>5.2027754226637795</v>
      </c>
      <c r="I694" s="17"/>
      <c r="J694" s="19">
        <f t="shared" si="216"/>
        <v>94.716573647484282</v>
      </c>
      <c r="K694" s="19">
        <f t="shared" si="217"/>
        <v>1.7171344730999074</v>
      </c>
      <c r="L694" s="19">
        <f t="shared" si="218"/>
        <v>3.8537331061883267</v>
      </c>
      <c r="M694" s="19">
        <f t="shared" si="219"/>
        <v>3.8537331061883267</v>
      </c>
      <c r="N694" s="19">
        <f t="shared" si="220"/>
        <v>3.8537331061883267</v>
      </c>
      <c r="O694" s="17"/>
      <c r="P694" s="19">
        <f t="shared" si="210"/>
        <v>5.8479518584882983</v>
      </c>
      <c r="Q694" s="19">
        <f t="shared" si="206"/>
        <v>18.573290356455992</v>
      </c>
      <c r="R694" s="19">
        <f t="shared" si="207"/>
        <v>0</v>
      </c>
      <c r="S694" s="19">
        <f t="shared" si="208"/>
        <v>0</v>
      </c>
      <c r="T694" s="19">
        <f t="shared" si="209"/>
        <v>0</v>
      </c>
      <c r="U694" s="17"/>
      <c r="V694" s="19">
        <f t="shared" si="221"/>
        <v>24.421242214944289</v>
      </c>
      <c r="W694" s="17"/>
      <c r="X694" s="19">
        <f t="shared" si="222"/>
        <v>523.74758476125294</v>
      </c>
      <c r="Y694" s="19">
        <f t="shared" si="223"/>
        <v>22.885532214944291</v>
      </c>
      <c r="Z694" s="19"/>
      <c r="AA694" s="19">
        <f t="shared" si="224"/>
        <v>1.4873264764850568E-4</v>
      </c>
    </row>
    <row r="695" spans="2:27" x14ac:dyDescent="0.35">
      <c r="B695" s="27">
        <v>65.7</v>
      </c>
      <c r="C695" s="27">
        <v>31.035710000000002</v>
      </c>
      <c r="D695" s="19">
        <f t="shared" si="211"/>
        <v>99.407961982903032</v>
      </c>
      <c r="E695" s="19">
        <f t="shared" si="212"/>
        <v>2.263916299412728</v>
      </c>
      <c r="F695" s="19">
        <f t="shared" si="213"/>
        <v>5.2138865337748914</v>
      </c>
      <c r="G695" s="19">
        <f t="shared" si="214"/>
        <v>5.2138865337748914</v>
      </c>
      <c r="H695" s="19">
        <f t="shared" si="215"/>
        <v>5.2138865337748914</v>
      </c>
      <c r="I695" s="17"/>
      <c r="J695" s="19">
        <f t="shared" si="216"/>
        <v>94.855606182496459</v>
      </c>
      <c r="K695" s="19">
        <f t="shared" si="217"/>
        <v>1.7210068196071353</v>
      </c>
      <c r="L695" s="19">
        <f t="shared" si="218"/>
        <v>3.8625571067430333</v>
      </c>
      <c r="M695" s="19">
        <f t="shared" si="219"/>
        <v>3.8625571067430333</v>
      </c>
      <c r="N695" s="19">
        <f t="shared" si="220"/>
        <v>3.8625571067430333</v>
      </c>
      <c r="O695" s="17"/>
      <c r="P695" s="19">
        <f t="shared" si="210"/>
        <v>5.8309106962917872</v>
      </c>
      <c r="Q695" s="19">
        <f t="shared" ref="Q695:Q758" si="225">(D$21*D$23/(1-D$23)^2*$A$21*D$22)/(K695+K695^2)</f>
        <v>18.505126843748965</v>
      </c>
      <c r="R695" s="19">
        <f t="shared" ref="R695:R758" si="226">(E$21*E$23/(1-E$23)^2*$A$21*E$22)/(L695+L695^2)</f>
        <v>0</v>
      </c>
      <c r="S695" s="19">
        <f t="shared" ref="S695:S758" si="227">(F$21*F$23/(1-F$23)^2*$A$21*F$22)/(M695+M695^2)</f>
        <v>0</v>
      </c>
      <c r="T695" s="19">
        <f t="shared" ref="T695:T758" si="228">(G$21*G$23/(1-G$23)^2*$A$21*G$22)/(N695+N695^2)</f>
        <v>0</v>
      </c>
      <c r="U695" s="17"/>
      <c r="V695" s="19">
        <f t="shared" si="221"/>
        <v>24.336037540040753</v>
      </c>
      <c r="W695" s="17"/>
      <c r="X695" s="19">
        <f t="shared" si="222"/>
        <v>44.885611070736417</v>
      </c>
      <c r="Y695" s="19">
        <f t="shared" si="223"/>
        <v>6.699672459959249</v>
      </c>
      <c r="Z695" s="19"/>
      <c r="AA695" s="19">
        <f t="shared" si="224"/>
        <v>4.3541046543668586E-5</v>
      </c>
    </row>
    <row r="696" spans="2:27" x14ac:dyDescent="0.35">
      <c r="B696" s="27">
        <v>65.8</v>
      </c>
      <c r="C696" s="27">
        <v>-3.4642900000000001</v>
      </c>
      <c r="D696" s="19">
        <f t="shared" si="211"/>
        <v>99.548461321325519</v>
      </c>
      <c r="E696" s="19">
        <f t="shared" si="212"/>
        <v>2.2700412282398497</v>
      </c>
      <c r="F696" s="19">
        <f t="shared" si="213"/>
        <v>5.2249976448860025</v>
      </c>
      <c r="G696" s="19">
        <f t="shared" si="214"/>
        <v>5.2249976448860025</v>
      </c>
      <c r="H696" s="19">
        <f t="shared" si="215"/>
        <v>5.2249976448860025</v>
      </c>
      <c r="I696" s="17"/>
      <c r="J696" s="19">
        <f t="shared" si="216"/>
        <v>94.994640843489989</v>
      </c>
      <c r="K696" s="19">
        <f t="shared" si="217"/>
        <v>1.7248823708773586</v>
      </c>
      <c r="L696" s="19">
        <f t="shared" si="218"/>
        <v>3.8713852548916341</v>
      </c>
      <c r="M696" s="19">
        <f t="shared" si="219"/>
        <v>3.8713852548916341</v>
      </c>
      <c r="N696" s="19">
        <f t="shared" si="220"/>
        <v>3.8713852548916341</v>
      </c>
      <c r="O696" s="17"/>
      <c r="P696" s="19">
        <f t="shared" si="210"/>
        <v>5.8139436554389583</v>
      </c>
      <c r="Q696" s="19">
        <f t="shared" si="225"/>
        <v>18.437288233180315</v>
      </c>
      <c r="R696" s="19">
        <f t="shared" si="226"/>
        <v>0</v>
      </c>
      <c r="S696" s="19">
        <f t="shared" si="227"/>
        <v>0</v>
      </c>
      <c r="T696" s="19">
        <f t="shared" si="228"/>
        <v>0</v>
      </c>
      <c r="U696" s="17"/>
      <c r="V696" s="19">
        <f t="shared" si="221"/>
        <v>24.251231888619273</v>
      </c>
      <c r="W696" s="17"/>
      <c r="X696" s="19">
        <f t="shared" si="222"/>
        <v>768.15015355853393</v>
      </c>
      <c r="Y696" s="19">
        <f t="shared" si="223"/>
        <v>27.715521888619271</v>
      </c>
      <c r="Z696" s="19"/>
      <c r="AA696" s="19">
        <f t="shared" si="224"/>
        <v>1.8012266058477992E-4</v>
      </c>
    </row>
    <row r="697" spans="2:27" x14ac:dyDescent="0.35">
      <c r="B697" s="27">
        <v>65.900000000000006</v>
      </c>
      <c r="C697" s="27">
        <v>33.035710000000002</v>
      </c>
      <c r="D697" s="19">
        <f t="shared" si="211"/>
        <v>99.68896065974802</v>
      </c>
      <c r="E697" s="19">
        <f t="shared" si="212"/>
        <v>2.2761661570669731</v>
      </c>
      <c r="F697" s="19">
        <f t="shared" si="213"/>
        <v>5.2361087559971145</v>
      </c>
      <c r="G697" s="19">
        <f t="shared" si="214"/>
        <v>5.2361087559971145</v>
      </c>
      <c r="H697" s="19">
        <f t="shared" si="215"/>
        <v>5.2361087559971145</v>
      </c>
      <c r="I697" s="17"/>
      <c r="J697" s="19">
        <f t="shared" si="216"/>
        <v>95.133677624343392</v>
      </c>
      <c r="K697" s="19">
        <f t="shared" si="217"/>
        <v>1.7287611204418782</v>
      </c>
      <c r="L697" s="19">
        <f t="shared" si="218"/>
        <v>3.8802175375537584</v>
      </c>
      <c r="M697" s="19">
        <f t="shared" si="219"/>
        <v>3.8802175375537584</v>
      </c>
      <c r="N697" s="19">
        <f t="shared" si="220"/>
        <v>3.8802175375537584</v>
      </c>
      <c r="O697" s="17"/>
      <c r="P697" s="19">
        <f t="shared" si="210"/>
        <v>5.7970503078124613</v>
      </c>
      <c r="Q697" s="19">
        <f t="shared" si="225"/>
        <v>18.369772695761956</v>
      </c>
      <c r="R697" s="19">
        <f t="shared" si="226"/>
        <v>0</v>
      </c>
      <c r="S697" s="19">
        <f t="shared" si="227"/>
        <v>0</v>
      </c>
      <c r="T697" s="19">
        <f t="shared" si="228"/>
        <v>0</v>
      </c>
      <c r="U697" s="17"/>
      <c r="V697" s="19">
        <f t="shared" si="221"/>
        <v>24.166823003574418</v>
      </c>
      <c r="W697" s="17"/>
      <c r="X697" s="19">
        <f t="shared" si="222"/>
        <v>78.657156555366811</v>
      </c>
      <c r="Y697" s="19">
        <f t="shared" si="223"/>
        <v>8.8688869964255836</v>
      </c>
      <c r="Z697" s="19"/>
      <c r="AA697" s="19">
        <f t="shared" si="224"/>
        <v>5.7638731417065768E-5</v>
      </c>
    </row>
    <row r="698" spans="2:27" x14ac:dyDescent="0.35">
      <c r="B698" s="27">
        <v>66</v>
      </c>
      <c r="C698" s="27">
        <v>22.535710000000002</v>
      </c>
      <c r="D698" s="19">
        <f t="shared" si="211"/>
        <v>99.829459998170506</v>
      </c>
      <c r="E698" s="19">
        <f t="shared" si="212"/>
        <v>2.2822910858940948</v>
      </c>
      <c r="F698" s="19">
        <f t="shared" si="213"/>
        <v>5.2472198671082255</v>
      </c>
      <c r="G698" s="19">
        <f t="shared" si="214"/>
        <v>5.2472198671082255</v>
      </c>
      <c r="H698" s="19">
        <f t="shared" si="215"/>
        <v>5.2472198671082255</v>
      </c>
      <c r="I698" s="17"/>
      <c r="J698" s="19">
        <f t="shared" si="216"/>
        <v>95.272716518961388</v>
      </c>
      <c r="K698" s="19">
        <f t="shared" si="217"/>
        <v>1.7326430618429856</v>
      </c>
      <c r="L698" s="19">
        <f t="shared" si="218"/>
        <v>3.8890539417033767</v>
      </c>
      <c r="M698" s="19">
        <f t="shared" si="219"/>
        <v>3.8890539417033767</v>
      </c>
      <c r="N698" s="19">
        <f t="shared" si="220"/>
        <v>3.8890539417033767</v>
      </c>
      <c r="O698" s="17"/>
      <c r="P698" s="19">
        <f t="shared" si="210"/>
        <v>5.7802302283750056</v>
      </c>
      <c r="Q698" s="19">
        <f t="shared" si="225"/>
        <v>18.30257841398933</v>
      </c>
      <c r="R698" s="19">
        <f t="shared" si="226"/>
        <v>0</v>
      </c>
      <c r="S698" s="19">
        <f t="shared" si="227"/>
        <v>0</v>
      </c>
      <c r="T698" s="19">
        <f t="shared" si="228"/>
        <v>0</v>
      </c>
      <c r="U698" s="17"/>
      <c r="V698" s="19">
        <f t="shared" si="221"/>
        <v>24.082808642364334</v>
      </c>
      <c r="W698" s="17"/>
      <c r="X698" s="19">
        <f t="shared" si="222"/>
        <v>2.3935142092055606</v>
      </c>
      <c r="Y698" s="19">
        <f t="shared" si="223"/>
        <v>1.5470986423643325</v>
      </c>
      <c r="Z698" s="19"/>
      <c r="AA698" s="19">
        <f t="shared" si="224"/>
        <v>1.0054565263813153E-5</v>
      </c>
    </row>
    <row r="699" spans="2:27" x14ac:dyDescent="0.35">
      <c r="B699" s="27">
        <v>66.099999999999994</v>
      </c>
      <c r="C699" s="27">
        <v>20.285710000000002</v>
      </c>
      <c r="D699" s="19">
        <f t="shared" si="211"/>
        <v>99.969959336592993</v>
      </c>
      <c r="E699" s="19">
        <f t="shared" si="212"/>
        <v>2.2884160147212165</v>
      </c>
      <c r="F699" s="19">
        <f t="shared" si="213"/>
        <v>5.2583309782193348</v>
      </c>
      <c r="G699" s="19">
        <f t="shared" si="214"/>
        <v>5.2583309782193348</v>
      </c>
      <c r="H699" s="19">
        <f t="shared" si="215"/>
        <v>5.2583309782193348</v>
      </c>
      <c r="I699" s="17"/>
      <c r="J699" s="19">
        <f t="shared" si="216"/>
        <v>95.411757521274922</v>
      </c>
      <c r="K699" s="19">
        <f t="shared" si="217"/>
        <v>1.7365281886339941</v>
      </c>
      <c r="L699" s="19">
        <f t="shared" si="218"/>
        <v>3.8978944543685476</v>
      </c>
      <c r="M699" s="19">
        <f t="shared" si="219"/>
        <v>3.8978944543685476</v>
      </c>
      <c r="N699" s="19">
        <f t="shared" si="220"/>
        <v>3.8978944543685476</v>
      </c>
      <c r="O699" s="17"/>
      <c r="P699" s="19">
        <f t="shared" si="210"/>
        <v>5.763482995142823</v>
      </c>
      <c r="Q699" s="19">
        <f t="shared" si="225"/>
        <v>18.235703581764295</v>
      </c>
      <c r="R699" s="19">
        <f t="shared" si="226"/>
        <v>0</v>
      </c>
      <c r="S699" s="19">
        <f t="shared" si="227"/>
        <v>0</v>
      </c>
      <c r="T699" s="19">
        <f t="shared" si="228"/>
        <v>0</v>
      </c>
      <c r="U699" s="17"/>
      <c r="V699" s="19">
        <f t="shared" si="221"/>
        <v>23.999186576907118</v>
      </c>
      <c r="W699" s="17"/>
      <c r="X699" s="19">
        <f t="shared" si="222"/>
        <v>13.789908287237791</v>
      </c>
      <c r="Y699" s="19">
        <f t="shared" si="223"/>
        <v>3.7134765769071159</v>
      </c>
      <c r="Z699" s="19"/>
      <c r="AA699" s="19">
        <f t="shared" si="224"/>
        <v>2.4133815114137581E-5</v>
      </c>
    </row>
    <row r="700" spans="2:27" x14ac:dyDescent="0.35">
      <c r="B700" s="27">
        <v>66.2</v>
      </c>
      <c r="C700" s="27">
        <v>3.7857099999999999</v>
      </c>
      <c r="D700" s="19">
        <f t="shared" si="211"/>
        <v>100.11045867501549</v>
      </c>
      <c r="E700" s="19">
        <f t="shared" si="212"/>
        <v>2.2945409435483399</v>
      </c>
      <c r="F700" s="19">
        <f t="shared" si="213"/>
        <v>5.2694420893304477</v>
      </c>
      <c r="G700" s="19">
        <f t="shared" si="214"/>
        <v>5.2694420893304477</v>
      </c>
      <c r="H700" s="19">
        <f t="shared" si="215"/>
        <v>5.2694420893304477</v>
      </c>
      <c r="I700" s="17"/>
      <c r="J700" s="19">
        <f t="shared" si="216"/>
        <v>95.55080062524091</v>
      </c>
      <c r="K700" s="19">
        <f t="shared" si="217"/>
        <v>1.7404164943792553</v>
      </c>
      <c r="L700" s="19">
        <f t="shared" si="218"/>
        <v>3.9067390626311651</v>
      </c>
      <c r="M700" s="19">
        <f t="shared" si="219"/>
        <v>3.9067390626311651</v>
      </c>
      <c r="N700" s="19">
        <f t="shared" si="220"/>
        <v>3.9067390626311651</v>
      </c>
      <c r="O700" s="17"/>
      <c r="P700" s="19">
        <f t="shared" si="210"/>
        <v>5.7468081891594505</v>
      </c>
      <c r="Q700" s="19">
        <f t="shared" si="225"/>
        <v>18.169146404318749</v>
      </c>
      <c r="R700" s="19">
        <f t="shared" si="226"/>
        <v>0</v>
      </c>
      <c r="S700" s="19">
        <f t="shared" si="227"/>
        <v>0</v>
      </c>
      <c r="T700" s="19">
        <f t="shared" si="228"/>
        <v>0</v>
      </c>
      <c r="U700" s="17"/>
      <c r="V700" s="19">
        <f t="shared" si="221"/>
        <v>23.915954593478197</v>
      </c>
      <c r="W700" s="17"/>
      <c r="X700" s="19">
        <f t="shared" si="222"/>
        <v>405.22674739325811</v>
      </c>
      <c r="Y700" s="19">
        <f t="shared" si="223"/>
        <v>20.130244593478196</v>
      </c>
      <c r="Z700" s="19"/>
      <c r="AA700" s="19">
        <f t="shared" si="224"/>
        <v>1.3082608471062457E-4</v>
      </c>
    </row>
    <row r="701" spans="2:27" x14ac:dyDescent="0.35">
      <c r="B701" s="27">
        <v>66.3</v>
      </c>
      <c r="C701" s="27">
        <v>14.28571</v>
      </c>
      <c r="D701" s="19">
        <f t="shared" si="211"/>
        <v>100.25095801343797</v>
      </c>
      <c r="E701" s="19">
        <f t="shared" si="212"/>
        <v>2.3006658723754616</v>
      </c>
      <c r="F701" s="19">
        <f t="shared" si="213"/>
        <v>5.2805532004415578</v>
      </c>
      <c r="G701" s="19">
        <f t="shared" si="214"/>
        <v>5.2805532004415578</v>
      </c>
      <c r="H701" s="19">
        <f t="shared" si="215"/>
        <v>5.2805532004415578</v>
      </c>
      <c r="I701" s="17"/>
      <c r="J701" s="19">
        <f t="shared" si="216"/>
        <v>95.689845824842138</v>
      </c>
      <c r="K701" s="19">
        <f t="shared" si="217"/>
        <v>1.7443079726541781</v>
      </c>
      <c r="L701" s="19">
        <f t="shared" si="218"/>
        <v>3.9155877536266899</v>
      </c>
      <c r="M701" s="19">
        <f t="shared" si="219"/>
        <v>3.9155877536266899</v>
      </c>
      <c r="N701" s="19">
        <f t="shared" si="220"/>
        <v>3.9155877536266899</v>
      </c>
      <c r="O701" s="17"/>
      <c r="P701" s="19">
        <f t="shared" si="210"/>
        <v>5.7302053944697331</v>
      </c>
      <c r="Q701" s="19">
        <f t="shared" si="225"/>
        <v>18.102905098138791</v>
      </c>
      <c r="R701" s="19">
        <f t="shared" si="226"/>
        <v>0</v>
      </c>
      <c r="S701" s="19">
        <f t="shared" si="227"/>
        <v>0</v>
      </c>
      <c r="T701" s="19">
        <f t="shared" si="228"/>
        <v>0</v>
      </c>
      <c r="U701" s="17"/>
      <c r="V701" s="19">
        <f t="shared" si="221"/>
        <v>23.833110492608526</v>
      </c>
      <c r="W701" s="17"/>
      <c r="X701" s="19">
        <f t="shared" si="222"/>
        <v>91.152856166261529</v>
      </c>
      <c r="Y701" s="19">
        <f t="shared" si="223"/>
        <v>9.5474004926085261</v>
      </c>
      <c r="Z701" s="19"/>
      <c r="AA701" s="19">
        <f t="shared" si="224"/>
        <v>6.2048377992234084E-5</v>
      </c>
    </row>
    <row r="702" spans="2:27" x14ac:dyDescent="0.35">
      <c r="B702" s="27">
        <v>66.400000000000006</v>
      </c>
      <c r="C702" s="27">
        <v>9.2857099999999999</v>
      </c>
      <c r="D702" s="19">
        <f t="shared" si="211"/>
        <v>100.39145735186048</v>
      </c>
      <c r="E702" s="19">
        <f t="shared" si="212"/>
        <v>2.3067908012025842</v>
      </c>
      <c r="F702" s="19">
        <f t="shared" si="213"/>
        <v>5.2916643115526698</v>
      </c>
      <c r="G702" s="19">
        <f t="shared" si="214"/>
        <v>5.2916643115526698</v>
      </c>
      <c r="H702" s="19">
        <f t="shared" si="215"/>
        <v>5.2916643115526698</v>
      </c>
      <c r="I702" s="17"/>
      <c r="J702" s="19">
        <f t="shared" si="216"/>
        <v>95.828893114087151</v>
      </c>
      <c r="K702" s="19">
        <f t="shared" si="217"/>
        <v>1.7482026170452565</v>
      </c>
      <c r="L702" s="19">
        <f t="shared" si="218"/>
        <v>3.9244405145439138</v>
      </c>
      <c r="M702" s="19">
        <f t="shared" si="219"/>
        <v>3.9244405145439138</v>
      </c>
      <c r="N702" s="19">
        <f t="shared" si="220"/>
        <v>3.9244405145439138</v>
      </c>
      <c r="O702" s="17"/>
      <c r="P702" s="19">
        <f t="shared" si="210"/>
        <v>5.7136741980941119</v>
      </c>
      <c r="Q702" s="19">
        <f t="shared" si="225"/>
        <v>18.036977890889165</v>
      </c>
      <c r="R702" s="19">
        <f t="shared" si="226"/>
        <v>0</v>
      </c>
      <c r="S702" s="19">
        <f t="shared" si="227"/>
        <v>0</v>
      </c>
      <c r="T702" s="19">
        <f t="shared" si="228"/>
        <v>0</v>
      </c>
      <c r="U702" s="17"/>
      <c r="V702" s="19">
        <f t="shared" si="221"/>
        <v>23.750652088983276</v>
      </c>
      <c r="W702" s="17"/>
      <c r="X702" s="19">
        <f t="shared" si="222"/>
        <v>209.23454963763987</v>
      </c>
      <c r="Y702" s="19">
        <f t="shared" si="223"/>
        <v>14.464942088983276</v>
      </c>
      <c r="Z702" s="19"/>
      <c r="AA702" s="19">
        <f t="shared" si="224"/>
        <v>9.4007389243581387E-5</v>
      </c>
    </row>
    <row r="703" spans="2:27" x14ac:dyDescent="0.35">
      <c r="B703" s="27">
        <v>66.5</v>
      </c>
      <c r="C703" s="27">
        <v>21.785710000000002</v>
      </c>
      <c r="D703" s="19">
        <f t="shared" si="211"/>
        <v>100.53195669028295</v>
      </c>
      <c r="E703" s="19">
        <f t="shared" si="212"/>
        <v>2.3129157300297059</v>
      </c>
      <c r="F703" s="19">
        <f t="shared" si="213"/>
        <v>5.3027754226637809</v>
      </c>
      <c r="G703" s="19">
        <f t="shared" si="214"/>
        <v>5.3027754226637809</v>
      </c>
      <c r="H703" s="19">
        <f t="shared" si="215"/>
        <v>5.3027754226637809</v>
      </c>
      <c r="I703" s="17"/>
      <c r="J703" s="19">
        <f t="shared" si="216"/>
        <v>95.96794248700995</v>
      </c>
      <c r="K703" s="19">
        <f t="shared" si="217"/>
        <v>1.7521004211500826</v>
      </c>
      <c r="L703" s="19">
        <f t="shared" si="218"/>
        <v>3.9332973326246936</v>
      </c>
      <c r="M703" s="19">
        <f t="shared" si="219"/>
        <v>3.9332973326246936</v>
      </c>
      <c r="N703" s="19">
        <f t="shared" si="220"/>
        <v>3.9332973326246936</v>
      </c>
      <c r="O703" s="17"/>
      <c r="P703" s="19">
        <f t="shared" si="210"/>
        <v>5.6972141900031765</v>
      </c>
      <c r="Q703" s="19">
        <f t="shared" si="225"/>
        <v>17.971363021338533</v>
      </c>
      <c r="R703" s="19">
        <f t="shared" si="226"/>
        <v>0</v>
      </c>
      <c r="S703" s="19">
        <f t="shared" si="227"/>
        <v>0</v>
      </c>
      <c r="T703" s="19">
        <f t="shared" si="228"/>
        <v>0</v>
      </c>
      <c r="U703" s="17"/>
      <c r="V703" s="19">
        <f t="shared" si="221"/>
        <v>23.668577211341709</v>
      </c>
      <c r="W703" s="17"/>
      <c r="X703" s="19">
        <f t="shared" si="222"/>
        <v>3.5451889355456991</v>
      </c>
      <c r="Y703" s="19">
        <f t="shared" si="223"/>
        <v>1.8828672113417078</v>
      </c>
      <c r="Z703" s="19"/>
      <c r="AA703" s="19">
        <f t="shared" si="224"/>
        <v>1.2236718940298082E-5</v>
      </c>
    </row>
    <row r="704" spans="2:27" x14ac:dyDescent="0.35">
      <c r="B704" s="27">
        <v>66.599999999999994</v>
      </c>
      <c r="C704" s="27">
        <v>33.535710000000002</v>
      </c>
      <c r="D704" s="19">
        <f t="shared" si="211"/>
        <v>100.67245602870544</v>
      </c>
      <c r="E704" s="19">
        <f t="shared" si="212"/>
        <v>2.3190406588568275</v>
      </c>
      <c r="F704" s="19">
        <f t="shared" si="213"/>
        <v>5.313886533774892</v>
      </c>
      <c r="G704" s="19">
        <f t="shared" si="214"/>
        <v>5.313886533774892</v>
      </c>
      <c r="H704" s="19">
        <f t="shared" si="215"/>
        <v>5.313886533774892</v>
      </c>
      <c r="I704" s="17"/>
      <c r="J704" s="19">
        <f t="shared" si="216"/>
        <v>96.106993937670083</v>
      </c>
      <c r="K704" s="19">
        <f t="shared" si="217"/>
        <v>1.7560013785773709</v>
      </c>
      <c r="L704" s="19">
        <f t="shared" si="218"/>
        <v>3.9421581951637061</v>
      </c>
      <c r="M704" s="19">
        <f t="shared" si="219"/>
        <v>3.9421581951637061</v>
      </c>
      <c r="N704" s="19">
        <f t="shared" si="220"/>
        <v>3.9421581951637061</v>
      </c>
      <c r="O704" s="17"/>
      <c r="P704" s="19">
        <f t="shared" si="210"/>
        <v>5.680824963092423</v>
      </c>
      <c r="Q704" s="19">
        <f t="shared" si="225"/>
        <v>17.906058739285019</v>
      </c>
      <c r="R704" s="19">
        <f t="shared" si="226"/>
        <v>0</v>
      </c>
      <c r="S704" s="19">
        <f t="shared" si="227"/>
        <v>0</v>
      </c>
      <c r="T704" s="19">
        <f t="shared" si="228"/>
        <v>0</v>
      </c>
      <c r="U704" s="17"/>
      <c r="V704" s="19">
        <f t="shared" si="221"/>
        <v>23.586883702377442</v>
      </c>
      <c r="W704" s="17"/>
      <c r="X704" s="19">
        <f t="shared" si="222"/>
        <v>98.979144700266218</v>
      </c>
      <c r="Y704" s="19">
        <f t="shared" si="223"/>
        <v>9.9488262976225599</v>
      </c>
      <c r="Z704" s="19"/>
      <c r="AA704" s="19">
        <f t="shared" si="224"/>
        <v>6.4657236822931601E-5</v>
      </c>
    </row>
    <row r="705" spans="2:27" x14ac:dyDescent="0.35">
      <c r="B705" s="27">
        <v>66.7</v>
      </c>
      <c r="C705" s="27">
        <v>33.285710000000002</v>
      </c>
      <c r="D705" s="19">
        <f t="shared" si="211"/>
        <v>100.81295536712794</v>
      </c>
      <c r="E705" s="19">
        <f t="shared" si="212"/>
        <v>2.325165587683951</v>
      </c>
      <c r="F705" s="19">
        <f t="shared" si="213"/>
        <v>5.324997644886003</v>
      </c>
      <c r="G705" s="19">
        <f t="shared" si="214"/>
        <v>5.324997644886003</v>
      </c>
      <c r="H705" s="19">
        <f t="shared" si="215"/>
        <v>5.324997644886003</v>
      </c>
      <c r="I705" s="17"/>
      <c r="J705" s="19">
        <f t="shared" si="216"/>
        <v>96.246047460152312</v>
      </c>
      <c r="K705" s="19">
        <f t="shared" si="217"/>
        <v>1.7599054829469771</v>
      </c>
      <c r="L705" s="19">
        <f t="shared" si="218"/>
        <v>3.951023089508197</v>
      </c>
      <c r="M705" s="19">
        <f t="shared" si="219"/>
        <v>3.951023089508197</v>
      </c>
      <c r="N705" s="19">
        <f t="shared" si="220"/>
        <v>3.951023089508197</v>
      </c>
      <c r="O705" s="17"/>
      <c r="P705" s="19">
        <f t="shared" si="210"/>
        <v>5.6645061131573211</v>
      </c>
      <c r="Q705" s="19">
        <f t="shared" si="225"/>
        <v>17.841063305482365</v>
      </c>
      <c r="R705" s="19">
        <f t="shared" si="226"/>
        <v>0</v>
      </c>
      <c r="S705" s="19">
        <f t="shared" si="227"/>
        <v>0</v>
      </c>
      <c r="T705" s="19">
        <f t="shared" si="228"/>
        <v>0</v>
      </c>
      <c r="U705" s="17"/>
      <c r="V705" s="19">
        <f t="shared" si="221"/>
        <v>23.505569418639688</v>
      </c>
      <c r="W705" s="17"/>
      <c r="X705" s="19">
        <f t="shared" si="222"/>
        <v>95.651149791170866</v>
      </c>
      <c r="Y705" s="19">
        <f t="shared" si="223"/>
        <v>9.7801405813603139</v>
      </c>
      <c r="Z705" s="19"/>
      <c r="AA705" s="19">
        <f t="shared" si="224"/>
        <v>6.3560951494518519E-5</v>
      </c>
    </row>
    <row r="706" spans="2:27" x14ac:dyDescent="0.35">
      <c r="B706" s="27">
        <v>66.8</v>
      </c>
      <c r="C706" s="27">
        <v>-1.7142900000000001</v>
      </c>
      <c r="D706" s="19">
        <f t="shared" si="211"/>
        <v>100.95345470555043</v>
      </c>
      <c r="E706" s="19">
        <f t="shared" si="212"/>
        <v>2.3312905165110727</v>
      </c>
      <c r="F706" s="19">
        <f t="shared" si="213"/>
        <v>5.3361087559971132</v>
      </c>
      <c r="G706" s="19">
        <f t="shared" si="214"/>
        <v>5.3361087559971132</v>
      </c>
      <c r="H706" s="19">
        <f t="shared" si="215"/>
        <v>5.3361087559971132</v>
      </c>
      <c r="I706" s="17"/>
      <c r="J706" s="19">
        <f t="shared" si="216"/>
        <v>96.385103048566549</v>
      </c>
      <c r="K706" s="19">
        <f t="shared" si="217"/>
        <v>1.7638127278899123</v>
      </c>
      <c r="L706" s="19">
        <f t="shared" si="218"/>
        <v>3.9598920030577291</v>
      </c>
      <c r="M706" s="19">
        <f t="shared" si="219"/>
        <v>3.9598920030577291</v>
      </c>
      <c r="N706" s="19">
        <f t="shared" si="220"/>
        <v>3.9598920030577291</v>
      </c>
      <c r="O706" s="17"/>
      <c r="P706" s="19">
        <f t="shared" si="210"/>
        <v>5.6482572388685979</v>
      </c>
      <c r="Q706" s="19">
        <f t="shared" si="225"/>
        <v>17.776374991566687</v>
      </c>
      <c r="R706" s="19">
        <f t="shared" si="226"/>
        <v>0</v>
      </c>
      <c r="S706" s="19">
        <f t="shared" si="227"/>
        <v>0</v>
      </c>
      <c r="T706" s="19">
        <f t="shared" si="228"/>
        <v>0</v>
      </c>
      <c r="U706" s="17"/>
      <c r="V706" s="19">
        <f t="shared" si="221"/>
        <v>23.424632230435286</v>
      </c>
      <c r="W706" s="17"/>
      <c r="X706" s="19">
        <f t="shared" si="222"/>
        <v>631.96541090787332</v>
      </c>
      <c r="Y706" s="19">
        <f t="shared" si="223"/>
        <v>25.138922230435284</v>
      </c>
      <c r="Z706" s="19"/>
      <c r="AA706" s="19">
        <f t="shared" si="224"/>
        <v>1.6337738739241373E-4</v>
      </c>
    </row>
    <row r="707" spans="2:27" x14ac:dyDescent="0.35">
      <c r="B707" s="27">
        <v>66.900000000000006</v>
      </c>
      <c r="C707" s="27">
        <v>28.035710000000002</v>
      </c>
      <c r="D707" s="19">
        <f t="shared" si="211"/>
        <v>101.09395404397293</v>
      </c>
      <c r="E707" s="19">
        <f t="shared" si="212"/>
        <v>2.3374154453381952</v>
      </c>
      <c r="F707" s="19">
        <f t="shared" si="213"/>
        <v>5.3472198671082261</v>
      </c>
      <c r="G707" s="19">
        <f t="shared" si="214"/>
        <v>5.3472198671082261</v>
      </c>
      <c r="H707" s="19">
        <f t="shared" si="215"/>
        <v>5.3472198671082261</v>
      </c>
      <c r="I707" s="17"/>
      <c r="J707" s="19">
        <f t="shared" si="216"/>
        <v>96.524160697047719</v>
      </c>
      <c r="K707" s="19">
        <f t="shared" si="217"/>
        <v>1.7677231070483685</v>
      </c>
      <c r="L707" s="19">
        <f t="shared" si="218"/>
        <v>3.9687649232639419</v>
      </c>
      <c r="M707" s="19">
        <f t="shared" si="219"/>
        <v>3.9687649232639419</v>
      </c>
      <c r="N707" s="19">
        <f t="shared" si="220"/>
        <v>3.9687649232639419</v>
      </c>
      <c r="O707" s="17"/>
      <c r="P707" s="19">
        <f t="shared" si="210"/>
        <v>5.6320779417477622</v>
      </c>
      <c r="Q707" s="19">
        <f t="shared" si="225"/>
        <v>17.711992079983474</v>
      </c>
      <c r="R707" s="19">
        <f t="shared" si="226"/>
        <v>0</v>
      </c>
      <c r="S707" s="19">
        <f t="shared" si="227"/>
        <v>0</v>
      </c>
      <c r="T707" s="19">
        <f t="shared" si="228"/>
        <v>0</v>
      </c>
      <c r="U707" s="17"/>
      <c r="V707" s="19">
        <f t="shared" si="221"/>
        <v>23.344070021731238</v>
      </c>
      <c r="W707" s="17"/>
      <c r="X707" s="19">
        <f t="shared" si="222"/>
        <v>22.011485685689728</v>
      </c>
      <c r="Y707" s="19">
        <f t="shared" si="223"/>
        <v>4.6916399782687641</v>
      </c>
      <c r="Z707" s="19"/>
      <c r="AA707" s="19">
        <f t="shared" si="224"/>
        <v>3.0490880842431375E-5</v>
      </c>
    </row>
    <row r="708" spans="2:27" x14ac:dyDescent="0.35">
      <c r="B708" s="27">
        <v>67</v>
      </c>
      <c r="C708" s="27">
        <v>46.035710000000002</v>
      </c>
      <c r="D708" s="19">
        <f t="shared" si="211"/>
        <v>101.23445338239542</v>
      </c>
      <c r="E708" s="19">
        <f t="shared" si="212"/>
        <v>2.3435403741653169</v>
      </c>
      <c r="F708" s="19">
        <f t="shared" si="213"/>
        <v>5.3583309782193362</v>
      </c>
      <c r="G708" s="19">
        <f t="shared" si="214"/>
        <v>5.3583309782193362</v>
      </c>
      <c r="H708" s="19">
        <f t="shared" si="215"/>
        <v>5.3583309782193362</v>
      </c>
      <c r="I708" s="17"/>
      <c r="J708" s="19">
        <f t="shared" si="216"/>
        <v>96.663220399755531</v>
      </c>
      <c r="K708" s="19">
        <f t="shared" si="217"/>
        <v>1.7716366140757307</v>
      </c>
      <c r="L708" s="19">
        <f t="shared" si="218"/>
        <v>3.9776418376302893</v>
      </c>
      <c r="M708" s="19">
        <f t="shared" si="219"/>
        <v>3.9776418376302893</v>
      </c>
      <c r="N708" s="19">
        <f t="shared" si="220"/>
        <v>3.9776418376302893</v>
      </c>
      <c r="O708" s="17"/>
      <c r="P708" s="19">
        <f t="shared" si="210"/>
        <v>5.6159678261428994</v>
      </c>
      <c r="Q708" s="19">
        <f t="shared" si="225"/>
        <v>17.647912863915383</v>
      </c>
      <c r="R708" s="19">
        <f t="shared" si="226"/>
        <v>0</v>
      </c>
      <c r="S708" s="19">
        <f t="shared" si="227"/>
        <v>0</v>
      </c>
      <c r="T708" s="19">
        <f t="shared" si="228"/>
        <v>0</v>
      </c>
      <c r="U708" s="17"/>
      <c r="V708" s="19">
        <f t="shared" si="221"/>
        <v>23.263880690058283</v>
      </c>
      <c r="W708" s="17"/>
      <c r="X708" s="19">
        <f t="shared" si="222"/>
        <v>518.55621012112078</v>
      </c>
      <c r="Y708" s="19">
        <f t="shared" si="223"/>
        <v>22.771829309941719</v>
      </c>
      <c r="Z708" s="19"/>
      <c r="AA708" s="19">
        <f t="shared" si="224"/>
        <v>1.479936945864783E-4</v>
      </c>
    </row>
    <row r="709" spans="2:27" x14ac:dyDescent="0.35">
      <c r="B709" s="27">
        <v>67.099999999999994</v>
      </c>
      <c r="C709" s="27">
        <v>-0.71428999999999998</v>
      </c>
      <c r="D709" s="19">
        <f t="shared" si="211"/>
        <v>101.3749527208179</v>
      </c>
      <c r="E709" s="19">
        <f t="shared" si="212"/>
        <v>2.3496653029924395</v>
      </c>
      <c r="F709" s="19">
        <f t="shared" si="213"/>
        <v>5.3694420893304473</v>
      </c>
      <c r="G709" s="19">
        <f t="shared" si="214"/>
        <v>5.3694420893304473</v>
      </c>
      <c r="H709" s="19">
        <f t="shared" si="215"/>
        <v>5.3694420893304473</v>
      </c>
      <c r="I709" s="17"/>
      <c r="J709" s="19">
        <f t="shared" si="216"/>
        <v>96.80228215087449</v>
      </c>
      <c r="K709" s="19">
        <f t="shared" si="217"/>
        <v>1.7755532426365985</v>
      </c>
      <c r="L709" s="19">
        <f t="shared" si="218"/>
        <v>3.9865227337118143</v>
      </c>
      <c r="M709" s="19">
        <f t="shared" si="219"/>
        <v>3.9865227337118143</v>
      </c>
      <c r="N709" s="19">
        <f t="shared" si="220"/>
        <v>3.9865227337118143</v>
      </c>
      <c r="O709" s="17"/>
      <c r="P709" s="19">
        <f t="shared" si="210"/>
        <v>5.5999264992046651</v>
      </c>
      <c r="Q709" s="19">
        <f t="shared" si="225"/>
        <v>17.584135647210296</v>
      </c>
      <c r="R709" s="19">
        <f t="shared" si="226"/>
        <v>0</v>
      </c>
      <c r="S709" s="19">
        <f t="shared" si="227"/>
        <v>0</v>
      </c>
      <c r="T709" s="19">
        <f t="shared" si="228"/>
        <v>0</v>
      </c>
      <c r="U709" s="17"/>
      <c r="V709" s="19">
        <f t="shared" si="221"/>
        <v>23.184062146414959</v>
      </c>
      <c r="W709" s="17"/>
      <c r="X709" s="19">
        <f t="shared" si="222"/>
        <v>571.13123531405643</v>
      </c>
      <c r="Y709" s="19">
        <f t="shared" si="223"/>
        <v>23.898352146414958</v>
      </c>
      <c r="Z709" s="19"/>
      <c r="AA709" s="19">
        <f t="shared" si="224"/>
        <v>1.5531494552054043E-4</v>
      </c>
    </row>
    <row r="710" spans="2:27" x14ac:dyDescent="0.35">
      <c r="B710" s="27">
        <v>67.2</v>
      </c>
      <c r="C710" s="27">
        <v>31.035710000000002</v>
      </c>
      <c r="D710" s="19">
        <f t="shared" si="211"/>
        <v>101.5154520592404</v>
      </c>
      <c r="E710" s="19">
        <f t="shared" si="212"/>
        <v>2.355790231819562</v>
      </c>
      <c r="F710" s="19">
        <f t="shared" si="213"/>
        <v>5.3805532004415584</v>
      </c>
      <c r="G710" s="19">
        <f t="shared" si="214"/>
        <v>5.3805532004415584</v>
      </c>
      <c r="H710" s="19">
        <f t="shared" si="215"/>
        <v>5.3805532004415584</v>
      </c>
      <c r="I710" s="17"/>
      <c r="J710" s="19">
        <f t="shared" si="216"/>
        <v>96.941345944613659</v>
      </c>
      <c r="K710" s="19">
        <f t="shared" si="217"/>
        <v>1.7794729864067995</v>
      </c>
      <c r="L710" s="19">
        <f t="shared" si="218"/>
        <v>3.9954075991148894</v>
      </c>
      <c r="M710" s="19">
        <f t="shared" si="219"/>
        <v>3.9954075991148894</v>
      </c>
      <c r="N710" s="19">
        <f t="shared" si="220"/>
        <v>3.9954075991148894</v>
      </c>
      <c r="O710" s="17"/>
      <c r="P710" s="19">
        <f t="shared" si="210"/>
        <v>5.5839535708625467</v>
      </c>
      <c r="Q710" s="19">
        <f t="shared" si="225"/>
        <v>17.520658744310047</v>
      </c>
      <c r="R710" s="19">
        <f t="shared" si="226"/>
        <v>0</v>
      </c>
      <c r="S710" s="19">
        <f t="shared" si="227"/>
        <v>0</v>
      </c>
      <c r="T710" s="19">
        <f t="shared" si="228"/>
        <v>0</v>
      </c>
      <c r="U710" s="17"/>
      <c r="V710" s="19">
        <f t="shared" si="221"/>
        <v>23.104612315172595</v>
      </c>
      <c r="W710" s="17"/>
      <c r="X710" s="19">
        <f t="shared" si="222"/>
        <v>62.902310486274651</v>
      </c>
      <c r="Y710" s="19">
        <f t="shared" si="223"/>
        <v>7.9310976848274066</v>
      </c>
      <c r="Z710" s="19"/>
      <c r="AA710" s="19">
        <f t="shared" si="224"/>
        <v>5.1544056146224314E-5</v>
      </c>
    </row>
    <row r="711" spans="2:27" x14ac:dyDescent="0.35">
      <c r="B711" s="27">
        <v>67.3</v>
      </c>
      <c r="C711" s="27">
        <v>17.035710000000002</v>
      </c>
      <c r="D711" s="19">
        <f t="shared" si="211"/>
        <v>101.65595139766288</v>
      </c>
      <c r="E711" s="19">
        <f t="shared" si="212"/>
        <v>2.3619151606466837</v>
      </c>
      <c r="F711" s="19">
        <f t="shared" si="213"/>
        <v>5.3916643115526695</v>
      </c>
      <c r="G711" s="19">
        <f t="shared" si="214"/>
        <v>5.3916643115526695</v>
      </c>
      <c r="H711" s="19">
        <f t="shared" si="215"/>
        <v>5.3916643115526695</v>
      </c>
      <c r="I711" s="17"/>
      <c r="J711" s="19">
        <f t="shared" si="216"/>
        <v>97.080411775206485</v>
      </c>
      <c r="K711" s="19">
        <f t="shared" si="217"/>
        <v>1.7833958390734079</v>
      </c>
      <c r="L711" s="19">
        <f t="shared" si="218"/>
        <v>4.0042964214969787</v>
      </c>
      <c r="M711" s="19">
        <f t="shared" si="219"/>
        <v>4.0042964214969787</v>
      </c>
      <c r="N711" s="19">
        <f t="shared" si="220"/>
        <v>4.0042964214969787</v>
      </c>
      <c r="O711" s="17"/>
      <c r="P711" s="19">
        <f t="shared" si="210"/>
        <v>5.5680486538013598</v>
      </c>
      <c r="Q711" s="19">
        <f t="shared" si="225"/>
        <v>17.457480480179523</v>
      </c>
      <c r="R711" s="19">
        <f t="shared" si="226"/>
        <v>0</v>
      </c>
      <c r="S711" s="19">
        <f t="shared" si="227"/>
        <v>0</v>
      </c>
      <c r="T711" s="19">
        <f t="shared" si="228"/>
        <v>0</v>
      </c>
      <c r="U711" s="17"/>
      <c r="V711" s="19">
        <f t="shared" si="221"/>
        <v>23.025529133980882</v>
      </c>
      <c r="W711" s="17"/>
      <c r="X711" s="19">
        <f t="shared" si="222"/>
        <v>35.877933257803463</v>
      </c>
      <c r="Y711" s="19">
        <f t="shared" si="223"/>
        <v>5.9898191339808804</v>
      </c>
      <c r="Z711" s="19"/>
      <c r="AA711" s="19">
        <f t="shared" si="224"/>
        <v>3.8927722998327672E-5</v>
      </c>
    </row>
    <row r="712" spans="2:27" x14ac:dyDescent="0.35">
      <c r="B712" s="27">
        <v>67.400000000000006</v>
      </c>
      <c r="C712" s="27">
        <v>12.53571</v>
      </c>
      <c r="D712" s="19">
        <f t="shared" si="211"/>
        <v>101.79645073608539</v>
      </c>
      <c r="E712" s="19">
        <f t="shared" si="212"/>
        <v>2.3680400894738072</v>
      </c>
      <c r="F712" s="19">
        <f t="shared" si="213"/>
        <v>5.4027754226637814</v>
      </c>
      <c r="G712" s="19">
        <f t="shared" si="214"/>
        <v>5.4027754226637814</v>
      </c>
      <c r="H712" s="19">
        <f t="shared" si="215"/>
        <v>5.4027754226637814</v>
      </c>
      <c r="I712" s="17"/>
      <c r="J712" s="19">
        <f t="shared" si="216"/>
        <v>97.219479636910805</v>
      </c>
      <c r="K712" s="19">
        <f t="shared" si="217"/>
        <v>1.7873217943347619</v>
      </c>
      <c r="L712" s="19">
        <f t="shared" si="218"/>
        <v>4.0131891885663951</v>
      </c>
      <c r="M712" s="19">
        <f t="shared" si="219"/>
        <v>4.0131891885663951</v>
      </c>
      <c r="N712" s="19">
        <f t="shared" si="220"/>
        <v>4.0131891885663951</v>
      </c>
      <c r="O712" s="17"/>
      <c r="P712" s="19">
        <f t="shared" si="210"/>
        <v>5.5522113634379462</v>
      </c>
      <c r="Q712" s="19">
        <f t="shared" si="225"/>
        <v>17.394599190236271</v>
      </c>
      <c r="R712" s="19">
        <f t="shared" si="226"/>
        <v>0</v>
      </c>
      <c r="S712" s="19">
        <f t="shared" si="227"/>
        <v>0</v>
      </c>
      <c r="T712" s="19">
        <f t="shared" si="228"/>
        <v>0</v>
      </c>
      <c r="U712" s="17"/>
      <c r="V712" s="19">
        <f t="shared" si="221"/>
        <v>22.946810553674219</v>
      </c>
      <c r="W712" s="17"/>
      <c r="X712" s="19">
        <f t="shared" si="222"/>
        <v>108.39101473871563</v>
      </c>
      <c r="Y712" s="19">
        <f t="shared" si="223"/>
        <v>10.411100553674219</v>
      </c>
      <c r="Z712" s="19"/>
      <c r="AA712" s="19">
        <f t="shared" si="224"/>
        <v>6.7661548603691028E-5</v>
      </c>
    </row>
    <row r="713" spans="2:27" x14ac:dyDescent="0.35">
      <c r="B713" s="27">
        <v>67.5</v>
      </c>
      <c r="C713" s="27">
        <v>21.035710000000002</v>
      </c>
      <c r="D713" s="19">
        <f t="shared" si="211"/>
        <v>101.93695007450786</v>
      </c>
      <c r="E713" s="19">
        <f t="shared" si="212"/>
        <v>2.3741650183009289</v>
      </c>
      <c r="F713" s="19">
        <f t="shared" si="213"/>
        <v>5.4138865337748916</v>
      </c>
      <c r="G713" s="19">
        <f t="shared" si="214"/>
        <v>5.4138865337748916</v>
      </c>
      <c r="H713" s="19">
        <f t="shared" si="215"/>
        <v>5.4138865337748916</v>
      </c>
      <c r="I713" s="17"/>
      <c r="J713" s="19">
        <f t="shared" si="216"/>
        <v>97.358549524008509</v>
      </c>
      <c r="K713" s="19">
        <f t="shared" si="217"/>
        <v>1.791250845900475</v>
      </c>
      <c r="L713" s="19">
        <f t="shared" si="218"/>
        <v>4.0220858880820591</v>
      </c>
      <c r="M713" s="19">
        <f t="shared" si="219"/>
        <v>4.0220858880820591</v>
      </c>
      <c r="N713" s="19">
        <f t="shared" si="220"/>
        <v>4.0220858880820591</v>
      </c>
      <c r="O713" s="17"/>
      <c r="P713" s="19">
        <f t="shared" si="210"/>
        <v>5.5364413178981442</v>
      </c>
      <c r="Q713" s="19">
        <f t="shared" si="225"/>
        <v>17.332013220280661</v>
      </c>
      <c r="R713" s="19">
        <f t="shared" si="226"/>
        <v>0</v>
      </c>
      <c r="S713" s="19">
        <f t="shared" si="227"/>
        <v>0</v>
      </c>
      <c r="T713" s="19">
        <f t="shared" si="228"/>
        <v>0</v>
      </c>
      <c r="U713" s="17"/>
      <c r="V713" s="19">
        <f t="shared" si="221"/>
        <v>22.868454538178806</v>
      </c>
      <c r="W713" s="17"/>
      <c r="X713" s="19">
        <f t="shared" si="222"/>
        <v>3.3589525422242397</v>
      </c>
      <c r="Y713" s="19">
        <f t="shared" si="223"/>
        <v>1.8327445381788046</v>
      </c>
      <c r="Z713" s="19"/>
      <c r="AA713" s="19">
        <f t="shared" si="224"/>
        <v>1.1910972620888859E-5</v>
      </c>
    </row>
    <row r="714" spans="2:27" x14ac:dyDescent="0.35">
      <c r="B714" s="27">
        <v>67.599999999999994</v>
      </c>
      <c r="C714" s="27">
        <v>3.2857099999999999</v>
      </c>
      <c r="D714" s="19">
        <f t="shared" si="211"/>
        <v>102.07744941293035</v>
      </c>
      <c r="E714" s="19">
        <f t="shared" si="212"/>
        <v>2.3802899471280505</v>
      </c>
      <c r="F714" s="19">
        <f t="shared" si="213"/>
        <v>5.4249976448860027</v>
      </c>
      <c r="G714" s="19">
        <f t="shared" si="214"/>
        <v>5.4249976448860027</v>
      </c>
      <c r="H714" s="19">
        <f t="shared" si="215"/>
        <v>5.4249976448860027</v>
      </c>
      <c r="I714" s="17"/>
      <c r="J714" s="19">
        <f t="shared" si="216"/>
        <v>97.497621430805609</v>
      </c>
      <c r="K714" s="19">
        <f t="shared" si="217"/>
        <v>1.795182987491456</v>
      </c>
      <c r="L714" s="19">
        <f t="shared" si="218"/>
        <v>4.0309865078532612</v>
      </c>
      <c r="M714" s="19">
        <f t="shared" si="219"/>
        <v>4.0309865078532612</v>
      </c>
      <c r="N714" s="19">
        <f t="shared" si="220"/>
        <v>4.0309865078532612</v>
      </c>
      <c r="O714" s="17"/>
      <c r="P714" s="19">
        <f t="shared" si="210"/>
        <v>5.520738137993936</v>
      </c>
      <c r="Q714" s="19">
        <f t="shared" si="225"/>
        <v>17.269720926426448</v>
      </c>
      <c r="R714" s="19">
        <f t="shared" si="226"/>
        <v>0</v>
      </c>
      <c r="S714" s="19">
        <f t="shared" si="227"/>
        <v>0</v>
      </c>
      <c r="T714" s="19">
        <f t="shared" si="228"/>
        <v>0</v>
      </c>
      <c r="U714" s="17"/>
      <c r="V714" s="19">
        <f t="shared" si="221"/>
        <v>22.790459064420382</v>
      </c>
      <c r="W714" s="17"/>
      <c r="X714" s="19">
        <f t="shared" si="222"/>
        <v>380.43523606600769</v>
      </c>
      <c r="Y714" s="19">
        <f t="shared" si="223"/>
        <v>19.50474906442038</v>
      </c>
      <c r="Z714" s="19"/>
      <c r="AA714" s="19">
        <f t="shared" si="224"/>
        <v>1.2676100091640446E-4</v>
      </c>
    </row>
    <row r="715" spans="2:27" x14ac:dyDescent="0.35">
      <c r="B715" s="27">
        <v>67.7</v>
      </c>
      <c r="C715" s="27">
        <v>26.535710000000002</v>
      </c>
      <c r="D715" s="19">
        <f t="shared" si="211"/>
        <v>102.21794875135285</v>
      </c>
      <c r="E715" s="19">
        <f t="shared" si="212"/>
        <v>2.3864148759551731</v>
      </c>
      <c r="F715" s="19">
        <f t="shared" si="213"/>
        <v>5.4361087559971137</v>
      </c>
      <c r="G715" s="19">
        <f t="shared" si="214"/>
        <v>5.4361087559971137</v>
      </c>
      <c r="H715" s="19">
        <f t="shared" si="215"/>
        <v>5.4361087559971137</v>
      </c>
      <c r="I715" s="17"/>
      <c r="J715" s="19">
        <f t="shared" si="216"/>
        <v>97.636695351631985</v>
      </c>
      <c r="K715" s="19">
        <f t="shared" si="217"/>
        <v>1.7991182128399223</v>
      </c>
      <c r="L715" s="19">
        <f t="shared" si="218"/>
        <v>4.0398910357394175</v>
      </c>
      <c r="M715" s="19">
        <f t="shared" si="219"/>
        <v>4.0398910357394175</v>
      </c>
      <c r="N715" s="19">
        <f t="shared" si="220"/>
        <v>4.0398910357394175</v>
      </c>
      <c r="O715" s="17"/>
      <c r="P715" s="19">
        <f t="shared" si="210"/>
        <v>5.5051014472008619</v>
      </c>
      <c r="Q715" s="19">
        <f t="shared" si="225"/>
        <v>17.207720675031815</v>
      </c>
      <c r="R715" s="19">
        <f t="shared" si="226"/>
        <v>0</v>
      </c>
      <c r="S715" s="19">
        <f t="shared" si="227"/>
        <v>0</v>
      </c>
      <c r="T715" s="19">
        <f t="shared" si="228"/>
        <v>0</v>
      </c>
      <c r="U715" s="17"/>
      <c r="V715" s="19">
        <f t="shared" si="221"/>
        <v>22.712822122232676</v>
      </c>
      <c r="W715" s="17"/>
      <c r="X715" s="19">
        <f t="shared" si="222"/>
        <v>14.614471725980364</v>
      </c>
      <c r="Y715" s="19">
        <f t="shared" si="223"/>
        <v>3.8228878777673252</v>
      </c>
      <c r="Z715" s="19"/>
      <c r="AA715" s="19">
        <f t="shared" si="224"/>
        <v>2.484487712076987E-5</v>
      </c>
    </row>
    <row r="716" spans="2:27" x14ac:dyDescent="0.35">
      <c r="B716" s="27">
        <v>67.8</v>
      </c>
      <c r="C716" s="27">
        <v>28.535710000000002</v>
      </c>
      <c r="D716" s="19">
        <f t="shared" si="211"/>
        <v>102.35844808977534</v>
      </c>
      <c r="E716" s="19">
        <f t="shared" si="212"/>
        <v>2.3925398047822957</v>
      </c>
      <c r="F716" s="19">
        <f t="shared" si="213"/>
        <v>5.4472198671082248</v>
      </c>
      <c r="G716" s="19">
        <f t="shared" si="214"/>
        <v>5.4472198671082248</v>
      </c>
      <c r="H716" s="19">
        <f t="shared" si="215"/>
        <v>5.4472198671082248</v>
      </c>
      <c r="I716" s="17"/>
      <c r="J716" s="19">
        <f t="shared" si="216"/>
        <v>97.775771280841255</v>
      </c>
      <c r="K716" s="19">
        <f t="shared" si="217"/>
        <v>1.8030565156894132</v>
      </c>
      <c r="L716" s="19">
        <f t="shared" si="218"/>
        <v>4.0487994596498389</v>
      </c>
      <c r="M716" s="19">
        <f t="shared" si="219"/>
        <v>4.0487994596498389</v>
      </c>
      <c r="N716" s="19">
        <f t="shared" si="220"/>
        <v>4.0487994596498389</v>
      </c>
      <c r="O716" s="17"/>
      <c r="P716" s="19">
        <f t="shared" si="210"/>
        <v>5.4895308716356359</v>
      </c>
      <c r="Q716" s="19">
        <f t="shared" si="225"/>
        <v>17.146010842630961</v>
      </c>
      <c r="R716" s="19">
        <f t="shared" si="226"/>
        <v>0</v>
      </c>
      <c r="S716" s="19">
        <f t="shared" si="227"/>
        <v>0</v>
      </c>
      <c r="T716" s="19">
        <f t="shared" si="228"/>
        <v>0</v>
      </c>
      <c r="U716" s="17"/>
      <c r="V716" s="19">
        <f t="shared" si="221"/>
        <v>22.635541714266598</v>
      </c>
      <c r="W716" s="17"/>
      <c r="X716" s="19">
        <f t="shared" si="222"/>
        <v>34.811985799974252</v>
      </c>
      <c r="Y716" s="19">
        <f t="shared" si="223"/>
        <v>5.9001682857334039</v>
      </c>
      <c r="Z716" s="19"/>
      <c r="AA716" s="19">
        <f t="shared" si="224"/>
        <v>3.8345083805210092E-5</v>
      </c>
    </row>
    <row r="717" spans="2:27" x14ac:dyDescent="0.35">
      <c r="B717" s="27">
        <v>67.900000000000006</v>
      </c>
      <c r="C717" s="27">
        <v>26.035710000000002</v>
      </c>
      <c r="D717" s="19">
        <f t="shared" si="211"/>
        <v>102.49894742819784</v>
      </c>
      <c r="E717" s="19">
        <f t="shared" si="212"/>
        <v>2.3986647336094182</v>
      </c>
      <c r="F717" s="19">
        <f t="shared" si="213"/>
        <v>5.4583309782193368</v>
      </c>
      <c r="G717" s="19">
        <f t="shared" si="214"/>
        <v>5.4583309782193368</v>
      </c>
      <c r="H717" s="19">
        <f t="shared" si="215"/>
        <v>5.4583309782193368</v>
      </c>
      <c r="I717" s="17"/>
      <c r="J717" s="19">
        <f t="shared" si="216"/>
        <v>97.914849212810708</v>
      </c>
      <c r="K717" s="19">
        <f t="shared" si="217"/>
        <v>1.8069978897948042</v>
      </c>
      <c r="L717" s="19">
        <f t="shared" si="218"/>
        <v>4.0577117675434895</v>
      </c>
      <c r="M717" s="19">
        <f t="shared" si="219"/>
        <v>4.0577117675434895</v>
      </c>
      <c r="N717" s="19">
        <f t="shared" si="220"/>
        <v>4.0577117675434895</v>
      </c>
      <c r="O717" s="17"/>
      <c r="P717" s="19">
        <f t="shared" si="210"/>
        <v>5.4740260400339746</v>
      </c>
      <c r="Q717" s="19">
        <f t="shared" si="225"/>
        <v>17.084589815866106</v>
      </c>
      <c r="R717" s="19">
        <f t="shared" si="226"/>
        <v>0</v>
      </c>
      <c r="S717" s="19">
        <f t="shared" si="227"/>
        <v>0</v>
      </c>
      <c r="T717" s="19">
        <f t="shared" si="228"/>
        <v>0</v>
      </c>
      <c r="U717" s="17"/>
      <c r="V717" s="19">
        <f t="shared" si="221"/>
        <v>22.558615855900079</v>
      </c>
      <c r="W717" s="17"/>
      <c r="X717" s="19">
        <f t="shared" si="222"/>
        <v>12.090183686933971</v>
      </c>
      <c r="Y717" s="19">
        <f t="shared" si="223"/>
        <v>3.4770941440999223</v>
      </c>
      <c r="Z717" s="19"/>
      <c r="AA717" s="19">
        <f t="shared" si="224"/>
        <v>2.2597570085671484E-5</v>
      </c>
    </row>
    <row r="718" spans="2:27" x14ac:dyDescent="0.35">
      <c r="B718" s="27">
        <v>68</v>
      </c>
      <c r="C718" s="27">
        <v>25.285710000000002</v>
      </c>
      <c r="D718" s="19">
        <f t="shared" si="211"/>
        <v>102.63944676662032</v>
      </c>
      <c r="E718" s="19">
        <f t="shared" si="212"/>
        <v>2.4047896624365399</v>
      </c>
      <c r="F718" s="19">
        <f t="shared" si="213"/>
        <v>5.4694420893304478</v>
      </c>
      <c r="G718" s="19">
        <f t="shared" si="214"/>
        <v>5.4694420893304478</v>
      </c>
      <c r="H718" s="19">
        <f t="shared" si="215"/>
        <v>5.4694420893304478</v>
      </c>
      <c r="I718" s="17"/>
      <c r="J718" s="19">
        <f t="shared" si="216"/>
        <v>98.053929141941083</v>
      </c>
      <c r="K718" s="19">
        <f t="shared" si="217"/>
        <v>1.8109423289223217</v>
      </c>
      <c r="L718" s="19">
        <f t="shared" si="218"/>
        <v>4.066627947428751</v>
      </c>
      <c r="M718" s="19">
        <f t="shared" si="219"/>
        <v>4.066627947428751</v>
      </c>
      <c r="N718" s="19">
        <f t="shared" si="220"/>
        <v>4.066627947428751</v>
      </c>
      <c r="O718" s="17"/>
      <c r="P718" s="19">
        <f t="shared" si="210"/>
        <v>5.4585865837286658</v>
      </c>
      <c r="Q718" s="19">
        <f t="shared" si="225"/>
        <v>17.023455991419944</v>
      </c>
      <c r="R718" s="19">
        <f t="shared" si="226"/>
        <v>0</v>
      </c>
      <c r="S718" s="19">
        <f t="shared" si="227"/>
        <v>0</v>
      </c>
      <c r="T718" s="19">
        <f t="shared" si="228"/>
        <v>0</v>
      </c>
      <c r="U718" s="17"/>
      <c r="V718" s="19">
        <f t="shared" si="221"/>
        <v>22.482042575148611</v>
      </c>
      <c r="W718" s="17"/>
      <c r="X718" s="19">
        <f t="shared" si="222"/>
        <v>7.8605510291728269</v>
      </c>
      <c r="Y718" s="19">
        <f t="shared" si="223"/>
        <v>2.8036674248513904</v>
      </c>
      <c r="Z718" s="19"/>
      <c r="AA718" s="19">
        <f t="shared" si="224"/>
        <v>1.8220982379064599E-5</v>
      </c>
    </row>
    <row r="719" spans="2:27" x14ac:dyDescent="0.35">
      <c r="B719" s="27">
        <v>68.099999999999994</v>
      </c>
      <c r="C719" s="27">
        <v>36.285710000000002</v>
      </c>
      <c r="D719" s="19">
        <f t="shared" si="211"/>
        <v>102.7799461050428</v>
      </c>
      <c r="E719" s="19">
        <f t="shared" si="212"/>
        <v>2.4109145912636625</v>
      </c>
      <c r="F719" s="19">
        <f t="shared" si="213"/>
        <v>5.480553200441558</v>
      </c>
      <c r="G719" s="19">
        <f t="shared" si="214"/>
        <v>5.480553200441558</v>
      </c>
      <c r="H719" s="19">
        <f t="shared" si="215"/>
        <v>5.480553200441558</v>
      </c>
      <c r="I719" s="17"/>
      <c r="J719" s="19">
        <f t="shared" si="216"/>
        <v>98.193011062656495</v>
      </c>
      <c r="K719" s="19">
        <f t="shared" si="217"/>
        <v>1.8148898268495561</v>
      </c>
      <c r="L719" s="19">
        <f t="shared" si="218"/>
        <v>4.0755479873631915</v>
      </c>
      <c r="M719" s="19">
        <f t="shared" si="219"/>
        <v>4.0755479873631915</v>
      </c>
      <c r="N719" s="19">
        <f t="shared" si="220"/>
        <v>4.0755479873631915</v>
      </c>
      <c r="O719" s="17"/>
      <c r="P719" s="19">
        <f t="shared" si="210"/>
        <v>5.4432121366278174</v>
      </c>
      <c r="Q719" s="19">
        <f t="shared" si="225"/>
        <v>16.962607775948602</v>
      </c>
      <c r="R719" s="19">
        <f t="shared" si="226"/>
        <v>0</v>
      </c>
      <c r="S719" s="19">
        <f t="shared" si="227"/>
        <v>0</v>
      </c>
      <c r="T719" s="19">
        <f t="shared" si="228"/>
        <v>0</v>
      </c>
      <c r="U719" s="17"/>
      <c r="V719" s="19">
        <f t="shared" si="221"/>
        <v>22.405819912576419</v>
      </c>
      <c r="W719" s="17"/>
      <c r="X719" s="19">
        <f t="shared" si="222"/>
        <v>192.65134883895942</v>
      </c>
      <c r="Y719" s="19">
        <f t="shared" si="223"/>
        <v>13.879890087423583</v>
      </c>
      <c r="Z719" s="19"/>
      <c r="AA719" s="19">
        <f t="shared" si="224"/>
        <v>9.0205147181357943E-5</v>
      </c>
    </row>
    <row r="720" spans="2:27" x14ac:dyDescent="0.35">
      <c r="B720" s="27">
        <v>68.2</v>
      </c>
      <c r="C720" s="27">
        <v>17.785710000000002</v>
      </c>
      <c r="D720" s="19">
        <f t="shared" si="211"/>
        <v>102.92044544346531</v>
      </c>
      <c r="E720" s="19">
        <f t="shared" si="212"/>
        <v>2.417039520090785</v>
      </c>
      <c r="F720" s="19">
        <f t="shared" si="213"/>
        <v>5.4916643115526691</v>
      </c>
      <c r="G720" s="19">
        <f t="shared" si="214"/>
        <v>5.4916643115526691</v>
      </c>
      <c r="H720" s="19">
        <f t="shared" si="215"/>
        <v>5.4916643115526691</v>
      </c>
      <c r="I720" s="17"/>
      <c r="J720" s="19">
        <f t="shared" si="216"/>
        <v>98.33209496940438</v>
      </c>
      <c r="K720" s="19">
        <f t="shared" si="217"/>
        <v>1.8188403773654735</v>
      </c>
      <c r="L720" s="19">
        <f t="shared" si="218"/>
        <v>4.0844718754533336</v>
      </c>
      <c r="M720" s="19">
        <f t="shared" si="219"/>
        <v>4.0844718754533336</v>
      </c>
      <c r="N720" s="19">
        <f t="shared" si="220"/>
        <v>4.0844718754533336</v>
      </c>
      <c r="O720" s="17"/>
      <c r="P720" s="19">
        <f t="shared" si="210"/>
        <v>5.4279023351933393</v>
      </c>
      <c r="Q720" s="19">
        <f t="shared" si="225"/>
        <v>16.902043586015068</v>
      </c>
      <c r="R720" s="19">
        <f t="shared" si="226"/>
        <v>0</v>
      </c>
      <c r="S720" s="19">
        <f t="shared" si="227"/>
        <v>0</v>
      </c>
      <c r="T720" s="19">
        <f t="shared" si="228"/>
        <v>0</v>
      </c>
      <c r="U720" s="17"/>
      <c r="V720" s="19">
        <f t="shared" si="221"/>
        <v>22.329945921208406</v>
      </c>
      <c r="W720" s="17"/>
      <c r="X720" s="19">
        <f t="shared" si="222"/>
        <v>20.650080107600793</v>
      </c>
      <c r="Y720" s="19">
        <f t="shared" si="223"/>
        <v>4.5442359212084042</v>
      </c>
      <c r="Z720" s="19"/>
      <c r="AA720" s="19">
        <f t="shared" si="224"/>
        <v>2.95329046208252E-5</v>
      </c>
    </row>
    <row r="721" spans="2:27" x14ac:dyDescent="0.35">
      <c r="B721" s="27">
        <v>68.3</v>
      </c>
      <c r="C721" s="27">
        <v>34.035710000000002</v>
      </c>
      <c r="D721" s="19">
        <f t="shared" si="211"/>
        <v>103.06094478188778</v>
      </c>
      <c r="E721" s="19">
        <f t="shared" si="212"/>
        <v>2.4231644489179067</v>
      </c>
      <c r="F721" s="19">
        <f t="shared" si="213"/>
        <v>5.5027754226637802</v>
      </c>
      <c r="G721" s="19">
        <f t="shared" si="214"/>
        <v>5.5027754226637802</v>
      </c>
      <c r="H721" s="19">
        <f t="shared" si="215"/>
        <v>5.5027754226637802</v>
      </c>
      <c r="I721" s="17"/>
      <c r="J721" s="19">
        <f t="shared" si="216"/>
        <v>98.471180856655138</v>
      </c>
      <c r="K721" s="19">
        <f t="shared" si="217"/>
        <v>1.822793974270428</v>
      </c>
      <c r="L721" s="19">
        <f t="shared" si="218"/>
        <v>4.0933995998544166</v>
      </c>
      <c r="M721" s="19">
        <f t="shared" si="219"/>
        <v>4.0933995998544166</v>
      </c>
      <c r="N721" s="19">
        <f t="shared" si="220"/>
        <v>4.0933995998544166</v>
      </c>
      <c r="O721" s="17"/>
      <c r="P721" s="19">
        <f t="shared" si="210"/>
        <v>5.4126568184196557</v>
      </c>
      <c r="Q721" s="19">
        <f t="shared" si="225"/>
        <v>16.841761848023044</v>
      </c>
      <c r="R721" s="19">
        <f t="shared" si="226"/>
        <v>0</v>
      </c>
      <c r="S721" s="19">
        <f t="shared" si="227"/>
        <v>0</v>
      </c>
      <c r="T721" s="19">
        <f t="shared" si="228"/>
        <v>0</v>
      </c>
      <c r="U721" s="17"/>
      <c r="V721" s="19">
        <f t="shared" si="221"/>
        <v>22.2544186664427</v>
      </c>
      <c r="W721" s="17"/>
      <c r="X721" s="19">
        <f t="shared" si="222"/>
        <v>138.7988254861524</v>
      </c>
      <c r="Y721" s="19">
        <f t="shared" si="223"/>
        <v>11.781291333557302</v>
      </c>
      <c r="Z721" s="19"/>
      <c r="AA721" s="19">
        <f t="shared" si="224"/>
        <v>7.6566392963941713E-5</v>
      </c>
    </row>
    <row r="722" spans="2:27" x14ac:dyDescent="0.35">
      <c r="B722" s="27">
        <v>68.400000000000006</v>
      </c>
      <c r="C722" s="27">
        <v>17.035710000000002</v>
      </c>
      <c r="D722" s="19">
        <f t="shared" si="211"/>
        <v>103.20144412031028</v>
      </c>
      <c r="E722" s="19">
        <f t="shared" si="212"/>
        <v>2.4292893777450293</v>
      </c>
      <c r="F722" s="19">
        <f t="shared" si="213"/>
        <v>5.5138865337748921</v>
      </c>
      <c r="G722" s="19">
        <f t="shared" si="214"/>
        <v>5.5138865337748921</v>
      </c>
      <c r="H722" s="19">
        <f t="shared" si="215"/>
        <v>5.5138865337748921</v>
      </c>
      <c r="I722" s="17"/>
      <c r="J722" s="19">
        <f t="shared" si="216"/>
        <v>98.610268718902304</v>
      </c>
      <c r="K722" s="19">
        <f t="shared" si="217"/>
        <v>1.8267506113761762</v>
      </c>
      <c r="L722" s="19">
        <f t="shared" si="218"/>
        <v>4.102331148770169</v>
      </c>
      <c r="M722" s="19">
        <f t="shared" si="219"/>
        <v>4.102331148770169</v>
      </c>
      <c r="N722" s="19">
        <f t="shared" si="220"/>
        <v>4.102331148770169</v>
      </c>
      <c r="O722" s="17"/>
      <c r="P722" s="19">
        <f t="shared" si="210"/>
        <v>5.3974752278125573</v>
      </c>
      <c r="Q722" s="19">
        <f t="shared" si="225"/>
        <v>16.781760998151228</v>
      </c>
      <c r="R722" s="19">
        <f t="shared" si="226"/>
        <v>0</v>
      </c>
      <c r="S722" s="19">
        <f t="shared" si="227"/>
        <v>0</v>
      </c>
      <c r="T722" s="19">
        <f t="shared" si="228"/>
        <v>0</v>
      </c>
      <c r="U722" s="17"/>
      <c r="V722" s="19">
        <f t="shared" si="221"/>
        <v>22.179236225963784</v>
      </c>
      <c r="W722" s="17"/>
      <c r="X722" s="19">
        <f t="shared" si="222"/>
        <v>26.45586203717723</v>
      </c>
      <c r="Y722" s="19">
        <f t="shared" si="223"/>
        <v>5.1435262259637824</v>
      </c>
      <c r="Z722" s="19"/>
      <c r="AA722" s="19">
        <f t="shared" si="224"/>
        <v>3.3427681150345563E-5</v>
      </c>
    </row>
    <row r="723" spans="2:27" x14ac:dyDescent="0.35">
      <c r="B723" s="27">
        <v>68.5</v>
      </c>
      <c r="C723" s="27">
        <v>14.28571</v>
      </c>
      <c r="D723" s="19">
        <f t="shared" si="211"/>
        <v>103.34194345873277</v>
      </c>
      <c r="E723" s="19">
        <f t="shared" si="212"/>
        <v>2.435414306572151</v>
      </c>
      <c r="F723" s="19">
        <f t="shared" si="213"/>
        <v>5.5249976448860032</v>
      </c>
      <c r="G723" s="19">
        <f t="shared" si="214"/>
        <v>5.5249976448860032</v>
      </c>
      <c r="H723" s="19">
        <f t="shared" si="215"/>
        <v>5.5249976448860032</v>
      </c>
      <c r="I723" s="17"/>
      <c r="J723" s="19">
        <f t="shared" si="216"/>
        <v>98.749358550662137</v>
      </c>
      <c r="K723" s="19">
        <f t="shared" si="217"/>
        <v>1.830710282505885</v>
      </c>
      <c r="L723" s="19">
        <f t="shared" si="218"/>
        <v>4.1112665104525776</v>
      </c>
      <c r="M723" s="19">
        <f t="shared" si="219"/>
        <v>4.1112665104525776</v>
      </c>
      <c r="N723" s="19">
        <f t="shared" si="220"/>
        <v>4.1112665104525776</v>
      </c>
      <c r="O723" s="17"/>
      <c r="P723" s="19">
        <f t="shared" si="210"/>
        <v>5.3823572073683437</v>
      </c>
      <c r="Q723" s="19">
        <f t="shared" si="225"/>
        <v>16.72203948228816</v>
      </c>
      <c r="R723" s="19">
        <f t="shared" si="226"/>
        <v>0</v>
      </c>
      <c r="S723" s="19">
        <f t="shared" si="227"/>
        <v>0</v>
      </c>
      <c r="T723" s="19">
        <f t="shared" si="228"/>
        <v>0</v>
      </c>
      <c r="U723" s="17"/>
      <c r="V723" s="19">
        <f t="shared" si="221"/>
        <v>22.104396689656504</v>
      </c>
      <c r="W723" s="17"/>
      <c r="X723" s="19">
        <f t="shared" si="222"/>
        <v>61.131861551011781</v>
      </c>
      <c r="Y723" s="19">
        <f t="shared" si="223"/>
        <v>7.8186866896565039</v>
      </c>
      <c r="Z723" s="19"/>
      <c r="AA723" s="19">
        <f t="shared" si="224"/>
        <v>5.0813499182132651E-5</v>
      </c>
    </row>
    <row r="724" spans="2:27" x14ac:dyDescent="0.35">
      <c r="B724" s="27">
        <v>68.599999999999994</v>
      </c>
      <c r="C724" s="27">
        <v>18.285710000000002</v>
      </c>
      <c r="D724" s="19">
        <f t="shared" si="211"/>
        <v>103.48244279715526</v>
      </c>
      <c r="E724" s="19">
        <f t="shared" si="212"/>
        <v>2.4415392353992735</v>
      </c>
      <c r="F724" s="19">
        <f t="shared" si="213"/>
        <v>5.5361087559971134</v>
      </c>
      <c r="G724" s="19">
        <f t="shared" si="214"/>
        <v>5.5361087559971134</v>
      </c>
      <c r="H724" s="19">
        <f t="shared" si="215"/>
        <v>5.5361087559971134</v>
      </c>
      <c r="I724" s="17"/>
      <c r="J724" s="19">
        <f t="shared" si="216"/>
        <v>98.888450346473704</v>
      </c>
      <c r="K724" s="19">
        <f t="shared" si="217"/>
        <v>1.8346729814941465</v>
      </c>
      <c r="L724" s="19">
        <f t="shared" si="218"/>
        <v>4.1202056732016592</v>
      </c>
      <c r="M724" s="19">
        <f t="shared" si="219"/>
        <v>4.1202056732016592</v>
      </c>
      <c r="N724" s="19">
        <f t="shared" si="220"/>
        <v>4.1202056732016592</v>
      </c>
      <c r="O724" s="17"/>
      <c r="P724" s="19">
        <f t="shared" si="210"/>
        <v>5.3673024035530927</v>
      </c>
      <c r="Q724" s="19">
        <f t="shared" si="225"/>
        <v>16.662595755967381</v>
      </c>
      <c r="R724" s="19">
        <f t="shared" si="226"/>
        <v>0</v>
      </c>
      <c r="S724" s="19">
        <f t="shared" si="227"/>
        <v>0</v>
      </c>
      <c r="T724" s="19">
        <f t="shared" si="228"/>
        <v>0</v>
      </c>
      <c r="U724" s="17"/>
      <c r="V724" s="19">
        <f t="shared" si="221"/>
        <v>22.029898159520474</v>
      </c>
      <c r="W724" s="17"/>
      <c r="X724" s="19">
        <f t="shared" si="222"/>
        <v>14.018944973893305</v>
      </c>
      <c r="Y724" s="19">
        <f t="shared" si="223"/>
        <v>3.7441881595204727</v>
      </c>
      <c r="Z724" s="19"/>
      <c r="AA724" s="19">
        <f t="shared" si="224"/>
        <v>2.4333409117574286E-5</v>
      </c>
    </row>
    <row r="725" spans="2:27" x14ac:dyDescent="0.35">
      <c r="B725" s="27">
        <v>68.7</v>
      </c>
      <c r="C725" s="27">
        <v>14.03571</v>
      </c>
      <c r="D725" s="19">
        <f t="shared" si="211"/>
        <v>103.62294213557776</v>
      </c>
      <c r="E725" s="19">
        <f t="shared" si="212"/>
        <v>2.4476641642263961</v>
      </c>
      <c r="F725" s="19">
        <f t="shared" si="213"/>
        <v>5.5472198671082262</v>
      </c>
      <c r="G725" s="19">
        <f t="shared" si="214"/>
        <v>5.5472198671082262</v>
      </c>
      <c r="H725" s="19">
        <f t="shared" si="215"/>
        <v>5.5472198671082262</v>
      </c>
      <c r="I725" s="17"/>
      <c r="J725" s="19">
        <f t="shared" si="216"/>
        <v>99.02754410089868</v>
      </c>
      <c r="K725" s="19">
        <f t="shared" si="217"/>
        <v>1.8386387021869859</v>
      </c>
      <c r="L725" s="19">
        <f t="shared" si="218"/>
        <v>4.1291486253652367</v>
      </c>
      <c r="M725" s="19">
        <f t="shared" si="219"/>
        <v>4.1291486253652367</v>
      </c>
      <c r="N725" s="19">
        <f t="shared" si="220"/>
        <v>4.1291486253652367</v>
      </c>
      <c r="O725" s="17"/>
      <c r="P725" s="19">
        <f t="shared" si="210"/>
        <v>5.35231046528218</v>
      </c>
      <c r="Q725" s="19">
        <f t="shared" si="225"/>
        <v>16.603428284303131</v>
      </c>
      <c r="R725" s="19">
        <f t="shared" si="226"/>
        <v>0</v>
      </c>
      <c r="S725" s="19">
        <f t="shared" si="227"/>
        <v>0</v>
      </c>
      <c r="T725" s="19">
        <f t="shared" si="228"/>
        <v>0</v>
      </c>
      <c r="U725" s="17"/>
      <c r="V725" s="19">
        <f t="shared" si="221"/>
        <v>21.955738749585311</v>
      </c>
      <c r="W725" s="17"/>
      <c r="X725" s="19">
        <f t="shared" si="222"/>
        <v>62.726855394257875</v>
      </c>
      <c r="Y725" s="19">
        <f t="shared" si="223"/>
        <v>7.9200287495853114</v>
      </c>
      <c r="Z725" s="19"/>
      <c r="AA725" s="19">
        <f t="shared" si="224"/>
        <v>5.1472119342231983E-5</v>
      </c>
    </row>
    <row r="726" spans="2:27" x14ac:dyDescent="0.35">
      <c r="B726" s="27">
        <v>68.8</v>
      </c>
      <c r="C726" s="27">
        <v>16.785710000000002</v>
      </c>
      <c r="D726" s="19">
        <f t="shared" si="211"/>
        <v>103.76344147400025</v>
      </c>
      <c r="E726" s="19">
        <f t="shared" si="212"/>
        <v>2.4537890930535178</v>
      </c>
      <c r="F726" s="19">
        <f t="shared" si="213"/>
        <v>5.5583309782193355</v>
      </c>
      <c r="G726" s="19">
        <f t="shared" si="214"/>
        <v>5.5583309782193355</v>
      </c>
      <c r="H726" s="19">
        <f t="shared" si="215"/>
        <v>5.5583309782193355</v>
      </c>
      <c r="I726" s="17"/>
      <c r="J726" s="19">
        <f t="shared" si="216"/>
        <v>99.166639808521154</v>
      </c>
      <c r="K726" s="19">
        <f t="shared" si="217"/>
        <v>1.8426074384418725</v>
      </c>
      <c r="L726" s="19">
        <f t="shared" si="218"/>
        <v>4.1380953553387005</v>
      </c>
      <c r="M726" s="19">
        <f t="shared" si="219"/>
        <v>4.1380953553387005</v>
      </c>
      <c r="N726" s="19">
        <f t="shared" si="220"/>
        <v>4.1380953553387005</v>
      </c>
      <c r="O726" s="17"/>
      <c r="P726" s="19">
        <f t="shared" si="210"/>
        <v>5.3373810438999749</v>
      </c>
      <c r="Q726" s="19">
        <f t="shared" si="225"/>
        <v>16.544535541926471</v>
      </c>
      <c r="R726" s="19">
        <f t="shared" si="226"/>
        <v>0</v>
      </c>
      <c r="S726" s="19">
        <f t="shared" si="227"/>
        <v>0</v>
      </c>
      <c r="T726" s="19">
        <f t="shared" si="228"/>
        <v>0</v>
      </c>
      <c r="U726" s="17"/>
      <c r="V726" s="19">
        <f t="shared" si="221"/>
        <v>21.881916585826445</v>
      </c>
      <c r="W726" s="17"/>
      <c r="X726" s="19">
        <f t="shared" si="222"/>
        <v>25.971321565420819</v>
      </c>
      <c r="Y726" s="19">
        <f t="shared" si="223"/>
        <v>5.0962065858264438</v>
      </c>
      <c r="Z726" s="19"/>
      <c r="AA726" s="19">
        <f t="shared" si="224"/>
        <v>3.3120151690366256E-5</v>
      </c>
    </row>
    <row r="727" spans="2:27" x14ac:dyDescent="0.35">
      <c r="B727" s="27">
        <v>68.900000000000006</v>
      </c>
      <c r="C727" s="27">
        <v>6.2857099999999999</v>
      </c>
      <c r="D727" s="19">
        <f t="shared" si="211"/>
        <v>103.90394081242275</v>
      </c>
      <c r="E727" s="19">
        <f t="shared" si="212"/>
        <v>2.4599140218806403</v>
      </c>
      <c r="F727" s="19">
        <f t="shared" si="213"/>
        <v>5.5694420893304475</v>
      </c>
      <c r="G727" s="19">
        <f t="shared" si="214"/>
        <v>5.5694420893304475</v>
      </c>
      <c r="H727" s="19">
        <f t="shared" si="215"/>
        <v>5.5694420893304475</v>
      </c>
      <c r="I727" s="17"/>
      <c r="J727" s="19">
        <f t="shared" si="216"/>
        <v>99.305737463947636</v>
      </c>
      <c r="K727" s="19">
        <f t="shared" si="217"/>
        <v>1.846579184127733</v>
      </c>
      <c r="L727" s="19">
        <f t="shared" si="218"/>
        <v>4.1470458515647994</v>
      </c>
      <c r="M727" s="19">
        <f t="shared" si="219"/>
        <v>4.1470458515647994</v>
      </c>
      <c r="N727" s="19">
        <f t="shared" si="220"/>
        <v>4.1470458515647994</v>
      </c>
      <c r="O727" s="17"/>
      <c r="P727" s="19">
        <f t="shared" si="210"/>
        <v>5.3225137931597342</v>
      </c>
      <c r="Q727" s="19">
        <f t="shared" si="225"/>
        <v>16.485916012921788</v>
      </c>
      <c r="R727" s="19">
        <f t="shared" si="226"/>
        <v>0</v>
      </c>
      <c r="S727" s="19">
        <f t="shared" si="227"/>
        <v>0</v>
      </c>
      <c r="T727" s="19">
        <f t="shared" si="228"/>
        <v>0</v>
      </c>
      <c r="U727" s="17"/>
      <c r="V727" s="19">
        <f t="shared" si="221"/>
        <v>21.80842980608152</v>
      </c>
      <c r="W727" s="17"/>
      <c r="X727" s="19">
        <f t="shared" si="222"/>
        <v>240.95483017811551</v>
      </c>
      <c r="Y727" s="19">
        <f t="shared" si="223"/>
        <v>15.52271980608152</v>
      </c>
      <c r="Z727" s="19"/>
      <c r="AA727" s="19">
        <f t="shared" si="224"/>
        <v>1.0088186692712329E-4</v>
      </c>
    </row>
    <row r="728" spans="2:27" x14ac:dyDescent="0.35">
      <c r="B728" s="27">
        <v>69</v>
      </c>
      <c r="C728" s="27">
        <v>27.035710000000002</v>
      </c>
      <c r="D728" s="19">
        <f t="shared" si="211"/>
        <v>104.04444015084523</v>
      </c>
      <c r="E728" s="19">
        <f t="shared" si="212"/>
        <v>2.4660389507077629</v>
      </c>
      <c r="F728" s="19">
        <f t="shared" si="213"/>
        <v>5.5805532004415586</v>
      </c>
      <c r="G728" s="19">
        <f t="shared" si="214"/>
        <v>5.5805532004415586</v>
      </c>
      <c r="H728" s="19">
        <f t="shared" si="215"/>
        <v>5.5805532004415586</v>
      </c>
      <c r="I728" s="17"/>
      <c r="J728" s="19">
        <f t="shared" si="216"/>
        <v>99.444837061806837</v>
      </c>
      <c r="K728" s="19">
        <f t="shared" si="217"/>
        <v>1.8505539331249559</v>
      </c>
      <c r="L728" s="19">
        <f t="shared" si="218"/>
        <v>4.1560001025334028</v>
      </c>
      <c r="M728" s="19">
        <f t="shared" si="219"/>
        <v>4.1560001025334028</v>
      </c>
      <c r="N728" s="19">
        <f t="shared" si="220"/>
        <v>4.1560001025334028</v>
      </c>
      <c r="O728" s="17"/>
      <c r="P728" s="19">
        <f t="shared" si="210"/>
        <v>5.3077083692036924</v>
      </c>
      <c r="Q728" s="19">
        <f t="shared" si="225"/>
        <v>16.427568190763836</v>
      </c>
      <c r="R728" s="19">
        <f t="shared" si="226"/>
        <v>0</v>
      </c>
      <c r="S728" s="19">
        <f t="shared" si="227"/>
        <v>0</v>
      </c>
      <c r="T728" s="19">
        <f t="shared" si="228"/>
        <v>0</v>
      </c>
      <c r="U728" s="17"/>
      <c r="V728" s="19">
        <f t="shared" si="221"/>
        <v>21.735276559967527</v>
      </c>
      <c r="W728" s="17"/>
      <c r="X728" s="19">
        <f t="shared" si="222"/>
        <v>28.094594652214489</v>
      </c>
      <c r="Y728" s="19">
        <f t="shared" si="223"/>
        <v>5.3004334400324744</v>
      </c>
      <c r="Z728" s="19"/>
      <c r="AA728" s="19">
        <f t="shared" si="224"/>
        <v>3.4447418212363643E-5</v>
      </c>
    </row>
    <row r="729" spans="2:27" x14ac:dyDescent="0.35">
      <c r="B729" s="27">
        <v>69.099999999999994</v>
      </c>
      <c r="C729" s="27">
        <v>13.78571</v>
      </c>
      <c r="D729" s="19">
        <f t="shared" si="211"/>
        <v>104.18493948926771</v>
      </c>
      <c r="E729" s="19">
        <f t="shared" si="212"/>
        <v>2.4721638795348846</v>
      </c>
      <c r="F729" s="19">
        <f t="shared" si="213"/>
        <v>5.5916643115526696</v>
      </c>
      <c r="G729" s="19">
        <f t="shared" si="214"/>
        <v>5.5916643115526696</v>
      </c>
      <c r="H729" s="19">
        <f t="shared" si="215"/>
        <v>5.5916643115526696</v>
      </c>
      <c r="I729" s="17"/>
      <c r="J729" s="19">
        <f t="shared" si="216"/>
        <v>99.583938596749576</v>
      </c>
      <c r="K729" s="19">
        <f t="shared" si="217"/>
        <v>1.8545316793254039</v>
      </c>
      <c r="L729" s="19">
        <f t="shared" si="218"/>
        <v>4.1649580967812838</v>
      </c>
      <c r="M729" s="19">
        <f t="shared" si="219"/>
        <v>4.1649580967812838</v>
      </c>
      <c r="N729" s="19">
        <f t="shared" si="220"/>
        <v>4.1649580967812838</v>
      </c>
      <c r="O729" s="17"/>
      <c r="P729" s="19">
        <f t="shared" si="210"/>
        <v>5.2929644305433428</v>
      </c>
      <c r="Q729" s="19">
        <f t="shared" si="225"/>
        <v>16.369490578255132</v>
      </c>
      <c r="R729" s="19">
        <f t="shared" si="226"/>
        <v>0</v>
      </c>
      <c r="S729" s="19">
        <f t="shared" si="227"/>
        <v>0</v>
      </c>
      <c r="T729" s="19">
        <f t="shared" si="228"/>
        <v>0</v>
      </c>
      <c r="U729" s="17"/>
      <c r="V729" s="19">
        <f t="shared" si="221"/>
        <v>21.662455008798474</v>
      </c>
      <c r="W729" s="17"/>
      <c r="X729" s="19">
        <f t="shared" si="222"/>
        <v>62.043111933631678</v>
      </c>
      <c r="Y729" s="19">
        <f t="shared" si="223"/>
        <v>7.8767450087984745</v>
      </c>
      <c r="Z729" s="19"/>
      <c r="AA729" s="19">
        <f t="shared" si="224"/>
        <v>5.119081911696765E-5</v>
      </c>
    </row>
    <row r="730" spans="2:27" x14ac:dyDescent="0.35">
      <c r="B730" s="27">
        <v>69.2</v>
      </c>
      <c r="C730" s="27">
        <v>33.535710000000002</v>
      </c>
      <c r="D730" s="19">
        <f t="shared" si="211"/>
        <v>104.32543882769022</v>
      </c>
      <c r="E730" s="19">
        <f t="shared" si="212"/>
        <v>2.4782888083620072</v>
      </c>
      <c r="F730" s="19">
        <f t="shared" si="213"/>
        <v>5.6027754226637816</v>
      </c>
      <c r="G730" s="19">
        <f t="shared" si="214"/>
        <v>5.6027754226637816</v>
      </c>
      <c r="H730" s="19">
        <f t="shared" si="215"/>
        <v>5.6027754226637816</v>
      </c>
      <c r="I730" s="17"/>
      <c r="J730" s="19">
        <f t="shared" si="216"/>
        <v>99.72304206344873</v>
      </c>
      <c r="K730" s="19">
        <f t="shared" si="217"/>
        <v>1.8585124166324243</v>
      </c>
      <c r="L730" s="19">
        <f t="shared" si="218"/>
        <v>4.1739198228918966</v>
      </c>
      <c r="M730" s="19">
        <f t="shared" si="219"/>
        <v>4.1739198228918966</v>
      </c>
      <c r="N730" s="19">
        <f t="shared" si="220"/>
        <v>4.1739198228918966</v>
      </c>
      <c r="O730" s="17"/>
      <c r="P730" s="19">
        <f t="shared" si="210"/>
        <v>5.2782816380398998</v>
      </c>
      <c r="Q730" s="19">
        <f t="shared" si="225"/>
        <v>16.311681687463789</v>
      </c>
      <c r="R730" s="19">
        <f t="shared" si="226"/>
        <v>0</v>
      </c>
      <c r="S730" s="19">
        <f t="shared" si="227"/>
        <v>0</v>
      </c>
      <c r="T730" s="19">
        <f t="shared" si="228"/>
        <v>0</v>
      </c>
      <c r="U730" s="17"/>
      <c r="V730" s="19">
        <f t="shared" si="221"/>
        <v>21.589963325503689</v>
      </c>
      <c r="W730" s="17"/>
      <c r="X730" s="19">
        <f t="shared" si="222"/>
        <v>142.70086361123973</v>
      </c>
      <c r="Y730" s="19">
        <f t="shared" si="223"/>
        <v>11.945746674496313</v>
      </c>
      <c r="Z730" s="19"/>
      <c r="AA730" s="19">
        <f t="shared" si="224"/>
        <v>7.7635185161914906E-5</v>
      </c>
    </row>
    <row r="731" spans="2:27" x14ac:dyDescent="0.35">
      <c r="B731" s="27">
        <v>69.3</v>
      </c>
      <c r="C731" s="27">
        <v>18.535710000000002</v>
      </c>
      <c r="D731" s="19">
        <f t="shared" si="211"/>
        <v>104.46593816611269</v>
      </c>
      <c r="E731" s="19">
        <f t="shared" si="212"/>
        <v>2.4844137371891297</v>
      </c>
      <c r="F731" s="19">
        <f t="shared" si="213"/>
        <v>5.6138865337748909</v>
      </c>
      <c r="G731" s="19">
        <f t="shared" si="214"/>
        <v>5.6138865337748909</v>
      </c>
      <c r="H731" s="19">
        <f t="shared" si="215"/>
        <v>5.6138865337748909</v>
      </c>
      <c r="I731" s="17"/>
      <c r="J731" s="19">
        <f t="shared" si="216"/>
        <v>99.862147456598919</v>
      </c>
      <c r="K731" s="19">
        <f t="shared" si="217"/>
        <v>1.8624961389608534</v>
      </c>
      <c r="L731" s="19">
        <f t="shared" si="218"/>
        <v>4.1828852694951504</v>
      </c>
      <c r="M731" s="19">
        <f t="shared" si="219"/>
        <v>4.1828852694951504</v>
      </c>
      <c r="N731" s="19">
        <f t="shared" si="220"/>
        <v>4.1828852694951504</v>
      </c>
      <c r="O731" s="17"/>
      <c r="P731" s="19">
        <f t="shared" si="210"/>
        <v>5.2636596548849788</v>
      </c>
      <c r="Q731" s="19">
        <f t="shared" si="225"/>
        <v>16.254140039661852</v>
      </c>
      <c r="R731" s="19">
        <f t="shared" si="226"/>
        <v>0</v>
      </c>
      <c r="S731" s="19">
        <f t="shared" si="227"/>
        <v>0</v>
      </c>
      <c r="T731" s="19">
        <f t="shared" si="228"/>
        <v>0</v>
      </c>
      <c r="U731" s="17"/>
      <c r="V731" s="19">
        <f t="shared" si="221"/>
        <v>21.517799694546831</v>
      </c>
      <c r="W731" s="17"/>
      <c r="X731" s="19">
        <f t="shared" si="222"/>
        <v>8.8928589463224004</v>
      </c>
      <c r="Y731" s="19">
        <f t="shared" si="223"/>
        <v>2.9820896945468292</v>
      </c>
      <c r="Z731" s="19"/>
      <c r="AA731" s="19">
        <f t="shared" si="224"/>
        <v>1.938054538690802E-5</v>
      </c>
    </row>
    <row r="732" spans="2:27" x14ac:dyDescent="0.35">
      <c r="B732" s="27">
        <v>69.400000000000006</v>
      </c>
      <c r="C732" s="27">
        <v>28.535710000000002</v>
      </c>
      <c r="D732" s="19">
        <f t="shared" si="211"/>
        <v>104.60643750453519</v>
      </c>
      <c r="E732" s="19">
        <f t="shared" si="212"/>
        <v>2.4905386660162523</v>
      </c>
      <c r="F732" s="19">
        <f t="shared" si="213"/>
        <v>5.6249976448860037</v>
      </c>
      <c r="G732" s="19">
        <f t="shared" si="214"/>
        <v>5.6249976448860037</v>
      </c>
      <c r="H732" s="19">
        <f t="shared" si="215"/>
        <v>5.6249976448860037</v>
      </c>
      <c r="I732" s="17"/>
      <c r="J732" s="19">
        <f t="shared" si="216"/>
        <v>100.00125477091666</v>
      </c>
      <c r="K732" s="19">
        <f t="shared" si="217"/>
        <v>1.8664828402370282</v>
      </c>
      <c r="L732" s="19">
        <f t="shared" si="218"/>
        <v>4.1918544252671985</v>
      </c>
      <c r="M732" s="19">
        <f t="shared" si="219"/>
        <v>4.1918544252671985</v>
      </c>
      <c r="N732" s="19">
        <f t="shared" si="220"/>
        <v>4.1918544252671985</v>
      </c>
      <c r="O732" s="17"/>
      <c r="P732" s="19">
        <f t="shared" si="210"/>
        <v>5.2490981465814057</v>
      </c>
      <c r="Q732" s="19">
        <f t="shared" si="225"/>
        <v>16.196864165263957</v>
      </c>
      <c r="R732" s="19">
        <f t="shared" si="226"/>
        <v>0</v>
      </c>
      <c r="S732" s="19">
        <f t="shared" si="227"/>
        <v>0</v>
      </c>
      <c r="T732" s="19">
        <f t="shared" si="228"/>
        <v>0</v>
      </c>
      <c r="U732" s="17"/>
      <c r="V732" s="19">
        <f t="shared" si="221"/>
        <v>21.445962311845364</v>
      </c>
      <c r="W732" s="17"/>
      <c r="X732" s="19">
        <f t="shared" si="222"/>
        <v>50.264522281694035</v>
      </c>
      <c r="Y732" s="19">
        <f t="shared" si="223"/>
        <v>7.0897476881546382</v>
      </c>
      <c r="Z732" s="19"/>
      <c r="AA732" s="19">
        <f t="shared" si="224"/>
        <v>4.6076138187013031E-5</v>
      </c>
    </row>
    <row r="733" spans="2:27" x14ac:dyDescent="0.35">
      <c r="B733" s="27">
        <v>69.5</v>
      </c>
      <c r="C733" s="27">
        <v>-0.96428999999999998</v>
      </c>
      <c r="D733" s="19">
        <f t="shared" si="211"/>
        <v>104.74693684295768</v>
      </c>
      <c r="E733" s="19">
        <f t="shared" si="212"/>
        <v>2.496663594843374</v>
      </c>
      <c r="F733" s="19">
        <f t="shared" si="213"/>
        <v>5.6361087559971139</v>
      </c>
      <c r="G733" s="19">
        <f t="shared" si="214"/>
        <v>5.6361087559971139</v>
      </c>
      <c r="H733" s="19">
        <f t="shared" si="215"/>
        <v>5.6361087559971139</v>
      </c>
      <c r="I733" s="17"/>
      <c r="J733" s="19">
        <f t="shared" si="216"/>
        <v>100.14036400113999</v>
      </c>
      <c r="K733" s="19">
        <f t="shared" si="217"/>
        <v>1.8704725143987915</v>
      </c>
      <c r="L733" s="19">
        <f t="shared" si="218"/>
        <v>4.2008272789302072</v>
      </c>
      <c r="M733" s="19">
        <f t="shared" si="219"/>
        <v>4.2008272789302072</v>
      </c>
      <c r="N733" s="19">
        <f t="shared" si="220"/>
        <v>4.2008272789302072</v>
      </c>
      <c r="O733" s="17"/>
      <c r="P733" s="19">
        <f t="shared" si="210"/>
        <v>5.2345967809242735</v>
      </c>
      <c r="Q733" s="19">
        <f t="shared" si="225"/>
        <v>16.139852603766499</v>
      </c>
      <c r="R733" s="19">
        <f t="shared" si="226"/>
        <v>0</v>
      </c>
      <c r="S733" s="19">
        <f t="shared" si="227"/>
        <v>0</v>
      </c>
      <c r="T733" s="19">
        <f t="shared" si="228"/>
        <v>0</v>
      </c>
      <c r="U733" s="17"/>
      <c r="V733" s="19">
        <f t="shared" si="221"/>
        <v>21.374449384690774</v>
      </c>
      <c r="W733" s="17"/>
      <c r="X733" s="19">
        <f t="shared" si="222"/>
        <v>499.01927729713464</v>
      </c>
      <c r="Y733" s="19">
        <f t="shared" si="223"/>
        <v>22.338739384690772</v>
      </c>
      <c r="Z733" s="19"/>
      <c r="AA733" s="19">
        <f t="shared" si="224"/>
        <v>1.451790512280685E-4</v>
      </c>
    </row>
    <row r="734" spans="2:27" x14ac:dyDescent="0.35">
      <c r="B734" s="27">
        <v>69.599999999999994</v>
      </c>
      <c r="C734" s="27">
        <v>5.2857099999999999</v>
      </c>
      <c r="D734" s="19">
        <f t="shared" si="211"/>
        <v>104.88743618138017</v>
      </c>
      <c r="E734" s="19">
        <f t="shared" si="212"/>
        <v>2.5027885236704965</v>
      </c>
      <c r="F734" s="19">
        <f t="shared" si="213"/>
        <v>5.647219867108225</v>
      </c>
      <c r="G734" s="19">
        <f t="shared" si="214"/>
        <v>5.647219867108225</v>
      </c>
      <c r="H734" s="19">
        <f t="shared" si="215"/>
        <v>5.647219867108225</v>
      </c>
      <c r="I734" s="17"/>
      <c r="J734" s="19">
        <f t="shared" si="216"/>
        <v>100.2794751420285</v>
      </c>
      <c r="K734" s="19">
        <f t="shared" si="217"/>
        <v>1.8744651553955034</v>
      </c>
      <c r="L734" s="19">
        <f t="shared" si="218"/>
        <v>4.2098038192521487</v>
      </c>
      <c r="M734" s="19">
        <f t="shared" si="219"/>
        <v>4.2098038192521487</v>
      </c>
      <c r="N734" s="19">
        <f t="shared" si="220"/>
        <v>4.2098038192521487</v>
      </c>
      <c r="O734" s="17"/>
      <c r="P734" s="19">
        <f t="shared" si="210"/>
        <v>5.2201552279821293</v>
      </c>
      <c r="Q734" s="19">
        <f t="shared" si="225"/>
        <v>16.08310390368711</v>
      </c>
      <c r="R734" s="19">
        <f t="shared" si="226"/>
        <v>0</v>
      </c>
      <c r="S734" s="19">
        <f t="shared" si="227"/>
        <v>0</v>
      </c>
      <c r="T734" s="19">
        <f t="shared" si="228"/>
        <v>0</v>
      </c>
      <c r="U734" s="17"/>
      <c r="V734" s="19">
        <f t="shared" si="221"/>
        <v>21.30325913166924</v>
      </c>
      <c r="W734" s="17"/>
      <c r="X734" s="19">
        <f t="shared" si="222"/>
        <v>256.5618801854381</v>
      </c>
      <c r="Y734" s="19">
        <f t="shared" si="223"/>
        <v>16.017549131669242</v>
      </c>
      <c r="Z734" s="19"/>
      <c r="AA734" s="19">
        <f t="shared" si="224"/>
        <v>1.0409775349849728E-4</v>
      </c>
    </row>
    <row r="735" spans="2:27" x14ac:dyDescent="0.35">
      <c r="B735" s="27">
        <v>69.7</v>
      </c>
      <c r="C735" s="27">
        <v>6.7857099999999999</v>
      </c>
      <c r="D735" s="19">
        <f t="shared" si="211"/>
        <v>105.02793551980267</v>
      </c>
      <c r="E735" s="19">
        <f t="shared" si="212"/>
        <v>2.5089134524976191</v>
      </c>
      <c r="F735" s="19">
        <f t="shared" si="213"/>
        <v>5.6583309782193369</v>
      </c>
      <c r="G735" s="19">
        <f t="shared" si="214"/>
        <v>5.6583309782193369</v>
      </c>
      <c r="H735" s="19">
        <f t="shared" si="215"/>
        <v>5.6583309782193369</v>
      </c>
      <c r="I735" s="17"/>
      <c r="J735" s="19">
        <f t="shared" si="216"/>
        <v>100.41858818836322</v>
      </c>
      <c r="K735" s="19">
        <f t="shared" si="217"/>
        <v>1.8784607571880443</v>
      </c>
      <c r="L735" s="19">
        <f t="shared" si="218"/>
        <v>4.2187840350465802</v>
      </c>
      <c r="M735" s="19">
        <f t="shared" si="219"/>
        <v>4.2187840350465802</v>
      </c>
      <c r="N735" s="19">
        <f t="shared" si="220"/>
        <v>4.2187840350465802</v>
      </c>
      <c r="O735" s="17"/>
      <c r="P735" s="19">
        <f t="shared" si="210"/>
        <v>5.2057731600783672</v>
      </c>
      <c r="Q735" s="19">
        <f t="shared" si="225"/>
        <v>16.026616622504729</v>
      </c>
      <c r="R735" s="19">
        <f t="shared" si="226"/>
        <v>0</v>
      </c>
      <c r="S735" s="19">
        <f t="shared" si="227"/>
        <v>0</v>
      </c>
      <c r="T735" s="19">
        <f t="shared" si="228"/>
        <v>0</v>
      </c>
      <c r="U735" s="17"/>
      <c r="V735" s="19">
        <f t="shared" si="221"/>
        <v>21.232389782583098</v>
      </c>
      <c r="W735" s="17"/>
      <c r="X735" s="19">
        <f t="shared" si="222"/>
        <v>208.70655674049524</v>
      </c>
      <c r="Y735" s="19">
        <f t="shared" si="223"/>
        <v>14.446679782583098</v>
      </c>
      <c r="Z735" s="19"/>
      <c r="AA735" s="19">
        <f t="shared" si="224"/>
        <v>9.3888702854400853E-5</v>
      </c>
    </row>
    <row r="736" spans="2:27" x14ac:dyDescent="0.35">
      <c r="B736" s="27">
        <v>69.8</v>
      </c>
      <c r="C736" s="27">
        <v>14.28571</v>
      </c>
      <c r="D736" s="19">
        <f t="shared" si="211"/>
        <v>105.16843485822515</v>
      </c>
      <c r="E736" s="19">
        <f t="shared" si="212"/>
        <v>2.5150383813247408</v>
      </c>
      <c r="F736" s="19">
        <f t="shared" si="213"/>
        <v>5.6694420893304471</v>
      </c>
      <c r="G736" s="19">
        <f t="shared" si="214"/>
        <v>5.6694420893304471</v>
      </c>
      <c r="H736" s="19">
        <f t="shared" si="215"/>
        <v>5.6694420893304471</v>
      </c>
      <c r="I736" s="17"/>
      <c r="J736" s="19">
        <f t="shared" si="216"/>
        <v>100.55770313494639</v>
      </c>
      <c r="K736" s="19">
        <f t="shared" si="217"/>
        <v>1.8824593137488226</v>
      </c>
      <c r="L736" s="19">
        <f t="shared" si="218"/>
        <v>4.2277679151724206</v>
      </c>
      <c r="M736" s="19">
        <f t="shared" si="219"/>
        <v>4.2277679151724206</v>
      </c>
      <c r="N736" s="19">
        <f t="shared" si="220"/>
        <v>4.2277679151724206</v>
      </c>
      <c r="O736" s="17"/>
      <c r="P736" s="19">
        <f t="shared" si="210"/>
        <v>5.1914502517727961</v>
      </c>
      <c r="Q736" s="19">
        <f t="shared" si="225"/>
        <v>15.970389326599898</v>
      </c>
      <c r="R736" s="19">
        <f t="shared" si="226"/>
        <v>0</v>
      </c>
      <c r="S736" s="19">
        <f t="shared" si="227"/>
        <v>0</v>
      </c>
      <c r="T736" s="19">
        <f t="shared" si="228"/>
        <v>0</v>
      </c>
      <c r="U736" s="17"/>
      <c r="V736" s="19">
        <f t="shared" si="221"/>
        <v>21.161839578372692</v>
      </c>
      <c r="W736" s="17"/>
      <c r="X736" s="19">
        <f t="shared" si="222"/>
        <v>47.281157978571819</v>
      </c>
      <c r="Y736" s="19">
        <f t="shared" si="223"/>
        <v>6.8761295783726926</v>
      </c>
      <c r="Z736" s="19"/>
      <c r="AA736" s="19">
        <f t="shared" si="224"/>
        <v>4.468783806992898E-5</v>
      </c>
    </row>
    <row r="737" spans="2:27" x14ac:dyDescent="0.35">
      <c r="B737" s="27">
        <v>69.900000000000006</v>
      </c>
      <c r="C737" s="27">
        <v>19.285710000000002</v>
      </c>
      <c r="D737" s="19">
        <f t="shared" si="211"/>
        <v>105.30893419664766</v>
      </c>
      <c r="E737" s="19">
        <f t="shared" si="212"/>
        <v>2.5211633101518633</v>
      </c>
      <c r="F737" s="19">
        <f t="shared" si="213"/>
        <v>5.6805532004415591</v>
      </c>
      <c r="G737" s="19">
        <f t="shared" si="214"/>
        <v>5.6805532004415591</v>
      </c>
      <c r="H737" s="19">
        <f t="shared" si="215"/>
        <v>5.6805532004415591</v>
      </c>
      <c r="I737" s="17"/>
      <c r="J737" s="19">
        <f t="shared" si="216"/>
        <v>100.6968199766015</v>
      </c>
      <c r="K737" s="19">
        <f t="shared" si="217"/>
        <v>1.8864608190617838</v>
      </c>
      <c r="L737" s="19">
        <f t="shared" si="218"/>
        <v>4.236755448533752</v>
      </c>
      <c r="M737" s="19">
        <f t="shared" si="219"/>
        <v>4.236755448533752</v>
      </c>
      <c r="N737" s="19">
        <f t="shared" si="220"/>
        <v>4.236755448533752</v>
      </c>
      <c r="O737" s="17"/>
      <c r="P737" s="19">
        <f t="shared" si="210"/>
        <v>5.1771861798433676</v>
      </c>
      <c r="Q737" s="19">
        <f t="shared" si="225"/>
        <v>15.914420591195586</v>
      </c>
      <c r="R737" s="19">
        <f t="shared" si="226"/>
        <v>0</v>
      </c>
      <c r="S737" s="19">
        <f t="shared" si="227"/>
        <v>0</v>
      </c>
      <c r="T737" s="19">
        <f t="shared" si="228"/>
        <v>0</v>
      </c>
      <c r="U737" s="17"/>
      <c r="V737" s="19">
        <f t="shared" si="221"/>
        <v>21.091606771038954</v>
      </c>
      <c r="W737" s="17"/>
      <c r="X737" s="19">
        <f t="shared" si="222"/>
        <v>3.2612631476489145</v>
      </c>
      <c r="Y737" s="19">
        <f t="shared" si="223"/>
        <v>1.8058967710389524</v>
      </c>
      <c r="Z737" s="19"/>
      <c r="AA737" s="19">
        <f t="shared" si="224"/>
        <v>1.1736489482255393E-5</v>
      </c>
    </row>
    <row r="738" spans="2:27" x14ac:dyDescent="0.35">
      <c r="B738" s="27">
        <v>70</v>
      </c>
      <c r="C738" s="27">
        <v>18.785710000000002</v>
      </c>
      <c r="D738" s="19">
        <f t="shared" si="211"/>
        <v>105.44943353507014</v>
      </c>
      <c r="E738" s="19">
        <f t="shared" si="212"/>
        <v>2.5272882389789859</v>
      </c>
      <c r="F738" s="19">
        <f t="shared" si="213"/>
        <v>5.6916643115526693</v>
      </c>
      <c r="G738" s="19">
        <f t="shared" si="214"/>
        <v>5.6916643115526693</v>
      </c>
      <c r="H738" s="19">
        <f t="shared" si="215"/>
        <v>5.6916643115526693</v>
      </c>
      <c r="I738" s="17"/>
      <c r="J738" s="19">
        <f t="shared" si="216"/>
        <v>100.835938708173</v>
      </c>
      <c r="K738" s="19">
        <f t="shared" si="217"/>
        <v>1.8904652671224136</v>
      </c>
      <c r="L738" s="19">
        <f t="shared" si="218"/>
        <v>4.2457466240795876</v>
      </c>
      <c r="M738" s="19">
        <f t="shared" si="219"/>
        <v>4.2457466240795876</v>
      </c>
      <c r="N738" s="19">
        <f t="shared" si="220"/>
        <v>4.2457466240795876</v>
      </c>
      <c r="O738" s="17"/>
      <c r="P738" s="19">
        <f t="shared" si="210"/>
        <v>5.162980623268103</v>
      </c>
      <c r="Q738" s="19">
        <f t="shared" si="225"/>
        <v>15.858709000298376</v>
      </c>
      <c r="R738" s="19">
        <f t="shared" si="226"/>
        <v>0</v>
      </c>
      <c r="S738" s="19">
        <f t="shared" si="227"/>
        <v>0</v>
      </c>
      <c r="T738" s="19">
        <f t="shared" si="228"/>
        <v>0</v>
      </c>
      <c r="U738" s="17"/>
      <c r="V738" s="19">
        <f t="shared" si="221"/>
        <v>21.021689623566481</v>
      </c>
      <c r="W738" s="17"/>
      <c r="X738" s="19">
        <f t="shared" si="222"/>
        <v>4.9996048770044927</v>
      </c>
      <c r="Y738" s="19">
        <f t="shared" si="223"/>
        <v>2.2359796235664788</v>
      </c>
      <c r="Z738" s="19"/>
      <c r="AA738" s="19">
        <f t="shared" si="224"/>
        <v>1.4531589931038927E-5</v>
      </c>
    </row>
    <row r="739" spans="2:27" x14ac:dyDescent="0.35">
      <c r="B739" s="27">
        <v>70.099999999999994</v>
      </c>
      <c r="C739" s="27">
        <v>24.285710000000002</v>
      </c>
      <c r="D739" s="19">
        <f t="shared" si="211"/>
        <v>105.58993287349261</v>
      </c>
      <c r="E739" s="19">
        <f t="shared" si="212"/>
        <v>2.5334131678061076</v>
      </c>
      <c r="F739" s="19">
        <f t="shared" si="213"/>
        <v>5.7027754226637803</v>
      </c>
      <c r="G739" s="19">
        <f t="shared" si="214"/>
        <v>5.7027754226637803</v>
      </c>
      <c r="H739" s="19">
        <f t="shared" si="215"/>
        <v>5.7027754226637803</v>
      </c>
      <c r="I739" s="17"/>
      <c r="J739" s="19">
        <f t="shared" si="216"/>
        <v>100.97505932452634</v>
      </c>
      <c r="K739" s="19">
        <f t="shared" si="217"/>
        <v>1.8944726519377439</v>
      </c>
      <c r="L739" s="19">
        <f t="shared" si="218"/>
        <v>4.2547414308036728</v>
      </c>
      <c r="M739" s="19">
        <f t="shared" si="219"/>
        <v>4.2547414308036728</v>
      </c>
      <c r="N739" s="19">
        <f t="shared" si="220"/>
        <v>4.2547414308036728</v>
      </c>
      <c r="O739" s="17"/>
      <c r="P739" s="19">
        <f t="shared" si="210"/>
        <v>5.1488332632071652</v>
      </c>
      <c r="Q739" s="19">
        <f t="shared" si="225"/>
        <v>15.803253146640094</v>
      </c>
      <c r="R739" s="19">
        <f t="shared" si="226"/>
        <v>0</v>
      </c>
      <c r="S739" s="19">
        <f t="shared" si="227"/>
        <v>0</v>
      </c>
      <c r="T739" s="19">
        <f t="shared" si="228"/>
        <v>0</v>
      </c>
      <c r="U739" s="17"/>
      <c r="V739" s="19">
        <f t="shared" si="221"/>
        <v>20.952086409847258</v>
      </c>
      <c r="W739" s="17"/>
      <c r="X739" s="19">
        <f t="shared" si="222"/>
        <v>11.113046240822868</v>
      </c>
      <c r="Y739" s="19">
        <f t="shared" si="223"/>
        <v>3.3336235901527438</v>
      </c>
      <c r="Z739" s="19"/>
      <c r="AA739" s="19">
        <f t="shared" si="224"/>
        <v>2.1665157627540954E-5</v>
      </c>
    </row>
    <row r="740" spans="2:27" x14ac:dyDescent="0.35">
      <c r="B740" s="27">
        <v>70.2</v>
      </c>
      <c r="C740" s="27">
        <v>21.035710000000002</v>
      </c>
      <c r="D740" s="19">
        <f t="shared" si="211"/>
        <v>105.73043221191512</v>
      </c>
      <c r="E740" s="19">
        <f t="shared" si="212"/>
        <v>2.5395380966332302</v>
      </c>
      <c r="F740" s="19">
        <f t="shared" si="213"/>
        <v>5.7138865337748923</v>
      </c>
      <c r="G740" s="19">
        <f t="shared" si="214"/>
        <v>5.7138865337748923</v>
      </c>
      <c r="H740" s="19">
        <f t="shared" si="215"/>
        <v>5.7138865337748923</v>
      </c>
      <c r="I740" s="17"/>
      <c r="J740" s="19">
        <f t="shared" si="216"/>
        <v>101.11418182054781</v>
      </c>
      <c r="K740" s="19">
        <f t="shared" si="217"/>
        <v>1.8984829675263613</v>
      </c>
      <c r="L740" s="19">
        <f t="shared" si="218"/>
        <v>4.2637398577442669</v>
      </c>
      <c r="M740" s="19">
        <f t="shared" si="219"/>
        <v>4.2637398577442669</v>
      </c>
      <c r="N740" s="19">
        <f t="shared" si="220"/>
        <v>4.2637398577442669</v>
      </c>
      <c r="O740" s="17"/>
      <c r="P740" s="19">
        <f t="shared" si="210"/>
        <v>5.1347437829851117</v>
      </c>
      <c r="Q740" s="19">
        <f t="shared" si="225"/>
        <v>15.748051631619772</v>
      </c>
      <c r="R740" s="19">
        <f t="shared" si="226"/>
        <v>0</v>
      </c>
      <c r="S740" s="19">
        <f t="shared" si="227"/>
        <v>0</v>
      </c>
      <c r="T740" s="19">
        <f t="shared" si="228"/>
        <v>0</v>
      </c>
      <c r="U740" s="17"/>
      <c r="V740" s="19">
        <f t="shared" si="221"/>
        <v>20.882795414604885</v>
      </c>
      <c r="W740" s="17"/>
      <c r="X740" s="19">
        <f t="shared" si="222"/>
        <v>2.3382870426560339E-2</v>
      </c>
      <c r="Y740" s="19">
        <f t="shared" si="223"/>
        <v>0.15291458539511638</v>
      </c>
      <c r="Z740" s="19"/>
      <c r="AA740" s="19">
        <f t="shared" si="224"/>
        <v>9.9378904262657714E-7</v>
      </c>
    </row>
    <row r="741" spans="2:27" x14ac:dyDescent="0.35">
      <c r="B741" s="27">
        <v>70.3</v>
      </c>
      <c r="C741" s="27">
        <v>13.78571</v>
      </c>
      <c r="D741" s="19">
        <f t="shared" si="211"/>
        <v>105.8709315503376</v>
      </c>
      <c r="E741" s="19">
        <f t="shared" si="212"/>
        <v>2.5456630254603527</v>
      </c>
      <c r="F741" s="19">
        <f t="shared" si="213"/>
        <v>5.7249976448860025</v>
      </c>
      <c r="G741" s="19">
        <f t="shared" si="214"/>
        <v>5.7249976448860025</v>
      </c>
      <c r="H741" s="19">
        <f t="shared" si="215"/>
        <v>5.7249976448860025</v>
      </c>
      <c r="I741" s="17"/>
      <c r="J741" s="19">
        <f t="shared" si="216"/>
        <v>101.25330619114438</v>
      </c>
      <c r="K741" s="19">
        <f t="shared" si="217"/>
        <v>1.9024962079184078</v>
      </c>
      <c r="L741" s="19">
        <f t="shared" si="218"/>
        <v>4.2727418939839303</v>
      </c>
      <c r="M741" s="19">
        <f t="shared" si="219"/>
        <v>4.2727418939839303</v>
      </c>
      <c r="N741" s="19">
        <f t="shared" si="220"/>
        <v>4.2727418939839303</v>
      </c>
      <c r="O741" s="17"/>
      <c r="P741" s="19">
        <f t="shared" si="210"/>
        <v>5.1207118680733297</v>
      </c>
      <c r="Q741" s="19">
        <f t="shared" si="225"/>
        <v>15.693103065246106</v>
      </c>
      <c r="R741" s="19">
        <f t="shared" si="226"/>
        <v>0</v>
      </c>
      <c r="S741" s="19">
        <f t="shared" si="227"/>
        <v>0</v>
      </c>
      <c r="T741" s="19">
        <f t="shared" si="228"/>
        <v>0</v>
      </c>
      <c r="U741" s="17"/>
      <c r="V741" s="19">
        <f t="shared" si="221"/>
        <v>20.813814933319435</v>
      </c>
      <c r="W741" s="17"/>
      <c r="X741" s="19">
        <f t="shared" si="222"/>
        <v>49.394258953748981</v>
      </c>
      <c r="Y741" s="19">
        <f t="shared" si="223"/>
        <v>7.028104933319435</v>
      </c>
      <c r="Z741" s="19"/>
      <c r="AA741" s="19">
        <f t="shared" si="224"/>
        <v>4.5675523071363654E-5</v>
      </c>
    </row>
    <row r="742" spans="2:27" x14ac:dyDescent="0.35">
      <c r="B742" s="27">
        <v>70.400000000000006</v>
      </c>
      <c r="C742" s="27">
        <v>9.0357099999999999</v>
      </c>
      <c r="D742" s="19">
        <f t="shared" si="211"/>
        <v>106.0114308887601</v>
      </c>
      <c r="E742" s="19">
        <f t="shared" si="212"/>
        <v>2.5517879542874744</v>
      </c>
      <c r="F742" s="19">
        <f t="shared" si="213"/>
        <v>5.7361087559971145</v>
      </c>
      <c r="G742" s="19">
        <f t="shared" si="214"/>
        <v>5.7361087559971145</v>
      </c>
      <c r="H742" s="19">
        <f t="shared" si="215"/>
        <v>5.7361087559971145</v>
      </c>
      <c r="I742" s="17"/>
      <c r="J742" s="19">
        <f t="shared" si="216"/>
        <v>101.39243243124362</v>
      </c>
      <c r="K742" s="19">
        <f t="shared" si="217"/>
        <v>1.9065123671555879</v>
      </c>
      <c r="L742" s="19">
        <f t="shared" si="218"/>
        <v>4.2817475286493245</v>
      </c>
      <c r="M742" s="19">
        <f t="shared" si="219"/>
        <v>4.2817475286493245</v>
      </c>
      <c r="N742" s="19">
        <f t="shared" si="220"/>
        <v>4.2817475286493245</v>
      </c>
      <c r="O742" s="17"/>
      <c r="P742" s="19">
        <f t="shared" si="210"/>
        <v>5.1067372060726095</v>
      </c>
      <c r="Q742" s="19">
        <f t="shared" si="225"/>
        <v>15.638406066080227</v>
      </c>
      <c r="R742" s="19">
        <f t="shared" si="226"/>
        <v>0</v>
      </c>
      <c r="S742" s="19">
        <f t="shared" si="227"/>
        <v>0</v>
      </c>
      <c r="T742" s="19">
        <f t="shared" si="228"/>
        <v>0</v>
      </c>
      <c r="U742" s="17"/>
      <c r="V742" s="19">
        <f t="shared" si="221"/>
        <v>20.745143272152838</v>
      </c>
      <c r="W742" s="17"/>
      <c r="X742" s="19">
        <f t="shared" si="222"/>
        <v>137.1108275549999</v>
      </c>
      <c r="Y742" s="19">
        <f t="shared" si="223"/>
        <v>11.709433272152838</v>
      </c>
      <c r="Z742" s="19"/>
      <c r="AA742" s="19">
        <f t="shared" si="224"/>
        <v>7.6099388761146909E-5</v>
      </c>
    </row>
    <row r="743" spans="2:27" x14ac:dyDescent="0.35">
      <c r="B743" s="27">
        <v>70.5</v>
      </c>
      <c r="C743" s="27">
        <v>11</v>
      </c>
      <c r="D743" s="19">
        <f t="shared" si="211"/>
        <v>106.15193022718259</v>
      </c>
      <c r="E743" s="19">
        <f t="shared" si="212"/>
        <v>2.557912883114597</v>
      </c>
      <c r="F743" s="19">
        <f t="shared" si="213"/>
        <v>5.7472198671082255</v>
      </c>
      <c r="G743" s="19">
        <f t="shared" si="214"/>
        <v>5.7472198671082255</v>
      </c>
      <c r="H743" s="19">
        <f t="shared" si="215"/>
        <v>5.7472198671082255</v>
      </c>
      <c r="I743" s="17"/>
      <c r="J743" s="19">
        <f t="shared" si="216"/>
        <v>101.53156053579362</v>
      </c>
      <c r="K743" s="19">
        <f t="shared" si="217"/>
        <v>1.9105314392911747</v>
      </c>
      <c r="L743" s="19">
        <f t="shared" si="218"/>
        <v>4.2907567509109903</v>
      </c>
      <c r="M743" s="19">
        <f t="shared" si="219"/>
        <v>4.2907567509109903</v>
      </c>
      <c r="N743" s="19">
        <f t="shared" si="220"/>
        <v>4.2907567509109903</v>
      </c>
      <c r="O743" s="17"/>
      <c r="P743" s="19">
        <f t="shared" si="210"/>
        <v>5.0928194866959036</v>
      </c>
      <c r="Q743" s="19">
        <f t="shared" si="225"/>
        <v>15.583959261178892</v>
      </c>
      <c r="R743" s="19">
        <f t="shared" si="226"/>
        <v>0</v>
      </c>
      <c r="S743" s="19">
        <f t="shared" si="227"/>
        <v>0</v>
      </c>
      <c r="T743" s="19">
        <f t="shared" si="228"/>
        <v>0</v>
      </c>
      <c r="U743" s="17"/>
      <c r="V743" s="19">
        <f t="shared" si="221"/>
        <v>20.676778747874796</v>
      </c>
      <c r="W743" s="17"/>
      <c r="X743" s="19">
        <f t="shared" si="222"/>
        <v>93.640046935321294</v>
      </c>
      <c r="Y743" s="19">
        <f t="shared" si="223"/>
        <v>9.6767787478747955</v>
      </c>
      <c r="Z743" s="19"/>
      <c r="AA743" s="19">
        <f t="shared" si="224"/>
        <v>6.2889204863690059E-5</v>
      </c>
    </row>
    <row r="744" spans="2:27" x14ac:dyDescent="0.35">
      <c r="B744" s="27">
        <v>70.599999999999994</v>
      </c>
      <c r="C744" s="27">
        <v>15.78571</v>
      </c>
      <c r="D744" s="19">
        <f t="shared" si="211"/>
        <v>106.29242956560508</v>
      </c>
      <c r="E744" s="19">
        <f t="shared" si="212"/>
        <v>2.5640378119417186</v>
      </c>
      <c r="F744" s="19">
        <f t="shared" si="213"/>
        <v>5.7583309782193357</v>
      </c>
      <c r="G744" s="19">
        <f t="shared" si="214"/>
        <v>5.7583309782193357</v>
      </c>
      <c r="H744" s="19">
        <f t="shared" si="215"/>
        <v>5.7583309782193357</v>
      </c>
      <c r="I744" s="17"/>
      <c r="J744" s="19">
        <f t="shared" si="216"/>
        <v>101.6706904997628</v>
      </c>
      <c r="K744" s="19">
        <f t="shared" si="217"/>
        <v>1.9145534183900095</v>
      </c>
      <c r="L744" s="19">
        <f t="shared" si="218"/>
        <v>4.299769549983151</v>
      </c>
      <c r="M744" s="19">
        <f t="shared" si="219"/>
        <v>4.299769549983151</v>
      </c>
      <c r="N744" s="19">
        <f t="shared" si="220"/>
        <v>4.299769549983151</v>
      </c>
      <c r="O744" s="17"/>
      <c r="P744" s="19">
        <f t="shared" ref="P744:P788" si="229">(C$21*C$23/(1-C$23)^2*$A$21*C$22)/(J744+J744^2)</f>
        <v>5.0789584017512457</v>
      </c>
      <c r="Q744" s="19">
        <f t="shared" si="225"/>
        <v>15.529761286038113</v>
      </c>
      <c r="R744" s="19">
        <f t="shared" si="226"/>
        <v>0</v>
      </c>
      <c r="S744" s="19">
        <f t="shared" si="227"/>
        <v>0</v>
      </c>
      <c r="T744" s="19">
        <f t="shared" si="228"/>
        <v>0</v>
      </c>
      <c r="U744" s="17"/>
      <c r="V744" s="19">
        <f t="shared" si="221"/>
        <v>20.60871968778936</v>
      </c>
      <c r="W744" s="17"/>
      <c r="X744" s="19">
        <f t="shared" si="222"/>
        <v>23.261422448510025</v>
      </c>
      <c r="Y744" s="19">
        <f t="shared" si="223"/>
        <v>4.8230096877893605</v>
      </c>
      <c r="Z744" s="19"/>
      <c r="AA744" s="19">
        <f t="shared" si="224"/>
        <v>3.1344650137997701E-5</v>
      </c>
    </row>
    <row r="745" spans="2:27" x14ac:dyDescent="0.35">
      <c r="B745" s="27">
        <v>70.7</v>
      </c>
      <c r="C745" s="27">
        <v>9.5357099999999999</v>
      </c>
      <c r="D745" s="19">
        <f t="shared" si="211"/>
        <v>106.43292890402758</v>
      </c>
      <c r="E745" s="19">
        <f t="shared" si="212"/>
        <v>2.5701627407688412</v>
      </c>
      <c r="F745" s="19">
        <f t="shared" si="213"/>
        <v>5.7694420893304477</v>
      </c>
      <c r="G745" s="19">
        <f t="shared" si="214"/>
        <v>5.7694420893304477</v>
      </c>
      <c r="H745" s="19">
        <f t="shared" si="215"/>
        <v>5.7694420893304477</v>
      </c>
      <c r="I745" s="17"/>
      <c r="J745" s="19">
        <f t="shared" si="216"/>
        <v>101.80982231813994</v>
      </c>
      <c r="K745" s="19">
        <f t="shared" si="217"/>
        <v>1.9185782985285111</v>
      </c>
      <c r="L745" s="19">
        <f t="shared" si="218"/>
        <v>4.3087859151235008</v>
      </c>
      <c r="M745" s="19">
        <f t="shared" si="219"/>
        <v>4.3087859151235008</v>
      </c>
      <c r="N745" s="19">
        <f t="shared" si="220"/>
        <v>4.3087859151235008</v>
      </c>
      <c r="O745" s="17"/>
      <c r="P745" s="19">
        <f t="shared" si="229"/>
        <v>5.0651536451248083</v>
      </c>
      <c r="Q745" s="19">
        <f t="shared" si="225"/>
        <v>15.475810784537083</v>
      </c>
      <c r="R745" s="19">
        <f t="shared" si="226"/>
        <v>0</v>
      </c>
      <c r="S745" s="19">
        <f t="shared" si="227"/>
        <v>0</v>
      </c>
      <c r="T745" s="19">
        <f t="shared" si="228"/>
        <v>0</v>
      </c>
      <c r="U745" s="17"/>
      <c r="V745" s="19">
        <f t="shared" si="221"/>
        <v>20.540964429661891</v>
      </c>
      <c r="W745" s="17"/>
      <c r="X745" s="19">
        <f t="shared" si="222"/>
        <v>121.11562506159267</v>
      </c>
      <c r="Y745" s="19">
        <f t="shared" si="223"/>
        <v>11.005254429661891</v>
      </c>
      <c r="Z745" s="19"/>
      <c r="AA745" s="19">
        <f t="shared" si="224"/>
        <v>7.1522943578310088E-5</v>
      </c>
    </row>
    <row r="746" spans="2:27" x14ac:dyDescent="0.35">
      <c r="B746" s="27">
        <v>70.8</v>
      </c>
      <c r="C746" s="27">
        <v>-3.9642900000000001</v>
      </c>
      <c r="D746" s="19">
        <f t="shared" si="211"/>
        <v>106.57342824245006</v>
      </c>
      <c r="E746" s="19">
        <f t="shared" si="212"/>
        <v>2.5762876695959638</v>
      </c>
      <c r="F746" s="19">
        <f t="shared" si="213"/>
        <v>5.7805532004415578</v>
      </c>
      <c r="G746" s="19">
        <f t="shared" si="214"/>
        <v>5.7805532004415578</v>
      </c>
      <c r="H746" s="19">
        <f t="shared" si="215"/>
        <v>5.7805532004415578</v>
      </c>
      <c r="I746" s="17"/>
      <c r="J746" s="19">
        <f t="shared" si="216"/>
        <v>101.94895598593388</v>
      </c>
      <c r="K746" s="19">
        <f t="shared" si="217"/>
        <v>1.922606073794674</v>
      </c>
      <c r="L746" s="19">
        <f t="shared" si="218"/>
        <v>4.3178058356329991</v>
      </c>
      <c r="M746" s="19">
        <f t="shared" si="219"/>
        <v>4.3178058356329991</v>
      </c>
      <c r="N746" s="19">
        <f t="shared" si="220"/>
        <v>4.3178058356329991</v>
      </c>
      <c r="O746" s="17"/>
      <c r="P746" s="19">
        <f t="shared" si="229"/>
        <v>5.0514049127641618</v>
      </c>
      <c r="Q746" s="19">
        <f t="shared" si="225"/>
        <v>15.422106408882605</v>
      </c>
      <c r="R746" s="19">
        <f t="shared" si="226"/>
        <v>0</v>
      </c>
      <c r="S746" s="19">
        <f t="shared" si="227"/>
        <v>0</v>
      </c>
      <c r="T746" s="19">
        <f t="shared" si="228"/>
        <v>0</v>
      </c>
      <c r="U746" s="17"/>
      <c r="V746" s="19">
        <f t="shared" si="221"/>
        <v>20.473511321646768</v>
      </c>
      <c r="W746" s="17"/>
      <c r="X746" s="19">
        <f t="shared" si="222"/>
        <v>597.20613343628042</v>
      </c>
      <c r="Y746" s="19">
        <f t="shared" si="223"/>
        <v>24.437801321646766</v>
      </c>
      <c r="Z746" s="19"/>
      <c r="AA746" s="19">
        <f t="shared" si="224"/>
        <v>1.5882081566375854E-4</v>
      </c>
    </row>
    <row r="747" spans="2:27" x14ac:dyDescent="0.35">
      <c r="B747" s="27">
        <v>70.900000000000006</v>
      </c>
      <c r="C747" s="27">
        <v>11.03571</v>
      </c>
      <c r="D747" s="19">
        <f t="shared" si="211"/>
        <v>106.71392758087256</v>
      </c>
      <c r="E747" s="19">
        <f t="shared" si="212"/>
        <v>2.5824125984230863</v>
      </c>
      <c r="F747" s="19">
        <f t="shared" si="213"/>
        <v>5.7916643115526698</v>
      </c>
      <c r="G747" s="19">
        <f t="shared" si="214"/>
        <v>5.7916643115526698</v>
      </c>
      <c r="H747" s="19">
        <f t="shared" si="215"/>
        <v>5.7916643115526698</v>
      </c>
      <c r="I747" s="17"/>
      <c r="J747" s="19">
        <f t="shared" si="216"/>
        <v>102.08809149817363</v>
      </c>
      <c r="K747" s="19">
        <f t="shared" si="217"/>
        <v>1.9266367382880749</v>
      </c>
      <c r="L747" s="19">
        <f t="shared" si="218"/>
        <v>4.3268293008556675</v>
      </c>
      <c r="M747" s="19">
        <f t="shared" si="219"/>
        <v>4.3268293008556675</v>
      </c>
      <c r="N747" s="19">
        <f t="shared" si="220"/>
        <v>4.3268293008556675</v>
      </c>
      <c r="O747" s="17"/>
      <c r="P747" s="19">
        <f t="shared" si="229"/>
        <v>5.037711902661643</v>
      </c>
      <c r="Q747" s="19">
        <f t="shared" si="225"/>
        <v>15.368646819553781</v>
      </c>
      <c r="R747" s="19">
        <f t="shared" si="226"/>
        <v>0</v>
      </c>
      <c r="S747" s="19">
        <f t="shared" si="227"/>
        <v>0</v>
      </c>
      <c r="T747" s="19">
        <f t="shared" si="228"/>
        <v>0</v>
      </c>
      <c r="U747" s="17"/>
      <c r="V747" s="19">
        <f t="shared" si="221"/>
        <v>20.406358722215423</v>
      </c>
      <c r="W747" s="17"/>
      <c r="X747" s="19">
        <f t="shared" si="222"/>
        <v>87.80905747515753</v>
      </c>
      <c r="Y747" s="19">
        <f t="shared" si="223"/>
        <v>9.3706487222154227</v>
      </c>
      <c r="Z747" s="19"/>
      <c r="AA747" s="19">
        <f t="shared" si="224"/>
        <v>6.0899671528245433E-5</v>
      </c>
    </row>
    <row r="748" spans="2:27" x14ac:dyDescent="0.35">
      <c r="B748" s="27">
        <v>71</v>
      </c>
      <c r="C748" s="27">
        <v>18.285710000000002</v>
      </c>
      <c r="D748" s="19">
        <f t="shared" si="211"/>
        <v>106.85442691929505</v>
      </c>
      <c r="E748" s="19">
        <f t="shared" si="212"/>
        <v>2.588537527250208</v>
      </c>
      <c r="F748" s="19">
        <f t="shared" si="213"/>
        <v>5.8027754226637809</v>
      </c>
      <c r="G748" s="19">
        <f t="shared" si="214"/>
        <v>5.8027754226637809</v>
      </c>
      <c r="H748" s="19">
        <f t="shared" si="215"/>
        <v>5.8027754226637809</v>
      </c>
      <c r="I748" s="17"/>
      <c r="J748" s="19">
        <f t="shared" si="216"/>
        <v>102.22722884990803</v>
      </c>
      <c r="K748" s="19">
        <f t="shared" si="217"/>
        <v>1.9306702861198741</v>
      </c>
      <c r="L748" s="19">
        <f t="shared" si="218"/>
        <v>4.335856300178385</v>
      </c>
      <c r="M748" s="19">
        <f t="shared" si="219"/>
        <v>4.335856300178385</v>
      </c>
      <c r="N748" s="19">
        <f t="shared" si="220"/>
        <v>4.335856300178385</v>
      </c>
      <c r="O748" s="17"/>
      <c r="P748" s="19">
        <f t="shared" si="229"/>
        <v>5.0240743148379208</v>
      </c>
      <c r="Q748" s="19">
        <f t="shared" si="225"/>
        <v>15.315430685247199</v>
      </c>
      <c r="R748" s="19">
        <f t="shared" si="226"/>
        <v>0</v>
      </c>
      <c r="S748" s="19">
        <f t="shared" si="227"/>
        <v>0</v>
      </c>
      <c r="T748" s="19">
        <f t="shared" si="228"/>
        <v>0</v>
      </c>
      <c r="U748" s="17"/>
      <c r="V748" s="19">
        <f t="shared" si="221"/>
        <v>20.339505000085119</v>
      </c>
      <c r="W748" s="17"/>
      <c r="X748" s="19">
        <f t="shared" si="222"/>
        <v>4.2180739023746252</v>
      </c>
      <c r="Y748" s="19">
        <f t="shared" si="223"/>
        <v>2.0537950000851168</v>
      </c>
      <c r="Z748" s="19"/>
      <c r="AA748" s="19">
        <f t="shared" si="224"/>
        <v>1.3347575456010252E-5</v>
      </c>
    </row>
    <row r="749" spans="2:27" x14ac:dyDescent="0.35">
      <c r="B749" s="27">
        <v>71.099999999999994</v>
      </c>
      <c r="C749" s="27">
        <v>24.785710000000002</v>
      </c>
      <c r="D749" s="19">
        <f t="shared" si="211"/>
        <v>106.99492625771752</v>
      </c>
      <c r="E749" s="19">
        <f t="shared" si="212"/>
        <v>2.5946624560773297</v>
      </c>
      <c r="F749" s="19">
        <f t="shared" si="213"/>
        <v>5.8138865337748911</v>
      </c>
      <c r="G749" s="19">
        <f t="shared" si="214"/>
        <v>5.8138865337748911</v>
      </c>
      <c r="H749" s="19">
        <f t="shared" si="215"/>
        <v>5.8138865337748911</v>
      </c>
      <c r="I749" s="17"/>
      <c r="J749" s="19">
        <f t="shared" si="216"/>
        <v>102.36636803620584</v>
      </c>
      <c r="K749" s="19">
        <f t="shared" si="217"/>
        <v>1.9347067114128198</v>
      </c>
      <c r="L749" s="19">
        <f t="shared" si="218"/>
        <v>4.3448868230306852</v>
      </c>
      <c r="M749" s="19">
        <f t="shared" si="219"/>
        <v>4.3448868230306852</v>
      </c>
      <c r="N749" s="19">
        <f t="shared" si="220"/>
        <v>4.3448868230306852</v>
      </c>
      <c r="O749" s="17"/>
      <c r="P749" s="19">
        <f t="shared" si="229"/>
        <v>5.0104918513256891</v>
      </c>
      <c r="Q749" s="19">
        <f t="shared" si="225"/>
        <v>15.262456682822378</v>
      </c>
      <c r="R749" s="19">
        <f t="shared" si="226"/>
        <v>0</v>
      </c>
      <c r="S749" s="19">
        <f t="shared" si="227"/>
        <v>0</v>
      </c>
      <c r="T749" s="19">
        <f t="shared" si="228"/>
        <v>0</v>
      </c>
      <c r="U749" s="17"/>
      <c r="V749" s="19">
        <f t="shared" si="221"/>
        <v>20.272948534148068</v>
      </c>
      <c r="W749" s="17"/>
      <c r="X749" s="19">
        <f t="shared" si="222"/>
        <v>20.365016047678097</v>
      </c>
      <c r="Y749" s="19">
        <f t="shared" si="223"/>
        <v>4.5127614658519342</v>
      </c>
      <c r="Z749" s="19"/>
      <c r="AA749" s="19">
        <f t="shared" si="224"/>
        <v>2.9328352721638621E-5</v>
      </c>
    </row>
    <row r="750" spans="2:27" x14ac:dyDescent="0.35">
      <c r="B750" s="27">
        <v>71.2</v>
      </c>
      <c r="C750" s="27">
        <v>23.285710000000002</v>
      </c>
      <c r="D750" s="19">
        <f t="shared" si="211"/>
        <v>107.13542559614002</v>
      </c>
      <c r="E750" s="19">
        <f t="shared" si="212"/>
        <v>2.6007873849044532</v>
      </c>
      <c r="F750" s="19">
        <f t="shared" si="213"/>
        <v>5.8249976448860039</v>
      </c>
      <c r="G750" s="19">
        <f t="shared" si="214"/>
        <v>5.8249976448860039</v>
      </c>
      <c r="H750" s="19">
        <f t="shared" si="215"/>
        <v>5.8249976448860039</v>
      </c>
      <c r="I750" s="17"/>
      <c r="J750" s="19">
        <f t="shared" si="216"/>
        <v>102.50550905215557</v>
      </c>
      <c r="K750" s="19">
        <f t="shared" si="217"/>
        <v>1.9387460083012495</v>
      </c>
      <c r="L750" s="19">
        <f t="shared" si="218"/>
        <v>4.3539208588845595</v>
      </c>
      <c r="M750" s="19">
        <f t="shared" si="219"/>
        <v>4.3539208588845595</v>
      </c>
      <c r="N750" s="19">
        <f t="shared" si="220"/>
        <v>4.3539208588845595</v>
      </c>
      <c r="O750" s="17"/>
      <c r="P750" s="19">
        <f t="shared" si="229"/>
        <v>4.9969642161535157</v>
      </c>
      <c r="Q750" s="19">
        <f t="shared" si="225"/>
        <v>15.20972349724769</v>
      </c>
      <c r="R750" s="19">
        <f t="shared" si="226"/>
        <v>0</v>
      </c>
      <c r="S750" s="19">
        <f t="shared" si="227"/>
        <v>0</v>
      </c>
      <c r="T750" s="19">
        <f t="shared" si="228"/>
        <v>0</v>
      </c>
      <c r="U750" s="17"/>
      <c r="V750" s="19">
        <f t="shared" si="221"/>
        <v>20.206687713401205</v>
      </c>
      <c r="W750" s="17"/>
      <c r="X750" s="19">
        <f t="shared" si="222"/>
        <v>9.4803782413720814</v>
      </c>
      <c r="Y750" s="19">
        <f t="shared" si="223"/>
        <v>3.0790222865987964</v>
      </c>
      <c r="Z750" s="19"/>
      <c r="AA750" s="19">
        <f t="shared" si="224"/>
        <v>2.0010508497396981E-5</v>
      </c>
    </row>
    <row r="751" spans="2:27" x14ac:dyDescent="0.35">
      <c r="B751" s="27">
        <v>71.3</v>
      </c>
      <c r="C751" s="27">
        <v>13.03571</v>
      </c>
      <c r="D751" s="19">
        <f t="shared" si="211"/>
        <v>107.27592493456251</v>
      </c>
      <c r="E751" s="19">
        <f t="shared" si="212"/>
        <v>2.6069123137315748</v>
      </c>
      <c r="F751" s="19">
        <f t="shared" si="213"/>
        <v>5.8361087559971132</v>
      </c>
      <c r="G751" s="19">
        <f t="shared" si="214"/>
        <v>5.8361087559971132</v>
      </c>
      <c r="H751" s="19">
        <f t="shared" si="215"/>
        <v>5.8361087559971132</v>
      </c>
      <c r="I751" s="17"/>
      <c r="J751" s="19">
        <f t="shared" si="216"/>
        <v>102.64465189286531</v>
      </c>
      <c r="K751" s="19">
        <f t="shared" si="217"/>
        <v>1.9427881709310884</v>
      </c>
      <c r="L751" s="19">
        <f t="shared" si="218"/>
        <v>4.3629583972542436</v>
      </c>
      <c r="M751" s="19">
        <f t="shared" si="219"/>
        <v>4.3629583972542436</v>
      </c>
      <c r="N751" s="19">
        <f t="shared" si="220"/>
        <v>4.3629583972542436</v>
      </c>
      <c r="O751" s="17"/>
      <c r="P751" s="19">
        <f t="shared" si="229"/>
        <v>4.9834911153298602</v>
      </c>
      <c r="Q751" s="19">
        <f t="shared" si="225"/>
        <v>15.157229821546666</v>
      </c>
      <c r="R751" s="19">
        <f t="shared" si="226"/>
        <v>0</v>
      </c>
      <c r="S751" s="19">
        <f t="shared" si="227"/>
        <v>0</v>
      </c>
      <c r="T751" s="19">
        <f t="shared" si="228"/>
        <v>0</v>
      </c>
      <c r="U751" s="17"/>
      <c r="V751" s="19">
        <f t="shared" si="221"/>
        <v>20.140720936876527</v>
      </c>
      <c r="W751" s="17"/>
      <c r="X751" s="19">
        <f t="shared" si="222"/>
        <v>50.481180413135057</v>
      </c>
      <c r="Y751" s="19">
        <f t="shared" si="223"/>
        <v>7.1050109368765266</v>
      </c>
      <c r="Z751" s="19"/>
      <c r="AA751" s="19">
        <f t="shared" si="224"/>
        <v>4.6175333756196329E-5</v>
      </c>
    </row>
    <row r="752" spans="2:27" x14ac:dyDescent="0.35">
      <c r="B752" s="27">
        <v>71.400000000000006</v>
      </c>
      <c r="C752" s="27">
        <v>22.285710000000002</v>
      </c>
      <c r="D752" s="19">
        <f t="shared" si="211"/>
        <v>107.41642427298501</v>
      </c>
      <c r="E752" s="19">
        <f t="shared" si="212"/>
        <v>2.6130372425586974</v>
      </c>
      <c r="F752" s="19">
        <f t="shared" si="213"/>
        <v>5.8472198671082252</v>
      </c>
      <c r="G752" s="19">
        <f t="shared" si="214"/>
        <v>5.8472198671082252</v>
      </c>
      <c r="H752" s="19">
        <f t="shared" si="215"/>
        <v>5.8472198671082252</v>
      </c>
      <c r="I752" s="17"/>
      <c r="J752" s="19">
        <f t="shared" si="216"/>
        <v>102.78379655346272</v>
      </c>
      <c r="K752" s="19">
        <f t="shared" si="217"/>
        <v>1.9468331934598575</v>
      </c>
      <c r="L752" s="19">
        <f t="shared" si="218"/>
        <v>4.3719994276960374</v>
      </c>
      <c r="M752" s="19">
        <f t="shared" si="219"/>
        <v>4.3719994276960374</v>
      </c>
      <c r="N752" s="19">
        <f t="shared" si="220"/>
        <v>4.3719994276960374</v>
      </c>
      <c r="O752" s="17"/>
      <c r="P752" s="19">
        <f t="shared" si="229"/>
        <v>4.9700722568272147</v>
      </c>
      <c r="Q752" s="19">
        <f t="shared" si="225"/>
        <v>15.104974356744519</v>
      </c>
      <c r="R752" s="19">
        <f t="shared" si="226"/>
        <v>0</v>
      </c>
      <c r="S752" s="19">
        <f t="shared" si="227"/>
        <v>0</v>
      </c>
      <c r="T752" s="19">
        <f t="shared" si="228"/>
        <v>0</v>
      </c>
      <c r="U752" s="17"/>
      <c r="V752" s="19">
        <f t="shared" si="221"/>
        <v>20.075046613571732</v>
      </c>
      <c r="W752" s="17"/>
      <c r="X752" s="19">
        <f t="shared" si="222"/>
        <v>4.8870326080945032</v>
      </c>
      <c r="Y752" s="19">
        <f t="shared" si="223"/>
        <v>2.2106633864282692</v>
      </c>
      <c r="Z752" s="19"/>
      <c r="AA752" s="19">
        <f t="shared" si="224"/>
        <v>1.4367060177363172E-5</v>
      </c>
    </row>
    <row r="753" spans="2:27" x14ac:dyDescent="0.35">
      <c r="B753" s="27">
        <v>71.5</v>
      </c>
      <c r="C753" s="27">
        <v>5.7857099999999999</v>
      </c>
      <c r="D753" s="19">
        <f t="shared" si="211"/>
        <v>107.5569236114075</v>
      </c>
      <c r="E753" s="19">
        <f t="shared" si="212"/>
        <v>2.61916217138582</v>
      </c>
      <c r="F753" s="19">
        <f t="shared" si="213"/>
        <v>5.8583309782193362</v>
      </c>
      <c r="G753" s="19">
        <f t="shared" si="214"/>
        <v>5.8583309782193362</v>
      </c>
      <c r="H753" s="19">
        <f t="shared" si="215"/>
        <v>5.8583309782193362</v>
      </c>
      <c r="I753" s="17"/>
      <c r="J753" s="19">
        <f t="shared" si="216"/>
        <v>102.92294302909484</v>
      </c>
      <c r="K753" s="19">
        <f t="shared" si="217"/>
        <v>1.9508810700566703</v>
      </c>
      <c r="L753" s="19">
        <f t="shared" si="218"/>
        <v>4.3810439398080865</v>
      </c>
      <c r="M753" s="19">
        <f t="shared" si="219"/>
        <v>4.3810439398080865</v>
      </c>
      <c r="N753" s="19">
        <f t="shared" si="220"/>
        <v>4.3810439398080865</v>
      </c>
      <c r="O753" s="17"/>
      <c r="P753" s="19">
        <f t="shared" si="229"/>
        <v>4.9567073505664192</v>
      </c>
      <c r="Q753" s="19">
        <f t="shared" si="225"/>
        <v>15.05295581181522</v>
      </c>
      <c r="R753" s="19">
        <f t="shared" si="226"/>
        <v>0</v>
      </c>
      <c r="S753" s="19">
        <f t="shared" si="227"/>
        <v>0</v>
      </c>
      <c r="T753" s="19">
        <f t="shared" si="228"/>
        <v>0</v>
      </c>
      <c r="U753" s="17"/>
      <c r="V753" s="19">
        <f t="shared" si="221"/>
        <v>20.009663162381639</v>
      </c>
      <c r="W753" s="17"/>
      <c r="X753" s="19">
        <f t="shared" si="222"/>
        <v>202.32084356562663</v>
      </c>
      <c r="Y753" s="19">
        <f t="shared" si="223"/>
        <v>14.223953162381639</v>
      </c>
      <c r="Z753" s="19"/>
      <c r="AA753" s="19">
        <f t="shared" si="224"/>
        <v>9.2441206697735796E-5</v>
      </c>
    </row>
    <row r="754" spans="2:27" x14ac:dyDescent="0.35">
      <c r="B754" s="27">
        <v>71.599999999999994</v>
      </c>
      <c r="C754" s="27">
        <v>31.035710000000002</v>
      </c>
      <c r="D754" s="19">
        <f t="shared" ref="D754:D788" si="230">$C$23/(1-$C$23)-LN((1-$C$23)/$C$23)+$C$22/(1-$C$23)*B754</f>
        <v>107.69742294982998</v>
      </c>
      <c r="E754" s="19">
        <f t="shared" ref="E754:E788" si="231">$D$23/(1-$D$23)-LN((1-$D$23)/$D$23)+$D$22*B754/(1-$D$23)</f>
        <v>2.6252871002129416</v>
      </c>
      <c r="F754" s="19">
        <f t="shared" ref="F754:F788" si="232">$E$23/(1-$E$23)-LN((1-$E$23)/$E$23)+$E$22*B754/(1-$E$23)</f>
        <v>5.8694420893304473</v>
      </c>
      <c r="G754" s="19">
        <f t="shared" ref="G754:G788" si="233">$F$23/(1-$F$23)-LN((1-$F$23)/$F$23)+$F$22*B754/(1-$F$23)</f>
        <v>5.8694420893304473</v>
      </c>
      <c r="H754" s="19">
        <f t="shared" ref="H754:H788" si="234">$G$23/(1-$G$23)-LN((1-$G$23)/$G$23)+$G$22*B754/(1-$G$23)</f>
        <v>5.8694420893304473</v>
      </c>
      <c r="I754" s="17"/>
      <c r="J754" s="19">
        <f t="shared" ref="J754:J788" si="235">lmb_2(D754)</f>
        <v>103.06209131492807</v>
      </c>
      <c r="K754" s="19">
        <f t="shared" ref="K754:K788" si="236">lmb_2(E754)</f>
        <v>1.9549317949022347</v>
      </c>
      <c r="L754" s="19">
        <f t="shared" ref="L754:L788" si="237">lmb_2(F754)</f>
        <v>4.3900919232301989</v>
      </c>
      <c r="M754" s="19">
        <f t="shared" ref="M754:M788" si="238">lmb_2(G754)</f>
        <v>4.3900919232301989</v>
      </c>
      <c r="N754" s="19">
        <f t="shared" ref="N754:N788" si="239">lmb_2(H754)</f>
        <v>4.3900919232301989</v>
      </c>
      <c r="O754" s="17"/>
      <c r="P754" s="19">
        <f t="shared" si="229"/>
        <v>4.9433961084010916</v>
      </c>
      <c r="Q754" s="19">
        <f t="shared" si="225"/>
        <v>15.001172903628856</v>
      </c>
      <c r="R754" s="19">
        <f t="shared" si="226"/>
        <v>0</v>
      </c>
      <c r="S754" s="19">
        <f t="shared" si="227"/>
        <v>0</v>
      </c>
      <c r="T754" s="19">
        <f t="shared" si="228"/>
        <v>0</v>
      </c>
      <c r="U754" s="17"/>
      <c r="V754" s="19">
        <f t="shared" ref="V754:V788" si="240">SUM(P754:T754)</f>
        <v>19.944569012029948</v>
      </c>
      <c r="W754" s="17"/>
      <c r="X754" s="19">
        <f t="shared" ref="X754:X788" si="241">(V754-C754)^2</f>
        <v>123.01340841502933</v>
      </c>
      <c r="Y754" s="19">
        <f t="shared" ref="Y754:Y788" si="242">ABS(V754-C754)</f>
        <v>11.091140987970054</v>
      </c>
      <c r="Z754" s="19"/>
      <c r="AA754" s="19">
        <f t="shared" ref="AA754:AA788" si="243">Y754/$Z$39</f>
        <v>7.2081118721217593E-5</v>
      </c>
    </row>
    <row r="755" spans="2:27" x14ac:dyDescent="0.35">
      <c r="B755" s="27">
        <v>71.7</v>
      </c>
      <c r="C755" s="27">
        <v>12.28571</v>
      </c>
      <c r="D755" s="19">
        <f t="shared" si="230"/>
        <v>107.83792228825249</v>
      </c>
      <c r="E755" s="19">
        <f t="shared" si="231"/>
        <v>2.6314120290400642</v>
      </c>
      <c r="F755" s="19">
        <f t="shared" si="232"/>
        <v>5.8805532004415593</v>
      </c>
      <c r="G755" s="19">
        <f t="shared" si="233"/>
        <v>5.8805532004415593</v>
      </c>
      <c r="H755" s="19">
        <f t="shared" si="234"/>
        <v>5.8805532004415593</v>
      </c>
      <c r="I755" s="17"/>
      <c r="J755" s="19">
        <f t="shared" si="235"/>
        <v>103.20124140614803</v>
      </c>
      <c r="K755" s="19">
        <f t="shared" si="236"/>
        <v>1.958985362188856</v>
      </c>
      <c r="L755" s="19">
        <f t="shared" si="237"/>
        <v>4.3991433676436404</v>
      </c>
      <c r="M755" s="19">
        <f t="shared" si="238"/>
        <v>4.3991433676436404</v>
      </c>
      <c r="N755" s="19">
        <f t="shared" si="239"/>
        <v>4.3991433676436404</v>
      </c>
      <c r="O755" s="17"/>
      <c r="P755" s="19">
        <f t="shared" si="229"/>
        <v>4.9301382441022339</v>
      </c>
      <c r="Q755" s="19">
        <f t="shared" si="225"/>
        <v>14.949624356899301</v>
      </c>
      <c r="R755" s="19">
        <f t="shared" si="226"/>
        <v>0</v>
      </c>
      <c r="S755" s="19">
        <f t="shared" si="227"/>
        <v>0</v>
      </c>
      <c r="T755" s="19">
        <f t="shared" si="228"/>
        <v>0</v>
      </c>
      <c r="U755" s="17"/>
      <c r="V755" s="19">
        <f t="shared" si="240"/>
        <v>19.879762601001534</v>
      </c>
      <c r="W755" s="17"/>
      <c r="X755" s="19">
        <f t="shared" si="241"/>
        <v>57.669634906778171</v>
      </c>
      <c r="Y755" s="19">
        <f t="shared" si="242"/>
        <v>7.5940526010015343</v>
      </c>
      <c r="Z755" s="19"/>
      <c r="AA755" s="19">
        <f t="shared" si="243"/>
        <v>4.9353606423512609E-5</v>
      </c>
    </row>
    <row r="756" spans="2:27" x14ac:dyDescent="0.35">
      <c r="B756" s="27">
        <v>71.8</v>
      </c>
      <c r="C756" s="27">
        <v>2.2857099999999999</v>
      </c>
      <c r="D756" s="19">
        <f t="shared" si="230"/>
        <v>107.97842162667497</v>
      </c>
      <c r="E756" s="19">
        <f t="shared" si="231"/>
        <v>2.6375369578671859</v>
      </c>
      <c r="F756" s="19">
        <f t="shared" si="232"/>
        <v>5.8916643115526686</v>
      </c>
      <c r="G756" s="19">
        <f t="shared" si="233"/>
        <v>5.8916643115526686</v>
      </c>
      <c r="H756" s="19">
        <f t="shared" si="234"/>
        <v>5.8916643115526686</v>
      </c>
      <c r="I756" s="17"/>
      <c r="J756" s="19">
        <f t="shared" si="235"/>
        <v>103.34039329795944</v>
      </c>
      <c r="K756" s="19">
        <f t="shared" si="236"/>
        <v>1.9630417661204331</v>
      </c>
      <c r="L756" s="19">
        <f t="shared" si="237"/>
        <v>4.4081982627709415</v>
      </c>
      <c r="M756" s="19">
        <f t="shared" si="238"/>
        <v>4.4081982627709415</v>
      </c>
      <c r="N756" s="19">
        <f t="shared" si="239"/>
        <v>4.4081982627709415</v>
      </c>
      <c r="O756" s="17"/>
      <c r="P756" s="19">
        <f t="shared" si="229"/>
        <v>4.9169334733429588</v>
      </c>
      <c r="Q756" s="19">
        <f t="shared" si="225"/>
        <v>14.898308904132396</v>
      </c>
      <c r="R756" s="19">
        <f t="shared" si="226"/>
        <v>0</v>
      </c>
      <c r="S756" s="19">
        <f t="shared" si="227"/>
        <v>0</v>
      </c>
      <c r="T756" s="19">
        <f t="shared" si="228"/>
        <v>0</v>
      </c>
      <c r="U756" s="17"/>
      <c r="V756" s="19">
        <f t="shared" si="240"/>
        <v>19.815242377475354</v>
      </c>
      <c r="W756" s="17"/>
      <c r="X756" s="19">
        <f t="shared" si="241"/>
        <v>307.2845053729568</v>
      </c>
      <c r="Y756" s="19">
        <f t="shared" si="242"/>
        <v>17.529532377475356</v>
      </c>
      <c r="Z756" s="19"/>
      <c r="AA756" s="19">
        <f t="shared" si="243"/>
        <v>1.1392410445406199E-4</v>
      </c>
    </row>
    <row r="757" spans="2:27" x14ac:dyDescent="0.35">
      <c r="B757" s="27">
        <v>71.900000000000006</v>
      </c>
      <c r="C757" s="27">
        <v>7.0357099999999999</v>
      </c>
      <c r="D757" s="19">
        <f t="shared" si="230"/>
        <v>108.11892096509747</v>
      </c>
      <c r="E757" s="19">
        <f t="shared" si="231"/>
        <v>2.6436618866943093</v>
      </c>
      <c r="F757" s="19">
        <f t="shared" si="232"/>
        <v>5.9027754226637814</v>
      </c>
      <c r="G757" s="19">
        <f t="shared" si="233"/>
        <v>5.9027754226637814</v>
      </c>
      <c r="H757" s="19">
        <f t="shared" si="234"/>
        <v>5.9027754226637814</v>
      </c>
      <c r="I757" s="17"/>
      <c r="J757" s="19">
        <f t="shared" si="235"/>
        <v>103.47954698558604</v>
      </c>
      <c r="K757" s="19">
        <f t="shared" si="236"/>
        <v>1.9671010009124652</v>
      </c>
      <c r="L757" s="19">
        <f t="shared" si="237"/>
        <v>4.4172565983757073</v>
      </c>
      <c r="M757" s="19">
        <f t="shared" si="238"/>
        <v>4.4172565983757073</v>
      </c>
      <c r="N757" s="19">
        <f t="shared" si="239"/>
        <v>4.4172565983757073</v>
      </c>
      <c r="O757" s="17"/>
      <c r="P757" s="19">
        <f t="shared" si="229"/>
        <v>4.9037815136833718</v>
      </c>
      <c r="Q757" s="19">
        <f t="shared" si="225"/>
        <v>14.847225285574268</v>
      </c>
      <c r="R757" s="19">
        <f t="shared" si="226"/>
        <v>0</v>
      </c>
      <c r="S757" s="19">
        <f t="shared" si="227"/>
        <v>0</v>
      </c>
      <c r="T757" s="19">
        <f t="shared" si="228"/>
        <v>0</v>
      </c>
      <c r="U757" s="17"/>
      <c r="V757" s="19">
        <f t="shared" si="240"/>
        <v>19.751006799257638</v>
      </c>
      <c r="W757" s="17"/>
      <c r="X757" s="19">
        <f t="shared" si="241"/>
        <v>161.67877269321153</v>
      </c>
      <c r="Y757" s="19">
        <f t="shared" si="242"/>
        <v>12.715296799257638</v>
      </c>
      <c r="Z757" s="19"/>
      <c r="AA757" s="19">
        <f t="shared" si="243"/>
        <v>8.2636477090762824E-5</v>
      </c>
    </row>
    <row r="758" spans="2:27" x14ac:dyDescent="0.35">
      <c r="B758" s="27">
        <v>72</v>
      </c>
      <c r="C758" s="27">
        <v>26.035710000000002</v>
      </c>
      <c r="D758" s="19">
        <f t="shared" si="230"/>
        <v>108.25942030351996</v>
      </c>
      <c r="E758" s="19">
        <f t="shared" si="231"/>
        <v>2.649786815521431</v>
      </c>
      <c r="F758" s="19">
        <f t="shared" si="232"/>
        <v>5.9138865337748916</v>
      </c>
      <c r="G758" s="19">
        <f t="shared" si="233"/>
        <v>5.9138865337748916</v>
      </c>
      <c r="H758" s="19">
        <f t="shared" si="234"/>
        <v>5.9138865337748916</v>
      </c>
      <c r="I758" s="17"/>
      <c r="J758" s="19">
        <f t="shared" si="235"/>
        <v>103.61870246427048</v>
      </c>
      <c r="K758" s="19">
        <f t="shared" si="236"/>
        <v>1.9711630607920421</v>
      </c>
      <c r="L758" s="19">
        <f t="shared" si="237"/>
        <v>4.4263183642624107</v>
      </c>
      <c r="M758" s="19">
        <f t="shared" si="238"/>
        <v>4.4263183642624107</v>
      </c>
      <c r="N758" s="19">
        <f t="shared" si="239"/>
        <v>4.4263183642624107</v>
      </c>
      <c r="O758" s="17"/>
      <c r="P758" s="19">
        <f t="shared" si="229"/>
        <v>4.890682084555583</v>
      </c>
      <c r="Q758" s="19">
        <f t="shared" si="225"/>
        <v>14.796372249160299</v>
      </c>
      <c r="R758" s="19">
        <f t="shared" si="226"/>
        <v>0</v>
      </c>
      <c r="S758" s="19">
        <f t="shared" si="227"/>
        <v>0</v>
      </c>
      <c r="T758" s="19">
        <f t="shared" si="228"/>
        <v>0</v>
      </c>
      <c r="U758" s="17"/>
      <c r="V758" s="19">
        <f t="shared" si="240"/>
        <v>19.687054333715881</v>
      </c>
      <c r="W758" s="17"/>
      <c r="X758" s="19">
        <f t="shared" si="241"/>
        <v>40.30542876904147</v>
      </c>
      <c r="Y758" s="19">
        <f t="shared" si="242"/>
        <v>6.3486556662841203</v>
      </c>
      <c r="Z758" s="19"/>
      <c r="AA758" s="19">
        <f t="shared" si="243"/>
        <v>4.125979493885341E-5</v>
      </c>
    </row>
    <row r="759" spans="2:27" x14ac:dyDescent="0.35">
      <c r="B759" s="27">
        <v>72.099999999999994</v>
      </c>
      <c r="C759" s="27">
        <v>3.0357099999999999</v>
      </c>
      <c r="D759" s="19">
        <f t="shared" si="230"/>
        <v>108.39991964194243</v>
      </c>
      <c r="E759" s="19">
        <f t="shared" si="231"/>
        <v>2.6559117443485527</v>
      </c>
      <c r="F759" s="19">
        <f t="shared" si="232"/>
        <v>5.9249976448860027</v>
      </c>
      <c r="G759" s="19">
        <f t="shared" si="233"/>
        <v>5.9249976448860027</v>
      </c>
      <c r="H759" s="19">
        <f t="shared" si="234"/>
        <v>5.9249976448860027</v>
      </c>
      <c r="I759" s="17"/>
      <c r="J759" s="19">
        <f t="shared" si="235"/>
        <v>103.75785972927426</v>
      </c>
      <c r="K759" s="19">
        <f t="shared" si="236"/>
        <v>1.9752279399978543</v>
      </c>
      <c r="L759" s="19">
        <f t="shared" si="237"/>
        <v>4.4353835502762156</v>
      </c>
      <c r="M759" s="19">
        <f t="shared" si="238"/>
        <v>4.4353835502762156</v>
      </c>
      <c r="N759" s="19">
        <f t="shared" si="239"/>
        <v>4.4353835502762156</v>
      </c>
      <c r="O759" s="17"/>
      <c r="P759" s="19">
        <f t="shared" si="229"/>
        <v>4.8776349072488641</v>
      </c>
      <c r="Q759" s="19">
        <f t="shared" ref="Q759:Q788" si="244">(D$21*D$23/(1-D$23)^2*$A$21*D$22)/(K759+K759^2)</f>
        <v>14.745748550464103</v>
      </c>
      <c r="R759" s="19">
        <f t="shared" ref="R759:R788" si="245">(E$21*E$23/(1-E$23)^2*$A$21*E$22)/(L759+L759^2)</f>
        <v>0</v>
      </c>
      <c r="S759" s="19">
        <f t="shared" ref="S759:S788" si="246">(F$21*F$23/(1-F$23)^2*$A$21*F$22)/(M759+M759^2)</f>
        <v>0</v>
      </c>
      <c r="T759" s="19">
        <f t="shared" ref="T759:T788" si="247">(G$21*G$23/(1-G$23)^2*$A$21*G$22)/(N759+N759^2)</f>
        <v>0</v>
      </c>
      <c r="U759" s="17"/>
      <c r="V759" s="19">
        <f t="shared" si="240"/>
        <v>19.623383457712968</v>
      </c>
      <c r="W759" s="17"/>
      <c r="X759" s="19">
        <f t="shared" si="241"/>
        <v>275.15091073971524</v>
      </c>
      <c r="Y759" s="19">
        <f t="shared" si="242"/>
        <v>16.587673457712967</v>
      </c>
      <c r="Z759" s="19"/>
      <c r="AA759" s="19">
        <f t="shared" si="243"/>
        <v>1.0780298087555304E-4</v>
      </c>
    </row>
    <row r="760" spans="2:27" x14ac:dyDescent="0.35">
      <c r="B760" s="27">
        <v>72.2</v>
      </c>
      <c r="C760" s="27">
        <v>14.53571</v>
      </c>
      <c r="D760" s="19">
        <f t="shared" si="230"/>
        <v>108.54041898036493</v>
      </c>
      <c r="E760" s="19">
        <f t="shared" si="231"/>
        <v>2.6620366731756762</v>
      </c>
      <c r="F760" s="19">
        <f t="shared" si="232"/>
        <v>5.9361087559971137</v>
      </c>
      <c r="G760" s="19">
        <f t="shared" si="233"/>
        <v>5.9361087559971137</v>
      </c>
      <c r="H760" s="19">
        <f t="shared" si="234"/>
        <v>5.9361087559971137</v>
      </c>
      <c r="I760" s="17"/>
      <c r="J760" s="19">
        <f t="shared" si="235"/>
        <v>103.8970187758776</v>
      </c>
      <c r="K760" s="19">
        <f t="shared" si="236"/>
        <v>1.9792956327801872</v>
      </c>
      <c r="L760" s="19">
        <f t="shared" si="237"/>
        <v>4.4444521463027744</v>
      </c>
      <c r="M760" s="19">
        <f t="shared" si="238"/>
        <v>4.4444521463027744</v>
      </c>
      <c r="N760" s="19">
        <f t="shared" si="239"/>
        <v>4.4444521463027744</v>
      </c>
      <c r="O760" s="17"/>
      <c r="P760" s="19">
        <f t="shared" si="229"/>
        <v>4.8646397048949295</v>
      </c>
      <c r="Q760" s="19">
        <f t="shared" si="244"/>
        <v>14.695352952647131</v>
      </c>
      <c r="R760" s="19">
        <f t="shared" si="245"/>
        <v>0</v>
      </c>
      <c r="S760" s="19">
        <f t="shared" si="246"/>
        <v>0</v>
      </c>
      <c r="T760" s="19">
        <f t="shared" si="247"/>
        <v>0</v>
      </c>
      <c r="U760" s="17"/>
      <c r="V760" s="19">
        <f t="shared" si="240"/>
        <v>19.559992657542061</v>
      </c>
      <c r="W760" s="17"/>
      <c r="X760" s="19">
        <f t="shared" si="241"/>
        <v>25.243416222877915</v>
      </c>
      <c r="Y760" s="19">
        <f t="shared" si="242"/>
        <v>5.0242826575420612</v>
      </c>
      <c r="Z760" s="19"/>
      <c r="AA760" s="19">
        <f t="shared" si="243"/>
        <v>3.2652719419945557E-5</v>
      </c>
    </row>
    <row r="761" spans="2:27" x14ac:dyDescent="0.35">
      <c r="B761" s="27">
        <v>72.3</v>
      </c>
      <c r="C761" s="27">
        <v>12.28571</v>
      </c>
      <c r="D761" s="19">
        <f t="shared" si="230"/>
        <v>108.68091831878742</v>
      </c>
      <c r="E761" s="19">
        <f t="shared" si="231"/>
        <v>2.668161602002797</v>
      </c>
      <c r="F761" s="19">
        <f t="shared" si="232"/>
        <v>5.9472198671082248</v>
      </c>
      <c r="G761" s="19">
        <f t="shared" si="233"/>
        <v>5.9472198671082248</v>
      </c>
      <c r="H761" s="19">
        <f t="shared" si="234"/>
        <v>5.9472198671082248</v>
      </c>
      <c r="I761" s="17"/>
      <c r="J761" s="19">
        <f t="shared" si="235"/>
        <v>104.03617959937927</v>
      </c>
      <c r="K761" s="19">
        <f t="shared" si="236"/>
        <v>1.9833661334009158</v>
      </c>
      <c r="L761" s="19">
        <f t="shared" si="237"/>
        <v>4.4535241422680389</v>
      </c>
      <c r="M761" s="19">
        <f t="shared" si="238"/>
        <v>4.4535241422680389</v>
      </c>
      <c r="N761" s="19">
        <f t="shared" si="239"/>
        <v>4.4535241422680389</v>
      </c>
      <c r="O761" s="17"/>
      <c r="P761" s="19">
        <f t="shared" si="229"/>
        <v>4.8516962024533843</v>
      </c>
      <c r="Q761" s="19">
        <f t="shared" si="244"/>
        <v>14.645184226408563</v>
      </c>
      <c r="R761" s="19">
        <f t="shared" si="245"/>
        <v>0</v>
      </c>
      <c r="S761" s="19">
        <f t="shared" si="246"/>
        <v>0</v>
      </c>
      <c r="T761" s="19">
        <f t="shared" si="247"/>
        <v>0</v>
      </c>
      <c r="U761" s="17"/>
      <c r="V761" s="19">
        <f t="shared" si="240"/>
        <v>19.496880428861949</v>
      </c>
      <c r="W761" s="17"/>
      <c r="X761" s="19">
        <f t="shared" si="241"/>
        <v>52.000978954093036</v>
      </c>
      <c r="Y761" s="19">
        <f t="shared" si="242"/>
        <v>7.2111704288619496</v>
      </c>
      <c r="Z761" s="19"/>
      <c r="AA761" s="19">
        <f t="shared" si="243"/>
        <v>4.6865262317512539E-5</v>
      </c>
    </row>
    <row r="762" spans="2:27" x14ac:dyDescent="0.35">
      <c r="B762" s="27">
        <v>72.400000000000006</v>
      </c>
      <c r="C762" s="27">
        <v>24.535710000000002</v>
      </c>
      <c r="D762" s="19">
        <f t="shared" si="230"/>
        <v>108.82141765720992</v>
      </c>
      <c r="E762" s="19">
        <f t="shared" si="231"/>
        <v>2.6742865308299204</v>
      </c>
      <c r="F762" s="19">
        <f t="shared" si="232"/>
        <v>5.9583309782193377</v>
      </c>
      <c r="G762" s="19">
        <f t="shared" si="233"/>
        <v>5.9583309782193377</v>
      </c>
      <c r="H762" s="19">
        <f t="shared" si="234"/>
        <v>5.9583309782193377</v>
      </c>
      <c r="I762" s="17"/>
      <c r="J762" s="19">
        <f t="shared" si="235"/>
        <v>104.17534219509666</v>
      </c>
      <c r="K762" s="19">
        <f t="shared" si="236"/>
        <v>1.9874394361335155</v>
      </c>
      <c r="L762" s="19">
        <f t="shared" si="237"/>
        <v>4.4625995281380746</v>
      </c>
      <c r="M762" s="19">
        <f t="shared" si="238"/>
        <v>4.4625995281380746</v>
      </c>
      <c r="N762" s="19">
        <f t="shared" si="239"/>
        <v>4.4625995281380746</v>
      </c>
      <c r="O762" s="17"/>
      <c r="P762" s="19">
        <f t="shared" si="229"/>
        <v>4.8388041266972657</v>
      </c>
      <c r="Q762" s="19">
        <f t="shared" si="244"/>
        <v>14.595241149935367</v>
      </c>
      <c r="R762" s="19">
        <f t="shared" si="245"/>
        <v>0</v>
      </c>
      <c r="S762" s="19">
        <f t="shared" si="246"/>
        <v>0</v>
      </c>
      <c r="T762" s="19">
        <f t="shared" si="247"/>
        <v>0</v>
      </c>
      <c r="U762" s="17"/>
      <c r="V762" s="19">
        <f t="shared" si="240"/>
        <v>19.434045276632631</v>
      </c>
      <c r="W762" s="17"/>
      <c r="X762" s="19">
        <f t="shared" si="241"/>
        <v>26.026982949651071</v>
      </c>
      <c r="Y762" s="19">
        <f t="shared" si="242"/>
        <v>5.1016647233673709</v>
      </c>
      <c r="Z762" s="19"/>
      <c r="AA762" s="19">
        <f t="shared" si="243"/>
        <v>3.315562402459328E-5</v>
      </c>
    </row>
    <row r="763" spans="2:27" x14ac:dyDescent="0.35">
      <c r="B763" s="27">
        <v>72.5</v>
      </c>
      <c r="C763" s="27">
        <v>12.28571</v>
      </c>
      <c r="D763" s="19">
        <f t="shared" si="230"/>
        <v>108.96191699563241</v>
      </c>
      <c r="E763" s="19">
        <f t="shared" si="231"/>
        <v>2.6804114596570421</v>
      </c>
      <c r="F763" s="19">
        <f t="shared" si="232"/>
        <v>5.969442089330447</v>
      </c>
      <c r="G763" s="19">
        <f t="shared" si="233"/>
        <v>5.969442089330447</v>
      </c>
      <c r="H763" s="19">
        <f t="shared" si="234"/>
        <v>5.969442089330447</v>
      </c>
      <c r="I763" s="17"/>
      <c r="J763" s="19">
        <f t="shared" si="235"/>
        <v>104.31450655836549</v>
      </c>
      <c r="K763" s="19">
        <f t="shared" si="236"/>
        <v>1.9915155352630469</v>
      </c>
      <c r="L763" s="19">
        <f t="shared" si="237"/>
        <v>4.4716782939188642</v>
      </c>
      <c r="M763" s="19">
        <f t="shared" si="238"/>
        <v>4.4716782939188642</v>
      </c>
      <c r="N763" s="19">
        <f t="shared" si="239"/>
        <v>4.4716782939188642</v>
      </c>
      <c r="O763" s="17"/>
      <c r="P763" s="19">
        <f t="shared" si="229"/>
        <v>4.8259632061987512</v>
      </c>
      <c r="Q763" s="19">
        <f t="shared" si="244"/>
        <v>14.545522508853001</v>
      </c>
      <c r="R763" s="19">
        <f t="shared" si="245"/>
        <v>0</v>
      </c>
      <c r="S763" s="19">
        <f t="shared" si="246"/>
        <v>0</v>
      </c>
      <c r="T763" s="19">
        <f t="shared" si="247"/>
        <v>0</v>
      </c>
      <c r="U763" s="17"/>
      <c r="V763" s="19">
        <f t="shared" si="240"/>
        <v>19.371485715051751</v>
      </c>
      <c r="W763" s="17"/>
      <c r="X763" s="19">
        <f t="shared" si="241"/>
        <v>50.208217484017155</v>
      </c>
      <c r="Y763" s="19">
        <f t="shared" si="242"/>
        <v>7.0857757150517511</v>
      </c>
      <c r="Z763" s="19"/>
      <c r="AA763" s="19">
        <f t="shared" si="243"/>
        <v>4.6050324407790745E-5</v>
      </c>
    </row>
    <row r="764" spans="2:27" x14ac:dyDescent="0.35">
      <c r="B764" s="27">
        <v>72.599999999999994</v>
      </c>
      <c r="C764" s="27">
        <v>2.7857099999999999</v>
      </c>
      <c r="D764" s="19">
        <f t="shared" si="230"/>
        <v>109.10241633405489</v>
      </c>
      <c r="E764" s="19">
        <f t="shared" si="231"/>
        <v>2.6865363884841638</v>
      </c>
      <c r="F764" s="19">
        <f t="shared" si="232"/>
        <v>5.980553200441558</v>
      </c>
      <c r="G764" s="19">
        <f t="shared" si="233"/>
        <v>5.980553200441558</v>
      </c>
      <c r="H764" s="19">
        <f t="shared" si="234"/>
        <v>5.980553200441558</v>
      </c>
      <c r="I764" s="17"/>
      <c r="J764" s="19">
        <f t="shared" si="235"/>
        <v>104.45367268453991</v>
      </c>
      <c r="K764" s="19">
        <f t="shared" si="236"/>
        <v>1.9955944250861646</v>
      </c>
      <c r="L764" s="19">
        <f t="shared" si="237"/>
        <v>4.4807604296561294</v>
      </c>
      <c r="M764" s="19">
        <f t="shared" si="238"/>
        <v>4.4807604296561294</v>
      </c>
      <c r="N764" s="19">
        <f t="shared" si="239"/>
        <v>4.4807604296561294</v>
      </c>
      <c r="O764" s="17"/>
      <c r="P764" s="19">
        <f t="shared" si="229"/>
        <v>4.8131731713149666</v>
      </c>
      <c r="Q764" s="19">
        <f t="shared" si="244"/>
        <v>14.49602709617618</v>
      </c>
      <c r="R764" s="19">
        <f t="shared" si="245"/>
        <v>0</v>
      </c>
      <c r="S764" s="19">
        <f t="shared" si="246"/>
        <v>0</v>
      </c>
      <c r="T764" s="19">
        <f t="shared" si="247"/>
        <v>0</v>
      </c>
      <c r="U764" s="17"/>
      <c r="V764" s="19">
        <f t="shared" si="240"/>
        <v>19.309200267491146</v>
      </c>
      <c r="W764" s="17"/>
      <c r="X764" s="19">
        <f t="shared" si="241"/>
        <v>273.02573061987471</v>
      </c>
      <c r="Y764" s="19">
        <f t="shared" si="242"/>
        <v>16.523490267491148</v>
      </c>
      <c r="Z764" s="19"/>
      <c r="AA764" s="19">
        <f t="shared" si="243"/>
        <v>1.0738585551763871E-4</v>
      </c>
    </row>
    <row r="765" spans="2:27" x14ac:dyDescent="0.35">
      <c r="B765" s="27">
        <v>72.7</v>
      </c>
      <c r="C765" s="27">
        <v>23.535710000000002</v>
      </c>
      <c r="D765" s="19">
        <f t="shared" si="230"/>
        <v>109.24291567247739</v>
      </c>
      <c r="E765" s="19">
        <f t="shared" si="231"/>
        <v>2.6926613173112872</v>
      </c>
      <c r="F765" s="19">
        <f t="shared" si="232"/>
        <v>5.9916643115526691</v>
      </c>
      <c r="G765" s="19">
        <f t="shared" si="233"/>
        <v>5.9916643115526691</v>
      </c>
      <c r="H765" s="19">
        <f t="shared" si="234"/>
        <v>5.9916643115526691</v>
      </c>
      <c r="I765" s="17"/>
      <c r="J765" s="19">
        <f t="shared" si="235"/>
        <v>104.59284056899223</v>
      </c>
      <c r="K765" s="19">
        <f t="shared" si="236"/>
        <v>1.9996760999111109</v>
      </c>
      <c r="L765" s="19">
        <f t="shared" si="237"/>
        <v>4.4898459254351346</v>
      </c>
      <c r="M765" s="19">
        <f t="shared" si="238"/>
        <v>4.4898459254351346</v>
      </c>
      <c r="N765" s="19">
        <f t="shared" si="239"/>
        <v>4.4898459254351346</v>
      </c>
      <c r="O765" s="17"/>
      <c r="P765" s="19">
        <f t="shared" si="229"/>
        <v>4.8004337541739606</v>
      </c>
      <c r="Q765" s="19">
        <f t="shared" si="244"/>
        <v>14.446753712260149</v>
      </c>
      <c r="R765" s="19">
        <f t="shared" si="245"/>
        <v>0</v>
      </c>
      <c r="S765" s="19">
        <f t="shared" si="246"/>
        <v>0</v>
      </c>
      <c r="T765" s="19">
        <f t="shared" si="247"/>
        <v>0</v>
      </c>
      <c r="U765" s="17"/>
      <c r="V765" s="19">
        <f t="shared" si="240"/>
        <v>19.247187466434109</v>
      </c>
      <c r="W765" s="17"/>
      <c r="X765" s="19">
        <f t="shared" si="241"/>
        <v>18.39142552090242</v>
      </c>
      <c r="Y765" s="19">
        <f t="shared" si="242"/>
        <v>4.2885225335658923</v>
      </c>
      <c r="Z765" s="19"/>
      <c r="AA765" s="19">
        <f t="shared" si="243"/>
        <v>2.7871028076900916E-5</v>
      </c>
    </row>
    <row r="766" spans="2:27" x14ac:dyDescent="0.35">
      <c r="B766" s="27">
        <v>72.8</v>
      </c>
      <c r="C766" s="27">
        <v>38.035710000000002</v>
      </c>
      <c r="D766" s="19">
        <f t="shared" si="230"/>
        <v>109.38341501089988</v>
      </c>
      <c r="E766" s="19">
        <f t="shared" si="231"/>
        <v>2.6987862461384089</v>
      </c>
      <c r="F766" s="19">
        <f t="shared" si="232"/>
        <v>6.0027754226637802</v>
      </c>
      <c r="G766" s="19">
        <f t="shared" si="233"/>
        <v>6.0027754226637802</v>
      </c>
      <c r="H766" s="19">
        <f t="shared" si="234"/>
        <v>6.0027754226637802</v>
      </c>
      <c r="I766" s="17"/>
      <c r="J766" s="19">
        <f t="shared" si="235"/>
        <v>104.73201020711291</v>
      </c>
      <c r="K766" s="19">
        <f t="shared" si="236"/>
        <v>2.003760554057711</v>
      </c>
      <c r="L766" s="19">
        <f t="shared" si="237"/>
        <v>4.4989347713805072</v>
      </c>
      <c r="M766" s="19">
        <f t="shared" si="238"/>
        <v>4.4989347713805072</v>
      </c>
      <c r="N766" s="19">
        <f t="shared" si="239"/>
        <v>4.4989347713805072</v>
      </c>
      <c r="O766" s="17"/>
      <c r="P766" s="19">
        <f t="shared" si="229"/>
        <v>4.7877446886607755</v>
      </c>
      <c r="Q766" s="19">
        <f t="shared" si="244"/>
        <v>14.397701164752268</v>
      </c>
      <c r="R766" s="19">
        <f t="shared" si="245"/>
        <v>0</v>
      </c>
      <c r="S766" s="19">
        <f t="shared" si="246"/>
        <v>0</v>
      </c>
      <c r="T766" s="19">
        <f t="shared" si="247"/>
        <v>0</v>
      </c>
      <c r="U766" s="17"/>
      <c r="V766" s="19">
        <f t="shared" si="240"/>
        <v>19.185445853413043</v>
      </c>
      <c r="W766" s="17"/>
      <c r="X766" s="19">
        <f t="shared" si="241"/>
        <v>355.33245839610174</v>
      </c>
      <c r="Y766" s="19">
        <f t="shared" si="242"/>
        <v>18.850264146586959</v>
      </c>
      <c r="Z766" s="19"/>
      <c r="AA766" s="19">
        <f t="shared" si="243"/>
        <v>1.2250751562442537E-4</v>
      </c>
    </row>
    <row r="767" spans="2:27" x14ac:dyDescent="0.35">
      <c r="B767" s="27">
        <v>72.900000000000006</v>
      </c>
      <c r="C767" s="27">
        <v>9.5357099999999999</v>
      </c>
      <c r="D767" s="19">
        <f t="shared" si="230"/>
        <v>109.52391434932238</v>
      </c>
      <c r="E767" s="19">
        <f t="shared" si="231"/>
        <v>2.7049111749655315</v>
      </c>
      <c r="F767" s="19">
        <f t="shared" si="232"/>
        <v>6.013886533774893</v>
      </c>
      <c r="G767" s="19">
        <f t="shared" si="233"/>
        <v>6.013886533774893</v>
      </c>
      <c r="H767" s="19">
        <f t="shared" si="234"/>
        <v>6.013886533774893</v>
      </c>
      <c r="I767" s="17"/>
      <c r="J767" s="19">
        <f t="shared" si="235"/>
        <v>104.8711815943105</v>
      </c>
      <c r="K767" s="19">
        <f t="shared" si="236"/>
        <v>2.007847781857377</v>
      </c>
      <c r="L767" s="19">
        <f t="shared" si="237"/>
        <v>4.5080269576560488</v>
      </c>
      <c r="M767" s="19">
        <f t="shared" si="238"/>
        <v>4.5080269576560488</v>
      </c>
      <c r="N767" s="19">
        <f t="shared" si="239"/>
        <v>4.5080269576560488</v>
      </c>
      <c r="O767" s="17"/>
      <c r="P767" s="19">
        <f t="shared" si="229"/>
        <v>4.7751057104036621</v>
      </c>
      <c r="Q767" s="19">
        <f t="shared" si="244"/>
        <v>14.348868268543839</v>
      </c>
      <c r="R767" s="19">
        <f t="shared" si="245"/>
        <v>0</v>
      </c>
      <c r="S767" s="19">
        <f t="shared" si="246"/>
        <v>0</v>
      </c>
      <c r="T767" s="19">
        <f t="shared" si="247"/>
        <v>0</v>
      </c>
      <c r="U767" s="17"/>
      <c r="V767" s="19">
        <f t="shared" si="240"/>
        <v>19.1239739789475</v>
      </c>
      <c r="W767" s="17"/>
      <c r="X767" s="19">
        <f t="shared" si="241"/>
        <v>91.93480612998215</v>
      </c>
      <c r="Y767" s="19">
        <f t="shared" si="242"/>
        <v>9.5882639789475004</v>
      </c>
      <c r="Z767" s="19"/>
      <c r="AA767" s="19">
        <f t="shared" si="243"/>
        <v>6.2313949028916174E-5</v>
      </c>
    </row>
    <row r="768" spans="2:27" x14ac:dyDescent="0.35">
      <c r="B768" s="27">
        <v>73</v>
      </c>
      <c r="C768" s="27">
        <v>15.78571</v>
      </c>
      <c r="D768" s="19">
        <f t="shared" si="230"/>
        <v>109.66441368774485</v>
      </c>
      <c r="E768" s="19">
        <f t="shared" si="231"/>
        <v>2.7110361037926531</v>
      </c>
      <c r="F768" s="19">
        <f t="shared" si="232"/>
        <v>6.0249976448860041</v>
      </c>
      <c r="G768" s="19">
        <f t="shared" si="233"/>
        <v>6.0249976448860041</v>
      </c>
      <c r="H768" s="19">
        <f t="shared" si="234"/>
        <v>6.0249976448860041</v>
      </c>
      <c r="I768" s="17"/>
      <c r="J768" s="19">
        <f t="shared" si="235"/>
        <v>105.01035472601141</v>
      </c>
      <c r="K768" s="19">
        <f t="shared" si="236"/>
        <v>2.0119377776530993</v>
      </c>
      <c r="L768" s="19">
        <f t="shared" si="237"/>
        <v>4.5171224744645482</v>
      </c>
      <c r="M768" s="19">
        <f t="shared" si="238"/>
        <v>4.5171224744645482</v>
      </c>
      <c r="N768" s="19">
        <f t="shared" si="239"/>
        <v>4.5171224744645482</v>
      </c>
      <c r="O768" s="17"/>
      <c r="P768" s="19">
        <f t="shared" si="229"/>
        <v>4.762516556760418</v>
      </c>
      <c r="Q768" s="19">
        <f t="shared" si="244"/>
        <v>14.300253845722393</v>
      </c>
      <c r="R768" s="19">
        <f t="shared" si="245"/>
        <v>0</v>
      </c>
      <c r="S768" s="19">
        <f t="shared" si="246"/>
        <v>0</v>
      </c>
      <c r="T768" s="19">
        <f t="shared" si="247"/>
        <v>0</v>
      </c>
      <c r="U768" s="17"/>
      <c r="V768" s="19">
        <f t="shared" si="240"/>
        <v>19.062770402482812</v>
      </c>
      <c r="W768" s="17"/>
      <c r="X768" s="19">
        <f t="shared" si="241"/>
        <v>10.73912488152081</v>
      </c>
      <c r="Y768" s="19">
        <f t="shared" si="242"/>
        <v>3.2770604024828121</v>
      </c>
      <c r="Z768" s="19"/>
      <c r="AA768" s="19">
        <f t="shared" si="243"/>
        <v>2.1297554524297645E-5</v>
      </c>
    </row>
    <row r="769" spans="2:27" x14ac:dyDescent="0.35">
      <c r="B769" s="27">
        <v>73.099999999999994</v>
      </c>
      <c r="C769" s="27">
        <v>22.285710000000002</v>
      </c>
      <c r="D769" s="19">
        <f t="shared" si="230"/>
        <v>109.80491302616734</v>
      </c>
      <c r="E769" s="19">
        <f t="shared" si="231"/>
        <v>2.7171610326197757</v>
      </c>
      <c r="F769" s="19">
        <f t="shared" si="232"/>
        <v>6.0361087559971134</v>
      </c>
      <c r="G769" s="19">
        <f t="shared" si="233"/>
        <v>6.0361087559971134</v>
      </c>
      <c r="H769" s="19">
        <f t="shared" si="234"/>
        <v>6.0361087559971134</v>
      </c>
      <c r="I769" s="17"/>
      <c r="J769" s="19">
        <f t="shared" si="235"/>
        <v>105.14952959766002</v>
      </c>
      <c r="K769" s="19">
        <f t="shared" si="236"/>
        <v>2.0160305357994477</v>
      </c>
      <c r="L769" s="19">
        <f t="shared" si="237"/>
        <v>4.5262213120476043</v>
      </c>
      <c r="M769" s="19">
        <f t="shared" si="238"/>
        <v>4.5262213120476043</v>
      </c>
      <c r="N769" s="19">
        <f t="shared" si="239"/>
        <v>4.5262213120476043</v>
      </c>
      <c r="O769" s="17"/>
      <c r="P769" s="19">
        <f t="shared" si="229"/>
        <v>4.7499769668048444</v>
      </c>
      <c r="Q769" s="19">
        <f t="shared" si="244"/>
        <v>14.25185672552421</v>
      </c>
      <c r="R769" s="19">
        <f t="shared" si="245"/>
        <v>0</v>
      </c>
      <c r="S769" s="19">
        <f t="shared" si="246"/>
        <v>0</v>
      </c>
      <c r="T769" s="19">
        <f t="shared" si="247"/>
        <v>0</v>
      </c>
      <c r="U769" s="17"/>
      <c r="V769" s="19">
        <f t="shared" si="240"/>
        <v>19.001833692329054</v>
      </c>
      <c r="W769" s="17"/>
      <c r="X769" s="19">
        <f t="shared" si="241"/>
        <v>10.783843604082577</v>
      </c>
      <c r="Y769" s="19">
        <f t="shared" si="242"/>
        <v>3.2838763076709476</v>
      </c>
      <c r="Z769" s="19"/>
      <c r="AA769" s="19">
        <f t="shared" si="243"/>
        <v>2.1341850965177031E-5</v>
      </c>
    </row>
    <row r="770" spans="2:27" x14ac:dyDescent="0.35">
      <c r="B770" s="27">
        <v>73.2</v>
      </c>
      <c r="C770" s="27">
        <v>34.285710000000002</v>
      </c>
      <c r="D770" s="19">
        <f t="shared" si="230"/>
        <v>109.94541236458984</v>
      </c>
      <c r="E770" s="19">
        <f t="shared" si="231"/>
        <v>2.7232859614468983</v>
      </c>
      <c r="F770" s="19">
        <f t="shared" si="232"/>
        <v>6.0472198671082245</v>
      </c>
      <c r="G770" s="19">
        <f t="shared" si="233"/>
        <v>6.0472198671082245</v>
      </c>
      <c r="H770" s="19">
        <f t="shared" si="234"/>
        <v>6.0472198671082245</v>
      </c>
      <c r="I770" s="17"/>
      <c r="J770" s="19">
        <f t="shared" si="235"/>
        <v>105.28870620471842</v>
      </c>
      <c r="K770" s="19">
        <f t="shared" si="236"/>
        <v>2.0201260506625647</v>
      </c>
      <c r="L770" s="19">
        <f t="shared" si="237"/>
        <v>4.5353234606854436</v>
      </c>
      <c r="M770" s="19">
        <f t="shared" si="238"/>
        <v>4.5353234606854436</v>
      </c>
      <c r="N770" s="19">
        <f t="shared" si="239"/>
        <v>4.5353234606854436</v>
      </c>
      <c r="O770" s="17"/>
      <c r="P770" s="19">
        <f t="shared" si="229"/>
        <v>4.7374866813133316</v>
      </c>
      <c r="Q770" s="19">
        <f t="shared" si="244"/>
        <v>14.203675744287223</v>
      </c>
      <c r="R770" s="19">
        <f t="shared" si="245"/>
        <v>0</v>
      </c>
      <c r="S770" s="19">
        <f t="shared" si="246"/>
        <v>0</v>
      </c>
      <c r="T770" s="19">
        <f t="shared" si="247"/>
        <v>0</v>
      </c>
      <c r="U770" s="17"/>
      <c r="V770" s="19">
        <f t="shared" si="240"/>
        <v>18.941162425600552</v>
      </c>
      <c r="W770" s="17"/>
      <c r="X770" s="19">
        <f t="shared" si="241"/>
        <v>235.45514026300802</v>
      </c>
      <c r="Y770" s="19">
        <f t="shared" si="242"/>
        <v>15.344547574399449</v>
      </c>
      <c r="Z770" s="19"/>
      <c r="AA770" s="19">
        <f t="shared" si="243"/>
        <v>9.9723928911672077E-5</v>
      </c>
    </row>
    <row r="771" spans="2:27" x14ac:dyDescent="0.35">
      <c r="B771" s="27">
        <v>73.3</v>
      </c>
      <c r="C771" s="27">
        <v>-3.4642900000000001</v>
      </c>
      <c r="D771" s="19">
        <f t="shared" si="230"/>
        <v>110.08591170301233</v>
      </c>
      <c r="E771" s="19">
        <f t="shared" si="231"/>
        <v>2.72941089027402</v>
      </c>
      <c r="F771" s="19">
        <f t="shared" si="232"/>
        <v>6.0583309782193355</v>
      </c>
      <c r="G771" s="19">
        <f t="shared" si="233"/>
        <v>6.0583309782193355</v>
      </c>
      <c r="H771" s="19">
        <f t="shared" si="234"/>
        <v>6.0583309782193355</v>
      </c>
      <c r="I771" s="17"/>
      <c r="J771" s="19">
        <f t="shared" si="235"/>
        <v>105.42788454266635</v>
      </c>
      <c r="K771" s="19">
        <f t="shared" si="236"/>
        <v>2.0242243166201646</v>
      </c>
      <c r="L771" s="19">
        <f t="shared" si="237"/>
        <v>4.5444289106967339</v>
      </c>
      <c r="M771" s="19">
        <f t="shared" si="238"/>
        <v>4.5444289106967339</v>
      </c>
      <c r="N771" s="19">
        <f t="shared" si="239"/>
        <v>4.5444289106967339</v>
      </c>
      <c r="O771" s="17"/>
      <c r="P771" s="19">
        <f t="shared" si="229"/>
        <v>4.7250454427515765</v>
      </c>
      <c r="Q771" s="19">
        <f t="shared" si="244"/>
        <v>14.155709745404211</v>
      </c>
      <c r="R771" s="19">
        <f t="shared" si="245"/>
        <v>0</v>
      </c>
      <c r="S771" s="19">
        <f t="shared" si="246"/>
        <v>0</v>
      </c>
      <c r="T771" s="19">
        <f t="shared" si="247"/>
        <v>0</v>
      </c>
      <c r="U771" s="17"/>
      <c r="V771" s="19">
        <f t="shared" si="240"/>
        <v>18.880755188155788</v>
      </c>
      <c r="W771" s="17"/>
      <c r="X771" s="19">
        <f t="shared" si="241"/>
        <v>499.30104446072409</v>
      </c>
      <c r="Y771" s="19">
        <f t="shared" si="242"/>
        <v>22.345045188155787</v>
      </c>
      <c r="Z771" s="19"/>
      <c r="AA771" s="19">
        <f t="shared" si="243"/>
        <v>1.4522003252734938E-4</v>
      </c>
    </row>
    <row r="772" spans="2:27" x14ac:dyDescent="0.35">
      <c r="B772" s="27">
        <v>73.400000000000006</v>
      </c>
      <c r="C772" s="27">
        <v>8.7857099999999999</v>
      </c>
      <c r="D772" s="19">
        <f t="shared" si="230"/>
        <v>110.22641104143483</v>
      </c>
      <c r="E772" s="19">
        <f t="shared" si="231"/>
        <v>2.7355358191011434</v>
      </c>
      <c r="F772" s="19">
        <f t="shared" si="232"/>
        <v>6.0694420893304484</v>
      </c>
      <c r="G772" s="19">
        <f t="shared" si="233"/>
        <v>6.0694420893304484</v>
      </c>
      <c r="H772" s="19">
        <f t="shared" si="234"/>
        <v>6.0694420893304484</v>
      </c>
      <c r="I772" s="17"/>
      <c r="J772" s="19">
        <f t="shared" si="235"/>
        <v>105.56706460700119</v>
      </c>
      <c r="K772" s="19">
        <f t="shared" si="236"/>
        <v>2.0283253280615297</v>
      </c>
      <c r="L772" s="19">
        <f t="shared" si="237"/>
        <v>4.5535376524384041</v>
      </c>
      <c r="M772" s="19">
        <f t="shared" si="238"/>
        <v>4.5535376524384041</v>
      </c>
      <c r="N772" s="19">
        <f t="shared" si="239"/>
        <v>4.5535376524384041</v>
      </c>
      <c r="O772" s="17"/>
      <c r="P772" s="19">
        <f t="shared" si="229"/>
        <v>4.7126529952613918</v>
      </c>
      <c r="Q772" s="19">
        <f t="shared" si="244"/>
        <v>14.107957579276336</v>
      </c>
      <c r="R772" s="19">
        <f t="shared" si="245"/>
        <v>0</v>
      </c>
      <c r="S772" s="19">
        <f t="shared" si="246"/>
        <v>0</v>
      </c>
      <c r="T772" s="19">
        <f t="shared" si="247"/>
        <v>0</v>
      </c>
      <c r="U772" s="17"/>
      <c r="V772" s="19">
        <f t="shared" si="240"/>
        <v>18.820610574537728</v>
      </c>
      <c r="W772" s="17"/>
      <c r="X772" s="19">
        <f t="shared" si="241"/>
        <v>100.69922954085763</v>
      </c>
      <c r="Y772" s="19">
        <f t="shared" si="242"/>
        <v>10.034900574537728</v>
      </c>
      <c r="Z772" s="19"/>
      <c r="AA772" s="19">
        <f t="shared" si="243"/>
        <v>6.5216631945569991E-5</v>
      </c>
    </row>
    <row r="773" spans="2:27" x14ac:dyDescent="0.35">
      <c r="B773" s="27">
        <v>73.5</v>
      </c>
      <c r="C773" s="27">
        <v>20.285710000000002</v>
      </c>
      <c r="D773" s="19">
        <f t="shared" si="230"/>
        <v>110.36691037985732</v>
      </c>
      <c r="E773" s="19">
        <f t="shared" si="231"/>
        <v>2.7416607479282651</v>
      </c>
      <c r="F773" s="19">
        <f t="shared" si="232"/>
        <v>6.0805532004415594</v>
      </c>
      <c r="G773" s="19">
        <f t="shared" si="233"/>
        <v>6.0805532004415594</v>
      </c>
      <c r="H773" s="19">
        <f t="shared" si="234"/>
        <v>6.0805532004415594</v>
      </c>
      <c r="I773" s="17"/>
      <c r="J773" s="19">
        <f t="shared" si="235"/>
        <v>105.70624639323772</v>
      </c>
      <c r="K773" s="19">
        <f t="shared" si="236"/>
        <v>2.0324290793875028</v>
      </c>
      <c r="L773" s="19">
        <f t="shared" si="237"/>
        <v>4.5626496763054654</v>
      </c>
      <c r="M773" s="19">
        <f t="shared" si="238"/>
        <v>4.5626496763054654</v>
      </c>
      <c r="N773" s="19">
        <f t="shared" si="239"/>
        <v>4.5626496763054654</v>
      </c>
      <c r="O773" s="17"/>
      <c r="P773" s="19">
        <f t="shared" si="229"/>
        <v>4.7003090846476718</v>
      </c>
      <c r="Q773" s="19">
        <f t="shared" si="244"/>
        <v>14.060418103267018</v>
      </c>
      <c r="R773" s="19">
        <f t="shared" si="245"/>
        <v>0</v>
      </c>
      <c r="S773" s="19">
        <f t="shared" si="246"/>
        <v>0</v>
      </c>
      <c r="T773" s="19">
        <f t="shared" si="247"/>
        <v>0</v>
      </c>
      <c r="U773" s="17"/>
      <c r="V773" s="19">
        <f t="shared" si="240"/>
        <v>18.760727187914689</v>
      </c>
      <c r="W773" s="17"/>
      <c r="X773" s="19">
        <f t="shared" si="241"/>
        <v>2.325572577155627</v>
      </c>
      <c r="Y773" s="19">
        <f t="shared" si="242"/>
        <v>1.5249828120853124</v>
      </c>
      <c r="Z773" s="19"/>
      <c r="AA773" s="19">
        <f t="shared" si="243"/>
        <v>9.9108348947114151E-6</v>
      </c>
    </row>
    <row r="774" spans="2:27" x14ac:dyDescent="0.35">
      <c r="B774" s="27">
        <v>73.599999999999994</v>
      </c>
      <c r="C774" s="27">
        <v>28.785710000000002</v>
      </c>
      <c r="D774" s="19">
        <f t="shared" si="230"/>
        <v>110.5074097182798</v>
      </c>
      <c r="E774" s="19">
        <f t="shared" si="231"/>
        <v>2.7477856767553868</v>
      </c>
      <c r="F774" s="19">
        <f t="shared" si="232"/>
        <v>6.0916643115526687</v>
      </c>
      <c r="G774" s="19">
        <f t="shared" si="233"/>
        <v>6.0916643115526687</v>
      </c>
      <c r="H774" s="19">
        <f t="shared" si="234"/>
        <v>6.0916643115526687</v>
      </c>
      <c r="I774" s="17"/>
      <c r="J774" s="19">
        <f t="shared" si="235"/>
        <v>105.84542989690821</v>
      </c>
      <c r="K774" s="19">
        <f t="shared" si="236"/>
        <v>2.0365355650104893</v>
      </c>
      <c r="L774" s="19">
        <f t="shared" si="237"/>
        <v>4.5717649727308336</v>
      </c>
      <c r="M774" s="19">
        <f t="shared" si="238"/>
        <v>4.5717649727308336</v>
      </c>
      <c r="N774" s="19">
        <f t="shared" si="239"/>
        <v>4.5717649727308336</v>
      </c>
      <c r="O774" s="17"/>
      <c r="P774" s="19">
        <f t="shared" si="229"/>
        <v>4.6880134583654414</v>
      </c>
      <c r="Q774" s="19">
        <f t="shared" si="244"/>
        <v>14.013090181656056</v>
      </c>
      <c r="R774" s="19">
        <f t="shared" si="245"/>
        <v>0</v>
      </c>
      <c r="S774" s="19">
        <f t="shared" si="246"/>
        <v>0</v>
      </c>
      <c r="T774" s="19">
        <f t="shared" si="247"/>
        <v>0</v>
      </c>
      <c r="U774" s="17"/>
      <c r="V774" s="19">
        <f t="shared" si="240"/>
        <v>18.701103640021497</v>
      </c>
      <c r="W774" s="17"/>
      <c r="X774" s="19">
        <f t="shared" si="241"/>
        <v>101.69928543571891</v>
      </c>
      <c r="Y774" s="19">
        <f t="shared" si="242"/>
        <v>10.084606359978505</v>
      </c>
      <c r="Z774" s="19"/>
      <c r="AA774" s="19">
        <f t="shared" si="243"/>
        <v>6.5539668919437172E-5</v>
      </c>
    </row>
    <row r="775" spans="2:27" x14ac:dyDescent="0.35">
      <c r="B775" s="27">
        <v>73.7</v>
      </c>
      <c r="C775" s="27">
        <v>12.03571</v>
      </c>
      <c r="D775" s="19">
        <f t="shared" si="230"/>
        <v>110.6479090567023</v>
      </c>
      <c r="E775" s="19">
        <f t="shared" si="231"/>
        <v>2.7539106055825093</v>
      </c>
      <c r="F775" s="19">
        <f t="shared" si="232"/>
        <v>6.1027754226637816</v>
      </c>
      <c r="G775" s="19">
        <f t="shared" si="233"/>
        <v>6.1027754226637816</v>
      </c>
      <c r="H775" s="19">
        <f t="shared" si="234"/>
        <v>6.1027754226637816</v>
      </c>
      <c r="I775" s="17"/>
      <c r="J775" s="19">
        <f t="shared" si="235"/>
        <v>105.98461511356223</v>
      </c>
      <c r="K775" s="19">
        <f t="shared" si="236"/>
        <v>2.0406447793544471</v>
      </c>
      <c r="L775" s="19">
        <f t="shared" si="237"/>
        <v>4.5808835321851564</v>
      </c>
      <c r="M775" s="19">
        <f t="shared" si="238"/>
        <v>4.5808835321851564</v>
      </c>
      <c r="N775" s="19">
        <f t="shared" si="239"/>
        <v>4.5808835321851564</v>
      </c>
      <c r="O775" s="17"/>
      <c r="P775" s="19">
        <f t="shared" si="229"/>
        <v>4.6757658655070475</v>
      </c>
      <c r="Q775" s="19">
        <f t="shared" si="244"/>
        <v>13.965972685594144</v>
      </c>
      <c r="R775" s="19">
        <f t="shared" si="245"/>
        <v>0</v>
      </c>
      <c r="S775" s="19">
        <f t="shared" si="246"/>
        <v>0</v>
      </c>
      <c r="T775" s="19">
        <f t="shared" si="247"/>
        <v>0</v>
      </c>
      <c r="U775" s="17"/>
      <c r="V775" s="19">
        <f t="shared" si="240"/>
        <v>18.641738551101191</v>
      </c>
      <c r="W775" s="17"/>
      <c r="X775" s="19">
        <f t="shared" si="241"/>
        <v>43.639613217964111</v>
      </c>
      <c r="Y775" s="19">
        <f t="shared" si="242"/>
        <v>6.6060285511011916</v>
      </c>
      <c r="Z775" s="19"/>
      <c r="AA775" s="19">
        <f t="shared" si="243"/>
        <v>4.2932456524008953E-5</v>
      </c>
    </row>
    <row r="776" spans="2:27" x14ac:dyDescent="0.35">
      <c r="B776" s="27">
        <v>73.8</v>
      </c>
      <c r="C776" s="27">
        <v>1.7857099999999999</v>
      </c>
      <c r="D776" s="19">
        <f t="shared" si="230"/>
        <v>110.78840839512479</v>
      </c>
      <c r="E776" s="19">
        <f t="shared" si="231"/>
        <v>2.760035534409631</v>
      </c>
      <c r="F776" s="19">
        <f t="shared" si="232"/>
        <v>6.1138865337748909</v>
      </c>
      <c r="G776" s="19">
        <f t="shared" si="233"/>
        <v>6.1138865337748909</v>
      </c>
      <c r="H776" s="19">
        <f t="shared" si="234"/>
        <v>6.1138865337748909</v>
      </c>
      <c r="I776" s="17"/>
      <c r="J776" s="19">
        <f t="shared" si="235"/>
        <v>106.1238020387665</v>
      </c>
      <c r="K776" s="19">
        <f t="shared" si="236"/>
        <v>2.0447567168548839</v>
      </c>
      <c r="L776" s="19">
        <f t="shared" si="237"/>
        <v>4.5900053451766185</v>
      </c>
      <c r="M776" s="19">
        <f t="shared" si="238"/>
        <v>4.5900053451766185</v>
      </c>
      <c r="N776" s="19">
        <f t="shared" si="239"/>
        <v>4.5900053451766185</v>
      </c>
      <c r="O776" s="17"/>
      <c r="P776" s="19">
        <f t="shared" si="229"/>
        <v>4.6635660567894606</v>
      </c>
      <c r="Q776" s="19">
        <f t="shared" si="244"/>
        <v>13.919064493057686</v>
      </c>
      <c r="R776" s="19">
        <f t="shared" si="245"/>
        <v>0</v>
      </c>
      <c r="S776" s="19">
        <f t="shared" si="246"/>
        <v>0</v>
      </c>
      <c r="T776" s="19">
        <f t="shared" si="247"/>
        <v>0</v>
      </c>
      <c r="U776" s="17"/>
      <c r="V776" s="19">
        <f t="shared" si="240"/>
        <v>18.582630549847146</v>
      </c>
      <c r="W776" s="17"/>
      <c r="X776" s="19">
        <f t="shared" si="241"/>
        <v>282.13653995787729</v>
      </c>
      <c r="Y776" s="19">
        <f t="shared" si="242"/>
        <v>16.796920549847144</v>
      </c>
      <c r="Z776" s="19"/>
      <c r="AA776" s="19">
        <f t="shared" si="243"/>
        <v>1.0916287383034937E-4</v>
      </c>
    </row>
    <row r="777" spans="2:27" x14ac:dyDescent="0.35">
      <c r="B777" s="27">
        <v>73.900000000000006</v>
      </c>
      <c r="C777" s="27">
        <v>2.5357099999999999</v>
      </c>
      <c r="D777" s="19">
        <f t="shared" si="230"/>
        <v>110.92890773354729</v>
      </c>
      <c r="E777" s="19">
        <f t="shared" si="231"/>
        <v>2.7661604632367545</v>
      </c>
      <c r="F777" s="19">
        <f t="shared" si="232"/>
        <v>6.1249976448860037</v>
      </c>
      <c r="G777" s="19">
        <f t="shared" si="233"/>
        <v>6.1249976448860037</v>
      </c>
      <c r="H777" s="19">
        <f t="shared" si="234"/>
        <v>6.1249976448860037</v>
      </c>
      <c r="I777" s="17"/>
      <c r="J777" s="19">
        <f t="shared" si="235"/>
        <v>106.26299066810496</v>
      </c>
      <c r="K777" s="19">
        <f t="shared" si="236"/>
        <v>2.0488713719588554</v>
      </c>
      <c r="L777" s="19">
        <f t="shared" si="237"/>
        <v>4.5991304022507915</v>
      </c>
      <c r="M777" s="19">
        <f t="shared" si="238"/>
        <v>4.5991304022507915</v>
      </c>
      <c r="N777" s="19">
        <f t="shared" si="239"/>
        <v>4.5991304022507915</v>
      </c>
      <c r="O777" s="17"/>
      <c r="P777" s="19">
        <f t="shared" si="229"/>
        <v>4.6514137845416741</v>
      </c>
      <c r="Q777" s="19">
        <f t="shared" si="244"/>
        <v>13.872364488803862</v>
      </c>
      <c r="R777" s="19">
        <f t="shared" si="245"/>
        <v>0</v>
      </c>
      <c r="S777" s="19">
        <f t="shared" si="246"/>
        <v>0</v>
      </c>
      <c r="T777" s="19">
        <f t="shared" si="247"/>
        <v>0</v>
      </c>
      <c r="U777" s="17"/>
      <c r="V777" s="19">
        <f t="shared" si="240"/>
        <v>18.523778273345535</v>
      </c>
      <c r="W777" s="17"/>
      <c r="X777" s="19">
        <f t="shared" si="241"/>
        <v>255.61832711315807</v>
      </c>
      <c r="Y777" s="19">
        <f t="shared" si="242"/>
        <v>15.988068273345535</v>
      </c>
      <c r="Z777" s="19"/>
      <c r="AA777" s="19">
        <f t="shared" si="243"/>
        <v>1.0390615794929822E-4</v>
      </c>
    </row>
    <row r="778" spans="2:27" x14ac:dyDescent="0.35">
      <c r="B778" s="27">
        <v>74</v>
      </c>
      <c r="C778" s="27">
        <v>3.7857099999999999</v>
      </c>
      <c r="D778" s="19">
        <f t="shared" si="230"/>
        <v>111.06940707196976</v>
      </c>
      <c r="E778" s="19">
        <f t="shared" si="231"/>
        <v>2.7722853920638761</v>
      </c>
      <c r="F778" s="19">
        <f t="shared" si="232"/>
        <v>6.1361087559971148</v>
      </c>
      <c r="G778" s="19">
        <f t="shared" si="233"/>
        <v>6.1361087559971148</v>
      </c>
      <c r="H778" s="19">
        <f t="shared" si="234"/>
        <v>6.1361087559971148</v>
      </c>
      <c r="I778" s="17"/>
      <c r="J778" s="19">
        <f t="shared" si="235"/>
        <v>106.40218099717852</v>
      </c>
      <c r="K778" s="19">
        <f t="shared" si="236"/>
        <v>2.0529887391249519</v>
      </c>
      <c r="L778" s="19">
        <f t="shared" si="237"/>
        <v>4.6082586939904306</v>
      </c>
      <c r="M778" s="19">
        <f t="shared" si="238"/>
        <v>4.6082586939904306</v>
      </c>
      <c r="N778" s="19">
        <f t="shared" si="239"/>
        <v>4.6082586939904306</v>
      </c>
      <c r="O778" s="17"/>
      <c r="P778" s="19">
        <f t="shared" si="229"/>
        <v>4.6393088026922475</v>
      </c>
      <c r="Q778" s="19">
        <f t="shared" si="244"/>
        <v>13.825871564326127</v>
      </c>
      <c r="R778" s="19">
        <f t="shared" si="245"/>
        <v>0</v>
      </c>
      <c r="S778" s="19">
        <f t="shared" si="246"/>
        <v>0</v>
      </c>
      <c r="T778" s="19">
        <f t="shared" si="247"/>
        <v>0</v>
      </c>
      <c r="U778" s="17"/>
      <c r="V778" s="19">
        <f t="shared" si="240"/>
        <v>18.465180367018373</v>
      </c>
      <c r="W778" s="17"/>
      <c r="X778" s="19">
        <f t="shared" si="241"/>
        <v>215.48685025617053</v>
      </c>
      <c r="Y778" s="19">
        <f t="shared" si="242"/>
        <v>14.679470367018373</v>
      </c>
      <c r="Z778" s="19"/>
      <c r="AA778" s="19">
        <f t="shared" si="243"/>
        <v>9.5401604527191845E-5</v>
      </c>
    </row>
    <row r="779" spans="2:27" x14ac:dyDescent="0.35">
      <c r="B779" s="27">
        <v>74.099999999999994</v>
      </c>
      <c r="C779" s="27">
        <v>6.2857099999999999</v>
      </c>
      <c r="D779" s="19">
        <f t="shared" si="230"/>
        <v>111.20990641039225</v>
      </c>
      <c r="E779" s="19">
        <f t="shared" si="231"/>
        <v>2.7784103208909978</v>
      </c>
      <c r="F779" s="19">
        <f t="shared" si="232"/>
        <v>6.1472198671082241</v>
      </c>
      <c r="G779" s="19">
        <f t="shared" si="233"/>
        <v>6.1472198671082241</v>
      </c>
      <c r="H779" s="19">
        <f t="shared" si="234"/>
        <v>6.1472198671082241</v>
      </c>
      <c r="I779" s="17"/>
      <c r="J779" s="19">
        <f t="shared" si="235"/>
        <v>106.54137302160512</v>
      </c>
      <c r="K779" s="19">
        <f t="shared" si="236"/>
        <v>2.0571088128233033</v>
      </c>
      <c r="L779" s="19">
        <f t="shared" si="237"/>
        <v>4.617390211015322</v>
      </c>
      <c r="M779" s="19">
        <f t="shared" si="238"/>
        <v>4.617390211015322</v>
      </c>
      <c r="N779" s="19">
        <f t="shared" si="239"/>
        <v>4.617390211015322</v>
      </c>
      <c r="O779" s="17"/>
      <c r="P779" s="19">
        <f t="shared" si="229"/>
        <v>4.6272508667569285</v>
      </c>
      <c r="Q779" s="19">
        <f t="shared" si="244"/>
        <v>13.779584617809842</v>
      </c>
      <c r="R779" s="19">
        <f t="shared" si="245"/>
        <v>0</v>
      </c>
      <c r="S779" s="19">
        <f t="shared" si="246"/>
        <v>0</v>
      </c>
      <c r="T779" s="19">
        <f t="shared" si="247"/>
        <v>0</v>
      </c>
      <c r="U779" s="17"/>
      <c r="V779" s="19">
        <f t="shared" si="240"/>
        <v>18.40683548456677</v>
      </c>
      <c r="W779" s="17"/>
      <c r="X779" s="19">
        <f t="shared" si="241"/>
        <v>146.92168301261401</v>
      </c>
      <c r="Y779" s="19">
        <f t="shared" si="242"/>
        <v>12.12112548456677</v>
      </c>
      <c r="Z779" s="19"/>
      <c r="AA779" s="19">
        <f t="shared" si="243"/>
        <v>7.8774968782336472E-5</v>
      </c>
    </row>
    <row r="780" spans="2:27" x14ac:dyDescent="0.35">
      <c r="B780" s="27">
        <v>74.2</v>
      </c>
      <c r="C780" s="27">
        <v>4.5357099999999999</v>
      </c>
      <c r="D780" s="19">
        <f t="shared" si="230"/>
        <v>111.35040574881475</v>
      </c>
      <c r="E780" s="19">
        <f t="shared" si="231"/>
        <v>2.7845352497181204</v>
      </c>
      <c r="F780" s="19">
        <f t="shared" si="232"/>
        <v>6.1583309782193369</v>
      </c>
      <c r="G780" s="19">
        <f t="shared" si="233"/>
        <v>6.1583309782193369</v>
      </c>
      <c r="H780" s="19">
        <f t="shared" si="234"/>
        <v>6.1583309782193369</v>
      </c>
      <c r="I780" s="17"/>
      <c r="J780" s="19">
        <f t="shared" si="235"/>
        <v>106.68056673701955</v>
      </c>
      <c r="K780" s="19">
        <f t="shared" si="236"/>
        <v>2.0612315875355667</v>
      </c>
      <c r="L780" s="19">
        <f t="shared" si="237"/>
        <v>4.6265249439821048</v>
      </c>
      <c r="M780" s="19">
        <f t="shared" si="238"/>
        <v>4.6265249439821048</v>
      </c>
      <c r="N780" s="19">
        <f t="shared" si="239"/>
        <v>4.6265249439821048</v>
      </c>
      <c r="O780" s="17"/>
      <c r="P780" s="19">
        <f t="shared" si="229"/>
        <v>4.6152397338264173</v>
      </c>
      <c r="Q780" s="19">
        <f t="shared" si="244"/>
        <v>13.733502554088373</v>
      </c>
      <c r="R780" s="19">
        <f t="shared" si="245"/>
        <v>0</v>
      </c>
      <c r="S780" s="19">
        <f t="shared" si="246"/>
        <v>0</v>
      </c>
      <c r="T780" s="19">
        <f t="shared" si="247"/>
        <v>0</v>
      </c>
      <c r="U780" s="17"/>
      <c r="V780" s="19">
        <f t="shared" si="240"/>
        <v>18.348742287914789</v>
      </c>
      <c r="W780" s="17"/>
      <c r="X780" s="19">
        <f t="shared" si="241"/>
        <v>190.79986098697646</v>
      </c>
      <c r="Y780" s="19">
        <f t="shared" si="242"/>
        <v>13.813032287914789</v>
      </c>
      <c r="Z780" s="19"/>
      <c r="AA780" s="19">
        <f t="shared" si="243"/>
        <v>8.9770639587499041E-5</v>
      </c>
    </row>
    <row r="781" spans="2:27" x14ac:dyDescent="0.35">
      <c r="B781" s="27">
        <v>74.3</v>
      </c>
      <c r="C781" s="27">
        <v>15.53571</v>
      </c>
      <c r="D781" s="19">
        <f t="shared" si="230"/>
        <v>111.49090508723724</v>
      </c>
      <c r="E781" s="19">
        <f t="shared" si="231"/>
        <v>2.790660178545243</v>
      </c>
      <c r="F781" s="19">
        <f t="shared" si="232"/>
        <v>6.1694420893304462</v>
      </c>
      <c r="G781" s="19">
        <f t="shared" si="233"/>
        <v>6.1694420893304462</v>
      </c>
      <c r="H781" s="19">
        <f t="shared" si="234"/>
        <v>6.1694420893304462</v>
      </c>
      <c r="I781" s="17"/>
      <c r="J781" s="19">
        <f t="shared" si="235"/>
        <v>106.81976213907333</v>
      </c>
      <c r="K781" s="19">
        <f t="shared" si="236"/>
        <v>2.0653570577549232</v>
      </c>
      <c r="L781" s="19">
        <f t="shared" si="237"/>
        <v>4.6356628835840823</v>
      </c>
      <c r="M781" s="19">
        <f t="shared" si="238"/>
        <v>4.6356628835840823</v>
      </c>
      <c r="N781" s="19">
        <f t="shared" si="239"/>
        <v>4.6356628835840823</v>
      </c>
      <c r="O781" s="17"/>
      <c r="P781" s="19">
        <f t="shared" si="229"/>
        <v>4.6032751625542172</v>
      </c>
      <c r="Q781" s="19">
        <f t="shared" si="244"/>
        <v>13.687624284599414</v>
      </c>
      <c r="R781" s="19">
        <f t="shared" si="245"/>
        <v>0</v>
      </c>
      <c r="S781" s="19">
        <f t="shared" si="246"/>
        <v>0</v>
      </c>
      <c r="T781" s="19">
        <f t="shared" si="247"/>
        <v>0</v>
      </c>
      <c r="U781" s="17"/>
      <c r="V781" s="19">
        <f t="shared" si="240"/>
        <v>18.290899447153631</v>
      </c>
      <c r="W781" s="17"/>
      <c r="X781" s="19">
        <f t="shared" si="241"/>
        <v>7.5910688897067313</v>
      </c>
      <c r="Y781" s="19">
        <f t="shared" si="242"/>
        <v>2.7551894471536311</v>
      </c>
      <c r="Z781" s="19"/>
      <c r="AA781" s="19">
        <f t="shared" si="243"/>
        <v>1.7905924904852805E-5</v>
      </c>
    </row>
    <row r="782" spans="2:27" x14ac:dyDescent="0.35">
      <c r="B782" s="27">
        <v>74.400000000000006</v>
      </c>
      <c r="C782" s="27">
        <v>9.0357099999999999</v>
      </c>
      <c r="D782" s="19">
        <f t="shared" si="230"/>
        <v>111.63140442565974</v>
      </c>
      <c r="E782" s="19">
        <f t="shared" si="231"/>
        <v>2.7967851073723655</v>
      </c>
      <c r="F782" s="19">
        <f t="shared" si="232"/>
        <v>6.1805532004415591</v>
      </c>
      <c r="G782" s="19">
        <f t="shared" si="233"/>
        <v>6.1805532004415591</v>
      </c>
      <c r="H782" s="19">
        <f t="shared" si="234"/>
        <v>6.1805532004415591</v>
      </c>
      <c r="I782" s="17"/>
      <c r="J782" s="19">
        <f t="shared" si="235"/>
        <v>106.95895922343476</v>
      </c>
      <c r="K782" s="19">
        <f t="shared" si="236"/>
        <v>2.0694852179860694</v>
      </c>
      <c r="L782" s="19">
        <f t="shared" si="237"/>
        <v>4.6448040205510788</v>
      </c>
      <c r="M782" s="19">
        <f t="shared" si="238"/>
        <v>4.6448040205510788</v>
      </c>
      <c r="N782" s="19">
        <f t="shared" si="239"/>
        <v>4.6448040205510788</v>
      </c>
      <c r="O782" s="17"/>
      <c r="P782" s="19">
        <f t="shared" si="229"/>
        <v>4.5913569131446081</v>
      </c>
      <c r="Q782" s="19">
        <f t="shared" si="244"/>
        <v>13.641948727341637</v>
      </c>
      <c r="R782" s="19">
        <f t="shared" si="245"/>
        <v>0</v>
      </c>
      <c r="S782" s="19">
        <f t="shared" si="246"/>
        <v>0</v>
      </c>
      <c r="T782" s="19">
        <f t="shared" si="247"/>
        <v>0</v>
      </c>
      <c r="U782" s="17"/>
      <c r="V782" s="19">
        <f t="shared" si="240"/>
        <v>18.233305640486243</v>
      </c>
      <c r="W782" s="17"/>
      <c r="X782" s="19">
        <f t="shared" si="241"/>
        <v>84.595765565891554</v>
      </c>
      <c r="Y782" s="19">
        <f t="shared" si="242"/>
        <v>9.1975956404862433</v>
      </c>
      <c r="Z782" s="19"/>
      <c r="AA782" s="19">
        <f t="shared" si="243"/>
        <v>5.977500277299985E-5</v>
      </c>
    </row>
    <row r="783" spans="2:27" x14ac:dyDescent="0.35">
      <c r="B783" s="27">
        <v>74.5</v>
      </c>
      <c r="C783" s="27">
        <v>11.78571</v>
      </c>
      <c r="D783" s="19">
        <f t="shared" si="230"/>
        <v>111.77190376408223</v>
      </c>
      <c r="E783" s="19">
        <f t="shared" si="231"/>
        <v>2.8029100361994872</v>
      </c>
      <c r="F783" s="19">
        <f t="shared" si="232"/>
        <v>6.1916643115526702</v>
      </c>
      <c r="G783" s="19">
        <f t="shared" si="233"/>
        <v>6.1916643115526702</v>
      </c>
      <c r="H783" s="19">
        <f t="shared" si="234"/>
        <v>6.1916643115526702</v>
      </c>
      <c r="I783" s="17"/>
      <c r="J783" s="19">
        <f t="shared" si="235"/>
        <v>107.09815798578867</v>
      </c>
      <c r="K783" s="19">
        <f t="shared" si="236"/>
        <v>2.0736160627452147</v>
      </c>
      <c r="L783" s="19">
        <f t="shared" si="237"/>
        <v>4.6539483456492388</v>
      </c>
      <c r="M783" s="19">
        <f t="shared" si="238"/>
        <v>4.6539483456492388</v>
      </c>
      <c r="N783" s="19">
        <f t="shared" si="239"/>
        <v>4.6539483456492388</v>
      </c>
      <c r="O783" s="17"/>
      <c r="P783" s="19">
        <f t="shared" si="229"/>
        <v>4.5794847473407208</v>
      </c>
      <c r="Q783" s="19">
        <f t="shared" si="244"/>
        <v>13.596474806831607</v>
      </c>
      <c r="R783" s="19">
        <f t="shared" si="245"/>
        <v>0</v>
      </c>
      <c r="S783" s="19">
        <f t="shared" si="246"/>
        <v>0</v>
      </c>
      <c r="T783" s="19">
        <f t="shared" si="247"/>
        <v>0</v>
      </c>
      <c r="U783" s="17"/>
      <c r="V783" s="19">
        <f t="shared" si="240"/>
        <v>18.175959554172326</v>
      </c>
      <c r="W783" s="17"/>
      <c r="X783" s="19">
        <f t="shared" si="241"/>
        <v>40.835289364599618</v>
      </c>
      <c r="Y783" s="19">
        <f t="shared" si="242"/>
        <v>6.3902495541723265</v>
      </c>
      <c r="Z783" s="19"/>
      <c r="AA783" s="19">
        <f t="shared" si="243"/>
        <v>4.1530112841601084E-5</v>
      </c>
    </row>
    <row r="784" spans="2:27" x14ac:dyDescent="0.35">
      <c r="B784" s="27">
        <v>74.599999999999994</v>
      </c>
      <c r="C784" s="27">
        <v>15.78571</v>
      </c>
      <c r="D784" s="19">
        <f t="shared" si="230"/>
        <v>111.91240310250471</v>
      </c>
      <c r="E784" s="19">
        <f t="shared" si="231"/>
        <v>2.8090349650266098</v>
      </c>
      <c r="F784" s="19">
        <f t="shared" si="232"/>
        <v>6.2027754226637795</v>
      </c>
      <c r="G784" s="19">
        <f t="shared" si="233"/>
        <v>6.2027754226637795</v>
      </c>
      <c r="H784" s="19">
        <f t="shared" si="234"/>
        <v>6.2027754226637795</v>
      </c>
      <c r="I784" s="17"/>
      <c r="J784" s="19">
        <f t="shared" si="235"/>
        <v>107.23735842183649</v>
      </c>
      <c r="K784" s="19">
        <f t="shared" si="236"/>
        <v>2.0777495865600737</v>
      </c>
      <c r="L784" s="19">
        <f t="shared" si="237"/>
        <v>4.663095849680877</v>
      </c>
      <c r="M784" s="19">
        <f t="shared" si="238"/>
        <v>4.663095849680877</v>
      </c>
      <c r="N784" s="19">
        <f t="shared" si="239"/>
        <v>4.663095849680877</v>
      </c>
      <c r="O784" s="17"/>
      <c r="P784" s="19">
        <f t="shared" si="229"/>
        <v>4.5676584284127211</v>
      </c>
      <c r="Q784" s="19">
        <f t="shared" si="244"/>
        <v>13.551201454061012</v>
      </c>
      <c r="R784" s="19">
        <f t="shared" si="245"/>
        <v>0</v>
      </c>
      <c r="S784" s="19">
        <f t="shared" si="246"/>
        <v>0</v>
      </c>
      <c r="T784" s="19">
        <f t="shared" si="247"/>
        <v>0</v>
      </c>
      <c r="U784" s="17"/>
      <c r="V784" s="19">
        <f t="shared" si="240"/>
        <v>18.118859882473732</v>
      </c>
      <c r="W784" s="17"/>
      <c r="X784" s="19">
        <f t="shared" si="241"/>
        <v>5.4435883740871898</v>
      </c>
      <c r="Y784" s="19">
        <f t="shared" si="242"/>
        <v>2.333149882473732</v>
      </c>
      <c r="Z784" s="19"/>
      <c r="AA784" s="19">
        <f t="shared" si="243"/>
        <v>1.5163097633994121E-5</v>
      </c>
    </row>
    <row r="785" spans="2:27" x14ac:dyDescent="0.35">
      <c r="B785" s="27">
        <v>74.7</v>
      </c>
      <c r="C785" s="27">
        <v>16.285710000000002</v>
      </c>
      <c r="D785" s="19">
        <f t="shared" si="230"/>
        <v>112.05290244092721</v>
      </c>
      <c r="E785" s="19">
        <f t="shared" si="231"/>
        <v>2.8151598938537323</v>
      </c>
      <c r="F785" s="19">
        <f t="shared" si="232"/>
        <v>6.2138865337748923</v>
      </c>
      <c r="G785" s="19">
        <f t="shared" si="233"/>
        <v>6.2138865337748923</v>
      </c>
      <c r="H785" s="19">
        <f t="shared" si="234"/>
        <v>6.2138865337748923</v>
      </c>
      <c r="I785" s="17"/>
      <c r="J785" s="19">
        <f t="shared" si="235"/>
        <v>107.37656052729608</v>
      </c>
      <c r="K785" s="19">
        <f t="shared" si="236"/>
        <v>2.0818857839698572</v>
      </c>
      <c r="L785" s="19">
        <f t="shared" si="237"/>
        <v>4.6722465234843069</v>
      </c>
      <c r="M785" s="19">
        <f t="shared" si="238"/>
        <v>4.6722465234843069</v>
      </c>
      <c r="N785" s="19">
        <f t="shared" si="239"/>
        <v>4.6722465234843069</v>
      </c>
      <c r="O785" s="17"/>
      <c r="P785" s="19">
        <f t="shared" si="229"/>
        <v>4.5558777211460928</v>
      </c>
      <c r="Q785" s="19">
        <f t="shared" si="244"/>
        <v>13.506127606454237</v>
      </c>
      <c r="R785" s="19">
        <f t="shared" si="245"/>
        <v>0</v>
      </c>
      <c r="S785" s="19">
        <f t="shared" si="246"/>
        <v>0</v>
      </c>
      <c r="T785" s="19">
        <f t="shared" si="247"/>
        <v>0</v>
      </c>
      <c r="U785" s="17"/>
      <c r="V785" s="19">
        <f t="shared" si="240"/>
        <v>18.062005327600332</v>
      </c>
      <c r="W785" s="17"/>
      <c r="X785" s="19">
        <f t="shared" si="241"/>
        <v>3.1552250908547643</v>
      </c>
      <c r="Y785" s="19">
        <f t="shared" si="242"/>
        <v>1.7762953276003302</v>
      </c>
      <c r="Z785" s="19"/>
      <c r="AA785" s="19">
        <f t="shared" si="243"/>
        <v>1.1544110252640239E-5</v>
      </c>
    </row>
    <row r="786" spans="2:27" x14ac:dyDescent="0.35">
      <c r="B786" s="27">
        <v>74.8</v>
      </c>
      <c r="C786" s="27">
        <v>16.285710000000002</v>
      </c>
      <c r="D786" s="19">
        <f t="shared" si="230"/>
        <v>112.19340177934968</v>
      </c>
      <c r="E786" s="19">
        <f t="shared" si="231"/>
        <v>2.821284822680854</v>
      </c>
      <c r="F786" s="19">
        <f t="shared" si="232"/>
        <v>6.2249976448860034</v>
      </c>
      <c r="G786" s="19">
        <f t="shared" si="233"/>
        <v>6.2249976448860034</v>
      </c>
      <c r="H786" s="19">
        <f t="shared" si="234"/>
        <v>6.2249976448860034</v>
      </c>
      <c r="I786" s="17"/>
      <c r="J786" s="19">
        <f t="shared" si="235"/>
        <v>107.5157642979016</v>
      </c>
      <c r="K786" s="19">
        <f t="shared" si="236"/>
        <v>2.0860246495252683</v>
      </c>
      <c r="L786" s="19">
        <f t="shared" si="237"/>
        <v>4.6814003579336605</v>
      </c>
      <c r="M786" s="19">
        <f t="shared" si="238"/>
        <v>4.6814003579336605</v>
      </c>
      <c r="N786" s="19">
        <f t="shared" si="239"/>
        <v>4.6814003579336605</v>
      </c>
      <c r="O786" s="17"/>
      <c r="P786" s="19">
        <f t="shared" si="229"/>
        <v>4.5441423918300465</v>
      </c>
      <c r="Q786" s="19">
        <f t="shared" si="244"/>
        <v>13.461252207826137</v>
      </c>
      <c r="R786" s="19">
        <f t="shared" si="245"/>
        <v>0</v>
      </c>
      <c r="S786" s="19">
        <f t="shared" si="246"/>
        <v>0</v>
      </c>
      <c r="T786" s="19">
        <f t="shared" si="247"/>
        <v>0</v>
      </c>
      <c r="U786" s="17"/>
      <c r="V786" s="19">
        <f t="shared" si="240"/>
        <v>18.005394599656185</v>
      </c>
      <c r="W786" s="17"/>
      <c r="X786" s="19">
        <f t="shared" si="241"/>
        <v>2.9573151222946477</v>
      </c>
      <c r="Y786" s="19">
        <f t="shared" si="242"/>
        <v>1.7196845996561834</v>
      </c>
      <c r="Z786" s="19"/>
      <c r="AA786" s="19">
        <f t="shared" si="243"/>
        <v>1.1176198186040188E-5</v>
      </c>
    </row>
    <row r="787" spans="2:27" x14ac:dyDescent="0.35">
      <c r="B787" s="27">
        <v>74.900000000000006</v>
      </c>
      <c r="C787" s="27">
        <v>10.78571</v>
      </c>
      <c r="D787" s="19">
        <f t="shared" si="230"/>
        <v>112.3339011177722</v>
      </c>
      <c r="E787" s="19">
        <f t="shared" si="231"/>
        <v>2.8274097515079766</v>
      </c>
      <c r="F787" s="19">
        <f t="shared" si="232"/>
        <v>6.2361087559971145</v>
      </c>
      <c r="G787" s="19">
        <f t="shared" si="233"/>
        <v>6.2361087559971145</v>
      </c>
      <c r="H787" s="19">
        <f t="shared" si="234"/>
        <v>6.2361087559971145</v>
      </c>
      <c r="I787" s="17"/>
      <c r="J787" s="19">
        <f t="shared" si="235"/>
        <v>107.65496972940362</v>
      </c>
      <c r="K787" s="19">
        <f t="shared" si="236"/>
        <v>2.090166177788495</v>
      </c>
      <c r="L787" s="19">
        <f t="shared" si="237"/>
        <v>4.6905573439387327</v>
      </c>
      <c r="M787" s="19">
        <f t="shared" si="238"/>
        <v>4.6905573439387327</v>
      </c>
      <c r="N787" s="19">
        <f t="shared" si="239"/>
        <v>4.6905573439387327</v>
      </c>
      <c r="O787" s="17"/>
      <c r="P787" s="19">
        <f t="shared" si="229"/>
        <v>4.532452208245993</v>
      </c>
      <c r="Q787" s="19">
        <f t="shared" si="244"/>
        <v>13.416574208340172</v>
      </c>
      <c r="R787" s="19">
        <f t="shared" si="245"/>
        <v>0</v>
      </c>
      <c r="S787" s="19">
        <f t="shared" si="246"/>
        <v>0</v>
      </c>
      <c r="T787" s="19">
        <f t="shared" si="247"/>
        <v>0</v>
      </c>
      <c r="U787" s="17"/>
      <c r="V787" s="19">
        <f t="shared" si="240"/>
        <v>17.949026416586165</v>
      </c>
      <c r="W787" s="17"/>
      <c r="X787" s="19">
        <f t="shared" si="241"/>
        <v>51.313102084132851</v>
      </c>
      <c r="Y787" s="19">
        <f t="shared" si="242"/>
        <v>7.1633164165861647</v>
      </c>
      <c r="Z787" s="19"/>
      <c r="AA787" s="19">
        <f t="shared" si="243"/>
        <v>4.6554259982957527E-5</v>
      </c>
    </row>
    <row r="788" spans="2:27" x14ac:dyDescent="0.35">
      <c r="B788" s="27">
        <v>75</v>
      </c>
      <c r="C788" s="27">
        <v>19.285710000000002</v>
      </c>
      <c r="D788" s="19">
        <f t="shared" si="230"/>
        <v>112.47440045619467</v>
      </c>
      <c r="E788" s="19">
        <f t="shared" si="231"/>
        <v>2.8335346803350991</v>
      </c>
      <c r="F788" s="19">
        <f t="shared" si="232"/>
        <v>6.2472198671082255</v>
      </c>
      <c r="G788" s="19">
        <f t="shared" si="233"/>
        <v>6.2472198671082255</v>
      </c>
      <c r="H788" s="19">
        <f t="shared" si="234"/>
        <v>6.2472198671082255</v>
      </c>
      <c r="I788" s="17"/>
      <c r="J788" s="19">
        <f t="shared" si="235"/>
        <v>107.79417681756873</v>
      </c>
      <c r="K788" s="19">
        <f t="shared" si="236"/>
        <v>2.0943103633332014</v>
      </c>
      <c r="L788" s="19">
        <f t="shared" si="237"/>
        <v>4.699717472444811</v>
      </c>
      <c r="M788" s="19">
        <f t="shared" si="238"/>
        <v>4.699717472444811</v>
      </c>
      <c r="N788" s="19">
        <f t="shared" si="239"/>
        <v>4.699717472444811</v>
      </c>
      <c r="O788" s="17"/>
      <c r="P788" s="19">
        <f t="shared" si="229"/>
        <v>4.5208069396561701</v>
      </c>
      <c r="Q788" s="19">
        <f t="shared" si="244"/>
        <v>13.372092564466808</v>
      </c>
      <c r="R788" s="19">
        <f t="shared" si="245"/>
        <v>0</v>
      </c>
      <c r="S788" s="19">
        <f t="shared" si="246"/>
        <v>0</v>
      </c>
      <c r="T788" s="19">
        <f t="shared" si="247"/>
        <v>0</v>
      </c>
      <c r="U788" s="17"/>
      <c r="V788" s="19">
        <f t="shared" si="240"/>
        <v>17.89289950412298</v>
      </c>
      <c r="W788" s="17"/>
      <c r="X788" s="19">
        <f t="shared" si="241"/>
        <v>1.9399210774251958</v>
      </c>
      <c r="Y788" s="19">
        <f t="shared" si="242"/>
        <v>1.392810495877022</v>
      </c>
      <c r="Z788" s="19"/>
      <c r="AA788" s="19">
        <f t="shared" si="243"/>
        <v>9.0518494732293838E-6</v>
      </c>
    </row>
    <row r="789" spans="2:27" x14ac:dyDescent="0.35">
      <c r="D789" s="19"/>
      <c r="E789" s="19"/>
      <c r="F789" s="19"/>
      <c r="G789" s="19"/>
      <c r="H789" s="19"/>
      <c r="I789" s="17"/>
      <c r="J789" s="19"/>
      <c r="K789" s="19"/>
      <c r="L789" s="19"/>
      <c r="M789" s="19"/>
      <c r="N789" s="19"/>
      <c r="O789" s="17"/>
      <c r="P789" s="19"/>
      <c r="Q789" s="19"/>
      <c r="R789" s="19"/>
      <c r="S789" s="19"/>
      <c r="T789" s="19"/>
      <c r="U789" s="17"/>
      <c r="V789" s="19"/>
      <c r="W789" s="17"/>
      <c r="X789" s="19"/>
      <c r="Y789" s="19"/>
      <c r="Z789" s="19"/>
      <c r="AA789" s="19"/>
    </row>
    <row r="790" spans="2:27" x14ac:dyDescent="0.35">
      <c r="D790" s="19"/>
      <c r="E790" s="19"/>
      <c r="F790" s="19"/>
      <c r="G790" s="19"/>
      <c r="H790" s="19"/>
      <c r="I790" s="17"/>
      <c r="J790" s="19"/>
      <c r="K790" s="19"/>
      <c r="L790" s="19"/>
      <c r="M790" s="19"/>
      <c r="N790" s="19"/>
      <c r="O790" s="17"/>
      <c r="P790" s="19"/>
      <c r="Q790" s="19"/>
      <c r="R790" s="19"/>
      <c r="S790" s="19"/>
      <c r="T790" s="19"/>
      <c r="U790" s="17"/>
      <c r="V790" s="19"/>
      <c r="W790" s="17"/>
      <c r="X790" s="19"/>
      <c r="Y790" s="19"/>
      <c r="Z790" s="19"/>
      <c r="AA790" s="19"/>
    </row>
    <row r="791" spans="2:27" x14ac:dyDescent="0.35">
      <c r="D791" s="19"/>
      <c r="E791" s="19"/>
      <c r="F791" s="19"/>
      <c r="G791" s="19"/>
      <c r="H791" s="19"/>
      <c r="I791" s="17"/>
      <c r="J791" s="19"/>
      <c r="K791" s="19"/>
      <c r="L791" s="19"/>
      <c r="M791" s="19"/>
      <c r="N791" s="19"/>
      <c r="O791" s="17"/>
      <c r="P791" s="19"/>
      <c r="Q791" s="19"/>
      <c r="R791" s="19"/>
      <c r="S791" s="19"/>
      <c r="T791" s="19"/>
      <c r="U791" s="17"/>
      <c r="V791" s="19"/>
      <c r="W791" s="17"/>
      <c r="X791" s="19"/>
      <c r="Y791" s="19"/>
      <c r="Z791" s="19"/>
      <c r="AA791" s="19"/>
    </row>
    <row r="792" spans="2:27" x14ac:dyDescent="0.35">
      <c r="D792" s="19"/>
      <c r="E792" s="19"/>
      <c r="F792" s="19"/>
      <c r="G792" s="19"/>
      <c r="H792" s="19"/>
      <c r="I792" s="17"/>
      <c r="J792" s="19"/>
      <c r="K792" s="19"/>
      <c r="L792" s="19"/>
      <c r="M792" s="19"/>
      <c r="N792" s="19"/>
      <c r="O792" s="17"/>
      <c r="P792" s="19"/>
      <c r="Q792" s="19"/>
      <c r="R792" s="19"/>
      <c r="S792" s="19"/>
      <c r="T792" s="19"/>
      <c r="U792" s="17"/>
      <c r="V792" s="19"/>
      <c r="W792" s="17"/>
      <c r="X792" s="19"/>
      <c r="Y792" s="19"/>
      <c r="Z792" s="19"/>
      <c r="AA792" s="19"/>
    </row>
    <row r="793" spans="2:27" x14ac:dyDescent="0.35">
      <c r="D793" s="19"/>
      <c r="E793" s="19"/>
      <c r="F793" s="19"/>
      <c r="G793" s="19"/>
      <c r="H793" s="19"/>
      <c r="I793" s="17"/>
      <c r="J793" s="19"/>
      <c r="K793" s="19"/>
      <c r="L793" s="19"/>
      <c r="M793" s="19"/>
      <c r="N793" s="19"/>
      <c r="O793" s="17"/>
      <c r="P793" s="19"/>
      <c r="Q793" s="19"/>
      <c r="R793" s="19"/>
      <c r="S793" s="19"/>
      <c r="T793" s="19"/>
      <c r="U793" s="17"/>
      <c r="V793" s="19"/>
      <c r="W793" s="17"/>
      <c r="X793" s="19"/>
      <c r="Y793" s="19"/>
      <c r="Z793" s="19"/>
      <c r="AA793" s="19"/>
    </row>
    <row r="794" spans="2:27" x14ac:dyDescent="0.35">
      <c r="D794" s="19"/>
      <c r="E794" s="19"/>
      <c r="F794" s="19"/>
      <c r="G794" s="19"/>
      <c r="H794" s="19"/>
      <c r="I794" s="17"/>
      <c r="J794" s="19"/>
      <c r="K794" s="19"/>
      <c r="L794" s="19"/>
      <c r="M794" s="19"/>
      <c r="N794" s="19"/>
      <c r="O794" s="17"/>
      <c r="P794" s="19"/>
      <c r="Q794" s="19"/>
      <c r="R794" s="19"/>
      <c r="S794" s="19"/>
      <c r="T794" s="19"/>
      <c r="U794" s="17"/>
      <c r="V794" s="19"/>
      <c r="W794" s="17"/>
      <c r="X794" s="19"/>
      <c r="Y794" s="19"/>
      <c r="Z794" s="19"/>
      <c r="AA794" s="19"/>
    </row>
    <row r="795" spans="2:27" x14ac:dyDescent="0.35">
      <c r="D795" s="19"/>
      <c r="E795" s="19"/>
      <c r="F795" s="19"/>
      <c r="G795" s="19"/>
      <c r="H795" s="19"/>
      <c r="I795" s="17"/>
      <c r="J795" s="19"/>
      <c r="K795" s="19"/>
      <c r="L795" s="19"/>
      <c r="M795" s="19"/>
      <c r="N795" s="19"/>
      <c r="O795" s="17"/>
      <c r="P795" s="19"/>
      <c r="Q795" s="19"/>
      <c r="R795" s="19"/>
      <c r="S795" s="19"/>
      <c r="T795" s="19"/>
      <c r="U795" s="17"/>
      <c r="V795" s="19"/>
      <c r="W795" s="17"/>
      <c r="X795" s="19"/>
      <c r="Y795" s="19"/>
      <c r="Z795" s="19"/>
      <c r="AA795" s="19"/>
    </row>
    <row r="796" spans="2:27" x14ac:dyDescent="0.35">
      <c r="D796" s="19"/>
      <c r="E796" s="19"/>
      <c r="F796" s="19"/>
      <c r="G796" s="19"/>
      <c r="H796" s="19"/>
      <c r="I796" s="17"/>
      <c r="J796" s="19"/>
      <c r="K796" s="19"/>
      <c r="L796" s="19"/>
      <c r="M796" s="19"/>
      <c r="N796" s="19"/>
      <c r="O796" s="17"/>
      <c r="P796" s="19"/>
      <c r="Q796" s="19"/>
      <c r="R796" s="19"/>
      <c r="S796" s="19"/>
      <c r="T796" s="19"/>
      <c r="U796" s="17"/>
      <c r="V796" s="19"/>
      <c r="W796" s="17"/>
      <c r="X796" s="19"/>
      <c r="Y796" s="19"/>
      <c r="Z796" s="19"/>
      <c r="AA796" s="19"/>
    </row>
    <row r="797" spans="2:27" x14ac:dyDescent="0.35">
      <c r="D797" s="19"/>
      <c r="E797" s="19"/>
      <c r="F797" s="19"/>
      <c r="G797" s="19"/>
      <c r="H797" s="19"/>
      <c r="I797" s="17"/>
      <c r="J797" s="19"/>
      <c r="K797" s="19"/>
      <c r="L797" s="19"/>
      <c r="M797" s="19"/>
      <c r="N797" s="19"/>
      <c r="O797" s="17"/>
      <c r="P797" s="19"/>
      <c r="Q797" s="19"/>
      <c r="R797" s="19"/>
      <c r="S797" s="19"/>
      <c r="T797" s="19"/>
      <c r="U797" s="17"/>
      <c r="V797" s="19"/>
      <c r="W797" s="17"/>
      <c r="X797" s="19"/>
      <c r="Y797" s="19"/>
      <c r="Z797" s="19"/>
      <c r="AA797" s="19"/>
    </row>
    <row r="798" spans="2:27" x14ac:dyDescent="0.35">
      <c r="D798" s="19"/>
      <c r="E798" s="19"/>
      <c r="F798" s="19"/>
      <c r="G798" s="19"/>
      <c r="H798" s="19"/>
      <c r="I798" s="17"/>
      <c r="J798" s="19"/>
      <c r="K798" s="19"/>
      <c r="L798" s="19"/>
      <c r="M798" s="19"/>
      <c r="N798" s="19"/>
      <c r="O798" s="17"/>
      <c r="P798" s="19"/>
      <c r="Q798" s="19"/>
      <c r="R798" s="19"/>
      <c r="S798" s="19"/>
      <c r="T798" s="19"/>
      <c r="U798" s="17"/>
      <c r="V798" s="19"/>
      <c r="W798" s="17"/>
      <c r="X798" s="19"/>
      <c r="Y798" s="19"/>
      <c r="Z798" s="19"/>
      <c r="AA798" s="19"/>
    </row>
    <row r="799" spans="2:27" x14ac:dyDescent="0.35">
      <c r="D799" s="19"/>
      <c r="E799" s="19"/>
      <c r="F799" s="19"/>
      <c r="G799" s="19"/>
      <c r="H799" s="19"/>
      <c r="I799" s="17"/>
      <c r="J799" s="19"/>
      <c r="K799" s="19"/>
      <c r="L799" s="19"/>
      <c r="M799" s="19"/>
      <c r="N799" s="19"/>
      <c r="O799" s="17"/>
      <c r="P799" s="19"/>
      <c r="Q799" s="19"/>
      <c r="R799" s="19"/>
      <c r="S799" s="19"/>
      <c r="T799" s="19"/>
      <c r="U799" s="17"/>
      <c r="V799" s="19"/>
      <c r="W799" s="17"/>
      <c r="X799" s="19"/>
      <c r="Y799" s="19"/>
      <c r="Z799" s="19"/>
      <c r="AA799" s="19"/>
    </row>
    <row r="800" spans="2:27" x14ac:dyDescent="0.35">
      <c r="D800" s="19"/>
      <c r="E800" s="19"/>
      <c r="F800" s="19"/>
      <c r="G800" s="19"/>
      <c r="H800" s="19"/>
      <c r="I800" s="17"/>
      <c r="J800" s="19"/>
      <c r="K800" s="19"/>
      <c r="L800" s="19"/>
      <c r="M800" s="19"/>
      <c r="N800" s="19"/>
      <c r="O800" s="17"/>
      <c r="P800" s="19"/>
      <c r="Q800" s="19"/>
      <c r="R800" s="19"/>
      <c r="S800" s="19"/>
      <c r="T800" s="19"/>
      <c r="U800" s="17"/>
      <c r="V800" s="19"/>
      <c r="W800" s="17"/>
      <c r="X800" s="19"/>
      <c r="Y800" s="19"/>
      <c r="Z800" s="19"/>
      <c r="AA800" s="19"/>
    </row>
    <row r="801" spans="4:27" x14ac:dyDescent="0.35">
      <c r="D801" s="19"/>
      <c r="E801" s="19"/>
      <c r="F801" s="19"/>
      <c r="G801" s="19"/>
      <c r="H801" s="19"/>
      <c r="I801" s="17"/>
      <c r="J801" s="19"/>
      <c r="K801" s="19"/>
      <c r="L801" s="19"/>
      <c r="M801" s="19"/>
      <c r="N801" s="19"/>
      <c r="O801" s="17"/>
      <c r="P801" s="19"/>
      <c r="Q801" s="19"/>
      <c r="R801" s="19"/>
      <c r="S801" s="19"/>
      <c r="T801" s="19"/>
      <c r="U801" s="17"/>
      <c r="V801" s="19"/>
      <c r="W801" s="17"/>
      <c r="X801" s="19"/>
      <c r="Y801" s="19"/>
      <c r="Z801" s="19"/>
      <c r="AA801" s="19"/>
    </row>
    <row r="802" spans="4:27" x14ac:dyDescent="0.35">
      <c r="D802" s="19"/>
      <c r="E802" s="19"/>
      <c r="F802" s="19"/>
      <c r="G802" s="19"/>
      <c r="H802" s="19"/>
      <c r="I802" s="17"/>
      <c r="J802" s="19"/>
      <c r="K802" s="19"/>
      <c r="L802" s="19"/>
      <c r="M802" s="19"/>
      <c r="N802" s="19"/>
      <c r="O802" s="17"/>
      <c r="P802" s="19"/>
      <c r="Q802" s="19"/>
      <c r="R802" s="19"/>
      <c r="S802" s="19"/>
      <c r="T802" s="19"/>
      <c r="U802" s="17"/>
      <c r="V802" s="19"/>
      <c r="W802" s="17"/>
      <c r="X802" s="19"/>
      <c r="Y802" s="19"/>
      <c r="Z802" s="19"/>
      <c r="AA802" s="19"/>
    </row>
    <row r="803" spans="4:27" x14ac:dyDescent="0.35">
      <c r="D803" s="19"/>
      <c r="E803" s="19"/>
      <c r="F803" s="19"/>
      <c r="G803" s="19"/>
      <c r="H803" s="19"/>
      <c r="I803" s="17"/>
      <c r="J803" s="19"/>
      <c r="K803" s="19"/>
      <c r="L803" s="19"/>
      <c r="M803" s="19"/>
      <c r="N803" s="19"/>
      <c r="O803" s="17"/>
      <c r="P803" s="19"/>
      <c r="Q803" s="19"/>
      <c r="R803" s="19"/>
      <c r="S803" s="19"/>
      <c r="T803" s="19"/>
      <c r="U803" s="17"/>
      <c r="V803" s="19"/>
      <c r="W803" s="17"/>
      <c r="X803" s="19"/>
      <c r="Y803" s="19"/>
      <c r="Z803" s="19"/>
      <c r="AA803" s="19"/>
    </row>
    <row r="804" spans="4:27" x14ac:dyDescent="0.35">
      <c r="D804" s="19"/>
      <c r="E804" s="19"/>
      <c r="F804" s="19"/>
      <c r="G804" s="19"/>
      <c r="H804" s="19"/>
      <c r="I804" s="17"/>
      <c r="J804" s="19"/>
      <c r="K804" s="19"/>
      <c r="L804" s="19"/>
      <c r="M804" s="19"/>
      <c r="N804" s="19"/>
      <c r="O804" s="17"/>
      <c r="P804" s="19"/>
      <c r="Q804" s="19"/>
      <c r="R804" s="19"/>
      <c r="S804" s="19"/>
      <c r="T804" s="19"/>
      <c r="U804" s="17"/>
      <c r="V804" s="19"/>
      <c r="W804" s="17"/>
      <c r="X804" s="19"/>
      <c r="Y804" s="19"/>
      <c r="Z804" s="19"/>
      <c r="AA804" s="19"/>
    </row>
    <row r="805" spans="4:27" x14ac:dyDescent="0.35">
      <c r="D805" s="19"/>
      <c r="E805" s="19"/>
      <c r="F805" s="19"/>
      <c r="G805" s="19"/>
      <c r="H805" s="19"/>
      <c r="I805" s="17"/>
      <c r="J805" s="19"/>
      <c r="K805" s="19"/>
      <c r="L805" s="19"/>
      <c r="M805" s="19"/>
      <c r="N805" s="19"/>
      <c r="O805" s="17"/>
      <c r="P805" s="19"/>
      <c r="Q805" s="19"/>
      <c r="R805" s="19"/>
      <c r="S805" s="19"/>
      <c r="T805" s="19"/>
      <c r="U805" s="17"/>
      <c r="V805" s="19"/>
      <c r="W805" s="17"/>
      <c r="X805" s="19"/>
      <c r="Y805" s="19"/>
      <c r="Z805" s="19"/>
      <c r="AA805" s="19"/>
    </row>
    <row r="806" spans="4:27" x14ac:dyDescent="0.35">
      <c r="D806" s="19"/>
      <c r="E806" s="19"/>
      <c r="F806" s="19"/>
      <c r="G806" s="19"/>
      <c r="H806" s="19"/>
      <c r="I806" s="17"/>
      <c r="J806" s="19"/>
      <c r="K806" s="19"/>
      <c r="L806" s="19"/>
      <c r="M806" s="19"/>
      <c r="N806" s="19"/>
      <c r="O806" s="17"/>
      <c r="P806" s="19"/>
      <c r="Q806" s="19"/>
      <c r="R806" s="19"/>
      <c r="S806" s="19"/>
      <c r="T806" s="19"/>
      <c r="U806" s="17"/>
      <c r="V806" s="19"/>
      <c r="W806" s="17"/>
      <c r="X806" s="19"/>
      <c r="Y806" s="19"/>
      <c r="Z806" s="19"/>
      <c r="AA806" s="19"/>
    </row>
    <row r="807" spans="4:27" x14ac:dyDescent="0.35">
      <c r="D807" s="19"/>
      <c r="E807" s="19"/>
      <c r="F807" s="19"/>
      <c r="G807" s="19"/>
      <c r="H807" s="19"/>
      <c r="I807" s="17"/>
      <c r="J807" s="19"/>
      <c r="K807" s="19"/>
      <c r="L807" s="19"/>
      <c r="M807" s="19"/>
      <c r="N807" s="19"/>
      <c r="O807" s="17"/>
      <c r="P807" s="19"/>
      <c r="Q807" s="19"/>
      <c r="R807" s="19"/>
      <c r="S807" s="19"/>
      <c r="T807" s="19"/>
      <c r="U807" s="17"/>
      <c r="V807" s="19"/>
      <c r="W807" s="17"/>
      <c r="X807" s="19"/>
      <c r="Y807" s="19"/>
      <c r="Z807" s="19"/>
      <c r="AA807" s="19"/>
    </row>
    <row r="808" spans="4:27" x14ac:dyDescent="0.35">
      <c r="D808" s="19"/>
      <c r="E808" s="19"/>
      <c r="F808" s="19"/>
      <c r="G808" s="19"/>
      <c r="H808" s="19"/>
      <c r="I808" s="17"/>
      <c r="J808" s="19"/>
      <c r="K808" s="19"/>
      <c r="L808" s="19"/>
      <c r="M808" s="19"/>
      <c r="N808" s="19"/>
      <c r="O808" s="17"/>
      <c r="P808" s="19"/>
      <c r="Q808" s="19"/>
      <c r="R808" s="19"/>
      <c r="S808" s="19"/>
      <c r="T808" s="19"/>
      <c r="U808" s="17"/>
      <c r="V808" s="19"/>
      <c r="W808" s="17"/>
      <c r="X808" s="19"/>
      <c r="Y808" s="19"/>
      <c r="Z808" s="19"/>
      <c r="AA808" s="19"/>
    </row>
    <row r="809" spans="4:27" x14ac:dyDescent="0.35">
      <c r="D809" s="19"/>
      <c r="E809" s="19"/>
      <c r="F809" s="19"/>
      <c r="G809" s="19"/>
      <c r="H809" s="19"/>
      <c r="I809" s="17"/>
      <c r="J809" s="19"/>
      <c r="K809" s="19"/>
      <c r="L809" s="19"/>
      <c r="M809" s="19"/>
      <c r="N809" s="19"/>
      <c r="O809" s="17"/>
      <c r="P809" s="19"/>
      <c r="Q809" s="19"/>
      <c r="R809" s="19"/>
      <c r="S809" s="19"/>
      <c r="T809" s="19"/>
      <c r="U809" s="17"/>
      <c r="V809" s="19"/>
      <c r="W809" s="17"/>
      <c r="X809" s="19"/>
      <c r="Y809" s="19"/>
      <c r="Z809" s="19"/>
      <c r="AA809" s="19"/>
    </row>
    <row r="810" spans="4:27" x14ac:dyDescent="0.35">
      <c r="D810" s="19"/>
      <c r="E810" s="19"/>
      <c r="F810" s="19"/>
      <c r="G810" s="19"/>
      <c r="H810" s="19"/>
      <c r="I810" s="17"/>
      <c r="J810" s="19"/>
      <c r="K810" s="19"/>
      <c r="L810" s="19"/>
      <c r="M810" s="19"/>
      <c r="N810" s="19"/>
      <c r="O810" s="17"/>
      <c r="P810" s="19"/>
      <c r="Q810" s="19"/>
      <c r="R810" s="19"/>
      <c r="S810" s="19"/>
      <c r="T810" s="19"/>
      <c r="U810" s="17"/>
      <c r="V810" s="19"/>
      <c r="W810" s="17"/>
      <c r="X810" s="19"/>
      <c r="Y810" s="19"/>
      <c r="Z810" s="19"/>
      <c r="AA810" s="19"/>
    </row>
    <row r="811" spans="4:27" x14ac:dyDescent="0.35">
      <c r="D811" s="19"/>
      <c r="E811" s="19"/>
      <c r="F811" s="19"/>
      <c r="G811" s="19"/>
      <c r="H811" s="19"/>
      <c r="I811" s="17"/>
      <c r="J811" s="19"/>
      <c r="K811" s="19"/>
      <c r="L811" s="19"/>
      <c r="M811" s="19"/>
      <c r="N811" s="19"/>
      <c r="O811" s="17"/>
      <c r="P811" s="19"/>
      <c r="Q811" s="19"/>
      <c r="R811" s="19"/>
      <c r="S811" s="19"/>
      <c r="T811" s="19"/>
      <c r="U811" s="17"/>
      <c r="V811" s="19"/>
      <c r="W811" s="17"/>
      <c r="X811" s="19"/>
      <c r="Y811" s="19"/>
      <c r="Z811" s="19"/>
      <c r="AA811" s="19"/>
    </row>
    <row r="812" spans="4:27" x14ac:dyDescent="0.35">
      <c r="D812" s="19"/>
      <c r="E812" s="19"/>
      <c r="F812" s="19"/>
      <c r="G812" s="19"/>
      <c r="H812" s="19"/>
      <c r="I812" s="17"/>
      <c r="J812" s="19"/>
      <c r="K812" s="19"/>
      <c r="L812" s="19"/>
      <c r="M812" s="19"/>
      <c r="N812" s="19"/>
      <c r="O812" s="17"/>
      <c r="P812" s="19"/>
      <c r="Q812" s="19"/>
      <c r="R812" s="19"/>
      <c r="S812" s="19"/>
      <c r="T812" s="19"/>
      <c r="U812" s="17"/>
      <c r="V812" s="19"/>
      <c r="W812" s="17"/>
      <c r="X812" s="19"/>
      <c r="Y812" s="19"/>
      <c r="Z812" s="19"/>
      <c r="AA812" s="19"/>
    </row>
    <row r="813" spans="4:27" x14ac:dyDescent="0.35">
      <c r="D813" s="19"/>
      <c r="E813" s="19"/>
      <c r="F813" s="19"/>
      <c r="G813" s="19"/>
      <c r="H813" s="19"/>
      <c r="I813" s="17"/>
      <c r="J813" s="19"/>
      <c r="K813" s="19"/>
      <c r="L813" s="19"/>
      <c r="M813" s="19"/>
      <c r="N813" s="19"/>
      <c r="O813" s="17"/>
      <c r="P813" s="19"/>
      <c r="Q813" s="19"/>
      <c r="R813" s="19"/>
      <c r="S813" s="19"/>
      <c r="T813" s="19"/>
      <c r="U813" s="17"/>
      <c r="V813" s="19"/>
      <c r="W813" s="17"/>
      <c r="X813" s="19"/>
      <c r="Y813" s="19"/>
      <c r="Z813" s="19"/>
      <c r="AA813" s="19"/>
    </row>
    <row r="814" spans="4:27" x14ac:dyDescent="0.35">
      <c r="D814" s="19"/>
      <c r="E814" s="19"/>
      <c r="F814" s="19"/>
      <c r="G814" s="19"/>
      <c r="H814" s="19"/>
      <c r="I814" s="17"/>
      <c r="J814" s="19"/>
      <c r="K814" s="19"/>
      <c r="L814" s="19"/>
      <c r="M814" s="19"/>
      <c r="N814" s="19"/>
      <c r="O814" s="17"/>
      <c r="P814" s="19"/>
      <c r="Q814" s="19"/>
      <c r="R814" s="19"/>
      <c r="S814" s="19"/>
      <c r="T814" s="19"/>
      <c r="U814" s="17"/>
      <c r="V814" s="19"/>
      <c r="W814" s="17"/>
      <c r="X814" s="19"/>
      <c r="Y814" s="19"/>
      <c r="Z814" s="19"/>
      <c r="AA814" s="19"/>
    </row>
    <row r="815" spans="4:27" x14ac:dyDescent="0.35">
      <c r="D815" s="19"/>
      <c r="E815" s="19"/>
      <c r="F815" s="19"/>
      <c r="G815" s="19"/>
      <c r="H815" s="19"/>
      <c r="I815" s="17"/>
      <c r="J815" s="19"/>
      <c r="K815" s="19"/>
      <c r="L815" s="19"/>
      <c r="M815" s="19"/>
      <c r="N815" s="19"/>
      <c r="O815" s="17"/>
      <c r="P815" s="19"/>
      <c r="Q815" s="19"/>
      <c r="R815" s="19"/>
      <c r="S815" s="19"/>
      <c r="T815" s="19"/>
      <c r="U815" s="17"/>
      <c r="V815" s="19"/>
      <c r="W815" s="17"/>
      <c r="X815" s="19"/>
      <c r="Y815" s="19"/>
      <c r="Z815" s="19"/>
      <c r="AA815" s="19"/>
    </row>
    <row r="816" spans="4:27" x14ac:dyDescent="0.35">
      <c r="D816" s="19"/>
      <c r="E816" s="19"/>
      <c r="F816" s="19"/>
      <c r="G816" s="19"/>
      <c r="H816" s="19"/>
      <c r="I816" s="17"/>
      <c r="J816" s="19"/>
      <c r="K816" s="19"/>
      <c r="L816" s="19"/>
      <c r="M816" s="19"/>
      <c r="N816" s="19"/>
      <c r="O816" s="17"/>
      <c r="P816" s="19"/>
      <c r="Q816" s="19"/>
      <c r="R816" s="19"/>
      <c r="S816" s="19"/>
      <c r="T816" s="19"/>
      <c r="U816" s="17"/>
      <c r="V816" s="19"/>
      <c r="W816" s="17"/>
      <c r="X816" s="19"/>
      <c r="Y816" s="19"/>
      <c r="Z816" s="19"/>
      <c r="AA816" s="19"/>
    </row>
    <row r="817" spans="4:27" x14ac:dyDescent="0.35">
      <c r="D817" s="19"/>
      <c r="E817" s="19"/>
      <c r="F817" s="19"/>
      <c r="G817" s="19"/>
      <c r="H817" s="19"/>
      <c r="I817" s="17"/>
      <c r="J817" s="19"/>
      <c r="K817" s="19"/>
      <c r="L817" s="19"/>
      <c r="M817" s="19"/>
      <c r="N817" s="19"/>
      <c r="O817" s="17"/>
      <c r="P817" s="19"/>
      <c r="Q817" s="19"/>
      <c r="R817" s="19"/>
      <c r="S817" s="19"/>
      <c r="T817" s="19"/>
      <c r="U817" s="17"/>
      <c r="V817" s="19"/>
      <c r="W817" s="17"/>
      <c r="X817" s="19"/>
      <c r="Y817" s="19"/>
      <c r="Z817" s="19"/>
      <c r="AA817" s="19"/>
    </row>
    <row r="818" spans="4:27" x14ac:dyDescent="0.35">
      <c r="D818" s="19"/>
      <c r="E818" s="19"/>
      <c r="F818" s="19"/>
      <c r="G818" s="19"/>
      <c r="H818" s="19"/>
      <c r="I818" s="17"/>
      <c r="J818" s="19"/>
      <c r="K818" s="19"/>
      <c r="L818" s="19"/>
      <c r="M818" s="19"/>
      <c r="N818" s="19"/>
      <c r="O818" s="17"/>
      <c r="P818" s="19"/>
      <c r="Q818" s="19"/>
      <c r="R818" s="19"/>
      <c r="S818" s="19"/>
      <c r="T818" s="19"/>
      <c r="U818" s="17"/>
      <c r="V818" s="19"/>
      <c r="W818" s="17"/>
      <c r="X818" s="19"/>
      <c r="Y818" s="19"/>
      <c r="Z818" s="19"/>
      <c r="AA818" s="19"/>
    </row>
    <row r="819" spans="4:27" x14ac:dyDescent="0.35">
      <c r="D819" s="19"/>
      <c r="E819" s="19"/>
      <c r="F819" s="19"/>
      <c r="G819" s="19"/>
      <c r="H819" s="19"/>
      <c r="I819" s="17"/>
      <c r="J819" s="19"/>
      <c r="K819" s="19"/>
      <c r="L819" s="19"/>
      <c r="M819" s="19"/>
      <c r="N819" s="19"/>
      <c r="O819" s="17"/>
      <c r="P819" s="19"/>
      <c r="Q819" s="19"/>
      <c r="R819" s="19"/>
      <c r="S819" s="19"/>
      <c r="T819" s="19"/>
      <c r="U819" s="17"/>
      <c r="V819" s="19"/>
      <c r="W819" s="17"/>
      <c r="X819" s="19"/>
      <c r="Y819" s="19"/>
      <c r="Z819" s="19"/>
      <c r="AA819" s="19"/>
    </row>
    <row r="820" spans="4:27" x14ac:dyDescent="0.35">
      <c r="D820" s="19"/>
      <c r="E820" s="19"/>
      <c r="F820" s="19"/>
      <c r="G820" s="19"/>
      <c r="H820" s="19"/>
      <c r="I820" s="17"/>
      <c r="J820" s="19"/>
      <c r="K820" s="19"/>
      <c r="L820" s="19"/>
      <c r="M820" s="19"/>
      <c r="N820" s="19"/>
      <c r="O820" s="17"/>
      <c r="P820" s="19"/>
      <c r="Q820" s="19"/>
      <c r="R820" s="19"/>
      <c r="S820" s="19"/>
      <c r="T820" s="19"/>
      <c r="U820" s="17"/>
      <c r="V820" s="19"/>
      <c r="W820" s="17"/>
      <c r="X820" s="19"/>
      <c r="Y820" s="19"/>
      <c r="Z820" s="19"/>
      <c r="AA820" s="19"/>
    </row>
    <row r="821" spans="4:27" x14ac:dyDescent="0.35">
      <c r="D821" s="19"/>
      <c r="E821" s="19"/>
      <c r="F821" s="19"/>
      <c r="G821" s="19"/>
      <c r="H821" s="19"/>
      <c r="I821" s="17"/>
      <c r="J821" s="19"/>
      <c r="K821" s="19"/>
      <c r="L821" s="19"/>
      <c r="M821" s="19"/>
      <c r="N821" s="19"/>
      <c r="O821" s="17"/>
      <c r="P821" s="19"/>
      <c r="Q821" s="19"/>
      <c r="R821" s="19"/>
      <c r="S821" s="19"/>
      <c r="T821" s="19"/>
      <c r="U821" s="17"/>
      <c r="V821" s="19"/>
      <c r="W821" s="17"/>
      <c r="X821" s="19"/>
      <c r="Y821" s="19"/>
      <c r="Z821" s="19"/>
      <c r="AA821" s="19"/>
    </row>
    <row r="822" spans="4:27" x14ac:dyDescent="0.35">
      <c r="D822" s="19"/>
      <c r="E822" s="19"/>
      <c r="F822" s="19"/>
      <c r="G822" s="19"/>
      <c r="H822" s="19"/>
      <c r="I822" s="17"/>
      <c r="J822" s="19"/>
      <c r="K822" s="19"/>
      <c r="L822" s="19"/>
      <c r="M822" s="19"/>
      <c r="N822" s="19"/>
      <c r="O822" s="17"/>
      <c r="P822" s="19"/>
      <c r="Q822" s="19"/>
      <c r="R822" s="19"/>
      <c r="S822" s="19"/>
      <c r="T822" s="19"/>
      <c r="U822" s="17"/>
      <c r="V822" s="19"/>
      <c r="W822" s="17"/>
      <c r="X822" s="19"/>
      <c r="Y822" s="19"/>
      <c r="Z822" s="19"/>
      <c r="AA822" s="19"/>
    </row>
    <row r="823" spans="4:27" x14ac:dyDescent="0.35">
      <c r="D823" s="19"/>
      <c r="E823" s="19"/>
      <c r="F823" s="19"/>
      <c r="G823" s="19"/>
      <c r="H823" s="19"/>
      <c r="I823" s="17"/>
      <c r="J823" s="19"/>
      <c r="K823" s="19"/>
      <c r="L823" s="19"/>
      <c r="M823" s="19"/>
      <c r="N823" s="19"/>
      <c r="O823" s="17"/>
      <c r="P823" s="19"/>
      <c r="Q823" s="19"/>
      <c r="R823" s="19"/>
      <c r="S823" s="19"/>
      <c r="T823" s="19"/>
      <c r="U823" s="17"/>
      <c r="V823" s="19"/>
      <c r="W823" s="17"/>
      <c r="X823" s="19"/>
      <c r="Y823" s="19"/>
      <c r="Z823" s="19"/>
      <c r="AA823" s="19"/>
    </row>
    <row r="824" spans="4:27" x14ac:dyDescent="0.35">
      <c r="D824" s="19"/>
      <c r="E824" s="19"/>
      <c r="F824" s="19"/>
      <c r="G824" s="19"/>
      <c r="H824" s="19"/>
      <c r="I824" s="17"/>
      <c r="J824" s="19"/>
      <c r="K824" s="19"/>
      <c r="L824" s="19"/>
      <c r="M824" s="19"/>
      <c r="N824" s="19"/>
      <c r="O824" s="17"/>
      <c r="P824" s="19"/>
      <c r="Q824" s="19"/>
      <c r="R824" s="19"/>
      <c r="S824" s="19"/>
      <c r="T824" s="19"/>
      <c r="U824" s="17"/>
      <c r="V824" s="19"/>
      <c r="W824" s="17"/>
      <c r="X824" s="19"/>
      <c r="Y824" s="19"/>
      <c r="Z824" s="19"/>
      <c r="AA824" s="19"/>
    </row>
    <row r="825" spans="4:27" x14ac:dyDescent="0.35">
      <c r="D825" s="19"/>
      <c r="E825" s="19"/>
      <c r="F825" s="19"/>
      <c r="G825" s="19"/>
      <c r="H825" s="19"/>
      <c r="I825" s="17"/>
      <c r="J825" s="19"/>
      <c r="K825" s="19"/>
      <c r="L825" s="19"/>
      <c r="M825" s="19"/>
      <c r="N825" s="19"/>
      <c r="O825" s="17"/>
      <c r="P825" s="19"/>
      <c r="Q825" s="19"/>
      <c r="R825" s="19"/>
      <c r="S825" s="19"/>
      <c r="T825" s="19"/>
      <c r="U825" s="17"/>
      <c r="V825" s="19"/>
      <c r="W825" s="17"/>
      <c r="X825" s="19"/>
      <c r="Y825" s="19"/>
      <c r="Z825" s="19"/>
      <c r="AA825" s="19"/>
    </row>
    <row r="826" spans="4:27" x14ac:dyDescent="0.35">
      <c r="D826" s="19"/>
      <c r="E826" s="19"/>
      <c r="F826" s="19"/>
      <c r="G826" s="19"/>
      <c r="H826" s="19"/>
      <c r="I826" s="17"/>
      <c r="J826" s="19"/>
      <c r="K826" s="19"/>
      <c r="L826" s="19"/>
      <c r="M826" s="19"/>
      <c r="N826" s="19"/>
      <c r="O826" s="17"/>
      <c r="P826" s="19"/>
      <c r="Q826" s="19"/>
      <c r="R826" s="19"/>
      <c r="S826" s="19"/>
      <c r="T826" s="19"/>
      <c r="U826" s="17"/>
      <c r="V826" s="19"/>
      <c r="W826" s="17"/>
      <c r="X826" s="19"/>
      <c r="Y826" s="19"/>
      <c r="Z826" s="19"/>
      <c r="AA826" s="19"/>
    </row>
    <row r="827" spans="4:27" x14ac:dyDescent="0.35">
      <c r="D827" s="19"/>
      <c r="E827" s="19"/>
      <c r="F827" s="19"/>
      <c r="G827" s="19"/>
      <c r="H827" s="19"/>
      <c r="I827" s="17"/>
      <c r="J827" s="19"/>
      <c r="K827" s="19"/>
      <c r="L827" s="19"/>
      <c r="M827" s="19"/>
      <c r="N827" s="19"/>
      <c r="O827" s="17"/>
      <c r="P827" s="19"/>
      <c r="Q827" s="19"/>
      <c r="R827" s="19"/>
      <c r="S827" s="19"/>
      <c r="T827" s="19"/>
      <c r="U827" s="17"/>
      <c r="V827" s="19"/>
      <c r="W827" s="17"/>
      <c r="X827" s="19"/>
      <c r="Y827" s="19"/>
      <c r="Z827" s="19"/>
      <c r="AA827" s="19"/>
    </row>
    <row r="828" spans="4:27" x14ac:dyDescent="0.35">
      <c r="D828" s="19"/>
      <c r="E828" s="19"/>
      <c r="F828" s="19"/>
      <c r="G828" s="19"/>
      <c r="H828" s="19"/>
      <c r="I828" s="17"/>
      <c r="J828" s="19"/>
      <c r="K828" s="19"/>
      <c r="L828" s="19"/>
      <c r="M828" s="19"/>
      <c r="N828" s="19"/>
      <c r="O828" s="17"/>
      <c r="P828" s="19"/>
      <c r="Q828" s="19"/>
      <c r="R828" s="19"/>
      <c r="S828" s="19"/>
      <c r="T828" s="19"/>
      <c r="U828" s="17"/>
      <c r="V828" s="19"/>
      <c r="W828" s="17"/>
      <c r="X828" s="19"/>
      <c r="Y828" s="19"/>
      <c r="Z828" s="19"/>
      <c r="AA828" s="19"/>
    </row>
    <row r="829" spans="4:27" x14ac:dyDescent="0.35">
      <c r="D829" s="19"/>
      <c r="E829" s="19"/>
      <c r="F829" s="19"/>
      <c r="G829" s="19"/>
      <c r="H829" s="19"/>
      <c r="I829" s="17"/>
      <c r="J829" s="19"/>
      <c r="K829" s="19"/>
      <c r="L829" s="19"/>
      <c r="M829" s="19"/>
      <c r="N829" s="19"/>
      <c r="O829" s="17"/>
      <c r="P829" s="19"/>
      <c r="Q829" s="19"/>
      <c r="R829" s="19"/>
      <c r="S829" s="19"/>
      <c r="T829" s="19"/>
      <c r="U829" s="17"/>
      <c r="V829" s="19"/>
      <c r="W829" s="17"/>
      <c r="X829" s="19"/>
      <c r="Y829" s="19"/>
      <c r="Z829" s="19"/>
      <c r="AA829" s="19"/>
    </row>
    <row r="830" spans="4:27" x14ac:dyDescent="0.35">
      <c r="D830" s="19"/>
      <c r="E830" s="19"/>
      <c r="F830" s="19"/>
      <c r="G830" s="19"/>
      <c r="H830" s="19"/>
      <c r="I830" s="17"/>
      <c r="J830" s="19"/>
      <c r="K830" s="19"/>
      <c r="L830" s="19"/>
      <c r="M830" s="19"/>
      <c r="N830" s="19"/>
      <c r="O830" s="17"/>
      <c r="P830" s="19"/>
      <c r="Q830" s="19"/>
      <c r="R830" s="19"/>
      <c r="S830" s="19"/>
      <c r="T830" s="19"/>
      <c r="U830" s="17"/>
      <c r="V830" s="19"/>
      <c r="W830" s="17"/>
      <c r="X830" s="19"/>
      <c r="Y830" s="19"/>
      <c r="Z830" s="19"/>
      <c r="AA830" s="19"/>
    </row>
    <row r="831" spans="4:27" x14ac:dyDescent="0.35">
      <c r="D831" s="19"/>
      <c r="E831" s="19"/>
      <c r="F831" s="19"/>
      <c r="G831" s="19"/>
      <c r="H831" s="19"/>
      <c r="I831" s="17"/>
      <c r="J831" s="19"/>
      <c r="K831" s="19"/>
      <c r="L831" s="19"/>
      <c r="M831" s="19"/>
      <c r="N831" s="19"/>
      <c r="O831" s="17"/>
      <c r="P831" s="19"/>
      <c r="Q831" s="19"/>
      <c r="R831" s="19"/>
      <c r="S831" s="19"/>
      <c r="T831" s="19"/>
      <c r="U831" s="17"/>
      <c r="V831" s="19"/>
      <c r="W831" s="17"/>
      <c r="X831" s="19"/>
      <c r="Y831" s="19"/>
      <c r="Z831" s="19"/>
      <c r="AA831" s="19"/>
    </row>
    <row r="832" spans="4:27" x14ac:dyDescent="0.35">
      <c r="D832" s="19"/>
      <c r="E832" s="19"/>
      <c r="F832" s="19"/>
      <c r="G832" s="19"/>
      <c r="H832" s="19"/>
      <c r="I832" s="17"/>
      <c r="J832" s="19"/>
      <c r="K832" s="19"/>
      <c r="L832" s="19"/>
      <c r="M832" s="19"/>
      <c r="N832" s="19"/>
      <c r="O832" s="17"/>
      <c r="P832" s="19"/>
      <c r="Q832" s="19"/>
      <c r="R832" s="19"/>
      <c r="S832" s="19"/>
      <c r="T832" s="19"/>
      <c r="U832" s="17"/>
      <c r="V832" s="19"/>
      <c r="W832" s="17"/>
      <c r="X832" s="19"/>
      <c r="Y832" s="19"/>
      <c r="Z832" s="19"/>
      <c r="AA832" s="19"/>
    </row>
    <row r="833" spans="4:27" x14ac:dyDescent="0.35">
      <c r="D833" s="19"/>
      <c r="E833" s="19"/>
      <c r="F833" s="19"/>
      <c r="G833" s="19"/>
      <c r="H833" s="19"/>
      <c r="I833" s="17"/>
      <c r="J833" s="19"/>
      <c r="K833" s="19"/>
      <c r="L833" s="19"/>
      <c r="M833" s="19"/>
      <c r="N833" s="19"/>
      <c r="O833" s="17"/>
      <c r="P833" s="19"/>
      <c r="Q833" s="19"/>
      <c r="R833" s="19"/>
      <c r="S833" s="19"/>
      <c r="T833" s="19"/>
      <c r="U833" s="17"/>
      <c r="V833" s="19"/>
      <c r="W833" s="17"/>
      <c r="X833" s="19"/>
      <c r="Y833" s="19"/>
      <c r="Z833" s="19"/>
      <c r="AA833" s="19"/>
    </row>
    <row r="834" spans="4:27" x14ac:dyDescent="0.35">
      <c r="D834" s="19"/>
      <c r="E834" s="19"/>
      <c r="F834" s="19"/>
      <c r="G834" s="19"/>
      <c r="H834" s="19"/>
      <c r="I834" s="17"/>
      <c r="J834" s="19"/>
      <c r="K834" s="19"/>
      <c r="L834" s="19"/>
      <c r="M834" s="19"/>
      <c r="N834" s="19"/>
      <c r="O834" s="17"/>
      <c r="P834" s="19"/>
      <c r="Q834" s="19"/>
      <c r="R834" s="19"/>
      <c r="S834" s="19"/>
      <c r="T834" s="19"/>
      <c r="U834" s="17"/>
      <c r="V834" s="19"/>
      <c r="W834" s="17"/>
      <c r="X834" s="19"/>
      <c r="Y834" s="19"/>
      <c r="Z834" s="19"/>
      <c r="AA834" s="19"/>
    </row>
    <row r="835" spans="4:27" x14ac:dyDescent="0.35">
      <c r="D835" s="19"/>
      <c r="E835" s="19"/>
      <c r="F835" s="19"/>
      <c r="G835" s="19"/>
      <c r="H835" s="19"/>
      <c r="I835" s="17"/>
      <c r="J835" s="19"/>
      <c r="K835" s="19"/>
      <c r="L835" s="19"/>
      <c r="M835" s="19"/>
      <c r="N835" s="19"/>
      <c r="O835" s="17"/>
      <c r="P835" s="19"/>
      <c r="Q835" s="19"/>
      <c r="R835" s="19"/>
      <c r="S835" s="19"/>
      <c r="T835" s="19"/>
      <c r="U835" s="17"/>
      <c r="V835" s="19"/>
      <c r="W835" s="17"/>
      <c r="X835" s="19"/>
      <c r="Y835" s="19"/>
      <c r="Z835" s="19"/>
      <c r="AA835" s="19"/>
    </row>
    <row r="836" spans="4:27" x14ac:dyDescent="0.35">
      <c r="D836" s="19"/>
      <c r="E836" s="19"/>
      <c r="F836" s="19"/>
      <c r="G836" s="19"/>
      <c r="H836" s="19"/>
      <c r="I836" s="17"/>
      <c r="J836" s="19"/>
      <c r="K836" s="19"/>
      <c r="L836" s="19"/>
      <c r="M836" s="19"/>
      <c r="N836" s="19"/>
      <c r="O836" s="17"/>
      <c r="P836" s="19"/>
      <c r="Q836" s="19"/>
      <c r="R836" s="19"/>
      <c r="S836" s="19"/>
      <c r="T836" s="19"/>
      <c r="U836" s="17"/>
      <c r="V836" s="19"/>
      <c r="W836" s="17"/>
      <c r="X836" s="19"/>
      <c r="Y836" s="19"/>
      <c r="Z836" s="19"/>
      <c r="AA836" s="19"/>
    </row>
    <row r="837" spans="4:27" x14ac:dyDescent="0.35">
      <c r="D837" s="19"/>
      <c r="E837" s="19"/>
      <c r="F837" s="19"/>
      <c r="G837" s="19"/>
      <c r="H837" s="19"/>
      <c r="I837" s="17"/>
      <c r="J837" s="19"/>
      <c r="K837" s="19"/>
      <c r="L837" s="19"/>
      <c r="M837" s="19"/>
      <c r="N837" s="19"/>
      <c r="O837" s="17"/>
      <c r="P837" s="19"/>
      <c r="Q837" s="19"/>
      <c r="R837" s="19"/>
      <c r="S837" s="19"/>
      <c r="T837" s="19"/>
      <c r="U837" s="17"/>
      <c r="V837" s="19"/>
      <c r="W837" s="17"/>
      <c r="X837" s="19"/>
      <c r="Y837" s="19"/>
      <c r="Z837" s="19"/>
      <c r="AA837" s="19"/>
    </row>
    <row r="838" spans="4:27" x14ac:dyDescent="0.35">
      <c r="D838" s="19"/>
      <c r="E838" s="19"/>
      <c r="F838" s="19"/>
      <c r="G838" s="19"/>
      <c r="H838" s="19"/>
      <c r="I838" s="17"/>
      <c r="J838" s="19"/>
      <c r="K838" s="19"/>
      <c r="L838" s="19"/>
      <c r="M838" s="19"/>
      <c r="N838" s="19"/>
      <c r="O838" s="17"/>
      <c r="P838" s="19"/>
      <c r="Q838" s="19"/>
      <c r="R838" s="19"/>
      <c r="S838" s="19"/>
      <c r="T838" s="19"/>
      <c r="U838" s="17"/>
      <c r="V838" s="19"/>
      <c r="W838" s="17"/>
      <c r="X838" s="19"/>
      <c r="Y838" s="19"/>
      <c r="Z838" s="19"/>
      <c r="AA838" s="19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 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Γιάννης Μάντσιος</dc:creator>
  <cp:lastModifiedBy>Pavlos Konstantinidis</cp:lastModifiedBy>
  <dcterms:created xsi:type="dcterms:W3CDTF">2020-06-24T18:30:36Z</dcterms:created>
  <dcterms:modified xsi:type="dcterms:W3CDTF">2022-05-19T08:17:31Z</dcterms:modified>
</cp:coreProperties>
</file>